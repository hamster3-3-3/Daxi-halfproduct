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y66\OneDrive - 台灣全家O365\D槽\J\3廠廢棄\井上先生表\"/>
    </mc:Choice>
  </mc:AlternateContent>
  <bookViews>
    <workbookView xWindow="0" yWindow="0" windowWidth="28800" windowHeight="12285" tabRatio="866" activeTab="2"/>
  </bookViews>
  <sheets>
    <sheet name="數值累積總表(月)" sheetId="65" r:id="rId1"/>
    <sheet name="生產管理報表(月)" sheetId="13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(18℃-飯糰)" sheetId="44" r:id="rId8"/>
    <sheet name="（５-2）品群別人時生產性(18℃-壽司手卷)" sheetId="45" r:id="rId9"/>
    <sheet name="（５-3）品群別人時生產性(4℃-飯糰)" sheetId="46" r:id="rId10"/>
    <sheet name="（５-4）品群別人時生產性(4℃-壽司手卷)" sheetId="47" r:id="rId11"/>
    <sheet name="（５-5）品群別人時生產性(微波主食) " sheetId="48" r:id="rId12"/>
    <sheet name="（５-6）品群別人時生產性(便當)" sheetId="49" r:id="rId13"/>
    <sheet name="（５-7）品群別人時生產性(熱食義麵) " sheetId="50" r:id="rId14"/>
    <sheet name="（５-8）品群別人時生產性(季節調理麵) " sheetId="51" r:id="rId15"/>
    <sheet name="（５-9）品群別人時生產性(微波小吃)" sheetId="52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r:id="rId22"/>
    <sheet name="生產管理報表 8-1(月報廢)" sheetId="57" r:id="rId23"/>
    <sheet name="生產管理報表 8-2(月報廢)" sheetId="58" r:id="rId24"/>
    <sheet name="生產管理報表 8-3(月超用)" sheetId="59" r:id="rId25"/>
    <sheet name="生產管理報表 8-4(月超用)" sheetId="60" r:id="rId26"/>
    <sheet name="生產管理報表 7-1 (週)" sheetId="41" r:id="rId27"/>
    <sheet name="生產管理報表 8-5(週報廢)" sheetId="19" r:id="rId28"/>
    <sheet name="生產管理報表 8-6(週報廢)" sheetId="20" r:id="rId29"/>
    <sheet name="生產管理報表 8-7(週超用)" sheetId="61" r:id="rId30"/>
    <sheet name="生產管理報表 8-8(週超用) " sheetId="62" r:id="rId31"/>
    <sheet name="生產管理報表 9" sheetId="21" r:id="rId32"/>
    <sheet name="日別報廢率總表" sheetId="56" r:id="rId33"/>
    <sheet name="報廢20大－原因別分析" sheetId="63" r:id="rId34"/>
    <sheet name="超用20大－原因別分析" sheetId="66" r:id="rId35"/>
    <sheet name="填寫舉例" sheetId="1" r:id="rId36"/>
    <sheet name="鮮食品群番" sheetId="38" r:id="rId37"/>
    <sheet name="下拉式選單" sheetId="54" r:id="rId38"/>
  </sheets>
  <externalReferences>
    <externalReference r:id="rId39"/>
  </externalReferences>
  <definedNames>
    <definedName name="_xlnm._FilterDatabase" localSheetId="7" hidden="1">'（５-1）品群別人時生產性(18℃-飯糰)'!#REF!</definedName>
    <definedName name="_xlnm._FilterDatabase" localSheetId="8" hidden="1">'（５-2）品群別人時生產性(18℃-壽司手卷)'!#REF!</definedName>
    <definedName name="_xlnm._FilterDatabase" localSheetId="9" hidden="1">'（５-3）品群別人時生產性(4℃-飯糰)'!#REF!</definedName>
    <definedName name="_xlnm._FilterDatabase" localSheetId="10" hidden="1">'（５-4）品群別人時生產性(4℃-壽司手卷)'!#REF!</definedName>
    <definedName name="_xlnm._FilterDatabase" localSheetId="11" hidden="1">'（５-5）品群別人時生產性(微波主食)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2" hidden="1">#REF!</definedName>
    <definedName name="_xlnm._FilterDatabase" localSheetId="24" hidden="1">#REF!</definedName>
    <definedName name="_xlnm._FilterDatabase" localSheetId="27" hidden="1">#REF!</definedName>
    <definedName name="_xlnm._FilterDatabase" localSheetId="29" hidden="1">#REF!</definedName>
    <definedName name="_xlnm._FilterDatabase" localSheetId="33" hidden="1">'報廢20大－原因別分析'!#REF!</definedName>
    <definedName name="_xlnm._FilterDatabase" localSheetId="34" hidden="1">'超用20大－原因別分析'!#REF!</definedName>
    <definedName name="_xlnm.Print_Area" localSheetId="16">'生產管理報表 6-1'!$A$1:$L$132</definedName>
    <definedName name="_xlnm.Print_Area" localSheetId="17">'生產管理報表 6-2'!$A$1:$L$132</definedName>
    <definedName name="_xlnm.Print_Area" localSheetId="18">'生產管理報表 6-3'!$A$1:$L$132</definedName>
    <definedName name="_xlnm.Print_Area" localSheetId="19">'生產管理報表 6-4'!$A$1:$L$132</definedName>
    <definedName name="_xlnm.Print_Area" localSheetId="20">'生產管理報表 6-5'!$A$1:$L$132</definedName>
    <definedName name="_xlnm.Print_Area" localSheetId="26">'生產管理報表 7-1 (週)'!$A$1:$M$59</definedName>
    <definedName name="_xlnm.Print_Area" localSheetId="21">'生產管理報表 7-1(月)'!$A$1:$M$15</definedName>
    <definedName name="_xlnm.Print_Area" localSheetId="22">'生產管理報表 8-1(月報廢)'!$A$1:$P$30</definedName>
    <definedName name="_xlnm.Print_Area" localSheetId="23">'生產管理報表 8-2(月報廢)'!$A$1:$P$38</definedName>
    <definedName name="_xlnm.Print_Area" localSheetId="24">'生產管理報表 8-3(月超用)'!$A$1:$Q$30</definedName>
    <definedName name="_xlnm.Print_Area" localSheetId="25">'生產管理報表 8-4(月超用)'!$A$1:$P$38</definedName>
    <definedName name="_xlnm.Print_Area" localSheetId="27">'生產管理報表 8-5(週報廢)'!$A$1:$P$114</definedName>
    <definedName name="_xlnm.Print_Area" localSheetId="28">'生產管理報表 8-6(週報廢)'!$A$1:$P$146</definedName>
    <definedName name="_xlnm.Print_Area" localSheetId="29">'生產管理報表 8-7(週超用)'!$A$1:$Q$30</definedName>
    <definedName name="_xlnm.Print_Area" localSheetId="30">'生產管理報表 8-8(週超用) '!$A$1:$P$114</definedName>
    <definedName name="_xlnm.Print_Area" localSheetId="31">'生產管理報表 9'!#REF!</definedName>
    <definedName name="_xlnm.Print_Area" localSheetId="1">'生產管理報表(月)'!$A$1:$K$37</definedName>
    <definedName name="_xlnm.Print_Area" localSheetId="2">'生產管理報表(週) '!$A$1:$K$36</definedName>
    <definedName name="_xlnm.Print_Area" localSheetId="36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8" i="41" l="1"/>
  <c r="AG209" i="63"/>
  <c r="K15" i="40" l="1"/>
  <c r="K14" i="40"/>
  <c r="J15" i="40"/>
  <c r="J14" i="40"/>
  <c r="I15" i="40"/>
  <c r="I14" i="40"/>
  <c r="H15" i="40"/>
  <c r="H14" i="40"/>
  <c r="G15" i="40"/>
  <c r="G14" i="40"/>
  <c r="F15" i="40"/>
  <c r="F14" i="40"/>
  <c r="M10" i="40"/>
  <c r="M9" i="40"/>
  <c r="L10" i="40"/>
  <c r="L9" i="40"/>
  <c r="K10" i="40"/>
  <c r="K9" i="40"/>
  <c r="J10" i="40"/>
  <c r="J9" i="40"/>
  <c r="I10" i="40"/>
  <c r="I9" i="40"/>
  <c r="H10" i="40"/>
  <c r="H9" i="40"/>
  <c r="G10" i="40"/>
  <c r="G9" i="40"/>
  <c r="F10" i="40"/>
  <c r="F9" i="40"/>
  <c r="AH224" i="66"/>
  <c r="AI224" i="66"/>
  <c r="AJ224" i="66"/>
  <c r="AK224" i="66"/>
  <c r="AL224" i="66"/>
  <c r="AM224" i="66"/>
  <c r="AG224" i="66"/>
  <c r="AH223" i="66"/>
  <c r="AI223" i="66"/>
  <c r="AJ223" i="66"/>
  <c r="AK223" i="66"/>
  <c r="AL223" i="66"/>
  <c r="AM223" i="66"/>
  <c r="AG223" i="66"/>
  <c r="AG222" i="66"/>
  <c r="AH222" i="66"/>
  <c r="AI222" i="66"/>
  <c r="AJ222" i="66"/>
  <c r="AK222" i="66"/>
  <c r="AL222" i="66"/>
  <c r="AM222" i="66"/>
  <c r="AF222" i="66"/>
  <c r="AH224" i="63"/>
  <c r="AI224" i="63"/>
  <c r="AJ224" i="63"/>
  <c r="AK224" i="63"/>
  <c r="AL224" i="63"/>
  <c r="AM224" i="63"/>
  <c r="AG224" i="63"/>
  <c r="AH223" i="63"/>
  <c r="AI223" i="63"/>
  <c r="AJ223" i="63"/>
  <c r="AK223" i="63"/>
  <c r="AL223" i="63"/>
  <c r="AM223" i="63"/>
  <c r="AG223" i="63"/>
  <c r="AH222" i="63"/>
  <c r="AI222" i="63"/>
  <c r="AJ222" i="63"/>
  <c r="AK222" i="63"/>
  <c r="AL222" i="63"/>
  <c r="AM222" i="63"/>
  <c r="AG222" i="63"/>
  <c r="AF222" i="63"/>
  <c r="B10" i="40"/>
  <c r="B5" i="40"/>
  <c r="H23" i="13"/>
  <c r="H22" i="13"/>
  <c r="H21" i="13"/>
  <c r="H20" i="13"/>
  <c r="H19" i="13"/>
  <c r="H18" i="13"/>
  <c r="H17" i="13"/>
  <c r="H16" i="13"/>
  <c r="H15" i="13"/>
  <c r="B23" i="13"/>
  <c r="B22" i="13"/>
  <c r="B21" i="13"/>
  <c r="B20" i="13"/>
  <c r="B19" i="13"/>
  <c r="B18" i="13"/>
  <c r="B17" i="13"/>
  <c r="B16" i="13"/>
  <c r="B15" i="13"/>
  <c r="H8" i="7"/>
  <c r="I11" i="13"/>
  <c r="I10" i="13"/>
  <c r="I9" i="13"/>
  <c r="I8" i="13"/>
  <c r="I6" i="13"/>
  <c r="E6" i="13"/>
  <c r="B11" i="13"/>
  <c r="B10" i="13"/>
  <c r="B9" i="13"/>
  <c r="B8" i="13"/>
  <c r="B7" i="13"/>
  <c r="B6" i="13"/>
  <c r="J128" i="22" l="1"/>
  <c r="J126" i="22"/>
  <c r="J125" i="22"/>
  <c r="J124" i="22"/>
  <c r="J123" i="22"/>
  <c r="J131" i="23"/>
  <c r="J130" i="23"/>
  <c r="J112" i="23"/>
  <c r="J130" i="24"/>
  <c r="J129" i="24"/>
  <c r="J128" i="24"/>
  <c r="J127" i="24"/>
  <c r="J126" i="24"/>
  <c r="J125" i="24"/>
  <c r="J98" i="24"/>
  <c r="J124" i="24"/>
  <c r="J123" i="24"/>
  <c r="J112" i="25"/>
  <c r="E46" i="56"/>
  <c r="C46" i="56"/>
  <c r="D46" i="56" s="1"/>
  <c r="E45" i="56"/>
  <c r="C45" i="56"/>
  <c r="D45" i="56" s="1"/>
  <c r="E44" i="56"/>
  <c r="C44" i="56"/>
  <c r="G43" i="56"/>
  <c r="H43" i="56" s="1"/>
  <c r="F43" i="56"/>
  <c r="D43" i="56"/>
  <c r="G42" i="56"/>
  <c r="H42" i="56" s="1"/>
  <c r="F42" i="56"/>
  <c r="D42" i="56"/>
  <c r="G41" i="56"/>
  <c r="H41" i="56" s="1"/>
  <c r="F41" i="56"/>
  <c r="D41" i="56"/>
  <c r="G40" i="56"/>
  <c r="H40" i="56" s="1"/>
  <c r="F40" i="56"/>
  <c r="D40" i="56"/>
  <c r="J116" i="25"/>
  <c r="J115" i="25"/>
  <c r="J114" i="25"/>
  <c r="J113" i="25"/>
  <c r="J142" i="25"/>
  <c r="J141" i="25"/>
  <c r="J140" i="25"/>
  <c r="J139" i="25"/>
  <c r="J138" i="25"/>
  <c r="B138" i="25"/>
  <c r="A138" i="25"/>
  <c r="J156" i="24"/>
  <c r="J155" i="24"/>
  <c r="J154" i="24"/>
  <c r="J153" i="24"/>
  <c r="J152" i="24"/>
  <c r="J151" i="24"/>
  <c r="J150" i="24"/>
  <c r="J149" i="24"/>
  <c r="J116" i="23"/>
  <c r="J119" i="23"/>
  <c r="J118" i="23"/>
  <c r="J117" i="23"/>
  <c r="J114" i="23"/>
  <c r="J113" i="23"/>
  <c r="J105" i="23"/>
  <c r="J129" i="23"/>
  <c r="J128" i="23"/>
  <c r="J127" i="23"/>
  <c r="J126" i="23"/>
  <c r="J125" i="23"/>
  <c r="J124" i="23"/>
  <c r="J123" i="23"/>
  <c r="J115" i="23"/>
  <c r="J158" i="23"/>
  <c r="J157" i="23"/>
  <c r="J156" i="23"/>
  <c r="J154" i="23"/>
  <c r="J153" i="23"/>
  <c r="J152" i="23"/>
  <c r="J151" i="23"/>
  <c r="J150" i="23"/>
  <c r="J149" i="23"/>
  <c r="J146" i="23"/>
  <c r="J145" i="23"/>
  <c r="J144" i="23"/>
  <c r="J143" i="23"/>
  <c r="J142" i="23"/>
  <c r="J141" i="23"/>
  <c r="J140" i="23"/>
  <c r="J138" i="23"/>
  <c r="J112" i="22"/>
  <c r="J153" i="22"/>
  <c r="J152" i="22"/>
  <c r="J151" i="22"/>
  <c r="J150" i="22"/>
  <c r="J149" i="22"/>
  <c r="J138" i="22"/>
  <c r="J126" i="15"/>
  <c r="J125" i="15"/>
  <c r="J124" i="15"/>
  <c r="J123" i="15"/>
  <c r="J119" i="15"/>
  <c r="J121" i="15"/>
  <c r="J120" i="15"/>
  <c r="J118" i="15"/>
  <c r="J117" i="15"/>
  <c r="J116" i="15"/>
  <c r="J114" i="15"/>
  <c r="J113" i="15"/>
  <c r="J112" i="15"/>
  <c r="J151" i="15"/>
  <c r="J150" i="15"/>
  <c r="J149" i="15"/>
  <c r="J146" i="15"/>
  <c r="J145" i="15"/>
  <c r="J144" i="15"/>
  <c r="J143" i="15"/>
  <c r="J141" i="15"/>
  <c r="J140" i="15"/>
  <c r="J139" i="15"/>
  <c r="J138" i="15"/>
  <c r="AW91" i="52"/>
  <c r="AW90" i="52"/>
  <c r="AW89" i="52"/>
  <c r="AW88" i="52"/>
  <c r="AW87" i="52"/>
  <c r="AR91" i="52"/>
  <c r="AR90" i="52"/>
  <c r="AR89" i="52"/>
  <c r="AR88" i="52"/>
  <c r="AR87" i="52"/>
  <c r="AM91" i="52"/>
  <c r="AM90" i="52"/>
  <c r="AM89" i="52"/>
  <c r="AM88" i="52"/>
  <c r="AM87" i="52"/>
  <c r="AH91" i="52"/>
  <c r="AH90" i="52"/>
  <c r="AH89" i="52"/>
  <c r="AH88" i="52"/>
  <c r="AH87" i="52"/>
  <c r="AC91" i="52"/>
  <c r="AC90" i="52"/>
  <c r="AC89" i="52"/>
  <c r="AC88" i="52"/>
  <c r="AC87" i="52"/>
  <c r="X91" i="52"/>
  <c r="X90" i="52"/>
  <c r="X89" i="52"/>
  <c r="X88" i="52"/>
  <c r="X87" i="52"/>
  <c r="S88" i="52"/>
  <c r="S89" i="52"/>
  <c r="S90" i="52"/>
  <c r="S91" i="52"/>
  <c r="S87" i="52"/>
  <c r="M88" i="52"/>
  <c r="M89" i="52"/>
  <c r="M90" i="52"/>
  <c r="M91" i="52"/>
  <c r="M87" i="52"/>
  <c r="C1" i="52"/>
  <c r="AV91" i="52"/>
  <c r="AQ91" i="52"/>
  <c r="AL91" i="52"/>
  <c r="AG91" i="52"/>
  <c r="AB91" i="52"/>
  <c r="W91" i="52"/>
  <c r="R91" i="52"/>
  <c r="K91" i="52"/>
  <c r="J91" i="52"/>
  <c r="I91" i="52"/>
  <c r="G91" i="52"/>
  <c r="AV90" i="52"/>
  <c r="AQ90" i="52"/>
  <c r="AL90" i="52"/>
  <c r="AG90" i="52"/>
  <c r="AB90" i="52"/>
  <c r="W90" i="52"/>
  <c r="R90" i="52"/>
  <c r="K90" i="52"/>
  <c r="J90" i="52"/>
  <c r="I90" i="52"/>
  <c r="G90" i="52"/>
  <c r="AV89" i="52"/>
  <c r="K89" i="52" s="1"/>
  <c r="AQ89" i="52"/>
  <c r="AL89" i="52"/>
  <c r="AG89" i="52"/>
  <c r="AB89" i="52"/>
  <c r="W89" i="52"/>
  <c r="R89" i="52"/>
  <c r="J89" i="52"/>
  <c r="I89" i="52"/>
  <c r="G89" i="52"/>
  <c r="AV88" i="52"/>
  <c r="AQ88" i="52"/>
  <c r="AL88" i="52"/>
  <c r="AG88" i="52"/>
  <c r="AB88" i="52"/>
  <c r="W88" i="52"/>
  <c r="R88" i="52"/>
  <c r="J88" i="52"/>
  <c r="I88" i="52"/>
  <c r="G88" i="52"/>
  <c r="AV87" i="52"/>
  <c r="AX87" i="52" s="1"/>
  <c r="AS87" i="52"/>
  <c r="AQ87" i="52"/>
  <c r="AL87" i="52"/>
  <c r="AN87" i="52" s="1"/>
  <c r="AG87" i="52"/>
  <c r="AI87" i="52" s="1"/>
  <c r="AB87" i="52"/>
  <c r="AD87" i="52" s="1"/>
  <c r="W87" i="52"/>
  <c r="R87" i="52"/>
  <c r="T87" i="52" s="1"/>
  <c r="K87" i="52"/>
  <c r="J87" i="52"/>
  <c r="I87" i="52"/>
  <c r="G87" i="52"/>
  <c r="H87" i="52" s="1"/>
  <c r="AW94" i="51"/>
  <c r="AW93" i="51"/>
  <c r="AW92" i="51"/>
  <c r="AW91" i="51"/>
  <c r="AW90" i="51"/>
  <c r="AW89" i="51"/>
  <c r="AW88" i="51"/>
  <c r="AW87" i="51"/>
  <c r="AR94" i="51"/>
  <c r="AR93" i="51"/>
  <c r="AR92" i="51"/>
  <c r="AR91" i="51"/>
  <c r="AR90" i="51"/>
  <c r="AR89" i="51"/>
  <c r="AR88" i="51"/>
  <c r="AR87" i="51"/>
  <c r="AM94" i="51"/>
  <c r="AM93" i="51"/>
  <c r="AM92" i="51"/>
  <c r="AM91" i="51"/>
  <c r="AM90" i="51"/>
  <c r="AM89" i="51"/>
  <c r="AM88" i="51"/>
  <c r="AM87" i="51"/>
  <c r="AH94" i="51"/>
  <c r="AH93" i="51"/>
  <c r="AH92" i="51"/>
  <c r="AH91" i="51"/>
  <c r="AH90" i="51"/>
  <c r="AH89" i="51"/>
  <c r="AH88" i="51"/>
  <c r="AH87" i="51"/>
  <c r="AC94" i="51"/>
  <c r="AC93" i="51"/>
  <c r="AC92" i="51"/>
  <c r="AC91" i="51"/>
  <c r="AC90" i="51"/>
  <c r="AC89" i="51"/>
  <c r="AC88" i="51"/>
  <c r="AC87" i="51"/>
  <c r="X94" i="51"/>
  <c r="X93" i="51"/>
  <c r="X92" i="51"/>
  <c r="X91" i="51"/>
  <c r="X90" i="51"/>
  <c r="X89" i="51"/>
  <c r="X88" i="51"/>
  <c r="X87" i="51"/>
  <c r="S88" i="51"/>
  <c r="S89" i="51"/>
  <c r="S90" i="51"/>
  <c r="S91" i="51"/>
  <c r="S92" i="51"/>
  <c r="S93" i="51"/>
  <c r="S94" i="51"/>
  <c r="S87" i="51"/>
  <c r="M88" i="51"/>
  <c r="M89" i="51"/>
  <c r="M90" i="51"/>
  <c r="M91" i="51"/>
  <c r="M92" i="51"/>
  <c r="M93" i="51"/>
  <c r="M94" i="51"/>
  <c r="M87" i="51"/>
  <c r="C1" i="51"/>
  <c r="AV94" i="51"/>
  <c r="AQ94" i="51"/>
  <c r="AL94" i="51"/>
  <c r="AG94" i="51"/>
  <c r="AB94" i="51"/>
  <c r="W94" i="51"/>
  <c r="R94" i="51"/>
  <c r="K94" i="51"/>
  <c r="J94" i="51"/>
  <c r="I94" i="51"/>
  <c r="G94" i="51"/>
  <c r="AV93" i="51"/>
  <c r="AQ93" i="51"/>
  <c r="AL93" i="51"/>
  <c r="AG93" i="51"/>
  <c r="AB93" i="51"/>
  <c r="W93" i="51"/>
  <c r="R93" i="51"/>
  <c r="K93" i="51"/>
  <c r="J93" i="51"/>
  <c r="I93" i="51"/>
  <c r="G93" i="51"/>
  <c r="AV92" i="51"/>
  <c r="AQ92" i="51"/>
  <c r="AL92" i="51"/>
  <c r="AG92" i="51"/>
  <c r="AB92" i="51"/>
  <c r="W92" i="51"/>
  <c r="R92" i="51"/>
  <c r="J92" i="51"/>
  <c r="I92" i="51"/>
  <c r="G92" i="51"/>
  <c r="AV91" i="51"/>
  <c r="K91" i="51" s="1"/>
  <c r="AQ91" i="51"/>
  <c r="AL91" i="51"/>
  <c r="AG91" i="51"/>
  <c r="AB91" i="51"/>
  <c r="W91" i="51"/>
  <c r="R91" i="51"/>
  <c r="J91" i="51"/>
  <c r="I91" i="51"/>
  <c r="G91" i="51"/>
  <c r="AV90" i="51"/>
  <c r="AQ90" i="51"/>
  <c r="AL90" i="51"/>
  <c r="AG90" i="51"/>
  <c r="AB90" i="51"/>
  <c r="W90" i="51"/>
  <c r="R90" i="51"/>
  <c r="J90" i="51"/>
  <c r="I90" i="51"/>
  <c r="G90" i="51"/>
  <c r="AV89" i="51"/>
  <c r="AQ89" i="51"/>
  <c r="AL89" i="51"/>
  <c r="AG89" i="51"/>
  <c r="AB89" i="51"/>
  <c r="W89" i="51"/>
  <c r="R89" i="51"/>
  <c r="J89" i="51"/>
  <c r="I89" i="51"/>
  <c r="G89" i="51"/>
  <c r="AV88" i="51"/>
  <c r="AQ88" i="51"/>
  <c r="AL88" i="51"/>
  <c r="AG88" i="51"/>
  <c r="AB88" i="51"/>
  <c r="W88" i="51"/>
  <c r="R88" i="51"/>
  <c r="J88" i="51"/>
  <c r="I88" i="51"/>
  <c r="G88" i="51"/>
  <c r="AV87" i="51"/>
  <c r="AX87" i="51" s="1"/>
  <c r="AQ87" i="51"/>
  <c r="K87" i="51" s="1"/>
  <c r="AN87" i="51"/>
  <c r="AL87" i="51"/>
  <c r="AG87" i="51"/>
  <c r="AB87" i="51"/>
  <c r="W87" i="51"/>
  <c r="Y87" i="51" s="1"/>
  <c r="R87" i="51"/>
  <c r="T87" i="51" s="1"/>
  <c r="J87" i="51"/>
  <c r="I87" i="51"/>
  <c r="H87" i="51"/>
  <c r="G87" i="51"/>
  <c r="U82" i="50"/>
  <c r="Z82" i="50" s="1"/>
  <c r="AE82" i="50" s="1"/>
  <c r="AJ82" i="50" s="1"/>
  <c r="AO82" i="50" s="1"/>
  <c r="AT82" i="50" s="1"/>
  <c r="AW95" i="49"/>
  <c r="AW94" i="49"/>
  <c r="AW93" i="49"/>
  <c r="AW92" i="49"/>
  <c r="AW91" i="49"/>
  <c r="AW90" i="49"/>
  <c r="AW89" i="49"/>
  <c r="AW88" i="49"/>
  <c r="AW87" i="49"/>
  <c r="AR95" i="49"/>
  <c r="AR94" i="49"/>
  <c r="AR93" i="49"/>
  <c r="AR92" i="49"/>
  <c r="AR91" i="49"/>
  <c r="AR90" i="49"/>
  <c r="AR89" i="49"/>
  <c r="AR88" i="49"/>
  <c r="AR87" i="49"/>
  <c r="AM95" i="49"/>
  <c r="AM94" i="49"/>
  <c r="AM93" i="49"/>
  <c r="AM92" i="49"/>
  <c r="AM91" i="49"/>
  <c r="AM90" i="49"/>
  <c r="AM89" i="49"/>
  <c r="AM88" i="49"/>
  <c r="AM87" i="49"/>
  <c r="AH95" i="49"/>
  <c r="AH94" i="49"/>
  <c r="AH93" i="49"/>
  <c r="AH92" i="49"/>
  <c r="AH91" i="49"/>
  <c r="AH90" i="49"/>
  <c r="AH89" i="49"/>
  <c r="AH88" i="49"/>
  <c r="AH87" i="49"/>
  <c r="AC95" i="49"/>
  <c r="AC94" i="49"/>
  <c r="AC93" i="49"/>
  <c r="AC92" i="49"/>
  <c r="AC91" i="49"/>
  <c r="AC90" i="49"/>
  <c r="AC89" i="49"/>
  <c r="AC88" i="49"/>
  <c r="AC87" i="49"/>
  <c r="X95" i="49"/>
  <c r="X94" i="49"/>
  <c r="X93" i="49"/>
  <c r="X92" i="49"/>
  <c r="X91" i="49"/>
  <c r="X90" i="49"/>
  <c r="X89" i="49"/>
  <c r="X88" i="49"/>
  <c r="X87" i="49"/>
  <c r="S88" i="49"/>
  <c r="S89" i="49"/>
  <c r="S90" i="49"/>
  <c r="S91" i="49"/>
  <c r="S92" i="49"/>
  <c r="S93" i="49"/>
  <c r="S94" i="49"/>
  <c r="S95" i="49"/>
  <c r="S87" i="49"/>
  <c r="M88" i="49"/>
  <c r="M89" i="49"/>
  <c r="M90" i="49"/>
  <c r="M91" i="49"/>
  <c r="M92" i="49"/>
  <c r="M93" i="49"/>
  <c r="M94" i="49"/>
  <c r="M95" i="49"/>
  <c r="M87" i="49"/>
  <c r="C1" i="49"/>
  <c r="AV95" i="49"/>
  <c r="AQ95" i="49"/>
  <c r="AL95" i="49"/>
  <c r="AG95" i="49"/>
  <c r="AB95" i="49"/>
  <c r="W95" i="49"/>
  <c r="R95" i="49"/>
  <c r="J95" i="49"/>
  <c r="I95" i="49"/>
  <c r="G95" i="49"/>
  <c r="AV94" i="49"/>
  <c r="AQ94" i="49"/>
  <c r="AL94" i="49"/>
  <c r="AG94" i="49"/>
  <c r="AB94" i="49"/>
  <c r="W94" i="49"/>
  <c r="R94" i="49"/>
  <c r="J94" i="49"/>
  <c r="I94" i="49"/>
  <c r="G94" i="49"/>
  <c r="AV93" i="49"/>
  <c r="AQ93" i="49"/>
  <c r="AL93" i="49"/>
  <c r="AG93" i="49"/>
  <c r="AB93" i="49"/>
  <c r="W93" i="49"/>
  <c r="R93" i="49"/>
  <c r="J93" i="49"/>
  <c r="I93" i="49"/>
  <c r="G93" i="49"/>
  <c r="AV92" i="49"/>
  <c r="AQ92" i="49"/>
  <c r="AL92" i="49"/>
  <c r="AG92" i="49"/>
  <c r="AB92" i="49"/>
  <c r="W92" i="49"/>
  <c r="R92" i="49"/>
  <c r="J92" i="49"/>
  <c r="I92" i="49"/>
  <c r="G92" i="49"/>
  <c r="AV91" i="49"/>
  <c r="AQ91" i="49"/>
  <c r="AL91" i="49"/>
  <c r="AG91" i="49"/>
  <c r="AB91" i="49"/>
  <c r="W91" i="49"/>
  <c r="R91" i="49"/>
  <c r="J91" i="49"/>
  <c r="I91" i="49"/>
  <c r="G91" i="49"/>
  <c r="AV90" i="49"/>
  <c r="AQ90" i="49"/>
  <c r="AL90" i="49"/>
  <c r="AG90" i="49"/>
  <c r="AB90" i="49"/>
  <c r="W90" i="49"/>
  <c r="R90" i="49"/>
  <c r="K90" i="49"/>
  <c r="J90" i="49"/>
  <c r="I90" i="49"/>
  <c r="G90" i="49"/>
  <c r="AV89" i="49"/>
  <c r="AQ89" i="49"/>
  <c r="AL89" i="49"/>
  <c r="K89" i="49" s="1"/>
  <c r="AG89" i="49"/>
  <c r="AB89" i="49"/>
  <c r="W89" i="49"/>
  <c r="R89" i="49"/>
  <c r="J89" i="49"/>
  <c r="I89" i="49"/>
  <c r="G89" i="49"/>
  <c r="AV88" i="49"/>
  <c r="AQ88" i="49"/>
  <c r="AL88" i="49"/>
  <c r="AG88" i="49"/>
  <c r="AB88" i="49"/>
  <c r="W88" i="49"/>
  <c r="R88" i="49"/>
  <c r="K88" i="49"/>
  <c r="J88" i="49"/>
  <c r="I88" i="49"/>
  <c r="G88" i="49"/>
  <c r="AV87" i="49"/>
  <c r="AX87" i="49" s="1"/>
  <c r="AQ87" i="49"/>
  <c r="AS87" i="49" s="1"/>
  <c r="AL87" i="49"/>
  <c r="AG87" i="49"/>
  <c r="AB87" i="49"/>
  <c r="AD87" i="49" s="1"/>
  <c r="W87" i="49"/>
  <c r="Y87" i="49" s="1"/>
  <c r="T87" i="49"/>
  <c r="R87" i="49"/>
  <c r="J87" i="49"/>
  <c r="I87" i="49"/>
  <c r="G87" i="49"/>
  <c r="H87" i="49" s="1"/>
  <c r="AW94" i="48"/>
  <c r="AW93" i="48"/>
  <c r="AW92" i="48"/>
  <c r="AW91" i="48"/>
  <c r="AW90" i="48"/>
  <c r="AW89" i="48"/>
  <c r="AW88" i="48"/>
  <c r="AW87" i="48"/>
  <c r="AR94" i="48"/>
  <c r="AR93" i="48"/>
  <c r="AR92" i="48"/>
  <c r="AR91" i="48"/>
  <c r="AR90" i="48"/>
  <c r="AR89" i="48"/>
  <c r="AR88" i="48"/>
  <c r="AR87" i="48"/>
  <c r="AM94" i="48"/>
  <c r="AM93" i="48"/>
  <c r="AM92" i="48"/>
  <c r="AM91" i="48"/>
  <c r="AM90" i="48"/>
  <c r="AM89" i="48"/>
  <c r="AM88" i="48"/>
  <c r="AM87" i="48"/>
  <c r="AH94" i="48"/>
  <c r="AH93" i="48"/>
  <c r="AH92" i="48"/>
  <c r="AH91" i="48"/>
  <c r="AH90" i="48"/>
  <c r="AH89" i="48"/>
  <c r="AH88" i="48"/>
  <c r="AH87" i="48"/>
  <c r="AC94" i="48"/>
  <c r="AC93" i="48"/>
  <c r="AC92" i="48"/>
  <c r="AC91" i="48"/>
  <c r="AC90" i="48"/>
  <c r="AC89" i="48"/>
  <c r="AC88" i="48"/>
  <c r="AC87" i="48"/>
  <c r="X94" i="48"/>
  <c r="X93" i="48"/>
  <c r="X92" i="48"/>
  <c r="X91" i="48"/>
  <c r="X90" i="48"/>
  <c r="X89" i="48"/>
  <c r="X88" i="48"/>
  <c r="X87" i="48"/>
  <c r="S88" i="48"/>
  <c r="S89" i="48"/>
  <c r="S90" i="48"/>
  <c r="S91" i="48"/>
  <c r="S92" i="48"/>
  <c r="S93" i="48"/>
  <c r="S94" i="48"/>
  <c r="S87" i="48"/>
  <c r="M88" i="48"/>
  <c r="M89" i="48"/>
  <c r="M90" i="48"/>
  <c r="M91" i="48"/>
  <c r="M92" i="48"/>
  <c r="M93" i="48"/>
  <c r="M94" i="48"/>
  <c r="M87" i="48"/>
  <c r="C1" i="48"/>
  <c r="AV94" i="48"/>
  <c r="AQ94" i="48"/>
  <c r="AL94" i="48"/>
  <c r="AG94" i="48"/>
  <c r="AB94" i="48"/>
  <c r="W94" i="48"/>
  <c r="R94" i="48"/>
  <c r="K94" i="48"/>
  <c r="J94" i="48"/>
  <c r="I94" i="48"/>
  <c r="G94" i="48"/>
  <c r="AV93" i="48"/>
  <c r="AQ93" i="48"/>
  <c r="AL93" i="48"/>
  <c r="AG93" i="48"/>
  <c r="AI87" i="48" s="1"/>
  <c r="AB93" i="48"/>
  <c r="W93" i="48"/>
  <c r="R93" i="48"/>
  <c r="K93" i="48"/>
  <c r="J93" i="48"/>
  <c r="I93" i="48"/>
  <c r="G93" i="48"/>
  <c r="AV92" i="48"/>
  <c r="AQ92" i="48"/>
  <c r="AL92" i="48"/>
  <c r="AG92" i="48"/>
  <c r="AB92" i="48"/>
  <c r="W92" i="48"/>
  <c r="R92" i="48"/>
  <c r="J92" i="48"/>
  <c r="I92" i="48"/>
  <c r="G92" i="48"/>
  <c r="AV91" i="48"/>
  <c r="AQ91" i="48"/>
  <c r="AL91" i="48"/>
  <c r="AG91" i="48"/>
  <c r="AB91" i="48"/>
  <c r="W91" i="48"/>
  <c r="R91" i="48"/>
  <c r="J91" i="48"/>
  <c r="I91" i="48"/>
  <c r="G91" i="48"/>
  <c r="AV90" i="48"/>
  <c r="AQ90" i="48"/>
  <c r="AL90" i="48"/>
  <c r="AG90" i="48"/>
  <c r="AB90" i="48"/>
  <c r="W90" i="48"/>
  <c r="R90" i="48"/>
  <c r="J90" i="48"/>
  <c r="I90" i="48"/>
  <c r="G90" i="48"/>
  <c r="AV89" i="48"/>
  <c r="AQ89" i="48"/>
  <c r="AL89" i="48"/>
  <c r="AG89" i="48"/>
  <c r="AB89" i="48"/>
  <c r="W89" i="48"/>
  <c r="R89" i="48"/>
  <c r="J89" i="48"/>
  <c r="I89" i="48"/>
  <c r="G89" i="48"/>
  <c r="AV88" i="48"/>
  <c r="AQ88" i="48"/>
  <c r="AL88" i="48"/>
  <c r="AG88" i="48"/>
  <c r="AB88" i="48"/>
  <c r="W88" i="48"/>
  <c r="R88" i="48"/>
  <c r="J88" i="48"/>
  <c r="I88" i="48"/>
  <c r="G88" i="48"/>
  <c r="AV87" i="48"/>
  <c r="AX87" i="48" s="1"/>
  <c r="AQ87" i="48"/>
  <c r="AS87" i="48" s="1"/>
  <c r="AN87" i="48"/>
  <c r="AL87" i="48"/>
  <c r="AG87" i="48"/>
  <c r="AB87" i="48"/>
  <c r="Y87" i="48"/>
  <c r="W87" i="48"/>
  <c r="R87" i="48"/>
  <c r="T87" i="48" s="1"/>
  <c r="J87" i="48"/>
  <c r="I87" i="48"/>
  <c r="H87" i="48"/>
  <c r="G87" i="48"/>
  <c r="AW92" i="47"/>
  <c r="AW91" i="47"/>
  <c r="AW90" i="47"/>
  <c r="AW89" i="47"/>
  <c r="AW88" i="47"/>
  <c r="AW87" i="47"/>
  <c r="AR92" i="47"/>
  <c r="AR91" i="47"/>
  <c r="AR90" i="47"/>
  <c r="AR89" i="47"/>
  <c r="AR88" i="47"/>
  <c r="AR87" i="47"/>
  <c r="AM92" i="47"/>
  <c r="AM91" i="47"/>
  <c r="AM90" i="47"/>
  <c r="AM89" i="47"/>
  <c r="AM88" i="47"/>
  <c r="AM87" i="47"/>
  <c r="AH92" i="47"/>
  <c r="AH91" i="47"/>
  <c r="AH90" i="47"/>
  <c r="AH89" i="47"/>
  <c r="AH88" i="47"/>
  <c r="AH87" i="47"/>
  <c r="AC92" i="47"/>
  <c r="AC91" i="47"/>
  <c r="AC90" i="47"/>
  <c r="AC89" i="47"/>
  <c r="AC88" i="47"/>
  <c r="AC87" i="47"/>
  <c r="X92" i="47"/>
  <c r="X91" i="47"/>
  <c r="X90" i="47"/>
  <c r="X89" i="47"/>
  <c r="X88" i="47"/>
  <c r="X87" i="47"/>
  <c r="S88" i="47"/>
  <c r="S89" i="47"/>
  <c r="S90" i="47"/>
  <c r="S91" i="47"/>
  <c r="S92" i="47"/>
  <c r="S87" i="47"/>
  <c r="M88" i="47"/>
  <c r="M89" i="47"/>
  <c r="M90" i="47"/>
  <c r="M91" i="47"/>
  <c r="M92" i="47"/>
  <c r="C1" i="47"/>
  <c r="M87" i="47"/>
  <c r="AV92" i="47"/>
  <c r="AQ92" i="47"/>
  <c r="AL92" i="47"/>
  <c r="AG92" i="47"/>
  <c r="AB92" i="47"/>
  <c r="W92" i="47"/>
  <c r="R92" i="47"/>
  <c r="K92" i="47"/>
  <c r="J92" i="47"/>
  <c r="I92" i="47"/>
  <c r="G92" i="47"/>
  <c r="AV91" i="47"/>
  <c r="AQ91" i="47"/>
  <c r="AL91" i="47"/>
  <c r="AG91" i="47"/>
  <c r="AB91" i="47"/>
  <c r="W91" i="47"/>
  <c r="R91" i="47"/>
  <c r="K91" i="47"/>
  <c r="J91" i="47"/>
  <c r="I91" i="47"/>
  <c r="G91" i="47"/>
  <c r="AV90" i="47"/>
  <c r="K90" i="47" s="1"/>
  <c r="AQ90" i="47"/>
  <c r="AL90" i="47"/>
  <c r="AG90" i="47"/>
  <c r="AB90" i="47"/>
  <c r="W90" i="47"/>
  <c r="R90" i="47"/>
  <c r="J90" i="47"/>
  <c r="I90" i="47"/>
  <c r="G90" i="47"/>
  <c r="AV89" i="47"/>
  <c r="K89" i="47" s="1"/>
  <c r="AQ89" i="47"/>
  <c r="AL89" i="47"/>
  <c r="AG89" i="47"/>
  <c r="AB89" i="47"/>
  <c r="W89" i="47"/>
  <c r="R89" i="47"/>
  <c r="J89" i="47"/>
  <c r="I89" i="47"/>
  <c r="G89" i="47"/>
  <c r="AV88" i="47"/>
  <c r="AQ88" i="47"/>
  <c r="AS87" i="47" s="1"/>
  <c r="AL88" i="47"/>
  <c r="AG88" i="47"/>
  <c r="AB88" i="47"/>
  <c r="W88" i="47"/>
  <c r="R88" i="47"/>
  <c r="J88" i="47"/>
  <c r="I88" i="47"/>
  <c r="G88" i="47"/>
  <c r="H87" i="47" s="1"/>
  <c r="AV87" i="47"/>
  <c r="AQ87" i="47"/>
  <c r="AL87" i="47"/>
  <c r="AN87" i="47" s="1"/>
  <c r="AG87" i="47"/>
  <c r="AB87" i="47"/>
  <c r="AD87" i="47" s="1"/>
  <c r="W87" i="47"/>
  <c r="R87" i="47"/>
  <c r="T87" i="47" s="1"/>
  <c r="K87" i="47"/>
  <c r="J87" i="47"/>
  <c r="I87" i="47"/>
  <c r="G87" i="47"/>
  <c r="AR87" i="46"/>
  <c r="AW87" i="46"/>
  <c r="AM87" i="46"/>
  <c r="AH87" i="46"/>
  <c r="AC87" i="46"/>
  <c r="X87" i="46"/>
  <c r="S87" i="46"/>
  <c r="C1" i="46"/>
  <c r="M87" i="46"/>
  <c r="AV87" i="46"/>
  <c r="AX87" i="46" s="1"/>
  <c r="AS87" i="46"/>
  <c r="AQ87" i="46"/>
  <c r="AL87" i="46"/>
  <c r="AN87" i="46" s="1"/>
  <c r="AG87" i="46"/>
  <c r="AI87" i="46" s="1"/>
  <c r="AB87" i="46"/>
  <c r="AD87" i="46" s="1"/>
  <c r="Y87" i="46"/>
  <c r="W87" i="46"/>
  <c r="K87" i="46" s="1"/>
  <c r="T87" i="46"/>
  <c r="R87" i="46"/>
  <c r="J87" i="46"/>
  <c r="I87" i="46"/>
  <c r="G87" i="46"/>
  <c r="H87" i="46" s="1"/>
  <c r="AW90" i="45"/>
  <c r="AW89" i="45"/>
  <c r="AW88" i="45"/>
  <c r="AW87" i="45"/>
  <c r="AR90" i="45"/>
  <c r="AR89" i="45"/>
  <c r="AR88" i="45"/>
  <c r="AR87" i="45"/>
  <c r="AM90" i="45"/>
  <c r="AM89" i="45"/>
  <c r="AM88" i="45"/>
  <c r="AM87" i="45"/>
  <c r="AH90" i="45"/>
  <c r="AH89" i="45"/>
  <c r="AH88" i="45"/>
  <c r="AH87" i="45"/>
  <c r="AC90" i="45"/>
  <c r="AC89" i="45"/>
  <c r="AC88" i="45"/>
  <c r="AC87" i="45"/>
  <c r="X90" i="45"/>
  <c r="X89" i="45"/>
  <c r="X88" i="45"/>
  <c r="X87" i="45"/>
  <c r="S88" i="45"/>
  <c r="S89" i="45"/>
  <c r="S90" i="45"/>
  <c r="S87" i="45"/>
  <c r="M88" i="45"/>
  <c r="M89" i="45"/>
  <c r="M90" i="45"/>
  <c r="M87" i="45"/>
  <c r="B34" i="39"/>
  <c r="B29" i="39"/>
  <c r="C1" i="45"/>
  <c r="AV90" i="45"/>
  <c r="AQ90" i="45"/>
  <c r="AL90" i="45"/>
  <c r="AG90" i="45"/>
  <c r="AB90" i="45"/>
  <c r="W90" i="45"/>
  <c r="R90" i="45"/>
  <c r="K90" i="45"/>
  <c r="J90" i="45"/>
  <c r="I90" i="45"/>
  <c r="G90" i="45"/>
  <c r="AV89" i="45"/>
  <c r="AQ89" i="45"/>
  <c r="AL89" i="45"/>
  <c r="AG89" i="45"/>
  <c r="AB89" i="45"/>
  <c r="W89" i="45"/>
  <c r="R89" i="45"/>
  <c r="K89" i="45"/>
  <c r="J89" i="45"/>
  <c r="I89" i="45"/>
  <c r="G89" i="45"/>
  <c r="AV88" i="45"/>
  <c r="AQ88" i="45"/>
  <c r="AL88" i="45"/>
  <c r="AG88" i="45"/>
  <c r="AB88" i="45"/>
  <c r="W88" i="45"/>
  <c r="R88" i="45"/>
  <c r="J88" i="45"/>
  <c r="I88" i="45"/>
  <c r="G88" i="45"/>
  <c r="AV87" i="45"/>
  <c r="AX87" i="45" s="1"/>
  <c r="AQ87" i="45"/>
  <c r="AS87" i="45" s="1"/>
  <c r="AL87" i="45"/>
  <c r="AN87" i="45" s="1"/>
  <c r="AG87" i="45"/>
  <c r="AB87" i="45"/>
  <c r="AD87" i="45" s="1"/>
  <c r="W87" i="45"/>
  <c r="Y87" i="45" s="1"/>
  <c r="R87" i="45"/>
  <c r="K87" i="45" s="1"/>
  <c r="J87" i="45"/>
  <c r="I87" i="45"/>
  <c r="G87" i="45"/>
  <c r="H87" i="45" s="1"/>
  <c r="AW209" i="44"/>
  <c r="AW208" i="44"/>
  <c r="AW207" i="44"/>
  <c r="AW206" i="44"/>
  <c r="AW205" i="44"/>
  <c r="AW204" i="44"/>
  <c r="AW203" i="44"/>
  <c r="AW202" i="44"/>
  <c r="AW201" i="44"/>
  <c r="AW200" i="44"/>
  <c r="AW199" i="44"/>
  <c r="AW198" i="44"/>
  <c r="AW197" i="44"/>
  <c r="AW196" i="44"/>
  <c r="AW195" i="44"/>
  <c r="AW194" i="44"/>
  <c r="AW193" i="44"/>
  <c r="AW192" i="44"/>
  <c r="AW191" i="44"/>
  <c r="AW190" i="44"/>
  <c r="AW189" i="44"/>
  <c r="AW188" i="44"/>
  <c r="AW187" i="44"/>
  <c r="AW186" i="44"/>
  <c r="AW185" i="44"/>
  <c r="AW184" i="44"/>
  <c r="AW183" i="44"/>
  <c r="AW182" i="44"/>
  <c r="AW181" i="44"/>
  <c r="AW180" i="44"/>
  <c r="AW179" i="44"/>
  <c r="AW178" i="44"/>
  <c r="AW177" i="44"/>
  <c r="AW176" i="44"/>
  <c r="AW175" i="44"/>
  <c r="AR209" i="44"/>
  <c r="AR208" i="44"/>
  <c r="AR207" i="44"/>
  <c r="AR206" i="44"/>
  <c r="AR205" i="44"/>
  <c r="AR204" i="44"/>
  <c r="AR203" i="44"/>
  <c r="AR202" i="44"/>
  <c r="AR201" i="44"/>
  <c r="AR200" i="44"/>
  <c r="AR199" i="44"/>
  <c r="AR198" i="44"/>
  <c r="AR197" i="44"/>
  <c r="AR196" i="44"/>
  <c r="AR195" i="44"/>
  <c r="AR194" i="44"/>
  <c r="AR193" i="44"/>
  <c r="AR192" i="44"/>
  <c r="AR191" i="44"/>
  <c r="AR190" i="44"/>
  <c r="AR189" i="44"/>
  <c r="AR188" i="44"/>
  <c r="AR187" i="44"/>
  <c r="AR186" i="44"/>
  <c r="AR185" i="44"/>
  <c r="AR184" i="44"/>
  <c r="AR183" i="44"/>
  <c r="AR182" i="44"/>
  <c r="AR181" i="44"/>
  <c r="AR180" i="44"/>
  <c r="AR179" i="44"/>
  <c r="AR178" i="44"/>
  <c r="AR177" i="44"/>
  <c r="AR176" i="44"/>
  <c r="AR175" i="44"/>
  <c r="AM209" i="44"/>
  <c r="AM208" i="44"/>
  <c r="AM207" i="44"/>
  <c r="AM206" i="44"/>
  <c r="AM205" i="44"/>
  <c r="AM204" i="44"/>
  <c r="AM203" i="44"/>
  <c r="AM202" i="44"/>
  <c r="AM201" i="44"/>
  <c r="AM200" i="44"/>
  <c r="AM199" i="44"/>
  <c r="AM198" i="44"/>
  <c r="AM197" i="44"/>
  <c r="AM196" i="44"/>
  <c r="AM195" i="44"/>
  <c r="AM194" i="44"/>
  <c r="AM193" i="44"/>
  <c r="AM192" i="44"/>
  <c r="AM191" i="44"/>
  <c r="AM190" i="44"/>
  <c r="AM189" i="44"/>
  <c r="AM188" i="44"/>
  <c r="AM187" i="44"/>
  <c r="AM186" i="44"/>
  <c r="AM185" i="44"/>
  <c r="AM184" i="44"/>
  <c r="AM183" i="44"/>
  <c r="AM182" i="44"/>
  <c r="AM181" i="44"/>
  <c r="AM180" i="44"/>
  <c r="AM179" i="44"/>
  <c r="AM178" i="44"/>
  <c r="AM177" i="44"/>
  <c r="AM176" i="44"/>
  <c r="AM175" i="44"/>
  <c r="AH209" i="44"/>
  <c r="AH208" i="44"/>
  <c r="AH207" i="44"/>
  <c r="AH206" i="44"/>
  <c r="AH205" i="44"/>
  <c r="AH204" i="44"/>
  <c r="AH203" i="44"/>
  <c r="AH202" i="44"/>
  <c r="AH201" i="44"/>
  <c r="AH200" i="44"/>
  <c r="AH199" i="44"/>
  <c r="AH198" i="44"/>
  <c r="AH197" i="44"/>
  <c r="AH196" i="44"/>
  <c r="AH195" i="44"/>
  <c r="AH194" i="44"/>
  <c r="AH193" i="44"/>
  <c r="AH192" i="44"/>
  <c r="AH191" i="44"/>
  <c r="AH190" i="44"/>
  <c r="AH189" i="44"/>
  <c r="AH188" i="44"/>
  <c r="AH187" i="44"/>
  <c r="AH186" i="44"/>
  <c r="AH185" i="44"/>
  <c r="AH184" i="44"/>
  <c r="AH183" i="44"/>
  <c r="AH182" i="44"/>
  <c r="AH181" i="44"/>
  <c r="AH180" i="44"/>
  <c r="AH179" i="44"/>
  <c r="AH178" i="44"/>
  <c r="AH177" i="44"/>
  <c r="AH176" i="44"/>
  <c r="AH175" i="44"/>
  <c r="AC209" i="44"/>
  <c r="AC208" i="44"/>
  <c r="AC207" i="44"/>
  <c r="AC206" i="44"/>
  <c r="AC205" i="44"/>
  <c r="AC204" i="44"/>
  <c r="AC203" i="44"/>
  <c r="AC202" i="44"/>
  <c r="AC201" i="44"/>
  <c r="AC200" i="44"/>
  <c r="AC199" i="44"/>
  <c r="AC198" i="44"/>
  <c r="AC197" i="44"/>
  <c r="AC196" i="44"/>
  <c r="AC195" i="44"/>
  <c r="AC194" i="44"/>
  <c r="AC193" i="44"/>
  <c r="AC192" i="44"/>
  <c r="AC191" i="44"/>
  <c r="AC190" i="44"/>
  <c r="AC189" i="44"/>
  <c r="AC188" i="44"/>
  <c r="AC187" i="44"/>
  <c r="AC186" i="44"/>
  <c r="AC185" i="44"/>
  <c r="AC184" i="44"/>
  <c r="AC183" i="44"/>
  <c r="AC182" i="44"/>
  <c r="AC181" i="44"/>
  <c r="AC180" i="44"/>
  <c r="AC179" i="44"/>
  <c r="AC178" i="44"/>
  <c r="AC177" i="44"/>
  <c r="AC176" i="44"/>
  <c r="AC175" i="44"/>
  <c r="X209" i="44"/>
  <c r="X208" i="44"/>
  <c r="X207" i="44"/>
  <c r="X206" i="44"/>
  <c r="X205" i="44"/>
  <c r="X204" i="44"/>
  <c r="X203" i="44"/>
  <c r="X202" i="44"/>
  <c r="X201" i="44"/>
  <c r="X200" i="44"/>
  <c r="X199" i="44"/>
  <c r="X198" i="44"/>
  <c r="X197" i="44"/>
  <c r="X196" i="44"/>
  <c r="X195" i="44"/>
  <c r="X194" i="44"/>
  <c r="X193" i="44"/>
  <c r="X192" i="44"/>
  <c r="X191" i="44"/>
  <c r="X190" i="44"/>
  <c r="X189" i="44"/>
  <c r="X188" i="44"/>
  <c r="X187" i="44"/>
  <c r="X186" i="44"/>
  <c r="X185" i="44"/>
  <c r="X184" i="44"/>
  <c r="X183" i="44"/>
  <c r="X182" i="44"/>
  <c r="X181" i="44"/>
  <c r="X180" i="44"/>
  <c r="X179" i="44"/>
  <c r="X178" i="44"/>
  <c r="X177" i="44"/>
  <c r="X176" i="44"/>
  <c r="X175" i="44"/>
  <c r="S176" i="44"/>
  <c r="S177" i="44"/>
  <c r="S178" i="44"/>
  <c r="S179" i="44"/>
  <c r="S180" i="44"/>
  <c r="S181" i="44"/>
  <c r="S182" i="44"/>
  <c r="S183" i="44"/>
  <c r="S184" i="44"/>
  <c r="S185" i="44"/>
  <c r="S186" i="44"/>
  <c r="S187" i="44"/>
  <c r="S188" i="44"/>
  <c r="S189" i="44"/>
  <c r="S190" i="44"/>
  <c r="S191" i="44"/>
  <c r="S192" i="44"/>
  <c r="S193" i="44"/>
  <c r="S194" i="44"/>
  <c r="S195" i="44"/>
  <c r="S196" i="44"/>
  <c r="S197" i="44"/>
  <c r="S198" i="44"/>
  <c r="S199" i="44"/>
  <c r="S200" i="44"/>
  <c r="S201" i="44"/>
  <c r="S202" i="44"/>
  <c r="S203" i="44"/>
  <c r="S204" i="44"/>
  <c r="S205" i="44"/>
  <c r="S206" i="44"/>
  <c r="S207" i="44"/>
  <c r="S208" i="44"/>
  <c r="S209" i="44"/>
  <c r="S175" i="44"/>
  <c r="M176" i="44"/>
  <c r="M177" i="44"/>
  <c r="M178" i="44"/>
  <c r="M179" i="44"/>
  <c r="M180" i="44"/>
  <c r="M181" i="44"/>
  <c r="M182" i="44"/>
  <c r="M183" i="44"/>
  <c r="M184" i="44"/>
  <c r="M185" i="44"/>
  <c r="M186" i="44"/>
  <c r="M187" i="44"/>
  <c r="M188" i="44"/>
  <c r="M189" i="44"/>
  <c r="M190" i="44"/>
  <c r="M191" i="44"/>
  <c r="M192" i="44"/>
  <c r="M193" i="44"/>
  <c r="M194" i="44"/>
  <c r="M195" i="44"/>
  <c r="M196" i="44"/>
  <c r="M197" i="44"/>
  <c r="M198" i="44"/>
  <c r="M199" i="44"/>
  <c r="M200" i="44"/>
  <c r="M201" i="44"/>
  <c r="M202" i="44"/>
  <c r="M203" i="44"/>
  <c r="M204" i="44"/>
  <c r="M205" i="44"/>
  <c r="M206" i="44"/>
  <c r="M207" i="44"/>
  <c r="M208" i="44"/>
  <c r="M209" i="44"/>
  <c r="M175" i="44"/>
  <c r="C1" i="44"/>
  <c r="B28" i="39"/>
  <c r="AV209" i="44"/>
  <c r="AQ209" i="44"/>
  <c r="AL209" i="44"/>
  <c r="AG209" i="44"/>
  <c r="AB209" i="44"/>
  <c r="W209" i="44"/>
  <c r="R209" i="44"/>
  <c r="K209" i="44"/>
  <c r="J209" i="44"/>
  <c r="I209" i="44"/>
  <c r="G209" i="44"/>
  <c r="AV208" i="44"/>
  <c r="AQ208" i="44"/>
  <c r="AL208" i="44"/>
  <c r="AG208" i="44"/>
  <c r="AB208" i="44"/>
  <c r="W208" i="44"/>
  <c r="R208" i="44"/>
  <c r="K208" i="44"/>
  <c r="J208" i="44"/>
  <c r="I208" i="44"/>
  <c r="G208" i="44"/>
  <c r="AV207" i="44"/>
  <c r="K207" i="44" s="1"/>
  <c r="AQ207" i="44"/>
  <c r="AL207" i="44"/>
  <c r="AG207" i="44"/>
  <c r="AB207" i="44"/>
  <c r="W207" i="44"/>
  <c r="R207" i="44"/>
  <c r="J207" i="44"/>
  <c r="I207" i="44"/>
  <c r="G207" i="44"/>
  <c r="AV206" i="44"/>
  <c r="K206" i="44" s="1"/>
  <c r="AQ206" i="44"/>
  <c r="AL206" i="44"/>
  <c r="AG206" i="44"/>
  <c r="AB206" i="44"/>
  <c r="W206" i="44"/>
  <c r="R206" i="44"/>
  <c r="J206" i="44"/>
  <c r="I206" i="44"/>
  <c r="G206" i="44"/>
  <c r="AV205" i="44"/>
  <c r="AQ205" i="44"/>
  <c r="AL205" i="44"/>
  <c r="AG205" i="44"/>
  <c r="AB205" i="44"/>
  <c r="W205" i="44"/>
  <c r="R205" i="44"/>
  <c r="J205" i="44"/>
  <c r="I205" i="44"/>
  <c r="G205" i="44"/>
  <c r="AV204" i="44"/>
  <c r="AQ204" i="44"/>
  <c r="AL204" i="44"/>
  <c r="AG204" i="44"/>
  <c r="AB204" i="44"/>
  <c r="W204" i="44"/>
  <c r="R204" i="44"/>
  <c r="J204" i="44"/>
  <c r="I204" i="44"/>
  <c r="G204" i="44"/>
  <c r="AV203" i="44"/>
  <c r="AQ203" i="44"/>
  <c r="AL203" i="44"/>
  <c r="AG203" i="44"/>
  <c r="AB203" i="44"/>
  <c r="W203" i="44"/>
  <c r="R203" i="44"/>
  <c r="J203" i="44"/>
  <c r="I203" i="44"/>
  <c r="G203" i="44"/>
  <c r="AV202" i="44"/>
  <c r="AQ202" i="44"/>
  <c r="AL202" i="44"/>
  <c r="AG202" i="44"/>
  <c r="AB202" i="44"/>
  <c r="W202" i="44"/>
  <c r="R202" i="44"/>
  <c r="J202" i="44"/>
  <c r="I202" i="44"/>
  <c r="G202" i="44"/>
  <c r="AV201" i="44"/>
  <c r="AQ201" i="44"/>
  <c r="AL201" i="44"/>
  <c r="AG201" i="44"/>
  <c r="AB201" i="44"/>
  <c r="W201" i="44"/>
  <c r="R201" i="44"/>
  <c r="J201" i="44"/>
  <c r="I201" i="44"/>
  <c r="G201" i="44"/>
  <c r="AV200" i="44"/>
  <c r="AQ200" i="44"/>
  <c r="AL200" i="44"/>
  <c r="AG200" i="44"/>
  <c r="AB200" i="44"/>
  <c r="W200" i="44"/>
  <c r="R200" i="44"/>
  <c r="J200" i="44"/>
  <c r="I200" i="44"/>
  <c r="G200" i="44"/>
  <c r="AV199" i="44"/>
  <c r="AQ199" i="44"/>
  <c r="AL199" i="44"/>
  <c r="AG199" i="44"/>
  <c r="AB199" i="44"/>
  <c r="W199" i="44"/>
  <c r="R199" i="44"/>
  <c r="J199" i="44"/>
  <c r="I199" i="44"/>
  <c r="G199" i="44"/>
  <c r="AV198" i="44"/>
  <c r="AQ198" i="44"/>
  <c r="AL198" i="44"/>
  <c r="AG198" i="44"/>
  <c r="AB198" i="44"/>
  <c r="K198" i="44" s="1"/>
  <c r="W198" i="44"/>
  <c r="R198" i="44"/>
  <c r="J198" i="44"/>
  <c r="I198" i="44"/>
  <c r="G198" i="44"/>
  <c r="AV197" i="44"/>
  <c r="AQ197" i="44"/>
  <c r="AL197" i="44"/>
  <c r="AG197" i="44"/>
  <c r="AB197" i="44"/>
  <c r="W197" i="44"/>
  <c r="R197" i="44"/>
  <c r="J197" i="44"/>
  <c r="I197" i="44"/>
  <c r="G197" i="44"/>
  <c r="AV196" i="44"/>
  <c r="AQ196" i="44"/>
  <c r="AL196" i="44"/>
  <c r="AG196" i="44"/>
  <c r="AB196" i="44"/>
  <c r="W196" i="44"/>
  <c r="R196" i="44"/>
  <c r="J196" i="44"/>
  <c r="I196" i="44"/>
  <c r="G196" i="44"/>
  <c r="AV195" i="44"/>
  <c r="AQ195" i="44"/>
  <c r="AL195" i="44"/>
  <c r="AG195" i="44"/>
  <c r="AB195" i="44"/>
  <c r="W195" i="44"/>
  <c r="R195" i="44"/>
  <c r="K195" i="44" s="1"/>
  <c r="J195" i="44"/>
  <c r="I195" i="44"/>
  <c r="G195" i="44"/>
  <c r="AV194" i="44"/>
  <c r="AQ194" i="44"/>
  <c r="AL194" i="44"/>
  <c r="AG194" i="44"/>
  <c r="AB194" i="44"/>
  <c r="W194" i="44"/>
  <c r="R194" i="44"/>
  <c r="K194" i="44" s="1"/>
  <c r="J194" i="44"/>
  <c r="I194" i="44"/>
  <c r="G194" i="44"/>
  <c r="AV193" i="44"/>
  <c r="AQ193" i="44"/>
  <c r="AL193" i="44"/>
  <c r="AG193" i="44"/>
  <c r="AB193" i="44"/>
  <c r="W193" i="44"/>
  <c r="R193" i="44"/>
  <c r="K193" i="44"/>
  <c r="J193" i="44"/>
  <c r="I193" i="44"/>
  <c r="G193" i="44"/>
  <c r="AV192" i="44"/>
  <c r="AQ192" i="44"/>
  <c r="AL192" i="44"/>
  <c r="AG192" i="44"/>
  <c r="AB192" i="44"/>
  <c r="W192" i="44"/>
  <c r="R192" i="44"/>
  <c r="K192" i="44" s="1"/>
  <c r="J192" i="44"/>
  <c r="I192" i="44"/>
  <c r="G192" i="44"/>
  <c r="AV191" i="44"/>
  <c r="AQ191" i="44"/>
  <c r="AL191" i="44"/>
  <c r="AG191" i="44"/>
  <c r="AB191" i="44"/>
  <c r="W191" i="44"/>
  <c r="R191" i="44"/>
  <c r="K191" i="44"/>
  <c r="J191" i="44"/>
  <c r="I191" i="44"/>
  <c r="G191" i="44"/>
  <c r="AV190" i="44"/>
  <c r="AQ190" i="44"/>
  <c r="AL190" i="44"/>
  <c r="AG190" i="44"/>
  <c r="AB190" i="44"/>
  <c r="W190" i="44"/>
  <c r="R190" i="44"/>
  <c r="K190" i="44"/>
  <c r="J190" i="44"/>
  <c r="I190" i="44"/>
  <c r="G190" i="44"/>
  <c r="AV189" i="44"/>
  <c r="AQ189" i="44"/>
  <c r="AL189" i="44"/>
  <c r="AG189" i="44"/>
  <c r="AB189" i="44"/>
  <c r="W189" i="44"/>
  <c r="R189" i="44"/>
  <c r="K189" i="44"/>
  <c r="J189" i="44"/>
  <c r="I189" i="44"/>
  <c r="G189" i="44"/>
  <c r="AV188" i="44"/>
  <c r="AQ188" i="44"/>
  <c r="AL188" i="44"/>
  <c r="AG188" i="44"/>
  <c r="AB188" i="44"/>
  <c r="W188" i="44"/>
  <c r="R188" i="44"/>
  <c r="K188" i="44"/>
  <c r="J188" i="44"/>
  <c r="I188" i="44"/>
  <c r="G188" i="44"/>
  <c r="AV187" i="44"/>
  <c r="K187" i="44" s="1"/>
  <c r="AQ187" i="44"/>
  <c r="AL187" i="44"/>
  <c r="AG187" i="44"/>
  <c r="AB187" i="44"/>
  <c r="W187" i="44"/>
  <c r="R187" i="44"/>
  <c r="J187" i="44"/>
  <c r="I187" i="44"/>
  <c r="G187" i="44"/>
  <c r="AV186" i="44"/>
  <c r="K186" i="44" s="1"/>
  <c r="AQ186" i="44"/>
  <c r="AL186" i="44"/>
  <c r="AG186" i="44"/>
  <c r="AB186" i="44"/>
  <c r="W186" i="44"/>
  <c r="R186" i="44"/>
  <c r="J186" i="44"/>
  <c r="I186" i="44"/>
  <c r="G186" i="44"/>
  <c r="AV185" i="44"/>
  <c r="AQ185" i="44"/>
  <c r="AL185" i="44"/>
  <c r="AG185" i="44"/>
  <c r="AB185" i="44"/>
  <c r="W185" i="44"/>
  <c r="R185" i="44"/>
  <c r="J185" i="44"/>
  <c r="I185" i="44"/>
  <c r="G185" i="44"/>
  <c r="AV184" i="44"/>
  <c r="AQ184" i="44"/>
  <c r="AL184" i="44"/>
  <c r="AG184" i="44"/>
  <c r="AB184" i="44"/>
  <c r="W184" i="44"/>
  <c r="R184" i="44"/>
  <c r="J184" i="44"/>
  <c r="I184" i="44"/>
  <c r="G184" i="44"/>
  <c r="AV183" i="44"/>
  <c r="AQ183" i="44"/>
  <c r="AL183" i="44"/>
  <c r="AG183" i="44"/>
  <c r="AB183" i="44"/>
  <c r="W183" i="44"/>
  <c r="R183" i="44"/>
  <c r="J183" i="44"/>
  <c r="I183" i="44"/>
  <c r="G183" i="44"/>
  <c r="AV182" i="44"/>
  <c r="AQ182" i="44"/>
  <c r="AL182" i="44"/>
  <c r="AG182" i="44"/>
  <c r="AB182" i="44"/>
  <c r="W182" i="44"/>
  <c r="R182" i="44"/>
  <c r="J182" i="44"/>
  <c r="I182" i="44"/>
  <c r="G182" i="44"/>
  <c r="AV181" i="44"/>
  <c r="AQ181" i="44"/>
  <c r="AL181" i="44"/>
  <c r="AG181" i="44"/>
  <c r="AB181" i="44"/>
  <c r="W181" i="44"/>
  <c r="R181" i="44"/>
  <c r="J181" i="44"/>
  <c r="I181" i="44"/>
  <c r="G181" i="44"/>
  <c r="AV180" i="44"/>
  <c r="AQ180" i="44"/>
  <c r="AL180" i="44"/>
  <c r="AG180" i="44"/>
  <c r="AI175" i="44" s="1"/>
  <c r="AB180" i="44"/>
  <c r="W180" i="44"/>
  <c r="R180" i="44"/>
  <c r="J180" i="44"/>
  <c r="I180" i="44"/>
  <c r="G180" i="44"/>
  <c r="AV179" i="44"/>
  <c r="AQ179" i="44"/>
  <c r="AL179" i="44"/>
  <c r="AG179" i="44"/>
  <c r="AB179" i="44"/>
  <c r="K179" i="44" s="1"/>
  <c r="W179" i="44"/>
  <c r="R179" i="44"/>
  <c r="J179" i="44"/>
  <c r="I179" i="44"/>
  <c r="G179" i="44"/>
  <c r="AV178" i="44"/>
  <c r="AQ178" i="44"/>
  <c r="AL178" i="44"/>
  <c r="AG178" i="44"/>
  <c r="AB178" i="44"/>
  <c r="W178" i="44"/>
  <c r="R178" i="44"/>
  <c r="J178" i="44"/>
  <c r="I178" i="44"/>
  <c r="G178" i="44"/>
  <c r="AV177" i="44"/>
  <c r="AQ177" i="44"/>
  <c r="AL177" i="44"/>
  <c r="AG177" i="44"/>
  <c r="AB177" i="44"/>
  <c r="W177" i="44"/>
  <c r="R177" i="44"/>
  <c r="J177" i="44"/>
  <c r="I177" i="44"/>
  <c r="G177" i="44"/>
  <c r="AV176" i="44"/>
  <c r="AQ176" i="44"/>
  <c r="AL176" i="44"/>
  <c r="AG176" i="44"/>
  <c r="AB176" i="44"/>
  <c r="AD175" i="44" s="1"/>
  <c r="W176" i="44"/>
  <c r="R176" i="44"/>
  <c r="J176" i="44"/>
  <c r="I176" i="44"/>
  <c r="G176" i="44"/>
  <c r="AV175" i="44"/>
  <c r="AQ175" i="44"/>
  <c r="AS175" i="44" s="1"/>
  <c r="AL175" i="44"/>
  <c r="AG175" i="44"/>
  <c r="AB175" i="44"/>
  <c r="W175" i="44"/>
  <c r="R175" i="44"/>
  <c r="J175" i="44"/>
  <c r="I175" i="44"/>
  <c r="G175" i="44"/>
  <c r="I40" i="56" l="1"/>
  <c r="B53" i="41" s="1"/>
  <c r="G45" i="56"/>
  <c r="H45" i="56" s="1"/>
  <c r="G44" i="56"/>
  <c r="H44" i="56" s="1"/>
  <c r="G46" i="56"/>
  <c r="H46" i="56" s="1"/>
  <c r="D44" i="56"/>
  <c r="F44" i="56"/>
  <c r="J40" i="56"/>
  <c r="B54" i="41" s="1"/>
  <c r="F46" i="56"/>
  <c r="F45" i="56"/>
  <c r="K88" i="52"/>
  <c r="Y87" i="52"/>
  <c r="K92" i="51"/>
  <c r="K90" i="51"/>
  <c r="K89" i="51"/>
  <c r="K88" i="51"/>
  <c r="AS87" i="51"/>
  <c r="AD87" i="51"/>
  <c r="AI87" i="51"/>
  <c r="AN87" i="49"/>
  <c r="K87" i="49"/>
  <c r="K95" i="49"/>
  <c r="K94" i="49"/>
  <c r="K93" i="49"/>
  <c r="K92" i="49"/>
  <c r="K91" i="49"/>
  <c r="AI87" i="49"/>
  <c r="K92" i="48"/>
  <c r="K91" i="48"/>
  <c r="K90" i="48"/>
  <c r="K89" i="48"/>
  <c r="K88" i="48"/>
  <c r="AD87" i="48"/>
  <c r="K87" i="48"/>
  <c r="AX87" i="47"/>
  <c r="K88" i="47"/>
  <c r="Y87" i="47"/>
  <c r="AI87" i="47"/>
  <c r="L87" i="46"/>
  <c r="B30" i="39" s="1"/>
  <c r="T87" i="45"/>
  <c r="K88" i="45"/>
  <c r="AI87" i="45"/>
  <c r="AX175" i="44"/>
  <c r="Y175" i="44"/>
  <c r="K176" i="44"/>
  <c r="K175" i="44"/>
  <c r="AN175" i="44"/>
  <c r="H175" i="44"/>
  <c r="K196" i="44"/>
  <c r="K199" i="44"/>
  <c r="K185" i="44"/>
  <c r="K205" i="44"/>
  <c r="K184" i="44"/>
  <c r="K204" i="44"/>
  <c r="K183" i="44"/>
  <c r="K203" i="44"/>
  <c r="K202" i="44"/>
  <c r="K181" i="44"/>
  <c r="K201" i="44"/>
  <c r="K182" i="44"/>
  <c r="K180" i="44"/>
  <c r="K200" i="44"/>
  <c r="T175" i="44"/>
  <c r="K178" i="44"/>
  <c r="K177" i="44"/>
  <c r="K197" i="44"/>
  <c r="L87" i="52" l="1"/>
  <c r="B36" i="39" s="1"/>
  <c r="L87" i="51"/>
  <c r="B35" i="39" s="1"/>
  <c r="L87" i="49"/>
  <c r="B33" i="39" s="1"/>
  <c r="L87" i="48"/>
  <c r="B32" i="39" s="1"/>
  <c r="L87" i="47"/>
  <c r="B31" i="39" s="1"/>
  <c r="L87" i="45"/>
  <c r="L175" i="44"/>
  <c r="W37" i="5" l="1"/>
  <c r="T37" i="5"/>
  <c r="Q37" i="5"/>
  <c r="N37" i="5"/>
  <c r="H37" i="5"/>
  <c r="B61" i="5"/>
  <c r="D61" i="5"/>
  <c r="G61" i="5"/>
  <c r="I61" i="5"/>
  <c r="M61" i="5"/>
  <c r="P61" i="5"/>
  <c r="S61" i="5"/>
  <c r="V61" i="5"/>
  <c r="D62" i="5"/>
  <c r="I62" i="5"/>
  <c r="D63" i="5"/>
  <c r="D64" i="5" s="1"/>
  <c r="D65" i="5" s="1"/>
  <c r="D66" i="5" s="1"/>
  <c r="D67" i="5" s="1"/>
  <c r="I63" i="5"/>
  <c r="I64" i="5"/>
  <c r="I65" i="5"/>
  <c r="I66" i="5"/>
  <c r="I67" i="5"/>
  <c r="B54" i="5"/>
  <c r="D54" i="5"/>
  <c r="G54" i="5"/>
  <c r="I54" i="5"/>
  <c r="M54" i="5"/>
  <c r="P54" i="5"/>
  <c r="S54" i="5"/>
  <c r="V54" i="5"/>
  <c r="D55" i="5"/>
  <c r="I55" i="5"/>
  <c r="D56" i="5"/>
  <c r="D57" i="5" s="1"/>
  <c r="D58" i="5" s="1"/>
  <c r="D59" i="5" s="1"/>
  <c r="D60" i="5" s="1"/>
  <c r="I56" i="5"/>
  <c r="I57" i="5"/>
  <c r="I58" i="5"/>
  <c r="I59" i="5"/>
  <c r="I60" i="5"/>
  <c r="B47" i="5"/>
  <c r="D47" i="5"/>
  <c r="G47" i="5"/>
  <c r="I47" i="5"/>
  <c r="J47" i="5" s="1"/>
  <c r="M47" i="5"/>
  <c r="P47" i="5"/>
  <c r="S47" i="5"/>
  <c r="V47" i="5"/>
  <c r="D48" i="5"/>
  <c r="D49" i="5" s="1"/>
  <c r="D50" i="5" s="1"/>
  <c r="D51" i="5" s="1"/>
  <c r="D52" i="5" s="1"/>
  <c r="D53" i="5" s="1"/>
  <c r="I48" i="5"/>
  <c r="I49" i="5"/>
  <c r="I50" i="5"/>
  <c r="I51" i="5"/>
  <c r="I52" i="5"/>
  <c r="I53" i="5"/>
  <c r="U34" i="5"/>
  <c r="U35" i="5"/>
  <c r="U36" i="5"/>
  <c r="U37" i="5"/>
  <c r="U38" i="5"/>
  <c r="U39" i="5"/>
  <c r="U33" i="5"/>
  <c r="B40" i="5"/>
  <c r="D40" i="5"/>
  <c r="G40" i="5"/>
  <c r="I40" i="5"/>
  <c r="M40" i="5"/>
  <c r="P40" i="5"/>
  <c r="S40" i="5"/>
  <c r="V40" i="5"/>
  <c r="D41" i="5"/>
  <c r="D42" i="5" s="1"/>
  <c r="D43" i="5" s="1"/>
  <c r="D44" i="5" s="1"/>
  <c r="D45" i="5" s="1"/>
  <c r="D46" i="5" s="1"/>
  <c r="I41" i="5"/>
  <c r="I42" i="5"/>
  <c r="I43" i="5"/>
  <c r="I44" i="5"/>
  <c r="I45" i="5"/>
  <c r="I46" i="5"/>
  <c r="J61" i="5" l="1"/>
  <c r="J54" i="5"/>
  <c r="J40" i="5"/>
  <c r="T37" i="3" l="1"/>
  <c r="W37" i="3" s="1"/>
  <c r="N37" i="3"/>
  <c r="Q37" i="3" s="1"/>
  <c r="K37" i="3"/>
  <c r="H37" i="3"/>
  <c r="G40" i="3"/>
  <c r="P40" i="3" s="1"/>
  <c r="B54" i="3"/>
  <c r="D54" i="3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G54" i="3"/>
  <c r="J54" i="3"/>
  <c r="M54" i="3"/>
  <c r="O54" i="3"/>
  <c r="P54" i="3"/>
  <c r="S54" i="3"/>
  <c r="U54" i="3"/>
  <c r="V54" i="3"/>
  <c r="O55" i="3"/>
  <c r="U55" i="3"/>
  <c r="O56" i="3"/>
  <c r="U56" i="3"/>
  <c r="O57" i="3"/>
  <c r="U57" i="3"/>
  <c r="O58" i="3"/>
  <c r="U58" i="3"/>
  <c r="O59" i="3"/>
  <c r="U59" i="3"/>
  <c r="O60" i="3"/>
  <c r="U60" i="3"/>
  <c r="B61" i="3"/>
  <c r="G61" i="3"/>
  <c r="J61" i="3"/>
  <c r="M61" i="3"/>
  <c r="O61" i="3"/>
  <c r="P61" i="3"/>
  <c r="S61" i="3"/>
  <c r="U61" i="3"/>
  <c r="V61" i="3"/>
  <c r="O62" i="3"/>
  <c r="U62" i="3"/>
  <c r="O63" i="3"/>
  <c r="U63" i="3"/>
  <c r="O64" i="3"/>
  <c r="U64" i="3"/>
  <c r="O65" i="3"/>
  <c r="U65" i="3"/>
  <c r="O66" i="3"/>
  <c r="U66" i="3"/>
  <c r="O67" i="3"/>
  <c r="U67" i="3"/>
  <c r="B47" i="3"/>
  <c r="D47" i="3"/>
  <c r="G47" i="3"/>
  <c r="J47" i="3"/>
  <c r="M47" i="3"/>
  <c r="O47" i="3"/>
  <c r="P47" i="3"/>
  <c r="S47" i="3"/>
  <c r="V47" i="3" s="1"/>
  <c r="U47" i="3"/>
  <c r="D48" i="3"/>
  <c r="O48" i="3"/>
  <c r="U48" i="3"/>
  <c r="D49" i="3"/>
  <c r="O49" i="3"/>
  <c r="U49" i="3"/>
  <c r="D50" i="3"/>
  <c r="O50" i="3"/>
  <c r="U50" i="3"/>
  <c r="D51" i="3"/>
  <c r="D52" i="3" s="1"/>
  <c r="D53" i="3" s="1"/>
  <c r="O51" i="3"/>
  <c r="U51" i="3"/>
  <c r="O52" i="3"/>
  <c r="U52" i="3"/>
  <c r="O53" i="3"/>
  <c r="U53" i="3"/>
  <c r="B40" i="3"/>
  <c r="D40" i="3"/>
  <c r="D41" i="3" s="1"/>
  <c r="D42" i="3" s="1"/>
  <c r="D43" i="3" s="1"/>
  <c r="D44" i="3" s="1"/>
  <c r="D45" i="3" s="1"/>
  <c r="D46" i="3" s="1"/>
  <c r="J40" i="3"/>
  <c r="M40" i="3"/>
  <c r="O40" i="3"/>
  <c r="S40" i="3"/>
  <c r="U40" i="3"/>
  <c r="O41" i="3"/>
  <c r="U41" i="3"/>
  <c r="O42" i="3"/>
  <c r="U42" i="3"/>
  <c r="O43" i="3"/>
  <c r="U43" i="3"/>
  <c r="O44" i="3"/>
  <c r="U44" i="3"/>
  <c r="O45" i="3"/>
  <c r="U45" i="3"/>
  <c r="O46" i="3"/>
  <c r="U46" i="3"/>
  <c r="V40" i="3" l="1"/>
  <c r="H23" i="39" l="1"/>
  <c r="H22" i="39"/>
  <c r="H21" i="39"/>
  <c r="H20" i="39"/>
  <c r="H19" i="39"/>
  <c r="H18" i="39"/>
  <c r="H17" i="39"/>
  <c r="H16" i="39"/>
  <c r="H15" i="39"/>
  <c r="B35" i="6"/>
  <c r="D35" i="6"/>
  <c r="D36" i="6"/>
  <c r="D37" i="6"/>
  <c r="D38" i="6"/>
  <c r="D39" i="6"/>
  <c r="D40" i="6" s="1"/>
  <c r="D41" i="6" s="1"/>
  <c r="H8" i="6"/>
  <c r="AC41" i="6"/>
  <c r="AD41" i="6" s="1"/>
  <c r="S41" i="6"/>
  <c r="T41" i="6" s="1"/>
  <c r="M41" i="6"/>
  <c r="N41" i="6" s="1"/>
  <c r="F41" i="6"/>
  <c r="AL41" i="6" s="1"/>
  <c r="AC40" i="6"/>
  <c r="AD40" i="6" s="1"/>
  <c r="S40" i="6"/>
  <c r="T40" i="6" s="1"/>
  <c r="M40" i="6"/>
  <c r="N40" i="6" s="1"/>
  <c r="F40" i="6"/>
  <c r="AL40" i="6" s="1"/>
  <c r="AC39" i="6"/>
  <c r="AD39" i="6" s="1"/>
  <c r="S39" i="6"/>
  <c r="T39" i="6" s="1"/>
  <c r="M39" i="6"/>
  <c r="N39" i="6" s="1"/>
  <c r="F39" i="6"/>
  <c r="AL39" i="6" s="1"/>
  <c r="AC38" i="6"/>
  <c r="AD38" i="6" s="1"/>
  <c r="S38" i="6"/>
  <c r="T38" i="6" s="1"/>
  <c r="M38" i="6"/>
  <c r="N38" i="6" s="1"/>
  <c r="F38" i="6"/>
  <c r="AL38" i="6" s="1"/>
  <c r="AC37" i="6"/>
  <c r="AD37" i="6" s="1"/>
  <c r="S37" i="6"/>
  <c r="T37" i="6" s="1"/>
  <c r="M37" i="6"/>
  <c r="N37" i="6" s="1"/>
  <c r="F37" i="6"/>
  <c r="AL37" i="6" s="1"/>
  <c r="AC36" i="6"/>
  <c r="AD36" i="6" s="1"/>
  <c r="S36" i="6"/>
  <c r="T36" i="6" s="1"/>
  <c r="M36" i="6"/>
  <c r="N36" i="6" s="1"/>
  <c r="F36" i="6"/>
  <c r="AL36" i="6" s="1"/>
  <c r="AC35" i="6"/>
  <c r="AD35" i="6" s="1"/>
  <c r="S35" i="6"/>
  <c r="T35" i="6" s="1"/>
  <c r="M35" i="6"/>
  <c r="N35" i="6" s="1"/>
  <c r="F35" i="6"/>
  <c r="AL35" i="6" s="1"/>
  <c r="B23" i="39"/>
  <c r="B22" i="39"/>
  <c r="B21" i="39"/>
  <c r="B20" i="39"/>
  <c r="B19" i="39"/>
  <c r="B18" i="39"/>
  <c r="B17" i="39"/>
  <c r="B16" i="39"/>
  <c r="B15" i="39"/>
  <c r="B35" i="7"/>
  <c r="AC41" i="7"/>
  <c r="S41" i="7"/>
  <c r="T41" i="7" s="1"/>
  <c r="M41" i="7"/>
  <c r="N41" i="7" s="1"/>
  <c r="F41" i="7"/>
  <c r="AL41" i="7" s="1"/>
  <c r="AC40" i="7"/>
  <c r="S40" i="7"/>
  <c r="T40" i="7" s="1"/>
  <c r="M40" i="7"/>
  <c r="N40" i="7" s="1"/>
  <c r="F40" i="7"/>
  <c r="AL40" i="7" s="1"/>
  <c r="AC39" i="7"/>
  <c r="S39" i="7"/>
  <c r="T39" i="7" s="1"/>
  <c r="M39" i="7"/>
  <c r="N39" i="7" s="1"/>
  <c r="F39" i="7"/>
  <c r="AL39" i="7" s="1"/>
  <c r="AC38" i="7"/>
  <c r="S38" i="7"/>
  <c r="T38" i="7" s="1"/>
  <c r="M38" i="7"/>
  <c r="N38" i="7" s="1"/>
  <c r="F38" i="7"/>
  <c r="AL38" i="7" s="1"/>
  <c r="AC37" i="7"/>
  <c r="S37" i="7"/>
  <c r="T37" i="7" s="1"/>
  <c r="M37" i="7"/>
  <c r="N37" i="7" s="1"/>
  <c r="F37" i="7"/>
  <c r="AL37" i="7" s="1"/>
  <c r="AC36" i="7"/>
  <c r="S36" i="7"/>
  <c r="T36" i="7" s="1"/>
  <c r="M36" i="7"/>
  <c r="N36" i="7" s="1"/>
  <c r="F36" i="7"/>
  <c r="AL36" i="7" s="1"/>
  <c r="AC35" i="7"/>
  <c r="S35" i="7"/>
  <c r="T35" i="7" s="1"/>
  <c r="M35" i="7"/>
  <c r="N35" i="7" s="1"/>
  <c r="F35" i="7"/>
  <c r="AL35" i="7" s="1"/>
  <c r="I11" i="39"/>
  <c r="I6" i="39"/>
  <c r="B7" i="39"/>
  <c r="B6" i="39"/>
  <c r="J37" i="6" l="1"/>
  <c r="L37" i="6"/>
  <c r="G35" i="6"/>
  <c r="J41" i="6"/>
  <c r="L35" i="6"/>
  <c r="L38" i="6"/>
  <c r="P39" i="6"/>
  <c r="R35" i="6"/>
  <c r="R40" i="6"/>
  <c r="V38" i="6"/>
  <c r="X38" i="6"/>
  <c r="Z41" i="6"/>
  <c r="J35" i="6"/>
  <c r="J36" i="6"/>
  <c r="J38" i="6"/>
  <c r="L40" i="6"/>
  <c r="P36" i="6"/>
  <c r="P40" i="6"/>
  <c r="R36" i="6"/>
  <c r="R37" i="6"/>
  <c r="R38" i="6"/>
  <c r="R41" i="6"/>
  <c r="V40" i="6"/>
  <c r="X40" i="6"/>
  <c r="Z35" i="6"/>
  <c r="Z36" i="6"/>
  <c r="Z37" i="6"/>
  <c r="Z40" i="6"/>
  <c r="AB39" i="6"/>
  <c r="AF35" i="6"/>
  <c r="AF39" i="6"/>
  <c r="AH35" i="6"/>
  <c r="AH36" i="6"/>
  <c r="AH37" i="6"/>
  <c r="AH38" i="6"/>
  <c r="AH39" i="6"/>
  <c r="AH40" i="6"/>
  <c r="AH41" i="6"/>
  <c r="J39" i="6"/>
  <c r="L39" i="6"/>
  <c r="P35" i="6"/>
  <c r="P37" i="6"/>
  <c r="P38" i="6"/>
  <c r="P41" i="6"/>
  <c r="R39" i="6"/>
  <c r="V39" i="6"/>
  <c r="X35" i="6"/>
  <c r="X39" i="6"/>
  <c r="Z38" i="6"/>
  <c r="AB36" i="6"/>
  <c r="AB38" i="6"/>
  <c r="AB40" i="6"/>
  <c r="AF40" i="6"/>
  <c r="AJ35" i="6"/>
  <c r="AJ36" i="6"/>
  <c r="AJ37" i="6"/>
  <c r="AJ38" i="6"/>
  <c r="AJ39" i="6"/>
  <c r="AJ40" i="6"/>
  <c r="AJ41" i="6"/>
  <c r="J40" i="6"/>
  <c r="L36" i="6"/>
  <c r="L41" i="6"/>
  <c r="V35" i="6"/>
  <c r="V36" i="6"/>
  <c r="V37" i="6"/>
  <c r="V41" i="6"/>
  <c r="X36" i="6"/>
  <c r="X37" i="6"/>
  <c r="X41" i="6"/>
  <c r="Z39" i="6"/>
  <c r="AB35" i="6"/>
  <c r="AB37" i="6"/>
  <c r="AB41" i="6"/>
  <c r="AF36" i="6"/>
  <c r="AF37" i="6"/>
  <c r="AF38" i="6"/>
  <c r="AF41" i="6"/>
  <c r="G35" i="7"/>
  <c r="J37" i="7"/>
  <c r="J41" i="7"/>
  <c r="L39" i="7"/>
  <c r="P36" i="7"/>
  <c r="P41" i="7"/>
  <c r="V39" i="7"/>
  <c r="X36" i="7"/>
  <c r="X37" i="7"/>
  <c r="X39" i="7"/>
  <c r="Z39" i="7"/>
  <c r="AB38" i="7"/>
  <c r="L36" i="7"/>
  <c r="R41" i="7"/>
  <c r="X41" i="7"/>
  <c r="AB39" i="7"/>
  <c r="AF41" i="7"/>
  <c r="AH35" i="7"/>
  <c r="AH36" i="7"/>
  <c r="AH37" i="7"/>
  <c r="AH38" i="7"/>
  <c r="AH39" i="7"/>
  <c r="AH40" i="7"/>
  <c r="AH41" i="7"/>
  <c r="J36" i="7"/>
  <c r="J39" i="7"/>
  <c r="L35" i="7"/>
  <c r="L40" i="7"/>
  <c r="P35" i="7"/>
  <c r="P37" i="7"/>
  <c r="P38" i="7"/>
  <c r="P40" i="7"/>
  <c r="R35" i="7"/>
  <c r="R36" i="7"/>
  <c r="R37" i="7"/>
  <c r="R38" i="7"/>
  <c r="R40" i="7"/>
  <c r="V36" i="7"/>
  <c r="V38" i="7"/>
  <c r="V40" i="7"/>
  <c r="X38" i="7"/>
  <c r="Z36" i="7"/>
  <c r="Z37" i="7"/>
  <c r="Z41" i="7"/>
  <c r="AB36" i="7"/>
  <c r="AB37" i="7"/>
  <c r="AB41" i="7"/>
  <c r="AD35" i="7"/>
  <c r="AD36" i="7"/>
  <c r="AD37" i="7"/>
  <c r="AD38" i="7"/>
  <c r="AD39" i="7"/>
  <c r="AD40" i="7"/>
  <c r="AF35" i="7"/>
  <c r="AF36" i="7"/>
  <c r="AF37" i="7"/>
  <c r="AF38" i="7"/>
  <c r="AF39" i="7"/>
  <c r="AJ35" i="7"/>
  <c r="AJ36" i="7"/>
  <c r="AJ37" i="7"/>
  <c r="AJ38" i="7"/>
  <c r="AJ39" i="7"/>
  <c r="AJ40" i="7"/>
  <c r="AJ41" i="7"/>
  <c r="J35" i="7"/>
  <c r="J38" i="7"/>
  <c r="J40" i="7"/>
  <c r="L37" i="7"/>
  <c r="L38" i="7"/>
  <c r="L41" i="7"/>
  <c r="P39" i="7"/>
  <c r="R39" i="7"/>
  <c r="V35" i="7"/>
  <c r="V37" i="7"/>
  <c r="V41" i="7"/>
  <c r="X35" i="7"/>
  <c r="X40" i="7"/>
  <c r="Z35" i="7"/>
  <c r="Z38" i="7"/>
  <c r="Z40" i="7"/>
  <c r="AB35" i="7"/>
  <c r="AB40" i="7"/>
  <c r="AD41" i="7"/>
  <c r="AF40" i="7"/>
  <c r="K142" i="62" l="1"/>
  <c r="K134" i="62"/>
  <c r="K126" i="62"/>
  <c r="K182" i="20"/>
  <c r="K174" i="20"/>
  <c r="K166" i="20"/>
  <c r="K158" i="20"/>
  <c r="K142" i="19"/>
  <c r="K134" i="19"/>
  <c r="K126" i="19"/>
  <c r="C54" i="41"/>
  <c r="B49" i="41"/>
  <c r="C53" i="41" s="1"/>
  <c r="K54" i="41"/>
  <c r="M141" i="62"/>
  <c r="M140" i="62"/>
  <c r="M139" i="62"/>
  <c r="M138" i="62"/>
  <c r="M137" i="62"/>
  <c r="M142" i="62" s="1"/>
  <c r="M133" i="62"/>
  <c r="M132" i="62"/>
  <c r="M131" i="62"/>
  <c r="M130" i="62"/>
  <c r="M129" i="62"/>
  <c r="M134" i="62" s="1"/>
  <c r="M125" i="62"/>
  <c r="M124" i="62"/>
  <c r="M123" i="62"/>
  <c r="M122" i="62"/>
  <c r="M126" i="62" s="1"/>
  <c r="M121" i="62"/>
  <c r="M179" i="20"/>
  <c r="M178" i="20"/>
  <c r="M177" i="20"/>
  <c r="M182" i="20" s="1"/>
  <c r="M173" i="20"/>
  <c r="M172" i="20"/>
  <c r="M171" i="20"/>
  <c r="M170" i="20"/>
  <c r="M169" i="20"/>
  <c r="M174" i="20" s="1"/>
  <c r="M165" i="20"/>
  <c r="M164" i="20"/>
  <c r="M163" i="20"/>
  <c r="M162" i="20"/>
  <c r="M161" i="20"/>
  <c r="M166" i="20" s="1"/>
  <c r="M158" i="20"/>
  <c r="M157" i="20"/>
  <c r="M156" i="20"/>
  <c r="M155" i="20"/>
  <c r="M154" i="20"/>
  <c r="M153" i="20"/>
  <c r="M142" i="19"/>
  <c r="M141" i="19"/>
  <c r="M140" i="19"/>
  <c r="M139" i="19"/>
  <c r="M138" i="19"/>
  <c r="M137" i="19"/>
  <c r="M134" i="19"/>
  <c r="M133" i="19"/>
  <c r="M132" i="19"/>
  <c r="M131" i="19"/>
  <c r="M130" i="19"/>
  <c r="M129" i="19"/>
  <c r="M126" i="19"/>
  <c r="M125" i="19"/>
  <c r="M124" i="19"/>
  <c r="M123" i="19"/>
  <c r="M122" i="19"/>
  <c r="M121" i="19"/>
  <c r="AH207" i="66" l="1"/>
  <c r="AI207" i="66"/>
  <c r="AJ207" i="66"/>
  <c r="AJ209" i="66" s="1"/>
  <c r="M54" i="41" s="1"/>
  <c r="AK207" i="66"/>
  <c r="AK209" i="66" s="1"/>
  <c r="G59" i="41" s="1"/>
  <c r="AL207" i="66"/>
  <c r="AL209" i="66" s="1"/>
  <c r="I59" i="41" s="1"/>
  <c r="AM207" i="66"/>
  <c r="AM209" i="66" s="1"/>
  <c r="K59" i="41" s="1"/>
  <c r="AH208" i="66"/>
  <c r="H54" i="41" s="1"/>
  <c r="AI208" i="66"/>
  <c r="J54" i="41" s="1"/>
  <c r="AJ208" i="66"/>
  <c r="L54" i="41" s="1"/>
  <c r="AK208" i="66"/>
  <c r="F59" i="41" s="1"/>
  <c r="AL208" i="66"/>
  <c r="H59" i="41" s="1"/>
  <c r="AM208" i="66"/>
  <c r="J59" i="41" s="1"/>
  <c r="AG207" i="66"/>
  <c r="AG209" i="66" s="1"/>
  <c r="G54" i="41" s="1"/>
  <c r="AG208" i="66"/>
  <c r="F54" i="41" s="1"/>
  <c r="S224" i="66"/>
  <c r="R224" i="66"/>
  <c r="O224" i="66"/>
  <c r="T224" i="66" s="1"/>
  <c r="N224" i="66"/>
  <c r="L224" i="66"/>
  <c r="J224" i="66"/>
  <c r="S223" i="66"/>
  <c r="R223" i="66"/>
  <c r="O223" i="66"/>
  <c r="P223" i="66" s="1"/>
  <c r="N223" i="66"/>
  <c r="L223" i="66"/>
  <c r="J223" i="66"/>
  <c r="S222" i="66"/>
  <c r="R222" i="66"/>
  <c r="O222" i="66"/>
  <c r="T222" i="66" s="1"/>
  <c r="N222" i="66"/>
  <c r="L222" i="66"/>
  <c r="J222" i="66"/>
  <c r="S221" i="66"/>
  <c r="R221" i="66"/>
  <c r="O221" i="66"/>
  <c r="T221" i="66" s="1"/>
  <c r="N221" i="66"/>
  <c r="L221" i="66"/>
  <c r="J221" i="66"/>
  <c r="S220" i="66"/>
  <c r="R220" i="66"/>
  <c r="P220" i="66"/>
  <c r="O220" i="66"/>
  <c r="T220" i="66" s="1"/>
  <c r="F220" i="66" s="1"/>
  <c r="N220" i="66"/>
  <c r="L220" i="66"/>
  <c r="J220" i="66"/>
  <c r="S219" i="66"/>
  <c r="R219" i="66"/>
  <c r="O219" i="66"/>
  <c r="P219" i="66" s="1"/>
  <c r="N219" i="66"/>
  <c r="L219" i="66"/>
  <c r="J219" i="66"/>
  <c r="S218" i="66"/>
  <c r="R218" i="66"/>
  <c r="O218" i="66"/>
  <c r="T218" i="66" s="1"/>
  <c r="N218" i="66"/>
  <c r="L218" i="66"/>
  <c r="J218" i="66"/>
  <c r="S217" i="66"/>
  <c r="R217" i="66"/>
  <c r="O217" i="66"/>
  <c r="T217" i="66" s="1"/>
  <c r="F217" i="66" s="1"/>
  <c r="N217" i="66"/>
  <c r="L217" i="66"/>
  <c r="J217" i="66"/>
  <c r="T216" i="66"/>
  <c r="V216" i="66" s="1"/>
  <c r="S216" i="66"/>
  <c r="R216" i="66"/>
  <c r="O216" i="66"/>
  <c r="P216" i="66" s="1"/>
  <c r="N216" i="66"/>
  <c r="L216" i="66"/>
  <c r="J216" i="66"/>
  <c r="S215" i="66"/>
  <c r="R215" i="66"/>
  <c r="O215" i="66"/>
  <c r="T215" i="66" s="1"/>
  <c r="N215" i="66"/>
  <c r="L215" i="66"/>
  <c r="J215" i="66"/>
  <c r="S214" i="66"/>
  <c r="R214" i="66"/>
  <c r="O214" i="66"/>
  <c r="P214" i="66" s="1"/>
  <c r="N214" i="66"/>
  <c r="L214" i="66"/>
  <c r="J214" i="66"/>
  <c r="T213" i="66"/>
  <c r="V213" i="66" s="1"/>
  <c r="S213" i="66"/>
  <c r="R213" i="66"/>
  <c r="O213" i="66"/>
  <c r="P213" i="66" s="1"/>
  <c r="N213" i="66"/>
  <c r="L213" i="66"/>
  <c r="J213" i="66"/>
  <c r="S212" i="66"/>
  <c r="R212" i="66"/>
  <c r="O212" i="66"/>
  <c r="T212" i="66" s="1"/>
  <c r="N212" i="66"/>
  <c r="L212" i="66"/>
  <c r="J212" i="66"/>
  <c r="S211" i="66"/>
  <c r="R211" i="66"/>
  <c r="O211" i="66"/>
  <c r="T211" i="66" s="1"/>
  <c r="N211" i="66"/>
  <c r="L211" i="66"/>
  <c r="J211" i="66"/>
  <c r="T210" i="66"/>
  <c r="V210" i="66" s="1"/>
  <c r="S210" i="66"/>
  <c r="R210" i="66"/>
  <c r="O210" i="66"/>
  <c r="P210" i="66" s="1"/>
  <c r="N210" i="66"/>
  <c r="L210" i="66"/>
  <c r="J210" i="66"/>
  <c r="S209" i="66"/>
  <c r="R209" i="66"/>
  <c r="O209" i="66"/>
  <c r="T209" i="66" s="1"/>
  <c r="V209" i="66" s="1"/>
  <c r="N209" i="66"/>
  <c r="L209" i="66"/>
  <c r="J209" i="66"/>
  <c r="S208" i="66"/>
  <c r="R208" i="66"/>
  <c r="O208" i="66"/>
  <c r="T208" i="66" s="1"/>
  <c r="V208" i="66" s="1"/>
  <c r="N208" i="66"/>
  <c r="L208" i="66"/>
  <c r="J208" i="66"/>
  <c r="AI209" i="66"/>
  <c r="AH209" i="66"/>
  <c r="I54" i="41" s="1"/>
  <c r="AF207" i="66"/>
  <c r="S207" i="66"/>
  <c r="R207" i="66"/>
  <c r="O207" i="66"/>
  <c r="P207" i="66" s="1"/>
  <c r="N207" i="66"/>
  <c r="L207" i="66"/>
  <c r="J207" i="66"/>
  <c r="S206" i="66"/>
  <c r="R206" i="66"/>
  <c r="O206" i="66"/>
  <c r="T206" i="66" s="1"/>
  <c r="N206" i="66"/>
  <c r="L206" i="66"/>
  <c r="J206" i="66"/>
  <c r="S205" i="66"/>
  <c r="R205" i="66"/>
  <c r="O205" i="66"/>
  <c r="T205" i="66" s="1"/>
  <c r="N205" i="66"/>
  <c r="L205" i="66"/>
  <c r="J205" i="66"/>
  <c r="AH207" i="63"/>
  <c r="AH209" i="63" s="1"/>
  <c r="I53" i="41" s="1"/>
  <c r="AI207" i="63"/>
  <c r="AI209" i="63" s="1"/>
  <c r="K53" i="41" s="1"/>
  <c r="AJ207" i="63"/>
  <c r="AJ209" i="63" s="1"/>
  <c r="M53" i="41" s="1"/>
  <c r="AK207" i="63"/>
  <c r="AK209" i="63" s="1"/>
  <c r="G58" i="41" s="1"/>
  <c r="AL207" i="63"/>
  <c r="AL209" i="63" s="1"/>
  <c r="AM207" i="63"/>
  <c r="AM209" i="63" s="1"/>
  <c r="K58" i="41" s="1"/>
  <c r="AH208" i="63"/>
  <c r="H53" i="41" s="1"/>
  <c r="AI208" i="63"/>
  <c r="J53" i="41" s="1"/>
  <c r="AJ208" i="63"/>
  <c r="L53" i="41" s="1"/>
  <c r="AK208" i="63"/>
  <c r="F58" i="41" s="1"/>
  <c r="AL208" i="63"/>
  <c r="H58" i="41" s="1"/>
  <c r="AM208" i="63"/>
  <c r="J58" i="41" s="1"/>
  <c r="AG208" i="63"/>
  <c r="F53" i="41" s="1"/>
  <c r="AG207" i="63"/>
  <c r="G53" i="41" s="1"/>
  <c r="R224" i="63"/>
  <c r="O224" i="63"/>
  <c r="S224" i="63" s="1"/>
  <c r="N224" i="63"/>
  <c r="L224" i="63"/>
  <c r="J224" i="63"/>
  <c r="F224" i="63"/>
  <c r="R223" i="63"/>
  <c r="O223" i="63"/>
  <c r="P223" i="63" s="1"/>
  <c r="N223" i="63"/>
  <c r="L223" i="63"/>
  <c r="J223" i="63"/>
  <c r="F223" i="63"/>
  <c r="R222" i="63"/>
  <c r="O222" i="63"/>
  <c r="S222" i="63" s="1"/>
  <c r="N222" i="63"/>
  <c r="L222" i="63"/>
  <c r="J222" i="63"/>
  <c r="F222" i="63"/>
  <c r="R221" i="63"/>
  <c r="O221" i="63"/>
  <c r="S221" i="63" s="1"/>
  <c r="N221" i="63"/>
  <c r="L221" i="63"/>
  <c r="J221" i="63"/>
  <c r="F221" i="63"/>
  <c r="R220" i="63"/>
  <c r="O220" i="63"/>
  <c r="S220" i="63" s="1"/>
  <c r="N220" i="63"/>
  <c r="L220" i="63"/>
  <c r="J220" i="63"/>
  <c r="F220" i="63"/>
  <c r="R219" i="63"/>
  <c r="O219" i="63"/>
  <c r="S219" i="63" s="1"/>
  <c r="N219" i="63"/>
  <c r="L219" i="63"/>
  <c r="J219" i="63"/>
  <c r="F219" i="63"/>
  <c r="R218" i="63"/>
  <c r="O218" i="63"/>
  <c r="S218" i="63" s="1"/>
  <c r="N218" i="63"/>
  <c r="L218" i="63"/>
  <c r="J218" i="63"/>
  <c r="F218" i="63"/>
  <c r="R217" i="63"/>
  <c r="O217" i="63"/>
  <c r="P217" i="63" s="1"/>
  <c r="N217" i="63"/>
  <c r="L217" i="63"/>
  <c r="J217" i="63"/>
  <c r="F217" i="63"/>
  <c r="R216" i="63"/>
  <c r="O216" i="63"/>
  <c r="S216" i="63" s="1"/>
  <c r="N216" i="63"/>
  <c r="L216" i="63"/>
  <c r="J216" i="63"/>
  <c r="F216" i="63"/>
  <c r="R215" i="63"/>
  <c r="O215" i="63"/>
  <c r="S215" i="63" s="1"/>
  <c r="N215" i="63"/>
  <c r="L215" i="63"/>
  <c r="J215" i="63"/>
  <c r="F215" i="63"/>
  <c r="R214" i="63"/>
  <c r="O214" i="63"/>
  <c r="S214" i="63" s="1"/>
  <c r="V214" i="63" s="1"/>
  <c r="N214" i="63"/>
  <c r="L214" i="63"/>
  <c r="J214" i="63"/>
  <c r="F214" i="63"/>
  <c r="R213" i="63"/>
  <c r="O213" i="63"/>
  <c r="S213" i="63" s="1"/>
  <c r="N213" i="63"/>
  <c r="L213" i="63"/>
  <c r="J213" i="63"/>
  <c r="F213" i="63"/>
  <c r="R212" i="63"/>
  <c r="O212" i="63"/>
  <c r="S212" i="63" s="1"/>
  <c r="N212" i="63"/>
  <c r="L212" i="63"/>
  <c r="J212" i="63"/>
  <c r="F212" i="63"/>
  <c r="R211" i="63"/>
  <c r="O211" i="63"/>
  <c r="S211" i="63" s="1"/>
  <c r="V211" i="63" s="1"/>
  <c r="N211" i="63"/>
  <c r="L211" i="63"/>
  <c r="J211" i="63"/>
  <c r="F211" i="63"/>
  <c r="R210" i="63"/>
  <c r="O210" i="63"/>
  <c r="P210" i="63" s="1"/>
  <c r="N210" i="63"/>
  <c r="L210" i="63"/>
  <c r="J210" i="63"/>
  <c r="F210" i="63"/>
  <c r="R209" i="63"/>
  <c r="O209" i="63"/>
  <c r="P209" i="63" s="1"/>
  <c r="N209" i="63"/>
  <c r="L209" i="63"/>
  <c r="J209" i="63"/>
  <c r="F209" i="63"/>
  <c r="R208" i="63"/>
  <c r="O208" i="63"/>
  <c r="P208" i="63" s="1"/>
  <c r="N208" i="63"/>
  <c r="L208" i="63"/>
  <c r="J208" i="63"/>
  <c r="F208" i="63"/>
  <c r="AF207" i="63"/>
  <c r="R207" i="63"/>
  <c r="O207" i="63"/>
  <c r="S207" i="63" s="1"/>
  <c r="N207" i="63"/>
  <c r="L207" i="63"/>
  <c r="J207" i="63"/>
  <c r="F207" i="63"/>
  <c r="R206" i="63"/>
  <c r="O206" i="63"/>
  <c r="P206" i="63" s="1"/>
  <c r="N206" i="63"/>
  <c r="L206" i="63"/>
  <c r="J206" i="63"/>
  <c r="F206" i="63"/>
  <c r="R205" i="63"/>
  <c r="O205" i="63"/>
  <c r="S205" i="63" s="1"/>
  <c r="N205" i="63"/>
  <c r="L205" i="63"/>
  <c r="J205" i="63"/>
  <c r="F205" i="63"/>
  <c r="J90" i="25"/>
  <c r="J89" i="25"/>
  <c r="J88" i="25"/>
  <c r="J87" i="25"/>
  <c r="J86" i="25"/>
  <c r="B112" i="25"/>
  <c r="A112" i="25"/>
  <c r="J97" i="24"/>
  <c r="J102" i="24"/>
  <c r="J103" i="24"/>
  <c r="J101" i="24"/>
  <c r="J100" i="24"/>
  <c r="J99" i="24"/>
  <c r="J104" i="23"/>
  <c r="J103" i="23"/>
  <c r="J102" i="23"/>
  <c r="J101" i="23"/>
  <c r="J100" i="23"/>
  <c r="J99" i="23"/>
  <c r="J98" i="23"/>
  <c r="J97" i="23"/>
  <c r="J93" i="23"/>
  <c r="J92" i="23"/>
  <c r="J91" i="23"/>
  <c r="J90" i="23"/>
  <c r="J89" i="23"/>
  <c r="J88" i="23"/>
  <c r="J87" i="23"/>
  <c r="J86" i="23"/>
  <c r="J101" i="22"/>
  <c r="J100" i="22"/>
  <c r="J99" i="22"/>
  <c r="J98" i="22"/>
  <c r="J97" i="22"/>
  <c r="J87" i="22"/>
  <c r="J86" i="22"/>
  <c r="J99" i="15"/>
  <c r="J98" i="15"/>
  <c r="J97" i="15"/>
  <c r="J94" i="15"/>
  <c r="J93" i="15"/>
  <c r="J92" i="15"/>
  <c r="J91" i="15"/>
  <c r="J87" i="15"/>
  <c r="J86" i="15"/>
  <c r="C42" i="41"/>
  <c r="AW71" i="52"/>
  <c r="AW70" i="52"/>
  <c r="AW69" i="52"/>
  <c r="AW68" i="52"/>
  <c r="AW67" i="52"/>
  <c r="AR71" i="52"/>
  <c r="AR70" i="52"/>
  <c r="AR69" i="52"/>
  <c r="AR68" i="52"/>
  <c r="AR67" i="52"/>
  <c r="AM71" i="52"/>
  <c r="AM70" i="52"/>
  <c r="AM69" i="52"/>
  <c r="AM68" i="52"/>
  <c r="AM67" i="52"/>
  <c r="AH71" i="52"/>
  <c r="AH70" i="52"/>
  <c r="AH69" i="52"/>
  <c r="AH68" i="52"/>
  <c r="AH67" i="52"/>
  <c r="AC71" i="52"/>
  <c r="AC70" i="52"/>
  <c r="AC69" i="52"/>
  <c r="AC68" i="52"/>
  <c r="AC67" i="52"/>
  <c r="X71" i="52"/>
  <c r="X70" i="52"/>
  <c r="X69" i="52"/>
  <c r="X68" i="52"/>
  <c r="X67" i="52"/>
  <c r="S68" i="52"/>
  <c r="S69" i="52"/>
  <c r="S70" i="52"/>
  <c r="S71" i="52"/>
  <c r="S67" i="52"/>
  <c r="M68" i="52"/>
  <c r="M69" i="52"/>
  <c r="M70" i="52"/>
  <c r="M71" i="52"/>
  <c r="M67" i="52"/>
  <c r="AV71" i="52"/>
  <c r="AQ71" i="52"/>
  <c r="AL71" i="52"/>
  <c r="AG71" i="52"/>
  <c r="AB71" i="52"/>
  <c r="W71" i="52"/>
  <c r="R71" i="52"/>
  <c r="K71" i="52"/>
  <c r="J71" i="52"/>
  <c r="I71" i="52"/>
  <c r="G71" i="52"/>
  <c r="AV70" i="52"/>
  <c r="AQ70" i="52"/>
  <c r="AL70" i="52"/>
  <c r="AG70" i="52"/>
  <c r="AB70" i="52"/>
  <c r="W70" i="52"/>
  <c r="R70" i="52"/>
  <c r="K70" i="52"/>
  <c r="J70" i="52"/>
  <c r="I70" i="52"/>
  <c r="G70" i="52"/>
  <c r="AV69" i="52"/>
  <c r="AQ69" i="52"/>
  <c r="AL69" i="52"/>
  <c r="AG69" i="52"/>
  <c r="AB69" i="52"/>
  <c r="W69" i="52"/>
  <c r="R69" i="52"/>
  <c r="J69" i="52"/>
  <c r="I69" i="52"/>
  <c r="G69" i="52"/>
  <c r="AV68" i="52"/>
  <c r="K68" i="52" s="1"/>
  <c r="AQ68" i="52"/>
  <c r="AL68" i="52"/>
  <c r="AG68" i="52"/>
  <c r="AB68" i="52"/>
  <c r="W68" i="52"/>
  <c r="R68" i="52"/>
  <c r="J68" i="52"/>
  <c r="I68" i="52"/>
  <c r="G68" i="52"/>
  <c r="AV67" i="52"/>
  <c r="AX67" i="52" s="1"/>
  <c r="AS67" i="52"/>
  <c r="AQ67" i="52"/>
  <c r="AL67" i="52"/>
  <c r="AN67" i="52" s="1"/>
  <c r="AG67" i="52"/>
  <c r="AB67" i="52"/>
  <c r="W67" i="52"/>
  <c r="Y67" i="52" s="1"/>
  <c r="R67" i="52"/>
  <c r="T67" i="52" s="1"/>
  <c r="K67" i="52"/>
  <c r="J67" i="52"/>
  <c r="I67" i="52"/>
  <c r="G67" i="52"/>
  <c r="H67" i="52" s="1"/>
  <c r="AW74" i="51"/>
  <c r="AW73" i="51"/>
  <c r="AW72" i="51"/>
  <c r="AW71" i="51"/>
  <c r="AW70" i="51"/>
  <c r="AW69" i="51"/>
  <c r="AW68" i="51"/>
  <c r="AW67" i="51"/>
  <c r="AR74" i="51"/>
  <c r="AR73" i="51"/>
  <c r="AR72" i="51"/>
  <c r="AR71" i="51"/>
  <c r="AR70" i="51"/>
  <c r="AR69" i="51"/>
  <c r="AR68" i="51"/>
  <c r="AR67" i="51"/>
  <c r="AM74" i="51"/>
  <c r="AM73" i="51"/>
  <c r="AM72" i="51"/>
  <c r="AM71" i="51"/>
  <c r="AM70" i="51"/>
  <c r="AM69" i="51"/>
  <c r="AM68" i="51"/>
  <c r="AM67" i="51"/>
  <c r="AH74" i="51"/>
  <c r="AH73" i="51"/>
  <c r="AH72" i="51"/>
  <c r="AH71" i="51"/>
  <c r="AH70" i="51"/>
  <c r="AH69" i="51"/>
  <c r="AH68" i="51"/>
  <c r="AH67" i="51"/>
  <c r="AC74" i="51"/>
  <c r="AC73" i="51"/>
  <c r="AC72" i="51"/>
  <c r="AC71" i="51"/>
  <c r="AC70" i="51"/>
  <c r="AC69" i="51"/>
  <c r="AC68" i="51"/>
  <c r="AC67" i="51"/>
  <c r="X74" i="51"/>
  <c r="X73" i="51"/>
  <c r="X72" i="51"/>
  <c r="X71" i="51"/>
  <c r="X70" i="51"/>
  <c r="X69" i="51"/>
  <c r="X68" i="51"/>
  <c r="X67" i="51"/>
  <c r="S68" i="51"/>
  <c r="S69" i="51"/>
  <c r="S70" i="51"/>
  <c r="S71" i="51"/>
  <c r="S72" i="51"/>
  <c r="S73" i="51"/>
  <c r="S74" i="51"/>
  <c r="S67" i="51"/>
  <c r="M68" i="51"/>
  <c r="M69" i="51"/>
  <c r="M70" i="51"/>
  <c r="M71" i="51"/>
  <c r="M72" i="51"/>
  <c r="M73" i="51"/>
  <c r="M74" i="51"/>
  <c r="M67" i="51"/>
  <c r="AV74" i="51"/>
  <c r="AQ74" i="51"/>
  <c r="AL74" i="51"/>
  <c r="AG74" i="51"/>
  <c r="AB74" i="51"/>
  <c r="W74" i="51"/>
  <c r="R74" i="51"/>
  <c r="K74" i="51"/>
  <c r="J74" i="51"/>
  <c r="I74" i="51"/>
  <c r="G74" i="51"/>
  <c r="AV73" i="51"/>
  <c r="AQ73" i="51"/>
  <c r="AL73" i="51"/>
  <c r="AG73" i="51"/>
  <c r="AB73" i="51"/>
  <c r="W73" i="51"/>
  <c r="R73" i="51"/>
  <c r="J73" i="51"/>
  <c r="I73" i="51"/>
  <c r="G73" i="51"/>
  <c r="AV72" i="51"/>
  <c r="AQ72" i="51"/>
  <c r="AL72" i="51"/>
  <c r="AG72" i="51"/>
  <c r="AI67" i="51" s="1"/>
  <c r="AB72" i="51"/>
  <c r="W72" i="51"/>
  <c r="R72" i="51"/>
  <c r="J72" i="51"/>
  <c r="I72" i="51"/>
  <c r="G72" i="51"/>
  <c r="AV71" i="51"/>
  <c r="AQ71" i="51"/>
  <c r="AL71" i="51"/>
  <c r="AG71" i="51"/>
  <c r="AB71" i="51"/>
  <c r="W71" i="51"/>
  <c r="R71" i="51"/>
  <c r="J71" i="51"/>
  <c r="I71" i="51"/>
  <c r="G71" i="51"/>
  <c r="AV70" i="51"/>
  <c r="AQ70" i="51"/>
  <c r="AL70" i="51"/>
  <c r="AG70" i="51"/>
  <c r="AB70" i="51"/>
  <c r="W70" i="51"/>
  <c r="R70" i="51"/>
  <c r="J70" i="51"/>
  <c r="I70" i="51"/>
  <c r="G70" i="51"/>
  <c r="AV69" i="51"/>
  <c r="K69" i="51" s="1"/>
  <c r="AQ69" i="51"/>
  <c r="AL69" i="51"/>
  <c r="AG69" i="51"/>
  <c r="AB69" i="51"/>
  <c r="W69" i="51"/>
  <c r="R69" i="51"/>
  <c r="J69" i="51"/>
  <c r="I69" i="51"/>
  <c r="G69" i="51"/>
  <c r="AV68" i="51"/>
  <c r="AQ68" i="51"/>
  <c r="AS67" i="51" s="1"/>
  <c r="AL68" i="51"/>
  <c r="K68" i="51" s="1"/>
  <c r="AG68" i="51"/>
  <c r="AB68" i="51"/>
  <c r="W68" i="51"/>
  <c r="R68" i="51"/>
  <c r="J68" i="51"/>
  <c r="I68" i="51"/>
  <c r="G68" i="51"/>
  <c r="AV67" i="51"/>
  <c r="AX67" i="51" s="1"/>
  <c r="AQ67" i="51"/>
  <c r="AN67" i="51"/>
  <c r="AL67" i="51"/>
  <c r="AG67" i="51"/>
  <c r="AB67" i="51"/>
  <c r="W67" i="51"/>
  <c r="R67" i="51"/>
  <c r="T67" i="51" s="1"/>
  <c r="K67" i="51"/>
  <c r="J67" i="51"/>
  <c r="I67" i="51"/>
  <c r="H67" i="51"/>
  <c r="G67" i="51"/>
  <c r="U62" i="50"/>
  <c r="Z62" i="50" s="1"/>
  <c r="AE62" i="50" s="1"/>
  <c r="AJ62" i="50" s="1"/>
  <c r="AO62" i="50" s="1"/>
  <c r="AT62" i="50" s="1"/>
  <c r="AW75" i="49"/>
  <c r="AW74" i="49"/>
  <c r="AW73" i="49"/>
  <c r="AW72" i="49"/>
  <c r="AW71" i="49"/>
  <c r="AW70" i="49"/>
  <c r="AW69" i="49"/>
  <c r="AW68" i="49"/>
  <c r="AW67" i="49"/>
  <c r="AR75" i="49"/>
  <c r="AR74" i="49"/>
  <c r="AR73" i="49"/>
  <c r="AR72" i="49"/>
  <c r="AR71" i="49"/>
  <c r="AR70" i="49"/>
  <c r="AR69" i="49"/>
  <c r="AR68" i="49"/>
  <c r="AR67" i="49"/>
  <c r="AM75" i="49"/>
  <c r="AM74" i="49"/>
  <c r="AM73" i="49"/>
  <c r="AM72" i="49"/>
  <c r="AM71" i="49"/>
  <c r="AM70" i="49"/>
  <c r="AM69" i="49"/>
  <c r="AM68" i="49"/>
  <c r="AM67" i="49"/>
  <c r="AH75" i="49"/>
  <c r="AH74" i="49"/>
  <c r="AH73" i="49"/>
  <c r="AH72" i="49"/>
  <c r="AH71" i="49"/>
  <c r="AH70" i="49"/>
  <c r="AH69" i="49"/>
  <c r="AH68" i="49"/>
  <c r="AH67" i="49"/>
  <c r="AC75" i="49"/>
  <c r="AC74" i="49"/>
  <c r="AC73" i="49"/>
  <c r="AC72" i="49"/>
  <c r="AC71" i="49"/>
  <c r="AC70" i="49"/>
  <c r="AC69" i="49"/>
  <c r="AC68" i="49"/>
  <c r="AC67" i="49"/>
  <c r="X75" i="49"/>
  <c r="X74" i="49"/>
  <c r="X73" i="49"/>
  <c r="X72" i="49"/>
  <c r="X71" i="49"/>
  <c r="X70" i="49"/>
  <c r="X69" i="49"/>
  <c r="X68" i="49"/>
  <c r="X67" i="49"/>
  <c r="S68" i="49"/>
  <c r="S69" i="49"/>
  <c r="S70" i="49"/>
  <c r="S71" i="49"/>
  <c r="S72" i="49"/>
  <c r="S73" i="49"/>
  <c r="S74" i="49"/>
  <c r="S75" i="49"/>
  <c r="S67" i="49"/>
  <c r="M68" i="49"/>
  <c r="M69" i="49"/>
  <c r="M70" i="49"/>
  <c r="M71" i="49"/>
  <c r="M72" i="49"/>
  <c r="M73" i="49"/>
  <c r="M74" i="49"/>
  <c r="M75" i="49"/>
  <c r="M67" i="49"/>
  <c r="AV75" i="49"/>
  <c r="AQ75" i="49"/>
  <c r="AL75" i="49"/>
  <c r="AG75" i="49"/>
  <c r="AB75" i="49"/>
  <c r="W75" i="49"/>
  <c r="R75" i="49"/>
  <c r="J75" i="49"/>
  <c r="I75" i="49"/>
  <c r="G75" i="49"/>
  <c r="AV74" i="49"/>
  <c r="AQ74" i="49"/>
  <c r="AL74" i="49"/>
  <c r="AG74" i="49"/>
  <c r="AB74" i="49"/>
  <c r="W74" i="49"/>
  <c r="R74" i="49"/>
  <c r="J74" i="49"/>
  <c r="I74" i="49"/>
  <c r="G74" i="49"/>
  <c r="AV73" i="49"/>
  <c r="AQ73" i="49"/>
  <c r="AL73" i="49"/>
  <c r="AG73" i="49"/>
  <c r="AB73" i="49"/>
  <c r="W73" i="49"/>
  <c r="R73" i="49"/>
  <c r="J73" i="49"/>
  <c r="I73" i="49"/>
  <c r="G73" i="49"/>
  <c r="AV72" i="49"/>
  <c r="AQ72" i="49"/>
  <c r="AL72" i="49"/>
  <c r="AG72" i="49"/>
  <c r="AI67" i="49" s="1"/>
  <c r="AB72" i="49"/>
  <c r="W72" i="49"/>
  <c r="R72" i="49"/>
  <c r="J72" i="49"/>
  <c r="I72" i="49"/>
  <c r="G72" i="49"/>
  <c r="AV71" i="49"/>
  <c r="AQ71" i="49"/>
  <c r="AL71" i="49"/>
  <c r="AG71" i="49"/>
  <c r="AB71" i="49"/>
  <c r="W71" i="49"/>
  <c r="R71" i="49"/>
  <c r="J71" i="49"/>
  <c r="I71" i="49"/>
  <c r="G71" i="49"/>
  <c r="AV70" i="49"/>
  <c r="AQ70" i="49"/>
  <c r="AL70" i="49"/>
  <c r="AG70" i="49"/>
  <c r="AB70" i="49"/>
  <c r="W70" i="49"/>
  <c r="R70" i="49"/>
  <c r="K70" i="49" s="1"/>
  <c r="J70" i="49"/>
  <c r="I70" i="49"/>
  <c r="G70" i="49"/>
  <c r="AV69" i="49"/>
  <c r="AQ69" i="49"/>
  <c r="AL69" i="49"/>
  <c r="AG69" i="49"/>
  <c r="AB69" i="49"/>
  <c r="W69" i="49"/>
  <c r="R69" i="49"/>
  <c r="J69" i="49"/>
  <c r="I69" i="49"/>
  <c r="G69" i="49"/>
  <c r="AV68" i="49"/>
  <c r="AQ68" i="49"/>
  <c r="AL68" i="49"/>
  <c r="AG68" i="49"/>
  <c r="AB68" i="49"/>
  <c r="W68" i="49"/>
  <c r="R68" i="49"/>
  <c r="J68" i="49"/>
  <c r="I68" i="49"/>
  <c r="G68" i="49"/>
  <c r="AV67" i="49"/>
  <c r="AX67" i="49" s="1"/>
  <c r="AQ67" i="49"/>
  <c r="AS67" i="49" s="1"/>
  <c r="AL67" i="49"/>
  <c r="AG67" i="49"/>
  <c r="AB67" i="49"/>
  <c r="AD67" i="49" s="1"/>
  <c r="Y67" i="49"/>
  <c r="W67" i="49"/>
  <c r="R67" i="49"/>
  <c r="T67" i="49" s="1"/>
  <c r="J67" i="49"/>
  <c r="I67" i="49"/>
  <c r="G67" i="49"/>
  <c r="H67" i="49" s="1"/>
  <c r="AW74" i="48"/>
  <c r="AW73" i="48"/>
  <c r="AW72" i="48"/>
  <c r="AW71" i="48"/>
  <c r="AW70" i="48"/>
  <c r="AW69" i="48"/>
  <c r="AW68" i="48"/>
  <c r="AW67" i="48"/>
  <c r="AR74" i="48"/>
  <c r="AR73" i="48"/>
  <c r="AR72" i="48"/>
  <c r="AR71" i="48"/>
  <c r="AR70" i="48"/>
  <c r="AR69" i="48"/>
  <c r="AR68" i="48"/>
  <c r="AR67" i="48"/>
  <c r="AM74" i="48"/>
  <c r="AM73" i="48"/>
  <c r="AM72" i="48"/>
  <c r="AM71" i="48"/>
  <c r="AM70" i="48"/>
  <c r="AM69" i="48"/>
  <c r="AM68" i="48"/>
  <c r="AM67" i="48"/>
  <c r="AH74" i="48"/>
  <c r="AH73" i="48"/>
  <c r="AH72" i="48"/>
  <c r="AH71" i="48"/>
  <c r="AH70" i="48"/>
  <c r="AH69" i="48"/>
  <c r="AH68" i="48"/>
  <c r="AH67" i="48"/>
  <c r="AC74" i="48"/>
  <c r="AC73" i="48"/>
  <c r="AC72" i="48"/>
  <c r="AC71" i="48"/>
  <c r="AC70" i="48"/>
  <c r="AC69" i="48"/>
  <c r="AC68" i="48"/>
  <c r="AC67" i="48"/>
  <c r="X74" i="48"/>
  <c r="X73" i="48"/>
  <c r="X72" i="48"/>
  <c r="X71" i="48"/>
  <c r="X70" i="48"/>
  <c r="X69" i="48"/>
  <c r="X68" i="48"/>
  <c r="X67" i="48"/>
  <c r="S68" i="48"/>
  <c r="S69" i="48"/>
  <c r="S70" i="48"/>
  <c r="S71" i="48"/>
  <c r="S72" i="48"/>
  <c r="S73" i="48"/>
  <c r="S74" i="48"/>
  <c r="S67" i="48"/>
  <c r="M68" i="48"/>
  <c r="M69" i="48"/>
  <c r="M70" i="48"/>
  <c r="M71" i="48"/>
  <c r="M72" i="48"/>
  <c r="M73" i="48"/>
  <c r="M74" i="48"/>
  <c r="M67" i="48"/>
  <c r="AV74" i="48"/>
  <c r="AQ74" i="48"/>
  <c r="AL74" i="48"/>
  <c r="AG74" i="48"/>
  <c r="AB74" i="48"/>
  <c r="W74" i="48"/>
  <c r="R74" i="48"/>
  <c r="J74" i="48"/>
  <c r="I74" i="48"/>
  <c r="G74" i="48"/>
  <c r="AV73" i="48"/>
  <c r="AQ73" i="48"/>
  <c r="AL73" i="48"/>
  <c r="AG73" i="48"/>
  <c r="AB73" i="48"/>
  <c r="W73" i="48"/>
  <c r="K73" i="48" s="1"/>
  <c r="R73" i="48"/>
  <c r="J73" i="48"/>
  <c r="I73" i="48"/>
  <c r="G73" i="48"/>
  <c r="AV72" i="48"/>
  <c r="AQ72" i="48"/>
  <c r="AL72" i="48"/>
  <c r="AG72" i="48"/>
  <c r="AB72" i="48"/>
  <c r="W72" i="48"/>
  <c r="R72" i="48"/>
  <c r="J72" i="48"/>
  <c r="I72" i="48"/>
  <c r="G72" i="48"/>
  <c r="AV71" i="48"/>
  <c r="AQ71" i="48"/>
  <c r="AL71" i="48"/>
  <c r="AG71" i="48"/>
  <c r="AB71" i="48"/>
  <c r="W71" i="48"/>
  <c r="R71" i="48"/>
  <c r="K71" i="48" s="1"/>
  <c r="J71" i="48"/>
  <c r="I71" i="48"/>
  <c r="G71" i="48"/>
  <c r="AV70" i="48"/>
  <c r="AQ70" i="48"/>
  <c r="AS67" i="48" s="1"/>
  <c r="AL70" i="48"/>
  <c r="AG70" i="48"/>
  <c r="AB70" i="48"/>
  <c r="W70" i="48"/>
  <c r="R70" i="48"/>
  <c r="J70" i="48"/>
  <c r="I70" i="48"/>
  <c r="G70" i="48"/>
  <c r="AV69" i="48"/>
  <c r="K69" i="48" s="1"/>
  <c r="AQ69" i="48"/>
  <c r="AL69" i="48"/>
  <c r="AG69" i="48"/>
  <c r="AB69" i="48"/>
  <c r="W69" i="48"/>
  <c r="R69" i="48"/>
  <c r="J69" i="48"/>
  <c r="I69" i="48"/>
  <c r="G69" i="48"/>
  <c r="AV68" i="48"/>
  <c r="AQ68" i="48"/>
  <c r="AL68" i="48"/>
  <c r="K68" i="48" s="1"/>
  <c r="AG68" i="48"/>
  <c r="AB68" i="48"/>
  <c r="W68" i="48"/>
  <c r="R68" i="48"/>
  <c r="J68" i="48"/>
  <c r="I68" i="48"/>
  <c r="G68" i="48"/>
  <c r="AV67" i="48"/>
  <c r="AX67" i="48" s="1"/>
  <c r="AQ67" i="48"/>
  <c r="AN67" i="48"/>
  <c r="AL67" i="48"/>
  <c r="AG67" i="48"/>
  <c r="AI67" i="48" s="1"/>
  <c r="AB67" i="48"/>
  <c r="AD67" i="48" s="1"/>
  <c r="W67" i="48"/>
  <c r="Y67" i="48" s="1"/>
  <c r="R67" i="48"/>
  <c r="T67" i="48" s="1"/>
  <c r="K67" i="48"/>
  <c r="J67" i="48"/>
  <c r="I67" i="48"/>
  <c r="H67" i="48"/>
  <c r="G67" i="48"/>
  <c r="AW71" i="47"/>
  <c r="AW70" i="47"/>
  <c r="AW69" i="47"/>
  <c r="AW68" i="47"/>
  <c r="AW67" i="47"/>
  <c r="AR71" i="47"/>
  <c r="AR70" i="47"/>
  <c r="AR69" i="47"/>
  <c r="AR68" i="47"/>
  <c r="AR67" i="47"/>
  <c r="AM71" i="47"/>
  <c r="AM70" i="47"/>
  <c r="AM69" i="47"/>
  <c r="AM68" i="47"/>
  <c r="AM67" i="47"/>
  <c r="AH71" i="47"/>
  <c r="AH70" i="47"/>
  <c r="AH69" i="47"/>
  <c r="AH68" i="47"/>
  <c r="AH67" i="47"/>
  <c r="AC71" i="47"/>
  <c r="AC70" i="47"/>
  <c r="AC69" i="47"/>
  <c r="AC68" i="47"/>
  <c r="AC67" i="47"/>
  <c r="X71" i="47"/>
  <c r="X70" i="47"/>
  <c r="X69" i="47"/>
  <c r="X68" i="47"/>
  <c r="X67" i="47"/>
  <c r="S71" i="47"/>
  <c r="S70" i="47"/>
  <c r="S69" i="47"/>
  <c r="S68" i="47"/>
  <c r="S67" i="47"/>
  <c r="AW70" i="45"/>
  <c r="AW69" i="45"/>
  <c r="AW68" i="45"/>
  <c r="AW67" i="45"/>
  <c r="AR70" i="45"/>
  <c r="AR69" i="45"/>
  <c r="AR68" i="45"/>
  <c r="AR67" i="45"/>
  <c r="AM70" i="45"/>
  <c r="AM69" i="45"/>
  <c r="AM68" i="45"/>
  <c r="AM67" i="45"/>
  <c r="AH70" i="45"/>
  <c r="AH69" i="45"/>
  <c r="AH68" i="45"/>
  <c r="AH67" i="45"/>
  <c r="AC70" i="45"/>
  <c r="AC69" i="45"/>
  <c r="AC68" i="45"/>
  <c r="AC67" i="45"/>
  <c r="X70" i="45"/>
  <c r="X69" i="45"/>
  <c r="X68" i="45"/>
  <c r="X67" i="45"/>
  <c r="S68" i="45"/>
  <c r="S69" i="45"/>
  <c r="S70" i="45"/>
  <c r="S67" i="45"/>
  <c r="M68" i="47"/>
  <c r="M69" i="47"/>
  <c r="M70" i="47"/>
  <c r="M71" i="47"/>
  <c r="M67" i="47"/>
  <c r="AV71" i="47"/>
  <c r="AQ71" i="47"/>
  <c r="AL71" i="47"/>
  <c r="AG71" i="47"/>
  <c r="AB71" i="47"/>
  <c r="W71" i="47"/>
  <c r="R71" i="47"/>
  <c r="J71" i="47"/>
  <c r="I71" i="47"/>
  <c r="G71" i="47"/>
  <c r="AV70" i="47"/>
  <c r="AQ70" i="47"/>
  <c r="AL70" i="47"/>
  <c r="AG70" i="47"/>
  <c r="AB70" i="47"/>
  <c r="W70" i="47"/>
  <c r="R70" i="47"/>
  <c r="J70" i="47"/>
  <c r="I70" i="47"/>
  <c r="G70" i="47"/>
  <c r="AV69" i="47"/>
  <c r="AQ69" i="47"/>
  <c r="AL69" i="47"/>
  <c r="AG69" i="47"/>
  <c r="AB69" i="47"/>
  <c r="W69" i="47"/>
  <c r="R69" i="47"/>
  <c r="J69" i="47"/>
  <c r="I69" i="47"/>
  <c r="G69" i="47"/>
  <c r="AV68" i="47"/>
  <c r="AQ68" i="47"/>
  <c r="AL68" i="47"/>
  <c r="AG68" i="47"/>
  <c r="AB68" i="47"/>
  <c r="W68" i="47"/>
  <c r="R68" i="47"/>
  <c r="J68" i="47"/>
  <c r="I68" i="47"/>
  <c r="G68" i="47"/>
  <c r="AV67" i="47"/>
  <c r="AQ67" i="47"/>
  <c r="AL67" i="47"/>
  <c r="AG67" i="47"/>
  <c r="AB67" i="47"/>
  <c r="W67" i="47"/>
  <c r="R67" i="47"/>
  <c r="T67" i="47" s="1"/>
  <c r="K67" i="47"/>
  <c r="J67" i="47"/>
  <c r="I67" i="47"/>
  <c r="G67" i="47"/>
  <c r="AW68" i="46"/>
  <c r="AW67" i="46"/>
  <c r="AR68" i="46"/>
  <c r="AR67" i="46"/>
  <c r="AM68" i="46"/>
  <c r="AM67" i="46"/>
  <c r="AH68" i="46"/>
  <c r="AH67" i="46"/>
  <c r="AC68" i="46"/>
  <c r="AC67" i="46"/>
  <c r="X68" i="46"/>
  <c r="X67" i="46"/>
  <c r="S68" i="46"/>
  <c r="S67" i="46"/>
  <c r="M68" i="46"/>
  <c r="M67" i="46"/>
  <c r="AV68" i="46"/>
  <c r="AQ68" i="46"/>
  <c r="AL68" i="46"/>
  <c r="AG68" i="46"/>
  <c r="AB68" i="46"/>
  <c r="W68" i="46"/>
  <c r="R68" i="46"/>
  <c r="J68" i="46"/>
  <c r="I68" i="46"/>
  <c r="G68" i="46"/>
  <c r="AV67" i="46"/>
  <c r="AX67" i="46" s="1"/>
  <c r="AQ67" i="46"/>
  <c r="AS67" i="46" s="1"/>
  <c r="AL67" i="46"/>
  <c r="AN67" i="46" s="1"/>
  <c r="AI67" i="46"/>
  <c r="AG67" i="46"/>
  <c r="AB67" i="46"/>
  <c r="W67" i="46"/>
  <c r="Y67" i="46" s="1"/>
  <c r="R67" i="46"/>
  <c r="J67" i="46"/>
  <c r="I67" i="46"/>
  <c r="G67" i="46"/>
  <c r="H67" i="46" s="1"/>
  <c r="AV70" i="45"/>
  <c r="AQ70" i="45"/>
  <c r="AL70" i="45"/>
  <c r="AG70" i="45"/>
  <c r="AB70" i="45"/>
  <c r="W70" i="45"/>
  <c r="R70" i="45"/>
  <c r="K70" i="45"/>
  <c r="J70" i="45"/>
  <c r="I70" i="45"/>
  <c r="G70" i="45"/>
  <c r="AV69" i="45"/>
  <c r="AQ69" i="45"/>
  <c r="K69" i="45" s="1"/>
  <c r="AL69" i="45"/>
  <c r="AG69" i="45"/>
  <c r="AB69" i="45"/>
  <c r="W69" i="45"/>
  <c r="R69" i="45"/>
  <c r="J69" i="45"/>
  <c r="I69" i="45"/>
  <c r="G69" i="45"/>
  <c r="AV68" i="45"/>
  <c r="AQ68" i="45"/>
  <c r="AL68" i="45"/>
  <c r="AG68" i="45"/>
  <c r="AB68" i="45"/>
  <c r="W68" i="45"/>
  <c r="R68" i="45"/>
  <c r="J68" i="45"/>
  <c r="I68" i="45"/>
  <c r="G68" i="45"/>
  <c r="AV67" i="45"/>
  <c r="AQ67" i="45"/>
  <c r="AL67" i="45"/>
  <c r="AG67" i="45"/>
  <c r="AB67" i="45"/>
  <c r="W67" i="45"/>
  <c r="R67" i="45"/>
  <c r="J67" i="45"/>
  <c r="I67" i="45"/>
  <c r="G67" i="45"/>
  <c r="AW167" i="44"/>
  <c r="AW166" i="44"/>
  <c r="AW165" i="44"/>
  <c r="AW164" i="44"/>
  <c r="AW163" i="44"/>
  <c r="AW162" i="44"/>
  <c r="AW161" i="44"/>
  <c r="AW160" i="44"/>
  <c r="AW159" i="44"/>
  <c r="AW158" i="44"/>
  <c r="AW157" i="44"/>
  <c r="AW156" i="44"/>
  <c r="AW155" i="44"/>
  <c r="AW154" i="44"/>
  <c r="AW153" i="44"/>
  <c r="AW152" i="44"/>
  <c r="AW151" i="44"/>
  <c r="AW150" i="44"/>
  <c r="AW149" i="44"/>
  <c r="AW148" i="44"/>
  <c r="AW147" i="44"/>
  <c r="AW146" i="44"/>
  <c r="AW145" i="44"/>
  <c r="AW144" i="44"/>
  <c r="AW143" i="44"/>
  <c r="AW142" i="44"/>
  <c r="AW141" i="44"/>
  <c r="AW140" i="44"/>
  <c r="AW139" i="44"/>
  <c r="AW138" i="44"/>
  <c r="AW137" i="44"/>
  <c r="AW136" i="44"/>
  <c r="AW135" i="44"/>
  <c r="AW134" i="44"/>
  <c r="AW133" i="44"/>
  <c r="AR167" i="44"/>
  <c r="AR166" i="44"/>
  <c r="AR165" i="44"/>
  <c r="AR164" i="44"/>
  <c r="AR163" i="44"/>
  <c r="AR162" i="44"/>
  <c r="AR161" i="44"/>
  <c r="AR160" i="44"/>
  <c r="AR159" i="44"/>
  <c r="AR158" i="44"/>
  <c r="AR157" i="44"/>
  <c r="AR156" i="44"/>
  <c r="AR155" i="44"/>
  <c r="AR154" i="44"/>
  <c r="AR153" i="44"/>
  <c r="AR152" i="44"/>
  <c r="AR151" i="44"/>
  <c r="AR150" i="44"/>
  <c r="AR149" i="44"/>
  <c r="AR148" i="44"/>
  <c r="AR147" i="44"/>
  <c r="AR146" i="44"/>
  <c r="AR145" i="44"/>
  <c r="AR144" i="44"/>
  <c r="AR143" i="44"/>
  <c r="AR142" i="44"/>
  <c r="AR141" i="44"/>
  <c r="AR140" i="44"/>
  <c r="AR139" i="44"/>
  <c r="AR138" i="44"/>
  <c r="AR137" i="44"/>
  <c r="AR136" i="44"/>
  <c r="AR135" i="44"/>
  <c r="AR134" i="44"/>
  <c r="AR133" i="44"/>
  <c r="AM167" i="44"/>
  <c r="AM166" i="44"/>
  <c r="AM165" i="44"/>
  <c r="AM164" i="44"/>
  <c r="AM163" i="44"/>
  <c r="AM162" i="44"/>
  <c r="AM161" i="44"/>
  <c r="AM160" i="44"/>
  <c r="AM159" i="44"/>
  <c r="AM158" i="44"/>
  <c r="AM157" i="44"/>
  <c r="AM156" i="44"/>
  <c r="AM155" i="44"/>
  <c r="AM154" i="44"/>
  <c r="AM153" i="44"/>
  <c r="AM152" i="44"/>
  <c r="AM151" i="44"/>
  <c r="AM150" i="44"/>
  <c r="AM149" i="44"/>
  <c r="AM148" i="44"/>
  <c r="AM147" i="44"/>
  <c r="AM146" i="44"/>
  <c r="AM145" i="44"/>
  <c r="AM144" i="44"/>
  <c r="AM143" i="44"/>
  <c r="AM142" i="44"/>
  <c r="AM141" i="44"/>
  <c r="AM140" i="44"/>
  <c r="AM139" i="44"/>
  <c r="AM138" i="44"/>
  <c r="AM137" i="44"/>
  <c r="AM136" i="44"/>
  <c r="AM135" i="44"/>
  <c r="AM134" i="44"/>
  <c r="AM133" i="44"/>
  <c r="AH167" i="44"/>
  <c r="AH166" i="44"/>
  <c r="AH165" i="44"/>
  <c r="AH164" i="44"/>
  <c r="AH163" i="44"/>
  <c r="AH162" i="44"/>
  <c r="AH161" i="44"/>
  <c r="AH160" i="44"/>
  <c r="AH159" i="44"/>
  <c r="AH158" i="44"/>
  <c r="AH157" i="44"/>
  <c r="AH156" i="44"/>
  <c r="AH155" i="44"/>
  <c r="AH154" i="44"/>
  <c r="AH153" i="44"/>
  <c r="AH152" i="44"/>
  <c r="AH151" i="44"/>
  <c r="AH150" i="44"/>
  <c r="AH149" i="44"/>
  <c r="AH148" i="44"/>
  <c r="AH147" i="44"/>
  <c r="AH146" i="44"/>
  <c r="AH145" i="44"/>
  <c r="AH144" i="44"/>
  <c r="AH143" i="44"/>
  <c r="AH142" i="44"/>
  <c r="AH141" i="44"/>
  <c r="AH140" i="44"/>
  <c r="AH139" i="44"/>
  <c r="AH138" i="44"/>
  <c r="AH137" i="44"/>
  <c r="AH136" i="44"/>
  <c r="AH135" i="44"/>
  <c r="AH134" i="44"/>
  <c r="AH133" i="44"/>
  <c r="AC167" i="44"/>
  <c r="AC166" i="44"/>
  <c r="AC165" i="44"/>
  <c r="AC164" i="44"/>
  <c r="AC163" i="44"/>
  <c r="AC162" i="44"/>
  <c r="AC161" i="44"/>
  <c r="AC160" i="44"/>
  <c r="AC159" i="44"/>
  <c r="AC158" i="44"/>
  <c r="AC157" i="44"/>
  <c r="AC156" i="44"/>
  <c r="AC155" i="44"/>
  <c r="AC154" i="44"/>
  <c r="AC153" i="44"/>
  <c r="AC152" i="44"/>
  <c r="AC151" i="44"/>
  <c r="AC150" i="44"/>
  <c r="AC149" i="44"/>
  <c r="AC148" i="44"/>
  <c r="AC147" i="44"/>
  <c r="AC146" i="44"/>
  <c r="AC145" i="44"/>
  <c r="AC144" i="44"/>
  <c r="AC143" i="44"/>
  <c r="AC142" i="44"/>
  <c r="AC141" i="44"/>
  <c r="AC140" i="44"/>
  <c r="AC139" i="44"/>
  <c r="AC138" i="44"/>
  <c r="AC137" i="44"/>
  <c r="AC136" i="44"/>
  <c r="AC135" i="44"/>
  <c r="AC134" i="44"/>
  <c r="AC133" i="44"/>
  <c r="X167" i="44"/>
  <c r="X166" i="44"/>
  <c r="X165" i="44"/>
  <c r="X164" i="44"/>
  <c r="X163" i="44"/>
  <c r="X162" i="44"/>
  <c r="X161" i="44"/>
  <c r="X160" i="44"/>
  <c r="X159" i="44"/>
  <c r="X158" i="44"/>
  <c r="X157" i="44"/>
  <c r="X156" i="44"/>
  <c r="X155" i="44"/>
  <c r="X154" i="44"/>
  <c r="X153" i="44"/>
  <c r="X152" i="44"/>
  <c r="X151" i="44"/>
  <c r="X150" i="44"/>
  <c r="X149" i="44"/>
  <c r="X148" i="44"/>
  <c r="X147" i="44"/>
  <c r="X146" i="44"/>
  <c r="X145" i="44"/>
  <c r="X144" i="44"/>
  <c r="X143" i="44"/>
  <c r="X142" i="44"/>
  <c r="X141" i="44"/>
  <c r="X140" i="44"/>
  <c r="X139" i="44"/>
  <c r="X138" i="44"/>
  <c r="X137" i="44"/>
  <c r="X136" i="44"/>
  <c r="X135" i="44"/>
  <c r="X134" i="44"/>
  <c r="X133" i="44"/>
  <c r="S134" i="44"/>
  <c r="S135" i="44"/>
  <c r="S136" i="44"/>
  <c r="S137" i="44"/>
  <c r="S138" i="44"/>
  <c r="S139" i="44"/>
  <c r="S140" i="44"/>
  <c r="S141" i="44"/>
  <c r="S142" i="44"/>
  <c r="S143" i="44"/>
  <c r="S144" i="44"/>
  <c r="S145" i="44"/>
  <c r="S146" i="44"/>
  <c r="S147" i="44"/>
  <c r="S148" i="44"/>
  <c r="S149" i="44"/>
  <c r="S150" i="44"/>
  <c r="S151" i="44"/>
  <c r="S152" i="44"/>
  <c r="S153" i="44"/>
  <c r="S154" i="44"/>
  <c r="S155" i="44"/>
  <c r="S156" i="44"/>
  <c r="S157" i="44"/>
  <c r="S158" i="44"/>
  <c r="S159" i="44"/>
  <c r="S160" i="44"/>
  <c r="S161" i="44"/>
  <c r="S162" i="44"/>
  <c r="S163" i="44"/>
  <c r="S164" i="44"/>
  <c r="S165" i="44"/>
  <c r="S166" i="44"/>
  <c r="S167" i="44"/>
  <c r="S133" i="44"/>
  <c r="M134" i="44"/>
  <c r="M135" i="44"/>
  <c r="M136" i="44"/>
  <c r="M137" i="44"/>
  <c r="M138" i="44"/>
  <c r="M139" i="44"/>
  <c r="M140" i="44"/>
  <c r="M141" i="44"/>
  <c r="M142" i="44"/>
  <c r="M143" i="44"/>
  <c r="M144" i="44"/>
  <c r="M145" i="44"/>
  <c r="M146" i="44"/>
  <c r="M147" i="44"/>
  <c r="M148" i="44"/>
  <c r="M149" i="44"/>
  <c r="M150" i="44"/>
  <c r="M151" i="44"/>
  <c r="M152" i="44"/>
  <c r="M153" i="44"/>
  <c r="M154" i="44"/>
  <c r="M155" i="44"/>
  <c r="M156" i="44"/>
  <c r="M157" i="44"/>
  <c r="M158" i="44"/>
  <c r="M159" i="44"/>
  <c r="M160" i="44"/>
  <c r="M161" i="44"/>
  <c r="M162" i="44"/>
  <c r="M163" i="44"/>
  <c r="M164" i="44"/>
  <c r="M165" i="44"/>
  <c r="M166" i="44"/>
  <c r="M167" i="44"/>
  <c r="M133" i="44"/>
  <c r="AV167" i="44"/>
  <c r="AQ167" i="44"/>
  <c r="AL167" i="44"/>
  <c r="AG167" i="44"/>
  <c r="AB167" i="44"/>
  <c r="W167" i="44"/>
  <c r="R167" i="44"/>
  <c r="J167" i="44"/>
  <c r="I167" i="44"/>
  <c r="G167" i="44"/>
  <c r="AV166" i="44"/>
  <c r="AQ166" i="44"/>
  <c r="AL166" i="44"/>
  <c r="AG166" i="44"/>
  <c r="AB166" i="44"/>
  <c r="W166" i="44"/>
  <c r="R166" i="44"/>
  <c r="K166" i="44"/>
  <c r="J166" i="44"/>
  <c r="I166" i="44"/>
  <c r="G166" i="44"/>
  <c r="AV165" i="44"/>
  <c r="AQ165" i="44"/>
  <c r="AL165" i="44"/>
  <c r="AG165" i="44"/>
  <c r="AB165" i="44"/>
  <c r="W165" i="44"/>
  <c r="R165" i="44"/>
  <c r="J165" i="44"/>
  <c r="I165" i="44"/>
  <c r="G165" i="44"/>
  <c r="AV164" i="44"/>
  <c r="AQ164" i="44"/>
  <c r="AL164" i="44"/>
  <c r="AG164" i="44"/>
  <c r="AB164" i="44"/>
  <c r="W164" i="44"/>
  <c r="R164" i="44"/>
  <c r="J164" i="44"/>
  <c r="I164" i="44"/>
  <c r="G164" i="44"/>
  <c r="AV163" i="44"/>
  <c r="AQ163" i="44"/>
  <c r="AL163" i="44"/>
  <c r="AG163" i="44"/>
  <c r="AB163" i="44"/>
  <c r="W163" i="44"/>
  <c r="R163" i="44"/>
  <c r="J163" i="44"/>
  <c r="I163" i="44"/>
  <c r="G163" i="44"/>
  <c r="AV162" i="44"/>
  <c r="AQ162" i="44"/>
  <c r="AL162" i="44"/>
  <c r="AG162" i="44"/>
  <c r="AB162" i="44"/>
  <c r="W162" i="44"/>
  <c r="R162" i="44"/>
  <c r="K162" i="44" s="1"/>
  <c r="J162" i="44"/>
  <c r="I162" i="44"/>
  <c r="G162" i="44"/>
  <c r="AV161" i="44"/>
  <c r="AQ161" i="44"/>
  <c r="AL161" i="44"/>
  <c r="AG161" i="44"/>
  <c r="AB161" i="44"/>
  <c r="W161" i="44"/>
  <c r="R161" i="44"/>
  <c r="K161" i="44"/>
  <c r="J161" i="44"/>
  <c r="I161" i="44"/>
  <c r="G161" i="44"/>
  <c r="AV160" i="44"/>
  <c r="AQ160" i="44"/>
  <c r="AL160" i="44"/>
  <c r="K160" i="44" s="1"/>
  <c r="AG160" i="44"/>
  <c r="AB160" i="44"/>
  <c r="W160" i="44"/>
  <c r="R160" i="44"/>
  <c r="J160" i="44"/>
  <c r="I160" i="44"/>
  <c r="G160" i="44"/>
  <c r="AV159" i="44"/>
  <c r="AQ159" i="44"/>
  <c r="AL159" i="44"/>
  <c r="AG159" i="44"/>
  <c r="K159" i="44" s="1"/>
  <c r="AB159" i="44"/>
  <c r="W159" i="44"/>
  <c r="R159" i="44"/>
  <c r="J159" i="44"/>
  <c r="I159" i="44"/>
  <c r="G159" i="44"/>
  <c r="AV158" i="44"/>
  <c r="AQ158" i="44"/>
  <c r="AL158" i="44"/>
  <c r="AG158" i="44"/>
  <c r="AB158" i="44"/>
  <c r="W158" i="44"/>
  <c r="R158" i="44"/>
  <c r="J158" i="44"/>
  <c r="I158" i="44"/>
  <c r="G158" i="44"/>
  <c r="AV157" i="44"/>
  <c r="AQ157" i="44"/>
  <c r="AL157" i="44"/>
  <c r="AG157" i="44"/>
  <c r="AB157" i="44"/>
  <c r="K157" i="44" s="1"/>
  <c r="W157" i="44"/>
  <c r="R157" i="44"/>
  <c r="J157" i="44"/>
  <c r="I157" i="44"/>
  <c r="G157" i="44"/>
  <c r="AV156" i="44"/>
  <c r="AQ156" i="44"/>
  <c r="AL156" i="44"/>
  <c r="AG156" i="44"/>
  <c r="AB156" i="44"/>
  <c r="K156" i="44" s="1"/>
  <c r="W156" i="44"/>
  <c r="R156" i="44"/>
  <c r="J156" i="44"/>
  <c r="I156" i="44"/>
  <c r="G156" i="44"/>
  <c r="AV155" i="44"/>
  <c r="AQ155" i="44"/>
  <c r="AL155" i="44"/>
  <c r="AG155" i="44"/>
  <c r="AB155" i="44"/>
  <c r="W155" i="44"/>
  <c r="R155" i="44"/>
  <c r="J155" i="44"/>
  <c r="I155" i="44"/>
  <c r="G155" i="44"/>
  <c r="AV154" i="44"/>
  <c r="AQ154" i="44"/>
  <c r="AL154" i="44"/>
  <c r="AG154" i="44"/>
  <c r="AB154" i="44"/>
  <c r="W154" i="44"/>
  <c r="K154" i="44" s="1"/>
  <c r="R154" i="44"/>
  <c r="J154" i="44"/>
  <c r="I154" i="44"/>
  <c r="G154" i="44"/>
  <c r="AV153" i="44"/>
  <c r="AQ153" i="44"/>
  <c r="AL153" i="44"/>
  <c r="AG153" i="44"/>
  <c r="AB153" i="44"/>
  <c r="W153" i="44"/>
  <c r="R153" i="44"/>
  <c r="K153" i="44" s="1"/>
  <c r="J153" i="44"/>
  <c r="I153" i="44"/>
  <c r="G153" i="44"/>
  <c r="AV152" i="44"/>
  <c r="AQ152" i="44"/>
  <c r="AL152" i="44"/>
  <c r="AG152" i="44"/>
  <c r="AB152" i="44"/>
  <c r="W152" i="44"/>
  <c r="R152" i="44"/>
  <c r="K152" i="44" s="1"/>
  <c r="J152" i="44"/>
  <c r="I152" i="44"/>
  <c r="G152" i="44"/>
  <c r="AV151" i="44"/>
  <c r="AQ151" i="44"/>
  <c r="AL151" i="44"/>
  <c r="AG151" i="44"/>
  <c r="AB151" i="44"/>
  <c r="W151" i="44"/>
  <c r="R151" i="44"/>
  <c r="K151" i="44"/>
  <c r="J151" i="44"/>
  <c r="I151" i="44"/>
  <c r="G151" i="44"/>
  <c r="AV150" i="44"/>
  <c r="AQ150" i="44"/>
  <c r="AL150" i="44"/>
  <c r="AG150" i="44"/>
  <c r="AB150" i="44"/>
  <c r="W150" i="44"/>
  <c r="R150" i="44"/>
  <c r="J150" i="44"/>
  <c r="I150" i="44"/>
  <c r="G150" i="44"/>
  <c r="AV149" i="44"/>
  <c r="AQ149" i="44"/>
  <c r="AL149" i="44"/>
  <c r="AG149" i="44"/>
  <c r="AB149" i="44"/>
  <c r="W149" i="44"/>
  <c r="R149" i="44"/>
  <c r="J149" i="44"/>
  <c r="I149" i="44"/>
  <c r="G149" i="44"/>
  <c r="AV148" i="44"/>
  <c r="AQ148" i="44"/>
  <c r="AL148" i="44"/>
  <c r="AG148" i="44"/>
  <c r="AB148" i="44"/>
  <c r="W148" i="44"/>
  <c r="R148" i="44"/>
  <c r="K148" i="44"/>
  <c r="J148" i="44"/>
  <c r="I148" i="44"/>
  <c r="G148" i="44"/>
  <c r="AV147" i="44"/>
  <c r="AQ147" i="44"/>
  <c r="AL147" i="44"/>
  <c r="AG147" i="44"/>
  <c r="AB147" i="44"/>
  <c r="W147" i="44"/>
  <c r="R147" i="44"/>
  <c r="K147" i="44"/>
  <c r="J147" i="44"/>
  <c r="I147" i="44"/>
  <c r="G147" i="44"/>
  <c r="AV146" i="44"/>
  <c r="AQ146" i="44"/>
  <c r="AL146" i="44"/>
  <c r="AG146" i="44"/>
  <c r="AB146" i="44"/>
  <c r="K146" i="44" s="1"/>
  <c r="W146" i="44"/>
  <c r="R146" i="44"/>
  <c r="J146" i="44"/>
  <c r="I146" i="44"/>
  <c r="G146" i="44"/>
  <c r="AV145" i="44"/>
  <c r="AQ145" i="44"/>
  <c r="AL145" i="44"/>
  <c r="AG145" i="44"/>
  <c r="AB145" i="44"/>
  <c r="W145" i="44"/>
  <c r="R145" i="44"/>
  <c r="J145" i="44"/>
  <c r="I145" i="44"/>
  <c r="G145" i="44"/>
  <c r="AV144" i="44"/>
  <c r="AQ144" i="44"/>
  <c r="AL144" i="44"/>
  <c r="AG144" i="44"/>
  <c r="AB144" i="44"/>
  <c r="W144" i="44"/>
  <c r="R144" i="44"/>
  <c r="J144" i="44"/>
  <c r="I144" i="44"/>
  <c r="G144" i="44"/>
  <c r="AV143" i="44"/>
  <c r="AQ143" i="44"/>
  <c r="AL143" i="44"/>
  <c r="AG143" i="44"/>
  <c r="AB143" i="44"/>
  <c r="W143" i="44"/>
  <c r="R143" i="44"/>
  <c r="J143" i="44"/>
  <c r="I143" i="44"/>
  <c r="G143" i="44"/>
  <c r="AV142" i="44"/>
  <c r="AQ142" i="44"/>
  <c r="AL142" i="44"/>
  <c r="AG142" i="44"/>
  <c r="AB142" i="44"/>
  <c r="W142" i="44"/>
  <c r="R142" i="44"/>
  <c r="K142" i="44" s="1"/>
  <c r="J142" i="44"/>
  <c r="I142" i="44"/>
  <c r="G142" i="44"/>
  <c r="AV141" i="44"/>
  <c r="AQ141" i="44"/>
  <c r="AL141" i="44"/>
  <c r="AG141" i="44"/>
  <c r="AB141" i="44"/>
  <c r="W141" i="44"/>
  <c r="R141" i="44"/>
  <c r="K141" i="44"/>
  <c r="J141" i="44"/>
  <c r="I141" i="44"/>
  <c r="G141" i="44"/>
  <c r="AV140" i="44"/>
  <c r="AQ140" i="44"/>
  <c r="AL140" i="44"/>
  <c r="K140" i="44" s="1"/>
  <c r="AG140" i="44"/>
  <c r="AB140" i="44"/>
  <c r="W140" i="44"/>
  <c r="R140" i="44"/>
  <c r="J140" i="44"/>
  <c r="I140" i="44"/>
  <c r="G140" i="44"/>
  <c r="AV139" i="44"/>
  <c r="AQ139" i="44"/>
  <c r="AL139" i="44"/>
  <c r="AG139" i="44"/>
  <c r="AB139" i="44"/>
  <c r="W139" i="44"/>
  <c r="R139" i="44"/>
  <c r="K139" i="44"/>
  <c r="J139" i="44"/>
  <c r="I139" i="44"/>
  <c r="G139" i="44"/>
  <c r="AV138" i="44"/>
  <c r="AQ138" i="44"/>
  <c r="AL138" i="44"/>
  <c r="AG138" i="44"/>
  <c r="K138" i="44" s="1"/>
  <c r="AB138" i="44"/>
  <c r="W138" i="44"/>
  <c r="R138" i="44"/>
  <c r="J138" i="44"/>
  <c r="I138" i="44"/>
  <c r="G138" i="44"/>
  <c r="AV137" i="44"/>
  <c r="AQ137" i="44"/>
  <c r="AL137" i="44"/>
  <c r="AG137" i="44"/>
  <c r="AB137" i="44"/>
  <c r="W137" i="44"/>
  <c r="R137" i="44"/>
  <c r="J137" i="44"/>
  <c r="I137" i="44"/>
  <c r="G137" i="44"/>
  <c r="AV136" i="44"/>
  <c r="AQ136" i="44"/>
  <c r="AL136" i="44"/>
  <c r="AG136" i="44"/>
  <c r="AB136" i="44"/>
  <c r="K136" i="44" s="1"/>
  <c r="W136" i="44"/>
  <c r="R136" i="44"/>
  <c r="J136" i="44"/>
  <c r="I136" i="44"/>
  <c r="G136" i="44"/>
  <c r="AV135" i="44"/>
  <c r="AQ135" i="44"/>
  <c r="AL135" i="44"/>
  <c r="AG135" i="44"/>
  <c r="AB135" i="44"/>
  <c r="W135" i="44"/>
  <c r="R135" i="44"/>
  <c r="J135" i="44"/>
  <c r="I135" i="44"/>
  <c r="G135" i="44"/>
  <c r="AV134" i="44"/>
  <c r="AQ134" i="44"/>
  <c r="AL134" i="44"/>
  <c r="AG134" i="44"/>
  <c r="AB134" i="44"/>
  <c r="W134" i="44"/>
  <c r="R134" i="44"/>
  <c r="J134" i="44"/>
  <c r="I134" i="44"/>
  <c r="G134" i="44"/>
  <c r="AV133" i="44"/>
  <c r="AQ133" i="44"/>
  <c r="AL133" i="44"/>
  <c r="AG133" i="44"/>
  <c r="K133" i="44" s="1"/>
  <c r="AD133" i="44"/>
  <c r="AB133" i="44"/>
  <c r="W133" i="44"/>
  <c r="R133" i="44"/>
  <c r="J133" i="44"/>
  <c r="I133" i="44"/>
  <c r="G133" i="44"/>
  <c r="B28" i="6"/>
  <c r="D28" i="6"/>
  <c r="D29" i="6"/>
  <c r="D30" i="6"/>
  <c r="D31" i="6"/>
  <c r="D32" i="6"/>
  <c r="D33" i="6"/>
  <c r="D34" i="6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M28" i="6"/>
  <c r="B28" i="7"/>
  <c r="AC34" i="7"/>
  <c r="AD34" i="7" s="1"/>
  <c r="S34" i="7"/>
  <c r="T34" i="7" s="1"/>
  <c r="M34" i="7"/>
  <c r="N34" i="7" s="1"/>
  <c r="F34" i="7"/>
  <c r="AL34" i="7" s="1"/>
  <c r="AC33" i="7"/>
  <c r="AD33" i="7" s="1"/>
  <c r="S33" i="7"/>
  <c r="T33" i="7" s="1"/>
  <c r="M33" i="7"/>
  <c r="N33" i="7" s="1"/>
  <c r="F33" i="7"/>
  <c r="AL33" i="7" s="1"/>
  <c r="AC32" i="7"/>
  <c r="AD32" i="7" s="1"/>
  <c r="S32" i="7"/>
  <c r="T32" i="7" s="1"/>
  <c r="M32" i="7"/>
  <c r="N32" i="7" s="1"/>
  <c r="F32" i="7"/>
  <c r="AL32" i="7" s="1"/>
  <c r="AC31" i="7"/>
  <c r="AD31" i="7" s="1"/>
  <c r="S31" i="7"/>
  <c r="T31" i="7" s="1"/>
  <c r="M31" i="7"/>
  <c r="N31" i="7" s="1"/>
  <c r="F31" i="7"/>
  <c r="AL31" i="7" s="1"/>
  <c r="AC30" i="7"/>
  <c r="AD30" i="7" s="1"/>
  <c r="S30" i="7"/>
  <c r="T30" i="7" s="1"/>
  <c r="M30" i="7"/>
  <c r="N30" i="7" s="1"/>
  <c r="F30" i="7"/>
  <c r="AL30" i="7" s="1"/>
  <c r="AC29" i="7"/>
  <c r="AD29" i="7" s="1"/>
  <c r="S29" i="7"/>
  <c r="T29" i="7" s="1"/>
  <c r="M29" i="7"/>
  <c r="N29" i="7" s="1"/>
  <c r="F29" i="7"/>
  <c r="AL29" i="7" s="1"/>
  <c r="AC28" i="7"/>
  <c r="AD28" i="7" s="1"/>
  <c r="S28" i="7"/>
  <c r="T28" i="7" s="1"/>
  <c r="M28" i="7"/>
  <c r="N28" i="7" s="1"/>
  <c r="F28" i="7"/>
  <c r="AL28" i="7" s="1"/>
  <c r="U27" i="5"/>
  <c r="U28" i="5"/>
  <c r="U29" i="5"/>
  <c r="U30" i="5"/>
  <c r="U31" i="5"/>
  <c r="U32" i="5"/>
  <c r="U26" i="5"/>
  <c r="P209" i="66" l="1"/>
  <c r="P205" i="66"/>
  <c r="P208" i="66"/>
  <c r="T219" i="66"/>
  <c r="P211" i="66"/>
  <c r="P217" i="66"/>
  <c r="T214" i="66"/>
  <c r="F214" i="66" s="1"/>
  <c r="T207" i="66"/>
  <c r="V207" i="66" s="1"/>
  <c r="T223" i="66"/>
  <c r="F210" i="66"/>
  <c r="U217" i="66"/>
  <c r="F209" i="66"/>
  <c r="U220" i="66"/>
  <c r="F208" i="66"/>
  <c r="V220" i="66"/>
  <c r="X220" i="66" s="1"/>
  <c r="P219" i="63"/>
  <c r="S217" i="63"/>
  <c r="V217" i="63" s="1"/>
  <c r="W217" i="63" s="1"/>
  <c r="V220" i="63"/>
  <c r="X220" i="63" s="1"/>
  <c r="U220" i="63"/>
  <c r="T220" i="63"/>
  <c r="P220" i="63"/>
  <c r="S223" i="63"/>
  <c r="V223" i="63" s="1"/>
  <c r="X223" i="63" s="1"/>
  <c r="P216" i="63"/>
  <c r="T223" i="63"/>
  <c r="U223" i="63"/>
  <c r="T217" i="63"/>
  <c r="F211" i="66"/>
  <c r="V211" i="66"/>
  <c r="U211" i="66"/>
  <c r="V222" i="66"/>
  <c r="U222" i="66"/>
  <c r="F222" i="66"/>
  <c r="F206" i="66"/>
  <c r="V206" i="66"/>
  <c r="U206" i="66"/>
  <c r="X209" i="66"/>
  <c r="W209" i="66"/>
  <c r="F212" i="66"/>
  <c r="V212" i="66"/>
  <c r="U212" i="66"/>
  <c r="U215" i="66"/>
  <c r="F215" i="66"/>
  <c r="V215" i="66"/>
  <c r="V218" i="66"/>
  <c r="U218" i="66"/>
  <c r="F218" i="66"/>
  <c r="X208" i="66"/>
  <c r="W208" i="66"/>
  <c r="X207" i="66"/>
  <c r="W207" i="66"/>
  <c r="V221" i="66"/>
  <c r="U221" i="66"/>
  <c r="F221" i="66"/>
  <c r="X210" i="66"/>
  <c r="W210" i="66"/>
  <c r="X213" i="66"/>
  <c r="W213" i="66"/>
  <c r="X216" i="66"/>
  <c r="W216" i="66"/>
  <c r="V224" i="66"/>
  <c r="U224" i="66"/>
  <c r="F224" i="66"/>
  <c r="F205" i="66"/>
  <c r="V205" i="66"/>
  <c r="U205" i="66"/>
  <c r="F219" i="66"/>
  <c r="F216" i="66"/>
  <c r="F213" i="66"/>
  <c r="U214" i="66"/>
  <c r="V217" i="66"/>
  <c r="P222" i="66"/>
  <c r="V214" i="66"/>
  <c r="U216" i="66"/>
  <c r="P224" i="66"/>
  <c r="U207" i="66"/>
  <c r="U213" i="66"/>
  <c r="P221" i="66"/>
  <c r="U208" i="66"/>
  <c r="U209" i="66"/>
  <c r="U210" i="66"/>
  <c r="P218" i="66"/>
  <c r="P215" i="66"/>
  <c r="P206" i="66"/>
  <c r="P212" i="66"/>
  <c r="S206" i="63"/>
  <c r="T206" i="63" s="1"/>
  <c r="P211" i="63"/>
  <c r="P214" i="63"/>
  <c r="S209" i="63"/>
  <c r="V209" i="63" s="1"/>
  <c r="W209" i="63" s="1"/>
  <c r="S208" i="63"/>
  <c r="V208" i="63" s="1"/>
  <c r="X208" i="63" s="1"/>
  <c r="S210" i="63"/>
  <c r="V210" i="63" s="1"/>
  <c r="X210" i="63" s="1"/>
  <c r="V207" i="63"/>
  <c r="U207" i="63"/>
  <c r="T207" i="63"/>
  <c r="V222" i="63"/>
  <c r="U222" i="63"/>
  <c r="T222" i="63"/>
  <c r="X211" i="63"/>
  <c r="W211" i="63"/>
  <c r="X214" i="63"/>
  <c r="W214" i="63"/>
  <c r="V205" i="63"/>
  <c r="U205" i="63"/>
  <c r="T205" i="63"/>
  <c r="T212" i="63"/>
  <c r="V212" i="63"/>
  <c r="U212" i="63"/>
  <c r="U215" i="63"/>
  <c r="T215" i="63"/>
  <c r="V215" i="63"/>
  <c r="V218" i="63"/>
  <c r="U218" i="63"/>
  <c r="T218" i="63"/>
  <c r="V213" i="63"/>
  <c r="U213" i="63"/>
  <c r="T213" i="63"/>
  <c r="V216" i="63"/>
  <c r="U216" i="63"/>
  <c r="T216" i="63"/>
  <c r="V221" i="63"/>
  <c r="U221" i="63"/>
  <c r="T221" i="63"/>
  <c r="V219" i="63"/>
  <c r="U219" i="63"/>
  <c r="T219" i="63"/>
  <c r="V224" i="63"/>
  <c r="U224" i="63"/>
  <c r="T224" i="63"/>
  <c r="P205" i="63"/>
  <c r="T214" i="63"/>
  <c r="W223" i="63"/>
  <c r="T211" i="63"/>
  <c r="U214" i="63"/>
  <c r="P222" i="63"/>
  <c r="U211" i="63"/>
  <c r="P207" i="63"/>
  <c r="P213" i="63"/>
  <c r="P224" i="63"/>
  <c r="P221" i="63"/>
  <c r="P218" i="63"/>
  <c r="P215" i="63"/>
  <c r="P212" i="63"/>
  <c r="K69" i="52"/>
  <c r="AD67" i="52"/>
  <c r="AI67" i="52"/>
  <c r="K73" i="51"/>
  <c r="K72" i="51"/>
  <c r="K71" i="51"/>
  <c r="K70" i="51"/>
  <c r="Y67" i="51"/>
  <c r="AD67" i="51"/>
  <c r="AN67" i="49"/>
  <c r="K75" i="49"/>
  <c r="K72" i="49"/>
  <c r="K71" i="49"/>
  <c r="K67" i="49"/>
  <c r="K74" i="49"/>
  <c r="K73" i="49"/>
  <c r="K69" i="49"/>
  <c r="K68" i="49"/>
  <c r="K74" i="48"/>
  <c r="K72" i="48"/>
  <c r="K70" i="48"/>
  <c r="AS67" i="47"/>
  <c r="AX67" i="47"/>
  <c r="K71" i="47"/>
  <c r="H67" i="47"/>
  <c r="K68" i="47"/>
  <c r="L67" i="47" s="1"/>
  <c r="AI67" i="47"/>
  <c r="K70" i="47"/>
  <c r="K69" i="47"/>
  <c r="Y67" i="47"/>
  <c r="AD67" i="47"/>
  <c r="AN67" i="47"/>
  <c r="K67" i="46"/>
  <c r="AD67" i="46"/>
  <c r="K68" i="46"/>
  <c r="T67" i="46"/>
  <c r="Y67" i="45"/>
  <c r="AI67" i="45"/>
  <c r="AN67" i="45"/>
  <c r="K67" i="45"/>
  <c r="AD67" i="45"/>
  <c r="AS67" i="45"/>
  <c r="M70" i="45"/>
  <c r="K68" i="45"/>
  <c r="M68" i="45" s="1"/>
  <c r="H67" i="45"/>
  <c r="M67" i="45"/>
  <c r="L67" i="45"/>
  <c r="AX67" i="45"/>
  <c r="T67" i="45"/>
  <c r="K163" i="44"/>
  <c r="AI133" i="44"/>
  <c r="AN133" i="44"/>
  <c r="K145" i="44"/>
  <c r="AS133" i="44"/>
  <c r="AX133" i="44"/>
  <c r="K150" i="44"/>
  <c r="K165" i="44"/>
  <c r="K144" i="44"/>
  <c r="K164" i="44"/>
  <c r="K149" i="44"/>
  <c r="T133" i="44"/>
  <c r="K155" i="44"/>
  <c r="K143" i="44"/>
  <c r="H133" i="44"/>
  <c r="Y133" i="44"/>
  <c r="K134" i="44"/>
  <c r="K167" i="44"/>
  <c r="K137" i="44"/>
  <c r="K158" i="44"/>
  <c r="K135" i="44"/>
  <c r="T28" i="6"/>
  <c r="F28" i="6"/>
  <c r="F29" i="6"/>
  <c r="F30" i="6"/>
  <c r="F31" i="6"/>
  <c r="F32" i="6"/>
  <c r="F33" i="6"/>
  <c r="F34" i="6"/>
  <c r="J34" i="7"/>
  <c r="J30" i="7"/>
  <c r="L34" i="7"/>
  <c r="P30" i="7"/>
  <c r="P33" i="7"/>
  <c r="R34" i="7"/>
  <c r="V30" i="7"/>
  <c r="V33" i="7"/>
  <c r="X28" i="7"/>
  <c r="X29" i="7"/>
  <c r="X30" i="7"/>
  <c r="X31" i="7"/>
  <c r="X34" i="7"/>
  <c r="Z31" i="7"/>
  <c r="AB31" i="7"/>
  <c r="G28" i="7"/>
  <c r="J29" i="7"/>
  <c r="J32" i="7"/>
  <c r="L32" i="7"/>
  <c r="P29" i="7"/>
  <c r="P32" i="7"/>
  <c r="R31" i="7"/>
  <c r="V29" i="7"/>
  <c r="V32" i="7"/>
  <c r="X33" i="7"/>
  <c r="Z32" i="7"/>
  <c r="AB33" i="7"/>
  <c r="AH34" i="7"/>
  <c r="J31" i="7"/>
  <c r="L28" i="7"/>
  <c r="L29" i="7"/>
  <c r="L30" i="7"/>
  <c r="L33" i="7"/>
  <c r="P31" i="7"/>
  <c r="R33" i="7"/>
  <c r="V31" i="7"/>
  <c r="Z28" i="7"/>
  <c r="Z30" i="7"/>
  <c r="Z33" i="7"/>
  <c r="AB28" i="7"/>
  <c r="AB30" i="7"/>
  <c r="AB34" i="7"/>
  <c r="AJ34" i="7"/>
  <c r="J28" i="7"/>
  <c r="J33" i="7"/>
  <c r="L31" i="7"/>
  <c r="P28" i="7"/>
  <c r="P34" i="7"/>
  <c r="R28" i="7"/>
  <c r="R29" i="7"/>
  <c r="R30" i="7"/>
  <c r="R32" i="7"/>
  <c r="V28" i="7"/>
  <c r="V34" i="7"/>
  <c r="X32" i="7"/>
  <c r="Z29" i="7"/>
  <c r="Z34" i="7"/>
  <c r="AB29" i="7"/>
  <c r="AB32" i="7"/>
  <c r="AF28" i="7"/>
  <c r="AF29" i="7"/>
  <c r="AF30" i="7"/>
  <c r="AF31" i="7"/>
  <c r="AF32" i="7"/>
  <c r="AF33" i="7"/>
  <c r="AF34" i="7"/>
  <c r="AH28" i="7"/>
  <c r="AH29" i="7"/>
  <c r="AH30" i="7"/>
  <c r="AH31" i="7"/>
  <c r="AH32" i="7"/>
  <c r="AH33" i="7"/>
  <c r="AJ28" i="7"/>
  <c r="AJ29" i="7"/>
  <c r="AJ30" i="7"/>
  <c r="AJ31" i="7"/>
  <c r="AJ32" i="7"/>
  <c r="AJ33" i="7"/>
  <c r="F207" i="66" l="1"/>
  <c r="V219" i="66"/>
  <c r="U219" i="66"/>
  <c r="V223" i="66"/>
  <c r="U223" i="66"/>
  <c r="F223" i="66"/>
  <c r="W220" i="66"/>
  <c r="X217" i="63"/>
  <c r="U217" i="63"/>
  <c r="W220" i="63"/>
  <c r="T209" i="63"/>
  <c r="T208" i="63"/>
  <c r="U209" i="63"/>
  <c r="X205" i="66"/>
  <c r="W205" i="66"/>
  <c r="X215" i="66"/>
  <c r="W215" i="66"/>
  <c r="X224" i="66"/>
  <c r="W224" i="66"/>
  <c r="X206" i="66"/>
  <c r="W206" i="66"/>
  <c r="X217" i="66"/>
  <c r="W217" i="66"/>
  <c r="X211" i="66"/>
  <c r="W211" i="66"/>
  <c r="X218" i="66"/>
  <c r="W218" i="66"/>
  <c r="X212" i="66"/>
  <c r="W212" i="66"/>
  <c r="X214" i="66"/>
  <c r="W214" i="66"/>
  <c r="W221" i="66"/>
  <c r="X221" i="66"/>
  <c r="X222" i="66"/>
  <c r="W222" i="66"/>
  <c r="X209" i="63"/>
  <c r="W208" i="63"/>
  <c r="V206" i="63"/>
  <c r="X206" i="63" s="1"/>
  <c r="U210" i="63"/>
  <c r="U206" i="63"/>
  <c r="U208" i="63"/>
  <c r="T210" i="63"/>
  <c r="W210" i="63"/>
  <c r="X212" i="63"/>
  <c r="W212" i="63"/>
  <c r="X205" i="63"/>
  <c r="W205" i="63"/>
  <c r="X216" i="63"/>
  <c r="W216" i="63"/>
  <c r="X213" i="63"/>
  <c r="W213" i="63"/>
  <c r="X218" i="63"/>
  <c r="W218" i="63"/>
  <c r="X222" i="63"/>
  <c r="W222" i="63"/>
  <c r="X224" i="63"/>
  <c r="W224" i="63"/>
  <c r="X215" i="63"/>
  <c r="W215" i="63"/>
  <c r="X219" i="63"/>
  <c r="W219" i="63"/>
  <c r="W221" i="63"/>
  <c r="X221" i="63"/>
  <c r="X207" i="63"/>
  <c r="W207" i="63"/>
  <c r="L67" i="52"/>
  <c r="L67" i="51"/>
  <c r="L67" i="49"/>
  <c r="L67" i="48"/>
  <c r="L67" i="46"/>
  <c r="M69" i="45"/>
  <c r="L133" i="44"/>
  <c r="AJ33" i="6"/>
  <c r="AH33" i="6"/>
  <c r="AF33" i="6"/>
  <c r="R33" i="6"/>
  <c r="P33" i="6"/>
  <c r="N33" i="6"/>
  <c r="V33" i="6"/>
  <c r="L33" i="6"/>
  <c r="AL33" i="6"/>
  <c r="X33" i="6"/>
  <c r="J33" i="6"/>
  <c r="AB33" i="6"/>
  <c r="Z33" i="6"/>
  <c r="AJ31" i="6"/>
  <c r="AH31" i="6"/>
  <c r="Z31" i="6"/>
  <c r="AF31" i="6"/>
  <c r="AB31" i="6"/>
  <c r="X31" i="6"/>
  <c r="R31" i="6"/>
  <c r="P31" i="6"/>
  <c r="N31" i="6"/>
  <c r="L31" i="6"/>
  <c r="J31" i="6"/>
  <c r="V31" i="6"/>
  <c r="AL31" i="6"/>
  <c r="AJ28" i="6"/>
  <c r="X28" i="6"/>
  <c r="V28" i="6"/>
  <c r="AH28" i="6"/>
  <c r="AF28" i="6"/>
  <c r="R28" i="6"/>
  <c r="P28" i="6"/>
  <c r="Z28" i="6"/>
  <c r="N28" i="6"/>
  <c r="L28" i="6"/>
  <c r="AL28" i="6"/>
  <c r="J28" i="6"/>
  <c r="G28" i="6"/>
  <c r="AB28" i="6"/>
  <c r="AJ34" i="6"/>
  <c r="AH34" i="6"/>
  <c r="V34" i="6"/>
  <c r="AF34" i="6"/>
  <c r="Z34" i="6"/>
  <c r="X34" i="6"/>
  <c r="R34" i="6"/>
  <c r="P34" i="6"/>
  <c r="N34" i="6"/>
  <c r="AB34" i="6"/>
  <c r="L34" i="6"/>
  <c r="J34" i="6"/>
  <c r="AL34" i="6"/>
  <c r="AJ32" i="6"/>
  <c r="X32" i="6"/>
  <c r="AH32" i="6"/>
  <c r="AF32" i="6"/>
  <c r="R32" i="6"/>
  <c r="P32" i="6"/>
  <c r="N32" i="6"/>
  <c r="L32" i="6"/>
  <c r="AL32" i="6"/>
  <c r="Z32" i="6"/>
  <c r="J32" i="6"/>
  <c r="AB32" i="6"/>
  <c r="V32" i="6"/>
  <c r="AJ29" i="6"/>
  <c r="AB29" i="6"/>
  <c r="Z29" i="6"/>
  <c r="AH29" i="6"/>
  <c r="AF29" i="6"/>
  <c r="X29" i="6"/>
  <c r="V29" i="6"/>
  <c r="R29" i="6"/>
  <c r="P29" i="6"/>
  <c r="N29" i="6"/>
  <c r="L29" i="6"/>
  <c r="J29" i="6"/>
  <c r="AL29" i="6"/>
  <c r="T34" i="6"/>
  <c r="AD32" i="6"/>
  <c r="AJ30" i="6"/>
  <c r="AH30" i="6"/>
  <c r="AF30" i="6"/>
  <c r="X30" i="6"/>
  <c r="R30" i="6"/>
  <c r="P30" i="6"/>
  <c r="V30" i="6"/>
  <c r="N30" i="6"/>
  <c r="L30" i="6"/>
  <c r="AL30" i="6"/>
  <c r="AB30" i="6"/>
  <c r="J30" i="6"/>
  <c r="Z30" i="6"/>
  <c r="AD30" i="6"/>
  <c r="AD31" i="6"/>
  <c r="AD29" i="6"/>
  <c r="AD34" i="6"/>
  <c r="AD28" i="6"/>
  <c r="AD33" i="6"/>
  <c r="T32" i="6"/>
  <c r="T30" i="6"/>
  <c r="T31" i="6"/>
  <c r="T33" i="6"/>
  <c r="T29" i="6"/>
  <c r="X223" i="66" l="1"/>
  <c r="W223" i="66"/>
  <c r="W219" i="66"/>
  <c r="X219" i="66"/>
  <c r="W206" i="63"/>
  <c r="B48" i="56"/>
  <c r="G39" i="56"/>
  <c r="H39" i="56" s="1"/>
  <c r="F39" i="56"/>
  <c r="D39" i="56"/>
  <c r="G38" i="56"/>
  <c r="H38" i="56" s="1"/>
  <c r="D38" i="56"/>
  <c r="G37" i="56"/>
  <c r="H37" i="56" s="1"/>
  <c r="D37" i="56"/>
  <c r="G36" i="56"/>
  <c r="H36" i="56" s="1"/>
  <c r="D36" i="56"/>
  <c r="G35" i="56"/>
  <c r="H35" i="56" s="1"/>
  <c r="D35" i="56"/>
  <c r="G34" i="56"/>
  <c r="H34" i="56" s="1"/>
  <c r="D34" i="56"/>
  <c r="J33" i="56"/>
  <c r="I33" i="56"/>
  <c r="G32" i="56"/>
  <c r="H32" i="56" s="1"/>
  <c r="D32" i="56"/>
  <c r="G31" i="56"/>
  <c r="H31" i="56" s="1"/>
  <c r="D31" i="56"/>
  <c r="G30" i="56"/>
  <c r="H30" i="56" s="1"/>
  <c r="D30" i="56"/>
  <c r="G29" i="56"/>
  <c r="H29" i="56" s="1"/>
  <c r="D29" i="56"/>
  <c r="G28" i="56"/>
  <c r="H28" i="56" s="1"/>
  <c r="F28" i="56"/>
  <c r="D28" i="56"/>
  <c r="G27" i="56"/>
  <c r="H27" i="56" s="1"/>
  <c r="D27" i="56"/>
  <c r="J26" i="56"/>
  <c r="I26" i="56"/>
  <c r="G25" i="56"/>
  <c r="H25" i="56" s="1"/>
  <c r="D25" i="56"/>
  <c r="G24" i="56"/>
  <c r="H24" i="56" s="1"/>
  <c r="F24" i="56"/>
  <c r="D24" i="56"/>
  <c r="G23" i="56"/>
  <c r="H23" i="56" s="1"/>
  <c r="F23" i="56"/>
  <c r="D23" i="56"/>
  <c r="G22" i="56"/>
  <c r="H22" i="56" s="1"/>
  <c r="D22" i="56"/>
  <c r="G21" i="56"/>
  <c r="H21" i="56" s="1"/>
  <c r="F21" i="56"/>
  <c r="D21" i="56"/>
  <c r="G20" i="56"/>
  <c r="H20" i="56" s="1"/>
  <c r="F20" i="56"/>
  <c r="D20" i="56"/>
  <c r="J19" i="56"/>
  <c r="I19" i="56"/>
  <c r="G18" i="56"/>
  <c r="H18" i="56" s="1"/>
  <c r="I12" i="56"/>
  <c r="G17" i="56"/>
  <c r="H17" i="56" s="1"/>
  <c r="F17" i="56"/>
  <c r="D17" i="56"/>
  <c r="G16" i="56"/>
  <c r="H16" i="56" s="1"/>
  <c r="D16" i="56"/>
  <c r="G15" i="56"/>
  <c r="H15" i="56" s="1"/>
  <c r="D15" i="56"/>
  <c r="G14" i="56"/>
  <c r="H14" i="56" s="1"/>
  <c r="D14" i="56"/>
  <c r="F13" i="56"/>
  <c r="B2" i="56"/>
  <c r="D2" i="56" s="1"/>
  <c r="G12" i="56"/>
  <c r="H12" i="56" s="1"/>
  <c r="F12" i="56"/>
  <c r="D12" i="56"/>
  <c r="G11" i="56"/>
  <c r="H11" i="56" s="1"/>
  <c r="F11" i="56"/>
  <c r="D11" i="56"/>
  <c r="G10" i="56"/>
  <c r="H10" i="56" s="1"/>
  <c r="F10" i="56"/>
  <c r="D10" i="56"/>
  <c r="G9" i="56"/>
  <c r="H9" i="56" s="1"/>
  <c r="F9" i="56"/>
  <c r="D9" i="56"/>
  <c r="G8" i="56"/>
  <c r="H8" i="56" s="1"/>
  <c r="F8" i="56"/>
  <c r="D8" i="56"/>
  <c r="G7" i="56"/>
  <c r="H7" i="56" s="1"/>
  <c r="F7" i="56"/>
  <c r="D7" i="56"/>
  <c r="G6" i="56"/>
  <c r="H6" i="56" s="1"/>
  <c r="F6" i="56"/>
  <c r="D6" i="56"/>
  <c r="A6" i="56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J5" i="56"/>
  <c r="I5" i="56"/>
  <c r="G5" i="56"/>
  <c r="H5" i="56" s="1"/>
  <c r="F5" i="56"/>
  <c r="D5" i="56"/>
  <c r="E3" i="56" l="1"/>
  <c r="F3" i="56" s="1"/>
  <c r="F31" i="56"/>
  <c r="D19" i="56"/>
  <c r="D26" i="56"/>
  <c r="D18" i="56"/>
  <c r="F26" i="56"/>
  <c r="F34" i="56"/>
  <c r="F15" i="56"/>
  <c r="G26" i="56"/>
  <c r="H26" i="56" s="1"/>
  <c r="F37" i="56"/>
  <c r="J12" i="56"/>
  <c r="F18" i="56"/>
  <c r="F29" i="56"/>
  <c r="F32" i="56"/>
  <c r="D13" i="56"/>
  <c r="F35" i="56"/>
  <c r="G13" i="56"/>
  <c r="F16" i="56"/>
  <c r="F38" i="56"/>
  <c r="F19" i="56"/>
  <c r="F27" i="56"/>
  <c r="D33" i="56"/>
  <c r="G19" i="56"/>
  <c r="H19" i="56" s="1"/>
  <c r="F30" i="56"/>
  <c r="F33" i="56"/>
  <c r="F22" i="56"/>
  <c r="G33" i="56"/>
  <c r="H33" i="56" s="1"/>
  <c r="F25" i="56"/>
  <c r="F14" i="56"/>
  <c r="F36" i="56"/>
  <c r="H13" i="56" l="1"/>
  <c r="G3" i="56"/>
  <c r="H3" i="56" s="1"/>
  <c r="M113" i="62" l="1"/>
  <c r="M112" i="62"/>
  <c r="M111" i="62"/>
  <c r="M110" i="62"/>
  <c r="M109" i="62"/>
  <c r="M105" i="62"/>
  <c r="M104" i="62"/>
  <c r="M103" i="62"/>
  <c r="M102" i="62"/>
  <c r="M101" i="62"/>
  <c r="M106" i="62" s="1"/>
  <c r="M97" i="62"/>
  <c r="M96" i="62"/>
  <c r="M95" i="62"/>
  <c r="M94" i="62"/>
  <c r="M93" i="62"/>
  <c r="M143" i="20"/>
  <c r="M142" i="20"/>
  <c r="M141" i="20"/>
  <c r="M146" i="20" s="1"/>
  <c r="M137" i="20"/>
  <c r="M136" i="20"/>
  <c r="M135" i="20"/>
  <c r="M134" i="20"/>
  <c r="M138" i="20" s="1"/>
  <c r="M133" i="20"/>
  <c r="M129" i="20"/>
  <c r="M128" i="20"/>
  <c r="M127" i="20"/>
  <c r="M126" i="20"/>
  <c r="M125" i="20"/>
  <c r="M130" i="20" s="1"/>
  <c r="M122" i="20"/>
  <c r="M121" i="20"/>
  <c r="M120" i="20"/>
  <c r="M119" i="20"/>
  <c r="M118" i="20"/>
  <c r="M117" i="20"/>
  <c r="B43" i="41"/>
  <c r="B42" i="41"/>
  <c r="K106" i="19" s="1"/>
  <c r="M113" i="19"/>
  <c r="M112" i="19"/>
  <c r="M111" i="19"/>
  <c r="M110" i="19"/>
  <c r="M109" i="19"/>
  <c r="M114" i="19" s="1"/>
  <c r="M106" i="19"/>
  <c r="M105" i="19"/>
  <c r="M104" i="19"/>
  <c r="M103" i="19"/>
  <c r="M102" i="19"/>
  <c r="M101" i="19"/>
  <c r="M97" i="19"/>
  <c r="M96" i="19"/>
  <c r="M95" i="19"/>
  <c r="M94" i="19"/>
  <c r="M93" i="19"/>
  <c r="M98" i="19" s="1"/>
  <c r="K98" i="19" l="1"/>
  <c r="K106" i="62"/>
  <c r="K130" i="20"/>
  <c r="K114" i="19"/>
  <c r="K122" i="20"/>
  <c r="K138" i="20"/>
  <c r="K146" i="20"/>
  <c r="M114" i="62"/>
  <c r="K114" i="62" s="1"/>
  <c r="M98" i="62"/>
  <c r="K98" i="62" s="1"/>
  <c r="B31" i="41"/>
  <c r="B32" i="41"/>
  <c r="C32" i="41" s="1"/>
  <c r="X174" i="63"/>
  <c r="R179" i="63"/>
  <c r="O179" i="63"/>
  <c r="S179" i="63" s="1"/>
  <c r="N179" i="63"/>
  <c r="L179" i="63"/>
  <c r="J179" i="63"/>
  <c r="F179" i="63"/>
  <c r="V178" i="63"/>
  <c r="X178" i="63" s="1"/>
  <c r="U178" i="63"/>
  <c r="S178" i="63"/>
  <c r="T178" i="63" s="1"/>
  <c r="R178" i="63"/>
  <c r="O178" i="63"/>
  <c r="P178" i="63" s="1"/>
  <c r="N178" i="63"/>
  <c r="L178" i="63"/>
  <c r="J178" i="63"/>
  <c r="F178" i="63"/>
  <c r="R177" i="63"/>
  <c r="O177" i="63"/>
  <c r="S177" i="63" s="1"/>
  <c r="N177" i="63"/>
  <c r="L177" i="63"/>
  <c r="J177" i="63"/>
  <c r="F177" i="63"/>
  <c r="R176" i="63"/>
  <c r="O176" i="63"/>
  <c r="S176" i="63" s="1"/>
  <c r="N176" i="63"/>
  <c r="L176" i="63"/>
  <c r="J176" i="63"/>
  <c r="F176" i="63"/>
  <c r="V175" i="63"/>
  <c r="X175" i="63" s="1"/>
  <c r="U175" i="63"/>
  <c r="T175" i="63"/>
  <c r="S175" i="63"/>
  <c r="R175" i="63"/>
  <c r="P175" i="63"/>
  <c r="O175" i="63"/>
  <c r="N175" i="63"/>
  <c r="L175" i="63"/>
  <c r="J175" i="63"/>
  <c r="F175" i="63"/>
  <c r="R174" i="63"/>
  <c r="P174" i="63"/>
  <c r="O174" i="63"/>
  <c r="S174" i="63" s="1"/>
  <c r="N174" i="63"/>
  <c r="L174" i="63"/>
  <c r="J174" i="63"/>
  <c r="F174" i="63"/>
  <c r="R173" i="63"/>
  <c r="O173" i="63"/>
  <c r="S173" i="63" s="1"/>
  <c r="N173" i="63"/>
  <c r="L173" i="63"/>
  <c r="J173" i="63"/>
  <c r="F173" i="63"/>
  <c r="AG185" i="66"/>
  <c r="AG187" i="66" s="1"/>
  <c r="G43" i="41" s="1"/>
  <c r="AH185" i="66"/>
  <c r="AH187" i="66" s="1"/>
  <c r="I43" i="41" s="1"/>
  <c r="AI185" i="66"/>
  <c r="AI187" i="66" s="1"/>
  <c r="K43" i="41" s="1"/>
  <c r="AJ185" i="66"/>
  <c r="AJ187" i="66" s="1"/>
  <c r="M43" i="41" s="1"/>
  <c r="AK185" i="66"/>
  <c r="AK187" i="66" s="1"/>
  <c r="G48" i="41" s="1"/>
  <c r="AL185" i="66"/>
  <c r="AL187" i="66" s="1"/>
  <c r="I48" i="41" s="1"/>
  <c r="AM185" i="66"/>
  <c r="AM187" i="66" s="1"/>
  <c r="K48" i="41" s="1"/>
  <c r="AH186" i="66"/>
  <c r="H43" i="41" s="1"/>
  <c r="AI186" i="66"/>
  <c r="J43" i="41" s="1"/>
  <c r="AJ186" i="66"/>
  <c r="L43" i="41" s="1"/>
  <c r="AK186" i="66"/>
  <c r="F48" i="41" s="1"/>
  <c r="AL186" i="66"/>
  <c r="H48" i="41" s="1"/>
  <c r="AM186" i="66"/>
  <c r="J48" i="41" s="1"/>
  <c r="AG186" i="66"/>
  <c r="F43" i="41" s="1"/>
  <c r="S202" i="66"/>
  <c r="R202" i="66"/>
  <c r="O202" i="66"/>
  <c r="T202" i="66" s="1"/>
  <c r="N202" i="66"/>
  <c r="L202" i="66"/>
  <c r="J202" i="66"/>
  <c r="S201" i="66"/>
  <c r="R201" i="66"/>
  <c r="O201" i="66"/>
  <c r="P201" i="66" s="1"/>
  <c r="N201" i="66"/>
  <c r="L201" i="66"/>
  <c r="J201" i="66"/>
  <c r="S200" i="66"/>
  <c r="R200" i="66"/>
  <c r="O200" i="66"/>
  <c r="P200" i="66" s="1"/>
  <c r="N200" i="66"/>
  <c r="L200" i="66"/>
  <c r="J200" i="66"/>
  <c r="S199" i="66"/>
  <c r="R199" i="66"/>
  <c r="O199" i="66"/>
  <c r="T199" i="66" s="1"/>
  <c r="N199" i="66"/>
  <c r="L199" i="66"/>
  <c r="J199" i="66"/>
  <c r="S198" i="66"/>
  <c r="R198" i="66"/>
  <c r="O198" i="66"/>
  <c r="T198" i="66" s="1"/>
  <c r="F198" i="66" s="1"/>
  <c r="N198" i="66"/>
  <c r="L198" i="66"/>
  <c r="J198" i="66"/>
  <c r="S197" i="66"/>
  <c r="R197" i="66"/>
  <c r="O197" i="66"/>
  <c r="T197" i="66" s="1"/>
  <c r="N197" i="66"/>
  <c r="L197" i="66"/>
  <c r="J197" i="66"/>
  <c r="S196" i="66"/>
  <c r="R196" i="66"/>
  <c r="O196" i="66"/>
  <c r="P196" i="66" s="1"/>
  <c r="N196" i="66"/>
  <c r="L196" i="66"/>
  <c r="J196" i="66"/>
  <c r="S195" i="66"/>
  <c r="R195" i="66"/>
  <c r="O195" i="66"/>
  <c r="P195" i="66" s="1"/>
  <c r="N195" i="66"/>
  <c r="L195" i="66"/>
  <c r="J195" i="66"/>
  <c r="S194" i="66"/>
  <c r="R194" i="66"/>
  <c r="O194" i="66"/>
  <c r="P194" i="66" s="1"/>
  <c r="N194" i="66"/>
  <c r="L194" i="66"/>
  <c r="J194" i="66"/>
  <c r="S193" i="66"/>
  <c r="R193" i="66"/>
  <c r="O193" i="66"/>
  <c r="T193" i="66" s="1"/>
  <c r="N193" i="66"/>
  <c r="L193" i="66"/>
  <c r="J193" i="66"/>
  <c r="S192" i="66"/>
  <c r="R192" i="66"/>
  <c r="O192" i="66"/>
  <c r="P192" i="66" s="1"/>
  <c r="N192" i="66"/>
  <c r="L192" i="66"/>
  <c r="J192" i="66"/>
  <c r="S191" i="66"/>
  <c r="R191" i="66"/>
  <c r="O191" i="66"/>
  <c r="T191" i="66" s="1"/>
  <c r="N191" i="66"/>
  <c r="L191" i="66"/>
  <c r="J191" i="66"/>
  <c r="S190" i="66"/>
  <c r="R190" i="66"/>
  <c r="O190" i="66"/>
  <c r="T190" i="66" s="1"/>
  <c r="N190" i="66"/>
  <c r="L190" i="66"/>
  <c r="J190" i="66"/>
  <c r="S189" i="66"/>
  <c r="R189" i="66"/>
  <c r="O189" i="66"/>
  <c r="P189" i="66" s="1"/>
  <c r="N189" i="66"/>
  <c r="L189" i="66"/>
  <c r="J189" i="66"/>
  <c r="S188" i="66"/>
  <c r="R188" i="66"/>
  <c r="O188" i="66"/>
  <c r="T188" i="66" s="1"/>
  <c r="N188" i="66"/>
  <c r="L188" i="66"/>
  <c r="J188" i="66"/>
  <c r="S187" i="66"/>
  <c r="R187" i="66"/>
  <c r="O187" i="66"/>
  <c r="T187" i="66" s="1"/>
  <c r="N187" i="66"/>
  <c r="L187" i="66"/>
  <c r="J187" i="66"/>
  <c r="S186" i="66"/>
  <c r="R186" i="66"/>
  <c r="O186" i="66"/>
  <c r="T186" i="66" s="1"/>
  <c r="N186" i="66"/>
  <c r="L186" i="66"/>
  <c r="J186" i="66"/>
  <c r="AF185" i="66"/>
  <c r="S185" i="66"/>
  <c r="R185" i="66"/>
  <c r="O185" i="66"/>
  <c r="T185" i="66" s="1"/>
  <c r="N185" i="66"/>
  <c r="L185" i="66"/>
  <c r="J185" i="66"/>
  <c r="S184" i="66"/>
  <c r="R184" i="66"/>
  <c r="O184" i="66"/>
  <c r="T184" i="66" s="1"/>
  <c r="N184" i="66"/>
  <c r="L184" i="66"/>
  <c r="J184" i="66"/>
  <c r="S183" i="66"/>
  <c r="R183" i="66"/>
  <c r="O183" i="66"/>
  <c r="P183" i="66" s="1"/>
  <c r="N183" i="66"/>
  <c r="L183" i="66"/>
  <c r="J183" i="66"/>
  <c r="AH163" i="66"/>
  <c r="AH165" i="66" s="1"/>
  <c r="I32" i="41" s="1"/>
  <c r="AI163" i="66"/>
  <c r="AI165" i="66" s="1"/>
  <c r="K32" i="41" s="1"/>
  <c r="AJ163" i="66"/>
  <c r="AJ165" i="66" s="1"/>
  <c r="M32" i="41" s="1"/>
  <c r="AK163" i="66"/>
  <c r="AK165" i="66" s="1"/>
  <c r="G37" i="41" s="1"/>
  <c r="AL163" i="66"/>
  <c r="AL165" i="66" s="1"/>
  <c r="I37" i="41" s="1"/>
  <c r="AM163" i="66"/>
  <c r="AM165" i="66" s="1"/>
  <c r="K37" i="41" s="1"/>
  <c r="AH164" i="66"/>
  <c r="H32" i="41" s="1"/>
  <c r="AI164" i="66"/>
  <c r="J32" i="41" s="1"/>
  <c r="AM164" i="66"/>
  <c r="J37" i="41" s="1"/>
  <c r="AG164" i="66"/>
  <c r="F32" i="41" s="1"/>
  <c r="AG163" i="66"/>
  <c r="AG165" i="66" s="1"/>
  <c r="G32" i="41" s="1"/>
  <c r="S180" i="66"/>
  <c r="R180" i="66"/>
  <c r="O180" i="66"/>
  <c r="T180" i="66" s="1"/>
  <c r="V180" i="66" s="1"/>
  <c r="N180" i="66"/>
  <c r="L180" i="66"/>
  <c r="J180" i="66"/>
  <c r="S179" i="66"/>
  <c r="R179" i="66"/>
  <c r="O179" i="66"/>
  <c r="P179" i="66" s="1"/>
  <c r="N179" i="66"/>
  <c r="L179" i="66"/>
  <c r="J179" i="66"/>
  <c r="S178" i="66"/>
  <c r="R178" i="66"/>
  <c r="O178" i="66"/>
  <c r="P178" i="66" s="1"/>
  <c r="N178" i="66"/>
  <c r="L178" i="66"/>
  <c r="J178" i="66"/>
  <c r="S177" i="66"/>
  <c r="R177" i="66"/>
  <c r="O177" i="66"/>
  <c r="T177" i="66" s="1"/>
  <c r="N177" i="66"/>
  <c r="L177" i="66"/>
  <c r="J177" i="66"/>
  <c r="S176" i="66"/>
  <c r="R176" i="66"/>
  <c r="O176" i="66"/>
  <c r="T176" i="66" s="1"/>
  <c r="F176" i="66" s="1"/>
  <c r="N176" i="66"/>
  <c r="L176" i="66"/>
  <c r="J176" i="66"/>
  <c r="S175" i="66"/>
  <c r="R175" i="66"/>
  <c r="O175" i="66"/>
  <c r="P175" i="66" s="1"/>
  <c r="N175" i="66"/>
  <c r="L175" i="66"/>
  <c r="J175" i="66"/>
  <c r="S174" i="66"/>
  <c r="R174" i="66"/>
  <c r="O174" i="66"/>
  <c r="T174" i="66" s="1"/>
  <c r="N174" i="66"/>
  <c r="L174" i="66"/>
  <c r="J174" i="66"/>
  <c r="S173" i="66"/>
  <c r="R173" i="66"/>
  <c r="O173" i="66"/>
  <c r="T173" i="66" s="1"/>
  <c r="N173" i="66"/>
  <c r="L173" i="66"/>
  <c r="J173" i="66"/>
  <c r="S172" i="66"/>
  <c r="R172" i="66"/>
  <c r="O172" i="66"/>
  <c r="P172" i="66" s="1"/>
  <c r="N172" i="66"/>
  <c r="L172" i="66"/>
  <c r="J172" i="66"/>
  <c r="S171" i="66"/>
  <c r="R171" i="66"/>
  <c r="O171" i="66"/>
  <c r="T171" i="66" s="1"/>
  <c r="N171" i="66"/>
  <c r="L171" i="66"/>
  <c r="J171" i="66"/>
  <c r="S170" i="66"/>
  <c r="R170" i="66"/>
  <c r="O170" i="66"/>
  <c r="P170" i="66" s="1"/>
  <c r="N170" i="66"/>
  <c r="L170" i="66"/>
  <c r="J170" i="66"/>
  <c r="S169" i="66"/>
  <c r="R169" i="66"/>
  <c r="O169" i="66"/>
  <c r="P169" i="66" s="1"/>
  <c r="N169" i="66"/>
  <c r="L169" i="66"/>
  <c r="J169" i="66"/>
  <c r="S168" i="66"/>
  <c r="R168" i="66"/>
  <c r="O168" i="66"/>
  <c r="T168" i="66" s="1"/>
  <c r="N168" i="66"/>
  <c r="L168" i="66"/>
  <c r="J168" i="66"/>
  <c r="S167" i="66"/>
  <c r="R167" i="66"/>
  <c r="O167" i="66"/>
  <c r="T167" i="66" s="1"/>
  <c r="N167" i="66"/>
  <c r="L167" i="66"/>
  <c r="J167" i="66"/>
  <c r="S166" i="66"/>
  <c r="R166" i="66"/>
  <c r="O166" i="66"/>
  <c r="P166" i="66" s="1"/>
  <c r="N166" i="66"/>
  <c r="L166" i="66"/>
  <c r="J166" i="66"/>
  <c r="S165" i="66"/>
  <c r="R165" i="66"/>
  <c r="O165" i="66"/>
  <c r="P165" i="66" s="1"/>
  <c r="N165" i="66"/>
  <c r="L165" i="66"/>
  <c r="J165" i="66"/>
  <c r="S164" i="66"/>
  <c r="R164" i="66"/>
  <c r="O164" i="66"/>
  <c r="P164" i="66" s="1"/>
  <c r="N164" i="66"/>
  <c r="L164" i="66"/>
  <c r="J164" i="66"/>
  <c r="AF163" i="66"/>
  <c r="S163" i="66"/>
  <c r="R163" i="66"/>
  <c r="O163" i="66"/>
  <c r="T163" i="66" s="1"/>
  <c r="V163" i="66" s="1"/>
  <c r="N163" i="66"/>
  <c r="L163" i="66"/>
  <c r="J163" i="66"/>
  <c r="S162" i="66"/>
  <c r="R162" i="66"/>
  <c r="O162" i="66"/>
  <c r="T162" i="66" s="1"/>
  <c r="N162" i="66"/>
  <c r="L162" i="66"/>
  <c r="J162" i="66"/>
  <c r="S161" i="66"/>
  <c r="R161" i="66"/>
  <c r="O161" i="66"/>
  <c r="P161" i="66" s="1"/>
  <c r="N161" i="66"/>
  <c r="L161" i="66"/>
  <c r="J161" i="66"/>
  <c r="AH185" i="63"/>
  <c r="AH187" i="63" s="1"/>
  <c r="I42" i="41" s="1"/>
  <c r="AI185" i="63"/>
  <c r="AI187" i="63" s="1"/>
  <c r="K42" i="41" s="1"/>
  <c r="AJ185" i="63"/>
  <c r="AJ187" i="63" s="1"/>
  <c r="M42" i="41" s="1"/>
  <c r="AK185" i="63"/>
  <c r="AK187" i="63" s="1"/>
  <c r="G47" i="41" s="1"/>
  <c r="AL185" i="63"/>
  <c r="AL187" i="63" s="1"/>
  <c r="I47" i="41" s="1"/>
  <c r="AM185" i="63"/>
  <c r="AM187" i="63" s="1"/>
  <c r="K47" i="41" s="1"/>
  <c r="AH186" i="63"/>
  <c r="H42" i="41" s="1"/>
  <c r="AI186" i="63"/>
  <c r="J42" i="41" s="1"/>
  <c r="AJ186" i="63"/>
  <c r="L42" i="41" s="1"/>
  <c r="AK186" i="63"/>
  <c r="F47" i="41" s="1"/>
  <c r="AL186" i="63"/>
  <c r="H47" i="41" s="1"/>
  <c r="AM186" i="63"/>
  <c r="J47" i="41" s="1"/>
  <c r="AG185" i="63"/>
  <c r="AG187" i="63" s="1"/>
  <c r="G42" i="41" s="1"/>
  <c r="AG186" i="63"/>
  <c r="F42" i="41" s="1"/>
  <c r="AF185" i="63"/>
  <c r="AH163" i="63"/>
  <c r="AI163" i="63"/>
  <c r="AI165" i="63" s="1"/>
  <c r="K31" i="41" s="1"/>
  <c r="AJ163" i="63"/>
  <c r="AJ165" i="63" s="1"/>
  <c r="M31" i="41" s="1"/>
  <c r="AK163" i="63"/>
  <c r="AK165" i="63" s="1"/>
  <c r="G36" i="41" s="1"/>
  <c r="AL163" i="63"/>
  <c r="AL165" i="63" s="1"/>
  <c r="I36" i="41" s="1"/>
  <c r="AM163" i="63"/>
  <c r="AM165" i="63" s="1"/>
  <c r="K36" i="41" s="1"/>
  <c r="AH164" i="63"/>
  <c r="H31" i="41" s="1"/>
  <c r="AJ164" i="63"/>
  <c r="L31" i="41" s="1"/>
  <c r="AM164" i="63"/>
  <c r="J36" i="41" s="1"/>
  <c r="AG163" i="63"/>
  <c r="AG165" i="63" s="1"/>
  <c r="G31" i="41" s="1"/>
  <c r="R202" i="63"/>
  <c r="O202" i="63"/>
  <c r="S202" i="63" s="1"/>
  <c r="N202" i="63"/>
  <c r="L202" i="63"/>
  <c r="J202" i="63"/>
  <c r="F202" i="63"/>
  <c r="R201" i="63"/>
  <c r="O201" i="63"/>
  <c r="P201" i="63" s="1"/>
  <c r="N201" i="63"/>
  <c r="L201" i="63"/>
  <c r="J201" i="63"/>
  <c r="F201" i="63"/>
  <c r="R200" i="63"/>
  <c r="O200" i="63"/>
  <c r="P200" i="63" s="1"/>
  <c r="N200" i="63"/>
  <c r="L200" i="63"/>
  <c r="J200" i="63"/>
  <c r="F200" i="63"/>
  <c r="R199" i="63"/>
  <c r="O199" i="63"/>
  <c r="S199" i="63" s="1"/>
  <c r="N199" i="63"/>
  <c r="L199" i="63"/>
  <c r="J199" i="63"/>
  <c r="F199" i="63"/>
  <c r="R198" i="63"/>
  <c r="O198" i="63"/>
  <c r="S198" i="63" s="1"/>
  <c r="U198" i="63" s="1"/>
  <c r="N198" i="63"/>
  <c r="L198" i="63"/>
  <c r="J198" i="63"/>
  <c r="F198" i="63"/>
  <c r="R197" i="63"/>
  <c r="O197" i="63"/>
  <c r="S197" i="63" s="1"/>
  <c r="N197" i="63"/>
  <c r="L197" i="63"/>
  <c r="J197" i="63"/>
  <c r="F197" i="63"/>
  <c r="R196" i="63"/>
  <c r="O196" i="63"/>
  <c r="S196" i="63" s="1"/>
  <c r="N196" i="63"/>
  <c r="L196" i="63"/>
  <c r="J196" i="63"/>
  <c r="F196" i="63"/>
  <c r="R195" i="63"/>
  <c r="O195" i="63"/>
  <c r="P195" i="63" s="1"/>
  <c r="N195" i="63"/>
  <c r="L195" i="63"/>
  <c r="J195" i="63"/>
  <c r="F195" i="63"/>
  <c r="R194" i="63"/>
  <c r="O194" i="63"/>
  <c r="S194" i="63" s="1"/>
  <c r="N194" i="63"/>
  <c r="L194" i="63"/>
  <c r="J194" i="63"/>
  <c r="F194" i="63"/>
  <c r="R193" i="63"/>
  <c r="O193" i="63"/>
  <c r="S193" i="63" s="1"/>
  <c r="N193" i="63"/>
  <c r="L193" i="63"/>
  <c r="J193" i="63"/>
  <c r="F193" i="63"/>
  <c r="R192" i="63"/>
  <c r="O192" i="63"/>
  <c r="P192" i="63" s="1"/>
  <c r="N192" i="63"/>
  <c r="L192" i="63"/>
  <c r="J192" i="63"/>
  <c r="F192" i="63"/>
  <c r="R191" i="63"/>
  <c r="O191" i="63"/>
  <c r="S191" i="63" s="1"/>
  <c r="N191" i="63"/>
  <c r="L191" i="63"/>
  <c r="J191" i="63"/>
  <c r="F191" i="63"/>
  <c r="R190" i="63"/>
  <c r="O190" i="63"/>
  <c r="P190" i="63" s="1"/>
  <c r="N190" i="63"/>
  <c r="L190" i="63"/>
  <c r="J190" i="63"/>
  <c r="F190" i="63"/>
  <c r="R189" i="63"/>
  <c r="O189" i="63"/>
  <c r="S189" i="63" s="1"/>
  <c r="N189" i="63"/>
  <c r="L189" i="63"/>
  <c r="J189" i="63"/>
  <c r="F189" i="63"/>
  <c r="R188" i="63"/>
  <c r="O188" i="63"/>
  <c r="S188" i="63" s="1"/>
  <c r="N188" i="63"/>
  <c r="L188" i="63"/>
  <c r="J188" i="63"/>
  <c r="F188" i="63"/>
  <c r="R187" i="63"/>
  <c r="O187" i="63"/>
  <c r="S187" i="63" s="1"/>
  <c r="N187" i="63"/>
  <c r="L187" i="63"/>
  <c r="J187" i="63"/>
  <c r="F187" i="63"/>
  <c r="R186" i="63"/>
  <c r="O186" i="63"/>
  <c r="S186" i="63" s="1"/>
  <c r="N186" i="63"/>
  <c r="L186" i="63"/>
  <c r="J186" i="63"/>
  <c r="F186" i="63"/>
  <c r="R185" i="63"/>
  <c r="O185" i="63"/>
  <c r="S185" i="63" s="1"/>
  <c r="N185" i="63"/>
  <c r="L185" i="63"/>
  <c r="J185" i="63"/>
  <c r="F185" i="63"/>
  <c r="S184" i="63"/>
  <c r="T184" i="63" s="1"/>
  <c r="R184" i="63"/>
  <c r="O184" i="63"/>
  <c r="P184" i="63" s="1"/>
  <c r="N184" i="63"/>
  <c r="L184" i="63"/>
  <c r="J184" i="63"/>
  <c r="F184" i="63"/>
  <c r="R183" i="63"/>
  <c r="O183" i="63"/>
  <c r="P183" i="63" s="1"/>
  <c r="N183" i="63"/>
  <c r="L183" i="63"/>
  <c r="J183" i="63"/>
  <c r="F183" i="63"/>
  <c r="R180" i="63"/>
  <c r="O180" i="63"/>
  <c r="S180" i="63" s="1"/>
  <c r="N180" i="63"/>
  <c r="L180" i="63"/>
  <c r="J180" i="63"/>
  <c r="F180" i="63"/>
  <c r="R172" i="63"/>
  <c r="O172" i="63"/>
  <c r="S172" i="63" s="1"/>
  <c r="N172" i="63"/>
  <c r="L172" i="63"/>
  <c r="J172" i="63"/>
  <c r="F172" i="63"/>
  <c r="R171" i="63"/>
  <c r="O171" i="63"/>
  <c r="P171" i="63" s="1"/>
  <c r="N171" i="63"/>
  <c r="L171" i="63"/>
  <c r="J171" i="63"/>
  <c r="F171" i="63"/>
  <c r="R170" i="63"/>
  <c r="O170" i="63"/>
  <c r="S170" i="63" s="1"/>
  <c r="N170" i="63"/>
  <c r="L170" i="63"/>
  <c r="J170" i="63"/>
  <c r="F170" i="63"/>
  <c r="R169" i="63"/>
  <c r="O169" i="63"/>
  <c r="S169" i="63" s="1"/>
  <c r="N169" i="63"/>
  <c r="L169" i="63"/>
  <c r="J169" i="63"/>
  <c r="F169" i="63"/>
  <c r="R168" i="63"/>
  <c r="O168" i="63"/>
  <c r="S168" i="63" s="1"/>
  <c r="T168" i="63" s="1"/>
  <c r="N168" i="63"/>
  <c r="L168" i="63"/>
  <c r="J168" i="63"/>
  <c r="F168" i="63"/>
  <c r="R167" i="63"/>
  <c r="O167" i="63"/>
  <c r="S167" i="63" s="1"/>
  <c r="N167" i="63"/>
  <c r="L167" i="63"/>
  <c r="J167" i="63"/>
  <c r="F167" i="63"/>
  <c r="R166" i="63"/>
  <c r="O166" i="63"/>
  <c r="S166" i="63" s="1"/>
  <c r="N166" i="63"/>
  <c r="L166" i="63"/>
  <c r="J166" i="63"/>
  <c r="F166" i="63"/>
  <c r="R165" i="63"/>
  <c r="O165" i="63"/>
  <c r="S165" i="63" s="1"/>
  <c r="N165" i="63"/>
  <c r="L165" i="63"/>
  <c r="J165" i="63"/>
  <c r="F165" i="63"/>
  <c r="R164" i="63"/>
  <c r="O164" i="63"/>
  <c r="S164" i="63" s="1"/>
  <c r="N164" i="63"/>
  <c r="L164" i="63"/>
  <c r="J164" i="63"/>
  <c r="F164" i="63"/>
  <c r="AK164" i="63" s="1"/>
  <c r="F36" i="41" s="1"/>
  <c r="AF163" i="63"/>
  <c r="R163" i="63"/>
  <c r="O163" i="63"/>
  <c r="S163" i="63" s="1"/>
  <c r="N163" i="63"/>
  <c r="L163" i="63"/>
  <c r="J163" i="63"/>
  <c r="F163" i="63"/>
  <c r="R162" i="63"/>
  <c r="O162" i="63"/>
  <c r="P162" i="63" s="1"/>
  <c r="N162" i="63"/>
  <c r="L162" i="63"/>
  <c r="J162" i="63"/>
  <c r="F162" i="63"/>
  <c r="R161" i="63"/>
  <c r="O161" i="63"/>
  <c r="S161" i="63" s="1"/>
  <c r="N161" i="63"/>
  <c r="L161" i="63"/>
  <c r="J161" i="63"/>
  <c r="F161" i="63"/>
  <c r="AI164" i="63" s="1"/>
  <c r="J31" i="41" s="1"/>
  <c r="J64" i="25"/>
  <c r="J63" i="25"/>
  <c r="J62" i="25"/>
  <c r="J61" i="25"/>
  <c r="J60" i="25"/>
  <c r="J77" i="24"/>
  <c r="J76" i="24"/>
  <c r="J75" i="24"/>
  <c r="J74" i="24"/>
  <c r="J73" i="24"/>
  <c r="J72" i="24"/>
  <c r="J71" i="24"/>
  <c r="J68" i="23"/>
  <c r="J67" i="23"/>
  <c r="J66" i="23"/>
  <c r="J65" i="23"/>
  <c r="J64" i="23"/>
  <c r="J63" i="23"/>
  <c r="J62" i="23"/>
  <c r="J61" i="23"/>
  <c r="J60" i="23"/>
  <c r="J72" i="22"/>
  <c r="J74" i="22"/>
  <c r="J73" i="22"/>
  <c r="J71" i="22"/>
  <c r="J75" i="22"/>
  <c r="J61" i="22"/>
  <c r="J60" i="22"/>
  <c r="J62" i="15"/>
  <c r="J73" i="15"/>
  <c r="J72" i="15"/>
  <c r="J71" i="15"/>
  <c r="J68" i="15"/>
  <c r="J67" i="15"/>
  <c r="J66" i="15"/>
  <c r="J65" i="15"/>
  <c r="J64" i="15"/>
  <c r="J63" i="15"/>
  <c r="J61" i="15"/>
  <c r="J60" i="15"/>
  <c r="B86" i="25"/>
  <c r="A86" i="25"/>
  <c r="J47" i="15"/>
  <c r="J46" i="15"/>
  <c r="J45" i="15"/>
  <c r="J43" i="15"/>
  <c r="J42" i="15"/>
  <c r="J41" i="15"/>
  <c r="J40" i="15"/>
  <c r="J39" i="15"/>
  <c r="J38" i="15"/>
  <c r="J37" i="15"/>
  <c r="J35" i="15"/>
  <c r="J34" i="15"/>
  <c r="T201" i="66" l="1"/>
  <c r="F201" i="66" s="1"/>
  <c r="V197" i="66"/>
  <c r="X197" i="66" s="1"/>
  <c r="F197" i="66"/>
  <c r="P198" i="66"/>
  <c r="P197" i="66"/>
  <c r="T200" i="66"/>
  <c r="S201" i="63"/>
  <c r="T201" i="63" s="1"/>
  <c r="P198" i="63"/>
  <c r="S190" i="63"/>
  <c r="T190" i="63" s="1"/>
  <c r="U184" i="63"/>
  <c r="V184" i="63"/>
  <c r="X184" i="63" s="1"/>
  <c r="K110" i="20"/>
  <c r="K78" i="19"/>
  <c r="K86" i="20"/>
  <c r="C31" i="41"/>
  <c r="V177" i="63"/>
  <c r="U177" i="63"/>
  <c r="T177" i="63"/>
  <c r="V173" i="63"/>
  <c r="U173" i="63"/>
  <c r="T173" i="63"/>
  <c r="V176" i="63"/>
  <c r="U176" i="63"/>
  <c r="T176" i="63"/>
  <c r="V179" i="63"/>
  <c r="U179" i="63"/>
  <c r="T179" i="63"/>
  <c r="V174" i="63"/>
  <c r="U174" i="63"/>
  <c r="T174" i="63"/>
  <c r="W178" i="63"/>
  <c r="W175" i="63"/>
  <c r="P177" i="63"/>
  <c r="P179" i="63"/>
  <c r="P176" i="63"/>
  <c r="P173" i="63"/>
  <c r="AG164" i="63"/>
  <c r="F31" i="41" s="1"/>
  <c r="AL164" i="63"/>
  <c r="H36" i="41" s="1"/>
  <c r="S162" i="63"/>
  <c r="V162" i="63" s="1"/>
  <c r="V188" i="66"/>
  <c r="U188" i="66"/>
  <c r="F188" i="66"/>
  <c r="U184" i="66"/>
  <c r="F184" i="66"/>
  <c r="V184" i="66"/>
  <c r="U202" i="66"/>
  <c r="V202" i="66"/>
  <c r="F202" i="66"/>
  <c r="U186" i="66"/>
  <c r="V186" i="66"/>
  <c r="F186" i="66"/>
  <c r="U185" i="66"/>
  <c r="V185" i="66"/>
  <c r="F185" i="66"/>
  <c r="V190" i="66"/>
  <c r="F190" i="66"/>
  <c r="U190" i="66"/>
  <c r="V191" i="66"/>
  <c r="U191" i="66"/>
  <c r="F191" i="66"/>
  <c r="U193" i="66"/>
  <c r="F193" i="66"/>
  <c r="V193" i="66"/>
  <c r="F199" i="66"/>
  <c r="V199" i="66"/>
  <c r="U199" i="66"/>
  <c r="V187" i="66"/>
  <c r="U187" i="66"/>
  <c r="F187" i="66"/>
  <c r="T195" i="66"/>
  <c r="U198" i="66"/>
  <c r="T192" i="66"/>
  <c r="V198" i="66"/>
  <c r="T183" i="66"/>
  <c r="T189" i="66"/>
  <c r="T194" i="66"/>
  <c r="V200" i="66"/>
  <c r="P185" i="66"/>
  <c r="P191" i="66"/>
  <c r="P186" i="66"/>
  <c r="P188" i="66"/>
  <c r="U197" i="66"/>
  <c r="P193" i="66"/>
  <c r="T196" i="66"/>
  <c r="P187" i="66"/>
  <c r="P202" i="66"/>
  <c r="P199" i="66"/>
  <c r="P184" i="66"/>
  <c r="P190" i="66"/>
  <c r="T164" i="66"/>
  <c r="V164" i="66" s="1"/>
  <c r="W164" i="66" s="1"/>
  <c r="T172" i="66"/>
  <c r="F172" i="66" s="1"/>
  <c r="T169" i="66"/>
  <c r="V169" i="66" s="1"/>
  <c r="X169" i="66" s="1"/>
  <c r="T166" i="66"/>
  <c r="V166" i="66" s="1"/>
  <c r="X166" i="66" s="1"/>
  <c r="P163" i="66"/>
  <c r="P176" i="66"/>
  <c r="T179" i="66"/>
  <c r="F179" i="66" s="1"/>
  <c r="T175" i="66"/>
  <c r="U175" i="66" s="1"/>
  <c r="T178" i="66"/>
  <c r="V178" i="66" s="1"/>
  <c r="W178" i="66" s="1"/>
  <c r="T165" i="66"/>
  <c r="V165" i="66" s="1"/>
  <c r="X165" i="66" s="1"/>
  <c r="P180" i="66"/>
  <c r="X163" i="66"/>
  <c r="W163" i="66"/>
  <c r="F167" i="66"/>
  <c r="V167" i="66"/>
  <c r="U167" i="66"/>
  <c r="F168" i="66"/>
  <c r="U168" i="66"/>
  <c r="V168" i="66"/>
  <c r="F173" i="66"/>
  <c r="V173" i="66"/>
  <c r="U173" i="66"/>
  <c r="U171" i="66"/>
  <c r="F171" i="66"/>
  <c r="V171" i="66"/>
  <c r="V174" i="66"/>
  <c r="U174" i="66"/>
  <c r="F174" i="66"/>
  <c r="U162" i="66"/>
  <c r="F162" i="66"/>
  <c r="V162" i="66"/>
  <c r="V177" i="66"/>
  <c r="U177" i="66"/>
  <c r="F177" i="66"/>
  <c r="W166" i="66"/>
  <c r="X180" i="66"/>
  <c r="W180" i="66"/>
  <c r="P173" i="66"/>
  <c r="P167" i="66"/>
  <c r="F163" i="66"/>
  <c r="F169" i="66"/>
  <c r="U176" i="66"/>
  <c r="F166" i="66"/>
  <c r="T170" i="66"/>
  <c r="V176" i="66"/>
  <c r="T161" i="66"/>
  <c r="F180" i="66"/>
  <c r="U163" i="66"/>
  <c r="P177" i="66"/>
  <c r="U166" i="66"/>
  <c r="P174" i="66"/>
  <c r="P171" i="66"/>
  <c r="P162" i="66"/>
  <c r="P168" i="66"/>
  <c r="U180" i="66"/>
  <c r="V191" i="63"/>
  <c r="U191" i="63"/>
  <c r="T191" i="63"/>
  <c r="U193" i="63"/>
  <c r="T193" i="63"/>
  <c r="V193" i="63"/>
  <c r="V187" i="63"/>
  <c r="U187" i="63"/>
  <c r="T187" i="63"/>
  <c r="V197" i="63"/>
  <c r="U197" i="63"/>
  <c r="T197" i="63"/>
  <c r="V194" i="63"/>
  <c r="U194" i="63"/>
  <c r="T194" i="63"/>
  <c r="V188" i="63"/>
  <c r="U188" i="63"/>
  <c r="T188" i="63"/>
  <c r="V186" i="63"/>
  <c r="U186" i="63"/>
  <c r="T186" i="63"/>
  <c r="U189" i="63"/>
  <c r="V189" i="63"/>
  <c r="T189" i="63"/>
  <c r="V185" i="63"/>
  <c r="U185" i="63"/>
  <c r="T185" i="63"/>
  <c r="V202" i="63"/>
  <c r="U202" i="63"/>
  <c r="T202" i="63"/>
  <c r="V196" i="63"/>
  <c r="U196" i="63"/>
  <c r="T196" i="63"/>
  <c r="V199" i="63"/>
  <c r="U199" i="63"/>
  <c r="T199" i="63"/>
  <c r="P189" i="63"/>
  <c r="S195" i="63"/>
  <c r="T198" i="63"/>
  <c r="U201" i="63"/>
  <c r="S192" i="63"/>
  <c r="V201" i="63"/>
  <c r="S183" i="63"/>
  <c r="V198" i="63"/>
  <c r="P194" i="63"/>
  <c r="S200" i="63"/>
  <c r="P197" i="63"/>
  <c r="P185" i="63"/>
  <c r="P191" i="63"/>
  <c r="P186" i="63"/>
  <c r="P187" i="63"/>
  <c r="P188" i="63"/>
  <c r="P202" i="63"/>
  <c r="P199" i="63"/>
  <c r="P196" i="63"/>
  <c r="P193" i="63"/>
  <c r="U168" i="63"/>
  <c r="S171" i="63"/>
  <c r="U171" i="63" s="1"/>
  <c r="V168" i="63"/>
  <c r="W168" i="63" s="1"/>
  <c r="X162" i="63"/>
  <c r="W162" i="63"/>
  <c r="V167" i="63"/>
  <c r="U167" i="63"/>
  <c r="T167" i="63"/>
  <c r="V170" i="63"/>
  <c r="U170" i="63"/>
  <c r="T170" i="63"/>
  <c r="V161" i="63"/>
  <c r="U161" i="63"/>
  <c r="T161" i="63"/>
  <c r="P161" i="63"/>
  <c r="AH165" i="63"/>
  <c r="I31" i="41" s="1"/>
  <c r="V166" i="63"/>
  <c r="U166" i="63"/>
  <c r="T166" i="63"/>
  <c r="V169" i="63"/>
  <c r="U169" i="63"/>
  <c r="T169" i="63"/>
  <c r="V165" i="63"/>
  <c r="U165" i="63"/>
  <c r="T165" i="63"/>
  <c r="P167" i="63"/>
  <c r="V172" i="63"/>
  <c r="U172" i="63"/>
  <c r="T172" i="63"/>
  <c r="T162" i="63"/>
  <c r="U162" i="63"/>
  <c r="P170" i="63"/>
  <c r="V164" i="63"/>
  <c r="U164" i="63"/>
  <c r="T164" i="63"/>
  <c r="U180" i="63"/>
  <c r="T180" i="63"/>
  <c r="V163" i="63"/>
  <c r="U163" i="63"/>
  <c r="T163" i="63"/>
  <c r="V180" i="63"/>
  <c r="P172" i="63"/>
  <c r="P163" i="63"/>
  <c r="P169" i="63"/>
  <c r="P164" i="63"/>
  <c r="P165" i="63"/>
  <c r="P166" i="63"/>
  <c r="P180" i="63"/>
  <c r="P168" i="63"/>
  <c r="AW49" i="52"/>
  <c r="AW48" i="52"/>
  <c r="AW47" i="52"/>
  <c r="AR51" i="52"/>
  <c r="AR50" i="52"/>
  <c r="AR49" i="52"/>
  <c r="X50" i="52"/>
  <c r="X49" i="52"/>
  <c r="AV51" i="52"/>
  <c r="AW51" i="52" s="1"/>
  <c r="AQ51" i="52"/>
  <c r="AL51" i="52"/>
  <c r="AM51" i="52" s="1"/>
  <c r="AG51" i="52"/>
  <c r="AH51" i="52" s="1"/>
  <c r="AB51" i="52"/>
  <c r="AC51" i="52" s="1"/>
  <c r="W51" i="52"/>
  <c r="X51" i="52" s="1"/>
  <c r="R51" i="52"/>
  <c r="S51" i="52" s="1"/>
  <c r="J51" i="52"/>
  <c r="I51" i="52"/>
  <c r="G51" i="52"/>
  <c r="AV50" i="52"/>
  <c r="AW50" i="52" s="1"/>
  <c r="AQ50" i="52"/>
  <c r="AL50" i="52"/>
  <c r="AG50" i="52"/>
  <c r="AB50" i="52"/>
  <c r="W50" i="52"/>
  <c r="R50" i="52"/>
  <c r="S50" i="52" s="1"/>
  <c r="J50" i="52"/>
  <c r="I50" i="52"/>
  <c r="G50" i="52"/>
  <c r="AV49" i="52"/>
  <c r="AQ49" i="52"/>
  <c r="AL49" i="52"/>
  <c r="AM49" i="52" s="1"/>
  <c r="AG49" i="52"/>
  <c r="AH49" i="52" s="1"/>
  <c r="AB49" i="52"/>
  <c r="AC49" i="52" s="1"/>
  <c r="W49" i="52"/>
  <c r="R49" i="52"/>
  <c r="S49" i="52" s="1"/>
  <c r="J49" i="52"/>
  <c r="I49" i="52"/>
  <c r="G49" i="52"/>
  <c r="AV48" i="52"/>
  <c r="AQ48" i="52"/>
  <c r="AR48" i="52" s="1"/>
  <c r="AL48" i="52"/>
  <c r="AG48" i="52"/>
  <c r="AH48" i="52" s="1"/>
  <c r="AB48" i="52"/>
  <c r="W48" i="52"/>
  <c r="X48" i="52" s="1"/>
  <c r="R48" i="52"/>
  <c r="S48" i="52" s="1"/>
  <c r="J48" i="52"/>
  <c r="I48" i="52"/>
  <c r="G48" i="52"/>
  <c r="AV47" i="52"/>
  <c r="AQ47" i="52"/>
  <c r="AS47" i="52" s="1"/>
  <c r="AL47" i="52"/>
  <c r="AN47" i="52" s="1"/>
  <c r="AG47" i="52"/>
  <c r="AH50" i="52" s="1"/>
  <c r="AD47" i="52"/>
  <c r="AB47" i="52"/>
  <c r="W47" i="52"/>
  <c r="R47" i="52"/>
  <c r="K47" i="52" s="1"/>
  <c r="J47" i="52"/>
  <c r="I47" i="52"/>
  <c r="G47" i="52"/>
  <c r="AC53" i="51"/>
  <c r="AC52" i="51"/>
  <c r="AC51" i="51"/>
  <c r="AC48" i="51"/>
  <c r="AC47" i="51"/>
  <c r="X49" i="51"/>
  <c r="X48" i="51"/>
  <c r="AW53" i="51"/>
  <c r="AW52" i="51"/>
  <c r="AW49" i="51"/>
  <c r="AW48" i="51"/>
  <c r="AV53" i="51"/>
  <c r="AQ53" i="51"/>
  <c r="AR53" i="51" s="1"/>
  <c r="AL53" i="51"/>
  <c r="AG53" i="51"/>
  <c r="AH53" i="51" s="1"/>
  <c r="AB53" i="51"/>
  <c r="W53" i="51"/>
  <c r="R53" i="51"/>
  <c r="S53" i="51" s="1"/>
  <c r="J53" i="51"/>
  <c r="I53" i="51"/>
  <c r="G53" i="51"/>
  <c r="AV52" i="51"/>
  <c r="AQ52" i="51"/>
  <c r="AR52" i="51" s="1"/>
  <c r="AL52" i="51"/>
  <c r="AM52" i="51" s="1"/>
  <c r="AG52" i="51"/>
  <c r="AH52" i="51" s="1"/>
  <c r="AB52" i="51"/>
  <c r="W52" i="51"/>
  <c r="X52" i="51" s="1"/>
  <c r="R52" i="51"/>
  <c r="S52" i="51" s="1"/>
  <c r="J52" i="51"/>
  <c r="I52" i="51"/>
  <c r="G52" i="51"/>
  <c r="AV51" i="51"/>
  <c r="AW51" i="51" s="1"/>
  <c r="AQ51" i="51"/>
  <c r="AR51" i="51" s="1"/>
  <c r="AL51" i="51"/>
  <c r="AM51" i="51" s="1"/>
  <c r="AG51" i="51"/>
  <c r="AH51" i="51" s="1"/>
  <c r="AB51" i="51"/>
  <c r="W51" i="51"/>
  <c r="R51" i="51"/>
  <c r="S51" i="51" s="1"/>
  <c r="J51" i="51"/>
  <c r="I51" i="51"/>
  <c r="G51" i="51"/>
  <c r="AV50" i="51"/>
  <c r="AW50" i="51" s="1"/>
  <c r="AQ50" i="51"/>
  <c r="AR50" i="51" s="1"/>
  <c r="AL50" i="51"/>
  <c r="AM50" i="51" s="1"/>
  <c r="AG50" i="51"/>
  <c r="AH50" i="51" s="1"/>
  <c r="AB50" i="51"/>
  <c r="AC50" i="51" s="1"/>
  <c r="W50" i="51"/>
  <c r="X50" i="51" s="1"/>
  <c r="R50" i="51"/>
  <c r="S50" i="51" s="1"/>
  <c r="J50" i="51"/>
  <c r="I50" i="51"/>
  <c r="G50" i="51"/>
  <c r="AV49" i="51"/>
  <c r="AQ49" i="51"/>
  <c r="AL49" i="51"/>
  <c r="AM49" i="51" s="1"/>
  <c r="AG49" i="51"/>
  <c r="AH49" i="51" s="1"/>
  <c r="AB49" i="51"/>
  <c r="AC49" i="51" s="1"/>
  <c r="W49" i="51"/>
  <c r="R49" i="51"/>
  <c r="S49" i="51" s="1"/>
  <c r="J49" i="51"/>
  <c r="I49" i="51"/>
  <c r="G49" i="51"/>
  <c r="AV48" i="51"/>
  <c r="AQ48" i="51"/>
  <c r="AR49" i="51" s="1"/>
  <c r="AL48" i="51"/>
  <c r="AM48" i="51" s="1"/>
  <c r="AG48" i="51"/>
  <c r="AH47" i="51" s="1"/>
  <c r="AB48" i="51"/>
  <c r="W48" i="51"/>
  <c r="Y47" i="51" s="1"/>
  <c r="R48" i="51"/>
  <c r="S48" i="51" s="1"/>
  <c r="J48" i="51"/>
  <c r="I48" i="51"/>
  <c r="G48" i="51"/>
  <c r="AV47" i="51"/>
  <c r="AW47" i="51" s="1"/>
  <c r="AQ47" i="51"/>
  <c r="AL47" i="51"/>
  <c r="AG47" i="51"/>
  <c r="AB47" i="51"/>
  <c r="W47" i="51"/>
  <c r="R47" i="51"/>
  <c r="J47" i="51"/>
  <c r="I47" i="51"/>
  <c r="G47" i="51"/>
  <c r="H47" i="51" s="1"/>
  <c r="U42" i="50"/>
  <c r="Z42" i="50" s="1"/>
  <c r="AE42" i="50" s="1"/>
  <c r="AJ42" i="50" s="1"/>
  <c r="AO42" i="50" s="1"/>
  <c r="AT42" i="50" s="1"/>
  <c r="AW52" i="49"/>
  <c r="AW50" i="49"/>
  <c r="AM55" i="49"/>
  <c r="AM50" i="49"/>
  <c r="AM48" i="49"/>
  <c r="AC53" i="49"/>
  <c r="AC49" i="49"/>
  <c r="AC48" i="49"/>
  <c r="AC47" i="49"/>
  <c r="X55" i="49"/>
  <c r="X51" i="49"/>
  <c r="X49" i="49"/>
  <c r="AV55" i="49"/>
  <c r="AW55" i="49" s="1"/>
  <c r="AQ55" i="49"/>
  <c r="AL55" i="49"/>
  <c r="AG55" i="49"/>
  <c r="AB55" i="49"/>
  <c r="W55" i="49"/>
  <c r="R55" i="49"/>
  <c r="S55" i="49" s="1"/>
  <c r="J55" i="49"/>
  <c r="I55" i="49"/>
  <c r="G55" i="49"/>
  <c r="AV54" i="49"/>
  <c r="AW54" i="49" s="1"/>
  <c r="AQ54" i="49"/>
  <c r="AR54" i="49" s="1"/>
  <c r="AL54" i="49"/>
  <c r="AM54" i="49" s="1"/>
  <c r="AG54" i="49"/>
  <c r="AH54" i="49" s="1"/>
  <c r="AB54" i="49"/>
  <c r="AC54" i="49" s="1"/>
  <c r="W54" i="49"/>
  <c r="R54" i="49"/>
  <c r="S54" i="49" s="1"/>
  <c r="J54" i="49"/>
  <c r="I54" i="49"/>
  <c r="G54" i="49"/>
  <c r="AV53" i="49"/>
  <c r="AW53" i="49" s="1"/>
  <c r="AQ53" i="49"/>
  <c r="AL53" i="49"/>
  <c r="AG53" i="49"/>
  <c r="AB53" i="49"/>
  <c r="W53" i="49"/>
  <c r="R53" i="49"/>
  <c r="K53" i="49" s="1"/>
  <c r="J53" i="49"/>
  <c r="I53" i="49"/>
  <c r="G53" i="49"/>
  <c r="AV52" i="49"/>
  <c r="AQ52" i="49"/>
  <c r="AR52" i="49" s="1"/>
  <c r="AL52" i="49"/>
  <c r="AM52" i="49" s="1"/>
  <c r="AG52" i="49"/>
  <c r="AH52" i="49" s="1"/>
  <c r="AB52" i="49"/>
  <c r="AC52" i="49" s="1"/>
  <c r="W52" i="49"/>
  <c r="X52" i="49" s="1"/>
  <c r="R52" i="49"/>
  <c r="J52" i="49"/>
  <c r="I52" i="49"/>
  <c r="G52" i="49"/>
  <c r="AV51" i="49"/>
  <c r="AW51" i="49" s="1"/>
  <c r="AQ51" i="49"/>
  <c r="AR51" i="49" s="1"/>
  <c r="AL51" i="49"/>
  <c r="AG51" i="49"/>
  <c r="AB51" i="49"/>
  <c r="W51" i="49"/>
  <c r="R51" i="49"/>
  <c r="S51" i="49" s="1"/>
  <c r="J51" i="49"/>
  <c r="I51" i="49"/>
  <c r="G51" i="49"/>
  <c r="AV50" i="49"/>
  <c r="AQ50" i="49"/>
  <c r="AL50" i="49"/>
  <c r="AG50" i="49"/>
  <c r="AH50" i="49" s="1"/>
  <c r="AB50" i="49"/>
  <c r="AC50" i="49" s="1"/>
  <c r="W50" i="49"/>
  <c r="X50" i="49" s="1"/>
  <c r="R50" i="49"/>
  <c r="S50" i="49" s="1"/>
  <c r="J50" i="49"/>
  <c r="I50" i="49"/>
  <c r="G50" i="49"/>
  <c r="AV49" i="49"/>
  <c r="AW49" i="49" s="1"/>
  <c r="AQ49" i="49"/>
  <c r="AR49" i="49" s="1"/>
  <c r="AL49" i="49"/>
  <c r="AG49" i="49"/>
  <c r="AH49" i="49" s="1"/>
  <c r="AB49" i="49"/>
  <c r="W49" i="49"/>
  <c r="R49" i="49"/>
  <c r="S49" i="49" s="1"/>
  <c r="J49" i="49"/>
  <c r="I49" i="49"/>
  <c r="G49" i="49"/>
  <c r="AV48" i="49"/>
  <c r="AW48" i="49" s="1"/>
  <c r="AQ48" i="49"/>
  <c r="AR48" i="49" s="1"/>
  <c r="AL48" i="49"/>
  <c r="AM47" i="49" s="1"/>
  <c r="AG48" i="49"/>
  <c r="AH48" i="49" s="1"/>
  <c r="AB48" i="49"/>
  <c r="AC51" i="49" s="1"/>
  <c r="W48" i="49"/>
  <c r="X53" i="49" s="1"/>
  <c r="R48" i="49"/>
  <c r="S48" i="49" s="1"/>
  <c r="J48" i="49"/>
  <c r="I48" i="49"/>
  <c r="G48" i="49"/>
  <c r="AV47" i="49"/>
  <c r="AQ47" i="49"/>
  <c r="AR47" i="49" s="1"/>
  <c r="AL47" i="49"/>
  <c r="AG47" i="49"/>
  <c r="AB47" i="49"/>
  <c r="W47" i="49"/>
  <c r="R47" i="49"/>
  <c r="S47" i="49" s="1"/>
  <c r="J47" i="49"/>
  <c r="I47" i="49"/>
  <c r="G47" i="49"/>
  <c r="AC49" i="48"/>
  <c r="AC48" i="48"/>
  <c r="AC47" i="48"/>
  <c r="X55" i="48"/>
  <c r="X53" i="48"/>
  <c r="X52" i="48"/>
  <c r="X51" i="48"/>
  <c r="X49" i="48"/>
  <c r="AV55" i="48"/>
  <c r="AQ55" i="48"/>
  <c r="AL55" i="48"/>
  <c r="AM55" i="48" s="1"/>
  <c r="AG55" i="48"/>
  <c r="AH55" i="48" s="1"/>
  <c r="AB55" i="48"/>
  <c r="AC55" i="48" s="1"/>
  <c r="W55" i="48"/>
  <c r="R55" i="48"/>
  <c r="S55" i="48" s="1"/>
  <c r="J55" i="48"/>
  <c r="I55" i="48"/>
  <c r="G55" i="48"/>
  <c r="R54" i="48"/>
  <c r="K54" i="48" s="1"/>
  <c r="J54" i="48"/>
  <c r="I54" i="48"/>
  <c r="G54" i="48"/>
  <c r="AV53" i="48"/>
  <c r="AW53" i="48" s="1"/>
  <c r="AQ53" i="48"/>
  <c r="AR53" i="48" s="1"/>
  <c r="AL53" i="48"/>
  <c r="AM53" i="48" s="1"/>
  <c r="AG53" i="48"/>
  <c r="AH53" i="48" s="1"/>
  <c r="AB53" i="48"/>
  <c r="AC53" i="48" s="1"/>
  <c r="W53" i="48"/>
  <c r="R53" i="48"/>
  <c r="S53" i="48" s="1"/>
  <c r="J53" i="48"/>
  <c r="I53" i="48"/>
  <c r="G53" i="48"/>
  <c r="AV52" i="48"/>
  <c r="AQ52" i="48"/>
  <c r="AL52" i="48"/>
  <c r="AG52" i="48"/>
  <c r="AB52" i="48"/>
  <c r="AC52" i="48" s="1"/>
  <c r="W52" i="48"/>
  <c r="R52" i="48"/>
  <c r="J52" i="48"/>
  <c r="I52" i="48"/>
  <c r="G52" i="48"/>
  <c r="AV51" i="48"/>
  <c r="AW51" i="48" s="1"/>
  <c r="AQ51" i="48"/>
  <c r="AR51" i="48" s="1"/>
  <c r="AL51" i="48"/>
  <c r="AM51" i="48" s="1"/>
  <c r="AG51" i="48"/>
  <c r="AH51" i="48" s="1"/>
  <c r="AB51" i="48"/>
  <c r="AC51" i="48" s="1"/>
  <c r="W51" i="48"/>
  <c r="R51" i="48"/>
  <c r="S51" i="48" s="1"/>
  <c r="J51" i="48"/>
  <c r="I51" i="48"/>
  <c r="G51" i="48"/>
  <c r="AV50" i="48"/>
  <c r="AW50" i="48" s="1"/>
  <c r="AQ50" i="48"/>
  <c r="AR50" i="48" s="1"/>
  <c r="AL50" i="48"/>
  <c r="AG50" i="48"/>
  <c r="AH50" i="48" s="1"/>
  <c r="AB50" i="48"/>
  <c r="AC50" i="48" s="1"/>
  <c r="W50" i="48"/>
  <c r="X50" i="48" s="1"/>
  <c r="R50" i="48"/>
  <c r="S50" i="48" s="1"/>
  <c r="J50" i="48"/>
  <c r="I50" i="48"/>
  <c r="G50" i="48"/>
  <c r="AV49" i="48"/>
  <c r="AW49" i="48" s="1"/>
  <c r="AQ49" i="48"/>
  <c r="AR49" i="48" s="1"/>
  <c r="AL49" i="48"/>
  <c r="AM49" i="48" s="1"/>
  <c r="AG49" i="48"/>
  <c r="AB49" i="48"/>
  <c r="W49" i="48"/>
  <c r="X48" i="48" s="1"/>
  <c r="R49" i="48"/>
  <c r="J49" i="48"/>
  <c r="I49" i="48"/>
  <c r="G49" i="48"/>
  <c r="AV48" i="48"/>
  <c r="AQ48" i="48"/>
  <c r="AL48" i="48"/>
  <c r="AG48" i="48"/>
  <c r="AH48" i="48" s="1"/>
  <c r="AB48" i="48"/>
  <c r="W48" i="48"/>
  <c r="R48" i="48"/>
  <c r="S48" i="48" s="1"/>
  <c r="J48" i="48"/>
  <c r="I48" i="48"/>
  <c r="G48" i="48"/>
  <c r="AV47" i="48"/>
  <c r="AW55" i="48" s="1"/>
  <c r="AQ47" i="48"/>
  <c r="AS47" i="48" s="1"/>
  <c r="AL47" i="48"/>
  <c r="AM52" i="48" s="1"/>
  <c r="AG47" i="48"/>
  <c r="AH47" i="48" s="1"/>
  <c r="AB47" i="48"/>
  <c r="W47" i="48"/>
  <c r="R47" i="48"/>
  <c r="S54" i="48" s="1"/>
  <c r="J47" i="48"/>
  <c r="I47" i="48"/>
  <c r="G47" i="48"/>
  <c r="AW51" i="47"/>
  <c r="AW48" i="47"/>
  <c r="AW47" i="47"/>
  <c r="AR51" i="47"/>
  <c r="AR50" i="47"/>
  <c r="AR49" i="47"/>
  <c r="AR48" i="47"/>
  <c r="AR47" i="47"/>
  <c r="AC49" i="47"/>
  <c r="AC48" i="47"/>
  <c r="X48" i="47"/>
  <c r="AV51" i="47"/>
  <c r="AQ51" i="47"/>
  <c r="AL51" i="47"/>
  <c r="AM51" i="47" s="1"/>
  <c r="AG51" i="47"/>
  <c r="AH51" i="47" s="1"/>
  <c r="AB51" i="47"/>
  <c r="AC51" i="47" s="1"/>
  <c r="W51" i="47"/>
  <c r="X51" i="47" s="1"/>
  <c r="R51" i="47"/>
  <c r="S51" i="47" s="1"/>
  <c r="J51" i="47"/>
  <c r="I51" i="47"/>
  <c r="G51" i="47"/>
  <c r="AV50" i="47"/>
  <c r="AW50" i="47" s="1"/>
  <c r="AQ50" i="47"/>
  <c r="AL50" i="47"/>
  <c r="AM50" i="47" s="1"/>
  <c r="AG50" i="47"/>
  <c r="AH50" i="47" s="1"/>
  <c r="AB50" i="47"/>
  <c r="AC50" i="47" s="1"/>
  <c r="W50" i="47"/>
  <c r="R50" i="47"/>
  <c r="K50" i="47" s="1"/>
  <c r="J50" i="47"/>
  <c r="I50" i="47"/>
  <c r="G50" i="47"/>
  <c r="AV49" i="47"/>
  <c r="AW49" i="47" s="1"/>
  <c r="AQ49" i="47"/>
  <c r="AL49" i="47"/>
  <c r="AM49" i="47" s="1"/>
  <c r="AG49" i="47"/>
  <c r="AH49" i="47" s="1"/>
  <c r="AB49" i="47"/>
  <c r="W49" i="47"/>
  <c r="X49" i="47" s="1"/>
  <c r="R49" i="47"/>
  <c r="S49" i="47" s="1"/>
  <c r="J49" i="47"/>
  <c r="I49" i="47"/>
  <c r="G49" i="47"/>
  <c r="AV48" i="47"/>
  <c r="AQ48" i="47"/>
  <c r="AL48" i="47"/>
  <c r="AM48" i="47" s="1"/>
  <c r="AG48" i="47"/>
  <c r="AB48" i="47"/>
  <c r="W48" i="47"/>
  <c r="R48" i="47"/>
  <c r="S48" i="47" s="1"/>
  <c r="J48" i="47"/>
  <c r="I48" i="47"/>
  <c r="G48" i="47"/>
  <c r="AV47" i="47"/>
  <c r="AQ47" i="47"/>
  <c r="AL47" i="47"/>
  <c r="AM47" i="47" s="1"/>
  <c r="AG47" i="47"/>
  <c r="AH47" i="47" s="1"/>
  <c r="AB47" i="47"/>
  <c r="AD47" i="47" s="1"/>
  <c r="W47" i="47"/>
  <c r="X50" i="47" s="1"/>
  <c r="R47" i="47"/>
  <c r="T47" i="47" s="1"/>
  <c r="J47" i="47"/>
  <c r="I47" i="47"/>
  <c r="G47" i="47"/>
  <c r="AW48" i="46"/>
  <c r="AH47" i="46"/>
  <c r="AM48" i="46"/>
  <c r="AM47" i="46"/>
  <c r="AV48" i="46"/>
  <c r="AQ48" i="46"/>
  <c r="AR48" i="46" s="1"/>
  <c r="AL48" i="46"/>
  <c r="AN47" i="46" s="1"/>
  <c r="AG48" i="46"/>
  <c r="AH48" i="46" s="1"/>
  <c r="AB48" i="46"/>
  <c r="AC48" i="46" s="1"/>
  <c r="W48" i="46"/>
  <c r="R48" i="46"/>
  <c r="S48" i="46" s="1"/>
  <c r="J48" i="46"/>
  <c r="I48" i="46"/>
  <c r="G48" i="46"/>
  <c r="AV47" i="46"/>
  <c r="AW47" i="46" s="1"/>
  <c r="AQ47" i="46"/>
  <c r="AS47" i="46" s="1"/>
  <c r="AL47" i="46"/>
  <c r="AG47" i="46"/>
  <c r="AB47" i="46"/>
  <c r="AC47" i="46" s="1"/>
  <c r="W47" i="46"/>
  <c r="X48" i="46" s="1"/>
  <c r="R47" i="46"/>
  <c r="J47" i="46"/>
  <c r="I47" i="46"/>
  <c r="G47" i="46"/>
  <c r="H47" i="46" s="1"/>
  <c r="S48" i="45"/>
  <c r="AV49" i="45"/>
  <c r="AW49" i="45" s="1"/>
  <c r="AQ49" i="45"/>
  <c r="AL49" i="45"/>
  <c r="AG49" i="45"/>
  <c r="AB49" i="45"/>
  <c r="W49" i="45"/>
  <c r="R49" i="45"/>
  <c r="J49" i="45"/>
  <c r="I49" i="45"/>
  <c r="G49" i="45"/>
  <c r="AV48" i="45"/>
  <c r="AQ48" i="45"/>
  <c r="AR48" i="45" s="1"/>
  <c r="AL48" i="45"/>
  <c r="AM48" i="45" s="1"/>
  <c r="AG48" i="45"/>
  <c r="AH48" i="45" s="1"/>
  <c r="AB48" i="45"/>
  <c r="AC48" i="45" s="1"/>
  <c r="W48" i="45"/>
  <c r="R48" i="45"/>
  <c r="J48" i="45"/>
  <c r="I48" i="45"/>
  <c r="G48" i="45"/>
  <c r="AV47" i="45"/>
  <c r="AW47" i="45" s="1"/>
  <c r="AQ47" i="45"/>
  <c r="AL47" i="45"/>
  <c r="AM47" i="45" s="1"/>
  <c r="AG47" i="45"/>
  <c r="AH47" i="45" s="1"/>
  <c r="AB47" i="45"/>
  <c r="W47" i="45"/>
  <c r="R47" i="45"/>
  <c r="J47" i="45"/>
  <c r="I47" i="45"/>
  <c r="G47" i="45"/>
  <c r="H47" i="45" s="1"/>
  <c r="AW126" i="44"/>
  <c r="AW125" i="44"/>
  <c r="AW124" i="44"/>
  <c r="AW123" i="44"/>
  <c r="AW122" i="44"/>
  <c r="AW121" i="44"/>
  <c r="AW120" i="44"/>
  <c r="AW119" i="44"/>
  <c r="AW118" i="44"/>
  <c r="AW117" i="44"/>
  <c r="AW116" i="44"/>
  <c r="AW115" i="44"/>
  <c r="AW114" i="44"/>
  <c r="AW113" i="44"/>
  <c r="AW112" i="44"/>
  <c r="AW111" i="44"/>
  <c r="AW110" i="44"/>
  <c r="AW109" i="44"/>
  <c r="AW108" i="44"/>
  <c r="AW107" i="44"/>
  <c r="AW106" i="44"/>
  <c r="AW105" i="44"/>
  <c r="AW104" i="44"/>
  <c r="AW102" i="44"/>
  <c r="AW101" i="44"/>
  <c r="AW100" i="44"/>
  <c r="AW99" i="44"/>
  <c r="AW98" i="44"/>
  <c r="AW97" i="44"/>
  <c r="AW96" i="44"/>
  <c r="AW95" i="44"/>
  <c r="AW94" i="44"/>
  <c r="AW93" i="44"/>
  <c r="AW92" i="44"/>
  <c r="AW91" i="44"/>
  <c r="AR126" i="44"/>
  <c r="AR125" i="44"/>
  <c r="AR124" i="44"/>
  <c r="AR123" i="44"/>
  <c r="AR122" i="44"/>
  <c r="AR121" i="44"/>
  <c r="AR120" i="44"/>
  <c r="AR119" i="44"/>
  <c r="AR118" i="44"/>
  <c r="AR117" i="44"/>
  <c r="AR116" i="44"/>
  <c r="AR115" i="44"/>
  <c r="AR114" i="44"/>
  <c r="AR113" i="44"/>
  <c r="AR112" i="44"/>
  <c r="AR111" i="44"/>
  <c r="AR110" i="44"/>
  <c r="AR109" i="44"/>
  <c r="AR108" i="44"/>
  <c r="AR107" i="44"/>
  <c r="AR106" i="44"/>
  <c r="AR105" i="44"/>
  <c r="AR104" i="44"/>
  <c r="AR102" i="44"/>
  <c r="AR101" i="44"/>
  <c r="AR100" i="44"/>
  <c r="AR99" i="44"/>
  <c r="AR98" i="44"/>
  <c r="AR97" i="44"/>
  <c r="AR96" i="44"/>
  <c r="AR95" i="44"/>
  <c r="AR94" i="44"/>
  <c r="AR93" i="44"/>
  <c r="AR92" i="44"/>
  <c r="AR91" i="44"/>
  <c r="AM126" i="44"/>
  <c r="AM125" i="44"/>
  <c r="AM124" i="44"/>
  <c r="AM123" i="44"/>
  <c r="AM122" i="44"/>
  <c r="AM121" i="44"/>
  <c r="AM120" i="44"/>
  <c r="AM119" i="44"/>
  <c r="AM118" i="44"/>
  <c r="AM117" i="44"/>
  <c r="AM116" i="44"/>
  <c r="AM115" i="44"/>
  <c r="AM114" i="44"/>
  <c r="AM113" i="44"/>
  <c r="AM112" i="44"/>
  <c r="AM111" i="44"/>
  <c r="AM110" i="44"/>
  <c r="AM109" i="44"/>
  <c r="AM108" i="44"/>
  <c r="AM107" i="44"/>
  <c r="AM106" i="44"/>
  <c r="AM105" i="44"/>
  <c r="AM104" i="44"/>
  <c r="AM102" i="44"/>
  <c r="AM101" i="44"/>
  <c r="AM100" i="44"/>
  <c r="AM99" i="44"/>
  <c r="AM98" i="44"/>
  <c r="AM97" i="44"/>
  <c r="AM96" i="44"/>
  <c r="AM95" i="44"/>
  <c r="AM94" i="44"/>
  <c r="AM93" i="44"/>
  <c r="AM92" i="44"/>
  <c r="AM91" i="44"/>
  <c r="AH126" i="44"/>
  <c r="AH125" i="44"/>
  <c r="AH124" i="44"/>
  <c r="AH123" i="44"/>
  <c r="AH122" i="44"/>
  <c r="AH121" i="44"/>
  <c r="AH120" i="44"/>
  <c r="AH119" i="44"/>
  <c r="AH118" i="44"/>
  <c r="AH117" i="44"/>
  <c r="AH116" i="44"/>
  <c r="AH115" i="44"/>
  <c r="AH114" i="44"/>
  <c r="AH113" i="44"/>
  <c r="AH112" i="44"/>
  <c r="AH111" i="44"/>
  <c r="AH110" i="44"/>
  <c r="AH109" i="44"/>
  <c r="AH108" i="44"/>
  <c r="AH107" i="44"/>
  <c r="AH106" i="44"/>
  <c r="AH105" i="44"/>
  <c r="AH104" i="44"/>
  <c r="AH102" i="44"/>
  <c r="AH101" i="44"/>
  <c r="AH100" i="44"/>
  <c r="AH99" i="44"/>
  <c r="AH98" i="44"/>
  <c r="AH97" i="44"/>
  <c r="AH96" i="44"/>
  <c r="AH95" i="44"/>
  <c r="AH94" i="44"/>
  <c r="AH93" i="44"/>
  <c r="AH92" i="44"/>
  <c r="AH91" i="44"/>
  <c r="AC126" i="44"/>
  <c r="AC125" i="44"/>
  <c r="AC124" i="44"/>
  <c r="AC123" i="44"/>
  <c r="AC122" i="44"/>
  <c r="AC121" i="44"/>
  <c r="AC120" i="44"/>
  <c r="AC119" i="44"/>
  <c r="AC118" i="44"/>
  <c r="AC117" i="44"/>
  <c r="AC116" i="44"/>
  <c r="AC115" i="44"/>
  <c r="AC114" i="44"/>
  <c r="AC113" i="44"/>
  <c r="AC112" i="44"/>
  <c r="AC111" i="44"/>
  <c r="AC110" i="44"/>
  <c r="AC109" i="44"/>
  <c r="AC108" i="44"/>
  <c r="AC107" i="44"/>
  <c r="AC106" i="44"/>
  <c r="AC105" i="44"/>
  <c r="AC104" i="44"/>
  <c r="AC102" i="44"/>
  <c r="AC101" i="44"/>
  <c r="AC100" i="44"/>
  <c r="AC99" i="44"/>
  <c r="AC98" i="44"/>
  <c r="AC97" i="44"/>
  <c r="AC96" i="44"/>
  <c r="AC95" i="44"/>
  <c r="AC94" i="44"/>
  <c r="AC93" i="44"/>
  <c r="AC92" i="44"/>
  <c r="AC91" i="44"/>
  <c r="X126" i="44"/>
  <c r="X125" i="44"/>
  <c r="X124" i="44"/>
  <c r="X123" i="44"/>
  <c r="X122" i="44"/>
  <c r="X121" i="44"/>
  <c r="X120" i="44"/>
  <c r="X119" i="44"/>
  <c r="X118" i="44"/>
  <c r="X117" i="44"/>
  <c r="X116" i="44"/>
  <c r="X115" i="44"/>
  <c r="X114" i="44"/>
  <c r="X113" i="44"/>
  <c r="X112" i="44"/>
  <c r="X111" i="44"/>
  <c r="X110" i="44"/>
  <c r="X109" i="44"/>
  <c r="X108" i="44"/>
  <c r="X107" i="44"/>
  <c r="X106" i="44"/>
  <c r="X105" i="44"/>
  <c r="X104" i="44"/>
  <c r="X102" i="44"/>
  <c r="X101" i="44"/>
  <c r="X100" i="44"/>
  <c r="X99" i="44"/>
  <c r="X98" i="44"/>
  <c r="X97" i="44"/>
  <c r="X96" i="44"/>
  <c r="X95" i="44"/>
  <c r="X94" i="44"/>
  <c r="X93" i="44"/>
  <c r="X92" i="44"/>
  <c r="X91" i="44"/>
  <c r="S92" i="44"/>
  <c r="S93" i="44"/>
  <c r="S94" i="44"/>
  <c r="S95" i="44"/>
  <c r="S96" i="44"/>
  <c r="S97" i="44"/>
  <c r="S98" i="44"/>
  <c r="S99" i="44"/>
  <c r="S100" i="44"/>
  <c r="S101" i="44"/>
  <c r="S102" i="44"/>
  <c r="S103" i="44"/>
  <c r="S104" i="44"/>
  <c r="S105" i="44"/>
  <c r="S106" i="44"/>
  <c r="S107" i="44"/>
  <c r="S108" i="44"/>
  <c r="S109" i="44"/>
  <c r="S110" i="44"/>
  <c r="S111" i="44"/>
  <c r="S112" i="44"/>
  <c r="S113" i="44"/>
  <c r="S114" i="44"/>
  <c r="S115" i="44"/>
  <c r="S116" i="44"/>
  <c r="S117" i="44"/>
  <c r="S118" i="44"/>
  <c r="S119" i="44"/>
  <c r="S120" i="44"/>
  <c r="S121" i="44"/>
  <c r="S122" i="44"/>
  <c r="S123" i="44"/>
  <c r="S124" i="44"/>
  <c r="S125" i="44"/>
  <c r="S126" i="44"/>
  <c r="S91" i="44"/>
  <c r="M92" i="44"/>
  <c r="M93" i="44"/>
  <c r="M94" i="44"/>
  <c r="M95" i="44"/>
  <c r="M96" i="44"/>
  <c r="M97" i="44"/>
  <c r="M98" i="44"/>
  <c r="M99" i="44"/>
  <c r="M100" i="44"/>
  <c r="M101" i="44"/>
  <c r="M102" i="44"/>
  <c r="M103" i="44"/>
  <c r="M104" i="44"/>
  <c r="M105" i="44"/>
  <c r="M106" i="44"/>
  <c r="M107" i="44"/>
  <c r="M108" i="44"/>
  <c r="M109" i="44"/>
  <c r="M110" i="44"/>
  <c r="M111" i="44"/>
  <c r="M112" i="44"/>
  <c r="M113" i="44"/>
  <c r="M114" i="44"/>
  <c r="M115" i="44"/>
  <c r="M116" i="44"/>
  <c r="M117" i="44"/>
  <c r="M118" i="44"/>
  <c r="M119" i="44"/>
  <c r="M120" i="44"/>
  <c r="M121" i="44"/>
  <c r="M122" i="44"/>
  <c r="M123" i="44"/>
  <c r="M124" i="44"/>
  <c r="M125" i="44"/>
  <c r="M126" i="44"/>
  <c r="M91" i="44"/>
  <c r="AV126" i="44"/>
  <c r="AQ126" i="44"/>
  <c r="AL126" i="44"/>
  <c r="AG126" i="44"/>
  <c r="AB126" i="44"/>
  <c r="W126" i="44"/>
  <c r="R126" i="44"/>
  <c r="J126" i="44"/>
  <c r="I126" i="44"/>
  <c r="G126" i="44"/>
  <c r="AV125" i="44"/>
  <c r="AQ125" i="44"/>
  <c r="AL125" i="44"/>
  <c r="AG125" i="44"/>
  <c r="AB125" i="44"/>
  <c r="W125" i="44"/>
  <c r="R125" i="44"/>
  <c r="J125" i="44"/>
  <c r="I125" i="44"/>
  <c r="G125" i="44"/>
  <c r="AV124" i="44"/>
  <c r="AQ124" i="44"/>
  <c r="AL124" i="44"/>
  <c r="AG124" i="44"/>
  <c r="AB124" i="44"/>
  <c r="W124" i="44"/>
  <c r="R124" i="44"/>
  <c r="J124" i="44"/>
  <c r="I124" i="44"/>
  <c r="G124" i="44"/>
  <c r="AV123" i="44"/>
  <c r="AQ123" i="44"/>
  <c r="AL123" i="44"/>
  <c r="AG123" i="44"/>
  <c r="AB123" i="44"/>
  <c r="W123" i="44"/>
  <c r="R123" i="44"/>
  <c r="K123" i="44"/>
  <c r="J123" i="44"/>
  <c r="I123" i="44"/>
  <c r="G123" i="44"/>
  <c r="AV122" i="44"/>
  <c r="AQ122" i="44"/>
  <c r="AL122" i="44"/>
  <c r="AG122" i="44"/>
  <c r="AB122" i="44"/>
  <c r="W122" i="44"/>
  <c r="R122" i="44"/>
  <c r="J122" i="44"/>
  <c r="I122" i="44"/>
  <c r="G122" i="44"/>
  <c r="AV121" i="44"/>
  <c r="AQ121" i="44"/>
  <c r="AL121" i="44"/>
  <c r="AG121" i="44"/>
  <c r="K121" i="44" s="1"/>
  <c r="AB121" i="44"/>
  <c r="W121" i="44"/>
  <c r="R121" i="44"/>
  <c r="J121" i="44"/>
  <c r="I121" i="44"/>
  <c r="G121" i="44"/>
  <c r="AV120" i="44"/>
  <c r="AQ120" i="44"/>
  <c r="AL120" i="44"/>
  <c r="AG120" i="44"/>
  <c r="AB120" i="44"/>
  <c r="W120" i="44"/>
  <c r="R120" i="44"/>
  <c r="J120" i="44"/>
  <c r="I120" i="44"/>
  <c r="G120" i="44"/>
  <c r="AV119" i="44"/>
  <c r="AQ119" i="44"/>
  <c r="AL119" i="44"/>
  <c r="AG119" i="44"/>
  <c r="AB119" i="44"/>
  <c r="K119" i="44" s="1"/>
  <c r="W119" i="44"/>
  <c r="R119" i="44"/>
  <c r="J119" i="44"/>
  <c r="I119" i="44"/>
  <c r="G119" i="44"/>
  <c r="AV118" i="44"/>
  <c r="AQ118" i="44"/>
  <c r="AL118" i="44"/>
  <c r="AG118" i="44"/>
  <c r="AB118" i="44"/>
  <c r="W118" i="44"/>
  <c r="R118" i="44"/>
  <c r="J118" i="44"/>
  <c r="I118" i="44"/>
  <c r="G118" i="44"/>
  <c r="AV117" i="44"/>
  <c r="AQ117" i="44"/>
  <c r="AL117" i="44"/>
  <c r="AG117" i="44"/>
  <c r="AB117" i="44"/>
  <c r="W117" i="44"/>
  <c r="K117" i="44" s="1"/>
  <c r="R117" i="44"/>
  <c r="J117" i="44"/>
  <c r="I117" i="44"/>
  <c r="G117" i="44"/>
  <c r="AV116" i="44"/>
  <c r="AQ116" i="44"/>
  <c r="AL116" i="44"/>
  <c r="AG116" i="44"/>
  <c r="AB116" i="44"/>
  <c r="W116" i="44"/>
  <c r="R116" i="44"/>
  <c r="K116" i="44"/>
  <c r="J116" i="44"/>
  <c r="I116" i="44"/>
  <c r="G116" i="44"/>
  <c r="AV115" i="44"/>
  <c r="AQ115" i="44"/>
  <c r="AL115" i="44"/>
  <c r="AG115" i="44"/>
  <c r="AB115" i="44"/>
  <c r="W115" i="44"/>
  <c r="R115" i="44"/>
  <c r="K115" i="44" s="1"/>
  <c r="J115" i="44"/>
  <c r="I115" i="44"/>
  <c r="G115" i="44"/>
  <c r="AV114" i="44"/>
  <c r="AQ114" i="44"/>
  <c r="AL114" i="44"/>
  <c r="AG114" i="44"/>
  <c r="AB114" i="44"/>
  <c r="W114" i="44"/>
  <c r="R114" i="44"/>
  <c r="K114" i="44" s="1"/>
  <c r="J114" i="44"/>
  <c r="I114" i="44"/>
  <c r="G114" i="44"/>
  <c r="AV113" i="44"/>
  <c r="AQ113" i="44"/>
  <c r="AL113" i="44"/>
  <c r="K113" i="44" s="1"/>
  <c r="AG113" i="44"/>
  <c r="AB113" i="44"/>
  <c r="W113" i="44"/>
  <c r="R113" i="44"/>
  <c r="J113" i="44"/>
  <c r="I113" i="44"/>
  <c r="G113" i="44"/>
  <c r="AV112" i="44"/>
  <c r="AQ112" i="44"/>
  <c r="AL112" i="44"/>
  <c r="AG112" i="44"/>
  <c r="AB112" i="44"/>
  <c r="W112" i="44"/>
  <c r="R112" i="44"/>
  <c r="J112" i="44"/>
  <c r="I112" i="44"/>
  <c r="G112" i="44"/>
  <c r="AV111" i="44"/>
  <c r="AQ111" i="44"/>
  <c r="AL111" i="44"/>
  <c r="AG111" i="44"/>
  <c r="AI91" i="44" s="1"/>
  <c r="AB111" i="44"/>
  <c r="W111" i="44"/>
  <c r="R111" i="44"/>
  <c r="J111" i="44"/>
  <c r="I111" i="44"/>
  <c r="G111" i="44"/>
  <c r="AV110" i="44"/>
  <c r="AQ110" i="44"/>
  <c r="AL110" i="44"/>
  <c r="AG110" i="44"/>
  <c r="AB110" i="44"/>
  <c r="W110" i="44"/>
  <c r="R110" i="44"/>
  <c r="J110" i="44"/>
  <c r="I110" i="44"/>
  <c r="G110" i="44"/>
  <c r="AV109" i="44"/>
  <c r="AQ109" i="44"/>
  <c r="AL109" i="44"/>
  <c r="AG109" i="44"/>
  <c r="AB109" i="44"/>
  <c r="W109" i="44"/>
  <c r="R109" i="44"/>
  <c r="J109" i="44"/>
  <c r="I109" i="44"/>
  <c r="G109" i="44"/>
  <c r="AV108" i="44"/>
  <c r="AQ108" i="44"/>
  <c r="AL108" i="44"/>
  <c r="AG108" i="44"/>
  <c r="AB108" i="44"/>
  <c r="W108" i="44"/>
  <c r="R108" i="44"/>
  <c r="J108" i="44"/>
  <c r="I108" i="44"/>
  <c r="G108" i="44"/>
  <c r="AV107" i="44"/>
  <c r="AQ107" i="44"/>
  <c r="AL107" i="44"/>
  <c r="AG107" i="44"/>
  <c r="AB107" i="44"/>
  <c r="W107" i="44"/>
  <c r="R107" i="44"/>
  <c r="J107" i="44"/>
  <c r="I107" i="44"/>
  <c r="G107" i="44"/>
  <c r="AV106" i="44"/>
  <c r="AQ106" i="44"/>
  <c r="AL106" i="44"/>
  <c r="AG106" i="44"/>
  <c r="AB106" i="44"/>
  <c r="W106" i="44"/>
  <c r="R106" i="44"/>
  <c r="J106" i="44"/>
  <c r="I106" i="44"/>
  <c r="G106" i="44"/>
  <c r="AV105" i="44"/>
  <c r="AQ105" i="44"/>
  <c r="AL105" i="44"/>
  <c r="AG105" i="44"/>
  <c r="AB105" i="44"/>
  <c r="W105" i="44"/>
  <c r="R105" i="44"/>
  <c r="J105" i="44"/>
  <c r="I105" i="44"/>
  <c r="G105" i="44"/>
  <c r="AV104" i="44"/>
  <c r="AQ104" i="44"/>
  <c r="AL104" i="44"/>
  <c r="AG104" i="44"/>
  <c r="AB104" i="44"/>
  <c r="W104" i="44"/>
  <c r="R104" i="44"/>
  <c r="J104" i="44"/>
  <c r="I104" i="44"/>
  <c r="G104" i="44"/>
  <c r="R103" i="44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J100" i="44"/>
  <c r="I100" i="44"/>
  <c r="G100" i="44"/>
  <c r="AV99" i="44"/>
  <c r="AQ99" i="44"/>
  <c r="AL99" i="44"/>
  <c r="AG99" i="44"/>
  <c r="AB99" i="44"/>
  <c r="W99" i="44"/>
  <c r="R99" i="44"/>
  <c r="J99" i="44"/>
  <c r="I99" i="44"/>
  <c r="G99" i="44"/>
  <c r="AV98" i="44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W96" i="44"/>
  <c r="R96" i="44"/>
  <c r="J96" i="44"/>
  <c r="I96" i="44"/>
  <c r="G96" i="44"/>
  <c r="AV95" i="44"/>
  <c r="AQ95" i="44"/>
  <c r="AL95" i="44"/>
  <c r="AG95" i="44"/>
  <c r="AB95" i="44"/>
  <c r="W95" i="44"/>
  <c r="R95" i="44"/>
  <c r="K95" i="44"/>
  <c r="J95" i="44"/>
  <c r="I95" i="44"/>
  <c r="G95" i="44"/>
  <c r="AV94" i="44"/>
  <c r="AQ94" i="44"/>
  <c r="AL94" i="44"/>
  <c r="AG94" i="44"/>
  <c r="AB94" i="44"/>
  <c r="W94" i="44"/>
  <c r="R94" i="44"/>
  <c r="J94" i="44"/>
  <c r="I94" i="44"/>
  <c r="G94" i="44"/>
  <c r="AV93" i="44"/>
  <c r="AQ93" i="44"/>
  <c r="AL93" i="44"/>
  <c r="AG93" i="44"/>
  <c r="K93" i="44" s="1"/>
  <c r="AB93" i="44"/>
  <c r="W93" i="44"/>
  <c r="R93" i="44"/>
  <c r="J93" i="44"/>
  <c r="I93" i="44"/>
  <c r="G93" i="44"/>
  <c r="AV92" i="44"/>
  <c r="AQ92" i="44"/>
  <c r="AL92" i="44"/>
  <c r="AG92" i="44"/>
  <c r="AB92" i="44"/>
  <c r="W92" i="44"/>
  <c r="R92" i="44"/>
  <c r="J92" i="44"/>
  <c r="I92" i="44"/>
  <c r="G92" i="44"/>
  <c r="AV91" i="44"/>
  <c r="AX91" i="44" s="1"/>
  <c r="AQ91" i="44"/>
  <c r="AS91" i="44" s="1"/>
  <c r="AL91" i="44"/>
  <c r="AN91" i="44" s="1"/>
  <c r="AG91" i="44"/>
  <c r="AB91" i="44"/>
  <c r="AD91" i="44" s="1"/>
  <c r="W91" i="44"/>
  <c r="Y91" i="44" s="1"/>
  <c r="R91" i="44"/>
  <c r="J91" i="44"/>
  <c r="I91" i="44"/>
  <c r="G91" i="44"/>
  <c r="H91" i="44" s="1"/>
  <c r="B21" i="6"/>
  <c r="D21" i="6"/>
  <c r="D22" i="6" s="1"/>
  <c r="D23" i="6" s="1"/>
  <c r="D24" i="6" s="1"/>
  <c r="D25" i="6" s="1"/>
  <c r="D26" i="6" s="1"/>
  <c r="D27" i="6" s="1"/>
  <c r="AC27" i="6"/>
  <c r="AD27" i="6" s="1"/>
  <c r="S27" i="6"/>
  <c r="T27" i="6" s="1"/>
  <c r="M27" i="6"/>
  <c r="N27" i="6" s="1"/>
  <c r="F27" i="6"/>
  <c r="AL27" i="6" s="1"/>
  <c r="AC26" i="6"/>
  <c r="AD26" i="6" s="1"/>
  <c r="S26" i="6"/>
  <c r="M26" i="6"/>
  <c r="N26" i="6" s="1"/>
  <c r="F26" i="6"/>
  <c r="AL26" i="6" s="1"/>
  <c r="AC25" i="6"/>
  <c r="AD25" i="6" s="1"/>
  <c r="S25" i="6"/>
  <c r="M25" i="6"/>
  <c r="N25" i="6" s="1"/>
  <c r="F25" i="6"/>
  <c r="AL25" i="6" s="1"/>
  <c r="AC24" i="6"/>
  <c r="AD24" i="6" s="1"/>
  <c r="S24" i="6"/>
  <c r="M24" i="6"/>
  <c r="N24" i="6" s="1"/>
  <c r="F24" i="6"/>
  <c r="AL24" i="6" s="1"/>
  <c r="AC23" i="6"/>
  <c r="AD23" i="6" s="1"/>
  <c r="S23" i="6"/>
  <c r="M23" i="6"/>
  <c r="N23" i="6" s="1"/>
  <c r="F23" i="6"/>
  <c r="AL23" i="6" s="1"/>
  <c r="AC22" i="6"/>
  <c r="AD22" i="6" s="1"/>
  <c r="S22" i="6"/>
  <c r="M22" i="6"/>
  <c r="N22" i="6" s="1"/>
  <c r="F22" i="6"/>
  <c r="AL22" i="6" s="1"/>
  <c r="AC21" i="6"/>
  <c r="AD21" i="6" s="1"/>
  <c r="S21" i="6"/>
  <c r="M21" i="6"/>
  <c r="N21" i="6" s="1"/>
  <c r="F21" i="6"/>
  <c r="AL21" i="6" s="1"/>
  <c r="B21" i="7"/>
  <c r="AC27" i="7"/>
  <c r="S27" i="7"/>
  <c r="M27" i="7"/>
  <c r="AC26" i="7"/>
  <c r="S26" i="7"/>
  <c r="M26" i="7"/>
  <c r="AC25" i="7"/>
  <c r="S25" i="7"/>
  <c r="M25" i="7"/>
  <c r="AC24" i="7"/>
  <c r="S24" i="7"/>
  <c r="M24" i="7"/>
  <c r="F24" i="7" s="1"/>
  <c r="AC23" i="7"/>
  <c r="S23" i="7"/>
  <c r="M23" i="7"/>
  <c r="AC22" i="7"/>
  <c r="S22" i="7"/>
  <c r="M22" i="7"/>
  <c r="AC21" i="7"/>
  <c r="S21" i="7"/>
  <c r="T21" i="7" s="1"/>
  <c r="M21" i="7"/>
  <c r="F21" i="7" s="1"/>
  <c r="U20" i="5"/>
  <c r="U21" i="5"/>
  <c r="U22" i="5"/>
  <c r="U23" i="5"/>
  <c r="U24" i="5"/>
  <c r="U25" i="5"/>
  <c r="U19" i="5"/>
  <c r="V201" i="66" l="1"/>
  <c r="W197" i="66"/>
  <c r="U201" i="66"/>
  <c r="U200" i="66"/>
  <c r="F200" i="66"/>
  <c r="W184" i="63"/>
  <c r="U190" i="63"/>
  <c r="V190" i="63"/>
  <c r="S47" i="52"/>
  <c r="AM47" i="52"/>
  <c r="AC48" i="52"/>
  <c r="AM48" i="52"/>
  <c r="AM50" i="52"/>
  <c r="Y47" i="52"/>
  <c r="H47" i="52"/>
  <c r="X47" i="52"/>
  <c r="AR47" i="52"/>
  <c r="T47" i="52"/>
  <c r="AC47" i="52"/>
  <c r="AC50" i="52"/>
  <c r="AX47" i="52"/>
  <c r="AI47" i="52"/>
  <c r="AH47" i="52"/>
  <c r="K49" i="52"/>
  <c r="M49" i="52" s="1"/>
  <c r="AM47" i="51"/>
  <c r="AD47" i="51"/>
  <c r="AR48" i="51"/>
  <c r="X47" i="51"/>
  <c r="AN47" i="51"/>
  <c r="AS47" i="51"/>
  <c r="AX47" i="51"/>
  <c r="X51" i="51"/>
  <c r="X53" i="51"/>
  <c r="K48" i="51"/>
  <c r="AM53" i="51"/>
  <c r="S47" i="51"/>
  <c r="AH48" i="51"/>
  <c r="AR47" i="51"/>
  <c r="AX47" i="49"/>
  <c r="X48" i="49"/>
  <c r="AH51" i="49"/>
  <c r="AR53" i="49"/>
  <c r="AH53" i="49"/>
  <c r="AR55" i="49"/>
  <c r="K52" i="49"/>
  <c r="AW47" i="49"/>
  <c r="K54" i="49"/>
  <c r="AH55" i="49"/>
  <c r="X54" i="49"/>
  <c r="K48" i="49"/>
  <c r="M48" i="49" s="1"/>
  <c r="AM49" i="49"/>
  <c r="K50" i="49"/>
  <c r="AM51" i="49"/>
  <c r="H47" i="49"/>
  <c r="AM53" i="49"/>
  <c r="Y47" i="49"/>
  <c r="S52" i="49"/>
  <c r="AD47" i="49"/>
  <c r="S53" i="49"/>
  <c r="AC55" i="49"/>
  <c r="AI47" i="49"/>
  <c r="AH47" i="49"/>
  <c r="K49" i="49"/>
  <c r="AR50" i="49"/>
  <c r="X47" i="49"/>
  <c r="AR52" i="48"/>
  <c r="AH49" i="48"/>
  <c r="T47" i="48"/>
  <c r="S52" i="48"/>
  <c r="AR55" i="48"/>
  <c r="S49" i="48"/>
  <c r="Y47" i="48"/>
  <c r="K51" i="48"/>
  <c r="X47" i="48"/>
  <c r="AW47" i="48"/>
  <c r="K53" i="48"/>
  <c r="AH52" i="48"/>
  <c r="AW48" i="48"/>
  <c r="AI47" i="48"/>
  <c r="AM47" i="48"/>
  <c r="AM48" i="48"/>
  <c r="AW52" i="48"/>
  <c r="AX47" i="48"/>
  <c r="AM50" i="48"/>
  <c r="K48" i="48"/>
  <c r="M48" i="48" s="1"/>
  <c r="S47" i="48"/>
  <c r="AD47" i="48"/>
  <c r="K50" i="48"/>
  <c r="AR47" i="48"/>
  <c r="AR48" i="48"/>
  <c r="K52" i="48"/>
  <c r="H47" i="48"/>
  <c r="AH48" i="47"/>
  <c r="S47" i="47"/>
  <c r="S50" i="47"/>
  <c r="Y47" i="47"/>
  <c r="H47" i="47"/>
  <c r="X47" i="47"/>
  <c r="AC47" i="47"/>
  <c r="AN47" i="47"/>
  <c r="AX47" i="47"/>
  <c r="AI47" i="47"/>
  <c r="AX47" i="46"/>
  <c r="AR47" i="46"/>
  <c r="Y47" i="46"/>
  <c r="K47" i="46"/>
  <c r="AI47" i="46"/>
  <c r="S47" i="46"/>
  <c r="X47" i="46"/>
  <c r="AH49" i="45"/>
  <c r="AM49" i="45"/>
  <c r="Y47" i="45"/>
  <c r="AS47" i="45"/>
  <c r="AR49" i="45"/>
  <c r="AC47" i="45"/>
  <c r="AW48" i="45"/>
  <c r="S49" i="45"/>
  <c r="AD47" i="45"/>
  <c r="AC49" i="45"/>
  <c r="AR47" i="45"/>
  <c r="AX47" i="45"/>
  <c r="K48" i="45"/>
  <c r="S47" i="45"/>
  <c r="X47" i="45"/>
  <c r="X48" i="45"/>
  <c r="X49" i="45"/>
  <c r="T47" i="45"/>
  <c r="K49" i="45"/>
  <c r="AI47" i="45"/>
  <c r="U169" i="66"/>
  <c r="V179" i="66"/>
  <c r="X179" i="66" s="1"/>
  <c r="X178" i="66"/>
  <c r="U164" i="66"/>
  <c r="X164" i="66"/>
  <c r="U172" i="66"/>
  <c r="F165" i="66"/>
  <c r="F164" i="66"/>
  <c r="V172" i="66"/>
  <c r="X172" i="66" s="1"/>
  <c r="AL164" i="66"/>
  <c r="H37" i="41" s="1"/>
  <c r="W174" i="63"/>
  <c r="X179" i="63"/>
  <c r="W179" i="63"/>
  <c r="W176" i="63"/>
  <c r="X176" i="63"/>
  <c r="X173" i="63"/>
  <c r="W173" i="63"/>
  <c r="X177" i="63"/>
  <c r="W177" i="63"/>
  <c r="V171" i="63"/>
  <c r="T171" i="63"/>
  <c r="X168" i="63"/>
  <c r="F189" i="66"/>
  <c r="V189" i="66"/>
  <c r="U189" i="66"/>
  <c r="F183" i="66"/>
  <c r="U183" i="66"/>
  <c r="V183" i="66"/>
  <c r="W190" i="66"/>
  <c r="X190" i="66"/>
  <c r="X201" i="66"/>
  <c r="W201" i="66"/>
  <c r="X198" i="66"/>
  <c r="W198" i="66"/>
  <c r="X185" i="66"/>
  <c r="W185" i="66"/>
  <c r="F192" i="66"/>
  <c r="V192" i="66"/>
  <c r="U192" i="66"/>
  <c r="F195" i="66"/>
  <c r="V195" i="66"/>
  <c r="U195" i="66"/>
  <c r="X186" i="66"/>
  <c r="W186" i="66"/>
  <c r="X202" i="66"/>
  <c r="W202" i="66"/>
  <c r="V196" i="66"/>
  <c r="U196" i="66"/>
  <c r="F196" i="66"/>
  <c r="W199" i="66"/>
  <c r="X199" i="66"/>
  <c r="X184" i="66"/>
  <c r="W184" i="66"/>
  <c r="W193" i="66"/>
  <c r="X193" i="66"/>
  <c r="W187" i="66"/>
  <c r="X187" i="66"/>
  <c r="W188" i="66"/>
  <c r="X188" i="66"/>
  <c r="X200" i="66"/>
  <c r="W200" i="66"/>
  <c r="V194" i="66"/>
  <c r="U194" i="66"/>
  <c r="F194" i="66"/>
  <c r="X191" i="66"/>
  <c r="W191" i="66"/>
  <c r="W169" i="66"/>
  <c r="W165" i="66"/>
  <c r="V175" i="66"/>
  <c r="X175" i="66" s="1"/>
  <c r="U165" i="66"/>
  <c r="F178" i="66"/>
  <c r="F175" i="66"/>
  <c r="U178" i="66"/>
  <c r="U179" i="66"/>
  <c r="X171" i="66"/>
  <c r="W171" i="66"/>
  <c r="X173" i="66"/>
  <c r="W173" i="66"/>
  <c r="W168" i="66"/>
  <c r="X168" i="66"/>
  <c r="F161" i="66"/>
  <c r="AK164" i="66" s="1"/>
  <c r="F37" i="41" s="1"/>
  <c r="V161" i="66"/>
  <c r="U161" i="66"/>
  <c r="X176" i="66"/>
  <c r="W176" i="66"/>
  <c r="F170" i="66"/>
  <c r="V170" i="66"/>
  <c r="U170" i="66"/>
  <c r="W177" i="66"/>
  <c r="X177" i="66"/>
  <c r="X162" i="66"/>
  <c r="W162" i="66"/>
  <c r="X167" i="66"/>
  <c r="W167" i="66"/>
  <c r="W174" i="66"/>
  <c r="X174" i="66"/>
  <c r="V195" i="63"/>
  <c r="U195" i="63"/>
  <c r="T195" i="63"/>
  <c r="X186" i="63"/>
  <c r="W186" i="63"/>
  <c r="W199" i="63"/>
  <c r="X199" i="63"/>
  <c r="X194" i="63"/>
  <c r="W194" i="63"/>
  <c r="X196" i="63"/>
  <c r="W196" i="63"/>
  <c r="X197" i="63"/>
  <c r="W197" i="63"/>
  <c r="X188" i="63"/>
  <c r="W188" i="63"/>
  <c r="X202" i="63"/>
  <c r="W202" i="63"/>
  <c r="V200" i="63"/>
  <c r="U200" i="63"/>
  <c r="T200" i="63"/>
  <c r="X187" i="63"/>
  <c r="W187" i="63"/>
  <c r="X193" i="63"/>
  <c r="W193" i="63"/>
  <c r="W198" i="63"/>
  <c r="X198" i="63"/>
  <c r="X185" i="63"/>
  <c r="W185" i="63"/>
  <c r="U183" i="63"/>
  <c r="V183" i="63"/>
  <c r="T183" i="63"/>
  <c r="X201" i="63"/>
  <c r="W201" i="63"/>
  <c r="X189" i="63"/>
  <c r="W189" i="63"/>
  <c r="V192" i="63"/>
  <c r="U192" i="63"/>
  <c r="T192" i="63"/>
  <c r="X191" i="63"/>
  <c r="W191" i="63"/>
  <c r="W165" i="63"/>
  <c r="X165" i="63"/>
  <c r="X161" i="63"/>
  <c r="W161" i="63"/>
  <c r="X169" i="63"/>
  <c r="W169" i="63"/>
  <c r="X171" i="63"/>
  <c r="W171" i="63"/>
  <c r="W164" i="63"/>
  <c r="X164" i="63"/>
  <c r="X170" i="63"/>
  <c r="W170" i="63"/>
  <c r="W166" i="63"/>
  <c r="X166" i="63"/>
  <c r="X167" i="63"/>
  <c r="W167" i="63"/>
  <c r="X180" i="63"/>
  <c r="W180" i="63"/>
  <c r="X172" i="63"/>
  <c r="W172" i="63"/>
  <c r="X163" i="63"/>
  <c r="W163" i="63"/>
  <c r="K51" i="52"/>
  <c r="K50" i="52"/>
  <c r="K48" i="52"/>
  <c r="K47" i="51"/>
  <c r="K53" i="51"/>
  <c r="K52" i="51"/>
  <c r="K51" i="51"/>
  <c r="T47" i="51"/>
  <c r="K50" i="51"/>
  <c r="K49" i="51"/>
  <c r="M49" i="51" s="1"/>
  <c r="AI47" i="51"/>
  <c r="AN47" i="49"/>
  <c r="K47" i="49"/>
  <c r="AS47" i="49"/>
  <c r="K55" i="49"/>
  <c r="K51" i="49"/>
  <c r="T47" i="49"/>
  <c r="K49" i="48"/>
  <c r="M49" i="48" s="1"/>
  <c r="K55" i="48"/>
  <c r="AN47" i="48"/>
  <c r="K47" i="48"/>
  <c r="K47" i="47"/>
  <c r="AS47" i="47"/>
  <c r="K51" i="47"/>
  <c r="M51" i="47" s="1"/>
  <c r="K49" i="47"/>
  <c r="K48" i="47"/>
  <c r="T47" i="46"/>
  <c r="K48" i="46"/>
  <c r="M48" i="46" s="1"/>
  <c r="AD47" i="46"/>
  <c r="K47" i="45"/>
  <c r="AN47" i="45"/>
  <c r="K112" i="44"/>
  <c r="K103" i="44"/>
  <c r="K111" i="44"/>
  <c r="K102" i="44"/>
  <c r="K110" i="44"/>
  <c r="K101" i="44"/>
  <c r="K109" i="44"/>
  <c r="K100" i="44"/>
  <c r="K108" i="44"/>
  <c r="K91" i="44"/>
  <c r="K99" i="44"/>
  <c r="K107" i="44"/>
  <c r="K98" i="44"/>
  <c r="K106" i="44"/>
  <c r="K126" i="44"/>
  <c r="K97" i="44"/>
  <c r="K105" i="44"/>
  <c r="K125" i="44"/>
  <c r="K96" i="44"/>
  <c r="K104" i="44"/>
  <c r="K124" i="44"/>
  <c r="T91" i="44"/>
  <c r="K94" i="44"/>
  <c r="K122" i="44"/>
  <c r="K92" i="44"/>
  <c r="K120" i="44"/>
  <c r="K118" i="44"/>
  <c r="G21" i="6"/>
  <c r="J21" i="6"/>
  <c r="J22" i="6"/>
  <c r="J23" i="6"/>
  <c r="J24" i="6"/>
  <c r="J25" i="6"/>
  <c r="J26" i="6"/>
  <c r="J27" i="6"/>
  <c r="L21" i="6"/>
  <c r="L22" i="6"/>
  <c r="L23" i="6"/>
  <c r="L24" i="6"/>
  <c r="L25" i="6"/>
  <c r="L26" i="6"/>
  <c r="L27" i="6"/>
  <c r="P21" i="6"/>
  <c r="P22" i="6"/>
  <c r="P23" i="6"/>
  <c r="P24" i="6"/>
  <c r="P25" i="6"/>
  <c r="P26" i="6"/>
  <c r="P27" i="6"/>
  <c r="R21" i="6"/>
  <c r="R22" i="6"/>
  <c r="R23" i="6"/>
  <c r="R24" i="6"/>
  <c r="R25" i="6"/>
  <c r="R26" i="6"/>
  <c r="R27" i="6"/>
  <c r="T21" i="6"/>
  <c r="T22" i="6"/>
  <c r="T23" i="6"/>
  <c r="T24" i="6"/>
  <c r="T25" i="6"/>
  <c r="T26" i="6"/>
  <c r="V21" i="6"/>
  <c r="V22" i="6"/>
  <c r="V23" i="6"/>
  <c r="V24" i="6"/>
  <c r="V25" i="6"/>
  <c r="V26" i="6"/>
  <c r="V27" i="6"/>
  <c r="X21" i="6"/>
  <c r="X22" i="6"/>
  <c r="X23" i="6"/>
  <c r="X24" i="6"/>
  <c r="X25" i="6"/>
  <c r="X26" i="6"/>
  <c r="X27" i="6"/>
  <c r="Z21" i="6"/>
  <c r="Z22" i="6"/>
  <c r="Z23" i="6"/>
  <c r="Z24" i="6"/>
  <c r="Z25" i="6"/>
  <c r="Z26" i="6"/>
  <c r="Z27" i="6"/>
  <c r="AB21" i="6"/>
  <c r="AB22" i="6"/>
  <c r="AB23" i="6"/>
  <c r="AB24" i="6"/>
  <c r="AB25" i="6"/>
  <c r="AB26" i="6"/>
  <c r="AB27" i="6"/>
  <c r="AF21" i="6"/>
  <c r="AF22" i="6"/>
  <c r="AF23" i="6"/>
  <c r="AF24" i="6"/>
  <c r="AF25" i="6"/>
  <c r="AF26" i="6"/>
  <c r="AF27" i="6"/>
  <c r="AH21" i="6"/>
  <c r="AH22" i="6"/>
  <c r="AH23" i="6"/>
  <c r="AH24" i="6"/>
  <c r="AH25" i="6"/>
  <c r="AH26" i="6"/>
  <c r="AH27" i="6"/>
  <c r="AJ21" i="6"/>
  <c r="AJ22" i="6"/>
  <c r="AJ23" i="6"/>
  <c r="AJ24" i="6"/>
  <c r="AJ25" i="6"/>
  <c r="AJ26" i="6"/>
  <c r="AJ27" i="6"/>
  <c r="AL24" i="7"/>
  <c r="X24" i="7"/>
  <c r="AJ24" i="7"/>
  <c r="V24" i="7"/>
  <c r="AH24" i="7"/>
  <c r="AF24" i="7"/>
  <c r="AD24" i="7"/>
  <c r="L24" i="7"/>
  <c r="AB24" i="7"/>
  <c r="Z24" i="7"/>
  <c r="R24" i="7"/>
  <c r="P24" i="7"/>
  <c r="J24" i="7"/>
  <c r="T24" i="7"/>
  <c r="N25" i="7"/>
  <c r="T25" i="7"/>
  <c r="N26" i="7"/>
  <c r="T26" i="7"/>
  <c r="AL21" i="7"/>
  <c r="AJ21" i="7"/>
  <c r="L21" i="7"/>
  <c r="AH21" i="7"/>
  <c r="X21" i="7"/>
  <c r="AF21" i="7"/>
  <c r="AD21" i="7"/>
  <c r="AB21" i="7"/>
  <c r="Z21" i="7"/>
  <c r="V21" i="7"/>
  <c r="R21" i="7"/>
  <c r="P21" i="7"/>
  <c r="J21" i="7"/>
  <c r="G21" i="7"/>
  <c r="T27" i="7"/>
  <c r="AD27" i="7"/>
  <c r="N24" i="7"/>
  <c r="F22" i="7"/>
  <c r="T22" i="7" s="1"/>
  <c r="F23" i="7"/>
  <c r="N23" i="7" s="1"/>
  <c r="F25" i="7"/>
  <c r="F26" i="7"/>
  <c r="F27" i="7"/>
  <c r="N21" i="7"/>
  <c r="W190" i="63" l="1"/>
  <c r="X190" i="63"/>
  <c r="M48" i="52"/>
  <c r="M50" i="52"/>
  <c r="M51" i="52"/>
  <c r="M47" i="52"/>
  <c r="M47" i="51"/>
  <c r="M50" i="51"/>
  <c r="M51" i="51"/>
  <c r="M48" i="51"/>
  <c r="M53" i="51"/>
  <c r="M52" i="51"/>
  <c r="M50" i="49"/>
  <c r="M52" i="49"/>
  <c r="M49" i="49"/>
  <c r="M55" i="49"/>
  <c r="M54" i="49"/>
  <c r="M51" i="49"/>
  <c r="M47" i="49"/>
  <c r="M53" i="49"/>
  <c r="M51" i="48"/>
  <c r="M53" i="48"/>
  <c r="M52" i="48"/>
  <c r="M50" i="48"/>
  <c r="M54" i="48"/>
  <c r="M47" i="48"/>
  <c r="M55" i="48"/>
  <c r="M47" i="47"/>
  <c r="M48" i="47"/>
  <c r="M49" i="47"/>
  <c r="M50" i="47"/>
  <c r="L47" i="46"/>
  <c r="M47" i="46"/>
  <c r="M48" i="45"/>
  <c r="M49" i="45"/>
  <c r="M47" i="45"/>
  <c r="W172" i="66"/>
  <c r="W179" i="66"/>
  <c r="AJ164" i="66"/>
  <c r="L32" i="41" s="1"/>
  <c r="W194" i="66"/>
  <c r="X194" i="66"/>
  <c r="X192" i="66"/>
  <c r="W192" i="66"/>
  <c r="X195" i="66"/>
  <c r="W195" i="66"/>
  <c r="X183" i="66"/>
  <c r="W183" i="66"/>
  <c r="X196" i="66"/>
  <c r="W196" i="66"/>
  <c r="X189" i="66"/>
  <c r="W189" i="66"/>
  <c r="W175" i="66"/>
  <c r="X170" i="66"/>
  <c r="W170" i="66"/>
  <c r="X161" i="66"/>
  <c r="W161" i="66"/>
  <c r="X200" i="63"/>
  <c r="W200" i="63"/>
  <c r="X192" i="63"/>
  <c r="W192" i="63"/>
  <c r="X183" i="63"/>
  <c r="W183" i="63"/>
  <c r="X195" i="63"/>
  <c r="W195" i="63"/>
  <c r="L47" i="52"/>
  <c r="L47" i="51"/>
  <c r="L47" i="49"/>
  <c r="L47" i="48"/>
  <c r="L47" i="47"/>
  <c r="L47" i="45"/>
  <c r="L91" i="44"/>
  <c r="AL27" i="7"/>
  <c r="AJ27" i="7"/>
  <c r="AH27" i="7"/>
  <c r="AF27" i="7"/>
  <c r="AB27" i="7"/>
  <c r="Z27" i="7"/>
  <c r="X27" i="7"/>
  <c r="V27" i="7"/>
  <c r="L27" i="7"/>
  <c r="R27" i="7"/>
  <c r="P27" i="7"/>
  <c r="J27" i="7"/>
  <c r="AL26" i="7"/>
  <c r="AJ26" i="7"/>
  <c r="AH26" i="7"/>
  <c r="AF26" i="7"/>
  <c r="AD26" i="7"/>
  <c r="AB26" i="7"/>
  <c r="Z26" i="7"/>
  <c r="R26" i="7"/>
  <c r="P26" i="7"/>
  <c r="L26" i="7"/>
  <c r="J26" i="7"/>
  <c r="X26" i="7"/>
  <c r="V26" i="7"/>
  <c r="T23" i="7"/>
  <c r="AL25" i="7"/>
  <c r="V25" i="7"/>
  <c r="AJ25" i="7"/>
  <c r="AH25" i="7"/>
  <c r="L25" i="7"/>
  <c r="AF25" i="7"/>
  <c r="X25" i="7"/>
  <c r="AD25" i="7"/>
  <c r="AB25" i="7"/>
  <c r="Z25" i="7"/>
  <c r="R25" i="7"/>
  <c r="P25" i="7"/>
  <c r="J25" i="7"/>
  <c r="N27" i="7"/>
  <c r="AL23" i="7"/>
  <c r="AJ23" i="7"/>
  <c r="AH23" i="7"/>
  <c r="AF23" i="7"/>
  <c r="AD23" i="7"/>
  <c r="X23" i="7"/>
  <c r="AB23" i="7"/>
  <c r="Z23" i="7"/>
  <c r="V23" i="7"/>
  <c r="R23" i="7"/>
  <c r="P23" i="7"/>
  <c r="J23" i="7"/>
  <c r="L23" i="7"/>
  <c r="AL22" i="7"/>
  <c r="L22" i="7"/>
  <c r="AJ22" i="7"/>
  <c r="AH22" i="7"/>
  <c r="AF22" i="7"/>
  <c r="AD22" i="7"/>
  <c r="AB22" i="7"/>
  <c r="X22" i="7"/>
  <c r="Z22" i="7"/>
  <c r="V22" i="7"/>
  <c r="R22" i="7"/>
  <c r="P22" i="7"/>
  <c r="J22" i="7"/>
  <c r="N22" i="7"/>
  <c r="M85" i="62" l="1"/>
  <c r="M84" i="62"/>
  <c r="M83" i="62"/>
  <c r="M82" i="62"/>
  <c r="M81" i="62"/>
  <c r="M86" i="62" s="1"/>
  <c r="K86" i="62" s="1"/>
  <c r="M77" i="62"/>
  <c r="M76" i="62"/>
  <c r="M75" i="62"/>
  <c r="M74" i="62"/>
  <c r="M73" i="62"/>
  <c r="M78" i="62" s="1"/>
  <c r="K78" i="62" s="1"/>
  <c r="M69" i="62"/>
  <c r="M68" i="62"/>
  <c r="M67" i="62"/>
  <c r="M66" i="62"/>
  <c r="M65" i="62"/>
  <c r="M57" i="62"/>
  <c r="M56" i="62"/>
  <c r="M55" i="62"/>
  <c r="M54" i="62"/>
  <c r="M53" i="62"/>
  <c r="M49" i="62"/>
  <c r="M48" i="62"/>
  <c r="M47" i="62"/>
  <c r="M46" i="62"/>
  <c r="M45" i="62"/>
  <c r="M50" i="62" s="1"/>
  <c r="M41" i="62"/>
  <c r="M40" i="62"/>
  <c r="M39" i="62"/>
  <c r="M38" i="62"/>
  <c r="M37" i="62"/>
  <c r="M107" i="20"/>
  <c r="M106" i="20"/>
  <c r="M105" i="20"/>
  <c r="M110" i="20" s="1"/>
  <c r="M101" i="20"/>
  <c r="M100" i="20"/>
  <c r="M99" i="20"/>
  <c r="M98" i="20"/>
  <c r="M97" i="20"/>
  <c r="M93" i="20"/>
  <c r="M92" i="20"/>
  <c r="M91" i="20"/>
  <c r="M90" i="20"/>
  <c r="M89" i="20"/>
  <c r="M94" i="20" s="1"/>
  <c r="K94" i="20" s="1"/>
  <c r="M86" i="20"/>
  <c r="M85" i="20"/>
  <c r="M84" i="20"/>
  <c r="M83" i="20"/>
  <c r="M82" i="20"/>
  <c r="M81" i="20"/>
  <c r="M74" i="20"/>
  <c r="M71" i="20"/>
  <c r="M70" i="20"/>
  <c r="M69" i="20"/>
  <c r="M65" i="20"/>
  <c r="M64" i="20"/>
  <c r="M63" i="20"/>
  <c r="M62" i="20"/>
  <c r="M61" i="20"/>
  <c r="M57" i="20"/>
  <c r="M56" i="20"/>
  <c r="M55" i="20"/>
  <c r="M54" i="20"/>
  <c r="M53" i="20"/>
  <c r="M58" i="20" s="1"/>
  <c r="M50" i="20"/>
  <c r="M49" i="20"/>
  <c r="M48" i="20"/>
  <c r="M47" i="20"/>
  <c r="M46" i="20"/>
  <c r="M45" i="20"/>
  <c r="M35" i="20"/>
  <c r="M34" i="20"/>
  <c r="M33" i="20"/>
  <c r="M38" i="20" s="1"/>
  <c r="M29" i="20"/>
  <c r="M28" i="20"/>
  <c r="M27" i="20"/>
  <c r="M26" i="20"/>
  <c r="M25" i="20"/>
  <c r="M21" i="20"/>
  <c r="M20" i="20"/>
  <c r="M19" i="20"/>
  <c r="M18" i="20"/>
  <c r="M17" i="20"/>
  <c r="M22" i="20" s="1"/>
  <c r="M13" i="20"/>
  <c r="M12" i="20"/>
  <c r="M11" i="20"/>
  <c r="M10" i="20"/>
  <c r="M9" i="20"/>
  <c r="M85" i="19"/>
  <c r="M84" i="19"/>
  <c r="M83" i="19"/>
  <c r="M82" i="19"/>
  <c r="M81" i="19"/>
  <c r="M77" i="19"/>
  <c r="M76" i="19"/>
  <c r="M75" i="19"/>
  <c r="M74" i="19"/>
  <c r="M73" i="19"/>
  <c r="M69" i="19"/>
  <c r="M68" i="19"/>
  <c r="M67" i="19"/>
  <c r="M66" i="19"/>
  <c r="M65" i="19"/>
  <c r="M57" i="19"/>
  <c r="M56" i="19"/>
  <c r="M55" i="19"/>
  <c r="M54" i="19"/>
  <c r="M53" i="19"/>
  <c r="M49" i="19"/>
  <c r="M48" i="19"/>
  <c r="M47" i="19"/>
  <c r="M46" i="19"/>
  <c r="M45" i="19"/>
  <c r="M41" i="19"/>
  <c r="M40" i="19"/>
  <c r="M39" i="19"/>
  <c r="M38" i="19"/>
  <c r="M37" i="19"/>
  <c r="M70" i="62" l="1"/>
  <c r="K70" i="62" s="1"/>
  <c r="M102" i="20"/>
  <c r="K102" i="20" s="1"/>
  <c r="M42" i="62"/>
  <c r="M58" i="62"/>
  <c r="M66" i="20"/>
  <c r="M14" i="20"/>
  <c r="M30" i="20"/>
  <c r="M50" i="19"/>
  <c r="M70" i="19"/>
  <c r="K70" i="19" s="1"/>
  <c r="M78" i="19"/>
  <c r="M86" i="19"/>
  <c r="K86" i="19" s="1"/>
  <c r="M58" i="19"/>
  <c r="M42" i="19"/>
  <c r="R158" i="63" l="1"/>
  <c r="R157" i="63"/>
  <c r="R156" i="63"/>
  <c r="R155" i="63"/>
  <c r="R154" i="63"/>
  <c r="R153" i="63"/>
  <c r="R152" i="63"/>
  <c r="R151" i="63"/>
  <c r="R150" i="63"/>
  <c r="R149" i="63"/>
  <c r="R148" i="63"/>
  <c r="R147" i="63"/>
  <c r="R146" i="63"/>
  <c r="R145" i="63"/>
  <c r="R144" i="63"/>
  <c r="R143" i="63"/>
  <c r="R142" i="63"/>
  <c r="R141" i="63"/>
  <c r="R140" i="63"/>
  <c r="R139" i="63"/>
  <c r="AH141" i="66" l="1"/>
  <c r="AH143" i="66" s="1"/>
  <c r="I21" i="41" s="1"/>
  <c r="AI141" i="66"/>
  <c r="AI143" i="66" s="1"/>
  <c r="K21" i="41" s="1"/>
  <c r="AJ141" i="66"/>
  <c r="AJ143" i="66" s="1"/>
  <c r="M21" i="41" s="1"/>
  <c r="AK141" i="66"/>
  <c r="AK143" i="66" s="1"/>
  <c r="G26" i="41" s="1"/>
  <c r="AL141" i="66"/>
  <c r="AL143" i="66" s="1"/>
  <c r="I26" i="41" s="1"/>
  <c r="AM141" i="66"/>
  <c r="AM143" i="66" s="1"/>
  <c r="K26" i="41" s="1"/>
  <c r="AH142" i="66"/>
  <c r="H21" i="41" s="1"/>
  <c r="AI142" i="66"/>
  <c r="J21" i="41" s="1"/>
  <c r="AM142" i="66"/>
  <c r="J26" i="41" s="1"/>
  <c r="AG142" i="66"/>
  <c r="F21" i="41" s="1"/>
  <c r="AG141" i="66"/>
  <c r="AG143" i="66" s="1"/>
  <c r="G21" i="41" s="1"/>
  <c r="S158" i="66"/>
  <c r="R158" i="66"/>
  <c r="O158" i="66"/>
  <c r="P158" i="66" s="1"/>
  <c r="N158" i="66"/>
  <c r="L158" i="66"/>
  <c r="J158" i="66"/>
  <c r="S157" i="66"/>
  <c r="R157" i="66"/>
  <c r="O157" i="66"/>
  <c r="T157" i="66" s="1"/>
  <c r="N157" i="66"/>
  <c r="L157" i="66"/>
  <c r="J157" i="66"/>
  <c r="S156" i="66"/>
  <c r="R156" i="66"/>
  <c r="O156" i="66"/>
  <c r="P156" i="66" s="1"/>
  <c r="N156" i="66"/>
  <c r="L156" i="66"/>
  <c r="J156" i="66"/>
  <c r="S155" i="66"/>
  <c r="R155" i="66"/>
  <c r="O155" i="66"/>
  <c r="P155" i="66" s="1"/>
  <c r="N155" i="66"/>
  <c r="L155" i="66"/>
  <c r="J155" i="66"/>
  <c r="S154" i="66"/>
  <c r="R154" i="66"/>
  <c r="O154" i="66"/>
  <c r="T154" i="66" s="1"/>
  <c r="N154" i="66"/>
  <c r="L154" i="66"/>
  <c r="J154" i="66"/>
  <c r="S153" i="66"/>
  <c r="R153" i="66"/>
  <c r="O153" i="66"/>
  <c r="P153" i="66" s="1"/>
  <c r="N153" i="66"/>
  <c r="L153" i="66"/>
  <c r="J153" i="66"/>
  <c r="S152" i="66"/>
  <c r="R152" i="66"/>
  <c r="O152" i="66"/>
  <c r="T152" i="66" s="1"/>
  <c r="F152" i="66" s="1"/>
  <c r="N152" i="66"/>
  <c r="L152" i="66"/>
  <c r="J152" i="66"/>
  <c r="S151" i="66"/>
  <c r="R151" i="66"/>
  <c r="O151" i="66"/>
  <c r="T151" i="66" s="1"/>
  <c r="N151" i="66"/>
  <c r="L151" i="66"/>
  <c r="J151" i="66"/>
  <c r="S150" i="66"/>
  <c r="R150" i="66"/>
  <c r="O150" i="66"/>
  <c r="P150" i="66" s="1"/>
  <c r="N150" i="66"/>
  <c r="L150" i="66"/>
  <c r="J150" i="66"/>
  <c r="S149" i="66"/>
  <c r="R149" i="66"/>
  <c r="O149" i="66"/>
  <c r="P149" i="66" s="1"/>
  <c r="N149" i="66"/>
  <c r="L149" i="66"/>
  <c r="J149" i="66"/>
  <c r="S148" i="66"/>
  <c r="R148" i="66"/>
  <c r="O148" i="66"/>
  <c r="P148" i="66" s="1"/>
  <c r="N148" i="66"/>
  <c r="L148" i="66"/>
  <c r="J148" i="66"/>
  <c r="S147" i="66"/>
  <c r="R147" i="66"/>
  <c r="O147" i="66"/>
  <c r="T147" i="66" s="1"/>
  <c r="U147" i="66" s="1"/>
  <c r="N147" i="66"/>
  <c r="L147" i="66"/>
  <c r="J147" i="66"/>
  <c r="S146" i="66"/>
  <c r="R146" i="66"/>
  <c r="O146" i="66"/>
  <c r="T146" i="66" s="1"/>
  <c r="N146" i="66"/>
  <c r="L146" i="66"/>
  <c r="J146" i="66"/>
  <c r="S145" i="66"/>
  <c r="R145" i="66"/>
  <c r="O145" i="66"/>
  <c r="P145" i="66" s="1"/>
  <c r="N145" i="66"/>
  <c r="L145" i="66"/>
  <c r="J145" i="66"/>
  <c r="S144" i="66"/>
  <c r="R144" i="66"/>
  <c r="O144" i="66"/>
  <c r="T144" i="66" s="1"/>
  <c r="N144" i="66"/>
  <c r="L144" i="66"/>
  <c r="J144" i="66"/>
  <c r="S143" i="66"/>
  <c r="R143" i="66"/>
  <c r="O143" i="66"/>
  <c r="T143" i="66" s="1"/>
  <c r="N143" i="66"/>
  <c r="L143" i="66"/>
  <c r="J143" i="66"/>
  <c r="S142" i="66"/>
  <c r="R142" i="66"/>
  <c r="O142" i="66"/>
  <c r="T142" i="66" s="1"/>
  <c r="N142" i="66"/>
  <c r="L142" i="66"/>
  <c r="J142" i="66"/>
  <c r="AF141" i="66"/>
  <c r="S141" i="66"/>
  <c r="R141" i="66"/>
  <c r="O141" i="66"/>
  <c r="T141" i="66" s="1"/>
  <c r="U141" i="66" s="1"/>
  <c r="N141" i="66"/>
  <c r="L141" i="66"/>
  <c r="J141" i="66"/>
  <c r="S140" i="66"/>
  <c r="R140" i="66"/>
  <c r="O140" i="66"/>
  <c r="P140" i="66" s="1"/>
  <c r="N140" i="66"/>
  <c r="L140" i="66"/>
  <c r="J140" i="66"/>
  <c r="S139" i="66"/>
  <c r="R139" i="66"/>
  <c r="O139" i="66"/>
  <c r="P139" i="66" s="1"/>
  <c r="N139" i="66"/>
  <c r="L139" i="66"/>
  <c r="J139" i="66"/>
  <c r="AH141" i="63"/>
  <c r="AI141" i="63"/>
  <c r="AI143" i="63" s="1"/>
  <c r="K20" i="41" s="1"/>
  <c r="AJ141" i="63"/>
  <c r="AJ143" i="63" s="1"/>
  <c r="M20" i="41" s="1"/>
  <c r="AK141" i="63"/>
  <c r="AK143" i="63" s="1"/>
  <c r="G25" i="41" s="1"/>
  <c r="AL141" i="63"/>
  <c r="AL143" i="63" s="1"/>
  <c r="I25" i="41" s="1"/>
  <c r="AM141" i="63"/>
  <c r="AM143" i="63" s="1"/>
  <c r="K25" i="41" s="1"/>
  <c r="AH142" i="63"/>
  <c r="H20" i="41" s="1"/>
  <c r="AJ142" i="63"/>
  <c r="L20" i="41" s="1"/>
  <c r="AK142" i="63"/>
  <c r="F25" i="41" s="1"/>
  <c r="AL142" i="63"/>
  <c r="H25" i="41" s="1"/>
  <c r="AM142" i="63"/>
  <c r="J25" i="41" s="1"/>
  <c r="AG142" i="63"/>
  <c r="F20" i="41" s="1"/>
  <c r="AG141" i="63"/>
  <c r="AG143" i="63" s="1"/>
  <c r="G20" i="41" s="1"/>
  <c r="F139" i="63"/>
  <c r="AI142" i="63" s="1"/>
  <c r="J20" i="41" s="1"/>
  <c r="F140" i="63"/>
  <c r="F141" i="63"/>
  <c r="F142" i="63"/>
  <c r="F143" i="63"/>
  <c r="F144" i="63"/>
  <c r="F145" i="63"/>
  <c r="F146" i="63"/>
  <c r="F147" i="63"/>
  <c r="F148" i="63"/>
  <c r="F149" i="63"/>
  <c r="F150" i="63"/>
  <c r="F151" i="63"/>
  <c r="F152" i="63"/>
  <c r="F153" i="63"/>
  <c r="F154" i="63"/>
  <c r="F155" i="63"/>
  <c r="F156" i="63"/>
  <c r="F157" i="63"/>
  <c r="F158" i="63"/>
  <c r="O158" i="63"/>
  <c r="S158" i="63" s="1"/>
  <c r="N158" i="63"/>
  <c r="L158" i="63"/>
  <c r="J158" i="63"/>
  <c r="O157" i="63"/>
  <c r="P157" i="63" s="1"/>
  <c r="N157" i="63"/>
  <c r="L157" i="63"/>
  <c r="J157" i="63"/>
  <c r="O156" i="63"/>
  <c r="S156" i="63" s="1"/>
  <c r="N156" i="63"/>
  <c r="L156" i="63"/>
  <c r="J156" i="63"/>
  <c r="O155" i="63"/>
  <c r="S155" i="63" s="1"/>
  <c r="N155" i="63"/>
  <c r="L155" i="63"/>
  <c r="J155" i="63"/>
  <c r="O154" i="63"/>
  <c r="S154" i="63" s="1"/>
  <c r="U154" i="63" s="1"/>
  <c r="N154" i="63"/>
  <c r="L154" i="63"/>
  <c r="J154" i="63"/>
  <c r="O153" i="63"/>
  <c r="S153" i="63" s="1"/>
  <c r="N153" i="63"/>
  <c r="L153" i="63"/>
  <c r="J153" i="63"/>
  <c r="O152" i="63"/>
  <c r="S152" i="63" s="1"/>
  <c r="N152" i="63"/>
  <c r="L152" i="63"/>
  <c r="J152" i="63"/>
  <c r="O151" i="63"/>
  <c r="S151" i="63" s="1"/>
  <c r="N151" i="63"/>
  <c r="L151" i="63"/>
  <c r="J151" i="63"/>
  <c r="O150" i="63"/>
  <c r="P150" i="63" s="1"/>
  <c r="N150" i="63"/>
  <c r="L150" i="63"/>
  <c r="J150" i="63"/>
  <c r="O149" i="63"/>
  <c r="S149" i="63" s="1"/>
  <c r="N149" i="63"/>
  <c r="L149" i="63"/>
  <c r="J149" i="63"/>
  <c r="O148" i="63"/>
  <c r="P148" i="63" s="1"/>
  <c r="N148" i="63"/>
  <c r="L148" i="63"/>
  <c r="J148" i="63"/>
  <c r="O147" i="63"/>
  <c r="P147" i="63" s="1"/>
  <c r="N147" i="63"/>
  <c r="L147" i="63"/>
  <c r="J147" i="63"/>
  <c r="O146" i="63"/>
  <c r="S146" i="63" s="1"/>
  <c r="N146" i="63"/>
  <c r="L146" i="63"/>
  <c r="J146" i="63"/>
  <c r="O145" i="63"/>
  <c r="P145" i="63" s="1"/>
  <c r="N145" i="63"/>
  <c r="L145" i="63"/>
  <c r="J145" i="63"/>
  <c r="O144" i="63"/>
  <c r="S144" i="63" s="1"/>
  <c r="V144" i="63" s="1"/>
  <c r="N144" i="63"/>
  <c r="L144" i="63"/>
  <c r="J144" i="63"/>
  <c r="O143" i="63"/>
  <c r="P143" i="63" s="1"/>
  <c r="N143" i="63"/>
  <c r="L143" i="63"/>
  <c r="J143" i="63"/>
  <c r="O142" i="63"/>
  <c r="S142" i="63" s="1"/>
  <c r="V142" i="63" s="1"/>
  <c r="N142" i="63"/>
  <c r="L142" i="63"/>
  <c r="J142" i="63"/>
  <c r="AH143" i="63"/>
  <c r="I20" i="41" s="1"/>
  <c r="AF141" i="63"/>
  <c r="O141" i="63"/>
  <c r="P141" i="63" s="1"/>
  <c r="N141" i="63"/>
  <c r="L141" i="63"/>
  <c r="J141" i="63"/>
  <c r="O140" i="63"/>
  <c r="S140" i="63" s="1"/>
  <c r="N140" i="63"/>
  <c r="L140" i="63"/>
  <c r="J140" i="63"/>
  <c r="O139" i="63"/>
  <c r="S139" i="63" s="1"/>
  <c r="N139" i="63"/>
  <c r="L139" i="63"/>
  <c r="J139" i="63"/>
  <c r="F9" i="41"/>
  <c r="B10" i="41"/>
  <c r="C10" i="41" s="1"/>
  <c r="B9" i="41"/>
  <c r="B20" i="41"/>
  <c r="B21" i="41"/>
  <c r="C21" i="41" s="1"/>
  <c r="J38" i="25"/>
  <c r="J37" i="25"/>
  <c r="J36" i="25"/>
  <c r="J35" i="25"/>
  <c r="J34" i="25"/>
  <c r="J52" i="24"/>
  <c r="J51" i="24"/>
  <c r="J50" i="24"/>
  <c r="J49" i="24"/>
  <c r="J48" i="24"/>
  <c r="J47" i="24"/>
  <c r="J46" i="24"/>
  <c r="J45" i="24"/>
  <c r="J53" i="23"/>
  <c r="J51" i="23"/>
  <c r="J52" i="23"/>
  <c r="J50" i="23"/>
  <c r="J49" i="23"/>
  <c r="J48" i="23"/>
  <c r="J47" i="23"/>
  <c r="J46" i="23"/>
  <c r="J45" i="23"/>
  <c r="J42" i="23"/>
  <c r="J41" i="23"/>
  <c r="J40" i="23"/>
  <c r="J38" i="23"/>
  <c r="J37" i="23"/>
  <c r="J36" i="23"/>
  <c r="J35" i="23"/>
  <c r="J34" i="23"/>
  <c r="J47" i="22"/>
  <c r="J46" i="22"/>
  <c r="J49" i="22"/>
  <c r="J48" i="22"/>
  <c r="J45" i="22"/>
  <c r="AW27" i="52"/>
  <c r="AR31" i="52"/>
  <c r="S30" i="52"/>
  <c r="AV31" i="52"/>
  <c r="AW31" i="52" s="1"/>
  <c r="AQ31" i="52"/>
  <c r="AL31" i="52"/>
  <c r="AM31" i="52" s="1"/>
  <c r="AG31" i="52"/>
  <c r="AH31" i="52" s="1"/>
  <c r="AB31" i="52"/>
  <c r="AC31" i="52" s="1"/>
  <c r="W31" i="52"/>
  <c r="X31" i="52" s="1"/>
  <c r="R31" i="52"/>
  <c r="S31" i="52" s="1"/>
  <c r="J31" i="52"/>
  <c r="I31" i="52"/>
  <c r="G31" i="52"/>
  <c r="AV30" i="52"/>
  <c r="AW30" i="52" s="1"/>
  <c r="AQ30" i="52"/>
  <c r="AR30" i="52" s="1"/>
  <c r="AL30" i="52"/>
  <c r="AM30" i="52" s="1"/>
  <c r="AG30" i="52"/>
  <c r="AB30" i="52"/>
  <c r="W30" i="52"/>
  <c r="R30" i="52"/>
  <c r="J30" i="52"/>
  <c r="I30" i="52"/>
  <c r="G30" i="52"/>
  <c r="AV29" i="52"/>
  <c r="AW29" i="52" s="1"/>
  <c r="AQ29" i="52"/>
  <c r="AR29" i="52" s="1"/>
  <c r="AL29" i="52"/>
  <c r="AG29" i="52"/>
  <c r="AH29" i="52" s="1"/>
  <c r="AB29" i="52"/>
  <c r="AC29" i="52" s="1"/>
  <c r="W29" i="52"/>
  <c r="X29" i="52" s="1"/>
  <c r="R29" i="52"/>
  <c r="J29" i="52"/>
  <c r="I29" i="52"/>
  <c r="G29" i="52"/>
  <c r="AV28" i="52"/>
  <c r="AW28" i="52" s="1"/>
  <c r="AQ28" i="52"/>
  <c r="AS27" i="52" s="1"/>
  <c r="AL28" i="52"/>
  <c r="AM28" i="52" s="1"/>
  <c r="AG28" i="52"/>
  <c r="AB28" i="52"/>
  <c r="W28" i="52"/>
  <c r="R28" i="52"/>
  <c r="S28" i="52" s="1"/>
  <c r="J28" i="52"/>
  <c r="I28" i="52"/>
  <c r="G28" i="52"/>
  <c r="AV27" i="52"/>
  <c r="AQ27" i="52"/>
  <c r="AR27" i="52" s="1"/>
  <c r="AL27" i="52"/>
  <c r="AN27" i="52" s="1"/>
  <c r="AG27" i="52"/>
  <c r="AH30" i="52" s="1"/>
  <c r="AB27" i="52"/>
  <c r="AD27" i="52" s="1"/>
  <c r="W27" i="52"/>
  <c r="X28" i="52" s="1"/>
  <c r="R27" i="52"/>
  <c r="T27" i="52" s="1"/>
  <c r="J27" i="52"/>
  <c r="I27" i="52"/>
  <c r="G27" i="52"/>
  <c r="AR34" i="51"/>
  <c r="AR32" i="51"/>
  <c r="AR27" i="51"/>
  <c r="AC30" i="51"/>
  <c r="S32" i="51"/>
  <c r="S35" i="51"/>
  <c r="AV35" i="51"/>
  <c r="AQ35" i="51"/>
  <c r="AL35" i="51"/>
  <c r="AG35" i="51"/>
  <c r="AH35" i="51" s="1"/>
  <c r="AB35" i="51"/>
  <c r="AC35" i="51" s="1"/>
  <c r="W35" i="51"/>
  <c r="R35" i="51"/>
  <c r="J35" i="51"/>
  <c r="I35" i="51"/>
  <c r="G35" i="51"/>
  <c r="AV34" i="51"/>
  <c r="AW34" i="51" s="1"/>
  <c r="AQ34" i="51"/>
  <c r="AL34" i="51"/>
  <c r="AM34" i="51" s="1"/>
  <c r="AG34" i="51"/>
  <c r="AH34" i="51" s="1"/>
  <c r="AB34" i="51"/>
  <c r="W34" i="51"/>
  <c r="X34" i="51" s="1"/>
  <c r="R34" i="51"/>
  <c r="S34" i="51" s="1"/>
  <c r="J34" i="51"/>
  <c r="I34" i="51"/>
  <c r="G34" i="51"/>
  <c r="AV33" i="51"/>
  <c r="AW33" i="51" s="1"/>
  <c r="AQ33" i="51"/>
  <c r="AL33" i="51"/>
  <c r="AG33" i="51"/>
  <c r="AH33" i="51" s="1"/>
  <c r="AB33" i="51"/>
  <c r="W33" i="51"/>
  <c r="R33" i="51"/>
  <c r="S33" i="51" s="1"/>
  <c r="J33" i="51"/>
  <c r="I33" i="51"/>
  <c r="G33" i="51"/>
  <c r="AV32" i="51"/>
  <c r="AW32" i="51" s="1"/>
  <c r="AQ32" i="51"/>
  <c r="AL32" i="51"/>
  <c r="AM32" i="51" s="1"/>
  <c r="AG32" i="51"/>
  <c r="AH32" i="51" s="1"/>
  <c r="AB32" i="51"/>
  <c r="AC32" i="51" s="1"/>
  <c r="W32" i="51"/>
  <c r="X35" i="51" s="1"/>
  <c r="R32" i="51"/>
  <c r="J32" i="51"/>
  <c r="I32" i="51"/>
  <c r="G32" i="51"/>
  <c r="AB31" i="51"/>
  <c r="W31" i="51"/>
  <c r="R31" i="51"/>
  <c r="J31" i="51"/>
  <c r="I31" i="51"/>
  <c r="G31" i="51"/>
  <c r="AV30" i="51"/>
  <c r="AW30" i="51" s="1"/>
  <c r="AQ30" i="51"/>
  <c r="AR30" i="51" s="1"/>
  <c r="AL30" i="51"/>
  <c r="AM30" i="51" s="1"/>
  <c r="AG30" i="51"/>
  <c r="AH30" i="51" s="1"/>
  <c r="AB30" i="51"/>
  <c r="W30" i="51"/>
  <c r="R30" i="51"/>
  <c r="J30" i="51"/>
  <c r="I30" i="51"/>
  <c r="G30" i="51"/>
  <c r="AB29" i="51"/>
  <c r="AC29" i="51" s="1"/>
  <c r="W29" i="51"/>
  <c r="X29" i="51" s="1"/>
  <c r="R29" i="51"/>
  <c r="J29" i="51"/>
  <c r="I29" i="51"/>
  <c r="G29" i="51"/>
  <c r="AV28" i="51"/>
  <c r="AW28" i="51" s="1"/>
  <c r="AQ28" i="51"/>
  <c r="AL28" i="51"/>
  <c r="AM28" i="51" s="1"/>
  <c r="AG28" i="51"/>
  <c r="AH28" i="51" s="1"/>
  <c r="AB28" i="51"/>
  <c r="AC33" i="51" s="1"/>
  <c r="W28" i="51"/>
  <c r="X28" i="51" s="1"/>
  <c r="R28" i="51"/>
  <c r="S30" i="51" s="1"/>
  <c r="J28" i="51"/>
  <c r="I28" i="51"/>
  <c r="G28" i="51"/>
  <c r="AV27" i="51"/>
  <c r="AW27" i="51" s="1"/>
  <c r="AQ27" i="51"/>
  <c r="AR35" i="51" s="1"/>
  <c r="AL27" i="51"/>
  <c r="AM27" i="51" s="1"/>
  <c r="AG27" i="51"/>
  <c r="AB27" i="51"/>
  <c r="W27" i="51"/>
  <c r="X27" i="51" s="1"/>
  <c r="R27" i="51"/>
  <c r="J27" i="51"/>
  <c r="I27" i="51"/>
  <c r="G27" i="51"/>
  <c r="U22" i="50"/>
  <c r="Z22" i="50" s="1"/>
  <c r="AE22" i="50" s="1"/>
  <c r="AJ22" i="50" s="1"/>
  <c r="AO22" i="50" s="1"/>
  <c r="AT22" i="50" s="1"/>
  <c r="AR35" i="49"/>
  <c r="AR34" i="49"/>
  <c r="AR33" i="49"/>
  <c r="AR32" i="49"/>
  <c r="AH32" i="49"/>
  <c r="AH31" i="49"/>
  <c r="AH30" i="49"/>
  <c r="X29" i="49"/>
  <c r="AV35" i="49"/>
  <c r="AW35" i="49" s="1"/>
  <c r="AQ35" i="49"/>
  <c r="AL35" i="49"/>
  <c r="AG35" i="49"/>
  <c r="AB35" i="49"/>
  <c r="AC35" i="49" s="1"/>
  <c r="W35" i="49"/>
  <c r="R35" i="49"/>
  <c r="S35" i="49" s="1"/>
  <c r="J35" i="49"/>
  <c r="I35" i="49"/>
  <c r="G35" i="49"/>
  <c r="AV34" i="49"/>
  <c r="AW34" i="49" s="1"/>
  <c r="AQ34" i="49"/>
  <c r="AL34" i="49"/>
  <c r="AM34" i="49" s="1"/>
  <c r="AG34" i="49"/>
  <c r="AB34" i="49"/>
  <c r="AC34" i="49" s="1"/>
  <c r="W34" i="49"/>
  <c r="X34" i="49" s="1"/>
  <c r="R34" i="49"/>
  <c r="S34" i="49" s="1"/>
  <c r="J34" i="49"/>
  <c r="I34" i="49"/>
  <c r="G34" i="49"/>
  <c r="AV33" i="49"/>
  <c r="AW33" i="49" s="1"/>
  <c r="AQ33" i="49"/>
  <c r="AL33" i="49"/>
  <c r="AG33" i="49"/>
  <c r="AB33" i="49"/>
  <c r="W33" i="49"/>
  <c r="R33" i="49"/>
  <c r="S33" i="49" s="1"/>
  <c r="J33" i="49"/>
  <c r="I33" i="49"/>
  <c r="G33" i="49"/>
  <c r="AV32" i="49"/>
  <c r="AW32" i="49" s="1"/>
  <c r="AQ32" i="49"/>
  <c r="AL32" i="49"/>
  <c r="AM32" i="49" s="1"/>
  <c r="AG32" i="49"/>
  <c r="AB32" i="49"/>
  <c r="AC32" i="49" s="1"/>
  <c r="W32" i="49"/>
  <c r="R32" i="49"/>
  <c r="S32" i="49" s="1"/>
  <c r="J32" i="49"/>
  <c r="I32" i="49"/>
  <c r="G32" i="49"/>
  <c r="AV31" i="49"/>
  <c r="AW31" i="49" s="1"/>
  <c r="AQ31" i="49"/>
  <c r="AR31" i="49" s="1"/>
  <c r="AL31" i="49"/>
  <c r="AG31" i="49"/>
  <c r="AB31" i="49"/>
  <c r="W31" i="49"/>
  <c r="R31" i="49"/>
  <c r="S31" i="49" s="1"/>
  <c r="J31" i="49"/>
  <c r="I31" i="49"/>
  <c r="G31" i="49"/>
  <c r="AV30" i="49"/>
  <c r="AW30" i="49" s="1"/>
  <c r="AQ30" i="49"/>
  <c r="AR30" i="49" s="1"/>
  <c r="AL30" i="49"/>
  <c r="AM30" i="49" s="1"/>
  <c r="AG30" i="49"/>
  <c r="AH34" i="49" s="1"/>
  <c r="AB30" i="49"/>
  <c r="AC30" i="49" s="1"/>
  <c r="W30" i="49"/>
  <c r="R30" i="49"/>
  <c r="S30" i="49" s="1"/>
  <c r="J30" i="49"/>
  <c r="I30" i="49"/>
  <c r="G30" i="49"/>
  <c r="AV29" i="49"/>
  <c r="AW29" i="49" s="1"/>
  <c r="AQ29" i="49"/>
  <c r="AR29" i="49" s="1"/>
  <c r="AL29" i="49"/>
  <c r="AG29" i="49"/>
  <c r="AH29" i="49" s="1"/>
  <c r="AB29" i="49"/>
  <c r="W29" i="49"/>
  <c r="R29" i="49"/>
  <c r="S29" i="49" s="1"/>
  <c r="J29" i="49"/>
  <c r="I29" i="49"/>
  <c r="G29" i="49"/>
  <c r="AV28" i="49"/>
  <c r="AW28" i="49" s="1"/>
  <c r="AQ28" i="49"/>
  <c r="AR28" i="49" s="1"/>
  <c r="AL28" i="49"/>
  <c r="AM35" i="49" s="1"/>
  <c r="AG28" i="49"/>
  <c r="AH28" i="49" s="1"/>
  <c r="AB28" i="49"/>
  <c r="AC33" i="49" s="1"/>
  <c r="W28" i="49"/>
  <c r="X35" i="49" s="1"/>
  <c r="R28" i="49"/>
  <c r="S28" i="49" s="1"/>
  <c r="K28" i="49"/>
  <c r="J28" i="49"/>
  <c r="I28" i="49"/>
  <c r="G28" i="49"/>
  <c r="AV27" i="49"/>
  <c r="AQ27" i="49"/>
  <c r="AR27" i="49" s="1"/>
  <c r="AL27" i="49"/>
  <c r="AG27" i="49"/>
  <c r="AB27" i="49"/>
  <c r="AC31" i="49" s="1"/>
  <c r="W27" i="49"/>
  <c r="X27" i="49" s="1"/>
  <c r="R27" i="49"/>
  <c r="S27" i="49" s="1"/>
  <c r="J27" i="49"/>
  <c r="I27" i="49"/>
  <c r="G27" i="49"/>
  <c r="AW27" i="48"/>
  <c r="X35" i="48"/>
  <c r="X34" i="48"/>
  <c r="X33" i="48"/>
  <c r="AV35" i="48"/>
  <c r="AQ35" i="48"/>
  <c r="AR35" i="48" s="1"/>
  <c r="AL35" i="48"/>
  <c r="AM35" i="48" s="1"/>
  <c r="AG35" i="48"/>
  <c r="AB35" i="48"/>
  <c r="AC35" i="48" s="1"/>
  <c r="W35" i="48"/>
  <c r="R35" i="48"/>
  <c r="K35" i="48" s="1"/>
  <c r="J35" i="48"/>
  <c r="I35" i="48"/>
  <c r="G35" i="48"/>
  <c r="AV34" i="48"/>
  <c r="AW34" i="48" s="1"/>
  <c r="AQ34" i="48"/>
  <c r="AR34" i="48" s="1"/>
  <c r="AL34" i="48"/>
  <c r="AM34" i="48" s="1"/>
  <c r="AG34" i="48"/>
  <c r="AB34" i="48"/>
  <c r="K34" i="48" s="1"/>
  <c r="W34" i="48"/>
  <c r="R34" i="48"/>
  <c r="J34" i="48"/>
  <c r="I34" i="48"/>
  <c r="G34" i="48"/>
  <c r="AV33" i="48"/>
  <c r="AW33" i="48" s="1"/>
  <c r="AQ33" i="48"/>
  <c r="AR33" i="48" s="1"/>
  <c r="AL33" i="48"/>
  <c r="AM33" i="48" s="1"/>
  <c r="AG33" i="48"/>
  <c r="AH33" i="48" s="1"/>
  <c r="AB33" i="48"/>
  <c r="AC33" i="48" s="1"/>
  <c r="W33" i="48"/>
  <c r="R33" i="48"/>
  <c r="S33" i="48" s="1"/>
  <c r="J33" i="48"/>
  <c r="I33" i="48"/>
  <c r="G33" i="48"/>
  <c r="AV32" i="48"/>
  <c r="AQ32" i="48"/>
  <c r="AR32" i="48" s="1"/>
  <c r="AL32" i="48"/>
  <c r="AM32" i="48" s="1"/>
  <c r="AG32" i="48"/>
  <c r="AH32" i="48" s="1"/>
  <c r="AB32" i="48"/>
  <c r="W32" i="48"/>
  <c r="X32" i="48" s="1"/>
  <c r="R32" i="48"/>
  <c r="J32" i="48"/>
  <c r="I32" i="48"/>
  <c r="G32" i="48"/>
  <c r="AV31" i="48"/>
  <c r="AW31" i="48" s="1"/>
  <c r="AQ31" i="48"/>
  <c r="AR31" i="48" s="1"/>
  <c r="AL31" i="48"/>
  <c r="AM31" i="48" s="1"/>
  <c r="AG31" i="48"/>
  <c r="AH31" i="48" s="1"/>
  <c r="AB31" i="48"/>
  <c r="W31" i="48"/>
  <c r="X31" i="48" s="1"/>
  <c r="R31" i="48"/>
  <c r="S31" i="48" s="1"/>
  <c r="J31" i="48"/>
  <c r="I31" i="48"/>
  <c r="G31" i="48"/>
  <c r="AV30" i="48"/>
  <c r="AW30" i="48" s="1"/>
  <c r="AQ30" i="48"/>
  <c r="AR30" i="48" s="1"/>
  <c r="AL30" i="48"/>
  <c r="AM30" i="48" s="1"/>
  <c r="AG30" i="48"/>
  <c r="AH34" i="48" s="1"/>
  <c r="AB30" i="48"/>
  <c r="W30" i="48"/>
  <c r="X30" i="48" s="1"/>
  <c r="R30" i="48"/>
  <c r="J30" i="48"/>
  <c r="I30" i="48"/>
  <c r="G30" i="48"/>
  <c r="AV29" i="48"/>
  <c r="AQ29" i="48"/>
  <c r="AR29" i="48" s="1"/>
  <c r="AL29" i="48"/>
  <c r="AM29" i="48" s="1"/>
  <c r="AG29" i="48"/>
  <c r="AH29" i="48" s="1"/>
  <c r="AB29" i="48"/>
  <c r="AC30" i="48" s="1"/>
  <c r="W29" i="48"/>
  <c r="X29" i="48" s="1"/>
  <c r="R29" i="48"/>
  <c r="S29" i="48" s="1"/>
  <c r="J29" i="48"/>
  <c r="I29" i="48"/>
  <c r="G29" i="48"/>
  <c r="AV28" i="48"/>
  <c r="AW29" i="48" s="1"/>
  <c r="AQ28" i="48"/>
  <c r="AR28" i="48" s="1"/>
  <c r="AL28" i="48"/>
  <c r="AM28" i="48" s="1"/>
  <c r="AG28" i="48"/>
  <c r="AH28" i="48" s="1"/>
  <c r="AB28" i="48"/>
  <c r="W28" i="48"/>
  <c r="X28" i="48" s="1"/>
  <c r="R28" i="48"/>
  <c r="J28" i="48"/>
  <c r="I28" i="48"/>
  <c r="G28" i="48"/>
  <c r="AV27" i="48"/>
  <c r="AW35" i="48" s="1"/>
  <c r="AQ27" i="48"/>
  <c r="AR27" i="48" s="1"/>
  <c r="AL27" i="48"/>
  <c r="AN27" i="48" s="1"/>
  <c r="AG27" i="48"/>
  <c r="AH27" i="48" s="1"/>
  <c r="AB27" i="48"/>
  <c r="W27" i="48"/>
  <c r="X27" i="48" s="1"/>
  <c r="R27" i="48"/>
  <c r="S27" i="48" s="1"/>
  <c r="J27" i="48"/>
  <c r="I27" i="48"/>
  <c r="G27" i="48"/>
  <c r="AR28" i="47"/>
  <c r="AR27" i="47"/>
  <c r="AM31" i="47"/>
  <c r="AM28" i="47"/>
  <c r="AM27" i="47"/>
  <c r="X27" i="47"/>
  <c r="S28" i="47"/>
  <c r="S30" i="47"/>
  <c r="S31" i="47"/>
  <c r="S27" i="47"/>
  <c r="AV31" i="47"/>
  <c r="AW31" i="47" s="1"/>
  <c r="AQ31" i="47"/>
  <c r="AR31" i="47" s="1"/>
  <c r="AL31" i="47"/>
  <c r="AG31" i="47"/>
  <c r="AB31" i="47"/>
  <c r="W31" i="47"/>
  <c r="X31" i="47" s="1"/>
  <c r="R31" i="47"/>
  <c r="J31" i="47"/>
  <c r="I31" i="47"/>
  <c r="G31" i="47"/>
  <c r="AV30" i="47"/>
  <c r="AW30" i="47" s="1"/>
  <c r="AQ30" i="47"/>
  <c r="AR30" i="47" s="1"/>
  <c r="AL30" i="47"/>
  <c r="AM30" i="47" s="1"/>
  <c r="AG30" i="47"/>
  <c r="AH30" i="47" s="1"/>
  <c r="AB30" i="47"/>
  <c r="AC30" i="47" s="1"/>
  <c r="W30" i="47"/>
  <c r="X30" i="47" s="1"/>
  <c r="R30" i="47"/>
  <c r="J30" i="47"/>
  <c r="I30" i="47"/>
  <c r="G30" i="47"/>
  <c r="AV29" i="47"/>
  <c r="AQ29" i="47"/>
  <c r="AR29" i="47" s="1"/>
  <c r="AL29" i="47"/>
  <c r="AG29" i="47"/>
  <c r="AB29" i="47"/>
  <c r="W29" i="47"/>
  <c r="X29" i="47" s="1"/>
  <c r="R29" i="47"/>
  <c r="J29" i="47"/>
  <c r="I29" i="47"/>
  <c r="G29" i="47"/>
  <c r="AV28" i="47"/>
  <c r="AW28" i="47" s="1"/>
  <c r="AQ28" i="47"/>
  <c r="AL28" i="47"/>
  <c r="AM29" i="47" s="1"/>
  <c r="AG28" i="47"/>
  <c r="AH31" i="47" s="1"/>
  <c r="AB28" i="47"/>
  <c r="AC28" i="47" s="1"/>
  <c r="W28" i="47"/>
  <c r="R28" i="47"/>
  <c r="J28" i="47"/>
  <c r="I28" i="47"/>
  <c r="G28" i="47"/>
  <c r="AV27" i="47"/>
  <c r="AS27" i="47"/>
  <c r="AQ27" i="47"/>
  <c r="AL27" i="47"/>
  <c r="AG27" i="47"/>
  <c r="AB27" i="47"/>
  <c r="W27" i="47"/>
  <c r="X28" i="47" s="1"/>
  <c r="R27" i="47"/>
  <c r="T27" i="47" s="1"/>
  <c r="J27" i="47"/>
  <c r="I27" i="47"/>
  <c r="G27" i="47"/>
  <c r="H27" i="47" s="1"/>
  <c r="AM28" i="46"/>
  <c r="AM27" i="46"/>
  <c r="AH28" i="46"/>
  <c r="AH27" i="46"/>
  <c r="AC28" i="46"/>
  <c r="AC27" i="46"/>
  <c r="AV28" i="46"/>
  <c r="AQ28" i="46"/>
  <c r="AL28" i="46"/>
  <c r="AG28" i="46"/>
  <c r="AB28" i="46"/>
  <c r="W28" i="46"/>
  <c r="X28" i="46" s="1"/>
  <c r="R28" i="46"/>
  <c r="S28" i="46" s="1"/>
  <c r="K28" i="46"/>
  <c r="J28" i="46"/>
  <c r="I28" i="46"/>
  <c r="G28" i="46"/>
  <c r="AX27" i="46"/>
  <c r="AV27" i="46"/>
  <c r="AW28" i="46" s="1"/>
  <c r="AQ27" i="46"/>
  <c r="AS27" i="46" s="1"/>
  <c r="AL27" i="46"/>
  <c r="AG27" i="46"/>
  <c r="AI27" i="46" s="1"/>
  <c r="AB27" i="46"/>
  <c r="W27" i="46"/>
  <c r="X27" i="46" s="1"/>
  <c r="R27" i="46"/>
  <c r="J27" i="46"/>
  <c r="I27" i="46"/>
  <c r="G27" i="46"/>
  <c r="R27" i="45"/>
  <c r="X29" i="45"/>
  <c r="S28" i="45"/>
  <c r="AV29" i="45"/>
  <c r="AW29" i="45" s="1"/>
  <c r="AQ29" i="45"/>
  <c r="AL29" i="45"/>
  <c r="AM29" i="45" s="1"/>
  <c r="AG29" i="45"/>
  <c r="AB29" i="45"/>
  <c r="W29" i="45"/>
  <c r="R29" i="45"/>
  <c r="J29" i="45"/>
  <c r="I29" i="45"/>
  <c r="G29" i="45"/>
  <c r="AV28" i="45"/>
  <c r="AW28" i="45" s="1"/>
  <c r="AQ28" i="45"/>
  <c r="AL28" i="45"/>
  <c r="AG28" i="45"/>
  <c r="AH28" i="45" s="1"/>
  <c r="AB28" i="45"/>
  <c r="AC28" i="45" s="1"/>
  <c r="W28" i="45"/>
  <c r="X28" i="45" s="1"/>
  <c r="R28" i="45"/>
  <c r="S29" i="45" s="1"/>
  <c r="J28" i="45"/>
  <c r="I28" i="45"/>
  <c r="G28" i="45"/>
  <c r="AV27" i="45"/>
  <c r="AQ27" i="45"/>
  <c r="AR27" i="45" s="1"/>
  <c r="AL27" i="45"/>
  <c r="AG27" i="45"/>
  <c r="AB27" i="45"/>
  <c r="W27" i="45"/>
  <c r="J27" i="45"/>
  <c r="I27" i="45"/>
  <c r="G27" i="45"/>
  <c r="AW83" i="44"/>
  <c r="AW82" i="44"/>
  <c r="AW81" i="44"/>
  <c r="AW80" i="44"/>
  <c r="AW79" i="44"/>
  <c r="AW78" i="44"/>
  <c r="AW77" i="44"/>
  <c r="AW76" i="44"/>
  <c r="AW75" i="44"/>
  <c r="AW74" i="44"/>
  <c r="AW73" i="44"/>
  <c r="AW72" i="44"/>
  <c r="AW71" i="44"/>
  <c r="AW70" i="44"/>
  <c r="AW69" i="44"/>
  <c r="AW68" i="44"/>
  <c r="AW67" i="44"/>
  <c r="AW66" i="44"/>
  <c r="AW65" i="44"/>
  <c r="AW64" i="44"/>
  <c r="AW63" i="44"/>
  <c r="AW62" i="44"/>
  <c r="AW61" i="44"/>
  <c r="AW60" i="44"/>
  <c r="AW59" i="44"/>
  <c r="AW58" i="44"/>
  <c r="AW57" i="44"/>
  <c r="AW56" i="44"/>
  <c r="AW55" i="44"/>
  <c r="AW54" i="44"/>
  <c r="AW53" i="44"/>
  <c r="AW52" i="44"/>
  <c r="AW51" i="44"/>
  <c r="AW50" i="44"/>
  <c r="AW49" i="44"/>
  <c r="AR83" i="44"/>
  <c r="AR82" i="44"/>
  <c r="AR81" i="44"/>
  <c r="AR80" i="44"/>
  <c r="AR79" i="44"/>
  <c r="AR78" i="44"/>
  <c r="AR77" i="44"/>
  <c r="AR76" i="44"/>
  <c r="AR75" i="44"/>
  <c r="AR74" i="44"/>
  <c r="AR73" i="44"/>
  <c r="AR72" i="44"/>
  <c r="AR71" i="44"/>
  <c r="AR70" i="44"/>
  <c r="AR69" i="44"/>
  <c r="AR68" i="44"/>
  <c r="AR67" i="44"/>
  <c r="AR66" i="44"/>
  <c r="AR65" i="44"/>
  <c r="AR64" i="44"/>
  <c r="AR63" i="44"/>
  <c r="AR62" i="44"/>
  <c r="AR61" i="44"/>
  <c r="AR60" i="44"/>
  <c r="AR59" i="44"/>
  <c r="AR58" i="44"/>
  <c r="AR57" i="44"/>
  <c r="AR56" i="44"/>
  <c r="AR55" i="44"/>
  <c r="AR54" i="44"/>
  <c r="AR53" i="44"/>
  <c r="AR52" i="44"/>
  <c r="AR51" i="44"/>
  <c r="AR50" i="44"/>
  <c r="AR49" i="44"/>
  <c r="AM83" i="44"/>
  <c r="AM82" i="44"/>
  <c r="AM81" i="44"/>
  <c r="AM80" i="44"/>
  <c r="AM79" i="44"/>
  <c r="AM78" i="44"/>
  <c r="AM77" i="44"/>
  <c r="AM76" i="44"/>
  <c r="AM75" i="44"/>
  <c r="AM74" i="44"/>
  <c r="AM73" i="44"/>
  <c r="AM72" i="44"/>
  <c r="AM71" i="44"/>
  <c r="AM70" i="44"/>
  <c r="AM69" i="44"/>
  <c r="AM68" i="44"/>
  <c r="AM67" i="44"/>
  <c r="AM66" i="44"/>
  <c r="AM65" i="44"/>
  <c r="AM64" i="44"/>
  <c r="AM63" i="44"/>
  <c r="AM62" i="44"/>
  <c r="AM61" i="44"/>
  <c r="AM60" i="44"/>
  <c r="AM59" i="44"/>
  <c r="AM58" i="44"/>
  <c r="AM57" i="44"/>
  <c r="AM56" i="44"/>
  <c r="AM55" i="44"/>
  <c r="AM54" i="44"/>
  <c r="AM53" i="44"/>
  <c r="AM52" i="44"/>
  <c r="AM51" i="44"/>
  <c r="AM50" i="44"/>
  <c r="AM49" i="44"/>
  <c r="AH83" i="44"/>
  <c r="AH82" i="44"/>
  <c r="AH81" i="44"/>
  <c r="AH80" i="44"/>
  <c r="AH79" i="44"/>
  <c r="AH78" i="44"/>
  <c r="AH77" i="44"/>
  <c r="AH76" i="44"/>
  <c r="AH75" i="44"/>
  <c r="AH74" i="44"/>
  <c r="AH73" i="44"/>
  <c r="AH72" i="44"/>
  <c r="AH71" i="44"/>
  <c r="AH70" i="44"/>
  <c r="AH69" i="44"/>
  <c r="AH68" i="44"/>
  <c r="AH67" i="44"/>
  <c r="AH66" i="44"/>
  <c r="AH65" i="44"/>
  <c r="AH64" i="44"/>
  <c r="AH63" i="44"/>
  <c r="AH62" i="44"/>
  <c r="AH61" i="44"/>
  <c r="AH60" i="44"/>
  <c r="AH59" i="44"/>
  <c r="AH58" i="44"/>
  <c r="AH57" i="44"/>
  <c r="AH56" i="44"/>
  <c r="AH55" i="44"/>
  <c r="AH54" i="44"/>
  <c r="AH53" i="44"/>
  <c r="AH52" i="44"/>
  <c r="AH51" i="44"/>
  <c r="AH50" i="44"/>
  <c r="AH49" i="44"/>
  <c r="AC83" i="44"/>
  <c r="AC82" i="44"/>
  <c r="AC81" i="44"/>
  <c r="AC80" i="44"/>
  <c r="AC79" i="44"/>
  <c r="AC78" i="44"/>
  <c r="AC77" i="44"/>
  <c r="AC76" i="44"/>
  <c r="AC75" i="44"/>
  <c r="AC74" i="44"/>
  <c r="AC73" i="44"/>
  <c r="AC72" i="44"/>
  <c r="AC71" i="44"/>
  <c r="AC70" i="44"/>
  <c r="AC69" i="44"/>
  <c r="AC68" i="44"/>
  <c r="AC67" i="44"/>
  <c r="AC66" i="44"/>
  <c r="AC65" i="44"/>
  <c r="AC64" i="44"/>
  <c r="AC63" i="44"/>
  <c r="AC62" i="44"/>
  <c r="AC61" i="44"/>
  <c r="AC60" i="44"/>
  <c r="AC59" i="44"/>
  <c r="AC58" i="44"/>
  <c r="AC57" i="44"/>
  <c r="AC56" i="44"/>
  <c r="AC55" i="44"/>
  <c r="AC54" i="44"/>
  <c r="AC53" i="44"/>
  <c r="AC52" i="44"/>
  <c r="AC51" i="44"/>
  <c r="AC50" i="44"/>
  <c r="AC49" i="44"/>
  <c r="X83" i="44"/>
  <c r="X82" i="44"/>
  <c r="X81" i="44"/>
  <c r="X80" i="44"/>
  <c r="X79" i="44"/>
  <c r="X78" i="44"/>
  <c r="X77" i="44"/>
  <c r="X76" i="44"/>
  <c r="X75" i="44"/>
  <c r="X74" i="44"/>
  <c r="X73" i="44"/>
  <c r="X72" i="44"/>
  <c r="X71" i="44"/>
  <c r="X70" i="44"/>
  <c r="X69" i="44"/>
  <c r="X68" i="44"/>
  <c r="X67" i="44"/>
  <c r="X66" i="44"/>
  <c r="X65" i="44"/>
  <c r="X64" i="44"/>
  <c r="X63" i="44"/>
  <c r="X62" i="44"/>
  <c r="X61" i="44"/>
  <c r="X60" i="44"/>
  <c r="X59" i="44"/>
  <c r="X58" i="44"/>
  <c r="X57" i="44"/>
  <c r="X56" i="44"/>
  <c r="X55" i="44"/>
  <c r="X54" i="44"/>
  <c r="X53" i="44"/>
  <c r="X52" i="44"/>
  <c r="X51" i="44"/>
  <c r="X50" i="44"/>
  <c r="X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73" i="44"/>
  <c r="S74" i="44"/>
  <c r="S75" i="44"/>
  <c r="S76" i="44"/>
  <c r="S77" i="44"/>
  <c r="S78" i="44"/>
  <c r="S79" i="44"/>
  <c r="S80" i="44"/>
  <c r="S81" i="44"/>
  <c r="S82" i="44"/>
  <c r="S83" i="44"/>
  <c r="S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74" i="44"/>
  <c r="M75" i="44"/>
  <c r="M76" i="44"/>
  <c r="M77" i="44"/>
  <c r="M78" i="44"/>
  <c r="M79" i="44"/>
  <c r="M80" i="44"/>
  <c r="M81" i="44"/>
  <c r="M82" i="44"/>
  <c r="M83" i="44"/>
  <c r="M49" i="44"/>
  <c r="AV83" i="44"/>
  <c r="AQ83" i="44"/>
  <c r="AL83" i="44"/>
  <c r="AG83" i="44"/>
  <c r="AB83" i="44"/>
  <c r="W83" i="44"/>
  <c r="R83" i="44"/>
  <c r="K83" i="44"/>
  <c r="J83" i="44"/>
  <c r="I83" i="44"/>
  <c r="G83" i="44"/>
  <c r="AV82" i="44"/>
  <c r="AQ82" i="44"/>
  <c r="AL82" i="44"/>
  <c r="AG82" i="44"/>
  <c r="AB82" i="44"/>
  <c r="W82" i="44"/>
  <c r="R82" i="44"/>
  <c r="K82" i="44"/>
  <c r="J82" i="44"/>
  <c r="I82" i="44"/>
  <c r="G82" i="44"/>
  <c r="AV81" i="44"/>
  <c r="K81" i="44" s="1"/>
  <c r="AQ81" i="44"/>
  <c r="AL81" i="44"/>
  <c r="AG81" i="44"/>
  <c r="AB81" i="44"/>
  <c r="W81" i="44"/>
  <c r="R81" i="44"/>
  <c r="J81" i="44"/>
  <c r="I81" i="44"/>
  <c r="G81" i="44"/>
  <c r="AV80" i="44"/>
  <c r="K80" i="44" s="1"/>
  <c r="AQ80" i="44"/>
  <c r="AL80" i="44"/>
  <c r="AG80" i="44"/>
  <c r="AB80" i="44"/>
  <c r="W80" i="44"/>
  <c r="R80" i="44"/>
  <c r="J80" i="44"/>
  <c r="I80" i="44"/>
  <c r="G80" i="44"/>
  <c r="AV79" i="44"/>
  <c r="AQ79" i="44"/>
  <c r="AL79" i="44"/>
  <c r="AG79" i="44"/>
  <c r="AB79" i="44"/>
  <c r="W79" i="44"/>
  <c r="R79" i="44"/>
  <c r="J79" i="44"/>
  <c r="I79" i="44"/>
  <c r="G79" i="44"/>
  <c r="AV78" i="44"/>
  <c r="AQ78" i="44"/>
  <c r="AL78" i="44"/>
  <c r="AG78" i="44"/>
  <c r="AB78" i="44"/>
  <c r="W78" i="44"/>
  <c r="R78" i="44"/>
  <c r="J78" i="44"/>
  <c r="I78" i="44"/>
  <c r="G78" i="44"/>
  <c r="AV77" i="44"/>
  <c r="AQ77" i="44"/>
  <c r="AL77" i="44"/>
  <c r="K77" i="44" s="1"/>
  <c r="AG77" i="44"/>
  <c r="AB77" i="44"/>
  <c r="W77" i="44"/>
  <c r="R77" i="44"/>
  <c r="J77" i="44"/>
  <c r="I77" i="44"/>
  <c r="G77" i="44"/>
  <c r="AV76" i="44"/>
  <c r="AQ76" i="44"/>
  <c r="AL76" i="44"/>
  <c r="K76" i="44" s="1"/>
  <c r="AG76" i="44"/>
  <c r="AB76" i="44"/>
  <c r="W76" i="44"/>
  <c r="R76" i="44"/>
  <c r="J76" i="44"/>
  <c r="I76" i="44"/>
  <c r="G76" i="44"/>
  <c r="AV75" i="44"/>
  <c r="AQ75" i="44"/>
  <c r="AL75" i="44"/>
  <c r="AG75" i="44"/>
  <c r="K75" i="44" s="1"/>
  <c r="AB75" i="44"/>
  <c r="W75" i="44"/>
  <c r="R75" i="44"/>
  <c r="J75" i="44"/>
  <c r="I75" i="44"/>
  <c r="G75" i="44"/>
  <c r="AV74" i="44"/>
  <c r="AQ74" i="44"/>
  <c r="AL74" i="44"/>
  <c r="AG74" i="44"/>
  <c r="AB74" i="44"/>
  <c r="W74" i="44"/>
  <c r="R74" i="44"/>
  <c r="K74" i="44" s="1"/>
  <c r="J74" i="44"/>
  <c r="I74" i="44"/>
  <c r="G74" i="44"/>
  <c r="AV73" i="44"/>
  <c r="AQ73" i="44"/>
  <c r="AL73" i="44"/>
  <c r="AG73" i="44"/>
  <c r="AB73" i="44"/>
  <c r="K73" i="44" s="1"/>
  <c r="W73" i="44"/>
  <c r="R73" i="44"/>
  <c r="J73" i="44"/>
  <c r="I73" i="44"/>
  <c r="G73" i="44"/>
  <c r="AV72" i="44"/>
  <c r="AQ72" i="44"/>
  <c r="AL72" i="44"/>
  <c r="AG72" i="44"/>
  <c r="AB72" i="44"/>
  <c r="K72" i="44" s="1"/>
  <c r="W72" i="44"/>
  <c r="R72" i="44"/>
  <c r="J72" i="44"/>
  <c r="I72" i="44"/>
  <c r="G72" i="44"/>
  <c r="AV71" i="44"/>
  <c r="AQ71" i="44"/>
  <c r="AL71" i="44"/>
  <c r="AG71" i="44"/>
  <c r="AB71" i="44"/>
  <c r="W71" i="44"/>
  <c r="K71" i="44" s="1"/>
  <c r="R71" i="44"/>
  <c r="J71" i="44"/>
  <c r="I71" i="44"/>
  <c r="G71" i="44"/>
  <c r="AV70" i="44"/>
  <c r="AQ70" i="44"/>
  <c r="AL70" i="44"/>
  <c r="AG70" i="44"/>
  <c r="AB70" i="44"/>
  <c r="W70" i="44"/>
  <c r="K70" i="44" s="1"/>
  <c r="R70" i="44"/>
  <c r="J70" i="44"/>
  <c r="I70" i="44"/>
  <c r="G70" i="44"/>
  <c r="AV69" i="44"/>
  <c r="AQ69" i="44"/>
  <c r="AL69" i="44"/>
  <c r="AG69" i="44"/>
  <c r="AB69" i="44"/>
  <c r="W69" i="44"/>
  <c r="R69" i="44"/>
  <c r="K69" i="44" s="1"/>
  <c r="J69" i="44"/>
  <c r="I69" i="44"/>
  <c r="G69" i="44"/>
  <c r="AV68" i="44"/>
  <c r="AQ68" i="44"/>
  <c r="AL68" i="44"/>
  <c r="AG68" i="44"/>
  <c r="AB68" i="44"/>
  <c r="W68" i="44"/>
  <c r="R68" i="44"/>
  <c r="K68" i="44" s="1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K66" i="44"/>
  <c r="J66" i="44"/>
  <c r="I66" i="44"/>
  <c r="G66" i="44"/>
  <c r="AV65" i="44"/>
  <c r="AQ65" i="44"/>
  <c r="AL65" i="44"/>
  <c r="AG65" i="44"/>
  <c r="AB65" i="44"/>
  <c r="W65" i="44"/>
  <c r="R65" i="44"/>
  <c r="K65" i="44"/>
  <c r="J65" i="44"/>
  <c r="I65" i="44"/>
  <c r="G65" i="44"/>
  <c r="AV64" i="44"/>
  <c r="AQ64" i="44"/>
  <c r="AL64" i="44"/>
  <c r="AG64" i="44"/>
  <c r="AB64" i="44"/>
  <c r="W64" i="44"/>
  <c r="R64" i="44"/>
  <c r="K64" i="44"/>
  <c r="J64" i="44"/>
  <c r="I64" i="44"/>
  <c r="G64" i="44"/>
  <c r="AV63" i="44"/>
  <c r="AQ63" i="44"/>
  <c r="AL63" i="44"/>
  <c r="AG63" i="44"/>
  <c r="AB63" i="44"/>
  <c r="W63" i="44"/>
  <c r="R63" i="44"/>
  <c r="K63" i="44"/>
  <c r="J63" i="44"/>
  <c r="I63" i="44"/>
  <c r="G63" i="44"/>
  <c r="AV62" i="44"/>
  <c r="AQ62" i="44"/>
  <c r="AL62" i="44"/>
  <c r="AG62" i="44"/>
  <c r="AB62" i="44"/>
  <c r="W62" i="44"/>
  <c r="R62" i="44"/>
  <c r="K62" i="44"/>
  <c r="J62" i="44"/>
  <c r="I62" i="44"/>
  <c r="G62" i="44"/>
  <c r="AV61" i="44"/>
  <c r="K61" i="44" s="1"/>
  <c r="AQ61" i="44"/>
  <c r="AL61" i="44"/>
  <c r="AG61" i="44"/>
  <c r="AB61" i="44"/>
  <c r="W61" i="44"/>
  <c r="R61" i="44"/>
  <c r="J61" i="44"/>
  <c r="I61" i="44"/>
  <c r="G61" i="44"/>
  <c r="AV60" i="44"/>
  <c r="K60" i="44" s="1"/>
  <c r="AQ60" i="44"/>
  <c r="AL60" i="44"/>
  <c r="AG60" i="44"/>
  <c r="AB60" i="44"/>
  <c r="W60" i="44"/>
  <c r="R60" i="44"/>
  <c r="J60" i="44"/>
  <c r="I60" i="44"/>
  <c r="G60" i="44"/>
  <c r="AV59" i="44"/>
  <c r="AQ59" i="44"/>
  <c r="AL59" i="44"/>
  <c r="AG59" i="44"/>
  <c r="AB59" i="44"/>
  <c r="W59" i="44"/>
  <c r="R59" i="44"/>
  <c r="J59" i="44"/>
  <c r="I59" i="44"/>
  <c r="G59" i="44"/>
  <c r="AV58" i="44"/>
  <c r="AQ58" i="44"/>
  <c r="AL58" i="44"/>
  <c r="AG58" i="44"/>
  <c r="AB58" i="44"/>
  <c r="W58" i="44"/>
  <c r="R58" i="44"/>
  <c r="J58" i="44"/>
  <c r="I58" i="44"/>
  <c r="G58" i="44"/>
  <c r="AV57" i="44"/>
  <c r="AQ57" i="44"/>
  <c r="AL57" i="44"/>
  <c r="K57" i="44" s="1"/>
  <c r="AG57" i="44"/>
  <c r="AB57" i="44"/>
  <c r="W57" i="44"/>
  <c r="R57" i="44"/>
  <c r="J57" i="44"/>
  <c r="I57" i="44"/>
  <c r="G57" i="44"/>
  <c r="AV56" i="44"/>
  <c r="AQ56" i="44"/>
  <c r="AL56" i="44"/>
  <c r="K56" i="44" s="1"/>
  <c r="AG56" i="44"/>
  <c r="AB56" i="44"/>
  <c r="W56" i="44"/>
  <c r="R56" i="44"/>
  <c r="J56" i="44"/>
  <c r="I56" i="44"/>
  <c r="G56" i="44"/>
  <c r="AV55" i="44"/>
  <c r="AQ55" i="44"/>
  <c r="AL55" i="44"/>
  <c r="AG55" i="44"/>
  <c r="K55" i="44" s="1"/>
  <c r="AB55" i="44"/>
  <c r="W55" i="44"/>
  <c r="R55" i="44"/>
  <c r="J55" i="44"/>
  <c r="I55" i="44"/>
  <c r="G55" i="44"/>
  <c r="AV54" i="44"/>
  <c r="AQ54" i="44"/>
  <c r="AL54" i="44"/>
  <c r="AG54" i="44"/>
  <c r="AB54" i="44"/>
  <c r="W54" i="44"/>
  <c r="R54" i="44"/>
  <c r="K54" i="44" s="1"/>
  <c r="J54" i="44"/>
  <c r="I54" i="44"/>
  <c r="G54" i="44"/>
  <c r="AV53" i="44"/>
  <c r="AQ53" i="44"/>
  <c r="AS49" i="44" s="1"/>
  <c r="AL53" i="44"/>
  <c r="AG53" i="44"/>
  <c r="AB53" i="44"/>
  <c r="K53" i="44" s="1"/>
  <c r="W53" i="44"/>
  <c r="R53" i="44"/>
  <c r="J53" i="44"/>
  <c r="I53" i="44"/>
  <c r="G53" i="44"/>
  <c r="AV52" i="44"/>
  <c r="AQ52" i="44"/>
  <c r="AL52" i="44"/>
  <c r="AG52" i="44"/>
  <c r="AB52" i="44"/>
  <c r="K52" i="44" s="1"/>
  <c r="W52" i="44"/>
  <c r="R52" i="44"/>
  <c r="J52" i="44"/>
  <c r="I52" i="44"/>
  <c r="G52" i="44"/>
  <c r="AV51" i="44"/>
  <c r="AQ51" i="44"/>
  <c r="AL51" i="44"/>
  <c r="AG51" i="44"/>
  <c r="AB51" i="44"/>
  <c r="W51" i="44"/>
  <c r="K51" i="44" s="1"/>
  <c r="R51" i="44"/>
  <c r="J51" i="44"/>
  <c r="I51" i="44"/>
  <c r="G51" i="44"/>
  <c r="AV50" i="44"/>
  <c r="AQ50" i="44"/>
  <c r="AL50" i="44"/>
  <c r="AG50" i="44"/>
  <c r="AB50" i="44"/>
  <c r="W50" i="44"/>
  <c r="K50" i="44" s="1"/>
  <c r="R50" i="44"/>
  <c r="J50" i="44"/>
  <c r="I50" i="44"/>
  <c r="G50" i="44"/>
  <c r="AV49" i="44"/>
  <c r="AX49" i="44" s="1"/>
  <c r="AQ49" i="44"/>
  <c r="AL49" i="44"/>
  <c r="AN49" i="44" s="1"/>
  <c r="AG49" i="44"/>
  <c r="K49" i="44" s="1"/>
  <c r="AB49" i="44"/>
  <c r="W49" i="44"/>
  <c r="Y49" i="44" s="1"/>
  <c r="R49" i="44"/>
  <c r="J49" i="44"/>
  <c r="I49" i="44"/>
  <c r="G49" i="44"/>
  <c r="H49" i="44" s="1"/>
  <c r="G14" i="6"/>
  <c r="B14" i="6"/>
  <c r="D14" i="6"/>
  <c r="D15" i="6"/>
  <c r="D16" i="6"/>
  <c r="D17" i="6" s="1"/>
  <c r="D18" i="6" s="1"/>
  <c r="D19" i="6" s="1"/>
  <c r="D20" i="6" s="1"/>
  <c r="AC20" i="6"/>
  <c r="AD20" i="6" s="1"/>
  <c r="S20" i="6"/>
  <c r="M20" i="6"/>
  <c r="F20" i="6"/>
  <c r="AL20" i="6" s="1"/>
  <c r="AC19" i="6"/>
  <c r="AD19" i="6" s="1"/>
  <c r="S19" i="6"/>
  <c r="M19" i="6"/>
  <c r="F19" i="6"/>
  <c r="AL19" i="6" s="1"/>
  <c r="AC18" i="6"/>
  <c r="AD18" i="6" s="1"/>
  <c r="S18" i="6"/>
  <c r="M18" i="6"/>
  <c r="F18" i="6"/>
  <c r="AL18" i="6" s="1"/>
  <c r="AC17" i="6"/>
  <c r="AD17" i="6" s="1"/>
  <c r="S17" i="6"/>
  <c r="M17" i="6"/>
  <c r="F17" i="6"/>
  <c r="AL17" i="6" s="1"/>
  <c r="AC16" i="6"/>
  <c r="AD16" i="6" s="1"/>
  <c r="S16" i="6"/>
  <c r="M16" i="6"/>
  <c r="F16" i="6"/>
  <c r="AL16" i="6" s="1"/>
  <c r="AC15" i="6"/>
  <c r="AD15" i="6" s="1"/>
  <c r="S15" i="6"/>
  <c r="M15" i="6"/>
  <c r="F15" i="6"/>
  <c r="AL15" i="6" s="1"/>
  <c r="AC14" i="6"/>
  <c r="AD14" i="6" s="1"/>
  <c r="S14" i="6"/>
  <c r="M14" i="6"/>
  <c r="F14" i="6"/>
  <c r="AL14" i="6" s="1"/>
  <c r="G14" i="7"/>
  <c r="B14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AC14" i="7"/>
  <c r="S14" i="7"/>
  <c r="M14" i="7"/>
  <c r="U13" i="5"/>
  <c r="U14" i="5"/>
  <c r="U15" i="5"/>
  <c r="U16" i="5"/>
  <c r="U17" i="5"/>
  <c r="U18" i="5"/>
  <c r="U12" i="5"/>
  <c r="AM29" i="52" l="1"/>
  <c r="H27" i="52"/>
  <c r="S29" i="52"/>
  <c r="X27" i="52"/>
  <c r="K27" i="52"/>
  <c r="AR28" i="52"/>
  <c r="Y27" i="52"/>
  <c r="X30" i="52"/>
  <c r="AC28" i="52"/>
  <c r="AC30" i="52"/>
  <c r="AX27" i="52"/>
  <c r="AH27" i="52"/>
  <c r="AC27" i="52"/>
  <c r="AH28" i="52"/>
  <c r="S27" i="52"/>
  <c r="AM27" i="52"/>
  <c r="AI27" i="51"/>
  <c r="X32" i="51"/>
  <c r="AW35" i="51"/>
  <c r="AN27" i="51"/>
  <c r="X33" i="51"/>
  <c r="AD27" i="51"/>
  <c r="AS27" i="51"/>
  <c r="AC27" i="51"/>
  <c r="AM33" i="51"/>
  <c r="K30" i="51"/>
  <c r="AC28" i="51"/>
  <c r="S27" i="51"/>
  <c r="AM35" i="51"/>
  <c r="AC31" i="51"/>
  <c r="AR28" i="51"/>
  <c r="K33" i="51"/>
  <c r="S31" i="51"/>
  <c r="AC34" i="51"/>
  <c r="AR33" i="51"/>
  <c r="S29" i="51"/>
  <c r="AH27" i="51"/>
  <c r="H27" i="51"/>
  <c r="S28" i="51"/>
  <c r="K31" i="51"/>
  <c r="T27" i="51"/>
  <c r="Y27" i="51"/>
  <c r="X30" i="51"/>
  <c r="X31" i="51"/>
  <c r="X28" i="49"/>
  <c r="X30" i="49"/>
  <c r="X31" i="49"/>
  <c r="AH33" i="49"/>
  <c r="X32" i="49"/>
  <c r="AW27" i="49"/>
  <c r="X33" i="49"/>
  <c r="AH35" i="49"/>
  <c r="AM27" i="49"/>
  <c r="AM28" i="49"/>
  <c r="AC27" i="49"/>
  <c r="AM29" i="49"/>
  <c r="H27" i="49"/>
  <c r="AC28" i="49"/>
  <c r="AC29" i="49"/>
  <c r="AM31" i="49"/>
  <c r="T27" i="49"/>
  <c r="AM33" i="49"/>
  <c r="K29" i="49"/>
  <c r="M29" i="49" s="1"/>
  <c r="AI27" i="49"/>
  <c r="AD27" i="49"/>
  <c r="AH27" i="49"/>
  <c r="AX27" i="49"/>
  <c r="AH35" i="48"/>
  <c r="AW28" i="48"/>
  <c r="AM27" i="48"/>
  <c r="K32" i="48"/>
  <c r="AC27" i="48"/>
  <c r="AC28" i="48"/>
  <c r="AC29" i="48"/>
  <c r="AW32" i="48"/>
  <c r="T27" i="48"/>
  <c r="S35" i="48"/>
  <c r="AC31" i="48"/>
  <c r="S34" i="48"/>
  <c r="AD27" i="48"/>
  <c r="AC32" i="48"/>
  <c r="S32" i="48"/>
  <c r="AC34" i="48"/>
  <c r="S30" i="48"/>
  <c r="AS27" i="48"/>
  <c r="AI27" i="48"/>
  <c r="K33" i="48"/>
  <c r="S28" i="48"/>
  <c r="AX27" i="48"/>
  <c r="AH30" i="48"/>
  <c r="H27" i="48"/>
  <c r="AC29" i="47"/>
  <c r="AX27" i="47"/>
  <c r="AC31" i="47"/>
  <c r="AH27" i="47"/>
  <c r="AH28" i="47"/>
  <c r="K28" i="47"/>
  <c r="AH29" i="47"/>
  <c r="AW29" i="47"/>
  <c r="S29" i="47"/>
  <c r="Y27" i="47"/>
  <c r="AD27" i="47"/>
  <c r="AI27" i="47"/>
  <c r="AN27" i="47"/>
  <c r="AC27" i="47"/>
  <c r="AW27" i="47"/>
  <c r="AR27" i="46"/>
  <c r="AR28" i="46"/>
  <c r="AW27" i="46"/>
  <c r="H27" i="46"/>
  <c r="K27" i="46"/>
  <c r="M27" i="46" s="1"/>
  <c r="T27" i="46"/>
  <c r="Y27" i="46"/>
  <c r="AD27" i="46"/>
  <c r="S27" i="46"/>
  <c r="AN27" i="46"/>
  <c r="AW27" i="45"/>
  <c r="AR29" i="45"/>
  <c r="AX27" i="45"/>
  <c r="K27" i="45"/>
  <c r="AM28" i="45"/>
  <c r="AR28" i="45"/>
  <c r="H27" i="45"/>
  <c r="Y27" i="45"/>
  <c r="K29" i="45"/>
  <c r="AC29" i="45"/>
  <c r="AM27" i="45"/>
  <c r="AH29" i="45"/>
  <c r="AD27" i="45"/>
  <c r="AI27" i="45"/>
  <c r="AS27" i="45"/>
  <c r="S27" i="45"/>
  <c r="X27" i="45"/>
  <c r="AC27" i="45"/>
  <c r="AH27" i="45"/>
  <c r="K50" i="62"/>
  <c r="K42" i="62"/>
  <c r="K58" i="62"/>
  <c r="K74" i="20"/>
  <c r="K50" i="20"/>
  <c r="K58" i="19"/>
  <c r="K50" i="19"/>
  <c r="K66" i="20"/>
  <c r="K42" i="19"/>
  <c r="K38" i="20"/>
  <c r="K22" i="20"/>
  <c r="K58" i="20"/>
  <c r="K14" i="20"/>
  <c r="K30" i="20"/>
  <c r="C9" i="41"/>
  <c r="P147" i="66"/>
  <c r="T150" i="66"/>
  <c r="V150" i="66" s="1"/>
  <c r="X150" i="66" s="1"/>
  <c r="T153" i="66"/>
  <c r="V153" i="66" s="1"/>
  <c r="X153" i="66" s="1"/>
  <c r="T156" i="66"/>
  <c r="V156" i="66" s="1"/>
  <c r="X156" i="66" s="1"/>
  <c r="P141" i="66"/>
  <c r="P152" i="66"/>
  <c r="T155" i="66"/>
  <c r="V155" i="66" s="1"/>
  <c r="T158" i="66"/>
  <c r="V158" i="66" s="1"/>
  <c r="X158" i="66" s="1"/>
  <c r="V147" i="66"/>
  <c r="X147" i="66" s="1"/>
  <c r="V141" i="66"/>
  <c r="X141" i="66" s="1"/>
  <c r="F147" i="66"/>
  <c r="F141" i="66"/>
  <c r="V142" i="66"/>
  <c r="U142" i="66"/>
  <c r="F142" i="66"/>
  <c r="F151" i="66"/>
  <c r="V151" i="66"/>
  <c r="U151" i="66"/>
  <c r="U157" i="66"/>
  <c r="V157" i="66"/>
  <c r="F157" i="66"/>
  <c r="F146" i="66"/>
  <c r="U146" i="66"/>
  <c r="V146" i="66"/>
  <c r="V143" i="66"/>
  <c r="U143" i="66"/>
  <c r="F143" i="66"/>
  <c r="F154" i="66"/>
  <c r="V154" i="66"/>
  <c r="U154" i="66"/>
  <c r="X155" i="66"/>
  <c r="W155" i="66"/>
  <c r="V144" i="66"/>
  <c r="F144" i="66"/>
  <c r="U144" i="66"/>
  <c r="T149" i="66"/>
  <c r="U152" i="66"/>
  <c r="T140" i="66"/>
  <c r="P151" i="66"/>
  <c r="T148" i="66"/>
  <c r="T139" i="66"/>
  <c r="T145" i="66"/>
  <c r="P146" i="66"/>
  <c r="V152" i="66"/>
  <c r="P157" i="66"/>
  <c r="P154" i="66"/>
  <c r="P142" i="66"/>
  <c r="P143" i="66"/>
  <c r="P144" i="66"/>
  <c r="P144" i="63"/>
  <c r="P142" i="63"/>
  <c r="S157" i="63"/>
  <c r="T157" i="63" s="1"/>
  <c r="S150" i="63"/>
  <c r="V150" i="63" s="1"/>
  <c r="X150" i="63" s="1"/>
  <c r="S143" i="63"/>
  <c r="V143" i="63" s="1"/>
  <c r="X143" i="63" s="1"/>
  <c r="P149" i="63"/>
  <c r="S141" i="63"/>
  <c r="V141" i="63" s="1"/>
  <c r="X141" i="63" s="1"/>
  <c r="P154" i="63"/>
  <c r="S147" i="63"/>
  <c r="V147" i="63" s="1"/>
  <c r="X147" i="63" s="1"/>
  <c r="T146" i="63"/>
  <c r="V146" i="63"/>
  <c r="U146" i="63"/>
  <c r="T153" i="63"/>
  <c r="V153" i="63"/>
  <c r="U153" i="63"/>
  <c r="V140" i="63"/>
  <c r="U140" i="63"/>
  <c r="T140" i="63"/>
  <c r="U156" i="63"/>
  <c r="V156" i="63"/>
  <c r="T156" i="63"/>
  <c r="X142" i="63"/>
  <c r="W142" i="63"/>
  <c r="V139" i="63"/>
  <c r="U139" i="63"/>
  <c r="T139" i="63"/>
  <c r="V158" i="63"/>
  <c r="U158" i="63"/>
  <c r="T158" i="63"/>
  <c r="X144" i="63"/>
  <c r="W144" i="63"/>
  <c r="U151" i="63"/>
  <c r="V151" i="63"/>
  <c r="T151" i="63"/>
  <c r="U149" i="63"/>
  <c r="T149" i="63"/>
  <c r="V149" i="63"/>
  <c r="V152" i="63"/>
  <c r="U152" i="63"/>
  <c r="T152" i="63"/>
  <c r="V155" i="63"/>
  <c r="U155" i="63"/>
  <c r="T155" i="63"/>
  <c r="S145" i="63"/>
  <c r="P156" i="63"/>
  <c r="P153" i="63"/>
  <c r="P151" i="63"/>
  <c r="T154" i="63"/>
  <c r="S148" i="63"/>
  <c r="V154" i="63"/>
  <c r="P158" i="63"/>
  <c r="T142" i="63"/>
  <c r="T144" i="63"/>
  <c r="P155" i="63"/>
  <c r="U142" i="63"/>
  <c r="U144" i="63"/>
  <c r="P152" i="63"/>
  <c r="P140" i="63"/>
  <c r="P146" i="63"/>
  <c r="P139" i="63"/>
  <c r="C20" i="41"/>
  <c r="K29" i="52"/>
  <c r="K28" i="52"/>
  <c r="K31" i="52"/>
  <c r="K30" i="52"/>
  <c r="M30" i="52" s="1"/>
  <c r="AI27" i="52"/>
  <c r="K27" i="51"/>
  <c r="AX27" i="51"/>
  <c r="K35" i="51"/>
  <c r="K29" i="51"/>
  <c r="K28" i="51"/>
  <c r="K32" i="51"/>
  <c r="M32" i="51" s="1"/>
  <c r="K34" i="51"/>
  <c r="M34" i="51" s="1"/>
  <c r="AN27" i="49"/>
  <c r="K27" i="49"/>
  <c r="AS27" i="49"/>
  <c r="K35" i="49"/>
  <c r="K33" i="49"/>
  <c r="K32" i="49"/>
  <c r="K31" i="49"/>
  <c r="K34" i="49"/>
  <c r="K30" i="49"/>
  <c r="Y27" i="49"/>
  <c r="K29" i="48"/>
  <c r="K27" i="48"/>
  <c r="M27" i="48" s="1"/>
  <c r="K31" i="48"/>
  <c r="K30" i="48"/>
  <c r="K28" i="48"/>
  <c r="Y27" i="48"/>
  <c r="K27" i="47"/>
  <c r="K30" i="47"/>
  <c r="M30" i="47" s="1"/>
  <c r="K31" i="47"/>
  <c r="K29" i="47"/>
  <c r="L27" i="46"/>
  <c r="K28" i="45"/>
  <c r="L27" i="45" s="1"/>
  <c r="T27" i="45"/>
  <c r="AN27" i="45"/>
  <c r="K67" i="44"/>
  <c r="AD49" i="44"/>
  <c r="K59" i="44"/>
  <c r="K79" i="44"/>
  <c r="AI49" i="44"/>
  <c r="K58" i="44"/>
  <c r="K78" i="44"/>
  <c r="T49" i="44"/>
  <c r="J14" i="6"/>
  <c r="J15" i="6"/>
  <c r="J16" i="6"/>
  <c r="J17" i="6"/>
  <c r="J18" i="6"/>
  <c r="J19" i="6"/>
  <c r="J20" i="6"/>
  <c r="L14" i="6"/>
  <c r="L15" i="6"/>
  <c r="L16" i="6"/>
  <c r="L17" i="6"/>
  <c r="L18" i="6"/>
  <c r="L19" i="6"/>
  <c r="L20" i="6"/>
  <c r="N14" i="6"/>
  <c r="N15" i="6"/>
  <c r="N16" i="6"/>
  <c r="N17" i="6"/>
  <c r="N18" i="6"/>
  <c r="N19" i="6"/>
  <c r="N20" i="6"/>
  <c r="P14" i="6"/>
  <c r="P15" i="6"/>
  <c r="P16" i="6"/>
  <c r="P17" i="6"/>
  <c r="P18" i="6"/>
  <c r="P19" i="6"/>
  <c r="P20" i="6"/>
  <c r="R14" i="6"/>
  <c r="R15" i="6"/>
  <c r="R16" i="6"/>
  <c r="R17" i="6"/>
  <c r="R18" i="6"/>
  <c r="R19" i="6"/>
  <c r="R20" i="6"/>
  <c r="T14" i="6"/>
  <c r="T15" i="6"/>
  <c r="T16" i="6"/>
  <c r="T17" i="6"/>
  <c r="T18" i="6"/>
  <c r="T19" i="6"/>
  <c r="T20" i="6"/>
  <c r="V14" i="6"/>
  <c r="V15" i="6"/>
  <c r="V16" i="6"/>
  <c r="V17" i="6"/>
  <c r="V18" i="6"/>
  <c r="V19" i="6"/>
  <c r="V20" i="6"/>
  <c r="X14" i="6"/>
  <c r="X15" i="6"/>
  <c r="X16" i="6"/>
  <c r="X17" i="6"/>
  <c r="X18" i="6"/>
  <c r="X19" i="6"/>
  <c r="X20" i="6"/>
  <c r="Z14" i="6"/>
  <c r="Z15" i="6"/>
  <c r="Z16" i="6"/>
  <c r="Z17" i="6"/>
  <c r="Z18" i="6"/>
  <c r="Z19" i="6"/>
  <c r="Z20" i="6"/>
  <c r="AB14" i="6"/>
  <c r="AB15" i="6"/>
  <c r="AB16" i="6"/>
  <c r="AB17" i="6"/>
  <c r="AB18" i="6"/>
  <c r="AB19" i="6"/>
  <c r="AB20" i="6"/>
  <c r="AF14" i="6"/>
  <c r="AF15" i="6"/>
  <c r="AF16" i="6"/>
  <c r="AF17" i="6"/>
  <c r="AF18" i="6"/>
  <c r="AF19" i="6"/>
  <c r="AF20" i="6"/>
  <c r="AH14" i="6"/>
  <c r="AH15" i="6"/>
  <c r="AH16" i="6"/>
  <c r="AH17" i="6"/>
  <c r="AH18" i="6"/>
  <c r="AH19" i="6"/>
  <c r="AH20" i="6"/>
  <c r="AJ14" i="6"/>
  <c r="AJ15" i="6"/>
  <c r="AJ16" i="6"/>
  <c r="AJ17" i="6"/>
  <c r="AJ18" i="6"/>
  <c r="AJ19" i="6"/>
  <c r="AJ20" i="6"/>
  <c r="N16" i="7"/>
  <c r="AD16" i="7"/>
  <c r="AD15" i="7"/>
  <c r="N18" i="7"/>
  <c r="T18" i="7"/>
  <c r="AD18" i="7"/>
  <c r="N19" i="7"/>
  <c r="T19" i="7"/>
  <c r="N20" i="7"/>
  <c r="N14" i="7"/>
  <c r="T20" i="7"/>
  <c r="T14" i="7"/>
  <c r="F15" i="7"/>
  <c r="T15" i="7" s="1"/>
  <c r="F16" i="7"/>
  <c r="T16" i="7" s="1"/>
  <c r="F17" i="7"/>
  <c r="N17" i="7" s="1"/>
  <c r="F18" i="7"/>
  <c r="F19" i="7"/>
  <c r="AD19" i="7" s="1"/>
  <c r="F20" i="7"/>
  <c r="F14" i="7"/>
  <c r="M27" i="52" l="1"/>
  <c r="M31" i="52"/>
  <c r="M29" i="52"/>
  <c r="M28" i="52"/>
  <c r="L27" i="52"/>
  <c r="M33" i="51"/>
  <c r="M28" i="51"/>
  <c r="M27" i="51"/>
  <c r="M29" i="51"/>
  <c r="M30" i="51"/>
  <c r="M31" i="51"/>
  <c r="M35" i="51"/>
  <c r="M34" i="49"/>
  <c r="M33" i="49"/>
  <c r="M27" i="49"/>
  <c r="M35" i="49"/>
  <c r="M32" i="49"/>
  <c r="M30" i="49"/>
  <c r="M31" i="49"/>
  <c r="M28" i="49"/>
  <c r="M29" i="48"/>
  <c r="M32" i="48"/>
  <c r="M28" i="48"/>
  <c r="M33" i="48"/>
  <c r="M35" i="48"/>
  <c r="M30" i="48"/>
  <c r="M31" i="48"/>
  <c r="M34" i="48"/>
  <c r="M27" i="47"/>
  <c r="M28" i="47"/>
  <c r="M29" i="47"/>
  <c r="M31" i="47"/>
  <c r="M28" i="46"/>
  <c r="M27" i="45"/>
  <c r="M28" i="45"/>
  <c r="M29" i="45"/>
  <c r="U158" i="66"/>
  <c r="W147" i="66"/>
  <c r="F155" i="66"/>
  <c r="F150" i="66"/>
  <c r="W141" i="66"/>
  <c r="F153" i="66"/>
  <c r="F158" i="66"/>
  <c r="U150" i="66"/>
  <c r="U153" i="66"/>
  <c r="W150" i="66"/>
  <c r="F156" i="66"/>
  <c r="W156" i="66"/>
  <c r="U156" i="66"/>
  <c r="W153" i="66"/>
  <c r="W158" i="66"/>
  <c r="U155" i="66"/>
  <c r="X154" i="66"/>
  <c r="W154" i="66"/>
  <c r="X142" i="66"/>
  <c r="W142" i="66"/>
  <c r="X143" i="66"/>
  <c r="W143" i="66"/>
  <c r="V145" i="66"/>
  <c r="U145" i="66"/>
  <c r="F145" i="66"/>
  <c r="AJ142" i="66" s="1"/>
  <c r="L21" i="41" s="1"/>
  <c r="W146" i="66"/>
  <c r="X146" i="66"/>
  <c r="F139" i="66"/>
  <c r="AK142" i="66" s="1"/>
  <c r="F26" i="41" s="1"/>
  <c r="V139" i="66"/>
  <c r="U139" i="66"/>
  <c r="F148" i="66"/>
  <c r="V148" i="66"/>
  <c r="U148" i="66"/>
  <c r="F140" i="66"/>
  <c r="V140" i="66"/>
  <c r="U140" i="66"/>
  <c r="X157" i="66"/>
  <c r="W157" i="66"/>
  <c r="F149" i="66"/>
  <c r="V149" i="66"/>
  <c r="U149" i="66"/>
  <c r="X151" i="66"/>
  <c r="W151" i="66"/>
  <c r="X144" i="66"/>
  <c r="W144" i="66"/>
  <c r="W152" i="66"/>
  <c r="X152" i="66"/>
  <c r="U147" i="63"/>
  <c r="U150" i="63"/>
  <c r="W147" i="63"/>
  <c r="V157" i="63"/>
  <c r="X157" i="63" s="1"/>
  <c r="U157" i="63"/>
  <c r="U143" i="63"/>
  <c r="W141" i="63"/>
  <c r="W143" i="63"/>
  <c r="T143" i="63"/>
  <c r="U141" i="63"/>
  <c r="T147" i="63"/>
  <c r="W150" i="63"/>
  <c r="T141" i="63"/>
  <c r="T150" i="63"/>
  <c r="W152" i="63"/>
  <c r="X152" i="63"/>
  <c r="X154" i="63"/>
  <c r="W154" i="63"/>
  <c r="X158" i="63"/>
  <c r="W158" i="63"/>
  <c r="W146" i="63"/>
  <c r="X146" i="63"/>
  <c r="W155" i="63"/>
  <c r="X155" i="63"/>
  <c r="X156" i="63"/>
  <c r="W156" i="63"/>
  <c r="X149" i="63"/>
  <c r="W149" i="63"/>
  <c r="X140" i="63"/>
  <c r="W140" i="63"/>
  <c r="X151" i="63"/>
  <c r="W151" i="63"/>
  <c r="X153" i="63"/>
  <c r="W153" i="63"/>
  <c r="V148" i="63"/>
  <c r="U148" i="63"/>
  <c r="T148" i="63"/>
  <c r="V145" i="63"/>
  <c r="U145" i="63"/>
  <c r="T145" i="63"/>
  <c r="X139" i="63"/>
  <c r="W139" i="63"/>
  <c r="L27" i="51"/>
  <c r="L27" i="49"/>
  <c r="L27" i="48"/>
  <c r="L27" i="47"/>
  <c r="L49" i="44"/>
  <c r="AD17" i="7"/>
  <c r="T17" i="7"/>
  <c r="AL14" i="7"/>
  <c r="AB14" i="7"/>
  <c r="Z14" i="7"/>
  <c r="X14" i="7"/>
  <c r="V14" i="7"/>
  <c r="AJ14" i="7"/>
  <c r="AH14" i="7"/>
  <c r="AF14" i="7"/>
  <c r="R14" i="7"/>
  <c r="P14" i="7"/>
  <c r="L14" i="7"/>
  <c r="J14" i="7"/>
  <c r="AL20" i="7"/>
  <c r="AB20" i="7"/>
  <c r="Z20" i="7"/>
  <c r="X20" i="7"/>
  <c r="V20" i="7"/>
  <c r="AJ20" i="7"/>
  <c r="AH20" i="7"/>
  <c r="AF20" i="7"/>
  <c r="R20" i="7"/>
  <c r="P20" i="7"/>
  <c r="L20" i="7"/>
  <c r="J20" i="7"/>
  <c r="AL19" i="7"/>
  <c r="AJ19" i="7"/>
  <c r="AH19" i="7"/>
  <c r="AB19" i="7"/>
  <c r="Z19" i="7"/>
  <c r="X19" i="7"/>
  <c r="V19" i="7"/>
  <c r="AF19" i="7"/>
  <c r="P19" i="7"/>
  <c r="L19" i="7"/>
  <c r="R19" i="7"/>
  <c r="J19" i="7"/>
  <c r="AL18" i="7"/>
  <c r="AJ18" i="7"/>
  <c r="Z18" i="7"/>
  <c r="AH18" i="7"/>
  <c r="AF18" i="7"/>
  <c r="V18" i="7"/>
  <c r="R18" i="7"/>
  <c r="P18" i="7"/>
  <c r="L18" i="7"/>
  <c r="J18" i="7"/>
  <c r="AB18" i="7"/>
  <c r="X18" i="7"/>
  <c r="AL17" i="7"/>
  <c r="AB17" i="7"/>
  <c r="Z17" i="7"/>
  <c r="AJ17" i="7"/>
  <c r="AH17" i="7"/>
  <c r="AF17" i="7"/>
  <c r="V17" i="7"/>
  <c r="R17" i="7"/>
  <c r="P17" i="7"/>
  <c r="L17" i="7"/>
  <c r="J17" i="7"/>
  <c r="X17" i="7"/>
  <c r="AL16" i="7"/>
  <c r="AB16" i="7"/>
  <c r="Z16" i="7"/>
  <c r="AJ16" i="7"/>
  <c r="X16" i="7"/>
  <c r="V16" i="7"/>
  <c r="AH16" i="7"/>
  <c r="AF16" i="7"/>
  <c r="R16" i="7"/>
  <c r="P16" i="7"/>
  <c r="L16" i="7"/>
  <c r="J16" i="7"/>
  <c r="AL15" i="7"/>
  <c r="AB15" i="7"/>
  <c r="Z15" i="7"/>
  <c r="X15" i="7"/>
  <c r="V15" i="7"/>
  <c r="AJ15" i="7"/>
  <c r="AH15" i="7"/>
  <c r="AF15" i="7"/>
  <c r="R15" i="7"/>
  <c r="P15" i="7"/>
  <c r="L15" i="7"/>
  <c r="J15" i="7"/>
  <c r="N15" i="7"/>
  <c r="AD20" i="7"/>
  <c r="AD14" i="7"/>
  <c r="AL142" i="66" l="1"/>
  <c r="H26" i="41" s="1"/>
  <c r="W157" i="63"/>
  <c r="X140" i="66"/>
  <c r="W140" i="66"/>
  <c r="X148" i="66"/>
  <c r="W148" i="66"/>
  <c r="X139" i="66"/>
  <c r="W139" i="66"/>
  <c r="X145" i="66"/>
  <c r="W145" i="66"/>
  <c r="X149" i="66"/>
  <c r="W149" i="66"/>
  <c r="X145" i="63"/>
  <c r="W145" i="63"/>
  <c r="X148" i="63"/>
  <c r="W148" i="63"/>
  <c r="F7" i="63"/>
  <c r="J7" i="63"/>
  <c r="L7" i="63"/>
  <c r="N7" i="63"/>
  <c r="O7" i="63"/>
  <c r="P7" i="63" s="1"/>
  <c r="R7" i="63"/>
  <c r="F8" i="63"/>
  <c r="J8" i="63"/>
  <c r="L8" i="63"/>
  <c r="N8" i="63"/>
  <c r="O8" i="63"/>
  <c r="S8" i="63" s="1"/>
  <c r="P8" i="63"/>
  <c r="R8" i="63"/>
  <c r="F9" i="63"/>
  <c r="J9" i="63"/>
  <c r="L9" i="63"/>
  <c r="N9" i="63"/>
  <c r="O9" i="63"/>
  <c r="P9" i="63" s="1"/>
  <c r="R9" i="63"/>
  <c r="F10" i="63"/>
  <c r="J10" i="63"/>
  <c r="L10" i="63"/>
  <c r="N10" i="63"/>
  <c r="O10" i="63"/>
  <c r="P10" i="63"/>
  <c r="R10" i="63"/>
  <c r="S10" i="63"/>
  <c r="T10" i="63" s="1"/>
  <c r="F11" i="63"/>
  <c r="J11" i="63"/>
  <c r="L11" i="63"/>
  <c r="N11" i="63"/>
  <c r="O11" i="63"/>
  <c r="P11" i="63" s="1"/>
  <c r="R11" i="63"/>
  <c r="S11" i="63"/>
  <c r="T11" i="63" s="1"/>
  <c r="F12" i="63"/>
  <c r="J12" i="63"/>
  <c r="L12" i="63"/>
  <c r="N12" i="63"/>
  <c r="O12" i="63"/>
  <c r="P12" i="63"/>
  <c r="R12" i="63"/>
  <c r="S12" i="63"/>
  <c r="U12" i="63" s="1"/>
  <c r="T12" i="63"/>
  <c r="F13" i="63"/>
  <c r="J13" i="63"/>
  <c r="L13" i="63"/>
  <c r="N13" i="63"/>
  <c r="O13" i="63"/>
  <c r="P13" i="63" s="1"/>
  <c r="R13" i="63"/>
  <c r="S13" i="63"/>
  <c r="T13" i="63" s="1"/>
  <c r="F14" i="63"/>
  <c r="J14" i="63"/>
  <c r="L14" i="63"/>
  <c r="N14" i="63"/>
  <c r="O14" i="63"/>
  <c r="P14" i="63"/>
  <c r="R14" i="63"/>
  <c r="S14" i="63"/>
  <c r="T14" i="63"/>
  <c r="U14" i="63"/>
  <c r="F15" i="63"/>
  <c r="J15" i="63"/>
  <c r="L15" i="63"/>
  <c r="N15" i="63"/>
  <c r="O15" i="63"/>
  <c r="P15" i="63" s="1"/>
  <c r="R15" i="63"/>
  <c r="S15" i="63"/>
  <c r="T15" i="63"/>
  <c r="U15" i="63"/>
  <c r="F16" i="63"/>
  <c r="J16" i="63"/>
  <c r="L16" i="63"/>
  <c r="N16" i="63"/>
  <c r="O16" i="63"/>
  <c r="P16" i="63" s="1"/>
  <c r="R16" i="63"/>
  <c r="S16" i="63"/>
  <c r="T16" i="63"/>
  <c r="U16" i="63"/>
  <c r="F17" i="63"/>
  <c r="J17" i="63"/>
  <c r="L17" i="63"/>
  <c r="N17" i="63"/>
  <c r="O17" i="63"/>
  <c r="P17" i="63" s="1"/>
  <c r="R17" i="63"/>
  <c r="S17" i="63"/>
  <c r="T17" i="63"/>
  <c r="U17" i="63"/>
  <c r="F18" i="63"/>
  <c r="J18" i="63"/>
  <c r="L18" i="63"/>
  <c r="N18" i="63"/>
  <c r="O18" i="63"/>
  <c r="P18" i="63"/>
  <c r="R18" i="63"/>
  <c r="S18" i="63"/>
  <c r="T18" i="63"/>
  <c r="U18" i="63"/>
  <c r="F19" i="63"/>
  <c r="J19" i="63"/>
  <c r="L19" i="63"/>
  <c r="N19" i="63"/>
  <c r="O19" i="63"/>
  <c r="P19" i="63" s="1"/>
  <c r="R19" i="63"/>
  <c r="S19" i="63"/>
  <c r="T19" i="63" s="1"/>
  <c r="U19" i="63"/>
  <c r="F20" i="63"/>
  <c r="J20" i="63"/>
  <c r="L20" i="63"/>
  <c r="N20" i="63"/>
  <c r="O20" i="63"/>
  <c r="P20" i="63"/>
  <c r="R20" i="63"/>
  <c r="S20" i="63"/>
  <c r="T20" i="63"/>
  <c r="U20" i="63"/>
  <c r="F21" i="63"/>
  <c r="J21" i="63"/>
  <c r="L21" i="63"/>
  <c r="N21" i="63"/>
  <c r="O21" i="63"/>
  <c r="P21" i="63" s="1"/>
  <c r="R21" i="63"/>
  <c r="S21" i="63"/>
  <c r="T21" i="63"/>
  <c r="U21" i="63"/>
  <c r="F22" i="63"/>
  <c r="J22" i="63"/>
  <c r="L22" i="63"/>
  <c r="N22" i="63"/>
  <c r="O22" i="63"/>
  <c r="P22" i="63" s="1"/>
  <c r="R22" i="63"/>
  <c r="F23" i="63"/>
  <c r="J23" i="63"/>
  <c r="L23" i="63"/>
  <c r="N23" i="63"/>
  <c r="O23" i="63"/>
  <c r="P23" i="63" s="1"/>
  <c r="R23" i="63"/>
  <c r="S23" i="63"/>
  <c r="T23" i="63"/>
  <c r="U23" i="63"/>
  <c r="F24" i="63"/>
  <c r="J24" i="63"/>
  <c r="L24" i="63"/>
  <c r="N24" i="63"/>
  <c r="O24" i="63"/>
  <c r="P24" i="63" s="1"/>
  <c r="R24" i="63"/>
  <c r="F25" i="63"/>
  <c r="J25" i="63"/>
  <c r="L25" i="63"/>
  <c r="N25" i="63"/>
  <c r="O25" i="63"/>
  <c r="P25" i="63" s="1"/>
  <c r="R25" i="63"/>
  <c r="F26" i="63"/>
  <c r="J26" i="63"/>
  <c r="L26" i="63"/>
  <c r="N26" i="63"/>
  <c r="O26" i="63"/>
  <c r="P26" i="63" s="1"/>
  <c r="R26" i="63"/>
  <c r="F29" i="63"/>
  <c r="J29" i="63"/>
  <c r="L29" i="63"/>
  <c r="N29" i="63"/>
  <c r="O29" i="63"/>
  <c r="P29" i="63" s="1"/>
  <c r="R29" i="63"/>
  <c r="F30" i="63"/>
  <c r="J30" i="63"/>
  <c r="L30" i="63"/>
  <c r="N30" i="63"/>
  <c r="O30" i="63"/>
  <c r="S30" i="63" s="1"/>
  <c r="P30" i="63"/>
  <c r="R30" i="63"/>
  <c r="F31" i="63"/>
  <c r="J31" i="63"/>
  <c r="L31" i="63"/>
  <c r="N31" i="63"/>
  <c r="O31" i="63"/>
  <c r="P31" i="63" s="1"/>
  <c r="R31" i="63"/>
  <c r="S31" i="63"/>
  <c r="T31" i="63" s="1"/>
  <c r="F32" i="63"/>
  <c r="J32" i="63"/>
  <c r="L32" i="63"/>
  <c r="N32" i="63"/>
  <c r="O32" i="63"/>
  <c r="P32" i="63"/>
  <c r="R32" i="63"/>
  <c r="S32" i="63"/>
  <c r="T32" i="63" s="1"/>
  <c r="F33" i="63"/>
  <c r="J33" i="63"/>
  <c r="L33" i="63"/>
  <c r="N33" i="63"/>
  <c r="O33" i="63"/>
  <c r="P33" i="63" s="1"/>
  <c r="R33" i="63"/>
  <c r="S33" i="63"/>
  <c r="U33" i="63" s="1"/>
  <c r="T33" i="63"/>
  <c r="F34" i="63"/>
  <c r="J34" i="63"/>
  <c r="L34" i="63"/>
  <c r="N34" i="63"/>
  <c r="O34" i="63"/>
  <c r="P34" i="63"/>
  <c r="R34" i="63"/>
  <c r="S34" i="63"/>
  <c r="T34" i="63" s="1"/>
  <c r="F35" i="63"/>
  <c r="J35" i="63"/>
  <c r="L35" i="63"/>
  <c r="N35" i="63"/>
  <c r="O35" i="63"/>
  <c r="P35" i="63" s="1"/>
  <c r="R35" i="63"/>
  <c r="S35" i="63"/>
  <c r="T35" i="63"/>
  <c r="U35" i="63"/>
  <c r="F36" i="63"/>
  <c r="J36" i="63"/>
  <c r="L36" i="63"/>
  <c r="N36" i="63"/>
  <c r="O36" i="63"/>
  <c r="P36" i="63"/>
  <c r="R36" i="63"/>
  <c r="S36" i="63"/>
  <c r="U36" i="63" s="1"/>
  <c r="T36" i="63"/>
  <c r="F37" i="63"/>
  <c r="J37" i="63"/>
  <c r="L37" i="63"/>
  <c r="N37" i="63"/>
  <c r="O37" i="63"/>
  <c r="P37" i="63" s="1"/>
  <c r="R37" i="63"/>
  <c r="S37" i="63"/>
  <c r="T37" i="63"/>
  <c r="U37" i="63"/>
  <c r="F38" i="63"/>
  <c r="J38" i="63"/>
  <c r="L38" i="63"/>
  <c r="N38" i="63"/>
  <c r="O38" i="63"/>
  <c r="P38" i="63"/>
  <c r="R38" i="63"/>
  <c r="S38" i="63"/>
  <c r="T38" i="63"/>
  <c r="U38" i="63"/>
  <c r="F39" i="63"/>
  <c r="J39" i="63"/>
  <c r="L39" i="63"/>
  <c r="N39" i="63"/>
  <c r="O39" i="63"/>
  <c r="P39" i="63" s="1"/>
  <c r="R39" i="63"/>
  <c r="F40" i="63"/>
  <c r="J40" i="63"/>
  <c r="L40" i="63"/>
  <c r="N40" i="63"/>
  <c r="O40" i="63"/>
  <c r="P40" i="63"/>
  <c r="R40" i="63"/>
  <c r="S40" i="63"/>
  <c r="T40" i="63" s="1"/>
  <c r="U40" i="63"/>
  <c r="F41" i="63"/>
  <c r="J41" i="63"/>
  <c r="L41" i="63"/>
  <c r="N41" i="63"/>
  <c r="O41" i="63"/>
  <c r="P41" i="63" s="1"/>
  <c r="R41" i="63"/>
  <c r="F42" i="63"/>
  <c r="J42" i="63"/>
  <c r="L42" i="63"/>
  <c r="N42" i="63"/>
  <c r="O42" i="63"/>
  <c r="P42" i="63"/>
  <c r="R42" i="63"/>
  <c r="S42" i="63"/>
  <c r="T42" i="63"/>
  <c r="U42" i="63"/>
  <c r="F43" i="63"/>
  <c r="J43" i="63"/>
  <c r="L43" i="63"/>
  <c r="N43" i="63"/>
  <c r="O43" i="63"/>
  <c r="P43" i="63" s="1"/>
  <c r="R43" i="63"/>
  <c r="S43" i="63"/>
  <c r="T43" i="63" s="1"/>
  <c r="F44" i="63"/>
  <c r="J44" i="63"/>
  <c r="L44" i="63"/>
  <c r="N44" i="63"/>
  <c r="O44" i="63"/>
  <c r="P44" i="63" s="1"/>
  <c r="R44" i="63"/>
  <c r="S44" i="63"/>
  <c r="T44" i="63"/>
  <c r="U44" i="63"/>
  <c r="F45" i="63"/>
  <c r="J45" i="63"/>
  <c r="L45" i="63"/>
  <c r="N45" i="63"/>
  <c r="O45" i="63"/>
  <c r="P45" i="63" s="1"/>
  <c r="R45" i="63"/>
  <c r="F46" i="63"/>
  <c r="J46" i="63"/>
  <c r="L46" i="63"/>
  <c r="N46" i="63"/>
  <c r="O46" i="63"/>
  <c r="P46" i="63" s="1"/>
  <c r="R46" i="63"/>
  <c r="F47" i="63"/>
  <c r="J47" i="63"/>
  <c r="L47" i="63"/>
  <c r="N47" i="63"/>
  <c r="O47" i="63"/>
  <c r="P47" i="63" s="1"/>
  <c r="R47" i="63"/>
  <c r="F48" i="63"/>
  <c r="J48" i="63"/>
  <c r="L48" i="63"/>
  <c r="N48" i="63"/>
  <c r="O48" i="63"/>
  <c r="S48" i="63" s="1"/>
  <c r="P48" i="63"/>
  <c r="R48" i="63"/>
  <c r="F51" i="63"/>
  <c r="J51" i="63"/>
  <c r="L51" i="63"/>
  <c r="N51" i="63"/>
  <c r="O51" i="63"/>
  <c r="P51" i="63" s="1"/>
  <c r="R51" i="63"/>
  <c r="F52" i="63"/>
  <c r="J52" i="63"/>
  <c r="L52" i="63"/>
  <c r="N52" i="63"/>
  <c r="O52" i="63"/>
  <c r="S52" i="63" s="1"/>
  <c r="P52" i="63"/>
  <c r="R52" i="63"/>
  <c r="F53" i="63"/>
  <c r="J53" i="63"/>
  <c r="L53" i="63"/>
  <c r="N53" i="63"/>
  <c r="O53" i="63"/>
  <c r="P53" i="63" s="1"/>
  <c r="R53" i="63"/>
  <c r="F54" i="63"/>
  <c r="J54" i="63"/>
  <c r="L54" i="63"/>
  <c r="N54" i="63"/>
  <c r="O54" i="63"/>
  <c r="P54" i="63"/>
  <c r="R54" i="63"/>
  <c r="S54" i="63"/>
  <c r="T54" i="63" s="1"/>
  <c r="F55" i="63"/>
  <c r="J55" i="63"/>
  <c r="L55" i="63"/>
  <c r="N55" i="63"/>
  <c r="O55" i="63"/>
  <c r="P55" i="63" s="1"/>
  <c r="R55" i="63"/>
  <c r="S55" i="63"/>
  <c r="T55" i="63" s="1"/>
  <c r="F56" i="63"/>
  <c r="J56" i="63"/>
  <c r="L56" i="63"/>
  <c r="N56" i="63"/>
  <c r="O56" i="63"/>
  <c r="P56" i="63"/>
  <c r="R56" i="63"/>
  <c r="S56" i="63"/>
  <c r="U56" i="63" s="1"/>
  <c r="T56" i="63"/>
  <c r="F57" i="63"/>
  <c r="J57" i="63"/>
  <c r="L57" i="63"/>
  <c r="N57" i="63"/>
  <c r="O57" i="63"/>
  <c r="P57" i="63" s="1"/>
  <c r="R57" i="63"/>
  <c r="S57" i="63"/>
  <c r="T57" i="63"/>
  <c r="U57" i="63"/>
  <c r="F58" i="63"/>
  <c r="J58" i="63"/>
  <c r="L58" i="63"/>
  <c r="N58" i="63"/>
  <c r="O58" i="63"/>
  <c r="P58" i="63"/>
  <c r="R58" i="63"/>
  <c r="S58" i="63"/>
  <c r="T58" i="63"/>
  <c r="U58" i="63"/>
  <c r="F59" i="63"/>
  <c r="J59" i="63"/>
  <c r="L59" i="63"/>
  <c r="N59" i="63"/>
  <c r="O59" i="63"/>
  <c r="P59" i="63" s="1"/>
  <c r="R59" i="63"/>
  <c r="S59" i="63"/>
  <c r="T59" i="63"/>
  <c r="U59" i="63"/>
  <c r="F60" i="63"/>
  <c r="J60" i="63"/>
  <c r="L60" i="63"/>
  <c r="N60" i="63"/>
  <c r="O60" i="63"/>
  <c r="P60" i="63" s="1"/>
  <c r="R60" i="63"/>
  <c r="S60" i="63"/>
  <c r="T60" i="63"/>
  <c r="U60" i="63"/>
  <c r="F61" i="63"/>
  <c r="J61" i="63"/>
  <c r="L61" i="63"/>
  <c r="N61" i="63"/>
  <c r="O61" i="63"/>
  <c r="P61" i="63" s="1"/>
  <c r="R61" i="63"/>
  <c r="S61" i="63"/>
  <c r="T61" i="63"/>
  <c r="U61" i="63"/>
  <c r="F62" i="63"/>
  <c r="J62" i="63"/>
  <c r="L62" i="63"/>
  <c r="N62" i="63"/>
  <c r="O62" i="63"/>
  <c r="P62" i="63"/>
  <c r="R62" i="63"/>
  <c r="S62" i="63"/>
  <c r="T62" i="63"/>
  <c r="U62" i="63"/>
  <c r="F63" i="63"/>
  <c r="J63" i="63"/>
  <c r="L63" i="63"/>
  <c r="N63" i="63"/>
  <c r="O63" i="63"/>
  <c r="P63" i="63" s="1"/>
  <c r="R63" i="63"/>
  <c r="S63" i="63"/>
  <c r="T63" i="63"/>
  <c r="U63" i="63"/>
  <c r="F64" i="63"/>
  <c r="J64" i="63"/>
  <c r="L64" i="63"/>
  <c r="N64" i="63"/>
  <c r="O64" i="63"/>
  <c r="P64" i="63"/>
  <c r="R64" i="63"/>
  <c r="S64" i="63"/>
  <c r="T64" i="63"/>
  <c r="U64" i="63"/>
  <c r="F65" i="63"/>
  <c r="J65" i="63"/>
  <c r="L65" i="63"/>
  <c r="N65" i="63"/>
  <c r="O65" i="63"/>
  <c r="P65" i="63" s="1"/>
  <c r="R65" i="63"/>
  <c r="S65" i="63"/>
  <c r="T65" i="63"/>
  <c r="U65" i="63"/>
  <c r="F66" i="63"/>
  <c r="J66" i="63"/>
  <c r="L66" i="63"/>
  <c r="N66" i="63"/>
  <c r="O66" i="63"/>
  <c r="P66" i="63" s="1"/>
  <c r="R66" i="63"/>
  <c r="F67" i="63"/>
  <c r="J67" i="63"/>
  <c r="L67" i="63"/>
  <c r="N67" i="63"/>
  <c r="O67" i="63"/>
  <c r="P67" i="63" s="1"/>
  <c r="R67" i="63"/>
  <c r="F68" i="63"/>
  <c r="J68" i="63"/>
  <c r="L68" i="63"/>
  <c r="N68" i="63"/>
  <c r="O68" i="63"/>
  <c r="P68" i="63" s="1"/>
  <c r="R68" i="63"/>
  <c r="F69" i="63"/>
  <c r="J69" i="63"/>
  <c r="L69" i="63"/>
  <c r="N69" i="63"/>
  <c r="O69" i="63"/>
  <c r="P69" i="63" s="1"/>
  <c r="R69" i="63"/>
  <c r="F70" i="63"/>
  <c r="J70" i="63"/>
  <c r="L70" i="63"/>
  <c r="N70" i="63"/>
  <c r="O70" i="63"/>
  <c r="S70" i="63" s="1"/>
  <c r="P70" i="63"/>
  <c r="R70" i="63"/>
  <c r="F73" i="63"/>
  <c r="J73" i="63"/>
  <c r="L73" i="63"/>
  <c r="N73" i="63"/>
  <c r="O73" i="63"/>
  <c r="P73" i="63" s="1"/>
  <c r="R73" i="63"/>
  <c r="F74" i="63"/>
  <c r="J74" i="63"/>
  <c r="L74" i="63"/>
  <c r="N74" i="63"/>
  <c r="O74" i="63"/>
  <c r="P74" i="63"/>
  <c r="R74" i="63"/>
  <c r="S74" i="63"/>
  <c r="T74" i="63" s="1"/>
  <c r="F75" i="63"/>
  <c r="J75" i="63"/>
  <c r="L75" i="63"/>
  <c r="N75" i="63"/>
  <c r="O75" i="63"/>
  <c r="P75" i="63" s="1"/>
  <c r="R75" i="63"/>
  <c r="S75" i="63"/>
  <c r="T75" i="63" s="1"/>
  <c r="F76" i="63"/>
  <c r="J76" i="63"/>
  <c r="L76" i="63"/>
  <c r="N76" i="63"/>
  <c r="O76" i="63"/>
  <c r="P76" i="63"/>
  <c r="R76" i="63"/>
  <c r="S76" i="63"/>
  <c r="T76" i="63" s="1"/>
  <c r="F77" i="63"/>
  <c r="J77" i="63"/>
  <c r="L77" i="63"/>
  <c r="N77" i="63"/>
  <c r="O77" i="63"/>
  <c r="P77" i="63" s="1"/>
  <c r="R77" i="63"/>
  <c r="S77" i="63"/>
  <c r="U77" i="63" s="1"/>
  <c r="T77" i="63"/>
  <c r="F78" i="63"/>
  <c r="J78" i="63"/>
  <c r="L78" i="63"/>
  <c r="N78" i="63"/>
  <c r="O78" i="63"/>
  <c r="P78" i="63"/>
  <c r="R78" i="63"/>
  <c r="S78" i="63"/>
  <c r="T78" i="63"/>
  <c r="U78" i="63"/>
  <c r="F79" i="63"/>
  <c r="J79" i="63"/>
  <c r="L79" i="63"/>
  <c r="N79" i="63"/>
  <c r="O79" i="63"/>
  <c r="P79" i="63" s="1"/>
  <c r="R79" i="63"/>
  <c r="S79" i="63"/>
  <c r="T79" i="63"/>
  <c r="U79" i="63"/>
  <c r="F80" i="63"/>
  <c r="J80" i="63"/>
  <c r="L80" i="63"/>
  <c r="N80" i="63"/>
  <c r="O80" i="63"/>
  <c r="P80" i="63"/>
  <c r="R80" i="63"/>
  <c r="S80" i="63"/>
  <c r="T80" i="63"/>
  <c r="U80" i="63"/>
  <c r="F81" i="63"/>
  <c r="J81" i="63"/>
  <c r="L81" i="63"/>
  <c r="N81" i="63"/>
  <c r="O81" i="63"/>
  <c r="P81" i="63" s="1"/>
  <c r="R81" i="63"/>
  <c r="S81" i="63"/>
  <c r="T81" i="63"/>
  <c r="U81" i="63"/>
  <c r="F82" i="63"/>
  <c r="J82" i="63"/>
  <c r="L82" i="63"/>
  <c r="N82" i="63"/>
  <c r="O82" i="63"/>
  <c r="P82" i="63"/>
  <c r="R82" i="63"/>
  <c r="S82" i="63"/>
  <c r="T82" i="63"/>
  <c r="U82" i="63"/>
  <c r="F83" i="63"/>
  <c r="J83" i="63"/>
  <c r="L83" i="63"/>
  <c r="N83" i="63"/>
  <c r="O83" i="63"/>
  <c r="P83" i="63" s="1"/>
  <c r="R83" i="63"/>
  <c r="S83" i="63"/>
  <c r="T83" i="63"/>
  <c r="U83" i="63"/>
  <c r="F84" i="63"/>
  <c r="J84" i="63"/>
  <c r="L84" i="63"/>
  <c r="N84" i="63"/>
  <c r="O84" i="63"/>
  <c r="P84" i="63"/>
  <c r="R84" i="63"/>
  <c r="S84" i="63"/>
  <c r="T84" i="63"/>
  <c r="U84" i="63"/>
  <c r="F85" i="63"/>
  <c r="J85" i="63"/>
  <c r="L85" i="63"/>
  <c r="N85" i="63"/>
  <c r="O85" i="63"/>
  <c r="P85" i="63" s="1"/>
  <c r="R85" i="63"/>
  <c r="F86" i="63"/>
  <c r="J86" i="63"/>
  <c r="L86" i="63"/>
  <c r="N86" i="63"/>
  <c r="O86" i="63"/>
  <c r="P86" i="63" s="1"/>
  <c r="R86" i="63"/>
  <c r="S86" i="63"/>
  <c r="T86" i="63"/>
  <c r="U86" i="63"/>
  <c r="F87" i="63"/>
  <c r="J87" i="63"/>
  <c r="L87" i="63"/>
  <c r="N87" i="63"/>
  <c r="O87" i="63"/>
  <c r="P87" i="63" s="1"/>
  <c r="R87" i="63"/>
  <c r="S87" i="63"/>
  <c r="T87" i="63" s="1"/>
  <c r="U87" i="63"/>
  <c r="F88" i="63"/>
  <c r="J88" i="63"/>
  <c r="L88" i="63"/>
  <c r="N88" i="63"/>
  <c r="O88" i="63"/>
  <c r="P88" i="63" s="1"/>
  <c r="R88" i="63"/>
  <c r="S88" i="63"/>
  <c r="T88" i="63"/>
  <c r="U88" i="63"/>
  <c r="F89" i="63"/>
  <c r="J89" i="63"/>
  <c r="L89" i="63"/>
  <c r="N89" i="63"/>
  <c r="O89" i="63"/>
  <c r="P89" i="63" s="1"/>
  <c r="R89" i="63"/>
  <c r="F90" i="63"/>
  <c r="J90" i="63"/>
  <c r="L90" i="63"/>
  <c r="N90" i="63"/>
  <c r="O90" i="63"/>
  <c r="P90" i="63" s="1"/>
  <c r="R90" i="63"/>
  <c r="F91" i="63"/>
  <c r="J91" i="63"/>
  <c r="L91" i="63"/>
  <c r="N91" i="63"/>
  <c r="O91" i="63"/>
  <c r="P91" i="63" s="1"/>
  <c r="R91" i="63"/>
  <c r="F92" i="63"/>
  <c r="J92" i="63"/>
  <c r="L92" i="63"/>
  <c r="N92" i="63"/>
  <c r="O92" i="63"/>
  <c r="S92" i="63" s="1"/>
  <c r="P92" i="63"/>
  <c r="R92" i="63"/>
  <c r="F95" i="63"/>
  <c r="J95" i="63"/>
  <c r="L95" i="63"/>
  <c r="N95" i="63"/>
  <c r="O95" i="63"/>
  <c r="P95" i="63" s="1"/>
  <c r="R95" i="63"/>
  <c r="S95" i="63"/>
  <c r="T95" i="63" s="1"/>
  <c r="F96" i="63"/>
  <c r="J96" i="63"/>
  <c r="L96" i="63"/>
  <c r="N96" i="63"/>
  <c r="O96" i="63"/>
  <c r="S96" i="63" s="1"/>
  <c r="P96" i="63"/>
  <c r="R96" i="63"/>
  <c r="F97" i="63"/>
  <c r="J97" i="63"/>
  <c r="L97" i="63"/>
  <c r="N97" i="63"/>
  <c r="O97" i="63"/>
  <c r="P97" i="63" s="1"/>
  <c r="R97" i="63"/>
  <c r="S97" i="63"/>
  <c r="U97" i="63" s="1"/>
  <c r="T97" i="63"/>
  <c r="F98" i="63"/>
  <c r="J98" i="63"/>
  <c r="L98" i="63"/>
  <c r="N98" i="63"/>
  <c r="O98" i="63"/>
  <c r="P98" i="63"/>
  <c r="R98" i="63"/>
  <c r="S98" i="63"/>
  <c r="T98" i="63" s="1"/>
  <c r="F99" i="63"/>
  <c r="J99" i="63"/>
  <c r="L99" i="63"/>
  <c r="N99" i="63"/>
  <c r="O99" i="63"/>
  <c r="P99" i="63" s="1"/>
  <c r="R99" i="63"/>
  <c r="S99" i="63"/>
  <c r="T99" i="63"/>
  <c r="U99" i="63"/>
  <c r="F100" i="63"/>
  <c r="J100" i="63"/>
  <c r="L100" i="63"/>
  <c r="N100" i="63"/>
  <c r="O100" i="63"/>
  <c r="P100" i="63"/>
  <c r="R100" i="63"/>
  <c r="S100" i="63"/>
  <c r="U100" i="63" s="1"/>
  <c r="T100" i="63"/>
  <c r="F101" i="63"/>
  <c r="J101" i="63"/>
  <c r="L101" i="63"/>
  <c r="N101" i="63"/>
  <c r="O101" i="63"/>
  <c r="P101" i="63" s="1"/>
  <c r="R101" i="63"/>
  <c r="S101" i="63"/>
  <c r="T101" i="63"/>
  <c r="U101" i="63"/>
  <c r="F102" i="63"/>
  <c r="J102" i="63"/>
  <c r="L102" i="63"/>
  <c r="N102" i="63"/>
  <c r="O102" i="63"/>
  <c r="P102" i="63"/>
  <c r="R102" i="63"/>
  <c r="S102" i="63"/>
  <c r="T102" i="63"/>
  <c r="U102" i="63"/>
  <c r="F103" i="63"/>
  <c r="J103" i="63"/>
  <c r="L103" i="63"/>
  <c r="N103" i="63"/>
  <c r="O103" i="63"/>
  <c r="P103" i="63" s="1"/>
  <c r="R103" i="63"/>
  <c r="S103" i="63"/>
  <c r="T103" i="63"/>
  <c r="U103" i="63"/>
  <c r="F104" i="63"/>
  <c r="J104" i="63"/>
  <c r="L104" i="63"/>
  <c r="N104" i="63"/>
  <c r="O104" i="63"/>
  <c r="P104" i="63" s="1"/>
  <c r="R104" i="63"/>
  <c r="S104" i="63"/>
  <c r="T104" i="63"/>
  <c r="U104" i="63"/>
  <c r="F105" i="63"/>
  <c r="J105" i="63"/>
  <c r="L105" i="63"/>
  <c r="N105" i="63"/>
  <c r="O105" i="63"/>
  <c r="P105" i="63" s="1"/>
  <c r="R105" i="63"/>
  <c r="S105" i="63"/>
  <c r="T105" i="63"/>
  <c r="U105" i="63"/>
  <c r="F106" i="63"/>
  <c r="J106" i="63"/>
  <c r="L106" i="63"/>
  <c r="N106" i="63"/>
  <c r="O106" i="63"/>
  <c r="P106" i="63"/>
  <c r="R106" i="63"/>
  <c r="S106" i="63"/>
  <c r="T106" i="63"/>
  <c r="U106" i="63"/>
  <c r="F107" i="63"/>
  <c r="J107" i="63"/>
  <c r="L107" i="63"/>
  <c r="N107" i="63"/>
  <c r="O107" i="63"/>
  <c r="P107" i="63" s="1"/>
  <c r="R107" i="63"/>
  <c r="S107" i="63"/>
  <c r="T107" i="63"/>
  <c r="U107" i="63"/>
  <c r="F108" i="63"/>
  <c r="J108" i="63"/>
  <c r="L108" i="63"/>
  <c r="N108" i="63"/>
  <c r="O108" i="63"/>
  <c r="P108" i="63"/>
  <c r="R108" i="63"/>
  <c r="S108" i="63"/>
  <c r="T108" i="63"/>
  <c r="U108" i="63"/>
  <c r="F109" i="63"/>
  <c r="J109" i="63"/>
  <c r="L109" i="63"/>
  <c r="N109" i="63"/>
  <c r="O109" i="63"/>
  <c r="P109" i="63" s="1"/>
  <c r="R109" i="63"/>
  <c r="S109" i="63"/>
  <c r="T109" i="63"/>
  <c r="U109" i="63"/>
  <c r="F110" i="63"/>
  <c r="J110" i="63"/>
  <c r="L110" i="63"/>
  <c r="N110" i="63"/>
  <c r="O110" i="63"/>
  <c r="P110" i="63" s="1"/>
  <c r="R110" i="63"/>
  <c r="F111" i="63"/>
  <c r="J111" i="63"/>
  <c r="L111" i="63"/>
  <c r="N111" i="63"/>
  <c r="O111" i="63"/>
  <c r="P111" i="63" s="1"/>
  <c r="R111" i="63"/>
  <c r="F112" i="63"/>
  <c r="J112" i="63"/>
  <c r="L112" i="63"/>
  <c r="N112" i="63"/>
  <c r="O112" i="63"/>
  <c r="S112" i="63" s="1"/>
  <c r="P112" i="63"/>
  <c r="R112" i="63"/>
  <c r="F113" i="63"/>
  <c r="J113" i="63"/>
  <c r="L113" i="63"/>
  <c r="N113" i="63"/>
  <c r="O113" i="63"/>
  <c r="P113" i="63" s="1"/>
  <c r="R113" i="63"/>
  <c r="F114" i="63"/>
  <c r="J114" i="63"/>
  <c r="L114" i="63"/>
  <c r="N114" i="63"/>
  <c r="O114" i="63"/>
  <c r="S114" i="63" s="1"/>
  <c r="P114" i="63"/>
  <c r="R114" i="63"/>
  <c r="B60" i="25"/>
  <c r="A60" i="25"/>
  <c r="J79" i="23"/>
  <c r="J78" i="23"/>
  <c r="J76" i="23"/>
  <c r="J75" i="23"/>
  <c r="J74" i="23"/>
  <c r="J73" i="23"/>
  <c r="J72" i="23"/>
  <c r="J71" i="23"/>
  <c r="H6" i="3"/>
  <c r="M29" i="62"/>
  <c r="M28" i="62"/>
  <c r="M27" i="62"/>
  <c r="M26" i="62"/>
  <c r="M25" i="62"/>
  <c r="M21" i="62"/>
  <c r="M20" i="62"/>
  <c r="M19" i="62"/>
  <c r="M18" i="62"/>
  <c r="M17" i="62"/>
  <c r="M22" i="62" s="1"/>
  <c r="M13" i="62"/>
  <c r="M12" i="62"/>
  <c r="M11" i="62"/>
  <c r="M10" i="62"/>
  <c r="M9" i="62"/>
  <c r="T114" i="63" l="1"/>
  <c r="U114" i="63"/>
  <c r="T8" i="63"/>
  <c r="U8" i="63"/>
  <c r="T30" i="63"/>
  <c r="U30" i="63"/>
  <c r="T52" i="63"/>
  <c r="U52" i="63"/>
  <c r="T92" i="63"/>
  <c r="U92" i="63"/>
  <c r="T70" i="63"/>
  <c r="U70" i="63"/>
  <c r="T96" i="63"/>
  <c r="U96" i="63"/>
  <c r="T112" i="63"/>
  <c r="U112" i="63"/>
  <c r="T48" i="63"/>
  <c r="U48" i="63"/>
  <c r="U43" i="63"/>
  <c r="S39" i="63"/>
  <c r="S85" i="63"/>
  <c r="S41" i="63"/>
  <c r="S110" i="63"/>
  <c r="S66" i="63"/>
  <c r="U95" i="63"/>
  <c r="S89" i="63"/>
  <c r="U74" i="63"/>
  <c r="S68" i="63"/>
  <c r="S45" i="63"/>
  <c r="S24" i="63"/>
  <c r="S22" i="63"/>
  <c r="S91" i="63"/>
  <c r="U76" i="63"/>
  <c r="S47" i="63"/>
  <c r="U32" i="63"/>
  <c r="S26" i="63"/>
  <c r="U55" i="63"/>
  <c r="S51" i="63"/>
  <c r="U34" i="63"/>
  <c r="U11" i="63"/>
  <c r="S7" i="63"/>
  <c r="S53" i="63"/>
  <c r="U13" i="63"/>
  <c r="S9" i="63"/>
  <c r="S111" i="63"/>
  <c r="S90" i="63"/>
  <c r="S67" i="63"/>
  <c r="S46" i="63"/>
  <c r="S113" i="63"/>
  <c r="U98" i="63"/>
  <c r="U75" i="63"/>
  <c r="S69" i="63"/>
  <c r="U54" i="63"/>
  <c r="U31" i="63"/>
  <c r="S25" i="63"/>
  <c r="U10" i="63"/>
  <c r="S73" i="63"/>
  <c r="S29" i="63"/>
  <c r="M14" i="62"/>
  <c r="M30" i="62"/>
  <c r="M29" i="19"/>
  <c r="M28" i="19"/>
  <c r="M27" i="19"/>
  <c r="M26" i="19"/>
  <c r="M25" i="19"/>
  <c r="M21" i="19"/>
  <c r="M20" i="19"/>
  <c r="M19" i="19"/>
  <c r="M18" i="19"/>
  <c r="M17" i="19"/>
  <c r="M13" i="19"/>
  <c r="M12" i="19"/>
  <c r="M11" i="19"/>
  <c r="M10" i="19"/>
  <c r="M9" i="19"/>
  <c r="M14" i="19" s="1"/>
  <c r="M30" i="19" l="1"/>
  <c r="M22" i="19"/>
  <c r="T51" i="63"/>
  <c r="U51" i="63"/>
  <c r="T26" i="63"/>
  <c r="U26" i="63"/>
  <c r="T25" i="63"/>
  <c r="U25" i="63"/>
  <c r="T24" i="63"/>
  <c r="U24" i="63"/>
  <c r="T45" i="63"/>
  <c r="U45" i="63"/>
  <c r="T46" i="63"/>
  <c r="U46" i="63"/>
  <c r="T89" i="63"/>
  <c r="U89" i="63"/>
  <c r="T110" i="63"/>
  <c r="U110" i="63"/>
  <c r="T69" i="63"/>
  <c r="U69" i="63"/>
  <c r="T22" i="63"/>
  <c r="U22" i="63"/>
  <c r="T113" i="63"/>
  <c r="U113" i="63"/>
  <c r="T68" i="63"/>
  <c r="U68" i="63"/>
  <c r="T67" i="63"/>
  <c r="U67" i="63"/>
  <c r="T90" i="63"/>
  <c r="U90" i="63"/>
  <c r="U111" i="63"/>
  <c r="T111" i="63"/>
  <c r="T9" i="63"/>
  <c r="U9" i="63"/>
  <c r="T66" i="63"/>
  <c r="U66" i="63"/>
  <c r="T53" i="63"/>
  <c r="U53" i="63"/>
  <c r="T41" i="63"/>
  <c r="U41" i="63"/>
  <c r="U39" i="63"/>
  <c r="T39" i="63"/>
  <c r="T29" i="63"/>
  <c r="U29" i="63"/>
  <c r="T73" i="63"/>
  <c r="U73" i="63"/>
  <c r="T47" i="63"/>
  <c r="U47" i="63"/>
  <c r="T91" i="63"/>
  <c r="U91" i="63"/>
  <c r="T7" i="63"/>
  <c r="U7" i="63"/>
  <c r="U85" i="63"/>
  <c r="T85" i="63"/>
  <c r="B34" i="25" l="1"/>
  <c r="A34" i="25"/>
  <c r="J34" i="22"/>
  <c r="X118" i="66" l="1"/>
  <c r="X119" i="66"/>
  <c r="X120" i="66"/>
  <c r="X121" i="66"/>
  <c r="X122" i="66"/>
  <c r="X123" i="66"/>
  <c r="X124" i="66"/>
  <c r="X125" i="66"/>
  <c r="X126" i="66"/>
  <c r="X127" i="66"/>
  <c r="X128" i="66"/>
  <c r="X129" i="66"/>
  <c r="X130" i="66"/>
  <c r="X131" i="66"/>
  <c r="X132" i="66"/>
  <c r="X133" i="66"/>
  <c r="X134" i="66"/>
  <c r="X135" i="66"/>
  <c r="X136" i="66"/>
  <c r="X117" i="66"/>
  <c r="W118" i="66"/>
  <c r="W119" i="66"/>
  <c r="W120" i="66"/>
  <c r="W121" i="66"/>
  <c r="W122" i="66"/>
  <c r="W123" i="66"/>
  <c r="W124" i="66"/>
  <c r="W125" i="66"/>
  <c r="W126" i="66"/>
  <c r="W127" i="66"/>
  <c r="W128" i="66"/>
  <c r="W129" i="66"/>
  <c r="W130" i="66"/>
  <c r="W131" i="66"/>
  <c r="W132" i="66"/>
  <c r="W133" i="66"/>
  <c r="W134" i="66"/>
  <c r="W135" i="66"/>
  <c r="W136" i="66"/>
  <c r="W117" i="66"/>
  <c r="V118" i="66"/>
  <c r="V119" i="66"/>
  <c r="V120" i="66"/>
  <c r="V121" i="66"/>
  <c r="V122" i="66"/>
  <c r="V123" i="66"/>
  <c r="V124" i="66"/>
  <c r="V125" i="66"/>
  <c r="V126" i="66"/>
  <c r="V127" i="66"/>
  <c r="V128" i="66"/>
  <c r="V129" i="66"/>
  <c r="V130" i="66"/>
  <c r="V131" i="66"/>
  <c r="V132" i="66"/>
  <c r="V133" i="66"/>
  <c r="V134" i="66"/>
  <c r="V135" i="66"/>
  <c r="V136" i="66"/>
  <c r="V117" i="66"/>
  <c r="N7" i="66"/>
  <c r="S117" i="66"/>
  <c r="AH119" i="66" l="1"/>
  <c r="AI119" i="66"/>
  <c r="AJ119" i="66"/>
  <c r="AK119" i="66"/>
  <c r="AL119" i="66"/>
  <c r="AM119" i="66"/>
  <c r="AH120" i="66"/>
  <c r="H10" i="41" s="1"/>
  <c r="AI120" i="66"/>
  <c r="J10" i="41" s="1"/>
  <c r="AM120" i="66"/>
  <c r="J15" i="41" s="1"/>
  <c r="AG120" i="66"/>
  <c r="F10" i="41" s="1"/>
  <c r="AG119" i="66"/>
  <c r="S136" i="66"/>
  <c r="R136" i="66"/>
  <c r="O136" i="66"/>
  <c r="T136" i="66" s="1"/>
  <c r="N136" i="66"/>
  <c r="L136" i="66"/>
  <c r="J136" i="66"/>
  <c r="S135" i="66"/>
  <c r="R135" i="66"/>
  <c r="O135" i="66"/>
  <c r="T135" i="66" s="1"/>
  <c r="N135" i="66"/>
  <c r="L135" i="66"/>
  <c r="J135" i="66"/>
  <c r="S134" i="66"/>
  <c r="R134" i="66"/>
  <c r="O134" i="66"/>
  <c r="T134" i="66" s="1"/>
  <c r="N134" i="66"/>
  <c r="L134" i="66"/>
  <c r="J134" i="66"/>
  <c r="S133" i="66"/>
  <c r="R133" i="66"/>
  <c r="O133" i="66"/>
  <c r="T133" i="66" s="1"/>
  <c r="N133" i="66"/>
  <c r="L133" i="66"/>
  <c r="J133" i="66"/>
  <c r="S132" i="66"/>
  <c r="R132" i="66"/>
  <c r="O132" i="66"/>
  <c r="T132" i="66" s="1"/>
  <c r="N132" i="66"/>
  <c r="L132" i="66"/>
  <c r="J132" i="66"/>
  <c r="S131" i="66"/>
  <c r="R131" i="66"/>
  <c r="O131" i="66"/>
  <c r="T131" i="66" s="1"/>
  <c r="N131" i="66"/>
  <c r="L131" i="66"/>
  <c r="J131" i="66"/>
  <c r="S130" i="66"/>
  <c r="R130" i="66"/>
  <c r="O130" i="66"/>
  <c r="T130" i="66" s="1"/>
  <c r="N130" i="66"/>
  <c r="L130" i="66"/>
  <c r="J130" i="66"/>
  <c r="S129" i="66"/>
  <c r="R129" i="66"/>
  <c r="O129" i="66"/>
  <c r="T129" i="66" s="1"/>
  <c r="N129" i="66"/>
  <c r="L129" i="66"/>
  <c r="J129" i="66"/>
  <c r="S128" i="66"/>
  <c r="R128" i="66"/>
  <c r="O128" i="66"/>
  <c r="T128" i="66" s="1"/>
  <c r="N128" i="66"/>
  <c r="L128" i="66"/>
  <c r="J128" i="66"/>
  <c r="S127" i="66"/>
  <c r="R127" i="66"/>
  <c r="O127" i="66"/>
  <c r="T127" i="66" s="1"/>
  <c r="N127" i="66"/>
  <c r="L127" i="66"/>
  <c r="J127" i="66"/>
  <c r="S126" i="66"/>
  <c r="R126" i="66"/>
  <c r="O126" i="66"/>
  <c r="T126" i="66" s="1"/>
  <c r="N126" i="66"/>
  <c r="L126" i="66"/>
  <c r="J126" i="66"/>
  <c r="S125" i="66"/>
  <c r="R125" i="66"/>
  <c r="O125" i="66"/>
  <c r="T125" i="66" s="1"/>
  <c r="N125" i="66"/>
  <c r="L125" i="66"/>
  <c r="J125" i="66"/>
  <c r="S124" i="66"/>
  <c r="R124" i="66"/>
  <c r="O124" i="66"/>
  <c r="T124" i="66" s="1"/>
  <c r="N124" i="66"/>
  <c r="L124" i="66"/>
  <c r="J124" i="66"/>
  <c r="S123" i="66"/>
  <c r="R123" i="66"/>
  <c r="O123" i="66"/>
  <c r="T123" i="66" s="1"/>
  <c r="N123" i="66"/>
  <c r="L123" i="66"/>
  <c r="J123" i="66"/>
  <c r="S122" i="66"/>
  <c r="R122" i="66"/>
  <c r="O122" i="66"/>
  <c r="T122" i="66" s="1"/>
  <c r="N122" i="66"/>
  <c r="L122" i="66"/>
  <c r="J122" i="66"/>
  <c r="S121" i="66"/>
  <c r="R121" i="66"/>
  <c r="O121" i="66"/>
  <c r="T121" i="66" s="1"/>
  <c r="N121" i="66"/>
  <c r="L121" i="66"/>
  <c r="J121" i="66"/>
  <c r="S120" i="66"/>
  <c r="R120" i="66"/>
  <c r="O120" i="66"/>
  <c r="P120" i="66" s="1"/>
  <c r="N120" i="66"/>
  <c r="L120" i="66"/>
  <c r="J120" i="66"/>
  <c r="AF119" i="66"/>
  <c r="S119" i="66"/>
  <c r="R119" i="66"/>
  <c r="O119" i="66"/>
  <c r="P119" i="66" s="1"/>
  <c r="N119" i="66"/>
  <c r="L119" i="66"/>
  <c r="J119" i="66"/>
  <c r="S118" i="66"/>
  <c r="R118" i="66"/>
  <c r="O118" i="66"/>
  <c r="T118" i="66" s="1"/>
  <c r="N118" i="66"/>
  <c r="L118" i="66"/>
  <c r="J118" i="66"/>
  <c r="R117" i="66"/>
  <c r="O117" i="66"/>
  <c r="P117" i="66" s="1"/>
  <c r="N117" i="66"/>
  <c r="L117" i="66"/>
  <c r="J117" i="66"/>
  <c r="AH120" i="63"/>
  <c r="H9" i="41" s="1"/>
  <c r="AJ120" i="63"/>
  <c r="L9" i="41" s="1"/>
  <c r="AK120" i="63"/>
  <c r="F14" i="41" s="1"/>
  <c r="AM120" i="63"/>
  <c r="J14" i="41" s="1"/>
  <c r="AG119" i="63"/>
  <c r="AH119" i="63"/>
  <c r="AI119" i="63"/>
  <c r="AJ119" i="63"/>
  <c r="AK119" i="63"/>
  <c r="AL119" i="63"/>
  <c r="AM119" i="63"/>
  <c r="R136" i="63"/>
  <c r="O136" i="63"/>
  <c r="S136" i="63" s="1"/>
  <c r="V136" i="63" s="1"/>
  <c r="N136" i="63"/>
  <c r="L136" i="63"/>
  <c r="J136" i="63"/>
  <c r="F136" i="63"/>
  <c r="R135" i="63"/>
  <c r="O135" i="63"/>
  <c r="S135" i="63" s="1"/>
  <c r="V135" i="63" s="1"/>
  <c r="N135" i="63"/>
  <c r="L135" i="63"/>
  <c r="J135" i="63"/>
  <c r="F135" i="63"/>
  <c r="R134" i="63"/>
  <c r="O134" i="63"/>
  <c r="S134" i="63" s="1"/>
  <c r="V134" i="63" s="1"/>
  <c r="N134" i="63"/>
  <c r="L134" i="63"/>
  <c r="J134" i="63"/>
  <c r="F134" i="63"/>
  <c r="R133" i="63"/>
  <c r="O133" i="63"/>
  <c r="S133" i="63" s="1"/>
  <c r="N133" i="63"/>
  <c r="L133" i="63"/>
  <c r="J133" i="63"/>
  <c r="F133" i="63"/>
  <c r="R132" i="63"/>
  <c r="O132" i="63"/>
  <c r="S132" i="63" s="1"/>
  <c r="V132" i="63" s="1"/>
  <c r="N132" i="63"/>
  <c r="L132" i="63"/>
  <c r="J132" i="63"/>
  <c r="F132" i="63"/>
  <c r="R131" i="63"/>
  <c r="O131" i="63"/>
  <c r="P131" i="63" s="1"/>
  <c r="N131" i="63"/>
  <c r="L131" i="63"/>
  <c r="J131" i="63"/>
  <c r="F131" i="63"/>
  <c r="R130" i="63"/>
  <c r="O130" i="63"/>
  <c r="S130" i="63" s="1"/>
  <c r="V130" i="63" s="1"/>
  <c r="N130" i="63"/>
  <c r="L130" i="63"/>
  <c r="J130" i="63"/>
  <c r="F130" i="63"/>
  <c r="R129" i="63"/>
  <c r="O129" i="63"/>
  <c r="S129" i="63" s="1"/>
  <c r="N129" i="63"/>
  <c r="L129" i="63"/>
  <c r="J129" i="63"/>
  <c r="F129" i="63"/>
  <c r="R128" i="63"/>
  <c r="O128" i="63"/>
  <c r="S128" i="63" s="1"/>
  <c r="V128" i="63" s="1"/>
  <c r="N128" i="63"/>
  <c r="L128" i="63"/>
  <c r="J128" i="63"/>
  <c r="F128" i="63"/>
  <c r="R127" i="63"/>
  <c r="O127" i="63"/>
  <c r="S127" i="63" s="1"/>
  <c r="N127" i="63"/>
  <c r="L127" i="63"/>
  <c r="J127" i="63"/>
  <c r="F127" i="63"/>
  <c r="R126" i="63"/>
  <c r="O126" i="63"/>
  <c r="S126" i="63" s="1"/>
  <c r="V126" i="63" s="1"/>
  <c r="N126" i="63"/>
  <c r="L126" i="63"/>
  <c r="J126" i="63"/>
  <c r="F126" i="63"/>
  <c r="R125" i="63"/>
  <c r="O125" i="63"/>
  <c r="S125" i="63" s="1"/>
  <c r="N125" i="63"/>
  <c r="L125" i="63"/>
  <c r="J125" i="63"/>
  <c r="F125" i="63"/>
  <c r="R124" i="63"/>
  <c r="O124" i="63"/>
  <c r="S124" i="63" s="1"/>
  <c r="V124" i="63" s="1"/>
  <c r="N124" i="63"/>
  <c r="L124" i="63"/>
  <c r="J124" i="63"/>
  <c r="F124" i="63"/>
  <c r="R123" i="63"/>
  <c r="O123" i="63"/>
  <c r="S123" i="63" s="1"/>
  <c r="N123" i="63"/>
  <c r="L123" i="63"/>
  <c r="J123" i="63"/>
  <c r="F123" i="63"/>
  <c r="R122" i="63"/>
  <c r="O122" i="63"/>
  <c r="S122" i="63" s="1"/>
  <c r="V122" i="63" s="1"/>
  <c r="N122" i="63"/>
  <c r="L122" i="63"/>
  <c r="J122" i="63"/>
  <c r="F122" i="63"/>
  <c r="R121" i="63"/>
  <c r="O121" i="63"/>
  <c r="S121" i="63" s="1"/>
  <c r="V121" i="63" s="1"/>
  <c r="N121" i="63"/>
  <c r="L121" i="63"/>
  <c r="J121" i="63"/>
  <c r="F121" i="63"/>
  <c r="R120" i="63"/>
  <c r="O120" i="63"/>
  <c r="P120" i="63" s="1"/>
  <c r="N120" i="63"/>
  <c r="L120" i="63"/>
  <c r="J120" i="63"/>
  <c r="F120" i="63"/>
  <c r="AF119" i="63"/>
  <c r="R119" i="63"/>
  <c r="O119" i="63"/>
  <c r="P119" i="63" s="1"/>
  <c r="N119" i="63"/>
  <c r="L119" i="63"/>
  <c r="J119" i="63"/>
  <c r="F119" i="63"/>
  <c r="R118" i="63"/>
  <c r="O118" i="63"/>
  <c r="S118" i="63" s="1"/>
  <c r="V118" i="63" s="1"/>
  <c r="N118" i="63"/>
  <c r="L118" i="63"/>
  <c r="J118" i="63"/>
  <c r="F118" i="63"/>
  <c r="R117" i="63"/>
  <c r="O117" i="63"/>
  <c r="P117" i="63" s="1"/>
  <c r="N117" i="63"/>
  <c r="L117" i="63"/>
  <c r="J117" i="63"/>
  <c r="F117" i="63"/>
  <c r="AL120" i="63" s="1"/>
  <c r="H14" i="41" s="1"/>
  <c r="K22" i="19" l="1"/>
  <c r="K14" i="19"/>
  <c r="K30" i="19"/>
  <c r="K22" i="62"/>
  <c r="K30" i="62"/>
  <c r="K14" i="62"/>
  <c r="W136" i="63"/>
  <c r="X136" i="63"/>
  <c r="W126" i="63"/>
  <c r="X126" i="63"/>
  <c r="X118" i="63"/>
  <c r="W118" i="63"/>
  <c r="X135" i="63"/>
  <c r="W135" i="63"/>
  <c r="X128" i="63"/>
  <c r="W128" i="63"/>
  <c r="U125" i="63"/>
  <c r="V125" i="63"/>
  <c r="U123" i="63"/>
  <c r="V123" i="63"/>
  <c r="U133" i="63"/>
  <c r="V133" i="63"/>
  <c r="X130" i="63"/>
  <c r="W130" i="63"/>
  <c r="U127" i="63"/>
  <c r="V127" i="63"/>
  <c r="W124" i="63"/>
  <c r="X124" i="63"/>
  <c r="X134" i="63"/>
  <c r="W134" i="63"/>
  <c r="X121" i="63"/>
  <c r="W121" i="63"/>
  <c r="W122" i="63"/>
  <c r="X122" i="63"/>
  <c r="X132" i="63"/>
  <c r="W132" i="63"/>
  <c r="U129" i="63"/>
  <c r="V129" i="63"/>
  <c r="AK121" i="63"/>
  <c r="G14" i="41" s="1"/>
  <c r="AJ121" i="63"/>
  <c r="M9" i="41" s="1"/>
  <c r="AG120" i="63"/>
  <c r="AI121" i="63"/>
  <c r="K9" i="41" s="1"/>
  <c r="AG121" i="63"/>
  <c r="G9" i="41" s="1"/>
  <c r="AI120" i="63"/>
  <c r="J9" i="41" s="1"/>
  <c r="AG121" i="66"/>
  <c r="G10" i="41" s="1"/>
  <c r="AJ121" i="66"/>
  <c r="M10" i="41" s="1"/>
  <c r="AK121" i="66"/>
  <c r="G15" i="41" s="1"/>
  <c r="AH121" i="66"/>
  <c r="I10" i="41" s="1"/>
  <c r="AI121" i="66"/>
  <c r="K10" i="41" s="1"/>
  <c r="T120" i="66"/>
  <c r="F120" i="66" s="1"/>
  <c r="AM121" i="66"/>
  <c r="K15" i="41" s="1"/>
  <c r="U122" i="66"/>
  <c r="F122" i="66"/>
  <c r="U132" i="66"/>
  <c r="F132" i="66"/>
  <c r="F129" i="66"/>
  <c r="U129" i="66"/>
  <c r="U130" i="66"/>
  <c r="F130" i="66"/>
  <c r="U128" i="66"/>
  <c r="F128" i="66"/>
  <c r="F125" i="66"/>
  <c r="U125" i="66"/>
  <c r="U126" i="66"/>
  <c r="F126" i="66"/>
  <c r="F133" i="66"/>
  <c r="U133" i="66"/>
  <c r="U134" i="66"/>
  <c r="F134" i="66"/>
  <c r="F131" i="66"/>
  <c r="U131" i="66"/>
  <c r="U135" i="66"/>
  <c r="F135" i="66"/>
  <c r="F123" i="66"/>
  <c r="U123" i="66"/>
  <c r="U121" i="66"/>
  <c r="F121" i="66"/>
  <c r="F127" i="66"/>
  <c r="U127" i="66"/>
  <c r="U124" i="66"/>
  <c r="F124" i="66"/>
  <c r="U136" i="66"/>
  <c r="F136" i="66"/>
  <c r="U118" i="66"/>
  <c r="F118" i="66"/>
  <c r="P136" i="66"/>
  <c r="P118" i="66"/>
  <c r="P135" i="66"/>
  <c r="P123" i="66"/>
  <c r="P127" i="66"/>
  <c r="P131" i="66"/>
  <c r="P133" i="66"/>
  <c r="T119" i="66"/>
  <c r="P125" i="66"/>
  <c r="P129" i="66"/>
  <c r="T117" i="66"/>
  <c r="P122" i="66"/>
  <c r="AL121" i="66"/>
  <c r="I15" i="41" s="1"/>
  <c r="P124" i="66"/>
  <c r="P126" i="66"/>
  <c r="P128" i="66"/>
  <c r="P130" i="66"/>
  <c r="P132" i="66"/>
  <c r="P134" i="66"/>
  <c r="P121" i="66"/>
  <c r="S131" i="63"/>
  <c r="P123" i="63"/>
  <c r="P127" i="63"/>
  <c r="S119" i="63"/>
  <c r="P129" i="63"/>
  <c r="S117" i="63"/>
  <c r="P133" i="63"/>
  <c r="S120" i="63"/>
  <c r="P125" i="63"/>
  <c r="U120" i="63"/>
  <c r="T121" i="63"/>
  <c r="U121" i="63"/>
  <c r="U126" i="63"/>
  <c r="T126" i="63"/>
  <c r="U132" i="63"/>
  <c r="T132" i="63"/>
  <c r="U124" i="63"/>
  <c r="T124" i="63"/>
  <c r="U118" i="63"/>
  <c r="T118" i="63"/>
  <c r="U130" i="63"/>
  <c r="T130" i="63"/>
  <c r="U135" i="63"/>
  <c r="T135" i="63"/>
  <c r="U122" i="63"/>
  <c r="T122" i="63"/>
  <c r="U128" i="63"/>
  <c r="T128" i="63"/>
  <c r="U134" i="63"/>
  <c r="T134" i="63"/>
  <c r="T136" i="63"/>
  <c r="U136" i="63"/>
  <c r="T117" i="63"/>
  <c r="AH121" i="63"/>
  <c r="I9" i="41" s="1"/>
  <c r="AL121" i="63"/>
  <c r="I14" i="41" s="1"/>
  <c r="T123" i="63"/>
  <c r="T125" i="63"/>
  <c r="T127" i="63"/>
  <c r="T129" i="63"/>
  <c r="T133" i="63"/>
  <c r="P136" i="63"/>
  <c r="P118" i="63"/>
  <c r="P135" i="63"/>
  <c r="AM121" i="63"/>
  <c r="K14" i="41" s="1"/>
  <c r="P122" i="63"/>
  <c r="P124" i="63"/>
  <c r="P126" i="63"/>
  <c r="P128" i="63"/>
  <c r="P130" i="63"/>
  <c r="P132" i="63"/>
  <c r="P134" i="63"/>
  <c r="P121" i="63"/>
  <c r="W123" i="63" l="1"/>
  <c r="X123" i="63"/>
  <c r="T120" i="63"/>
  <c r="V120" i="63"/>
  <c r="W125" i="63"/>
  <c r="X125" i="63"/>
  <c r="U119" i="63"/>
  <c r="V119" i="63"/>
  <c r="U131" i="63"/>
  <c r="V131" i="63"/>
  <c r="X127" i="63"/>
  <c r="W127" i="63"/>
  <c r="W133" i="63"/>
  <c r="X133" i="63"/>
  <c r="X129" i="63"/>
  <c r="W129" i="63"/>
  <c r="U117" i="63"/>
  <c r="V117" i="63"/>
  <c r="AJ120" i="66"/>
  <c r="L10" i="41" s="1"/>
  <c r="U120" i="66"/>
  <c r="T131" i="63"/>
  <c r="T119" i="63"/>
  <c r="U117" i="66"/>
  <c r="F117" i="66"/>
  <c r="AK120" i="66" s="1"/>
  <c r="F15" i="41" s="1"/>
  <c r="F119" i="66"/>
  <c r="AL120" i="66" s="1"/>
  <c r="H15" i="41" s="1"/>
  <c r="U119" i="66"/>
  <c r="W117" i="63" l="1"/>
  <c r="X117" i="63"/>
  <c r="W131" i="63"/>
  <c r="X131" i="63"/>
  <c r="X119" i="63"/>
  <c r="W119" i="63"/>
  <c r="X120" i="63"/>
  <c r="W120" i="63"/>
  <c r="AH10" i="52"/>
  <c r="AH9" i="52"/>
  <c r="AH8" i="52"/>
  <c r="AH7" i="52"/>
  <c r="AV11" i="52"/>
  <c r="AQ11" i="52"/>
  <c r="AL11" i="52"/>
  <c r="AG11" i="52"/>
  <c r="AB11" i="52"/>
  <c r="W11" i="52"/>
  <c r="R11" i="52"/>
  <c r="J11" i="52"/>
  <c r="I11" i="52"/>
  <c r="G11" i="52"/>
  <c r="AV10" i="52"/>
  <c r="AQ10" i="52"/>
  <c r="AL10" i="52"/>
  <c r="AG10" i="52"/>
  <c r="AB10" i="52"/>
  <c r="W10" i="52"/>
  <c r="R10" i="52"/>
  <c r="J10" i="52"/>
  <c r="I10" i="52"/>
  <c r="G10" i="52"/>
  <c r="AV9" i="52"/>
  <c r="AQ9" i="52"/>
  <c r="AR9" i="52" s="1"/>
  <c r="AL9" i="52"/>
  <c r="AG9" i="52"/>
  <c r="AB9" i="52"/>
  <c r="W9" i="52"/>
  <c r="R9" i="52"/>
  <c r="J9" i="52"/>
  <c r="I9" i="52"/>
  <c r="G9" i="52"/>
  <c r="AV8" i="52"/>
  <c r="AQ8" i="52"/>
  <c r="AL8" i="52"/>
  <c r="AM11" i="52" s="1"/>
  <c r="AG8" i="52"/>
  <c r="AH11" i="52" s="1"/>
  <c r="AB8" i="52"/>
  <c r="AC9" i="52" s="1"/>
  <c r="W8" i="52"/>
  <c r="X8" i="52" s="1"/>
  <c r="R8" i="52"/>
  <c r="S7" i="52" s="1"/>
  <c r="J8" i="52"/>
  <c r="I8" i="52"/>
  <c r="G8" i="52"/>
  <c r="AV7" i="52"/>
  <c r="AW7" i="52" s="1"/>
  <c r="AQ7" i="52"/>
  <c r="AS7" i="52" s="1"/>
  <c r="AL7" i="52"/>
  <c r="AG7" i="52"/>
  <c r="AB7" i="52"/>
  <c r="W7" i="52"/>
  <c r="R7" i="52"/>
  <c r="J7" i="52"/>
  <c r="I7" i="52"/>
  <c r="G7" i="52"/>
  <c r="X8" i="51"/>
  <c r="X7" i="51"/>
  <c r="AV14" i="51"/>
  <c r="AW14" i="51" s="1"/>
  <c r="AQ14" i="51"/>
  <c r="AL14" i="51"/>
  <c r="AG14" i="51"/>
  <c r="AB14" i="51"/>
  <c r="W14" i="51"/>
  <c r="R14" i="51"/>
  <c r="J14" i="51"/>
  <c r="I14" i="51"/>
  <c r="G14" i="51"/>
  <c r="AV13" i="51"/>
  <c r="AQ13" i="51"/>
  <c r="AL13" i="51"/>
  <c r="AG13" i="51"/>
  <c r="AB13" i="51"/>
  <c r="W13" i="51"/>
  <c r="R13" i="51"/>
  <c r="K13" i="51"/>
  <c r="J13" i="51"/>
  <c r="I13" i="51"/>
  <c r="G13" i="51"/>
  <c r="AV12" i="51"/>
  <c r="AQ12" i="51"/>
  <c r="AL12" i="51"/>
  <c r="AG12" i="51"/>
  <c r="AB12" i="51"/>
  <c r="W12" i="51"/>
  <c r="R12" i="51"/>
  <c r="J12" i="51"/>
  <c r="I12" i="51"/>
  <c r="G12" i="51"/>
  <c r="AV11" i="51"/>
  <c r="AQ11" i="51"/>
  <c r="AL11" i="51"/>
  <c r="AG11" i="51"/>
  <c r="AH11" i="51" s="1"/>
  <c r="AB11" i="51"/>
  <c r="W11" i="51"/>
  <c r="X11" i="51" s="1"/>
  <c r="R11" i="51"/>
  <c r="J11" i="51"/>
  <c r="I11" i="51"/>
  <c r="G11" i="51"/>
  <c r="AV10" i="51"/>
  <c r="AQ10" i="51"/>
  <c r="AL10" i="51"/>
  <c r="AG10" i="51"/>
  <c r="AB10" i="51"/>
  <c r="W10" i="51"/>
  <c r="R10" i="51"/>
  <c r="J10" i="51"/>
  <c r="I10" i="51"/>
  <c r="G10" i="51"/>
  <c r="AV9" i="51"/>
  <c r="AW9" i="51" s="1"/>
  <c r="AQ9" i="51"/>
  <c r="AL9" i="51"/>
  <c r="AG9" i="51"/>
  <c r="AB9" i="51"/>
  <c r="W9" i="51"/>
  <c r="X9" i="51" s="1"/>
  <c r="R9" i="51"/>
  <c r="S9" i="51" s="1"/>
  <c r="J9" i="51"/>
  <c r="I9" i="51"/>
  <c r="G9" i="51"/>
  <c r="AV8" i="51"/>
  <c r="AQ8" i="51"/>
  <c r="AL8" i="51"/>
  <c r="AG8" i="51"/>
  <c r="AB8" i="51"/>
  <c r="W8" i="51"/>
  <c r="R8" i="51"/>
  <c r="J8" i="51"/>
  <c r="I8" i="51"/>
  <c r="G8" i="51"/>
  <c r="AV7" i="51"/>
  <c r="AW7" i="51" s="1"/>
  <c r="AQ7" i="51"/>
  <c r="AR7" i="51" s="1"/>
  <c r="AL7" i="51"/>
  <c r="AG7" i="51"/>
  <c r="AH10" i="51" s="1"/>
  <c r="AB7" i="51"/>
  <c r="W7" i="51"/>
  <c r="Y7" i="51" s="1"/>
  <c r="R7" i="51"/>
  <c r="T7" i="51" s="1"/>
  <c r="J7" i="51"/>
  <c r="I7" i="51"/>
  <c r="G7" i="51"/>
  <c r="H7" i="51" s="1"/>
  <c r="U2" i="50"/>
  <c r="Z2" i="50" s="1"/>
  <c r="AE2" i="50" s="1"/>
  <c r="AJ2" i="50" s="1"/>
  <c r="AO2" i="50" s="1"/>
  <c r="AT2" i="50" s="1"/>
  <c r="AV16" i="49"/>
  <c r="AQ16" i="49"/>
  <c r="AL16" i="49"/>
  <c r="AG16" i="49"/>
  <c r="AB16" i="49"/>
  <c r="W16" i="49"/>
  <c r="R16" i="49"/>
  <c r="J16" i="49"/>
  <c r="I16" i="49"/>
  <c r="G16" i="49"/>
  <c r="AV15" i="49"/>
  <c r="AQ15" i="49"/>
  <c r="AL15" i="49"/>
  <c r="AM15" i="49" s="1"/>
  <c r="AG15" i="49"/>
  <c r="AH15" i="49" s="1"/>
  <c r="AB15" i="49"/>
  <c r="W15" i="49"/>
  <c r="X15" i="49" s="1"/>
  <c r="R15" i="49"/>
  <c r="J15" i="49"/>
  <c r="I15" i="49"/>
  <c r="G15" i="49"/>
  <c r="AV14" i="49"/>
  <c r="AQ14" i="49"/>
  <c r="AL14" i="49"/>
  <c r="AG14" i="49"/>
  <c r="AB14" i="49"/>
  <c r="W14" i="49"/>
  <c r="R14" i="49"/>
  <c r="J14" i="49"/>
  <c r="I14" i="49"/>
  <c r="G14" i="49"/>
  <c r="R13" i="49"/>
  <c r="K13" i="49" s="1"/>
  <c r="J13" i="49"/>
  <c r="I13" i="49"/>
  <c r="G13" i="49"/>
  <c r="AV12" i="49"/>
  <c r="AQ12" i="49"/>
  <c r="AR12" i="49" s="1"/>
  <c r="AL12" i="49"/>
  <c r="AG12" i="49"/>
  <c r="AB12" i="49"/>
  <c r="AC12" i="49" s="1"/>
  <c r="W12" i="49"/>
  <c r="R12" i="49"/>
  <c r="J12" i="49"/>
  <c r="I12" i="49"/>
  <c r="G12" i="49"/>
  <c r="AV11" i="49"/>
  <c r="AQ11" i="49"/>
  <c r="AL11" i="49"/>
  <c r="AG11" i="49"/>
  <c r="AB11" i="49"/>
  <c r="W11" i="49"/>
  <c r="R11" i="49"/>
  <c r="K11" i="49" s="1"/>
  <c r="J11" i="49"/>
  <c r="I11" i="49"/>
  <c r="G11" i="49"/>
  <c r="AV10" i="49"/>
  <c r="AW10" i="49" s="1"/>
  <c r="AQ10" i="49"/>
  <c r="AL10" i="49"/>
  <c r="AG10" i="49"/>
  <c r="AB10" i="49"/>
  <c r="W10" i="49"/>
  <c r="R10" i="49"/>
  <c r="J10" i="49"/>
  <c r="I10" i="49"/>
  <c r="G10" i="49"/>
  <c r="AV9" i="49"/>
  <c r="AQ9" i="49"/>
  <c r="AL9" i="49"/>
  <c r="AG9" i="49"/>
  <c r="AB9" i="49"/>
  <c r="W9" i="49"/>
  <c r="R9" i="49"/>
  <c r="K9" i="49"/>
  <c r="J9" i="49"/>
  <c r="I9" i="49"/>
  <c r="G9" i="49"/>
  <c r="AV8" i="49"/>
  <c r="AQ8" i="49"/>
  <c r="AL8" i="49"/>
  <c r="AG8" i="49"/>
  <c r="AB8" i="49"/>
  <c r="W8" i="49"/>
  <c r="R8" i="49"/>
  <c r="J8" i="49"/>
  <c r="I8" i="49"/>
  <c r="G8" i="49"/>
  <c r="AV7" i="49"/>
  <c r="AQ7" i="49"/>
  <c r="AL7" i="49"/>
  <c r="AG7" i="49"/>
  <c r="AB7" i="49"/>
  <c r="W7" i="49"/>
  <c r="X11" i="49" s="1"/>
  <c r="R7" i="49"/>
  <c r="S8" i="49" s="1"/>
  <c r="J7" i="49"/>
  <c r="I7" i="49"/>
  <c r="G7" i="49"/>
  <c r="AV15" i="48"/>
  <c r="AQ15" i="48"/>
  <c r="AL15" i="48"/>
  <c r="AG15" i="48"/>
  <c r="AB15" i="48"/>
  <c r="W15" i="48"/>
  <c r="R15" i="48"/>
  <c r="J15" i="48"/>
  <c r="I15" i="48"/>
  <c r="G15" i="48"/>
  <c r="AV14" i="48"/>
  <c r="AQ14" i="48"/>
  <c r="AL14" i="48"/>
  <c r="AG14" i="48"/>
  <c r="AB14" i="48"/>
  <c r="W14" i="48"/>
  <c r="R14" i="48"/>
  <c r="J14" i="48"/>
  <c r="I14" i="48"/>
  <c r="G14" i="48"/>
  <c r="AV13" i="48"/>
  <c r="AQ13" i="48"/>
  <c r="AL13" i="48"/>
  <c r="AG13" i="48"/>
  <c r="AB13" i="48"/>
  <c r="W13" i="48"/>
  <c r="X13" i="48" s="1"/>
  <c r="R13" i="48"/>
  <c r="J13" i="48"/>
  <c r="I13" i="48"/>
  <c r="G13" i="48"/>
  <c r="AV12" i="48"/>
  <c r="AQ12" i="48"/>
  <c r="AR12" i="48" s="1"/>
  <c r="AL12" i="48"/>
  <c r="AM12" i="48" s="1"/>
  <c r="AG12" i="48"/>
  <c r="AB12" i="48"/>
  <c r="W12" i="48"/>
  <c r="R12" i="48"/>
  <c r="J12" i="48"/>
  <c r="I12" i="48"/>
  <c r="G12" i="48"/>
  <c r="R11" i="48"/>
  <c r="K11" i="48"/>
  <c r="J11" i="48"/>
  <c r="I11" i="48"/>
  <c r="G11" i="48"/>
  <c r="AV10" i="48"/>
  <c r="AQ10" i="48"/>
  <c r="AL10" i="48"/>
  <c r="AM10" i="48" s="1"/>
  <c r="AG10" i="48"/>
  <c r="AB10" i="48"/>
  <c r="W10" i="48"/>
  <c r="R10" i="48"/>
  <c r="S10" i="48" s="1"/>
  <c r="J10" i="48"/>
  <c r="I10" i="48"/>
  <c r="G10" i="48"/>
  <c r="AV9" i="48"/>
  <c r="AQ9" i="48"/>
  <c r="AL9" i="48"/>
  <c r="AM9" i="48" s="1"/>
  <c r="AG9" i="48"/>
  <c r="AB9" i="48"/>
  <c r="W9" i="48"/>
  <c r="R9" i="48"/>
  <c r="J9" i="48"/>
  <c r="I9" i="48"/>
  <c r="G9" i="48"/>
  <c r="AV8" i="48"/>
  <c r="AQ8" i="48"/>
  <c r="AL8" i="48"/>
  <c r="AM8" i="48" s="1"/>
  <c r="AG8" i="48"/>
  <c r="AH15" i="48" s="1"/>
  <c r="AB8" i="48"/>
  <c r="AC10" i="48" s="1"/>
  <c r="W8" i="48"/>
  <c r="X9" i="48" s="1"/>
  <c r="R8" i="48"/>
  <c r="J8" i="48"/>
  <c r="I8" i="48"/>
  <c r="G8" i="48"/>
  <c r="AV7" i="48"/>
  <c r="AQ7" i="48"/>
  <c r="AL7" i="48"/>
  <c r="AM7" i="48" s="1"/>
  <c r="AG7" i="48"/>
  <c r="AB7" i="48"/>
  <c r="W7" i="48"/>
  <c r="X12" i="48" s="1"/>
  <c r="R7" i="48"/>
  <c r="J7" i="48"/>
  <c r="I7" i="48"/>
  <c r="G7" i="48"/>
  <c r="X11" i="47"/>
  <c r="AR11" i="47"/>
  <c r="AV11" i="47"/>
  <c r="AQ11" i="47"/>
  <c r="AL11" i="47"/>
  <c r="AG11" i="47"/>
  <c r="AB11" i="47"/>
  <c r="W11" i="47"/>
  <c r="R11" i="47"/>
  <c r="K11" i="47" s="1"/>
  <c r="J11" i="47"/>
  <c r="I11" i="47"/>
  <c r="G11" i="47"/>
  <c r="AV10" i="47"/>
  <c r="AQ10" i="47"/>
  <c r="AR10" i="47" s="1"/>
  <c r="AL10" i="47"/>
  <c r="AG10" i="47"/>
  <c r="AH10" i="47" s="1"/>
  <c r="AB10" i="47"/>
  <c r="W10" i="47"/>
  <c r="R10" i="47"/>
  <c r="J10" i="47"/>
  <c r="I10" i="47"/>
  <c r="G10" i="47"/>
  <c r="AV9" i="47"/>
  <c r="AQ9" i="47"/>
  <c r="AR9" i="47" s="1"/>
  <c r="AL9" i="47"/>
  <c r="AG9" i="47"/>
  <c r="AB9" i="47"/>
  <c r="W9" i="47"/>
  <c r="R9" i="47"/>
  <c r="J9" i="47"/>
  <c r="I9" i="47"/>
  <c r="G9" i="47"/>
  <c r="AV8" i="47"/>
  <c r="AW8" i="47" s="1"/>
  <c r="AQ8" i="47"/>
  <c r="AR8" i="47" s="1"/>
  <c r="AL8" i="47"/>
  <c r="AM8" i="47" s="1"/>
  <c r="AG8" i="47"/>
  <c r="AB8" i="47"/>
  <c r="W8" i="47"/>
  <c r="R8" i="47"/>
  <c r="J8" i="47"/>
  <c r="I8" i="47"/>
  <c r="G8" i="47"/>
  <c r="AV7" i="47"/>
  <c r="AQ7" i="47"/>
  <c r="AL7" i="47"/>
  <c r="AG7" i="47"/>
  <c r="AB7" i="47"/>
  <c r="AC8" i="47" s="1"/>
  <c r="W7" i="47"/>
  <c r="R7" i="47"/>
  <c r="J7" i="47"/>
  <c r="I7" i="47"/>
  <c r="G7" i="47"/>
  <c r="AV7" i="46"/>
  <c r="AQ7" i="46"/>
  <c r="AL7" i="46"/>
  <c r="AG7" i="46"/>
  <c r="AB7" i="46"/>
  <c r="W7" i="46"/>
  <c r="R7" i="46"/>
  <c r="J7" i="46"/>
  <c r="I7" i="46"/>
  <c r="G7" i="46"/>
  <c r="H7" i="46" s="1"/>
  <c r="AV9" i="45"/>
  <c r="AQ9" i="45"/>
  <c r="AL9" i="45"/>
  <c r="AG9" i="45"/>
  <c r="AB9" i="45"/>
  <c r="W9" i="45"/>
  <c r="R9" i="45"/>
  <c r="K9" i="45"/>
  <c r="J9" i="45"/>
  <c r="I9" i="45"/>
  <c r="G9" i="45"/>
  <c r="AV8" i="45"/>
  <c r="K8" i="45" s="1"/>
  <c r="AQ8" i="45"/>
  <c r="AL8" i="45"/>
  <c r="AG8" i="45"/>
  <c r="AB8" i="45"/>
  <c r="W8" i="45"/>
  <c r="R8" i="45"/>
  <c r="J8" i="45"/>
  <c r="I8" i="45"/>
  <c r="G8" i="45"/>
  <c r="AV7" i="45"/>
  <c r="AQ7" i="45"/>
  <c r="AS7" i="45" s="1"/>
  <c r="AL7" i="45"/>
  <c r="AN7" i="45" s="1"/>
  <c r="AG7" i="45"/>
  <c r="AI7" i="45" s="1"/>
  <c r="AB7" i="45"/>
  <c r="AD7" i="45" s="1"/>
  <c r="W7" i="45"/>
  <c r="Y7" i="45" s="1"/>
  <c r="R7" i="45"/>
  <c r="K7" i="45" s="1"/>
  <c r="J7" i="45"/>
  <c r="I7" i="45"/>
  <c r="G7" i="45"/>
  <c r="AW26" i="44"/>
  <c r="AH11" i="44"/>
  <c r="AC17" i="44"/>
  <c r="AC15" i="44"/>
  <c r="AV42" i="44"/>
  <c r="AQ42" i="44"/>
  <c r="AL42" i="44"/>
  <c r="AG42" i="44"/>
  <c r="AH42" i="44" s="1"/>
  <c r="AB42" i="44"/>
  <c r="AC42" i="44" s="1"/>
  <c r="W42" i="44"/>
  <c r="X42" i="44" s="1"/>
  <c r="R42" i="44"/>
  <c r="S42" i="44" s="1"/>
  <c r="K42" i="44"/>
  <c r="J42" i="44"/>
  <c r="I42" i="44"/>
  <c r="G42" i="44"/>
  <c r="AV41" i="44"/>
  <c r="AW41" i="44" s="1"/>
  <c r="AQ41" i="44"/>
  <c r="AR41" i="44" s="1"/>
  <c r="AL41" i="44"/>
  <c r="AG41" i="44"/>
  <c r="AH41" i="44" s="1"/>
  <c r="AB41" i="44"/>
  <c r="AC41" i="44" s="1"/>
  <c r="W41" i="44"/>
  <c r="R41" i="44"/>
  <c r="S41" i="44" s="1"/>
  <c r="J41" i="44"/>
  <c r="I41" i="44"/>
  <c r="G41" i="44"/>
  <c r="AV40" i="44"/>
  <c r="AQ40" i="44"/>
  <c r="AR40" i="44" s="1"/>
  <c r="AL40" i="44"/>
  <c r="AG40" i="44"/>
  <c r="AH40" i="44" s="1"/>
  <c r="AB40" i="44"/>
  <c r="AC40" i="44" s="1"/>
  <c r="W40" i="44"/>
  <c r="X40" i="44" s="1"/>
  <c r="R40" i="44"/>
  <c r="S40" i="44" s="1"/>
  <c r="J40" i="44"/>
  <c r="I40" i="44"/>
  <c r="G40" i="44"/>
  <c r="AV39" i="44"/>
  <c r="AQ39" i="44"/>
  <c r="AR39" i="44" s="1"/>
  <c r="AL39" i="44"/>
  <c r="AG39" i="44"/>
  <c r="AH39" i="44" s="1"/>
  <c r="AB39" i="44"/>
  <c r="AC39" i="44" s="1"/>
  <c r="W39" i="44"/>
  <c r="R39" i="44"/>
  <c r="S39" i="44" s="1"/>
  <c r="J39" i="44"/>
  <c r="I39" i="44"/>
  <c r="G39" i="44"/>
  <c r="AV38" i="44"/>
  <c r="AW38" i="44" s="1"/>
  <c r="AQ38" i="44"/>
  <c r="AL38" i="44"/>
  <c r="AG38" i="44"/>
  <c r="AH38" i="44" s="1"/>
  <c r="AB38" i="44"/>
  <c r="AC38" i="44" s="1"/>
  <c r="W38" i="44"/>
  <c r="X38" i="44" s="1"/>
  <c r="R38" i="44"/>
  <c r="S38" i="44" s="1"/>
  <c r="J38" i="44"/>
  <c r="I38" i="44"/>
  <c r="G38" i="44"/>
  <c r="AV37" i="44"/>
  <c r="AW37" i="44" s="1"/>
  <c r="AQ37" i="44"/>
  <c r="AR37" i="44" s="1"/>
  <c r="AL37" i="44"/>
  <c r="AM37" i="44" s="1"/>
  <c r="AG37" i="44"/>
  <c r="AH37" i="44" s="1"/>
  <c r="AB37" i="44"/>
  <c r="AC37" i="44" s="1"/>
  <c r="W37" i="44"/>
  <c r="X37" i="44" s="1"/>
  <c r="R37" i="44"/>
  <c r="S37" i="44" s="1"/>
  <c r="J37" i="44"/>
  <c r="I37" i="44"/>
  <c r="G37" i="44"/>
  <c r="AV36" i="44"/>
  <c r="AQ36" i="44"/>
  <c r="AL36" i="44"/>
  <c r="AG36" i="44"/>
  <c r="AB36" i="44"/>
  <c r="AC36" i="44" s="1"/>
  <c r="W36" i="44"/>
  <c r="X36" i="44" s="1"/>
  <c r="R36" i="44"/>
  <c r="S36" i="44" s="1"/>
  <c r="J36" i="44"/>
  <c r="I36" i="44"/>
  <c r="G36" i="44"/>
  <c r="AV35" i="44"/>
  <c r="AW35" i="44" s="1"/>
  <c r="AQ35" i="44"/>
  <c r="AL35" i="44"/>
  <c r="AM35" i="44" s="1"/>
  <c r="AG35" i="44"/>
  <c r="AB35" i="44"/>
  <c r="AC35" i="44" s="1"/>
  <c r="W35" i="44"/>
  <c r="X35" i="44" s="1"/>
  <c r="R35" i="44"/>
  <c r="J35" i="44"/>
  <c r="I35" i="44"/>
  <c r="G35" i="44"/>
  <c r="AV34" i="44"/>
  <c r="AW34" i="44" s="1"/>
  <c r="AQ34" i="44"/>
  <c r="AR34" i="44" s="1"/>
  <c r="AL34" i="44"/>
  <c r="AM34" i="44" s="1"/>
  <c r="AG34" i="44"/>
  <c r="AB34" i="44"/>
  <c r="AC34" i="44" s="1"/>
  <c r="W34" i="44"/>
  <c r="X34" i="44" s="1"/>
  <c r="R34" i="44"/>
  <c r="S34" i="44" s="1"/>
  <c r="J34" i="44"/>
  <c r="I34" i="44"/>
  <c r="G34" i="44"/>
  <c r="AV33" i="44"/>
  <c r="AW33" i="44" s="1"/>
  <c r="AQ33" i="44"/>
  <c r="AR33" i="44" s="1"/>
  <c r="AL33" i="44"/>
  <c r="AM33" i="44" s="1"/>
  <c r="AG33" i="44"/>
  <c r="AH33" i="44" s="1"/>
  <c r="AB33" i="44"/>
  <c r="W33" i="44"/>
  <c r="X33" i="44" s="1"/>
  <c r="R33" i="44"/>
  <c r="S33" i="44" s="1"/>
  <c r="J33" i="44"/>
  <c r="I33" i="44"/>
  <c r="G33" i="44"/>
  <c r="AV32" i="44"/>
  <c r="AW32" i="44" s="1"/>
  <c r="AQ32" i="44"/>
  <c r="AL32" i="44"/>
  <c r="AM32" i="44" s="1"/>
  <c r="AG32" i="44"/>
  <c r="AH32" i="44" s="1"/>
  <c r="AB32" i="44"/>
  <c r="AC32" i="44" s="1"/>
  <c r="W32" i="44"/>
  <c r="X32" i="44" s="1"/>
  <c r="R32" i="44"/>
  <c r="S32" i="44" s="1"/>
  <c r="J32" i="44"/>
  <c r="I32" i="44"/>
  <c r="G32" i="44"/>
  <c r="AV31" i="44"/>
  <c r="AW31" i="44" s="1"/>
  <c r="AQ31" i="44"/>
  <c r="AR31" i="44" s="1"/>
  <c r="AL31" i="44"/>
  <c r="AG31" i="44"/>
  <c r="AH31" i="44" s="1"/>
  <c r="AB31" i="44"/>
  <c r="W31" i="44"/>
  <c r="X31" i="44" s="1"/>
  <c r="R31" i="44"/>
  <c r="S31" i="44" s="1"/>
  <c r="J31" i="44"/>
  <c r="I31" i="44"/>
  <c r="G31" i="44"/>
  <c r="AV30" i="44"/>
  <c r="AQ30" i="44"/>
  <c r="AR30" i="44" s="1"/>
  <c r="AL30" i="44"/>
  <c r="AM30" i="44" s="1"/>
  <c r="AG30" i="44"/>
  <c r="AH30" i="44" s="1"/>
  <c r="AB30" i="44"/>
  <c r="W30" i="44"/>
  <c r="K30" i="44" s="1"/>
  <c r="R30" i="44"/>
  <c r="S30" i="44" s="1"/>
  <c r="J30" i="44"/>
  <c r="I30" i="44"/>
  <c r="G30" i="44"/>
  <c r="AV29" i="44"/>
  <c r="AQ29" i="44"/>
  <c r="AR29" i="44" s="1"/>
  <c r="AL29" i="44"/>
  <c r="AM29" i="44" s="1"/>
  <c r="AG29" i="44"/>
  <c r="AB29" i="44"/>
  <c r="W29" i="44"/>
  <c r="R29" i="44"/>
  <c r="J29" i="44"/>
  <c r="I29" i="44"/>
  <c r="G29" i="44"/>
  <c r="AV28" i="44"/>
  <c r="AQ28" i="44"/>
  <c r="AR28" i="44" s="1"/>
  <c r="AL28" i="44"/>
  <c r="AM28" i="44" s="1"/>
  <c r="AG28" i="44"/>
  <c r="AH28" i="44" s="1"/>
  <c r="AB28" i="44"/>
  <c r="AC28" i="44" s="1"/>
  <c r="W28" i="44"/>
  <c r="X28" i="44" s="1"/>
  <c r="R28" i="44"/>
  <c r="J28" i="44"/>
  <c r="I28" i="44"/>
  <c r="G28" i="44"/>
  <c r="AV27" i="44"/>
  <c r="AQ27" i="44"/>
  <c r="AR27" i="44" s="1"/>
  <c r="AL27" i="44"/>
  <c r="AM27" i="44" s="1"/>
  <c r="AG27" i="44"/>
  <c r="AB27" i="44"/>
  <c r="AC27" i="44" s="1"/>
  <c r="W27" i="44"/>
  <c r="R27" i="44"/>
  <c r="J27" i="44"/>
  <c r="I27" i="44"/>
  <c r="G27" i="44"/>
  <c r="AV26" i="44"/>
  <c r="AQ26" i="44"/>
  <c r="AR26" i="44" s="1"/>
  <c r="AL26" i="44"/>
  <c r="AM26" i="44" s="1"/>
  <c r="AG26" i="44"/>
  <c r="AH26" i="44" s="1"/>
  <c r="AB26" i="44"/>
  <c r="AC26" i="44" s="1"/>
  <c r="W26" i="44"/>
  <c r="X27" i="44" s="1"/>
  <c r="R26" i="44"/>
  <c r="S9" i="44" s="1"/>
  <c r="J26" i="44"/>
  <c r="I26" i="44"/>
  <c r="G26" i="44"/>
  <c r="AV25" i="44"/>
  <c r="AW25" i="44" s="1"/>
  <c r="AQ25" i="44"/>
  <c r="AR25" i="44" s="1"/>
  <c r="AL25" i="44"/>
  <c r="AM25" i="44" s="1"/>
  <c r="AG25" i="44"/>
  <c r="AH25" i="44" s="1"/>
  <c r="AB25" i="44"/>
  <c r="AC25" i="44" s="1"/>
  <c r="W25" i="44"/>
  <c r="R25" i="44"/>
  <c r="J25" i="44"/>
  <c r="I25" i="44"/>
  <c r="G25" i="44"/>
  <c r="AV24" i="44"/>
  <c r="AW24" i="44" s="1"/>
  <c r="AQ24" i="44"/>
  <c r="AL24" i="44"/>
  <c r="AM24" i="44" s="1"/>
  <c r="AG24" i="44"/>
  <c r="AH24" i="44" s="1"/>
  <c r="AB24" i="44"/>
  <c r="AC24" i="44" s="1"/>
  <c r="W24" i="44"/>
  <c r="X24" i="44" s="1"/>
  <c r="R24" i="44"/>
  <c r="J24" i="44"/>
  <c r="I24" i="44"/>
  <c r="G24" i="44"/>
  <c r="AV23" i="44"/>
  <c r="AW23" i="44" s="1"/>
  <c r="AQ23" i="44"/>
  <c r="AL23" i="44"/>
  <c r="AM23" i="44" s="1"/>
  <c r="AG23" i="44"/>
  <c r="AH23" i="44" s="1"/>
  <c r="AB23" i="44"/>
  <c r="W23" i="44"/>
  <c r="R23" i="44"/>
  <c r="J23" i="44"/>
  <c r="I23" i="44"/>
  <c r="G23" i="44"/>
  <c r="AV22" i="44"/>
  <c r="AW22" i="44" s="1"/>
  <c r="AQ22" i="44"/>
  <c r="AL22" i="44"/>
  <c r="AM22" i="44" s="1"/>
  <c r="AG22" i="44"/>
  <c r="AH22" i="44" s="1"/>
  <c r="AB22" i="44"/>
  <c r="AC10" i="44" s="1"/>
  <c r="W22" i="44"/>
  <c r="X25" i="44" s="1"/>
  <c r="R22" i="44"/>
  <c r="J22" i="44"/>
  <c r="I22" i="44"/>
  <c r="G22" i="44"/>
  <c r="AV21" i="44"/>
  <c r="AW21" i="44" s="1"/>
  <c r="AQ21" i="44"/>
  <c r="AR21" i="44" s="1"/>
  <c r="AL21" i="44"/>
  <c r="AG21" i="44"/>
  <c r="AH21" i="44" s="1"/>
  <c r="AB21" i="44"/>
  <c r="W21" i="44"/>
  <c r="R21" i="44"/>
  <c r="S21" i="44" s="1"/>
  <c r="J21" i="44"/>
  <c r="I21" i="44"/>
  <c r="G21" i="44"/>
  <c r="AV20" i="44"/>
  <c r="AQ20" i="44"/>
  <c r="AR20" i="44" s="1"/>
  <c r="AL20" i="44"/>
  <c r="AM20" i="44" s="1"/>
  <c r="AG20" i="44"/>
  <c r="AH20" i="44" s="1"/>
  <c r="AB20" i="44"/>
  <c r="AC20" i="44" s="1"/>
  <c r="W20" i="44"/>
  <c r="R20" i="44"/>
  <c r="S20" i="44" s="1"/>
  <c r="J20" i="44"/>
  <c r="I20" i="44"/>
  <c r="G20" i="44"/>
  <c r="AV19" i="44"/>
  <c r="AW19" i="44" s="1"/>
  <c r="AQ19" i="44"/>
  <c r="AR19" i="44" s="1"/>
  <c r="AL19" i="44"/>
  <c r="AG19" i="44"/>
  <c r="AH19" i="44" s="1"/>
  <c r="AB19" i="44"/>
  <c r="AC19" i="44" s="1"/>
  <c r="W19" i="44"/>
  <c r="R19" i="44"/>
  <c r="S19" i="44" s="1"/>
  <c r="J19" i="44"/>
  <c r="I19" i="44"/>
  <c r="G19" i="44"/>
  <c r="AV18" i="44"/>
  <c r="AW18" i="44" s="1"/>
  <c r="AQ18" i="44"/>
  <c r="AL18" i="44"/>
  <c r="AG18" i="44"/>
  <c r="AH14" i="44" s="1"/>
  <c r="AB18" i="44"/>
  <c r="AC29" i="44" s="1"/>
  <c r="W18" i="44"/>
  <c r="R18" i="44"/>
  <c r="J18" i="44"/>
  <c r="I18" i="44"/>
  <c r="G18" i="44"/>
  <c r="AV17" i="44"/>
  <c r="AW17" i="44" s="1"/>
  <c r="AQ17" i="44"/>
  <c r="AL17" i="44"/>
  <c r="AM17" i="44" s="1"/>
  <c r="AG17" i="44"/>
  <c r="K17" i="44" s="1"/>
  <c r="AB17" i="44"/>
  <c r="W17" i="44"/>
  <c r="R17" i="44"/>
  <c r="J17" i="44"/>
  <c r="I17" i="44"/>
  <c r="G17" i="44"/>
  <c r="AV16" i="44"/>
  <c r="AW16" i="44" s="1"/>
  <c r="AQ16" i="44"/>
  <c r="AR16" i="44" s="1"/>
  <c r="AL16" i="44"/>
  <c r="K16" i="44" s="1"/>
  <c r="AG16" i="44"/>
  <c r="AH16" i="44" s="1"/>
  <c r="AB16" i="44"/>
  <c r="W16" i="44"/>
  <c r="R16" i="44"/>
  <c r="S16" i="44" s="1"/>
  <c r="J16" i="44"/>
  <c r="I16" i="44"/>
  <c r="G16" i="44"/>
  <c r="AV15" i="44"/>
  <c r="AW15" i="44" s="1"/>
  <c r="AQ15" i="44"/>
  <c r="AL15" i="44"/>
  <c r="AM15" i="44" s="1"/>
  <c r="AG15" i="44"/>
  <c r="AB15" i="44"/>
  <c r="W15" i="44"/>
  <c r="X15" i="44" s="1"/>
  <c r="R15" i="44"/>
  <c r="J15" i="44"/>
  <c r="I15" i="44"/>
  <c r="G15" i="44"/>
  <c r="AV14" i="44"/>
  <c r="AW14" i="44" s="1"/>
  <c r="AQ14" i="44"/>
  <c r="AR14" i="44" s="1"/>
  <c r="AL14" i="44"/>
  <c r="AM14" i="44" s="1"/>
  <c r="AG14" i="44"/>
  <c r="AB14" i="44"/>
  <c r="W14" i="44"/>
  <c r="X14" i="44" s="1"/>
  <c r="R14" i="44"/>
  <c r="J14" i="44"/>
  <c r="I14" i="44"/>
  <c r="G14" i="44"/>
  <c r="AV13" i="44"/>
  <c r="AW13" i="44" s="1"/>
  <c r="AQ13" i="44"/>
  <c r="AR13" i="44" s="1"/>
  <c r="AL13" i="44"/>
  <c r="AM13" i="44" s="1"/>
  <c r="AG13" i="44"/>
  <c r="AB13" i="44"/>
  <c r="W13" i="44"/>
  <c r="X13" i="44" s="1"/>
  <c r="R13" i="44"/>
  <c r="J13" i="44"/>
  <c r="I13" i="44"/>
  <c r="G13" i="44"/>
  <c r="AV12" i="44"/>
  <c r="AW12" i="44" s="1"/>
  <c r="AQ12" i="44"/>
  <c r="AR12" i="44" s="1"/>
  <c r="AL12" i="44"/>
  <c r="AM39" i="44" s="1"/>
  <c r="AG12" i="44"/>
  <c r="AH13" i="44" s="1"/>
  <c r="AB12" i="44"/>
  <c r="W12" i="44"/>
  <c r="X12" i="44" s="1"/>
  <c r="R12" i="44"/>
  <c r="S12" i="44" s="1"/>
  <c r="J12" i="44"/>
  <c r="I12" i="44"/>
  <c r="G12" i="44"/>
  <c r="AV11" i="44"/>
  <c r="AW11" i="44" s="1"/>
  <c r="AQ11" i="44"/>
  <c r="AR11" i="44" s="1"/>
  <c r="AL11" i="44"/>
  <c r="K11" i="44" s="1"/>
  <c r="AG11" i="44"/>
  <c r="AB11" i="44"/>
  <c r="W11" i="44"/>
  <c r="R11" i="44"/>
  <c r="J11" i="44"/>
  <c r="I11" i="44"/>
  <c r="G11" i="44"/>
  <c r="AV10" i="44"/>
  <c r="AW10" i="44" s="1"/>
  <c r="AQ10" i="44"/>
  <c r="AR10" i="44" s="1"/>
  <c r="AL10" i="44"/>
  <c r="AM10" i="44" s="1"/>
  <c r="AG10" i="44"/>
  <c r="AB10" i="44"/>
  <c r="W10" i="44"/>
  <c r="R10" i="44"/>
  <c r="S10" i="44" s="1"/>
  <c r="J10" i="44"/>
  <c r="I10" i="44"/>
  <c r="G10" i="44"/>
  <c r="AV9" i="44"/>
  <c r="AQ9" i="44"/>
  <c r="AR9" i="44" s="1"/>
  <c r="AL9" i="44"/>
  <c r="AG9" i="44"/>
  <c r="AB9" i="44"/>
  <c r="W9" i="44"/>
  <c r="R9" i="44"/>
  <c r="J9" i="44"/>
  <c r="I9" i="44"/>
  <c r="G9" i="44"/>
  <c r="AV8" i="44"/>
  <c r="AW39" i="44" s="1"/>
  <c r="AQ8" i="44"/>
  <c r="AR35" i="44" s="1"/>
  <c r="AL8" i="44"/>
  <c r="AM31" i="44" s="1"/>
  <c r="AG8" i="44"/>
  <c r="AB8" i="44"/>
  <c r="AC8" i="44" s="1"/>
  <c r="W8" i="44"/>
  <c r="X23" i="44" s="1"/>
  <c r="R8" i="44"/>
  <c r="J8" i="44"/>
  <c r="I8" i="44"/>
  <c r="G8" i="44"/>
  <c r="AV7" i="44"/>
  <c r="AQ7" i="44"/>
  <c r="AR7" i="44" s="1"/>
  <c r="AL7" i="44"/>
  <c r="AG7" i="44"/>
  <c r="AB7" i="44"/>
  <c r="W7" i="44"/>
  <c r="R7" i="44"/>
  <c r="S11" i="44" s="1"/>
  <c r="J7" i="44"/>
  <c r="I7" i="44"/>
  <c r="G7" i="44"/>
  <c r="H7" i="44" s="1"/>
  <c r="D8" i="6"/>
  <c r="D9" i="6" s="1"/>
  <c r="D10" i="6" s="1"/>
  <c r="D11" i="6" s="1"/>
  <c r="D12" i="6" s="1"/>
  <c r="D13" i="6" s="1"/>
  <c r="AC13" i="6"/>
  <c r="S13" i="6"/>
  <c r="M13" i="6"/>
  <c r="F13" i="6"/>
  <c r="AL13" i="6" s="1"/>
  <c r="AC12" i="6"/>
  <c r="F12" i="6" s="1"/>
  <c r="AL12" i="6" s="1"/>
  <c r="S12" i="6"/>
  <c r="M12" i="6"/>
  <c r="AC11" i="6"/>
  <c r="S11" i="6"/>
  <c r="M11" i="6"/>
  <c r="AC10" i="6"/>
  <c r="S10" i="6"/>
  <c r="M10" i="6"/>
  <c r="AC9" i="6"/>
  <c r="F9" i="6" s="1"/>
  <c r="AL9" i="6" s="1"/>
  <c r="S9" i="6"/>
  <c r="M9" i="6"/>
  <c r="AC8" i="6"/>
  <c r="S8" i="6"/>
  <c r="M8" i="6"/>
  <c r="AC7" i="6"/>
  <c r="S7" i="6"/>
  <c r="M7" i="6"/>
  <c r="AR11" i="52" l="1"/>
  <c r="AW9" i="52"/>
  <c r="AW11" i="52"/>
  <c r="S10" i="52"/>
  <c r="X10" i="52"/>
  <c r="AC10" i="52"/>
  <c r="AM7" i="52"/>
  <c r="AM8" i="52"/>
  <c r="AM10" i="52"/>
  <c r="AM9" i="52"/>
  <c r="AR8" i="52"/>
  <c r="S9" i="52"/>
  <c r="AW8" i="52"/>
  <c r="X9" i="52"/>
  <c r="X11" i="52"/>
  <c r="AR10" i="52"/>
  <c r="AC11" i="52"/>
  <c r="AW10" i="52"/>
  <c r="S8" i="51"/>
  <c r="S11" i="51"/>
  <c r="S13" i="51"/>
  <c r="AC11" i="51"/>
  <c r="X10" i="51"/>
  <c r="AH9" i="51"/>
  <c r="AM9" i="51"/>
  <c r="AM11" i="51"/>
  <c r="AR9" i="51"/>
  <c r="AR11" i="51"/>
  <c r="AM13" i="51"/>
  <c r="AR13" i="51"/>
  <c r="AR14" i="51"/>
  <c r="S10" i="51"/>
  <c r="S12" i="51"/>
  <c r="K14" i="51"/>
  <c r="AH8" i="51"/>
  <c r="AC8" i="51"/>
  <c r="AN7" i="51"/>
  <c r="AM10" i="51"/>
  <c r="AM12" i="51"/>
  <c r="AH13" i="51"/>
  <c r="AR8" i="51"/>
  <c r="AR12" i="51"/>
  <c r="AM14" i="51"/>
  <c r="AW11" i="51"/>
  <c r="AW10" i="51"/>
  <c r="AW12" i="51"/>
  <c r="AW12" i="49"/>
  <c r="AH9" i="49"/>
  <c r="AC9" i="49"/>
  <c r="AW15" i="49"/>
  <c r="AC11" i="49"/>
  <c r="AX7" i="49"/>
  <c r="AM11" i="49"/>
  <c r="AW9" i="49"/>
  <c r="S14" i="49"/>
  <c r="S16" i="49"/>
  <c r="X14" i="49"/>
  <c r="K16" i="49"/>
  <c r="AC16" i="49"/>
  <c r="AH14" i="49"/>
  <c r="AH16" i="49"/>
  <c r="K8" i="49"/>
  <c r="AM14" i="49"/>
  <c r="AR16" i="49"/>
  <c r="K12" i="49"/>
  <c r="AH12" i="49"/>
  <c r="X10" i="49"/>
  <c r="AW14" i="49"/>
  <c r="AW16" i="49"/>
  <c r="AR8" i="49"/>
  <c r="AM9" i="49"/>
  <c r="AC10" i="49"/>
  <c r="X12" i="49"/>
  <c r="S13" i="49"/>
  <c r="K10" i="49"/>
  <c r="AR15" i="49"/>
  <c r="AH10" i="49"/>
  <c r="S12" i="49"/>
  <c r="AW11" i="49"/>
  <c r="AM10" i="49"/>
  <c r="AC8" i="49"/>
  <c r="AM12" i="49"/>
  <c r="S15" i="49"/>
  <c r="AR14" i="48"/>
  <c r="X10" i="48"/>
  <c r="AH10" i="48"/>
  <c r="AR10" i="48"/>
  <c r="AW8" i="48"/>
  <c r="AW10" i="48"/>
  <c r="AH13" i="48"/>
  <c r="S9" i="48"/>
  <c r="AR15" i="48"/>
  <c r="AH9" i="48"/>
  <c r="AR9" i="48"/>
  <c r="AR13" i="48"/>
  <c r="AW12" i="48"/>
  <c r="AW9" i="48"/>
  <c r="S12" i="48"/>
  <c r="S14" i="48"/>
  <c r="X15" i="48"/>
  <c r="X14" i="48"/>
  <c r="AC8" i="48"/>
  <c r="AC14" i="48"/>
  <c r="AH12" i="48"/>
  <c r="AH14" i="48"/>
  <c r="S13" i="48"/>
  <c r="K10" i="48"/>
  <c r="AM15" i="48"/>
  <c r="AM14" i="48"/>
  <c r="AM10" i="47"/>
  <c r="AW7" i="47"/>
  <c r="AC7" i="47"/>
  <c r="K7" i="47"/>
  <c r="S9" i="47"/>
  <c r="T7" i="47"/>
  <c r="Y7" i="47"/>
  <c r="X9" i="47"/>
  <c r="AD7" i="47"/>
  <c r="S11" i="47"/>
  <c r="AH9" i="47"/>
  <c r="AS7" i="47"/>
  <c r="AH11" i="47"/>
  <c r="AH8" i="47"/>
  <c r="AM11" i="47"/>
  <c r="AW11" i="47"/>
  <c r="S8" i="47"/>
  <c r="K10" i="47"/>
  <c r="AR7" i="47"/>
  <c r="AX7" i="47"/>
  <c r="S10" i="47"/>
  <c r="AN7" i="47"/>
  <c r="X10" i="47"/>
  <c r="AM9" i="47"/>
  <c r="AX7" i="46"/>
  <c r="T7" i="46"/>
  <c r="X7" i="46"/>
  <c r="AS7" i="46"/>
  <c r="AC7" i="46"/>
  <c r="AH7" i="46"/>
  <c r="AN7" i="46"/>
  <c r="L7" i="45"/>
  <c r="X9" i="45"/>
  <c r="AM9" i="45"/>
  <c r="AX7" i="45"/>
  <c r="M9" i="45"/>
  <c r="S9" i="45"/>
  <c r="AR9" i="45"/>
  <c r="AW9" i="45"/>
  <c r="M8" i="45"/>
  <c r="AC7" i="45"/>
  <c r="S8" i="45"/>
  <c r="X8" i="45"/>
  <c r="S11" i="52"/>
  <c r="H7" i="52"/>
  <c r="S8" i="52"/>
  <c r="X7" i="52"/>
  <c r="AR7" i="52"/>
  <c r="T7" i="52"/>
  <c r="Y7" i="52"/>
  <c r="AD7" i="52"/>
  <c r="AI7" i="52"/>
  <c r="AC7" i="52"/>
  <c r="AN7" i="52"/>
  <c r="AC8" i="52"/>
  <c r="AX7" i="52"/>
  <c r="AH12" i="51"/>
  <c r="AM7" i="51"/>
  <c r="X12" i="51"/>
  <c r="AM8" i="51"/>
  <c r="AD7" i="51"/>
  <c r="X13" i="51"/>
  <c r="AW13" i="51"/>
  <c r="AI7" i="51"/>
  <c r="X14" i="51"/>
  <c r="AC7" i="51"/>
  <c r="AH14" i="51"/>
  <c r="S7" i="51"/>
  <c r="S14" i="51"/>
  <c r="AC12" i="51"/>
  <c r="K10" i="51"/>
  <c r="K12" i="51"/>
  <c r="M12" i="51" s="1"/>
  <c r="AW8" i="51"/>
  <c r="AX7" i="51"/>
  <c r="AC10" i="51"/>
  <c r="AC13" i="51"/>
  <c r="AC14" i="51"/>
  <c r="AR10" i="51"/>
  <c r="AC9" i="51"/>
  <c r="AH7" i="51"/>
  <c r="AS7" i="51"/>
  <c r="K11" i="51"/>
  <c r="S9" i="49"/>
  <c r="AR9" i="49"/>
  <c r="AH8" i="49"/>
  <c r="AR10" i="49"/>
  <c r="X7" i="49"/>
  <c r="AR11" i="49"/>
  <c r="H7" i="49"/>
  <c r="AH7" i="49"/>
  <c r="K7" i="49"/>
  <c r="K15" i="49"/>
  <c r="X8" i="49"/>
  <c r="AC14" i="49"/>
  <c r="AC15" i="49"/>
  <c r="S10" i="49"/>
  <c r="AH11" i="49"/>
  <c r="AN7" i="49"/>
  <c r="AW7" i="49"/>
  <c r="AS7" i="49"/>
  <c r="AW8" i="49"/>
  <c r="AM7" i="49"/>
  <c r="X16" i="49"/>
  <c r="AM8" i="49"/>
  <c r="S7" i="49"/>
  <c r="AR14" i="49"/>
  <c r="AD7" i="49"/>
  <c r="S11" i="49"/>
  <c r="AM16" i="49"/>
  <c r="AR7" i="49"/>
  <c r="Y7" i="49"/>
  <c r="X9" i="49"/>
  <c r="AC7" i="49"/>
  <c r="AX7" i="48"/>
  <c r="AW15" i="48"/>
  <c r="S7" i="48"/>
  <c r="AC12" i="48"/>
  <c r="AC13" i="48"/>
  <c r="H7" i="48"/>
  <c r="S11" i="48"/>
  <c r="AH8" i="48"/>
  <c r="Y7" i="48"/>
  <c r="S8" i="48"/>
  <c r="AM13" i="48"/>
  <c r="S15" i="48"/>
  <c r="AR8" i="48"/>
  <c r="AC15" i="48"/>
  <c r="AH7" i="48"/>
  <c r="K7" i="48"/>
  <c r="AD7" i="48"/>
  <c r="X7" i="48"/>
  <c r="AW7" i="48"/>
  <c r="AC7" i="48"/>
  <c r="AC9" i="48"/>
  <c r="AR7" i="48"/>
  <c r="X8" i="48"/>
  <c r="AW13" i="48"/>
  <c r="AW14" i="48"/>
  <c r="AS7" i="48"/>
  <c r="AC11" i="47"/>
  <c r="AH7" i="47"/>
  <c r="K9" i="47"/>
  <c r="AW9" i="47"/>
  <c r="AW10" i="47"/>
  <c r="S7" i="47"/>
  <c r="AC9" i="47"/>
  <c r="AC10" i="47"/>
  <c r="X8" i="47"/>
  <c r="AM7" i="47"/>
  <c r="X7" i="47"/>
  <c r="H7" i="47"/>
  <c r="S7" i="46"/>
  <c r="AM7" i="46"/>
  <c r="AR7" i="46"/>
  <c r="AW7" i="46"/>
  <c r="AC8" i="45"/>
  <c r="AH7" i="45"/>
  <c r="AH9" i="45"/>
  <c r="AW8" i="45"/>
  <c r="AH8" i="45"/>
  <c r="AM8" i="45"/>
  <c r="AR8" i="45"/>
  <c r="M7" i="45"/>
  <c r="AW7" i="45"/>
  <c r="H7" i="45"/>
  <c r="X7" i="45"/>
  <c r="AC9" i="45"/>
  <c r="AM7" i="45"/>
  <c r="AR7" i="45"/>
  <c r="S7" i="45"/>
  <c r="AH15" i="44"/>
  <c r="AW7" i="44"/>
  <c r="K18" i="44"/>
  <c r="S26" i="44"/>
  <c r="AR24" i="44"/>
  <c r="X29" i="44"/>
  <c r="AH17" i="44"/>
  <c r="AM41" i="44"/>
  <c r="AW9" i="44"/>
  <c r="K36" i="44"/>
  <c r="X10" i="44"/>
  <c r="X30" i="44"/>
  <c r="AM42" i="44"/>
  <c r="AC16" i="44"/>
  <c r="K7" i="44"/>
  <c r="S8" i="44"/>
  <c r="AH34" i="44"/>
  <c r="AR42" i="44"/>
  <c r="S27" i="44"/>
  <c r="AC11" i="44"/>
  <c r="AM19" i="44"/>
  <c r="X8" i="44"/>
  <c r="AH36" i="44"/>
  <c r="AW28" i="44"/>
  <c r="X9" i="44"/>
  <c r="AC33" i="44"/>
  <c r="AM21" i="44"/>
  <c r="AW29" i="44"/>
  <c r="S24" i="44"/>
  <c r="AC14" i="44"/>
  <c r="AH18" i="44"/>
  <c r="AW30" i="44"/>
  <c r="K38" i="44"/>
  <c r="S7" i="44"/>
  <c r="S23" i="44"/>
  <c r="X11" i="44"/>
  <c r="Y7" i="44"/>
  <c r="K9" i="44"/>
  <c r="K40" i="44"/>
  <c r="S22" i="44"/>
  <c r="AR8" i="44"/>
  <c r="AC18" i="44"/>
  <c r="AN7" i="44"/>
  <c r="K27" i="44"/>
  <c r="K31" i="44"/>
  <c r="AM7" i="44"/>
  <c r="S28" i="44"/>
  <c r="AC30" i="44"/>
  <c r="AR22" i="44"/>
  <c r="AC31" i="44"/>
  <c r="AR23" i="44"/>
  <c r="AC12" i="44"/>
  <c r="AW8" i="44"/>
  <c r="K20" i="44"/>
  <c r="K34" i="44"/>
  <c r="S25" i="44"/>
  <c r="AC13" i="44"/>
  <c r="AS7" i="44"/>
  <c r="K29" i="44"/>
  <c r="K41" i="44"/>
  <c r="S18" i="44"/>
  <c r="X16" i="44"/>
  <c r="AM8" i="44"/>
  <c r="AR32" i="44"/>
  <c r="AW36" i="44"/>
  <c r="AX7" i="44"/>
  <c r="S17" i="44"/>
  <c r="X17" i="44"/>
  <c r="AC21" i="44"/>
  <c r="AM9" i="44"/>
  <c r="X18" i="44"/>
  <c r="AC22" i="44"/>
  <c r="AM18" i="44"/>
  <c r="X7" i="44"/>
  <c r="AH35" i="44"/>
  <c r="AW27" i="44"/>
  <c r="X20" i="44"/>
  <c r="AH8" i="44"/>
  <c r="AM12" i="44"/>
  <c r="AW20" i="44"/>
  <c r="AW40" i="44"/>
  <c r="K8" i="44"/>
  <c r="S13" i="44"/>
  <c r="X21" i="44"/>
  <c r="X41" i="44"/>
  <c r="AH9" i="44"/>
  <c r="AH29" i="44"/>
  <c r="AR17" i="44"/>
  <c r="AH10" i="44"/>
  <c r="AR18" i="44"/>
  <c r="AR38" i="44"/>
  <c r="AW42" i="44"/>
  <c r="X26" i="44"/>
  <c r="AM38" i="44"/>
  <c r="AM40" i="44"/>
  <c r="S35" i="44"/>
  <c r="S15" i="44"/>
  <c r="X19" i="44"/>
  <c r="X39" i="44"/>
  <c r="AC23" i="44"/>
  <c r="AH7" i="44"/>
  <c r="AH27" i="44"/>
  <c r="AM11" i="44"/>
  <c r="AR15" i="44"/>
  <c r="S14" i="44"/>
  <c r="AR36" i="44"/>
  <c r="K10" i="44"/>
  <c r="X22" i="44"/>
  <c r="K22" i="44"/>
  <c r="AC7" i="44"/>
  <c r="K26" i="44"/>
  <c r="AH12" i="44"/>
  <c r="AM16" i="44"/>
  <c r="AM36" i="44"/>
  <c r="K14" i="44"/>
  <c r="K28" i="44"/>
  <c r="S29" i="44"/>
  <c r="AC9" i="44"/>
  <c r="F7" i="6"/>
  <c r="F8" i="6"/>
  <c r="AL8" i="6" s="1"/>
  <c r="AL7" i="6"/>
  <c r="F10" i="6"/>
  <c r="AL10" i="6" s="1"/>
  <c r="F11" i="6"/>
  <c r="AL11" i="6" s="1"/>
  <c r="N7" i="6"/>
  <c r="T7" i="6"/>
  <c r="AD7" i="6"/>
  <c r="N13" i="6"/>
  <c r="T8" i="6"/>
  <c r="AD13" i="6"/>
  <c r="N9" i="6"/>
  <c r="N10" i="6"/>
  <c r="T13" i="6"/>
  <c r="T9" i="6"/>
  <c r="AD9" i="6"/>
  <c r="T10" i="6"/>
  <c r="AD12" i="6"/>
  <c r="N12" i="6"/>
  <c r="T12" i="6"/>
  <c r="N8" i="6"/>
  <c r="AD8" i="6"/>
  <c r="K7" i="52"/>
  <c r="K11" i="52"/>
  <c r="K10" i="52"/>
  <c r="K9" i="52"/>
  <c r="K8" i="52"/>
  <c r="M8" i="52" s="1"/>
  <c r="K9" i="51"/>
  <c r="K8" i="51"/>
  <c r="K7" i="51"/>
  <c r="K14" i="49"/>
  <c r="AI7" i="49"/>
  <c r="T7" i="49"/>
  <c r="T7" i="48"/>
  <c r="K9" i="48"/>
  <c r="K8" i="48"/>
  <c r="K14" i="48"/>
  <c r="K13" i="48"/>
  <c r="AI7" i="48"/>
  <c r="K15" i="48"/>
  <c r="K12" i="48"/>
  <c r="M12" i="48" s="1"/>
  <c r="AN7" i="48"/>
  <c r="K8" i="47"/>
  <c r="AI7" i="47"/>
  <c r="Y7" i="46"/>
  <c r="AD7" i="46"/>
  <c r="AI7" i="46"/>
  <c r="K7" i="46"/>
  <c r="T7" i="45"/>
  <c r="K25" i="44"/>
  <c r="AD7" i="44"/>
  <c r="K24" i="44"/>
  <c r="K23" i="44"/>
  <c r="AI7" i="44"/>
  <c r="K21" i="44"/>
  <c r="K19" i="44"/>
  <c r="K39" i="44"/>
  <c r="K37" i="44"/>
  <c r="K15" i="44"/>
  <c r="K35" i="44"/>
  <c r="K13" i="44"/>
  <c r="K33" i="44"/>
  <c r="K12" i="44"/>
  <c r="M12" i="44" s="1"/>
  <c r="K32" i="44"/>
  <c r="T7" i="44"/>
  <c r="G7" i="6"/>
  <c r="J10" i="6"/>
  <c r="P11" i="6"/>
  <c r="J7" i="6"/>
  <c r="J12" i="6"/>
  <c r="L7" i="6"/>
  <c r="L12" i="6"/>
  <c r="R10" i="6"/>
  <c r="V7" i="6"/>
  <c r="J9" i="6"/>
  <c r="J13" i="6"/>
  <c r="L8" i="6"/>
  <c r="P7" i="6"/>
  <c r="P8" i="6"/>
  <c r="P13" i="6"/>
  <c r="R7" i="6"/>
  <c r="R9" i="6"/>
  <c r="R12" i="6"/>
  <c r="V8" i="6"/>
  <c r="V10" i="6"/>
  <c r="V13" i="6"/>
  <c r="X8" i="6"/>
  <c r="X9" i="6"/>
  <c r="X12" i="6"/>
  <c r="Z7" i="6"/>
  <c r="Z9" i="6"/>
  <c r="Z12" i="6"/>
  <c r="AB7" i="6"/>
  <c r="AB9" i="6"/>
  <c r="AB13" i="6"/>
  <c r="AF7" i="6"/>
  <c r="AF8" i="6"/>
  <c r="AF9" i="6"/>
  <c r="AF10" i="6"/>
  <c r="AF12" i="6"/>
  <c r="AF13" i="6"/>
  <c r="AH7" i="6"/>
  <c r="AH8" i="6"/>
  <c r="AH9" i="6"/>
  <c r="AH12" i="6"/>
  <c r="AH13" i="6"/>
  <c r="J8" i="6"/>
  <c r="L9" i="6"/>
  <c r="L13" i="6"/>
  <c r="P9" i="6"/>
  <c r="P12" i="6"/>
  <c r="R8" i="6"/>
  <c r="R13" i="6"/>
  <c r="V9" i="6"/>
  <c r="V12" i="6"/>
  <c r="X7" i="6"/>
  <c r="X10" i="6"/>
  <c r="X13" i="6"/>
  <c r="Z8" i="6"/>
  <c r="Z13" i="6"/>
  <c r="AB8" i="6"/>
  <c r="AB10" i="6"/>
  <c r="AB12" i="6"/>
  <c r="AJ7" i="6"/>
  <c r="AJ8" i="6"/>
  <c r="AJ9" i="6"/>
  <c r="AJ10" i="6"/>
  <c r="AJ12" i="6"/>
  <c r="AJ13" i="6"/>
  <c r="B7" i="7"/>
  <c r="AC13" i="7"/>
  <c r="S13" i="7"/>
  <c r="M13" i="7"/>
  <c r="F13" i="7"/>
  <c r="AL13" i="7" s="1"/>
  <c r="AC12" i="7"/>
  <c r="S12" i="7"/>
  <c r="M12" i="7"/>
  <c r="F12" i="7"/>
  <c r="AL12" i="7" s="1"/>
  <c r="AC11" i="7"/>
  <c r="S11" i="7"/>
  <c r="F11" i="7" s="1"/>
  <c r="AL11" i="7" s="1"/>
  <c r="M11" i="7"/>
  <c r="AC10" i="7"/>
  <c r="S10" i="7"/>
  <c r="M10" i="7"/>
  <c r="F10" i="7"/>
  <c r="AL10" i="7" s="1"/>
  <c r="AC9" i="7"/>
  <c r="S9" i="7"/>
  <c r="M9" i="7"/>
  <c r="F9" i="7"/>
  <c r="AL9" i="7" s="1"/>
  <c r="AC8" i="7"/>
  <c r="S8" i="7"/>
  <c r="M8" i="7"/>
  <c r="F8" i="7"/>
  <c r="AC7" i="7"/>
  <c r="S7" i="7"/>
  <c r="M7" i="7"/>
  <c r="F7" i="7"/>
  <c r="AL7" i="7" s="1"/>
  <c r="U6" i="5"/>
  <c r="U7" i="5"/>
  <c r="U8" i="5"/>
  <c r="U9" i="5"/>
  <c r="U10" i="5"/>
  <c r="U11" i="5"/>
  <c r="M15" i="49" l="1"/>
  <c r="M8" i="49"/>
  <c r="M9" i="49"/>
  <c r="M8" i="47"/>
  <c r="M7" i="46"/>
  <c r="M11" i="52"/>
  <c r="M9" i="52"/>
  <c r="M10" i="52"/>
  <c r="M7" i="52"/>
  <c r="M11" i="51"/>
  <c r="M7" i="51"/>
  <c r="M8" i="51"/>
  <c r="M14" i="51"/>
  <c r="M10" i="51"/>
  <c r="M9" i="51"/>
  <c r="M13" i="51"/>
  <c r="M13" i="49"/>
  <c r="M7" i="49"/>
  <c r="M14" i="49"/>
  <c r="L7" i="49"/>
  <c r="M12" i="49"/>
  <c r="M10" i="49"/>
  <c r="M16" i="49"/>
  <c r="M11" i="49"/>
  <c r="M15" i="48"/>
  <c r="M13" i="48"/>
  <c r="M14" i="48"/>
  <c r="M7" i="48"/>
  <c r="M11" i="48"/>
  <c r="M10" i="48"/>
  <c r="M8" i="48"/>
  <c r="M9" i="48"/>
  <c r="M9" i="47"/>
  <c r="M11" i="47"/>
  <c r="M7" i="47"/>
  <c r="M10" i="47"/>
  <c r="M19" i="44"/>
  <c r="M11" i="44"/>
  <c r="M24" i="44"/>
  <c r="M26" i="44"/>
  <c r="M25" i="44"/>
  <c r="M36" i="44"/>
  <c r="M34" i="44"/>
  <c r="M38" i="44"/>
  <c r="M28" i="44"/>
  <c r="M21" i="44"/>
  <c r="M10" i="44"/>
  <c r="M31" i="44"/>
  <c r="M14" i="44"/>
  <c r="M7" i="44"/>
  <c r="M20" i="44"/>
  <c r="M23" i="44"/>
  <c r="M22" i="44"/>
  <c r="M32" i="44"/>
  <c r="M27" i="44"/>
  <c r="M18" i="44"/>
  <c r="M33" i="44"/>
  <c r="M8" i="44"/>
  <c r="M13" i="44"/>
  <c r="M35" i="44"/>
  <c r="M41" i="44"/>
  <c r="M17" i="44"/>
  <c r="M15" i="44"/>
  <c r="M29" i="44"/>
  <c r="M40" i="44"/>
  <c r="M16" i="44"/>
  <c r="M37" i="44"/>
  <c r="M9" i="44"/>
  <c r="M30" i="44"/>
  <c r="M39" i="44"/>
  <c r="M42" i="44"/>
  <c r="AF11" i="6"/>
  <c r="V11" i="6"/>
  <c r="P10" i="6"/>
  <c r="N11" i="6"/>
  <c r="Z11" i="6"/>
  <c r="AD11" i="6"/>
  <c r="R11" i="6"/>
  <c r="AB11" i="6"/>
  <c r="L11" i="6"/>
  <c r="AJ11" i="6"/>
  <c r="T11" i="6"/>
  <c r="J11" i="6"/>
  <c r="AD10" i="6"/>
  <c r="AH11" i="6"/>
  <c r="Z10" i="6"/>
  <c r="AH10" i="6"/>
  <c r="X11" i="6"/>
  <c r="L10" i="6"/>
  <c r="N7" i="7"/>
  <c r="AL8" i="7"/>
  <c r="N9" i="7"/>
  <c r="N10" i="7"/>
  <c r="N11" i="7"/>
  <c r="N12" i="7"/>
  <c r="N8" i="7"/>
  <c r="N13" i="7"/>
  <c r="L7" i="52"/>
  <c r="L7" i="51"/>
  <c r="L7" i="48"/>
  <c r="L7" i="47"/>
  <c r="L7" i="46"/>
  <c r="L7" i="44"/>
  <c r="J7" i="7"/>
  <c r="J8" i="7"/>
  <c r="J9" i="7"/>
  <c r="J10" i="7"/>
  <c r="J11" i="7"/>
  <c r="J12" i="7"/>
  <c r="J13" i="7"/>
  <c r="G7" i="7"/>
  <c r="L7" i="7"/>
  <c r="L8" i="7"/>
  <c r="L9" i="7"/>
  <c r="L10" i="7"/>
  <c r="L11" i="7"/>
  <c r="L12" i="7"/>
  <c r="L13" i="7"/>
  <c r="P7" i="7"/>
  <c r="P8" i="7"/>
  <c r="P9" i="7"/>
  <c r="P10" i="7"/>
  <c r="P11" i="7"/>
  <c r="P12" i="7"/>
  <c r="P13" i="7"/>
  <c r="R7" i="7"/>
  <c r="R8" i="7"/>
  <c r="R9" i="7"/>
  <c r="R10" i="7"/>
  <c r="R11" i="7"/>
  <c r="R12" i="7"/>
  <c r="R13" i="7"/>
  <c r="T7" i="7"/>
  <c r="T8" i="7"/>
  <c r="T9" i="7"/>
  <c r="T10" i="7"/>
  <c r="T11" i="7"/>
  <c r="T12" i="7"/>
  <c r="T13" i="7"/>
  <c r="V7" i="7"/>
  <c r="V8" i="7"/>
  <c r="V9" i="7"/>
  <c r="V10" i="7"/>
  <c r="V11" i="7"/>
  <c r="V12" i="7"/>
  <c r="V13" i="7"/>
  <c r="X7" i="7"/>
  <c r="X8" i="7"/>
  <c r="X9" i="7"/>
  <c r="X10" i="7"/>
  <c r="X11" i="7"/>
  <c r="X12" i="7"/>
  <c r="X13" i="7"/>
  <c r="Z7" i="7"/>
  <c r="Z8" i="7"/>
  <c r="Z9" i="7"/>
  <c r="Z10" i="7"/>
  <c r="Z11" i="7"/>
  <c r="Z12" i="7"/>
  <c r="Z13" i="7"/>
  <c r="AB7" i="7"/>
  <c r="AB8" i="7"/>
  <c r="AB9" i="7"/>
  <c r="AB10" i="7"/>
  <c r="AB11" i="7"/>
  <c r="AB12" i="7"/>
  <c r="AB13" i="7"/>
  <c r="AD7" i="7"/>
  <c r="AD8" i="7"/>
  <c r="AD9" i="7"/>
  <c r="AD10" i="7"/>
  <c r="AD11" i="7"/>
  <c r="AD12" i="7"/>
  <c r="AD13" i="7"/>
  <c r="AF7" i="7"/>
  <c r="AF8" i="7"/>
  <c r="AF9" i="7"/>
  <c r="AF10" i="7"/>
  <c r="AF11" i="7"/>
  <c r="AF12" i="7"/>
  <c r="AF13" i="7"/>
  <c r="AH7" i="7"/>
  <c r="AH8" i="7"/>
  <c r="AH9" i="7"/>
  <c r="AH10" i="7"/>
  <c r="AH11" i="7"/>
  <c r="AH12" i="7"/>
  <c r="AH13" i="7"/>
  <c r="AJ7" i="7"/>
  <c r="AJ8" i="7"/>
  <c r="AJ9" i="7"/>
  <c r="AJ10" i="7"/>
  <c r="AJ11" i="7"/>
  <c r="AJ12" i="7"/>
  <c r="AJ13" i="7"/>
  <c r="W6" i="5" l="1"/>
  <c r="K11" i="39" s="1"/>
  <c r="T6" i="5"/>
  <c r="K10" i="39" s="1"/>
  <c r="Q6" i="5"/>
  <c r="K9" i="39" s="1"/>
  <c r="N6" i="5"/>
  <c r="K8" i="39" s="1"/>
  <c r="H6" i="5"/>
  <c r="K6" i="39" s="1"/>
  <c r="G33" i="5"/>
  <c r="I33" i="5"/>
  <c r="M33" i="5"/>
  <c r="I8" i="39" s="1"/>
  <c r="P33" i="5"/>
  <c r="I9" i="39" s="1"/>
  <c r="S33" i="5"/>
  <c r="I10" i="39" s="1"/>
  <c r="V33" i="5"/>
  <c r="I34" i="5"/>
  <c r="I35" i="5"/>
  <c r="I36" i="5"/>
  <c r="I37" i="5"/>
  <c r="K37" i="5" s="1"/>
  <c r="I38" i="5"/>
  <c r="I39" i="5"/>
  <c r="B12" i="5"/>
  <c r="G12" i="5"/>
  <c r="I12" i="5"/>
  <c r="M12" i="5"/>
  <c r="P12" i="5"/>
  <c r="S12" i="5"/>
  <c r="V12" i="5"/>
  <c r="I13" i="5"/>
  <c r="I14" i="5"/>
  <c r="I15" i="5"/>
  <c r="I16" i="5"/>
  <c r="I17" i="5"/>
  <c r="I18" i="5"/>
  <c r="B19" i="5"/>
  <c r="B26" i="5" s="1"/>
  <c r="B33" i="5" s="1"/>
  <c r="G19" i="5"/>
  <c r="I19" i="5"/>
  <c r="M19" i="5"/>
  <c r="P19" i="5"/>
  <c r="S19" i="5"/>
  <c r="V19" i="5"/>
  <c r="I20" i="5"/>
  <c r="I21" i="5"/>
  <c r="I22" i="5"/>
  <c r="I23" i="5"/>
  <c r="I24" i="5"/>
  <c r="I25" i="5"/>
  <c r="G26" i="5"/>
  <c r="I26" i="5"/>
  <c r="M26" i="5"/>
  <c r="P26" i="5"/>
  <c r="S26" i="5"/>
  <c r="V26" i="5"/>
  <c r="I27" i="5"/>
  <c r="I28" i="5"/>
  <c r="I29" i="5"/>
  <c r="I30" i="5"/>
  <c r="I31" i="5"/>
  <c r="I32" i="5"/>
  <c r="E6" i="39"/>
  <c r="T6" i="3"/>
  <c r="E10" i="39" s="1"/>
  <c r="N6" i="3"/>
  <c r="E8" i="39" s="1"/>
  <c r="K6" i="3"/>
  <c r="E7" i="39" s="1"/>
  <c r="G12" i="3"/>
  <c r="G26" i="3"/>
  <c r="J26" i="3"/>
  <c r="M26" i="3"/>
  <c r="O26" i="3"/>
  <c r="S26" i="3"/>
  <c r="U26" i="3"/>
  <c r="O27" i="3"/>
  <c r="U27" i="3"/>
  <c r="O28" i="3"/>
  <c r="U28" i="3"/>
  <c r="O29" i="3"/>
  <c r="U29" i="3"/>
  <c r="O30" i="3"/>
  <c r="U30" i="3"/>
  <c r="O31" i="3"/>
  <c r="U31" i="3"/>
  <c r="O32" i="3"/>
  <c r="U32" i="3"/>
  <c r="G33" i="3"/>
  <c r="J33" i="3"/>
  <c r="M33" i="3"/>
  <c r="B8" i="39" s="1"/>
  <c r="O33" i="3"/>
  <c r="S33" i="3"/>
  <c r="B10" i="39" s="1"/>
  <c r="U33" i="3"/>
  <c r="O34" i="3"/>
  <c r="U34" i="3"/>
  <c r="O35" i="3"/>
  <c r="U35" i="3"/>
  <c r="O36" i="3"/>
  <c r="U36" i="3"/>
  <c r="O37" i="3"/>
  <c r="U37" i="3"/>
  <c r="O38" i="3"/>
  <c r="U38" i="3"/>
  <c r="O39" i="3"/>
  <c r="U39" i="3"/>
  <c r="G19" i="3"/>
  <c r="V19" i="3" s="1"/>
  <c r="J19" i="3"/>
  <c r="M19" i="3"/>
  <c r="O19" i="3"/>
  <c r="S19" i="3"/>
  <c r="U19" i="3"/>
  <c r="O20" i="3"/>
  <c r="U20" i="3"/>
  <c r="O21" i="3"/>
  <c r="U21" i="3"/>
  <c r="O22" i="3"/>
  <c r="U22" i="3"/>
  <c r="O23" i="3"/>
  <c r="U23" i="3"/>
  <c r="O24" i="3"/>
  <c r="U24" i="3"/>
  <c r="O25" i="3"/>
  <c r="U25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S12" i="3"/>
  <c r="O12" i="3"/>
  <c r="M12" i="3"/>
  <c r="J12" i="3"/>
  <c r="G5" i="3"/>
  <c r="B12" i="3"/>
  <c r="B19" i="3" s="1"/>
  <c r="B26" i="3" s="1"/>
  <c r="B33" i="3" s="1"/>
  <c r="J5" i="3"/>
  <c r="M5" i="3"/>
  <c r="O5" i="3"/>
  <c r="S5" i="3"/>
  <c r="V5" i="3" s="1"/>
  <c r="U5" i="3"/>
  <c r="D6" i="3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O6" i="3"/>
  <c r="U6" i="3"/>
  <c r="O7" i="3"/>
  <c r="U7" i="3"/>
  <c r="O8" i="3"/>
  <c r="U8" i="3"/>
  <c r="O9" i="3"/>
  <c r="U9" i="3"/>
  <c r="O10" i="3"/>
  <c r="U10" i="3"/>
  <c r="O11" i="3"/>
  <c r="U11" i="3"/>
  <c r="J19" i="5" l="1"/>
  <c r="V33" i="3"/>
  <c r="B11" i="39" s="1"/>
  <c r="P33" i="3"/>
  <c r="B9" i="39" s="1"/>
  <c r="P26" i="3"/>
  <c r="V26" i="3"/>
  <c r="C43" i="41"/>
  <c r="P19" i="3"/>
  <c r="V12" i="3"/>
  <c r="J33" i="5"/>
  <c r="I7" i="39" s="1"/>
  <c r="P5" i="3"/>
  <c r="J12" i="5"/>
  <c r="J26" i="5"/>
  <c r="Q6" i="3"/>
  <c r="E9" i="39" s="1"/>
  <c r="W6" i="3"/>
  <c r="E11" i="39" s="1"/>
  <c r="P12" i="3"/>
  <c r="M26" i="58" l="1"/>
  <c r="M27" i="58"/>
  <c r="M28" i="58"/>
  <c r="M29" i="58"/>
  <c r="U5" i="5" l="1"/>
  <c r="B9" i="40" l="1"/>
  <c r="B8" i="25" l="1"/>
  <c r="A8" i="25"/>
  <c r="S114" i="66" l="1"/>
  <c r="R114" i="66"/>
  <c r="O114" i="66"/>
  <c r="T114" i="66" s="1"/>
  <c r="N114" i="66"/>
  <c r="L114" i="66"/>
  <c r="J114" i="66"/>
  <c r="S113" i="66"/>
  <c r="R113" i="66"/>
  <c r="O113" i="66"/>
  <c r="T113" i="66" s="1"/>
  <c r="N113" i="66"/>
  <c r="L113" i="66"/>
  <c r="J113" i="66"/>
  <c r="S112" i="66"/>
  <c r="R112" i="66"/>
  <c r="O112" i="66"/>
  <c r="T112" i="66" s="1"/>
  <c r="N112" i="66"/>
  <c r="L112" i="66"/>
  <c r="J112" i="66"/>
  <c r="S111" i="66"/>
  <c r="R111" i="66"/>
  <c r="O111" i="66"/>
  <c r="T111" i="66" s="1"/>
  <c r="N111" i="66"/>
  <c r="L111" i="66"/>
  <c r="J111" i="66"/>
  <c r="S110" i="66"/>
  <c r="R110" i="66"/>
  <c r="O110" i="66"/>
  <c r="T110" i="66" s="1"/>
  <c r="N110" i="66"/>
  <c r="L110" i="66"/>
  <c r="J110" i="66"/>
  <c r="S109" i="66"/>
  <c r="R109" i="66"/>
  <c r="O109" i="66"/>
  <c r="T109" i="66" s="1"/>
  <c r="N109" i="66"/>
  <c r="L109" i="66"/>
  <c r="J109" i="66"/>
  <c r="S108" i="66"/>
  <c r="R108" i="66"/>
  <c r="O108" i="66"/>
  <c r="T108" i="66" s="1"/>
  <c r="N108" i="66"/>
  <c r="L108" i="66"/>
  <c r="J108" i="66"/>
  <c r="S107" i="66"/>
  <c r="R107" i="66"/>
  <c r="O107" i="66"/>
  <c r="T107" i="66" s="1"/>
  <c r="N107" i="66"/>
  <c r="L107" i="66"/>
  <c r="J107" i="66"/>
  <c r="S106" i="66"/>
  <c r="R106" i="66"/>
  <c r="O106" i="66"/>
  <c r="T106" i="66" s="1"/>
  <c r="N106" i="66"/>
  <c r="L106" i="66"/>
  <c r="J106" i="66"/>
  <c r="S105" i="66"/>
  <c r="R105" i="66"/>
  <c r="O105" i="66"/>
  <c r="T105" i="66" s="1"/>
  <c r="N105" i="66"/>
  <c r="L105" i="66"/>
  <c r="J105" i="66"/>
  <c r="S104" i="66"/>
  <c r="R104" i="66"/>
  <c r="O104" i="66"/>
  <c r="T104" i="66" s="1"/>
  <c r="N104" i="66"/>
  <c r="L104" i="66"/>
  <c r="J104" i="66"/>
  <c r="S103" i="66"/>
  <c r="R103" i="66"/>
  <c r="O103" i="66"/>
  <c r="T103" i="66" s="1"/>
  <c r="N103" i="66"/>
  <c r="L103" i="66"/>
  <c r="J103" i="66"/>
  <c r="S102" i="66"/>
  <c r="R102" i="66"/>
  <c r="O102" i="66"/>
  <c r="T102" i="66" s="1"/>
  <c r="N102" i="66"/>
  <c r="L102" i="66"/>
  <c r="J102" i="66"/>
  <c r="S101" i="66"/>
  <c r="R101" i="66"/>
  <c r="O101" i="66"/>
  <c r="T101" i="66" s="1"/>
  <c r="N101" i="66"/>
  <c r="L101" i="66"/>
  <c r="J101" i="66"/>
  <c r="S100" i="66"/>
  <c r="R100" i="66"/>
  <c r="O100" i="66"/>
  <c r="T100" i="66" s="1"/>
  <c r="N100" i="66"/>
  <c r="L100" i="66"/>
  <c r="J100" i="66"/>
  <c r="S99" i="66"/>
  <c r="R99" i="66"/>
  <c r="O99" i="66"/>
  <c r="T99" i="66" s="1"/>
  <c r="N99" i="66"/>
  <c r="L99" i="66"/>
  <c r="J99" i="66"/>
  <c r="S98" i="66"/>
  <c r="R98" i="66"/>
  <c r="O98" i="66"/>
  <c r="T98" i="66" s="1"/>
  <c r="N98" i="66"/>
  <c r="L98" i="66"/>
  <c r="J98" i="66"/>
  <c r="S97" i="66"/>
  <c r="R97" i="66"/>
  <c r="O97" i="66"/>
  <c r="T97" i="66" s="1"/>
  <c r="N97" i="66"/>
  <c r="L97" i="66"/>
  <c r="J97" i="66"/>
  <c r="S96" i="66"/>
  <c r="R96" i="66"/>
  <c r="O96" i="66"/>
  <c r="T96" i="66" s="1"/>
  <c r="N96" i="66"/>
  <c r="L96" i="66"/>
  <c r="J96" i="66"/>
  <c r="S95" i="66"/>
  <c r="R95" i="66"/>
  <c r="O95" i="66"/>
  <c r="T95" i="66" s="1"/>
  <c r="N95" i="66"/>
  <c r="L95" i="66"/>
  <c r="J95" i="66"/>
  <c r="S92" i="66"/>
  <c r="R92" i="66"/>
  <c r="O92" i="66"/>
  <c r="T92" i="66" s="1"/>
  <c r="N92" i="66"/>
  <c r="L92" i="66"/>
  <c r="J92" i="66"/>
  <c r="S91" i="66"/>
  <c r="R91" i="66"/>
  <c r="O91" i="66"/>
  <c r="T91" i="66" s="1"/>
  <c r="N91" i="66"/>
  <c r="L91" i="66"/>
  <c r="J91" i="66"/>
  <c r="S90" i="66"/>
  <c r="R90" i="66"/>
  <c r="O90" i="66"/>
  <c r="T90" i="66" s="1"/>
  <c r="N90" i="66"/>
  <c r="L90" i="66"/>
  <c r="J90" i="66"/>
  <c r="S89" i="66"/>
  <c r="R89" i="66"/>
  <c r="O89" i="66"/>
  <c r="T89" i="66" s="1"/>
  <c r="N89" i="66"/>
  <c r="L89" i="66"/>
  <c r="J89" i="66"/>
  <c r="S88" i="66"/>
  <c r="R88" i="66"/>
  <c r="O88" i="66"/>
  <c r="P88" i="66" s="1"/>
  <c r="N88" i="66"/>
  <c r="L88" i="66"/>
  <c r="J88" i="66"/>
  <c r="S87" i="66"/>
  <c r="R87" i="66"/>
  <c r="O87" i="66"/>
  <c r="T87" i="66" s="1"/>
  <c r="N87" i="66"/>
  <c r="L87" i="66"/>
  <c r="J87" i="66"/>
  <c r="S86" i="66"/>
  <c r="R86" i="66"/>
  <c r="O86" i="66"/>
  <c r="T86" i="66" s="1"/>
  <c r="N86" i="66"/>
  <c r="L86" i="66"/>
  <c r="J86" i="66"/>
  <c r="S85" i="66"/>
  <c r="R85" i="66"/>
  <c r="O85" i="66"/>
  <c r="T85" i="66" s="1"/>
  <c r="N85" i="66"/>
  <c r="L85" i="66"/>
  <c r="J85" i="66"/>
  <c r="S84" i="66"/>
  <c r="R84" i="66"/>
  <c r="O84" i="66"/>
  <c r="T84" i="66" s="1"/>
  <c r="N84" i="66"/>
  <c r="L84" i="66"/>
  <c r="J84" i="66"/>
  <c r="S83" i="66"/>
  <c r="R83" i="66"/>
  <c r="O83" i="66"/>
  <c r="T83" i="66" s="1"/>
  <c r="N83" i="66"/>
  <c r="L83" i="66"/>
  <c r="J83" i="66"/>
  <c r="S82" i="66"/>
  <c r="R82" i="66"/>
  <c r="O82" i="66"/>
  <c r="T82" i="66" s="1"/>
  <c r="N82" i="66"/>
  <c r="L82" i="66"/>
  <c r="J82" i="66"/>
  <c r="S81" i="66"/>
  <c r="R81" i="66"/>
  <c r="O81" i="66"/>
  <c r="T81" i="66" s="1"/>
  <c r="N81" i="66"/>
  <c r="L81" i="66"/>
  <c r="J81" i="66"/>
  <c r="S80" i="66"/>
  <c r="R80" i="66"/>
  <c r="O80" i="66"/>
  <c r="P80" i="66" s="1"/>
  <c r="N80" i="66"/>
  <c r="L80" i="66"/>
  <c r="J80" i="66"/>
  <c r="S79" i="66"/>
  <c r="R79" i="66"/>
  <c r="O79" i="66"/>
  <c r="T79" i="66" s="1"/>
  <c r="N79" i="66"/>
  <c r="L79" i="66"/>
  <c r="J79" i="66"/>
  <c r="S78" i="66"/>
  <c r="R78" i="66"/>
  <c r="O78" i="66"/>
  <c r="T78" i="66" s="1"/>
  <c r="N78" i="66"/>
  <c r="L78" i="66"/>
  <c r="J78" i="66"/>
  <c r="S77" i="66"/>
  <c r="R77" i="66"/>
  <c r="O77" i="66"/>
  <c r="T77" i="66" s="1"/>
  <c r="N77" i="66"/>
  <c r="L77" i="66"/>
  <c r="J77" i="66"/>
  <c r="S76" i="66"/>
  <c r="R76" i="66"/>
  <c r="O76" i="66"/>
  <c r="T76" i="66" s="1"/>
  <c r="N76" i="66"/>
  <c r="L76" i="66"/>
  <c r="J76" i="66"/>
  <c r="S75" i="66"/>
  <c r="R75" i="66"/>
  <c r="O75" i="66"/>
  <c r="T75" i="66" s="1"/>
  <c r="N75" i="66"/>
  <c r="L75" i="66"/>
  <c r="J75" i="66"/>
  <c r="S74" i="66"/>
  <c r="R74" i="66"/>
  <c r="O74" i="66"/>
  <c r="P74" i="66" s="1"/>
  <c r="N74" i="66"/>
  <c r="L74" i="66"/>
  <c r="J74" i="66"/>
  <c r="S73" i="66"/>
  <c r="R73" i="66"/>
  <c r="O73" i="66"/>
  <c r="T73" i="66" s="1"/>
  <c r="N73" i="66"/>
  <c r="L73" i="66"/>
  <c r="J73" i="66"/>
  <c r="S70" i="66"/>
  <c r="R70" i="66"/>
  <c r="O70" i="66"/>
  <c r="T70" i="66" s="1"/>
  <c r="N70" i="66"/>
  <c r="L70" i="66"/>
  <c r="J70" i="66"/>
  <c r="S69" i="66"/>
  <c r="R69" i="66"/>
  <c r="O69" i="66"/>
  <c r="T69" i="66" s="1"/>
  <c r="N69" i="66"/>
  <c r="L69" i="66"/>
  <c r="J69" i="66"/>
  <c r="S68" i="66"/>
  <c r="R68" i="66"/>
  <c r="O68" i="66"/>
  <c r="T68" i="66" s="1"/>
  <c r="N68" i="66"/>
  <c r="L68" i="66"/>
  <c r="J68" i="66"/>
  <c r="S67" i="66"/>
  <c r="R67" i="66"/>
  <c r="O67" i="66"/>
  <c r="T67" i="66" s="1"/>
  <c r="N67" i="66"/>
  <c r="L67" i="66"/>
  <c r="J67" i="66"/>
  <c r="S66" i="66"/>
  <c r="R66" i="66"/>
  <c r="O66" i="66"/>
  <c r="T66" i="66" s="1"/>
  <c r="N66" i="66"/>
  <c r="L66" i="66"/>
  <c r="J66" i="66"/>
  <c r="S65" i="66"/>
  <c r="R65" i="66"/>
  <c r="O65" i="66"/>
  <c r="T65" i="66" s="1"/>
  <c r="N65" i="66"/>
  <c r="L65" i="66"/>
  <c r="J65" i="66"/>
  <c r="S64" i="66"/>
  <c r="R64" i="66"/>
  <c r="O64" i="66"/>
  <c r="T64" i="66" s="1"/>
  <c r="N64" i="66"/>
  <c r="L64" i="66"/>
  <c r="J64" i="66"/>
  <c r="S63" i="66"/>
  <c r="R63" i="66"/>
  <c r="O63" i="66"/>
  <c r="T63" i="66" s="1"/>
  <c r="N63" i="66"/>
  <c r="L63" i="66"/>
  <c r="J63" i="66"/>
  <c r="S62" i="66"/>
  <c r="R62" i="66"/>
  <c r="O62" i="66"/>
  <c r="T62" i="66" s="1"/>
  <c r="N62" i="66"/>
  <c r="L62" i="66"/>
  <c r="J62" i="66"/>
  <c r="S61" i="66"/>
  <c r="R61" i="66"/>
  <c r="O61" i="66"/>
  <c r="T61" i="66" s="1"/>
  <c r="N61" i="66"/>
  <c r="L61" i="66"/>
  <c r="J61" i="66"/>
  <c r="S60" i="66"/>
  <c r="R60" i="66"/>
  <c r="O60" i="66"/>
  <c r="T60" i="66" s="1"/>
  <c r="N60" i="66"/>
  <c r="L60" i="66"/>
  <c r="J60" i="66"/>
  <c r="S59" i="66"/>
  <c r="R59" i="66"/>
  <c r="O59" i="66"/>
  <c r="T59" i="66" s="1"/>
  <c r="N59" i="66"/>
  <c r="L59" i="66"/>
  <c r="J59" i="66"/>
  <c r="S58" i="66"/>
  <c r="R58" i="66"/>
  <c r="O58" i="66"/>
  <c r="T58" i="66" s="1"/>
  <c r="N58" i="66"/>
  <c r="L58" i="66"/>
  <c r="J58" i="66"/>
  <c r="S57" i="66"/>
  <c r="R57" i="66"/>
  <c r="O57" i="66"/>
  <c r="T57" i="66" s="1"/>
  <c r="N57" i="66"/>
  <c r="L57" i="66"/>
  <c r="J57" i="66"/>
  <c r="S56" i="66"/>
  <c r="R56" i="66"/>
  <c r="O56" i="66"/>
  <c r="T56" i="66" s="1"/>
  <c r="N56" i="66"/>
  <c r="L56" i="66"/>
  <c r="J56" i="66"/>
  <c r="S55" i="66"/>
  <c r="R55" i="66"/>
  <c r="O55" i="66"/>
  <c r="T55" i="66" s="1"/>
  <c r="N55" i="66"/>
  <c r="L55" i="66"/>
  <c r="J55" i="66"/>
  <c r="S54" i="66"/>
  <c r="R54" i="66"/>
  <c r="O54" i="66"/>
  <c r="T54" i="66" s="1"/>
  <c r="N54" i="66"/>
  <c r="L54" i="66"/>
  <c r="J54" i="66"/>
  <c r="S53" i="66"/>
  <c r="R53" i="66"/>
  <c r="O53" i="66"/>
  <c r="T53" i="66" s="1"/>
  <c r="N53" i="66"/>
  <c r="L53" i="66"/>
  <c r="J53" i="66"/>
  <c r="S52" i="66"/>
  <c r="R52" i="66"/>
  <c r="O52" i="66"/>
  <c r="T52" i="66" s="1"/>
  <c r="N52" i="66"/>
  <c r="L52" i="66"/>
  <c r="J52" i="66"/>
  <c r="S51" i="66"/>
  <c r="R51" i="66"/>
  <c r="O51" i="66"/>
  <c r="T51" i="66" s="1"/>
  <c r="N51" i="66"/>
  <c r="L51" i="66"/>
  <c r="J51" i="66"/>
  <c r="S26" i="66"/>
  <c r="R26" i="66"/>
  <c r="O26" i="66"/>
  <c r="T26" i="66" s="1"/>
  <c r="U26" i="66" s="1"/>
  <c r="N26" i="66"/>
  <c r="L26" i="66"/>
  <c r="J26" i="66"/>
  <c r="S25" i="66"/>
  <c r="R25" i="66"/>
  <c r="O25" i="66"/>
  <c r="T25" i="66" s="1"/>
  <c r="U25" i="66" s="1"/>
  <c r="N25" i="66"/>
  <c r="L25" i="66"/>
  <c r="J25" i="66"/>
  <c r="S24" i="66"/>
  <c r="R24" i="66"/>
  <c r="O24" i="66"/>
  <c r="P24" i="66" s="1"/>
  <c r="N24" i="66"/>
  <c r="L24" i="66"/>
  <c r="J24" i="66"/>
  <c r="S23" i="66"/>
  <c r="R23" i="66"/>
  <c r="O23" i="66"/>
  <c r="P23" i="66" s="1"/>
  <c r="N23" i="66"/>
  <c r="L23" i="66"/>
  <c r="J23" i="66"/>
  <c r="S22" i="66"/>
  <c r="R22" i="66"/>
  <c r="O22" i="66"/>
  <c r="P22" i="66" s="1"/>
  <c r="N22" i="66"/>
  <c r="L22" i="66"/>
  <c r="J22" i="66"/>
  <c r="S21" i="66"/>
  <c r="R21" i="66"/>
  <c r="O21" i="66"/>
  <c r="T21" i="66" s="1"/>
  <c r="N21" i="66"/>
  <c r="L21" i="66"/>
  <c r="J21" i="66"/>
  <c r="S20" i="66"/>
  <c r="R20" i="66"/>
  <c r="O20" i="66"/>
  <c r="T20" i="66" s="1"/>
  <c r="N20" i="66"/>
  <c r="L20" i="66"/>
  <c r="J20" i="66"/>
  <c r="S19" i="66"/>
  <c r="R19" i="66"/>
  <c r="O19" i="66"/>
  <c r="T19" i="66" s="1"/>
  <c r="N19" i="66"/>
  <c r="L19" i="66"/>
  <c r="J19" i="66"/>
  <c r="S18" i="66"/>
  <c r="R18" i="66"/>
  <c r="O18" i="66"/>
  <c r="T18" i="66" s="1"/>
  <c r="N18" i="66"/>
  <c r="L18" i="66"/>
  <c r="J18" i="66"/>
  <c r="S17" i="66"/>
  <c r="R17" i="66"/>
  <c r="O17" i="66"/>
  <c r="T17" i="66" s="1"/>
  <c r="N17" i="66"/>
  <c r="L17" i="66"/>
  <c r="J17" i="66"/>
  <c r="S16" i="66"/>
  <c r="R16" i="66"/>
  <c r="O16" i="66"/>
  <c r="T16" i="66" s="1"/>
  <c r="N16" i="66"/>
  <c r="L16" i="66"/>
  <c r="J16" i="66"/>
  <c r="S15" i="66"/>
  <c r="R15" i="66"/>
  <c r="O15" i="66"/>
  <c r="T15" i="66" s="1"/>
  <c r="N15" i="66"/>
  <c r="L15" i="66"/>
  <c r="J15" i="66"/>
  <c r="S14" i="66"/>
  <c r="R14" i="66"/>
  <c r="O14" i="66"/>
  <c r="T14" i="66" s="1"/>
  <c r="N14" i="66"/>
  <c r="L14" i="66"/>
  <c r="J14" i="66"/>
  <c r="S13" i="66"/>
  <c r="R13" i="66"/>
  <c r="O13" i="66"/>
  <c r="P13" i="66" s="1"/>
  <c r="N13" i="66"/>
  <c r="L13" i="66"/>
  <c r="J13" i="66"/>
  <c r="S12" i="66"/>
  <c r="R12" i="66"/>
  <c r="O12" i="66"/>
  <c r="T12" i="66" s="1"/>
  <c r="N12" i="66"/>
  <c r="L12" i="66"/>
  <c r="J12" i="66"/>
  <c r="S11" i="66"/>
  <c r="R11" i="66"/>
  <c r="O11" i="66"/>
  <c r="T11" i="66" s="1"/>
  <c r="N11" i="66"/>
  <c r="L11" i="66"/>
  <c r="J11" i="66"/>
  <c r="S10" i="66"/>
  <c r="R10" i="66"/>
  <c r="O10" i="66"/>
  <c r="T10" i="66" s="1"/>
  <c r="N10" i="66"/>
  <c r="L10" i="66"/>
  <c r="J10" i="66"/>
  <c r="S9" i="66"/>
  <c r="R9" i="66"/>
  <c r="O9" i="66"/>
  <c r="P9" i="66" s="1"/>
  <c r="N9" i="66"/>
  <c r="L9" i="66"/>
  <c r="J9" i="66"/>
  <c r="S8" i="66"/>
  <c r="R8" i="66"/>
  <c r="O8" i="66"/>
  <c r="P8" i="66" s="1"/>
  <c r="N8" i="66"/>
  <c r="L8" i="66"/>
  <c r="J8" i="66"/>
  <c r="S7" i="66"/>
  <c r="R7" i="66"/>
  <c r="O7" i="66"/>
  <c r="T7" i="66" s="1"/>
  <c r="L7" i="66"/>
  <c r="J7" i="66"/>
  <c r="T23" i="66" l="1"/>
  <c r="U15" i="66"/>
  <c r="U12" i="66"/>
  <c r="T9" i="66"/>
  <c r="U23" i="66"/>
  <c r="U19" i="66"/>
  <c r="U10" i="66"/>
  <c r="U17" i="66"/>
  <c r="U16" i="66"/>
  <c r="U7" i="66"/>
  <c r="P10" i="66"/>
  <c r="T13" i="66"/>
  <c r="U20" i="66"/>
  <c r="U11" i="66"/>
  <c r="U14" i="66"/>
  <c r="P11" i="66"/>
  <c r="U21" i="66"/>
  <c r="U18" i="66"/>
  <c r="T22" i="66"/>
  <c r="P20" i="66"/>
  <c r="T8" i="66"/>
  <c r="P18" i="66"/>
  <c r="P21" i="66"/>
  <c r="P7" i="66"/>
  <c r="P16" i="66"/>
  <c r="P64" i="66"/>
  <c r="P56" i="66"/>
  <c r="P66" i="66"/>
  <c r="P60" i="66"/>
  <c r="P54" i="66"/>
  <c r="P70" i="66"/>
  <c r="P58" i="66"/>
  <c r="P52" i="66"/>
  <c r="P68" i="66"/>
  <c r="P62" i="66"/>
  <c r="U108" i="66"/>
  <c r="F108" i="66"/>
  <c r="U95" i="66"/>
  <c r="F95" i="66"/>
  <c r="U105" i="66"/>
  <c r="F105" i="66"/>
  <c r="U102" i="66"/>
  <c r="F102" i="66"/>
  <c r="U112" i="66"/>
  <c r="F112" i="66"/>
  <c r="U99" i="66"/>
  <c r="F99" i="66"/>
  <c r="U109" i="66"/>
  <c r="F109" i="66"/>
  <c r="U98" i="66"/>
  <c r="F98" i="66"/>
  <c r="U96" i="66"/>
  <c r="F96" i="66"/>
  <c r="U106" i="66"/>
  <c r="F106" i="66"/>
  <c r="U103" i="66"/>
  <c r="F103" i="66"/>
  <c r="U113" i="66"/>
  <c r="F113" i="66"/>
  <c r="U100" i="66"/>
  <c r="F100" i="66"/>
  <c r="U110" i="66"/>
  <c r="F110" i="66"/>
  <c r="U97" i="66"/>
  <c r="F97" i="66"/>
  <c r="U107" i="66"/>
  <c r="F107" i="66"/>
  <c r="U104" i="66"/>
  <c r="F104" i="66"/>
  <c r="U114" i="66"/>
  <c r="F114" i="66"/>
  <c r="U101" i="66"/>
  <c r="F101" i="66"/>
  <c r="U111" i="66"/>
  <c r="F111" i="66"/>
  <c r="P95" i="66"/>
  <c r="P97" i="66"/>
  <c r="P99" i="66"/>
  <c r="P101" i="66"/>
  <c r="P103" i="66"/>
  <c r="P105" i="66"/>
  <c r="P107" i="66"/>
  <c r="P109" i="66"/>
  <c r="P111" i="66"/>
  <c r="P113" i="66"/>
  <c r="P96" i="66"/>
  <c r="P98" i="66"/>
  <c r="P100" i="66"/>
  <c r="P102" i="66"/>
  <c r="P104" i="66"/>
  <c r="P106" i="66"/>
  <c r="P108" i="66"/>
  <c r="P110" i="66"/>
  <c r="P112" i="66"/>
  <c r="P114" i="66"/>
  <c r="U76" i="66"/>
  <c r="F76" i="66"/>
  <c r="U86" i="66"/>
  <c r="F86" i="66"/>
  <c r="U73" i="66"/>
  <c r="F73" i="66"/>
  <c r="U83" i="66"/>
  <c r="F83" i="66"/>
  <c r="U90" i="66"/>
  <c r="F90" i="66"/>
  <c r="U77" i="66"/>
  <c r="F77" i="66"/>
  <c r="U87" i="66"/>
  <c r="F87" i="66"/>
  <c r="U84" i="66"/>
  <c r="F84" i="66"/>
  <c r="U81" i="66"/>
  <c r="F81" i="66"/>
  <c r="U91" i="66"/>
  <c r="F91" i="66"/>
  <c r="U78" i="66"/>
  <c r="F78" i="66"/>
  <c r="U75" i="66"/>
  <c r="F75" i="66"/>
  <c r="U85" i="66"/>
  <c r="F85" i="66"/>
  <c r="U82" i="66"/>
  <c r="F82" i="66"/>
  <c r="U92" i="66"/>
  <c r="F92" i="66"/>
  <c r="U79" i="66"/>
  <c r="F79" i="66"/>
  <c r="U89" i="66"/>
  <c r="F89" i="66"/>
  <c r="P73" i="66"/>
  <c r="P75" i="66"/>
  <c r="P77" i="66"/>
  <c r="P79" i="66"/>
  <c r="P81" i="66"/>
  <c r="P83" i="66"/>
  <c r="P85" i="66"/>
  <c r="P87" i="66"/>
  <c r="P89" i="66"/>
  <c r="P91" i="66"/>
  <c r="P92" i="66"/>
  <c r="P76" i="66"/>
  <c r="P82" i="66"/>
  <c r="P86" i="66"/>
  <c r="P78" i="66"/>
  <c r="P84" i="66"/>
  <c r="P90" i="66"/>
  <c r="T74" i="66"/>
  <c r="T80" i="66"/>
  <c r="T88" i="66"/>
  <c r="U68" i="66"/>
  <c r="F68" i="66"/>
  <c r="U62" i="66"/>
  <c r="F62" i="66"/>
  <c r="U65" i="66"/>
  <c r="F65" i="66"/>
  <c r="U56" i="66"/>
  <c r="F56" i="66"/>
  <c r="U59" i="66"/>
  <c r="F59" i="66"/>
  <c r="U53" i="66"/>
  <c r="F53" i="66"/>
  <c r="U66" i="66"/>
  <c r="F66" i="66"/>
  <c r="U69" i="66"/>
  <c r="F69" i="66"/>
  <c r="U60" i="66"/>
  <c r="F60" i="66"/>
  <c r="U63" i="66"/>
  <c r="F63" i="66"/>
  <c r="U54" i="66"/>
  <c r="F54" i="66"/>
  <c r="U57" i="66"/>
  <c r="F57" i="66"/>
  <c r="U51" i="66"/>
  <c r="F51" i="66"/>
  <c r="U70" i="66"/>
  <c r="F70" i="66"/>
  <c r="U64" i="66"/>
  <c r="F64" i="66"/>
  <c r="U67" i="66"/>
  <c r="F67" i="66"/>
  <c r="U58" i="66"/>
  <c r="F58" i="66"/>
  <c r="U61" i="66"/>
  <c r="F61" i="66"/>
  <c r="U52" i="66"/>
  <c r="F52" i="66"/>
  <c r="U55" i="66"/>
  <c r="F55" i="66"/>
  <c r="P51" i="66"/>
  <c r="P53" i="66"/>
  <c r="P55" i="66"/>
  <c r="P57" i="66"/>
  <c r="P59" i="66"/>
  <c r="P61" i="66"/>
  <c r="P63" i="66"/>
  <c r="P65" i="66"/>
  <c r="P67" i="66"/>
  <c r="P69" i="66"/>
  <c r="T24" i="66"/>
  <c r="P25" i="66"/>
  <c r="P14" i="66"/>
  <c r="P12" i="66"/>
  <c r="P19" i="66"/>
  <c r="P17" i="66"/>
  <c r="P26" i="66"/>
  <c r="P15" i="66"/>
  <c r="U13" i="66" l="1"/>
  <c r="U22" i="66"/>
  <c r="U9" i="66"/>
  <c r="U24" i="66"/>
  <c r="U8" i="66"/>
  <c r="U88" i="66"/>
  <c r="F88" i="66"/>
  <c r="U80" i="66"/>
  <c r="F80" i="66"/>
  <c r="U74" i="66"/>
  <c r="F74" i="66"/>
  <c r="G5" i="5" l="1"/>
  <c r="I5" i="5"/>
  <c r="M5" i="5"/>
  <c r="P5" i="5"/>
  <c r="S5" i="5"/>
  <c r="V5" i="5"/>
  <c r="I6" i="5"/>
  <c r="K6" i="5" s="1"/>
  <c r="I7" i="5"/>
  <c r="I8" i="5"/>
  <c r="I9" i="5"/>
  <c r="I10" i="5"/>
  <c r="I11" i="5"/>
  <c r="K7" i="39" l="1"/>
  <c r="I7" i="13"/>
  <c r="J5" i="5"/>
  <c r="P15" i="65" l="1"/>
  <c r="K11" i="13" s="1"/>
  <c r="AM98" i="66" l="1"/>
  <c r="AL98" i="66"/>
  <c r="AK98" i="66"/>
  <c r="AJ98" i="66"/>
  <c r="AI98" i="66"/>
  <c r="AH98" i="66"/>
  <c r="AG98" i="66"/>
  <c r="AM97" i="66"/>
  <c r="AL97" i="66"/>
  <c r="AK97" i="66"/>
  <c r="AJ97" i="66"/>
  <c r="AI97" i="66"/>
  <c r="AH97" i="66"/>
  <c r="AG97" i="66"/>
  <c r="AF97" i="66"/>
  <c r="AM76" i="66"/>
  <c r="AL76" i="66"/>
  <c r="AK76" i="66"/>
  <c r="AJ76" i="66"/>
  <c r="AI76" i="66"/>
  <c r="AH76" i="66"/>
  <c r="AG76" i="66"/>
  <c r="AM75" i="66"/>
  <c r="AL75" i="66"/>
  <c r="AK75" i="66"/>
  <c r="AJ75" i="66"/>
  <c r="AI75" i="66"/>
  <c r="AH75" i="66"/>
  <c r="AG75" i="66"/>
  <c r="AF75" i="66"/>
  <c r="AM54" i="66"/>
  <c r="AL54" i="66"/>
  <c r="AK54" i="66"/>
  <c r="AJ54" i="66"/>
  <c r="AI54" i="66"/>
  <c r="AH54" i="66"/>
  <c r="AG54" i="66"/>
  <c r="AM53" i="66"/>
  <c r="AM55" i="66" s="1"/>
  <c r="AL53" i="66"/>
  <c r="AL55" i="66" s="1"/>
  <c r="AK53" i="66"/>
  <c r="AK55" i="66" s="1"/>
  <c r="AJ53" i="66"/>
  <c r="AI53" i="66"/>
  <c r="AH53" i="66"/>
  <c r="AG53" i="66"/>
  <c r="AF53" i="66"/>
  <c r="S48" i="66"/>
  <c r="R48" i="66"/>
  <c r="O48" i="66"/>
  <c r="N48" i="66"/>
  <c r="L48" i="66"/>
  <c r="J48" i="66"/>
  <c r="S47" i="66"/>
  <c r="R47" i="66"/>
  <c r="O47" i="66"/>
  <c r="P47" i="66" s="1"/>
  <c r="N47" i="66"/>
  <c r="L47" i="66"/>
  <c r="J47" i="66"/>
  <c r="S46" i="66"/>
  <c r="R46" i="66"/>
  <c r="O46" i="66"/>
  <c r="N46" i="66"/>
  <c r="L46" i="66"/>
  <c r="J46" i="66"/>
  <c r="S45" i="66"/>
  <c r="R45" i="66"/>
  <c r="O45" i="66"/>
  <c r="P45" i="66" s="1"/>
  <c r="N45" i="66"/>
  <c r="L45" i="66"/>
  <c r="J45" i="66"/>
  <c r="S44" i="66"/>
  <c r="R44" i="66"/>
  <c r="O44" i="66"/>
  <c r="N44" i="66"/>
  <c r="L44" i="66"/>
  <c r="J44" i="66"/>
  <c r="S43" i="66"/>
  <c r="R43" i="66"/>
  <c r="O43" i="66"/>
  <c r="P43" i="66" s="1"/>
  <c r="N43" i="66"/>
  <c r="L43" i="66"/>
  <c r="J43" i="66"/>
  <c r="S42" i="66"/>
  <c r="R42" i="66"/>
  <c r="O42" i="66"/>
  <c r="N42" i="66"/>
  <c r="L42" i="66"/>
  <c r="J42" i="66"/>
  <c r="S41" i="66"/>
  <c r="R41" i="66"/>
  <c r="O41" i="66"/>
  <c r="P41" i="66" s="1"/>
  <c r="N41" i="66"/>
  <c r="L41" i="66"/>
  <c r="J41" i="66"/>
  <c r="S40" i="66"/>
  <c r="R40" i="66"/>
  <c r="O40" i="66"/>
  <c r="N40" i="66"/>
  <c r="L40" i="66"/>
  <c r="J40" i="66"/>
  <c r="S39" i="66"/>
  <c r="R39" i="66"/>
  <c r="O39" i="66"/>
  <c r="P39" i="66" s="1"/>
  <c r="N39" i="66"/>
  <c r="L39" i="66"/>
  <c r="J39" i="66"/>
  <c r="S38" i="66"/>
  <c r="R38" i="66"/>
  <c r="O38" i="66"/>
  <c r="N38" i="66"/>
  <c r="L38" i="66"/>
  <c r="J38" i="66"/>
  <c r="S37" i="66"/>
  <c r="R37" i="66"/>
  <c r="O37" i="66"/>
  <c r="P37" i="66" s="1"/>
  <c r="N37" i="66"/>
  <c r="L37" i="66"/>
  <c r="J37" i="66"/>
  <c r="S36" i="66"/>
  <c r="R36" i="66"/>
  <c r="O36" i="66"/>
  <c r="N36" i="66"/>
  <c r="L36" i="66"/>
  <c r="J36" i="66"/>
  <c r="S35" i="66"/>
  <c r="R35" i="66"/>
  <c r="O35" i="66"/>
  <c r="P35" i="66" s="1"/>
  <c r="N35" i="66"/>
  <c r="L35" i="66"/>
  <c r="J35" i="66"/>
  <c r="S34" i="66"/>
  <c r="R34" i="66"/>
  <c r="O34" i="66"/>
  <c r="N34" i="66"/>
  <c r="L34" i="66"/>
  <c r="J34" i="66"/>
  <c r="S33" i="66"/>
  <c r="R33" i="66"/>
  <c r="O33" i="66"/>
  <c r="P33" i="66" s="1"/>
  <c r="N33" i="66"/>
  <c r="L33" i="66"/>
  <c r="J33" i="66"/>
  <c r="AM32" i="66"/>
  <c r="AI32" i="66"/>
  <c r="AH32" i="66"/>
  <c r="AG32" i="66"/>
  <c r="S32" i="66"/>
  <c r="R32" i="66"/>
  <c r="O32" i="66"/>
  <c r="P32" i="66" s="1"/>
  <c r="N32" i="66"/>
  <c r="L32" i="66"/>
  <c r="J32" i="66"/>
  <c r="AM31" i="66"/>
  <c r="AL31" i="66"/>
  <c r="AK31" i="66"/>
  <c r="AJ31" i="66"/>
  <c r="AI31" i="66"/>
  <c r="AH31" i="66"/>
  <c r="AG31" i="66"/>
  <c r="AF31" i="66"/>
  <c r="S31" i="66"/>
  <c r="R31" i="66"/>
  <c r="O31" i="66"/>
  <c r="P31" i="66" s="1"/>
  <c r="N31" i="66"/>
  <c r="L31" i="66"/>
  <c r="J31" i="66"/>
  <c r="S30" i="66"/>
  <c r="R30" i="66"/>
  <c r="O30" i="66"/>
  <c r="T30" i="66" s="1"/>
  <c r="U30" i="66" s="1"/>
  <c r="N30" i="66"/>
  <c r="L30" i="66"/>
  <c r="J30" i="66"/>
  <c r="S29" i="66"/>
  <c r="R29" i="66"/>
  <c r="O29" i="66"/>
  <c r="P29" i="66" s="1"/>
  <c r="N29" i="66"/>
  <c r="L29" i="66"/>
  <c r="J29" i="66"/>
  <c r="AM8" i="66"/>
  <c r="AL8" i="66"/>
  <c r="AK8" i="66"/>
  <c r="AJ8" i="66"/>
  <c r="AI8" i="66"/>
  <c r="AH8" i="66"/>
  <c r="AG8" i="66"/>
  <c r="AM7" i="66"/>
  <c r="AL7" i="66"/>
  <c r="AK7" i="66"/>
  <c r="AJ7" i="66"/>
  <c r="AI7" i="66"/>
  <c r="AH7" i="66"/>
  <c r="AG7" i="66"/>
  <c r="AF7" i="66"/>
  <c r="AM99" i="66" l="1"/>
  <c r="AJ77" i="66"/>
  <c r="AG9" i="66"/>
  <c r="AK99" i="66"/>
  <c r="AI33" i="66"/>
  <c r="AL33" i="66"/>
  <c r="F30" i="66"/>
  <c r="AH9" i="66"/>
  <c r="AG77" i="66"/>
  <c r="AL99" i="66"/>
  <c r="AK77" i="66"/>
  <c r="AG55" i="66"/>
  <c r="AL77" i="66"/>
  <c r="AH55" i="66"/>
  <c r="AM77" i="66"/>
  <c r="AI55" i="66"/>
  <c r="AJ55" i="66"/>
  <c r="AI112" i="66"/>
  <c r="T33" i="66"/>
  <c r="T47" i="66"/>
  <c r="F47" i="66" s="1"/>
  <c r="T37" i="66"/>
  <c r="F37" i="66" s="1"/>
  <c r="T41" i="66"/>
  <c r="F41" i="66" s="1"/>
  <c r="T43" i="66"/>
  <c r="F43" i="66" s="1"/>
  <c r="T35" i="66"/>
  <c r="F35" i="66" s="1"/>
  <c r="T45" i="66"/>
  <c r="F45" i="66" s="1"/>
  <c r="T39" i="66"/>
  <c r="F39" i="66" s="1"/>
  <c r="AL9" i="66"/>
  <c r="AJ9" i="66"/>
  <c r="AM9" i="66"/>
  <c r="AK9" i="66"/>
  <c r="AF112" i="66"/>
  <c r="AK112" i="66"/>
  <c r="AM113" i="66"/>
  <c r="AI9" i="66"/>
  <c r="T40" i="66"/>
  <c r="P40" i="66"/>
  <c r="AJ33" i="66"/>
  <c r="AJ112" i="66"/>
  <c r="T42" i="66"/>
  <c r="P42" i="66"/>
  <c r="AG33" i="66"/>
  <c r="AH33" i="66"/>
  <c r="AK33" i="66"/>
  <c r="AG113" i="66"/>
  <c r="AM33" i="66"/>
  <c r="U43" i="66"/>
  <c r="AG99" i="66"/>
  <c r="AM112" i="66"/>
  <c r="T38" i="66"/>
  <c r="P38" i="66"/>
  <c r="T48" i="66"/>
  <c r="P48" i="66"/>
  <c r="P30" i="66"/>
  <c r="T36" i="66"/>
  <c r="P36" i="66"/>
  <c r="T46" i="66"/>
  <c r="P46" i="66"/>
  <c r="AH99" i="66"/>
  <c r="AL112" i="66"/>
  <c r="AH113" i="66"/>
  <c r="T34" i="66"/>
  <c r="P34" i="66"/>
  <c r="T44" i="66"/>
  <c r="P44" i="66"/>
  <c r="AH77" i="66"/>
  <c r="AI99" i="66"/>
  <c r="AG112" i="66"/>
  <c r="AI113" i="66"/>
  <c r="AI77" i="66"/>
  <c r="AJ99" i="66"/>
  <c r="AH112" i="66"/>
  <c r="T32" i="66"/>
  <c r="T29" i="66"/>
  <c r="T31" i="66"/>
  <c r="AK114" i="66" l="1"/>
  <c r="U47" i="66"/>
  <c r="AI114" i="66"/>
  <c r="U41" i="66"/>
  <c r="U37" i="66"/>
  <c r="U35" i="66"/>
  <c r="AL114" i="66"/>
  <c r="AG114" i="66"/>
  <c r="AH114" i="66"/>
  <c r="U33" i="66"/>
  <c r="F33" i="66"/>
  <c r="U39" i="66"/>
  <c r="U45" i="66"/>
  <c r="AM114" i="66"/>
  <c r="AJ114" i="66"/>
  <c r="U48" i="66"/>
  <c r="F48" i="66"/>
  <c r="U29" i="66"/>
  <c r="F29" i="66"/>
  <c r="AK32" i="66" s="1"/>
  <c r="U46" i="66"/>
  <c r="F46" i="66"/>
  <c r="U36" i="66"/>
  <c r="F36" i="66"/>
  <c r="F44" i="66"/>
  <c r="U44" i="66"/>
  <c r="U38" i="66"/>
  <c r="F38" i="66"/>
  <c r="F42" i="66"/>
  <c r="U42" i="66"/>
  <c r="U31" i="66"/>
  <c r="F31" i="66"/>
  <c r="U34" i="66"/>
  <c r="F34" i="66"/>
  <c r="U32" i="66"/>
  <c r="F32" i="66"/>
  <c r="F40" i="66"/>
  <c r="U40" i="66"/>
  <c r="AL32" i="66" l="1"/>
  <c r="AL113" i="66" s="1"/>
  <c r="AK113" i="66"/>
  <c r="AJ32" i="66"/>
  <c r="AJ113" i="66" l="1"/>
  <c r="G11" i="65" l="1"/>
  <c r="B36" i="13"/>
  <c r="D36" i="13" s="1"/>
  <c r="B35" i="13"/>
  <c r="D35" i="13" s="1"/>
  <c r="B34" i="13"/>
  <c r="D34" i="13" s="1"/>
  <c r="B33" i="13"/>
  <c r="D33" i="13" s="1"/>
  <c r="B32" i="13"/>
  <c r="D32" i="13" s="1"/>
  <c r="B31" i="13"/>
  <c r="D31" i="13" s="1"/>
  <c r="B30" i="13"/>
  <c r="D30" i="13" s="1"/>
  <c r="B29" i="13"/>
  <c r="D29" i="13" s="1"/>
  <c r="B28" i="13"/>
  <c r="D28" i="13" s="1"/>
  <c r="D24" i="13"/>
  <c r="J24" i="13"/>
  <c r="AH97" i="63" l="1"/>
  <c r="AI97" i="63"/>
  <c r="AJ97" i="63"/>
  <c r="AK97" i="63"/>
  <c r="AL97" i="63"/>
  <c r="AM97" i="63"/>
  <c r="AH98" i="63"/>
  <c r="AI98" i="63"/>
  <c r="AJ98" i="63"/>
  <c r="AK98" i="63"/>
  <c r="AL98" i="63"/>
  <c r="AM98" i="63"/>
  <c r="AG98" i="63"/>
  <c r="AG97" i="63"/>
  <c r="AF97" i="63"/>
  <c r="AH76" i="63"/>
  <c r="AI76" i="63"/>
  <c r="AJ76" i="63"/>
  <c r="AK76" i="63"/>
  <c r="AL76" i="63"/>
  <c r="AM76" i="63"/>
  <c r="AG76" i="63"/>
  <c r="AH75" i="63"/>
  <c r="AI75" i="63"/>
  <c r="AJ75" i="63"/>
  <c r="AK75" i="63"/>
  <c r="AL75" i="63"/>
  <c r="AM75" i="63"/>
  <c r="AG75" i="63"/>
  <c r="AF75" i="63"/>
  <c r="AG54" i="63"/>
  <c r="AG53" i="63"/>
  <c r="AH53" i="63"/>
  <c r="AI53" i="63"/>
  <c r="AJ53" i="63"/>
  <c r="AK53" i="63"/>
  <c r="AL53" i="63"/>
  <c r="AM53" i="63"/>
  <c r="AH54" i="63"/>
  <c r="AI54" i="63"/>
  <c r="AJ54" i="63"/>
  <c r="AK54" i="63"/>
  <c r="AL54" i="63"/>
  <c r="AM54" i="63"/>
  <c r="AF53" i="63"/>
  <c r="AH31" i="63"/>
  <c r="AI31" i="63"/>
  <c r="AJ31" i="63"/>
  <c r="AK31" i="63"/>
  <c r="AL31" i="63"/>
  <c r="AM31" i="63"/>
  <c r="AH32" i="63"/>
  <c r="AJ32" i="63"/>
  <c r="AM32" i="63"/>
  <c r="AG31" i="63"/>
  <c r="AH8" i="63"/>
  <c r="AI8" i="63"/>
  <c r="AJ8" i="63"/>
  <c r="AK8" i="63"/>
  <c r="AL8" i="63"/>
  <c r="AM8" i="63"/>
  <c r="AG8" i="63"/>
  <c r="AH7" i="63"/>
  <c r="AI7" i="63"/>
  <c r="AJ7" i="63"/>
  <c r="AK7" i="63"/>
  <c r="AL7" i="63"/>
  <c r="AM7" i="63"/>
  <c r="AG7" i="63"/>
  <c r="AL32" i="63"/>
  <c r="AK32" i="63"/>
  <c r="AF31" i="63"/>
  <c r="AI32" i="63"/>
  <c r="AF7" i="63"/>
  <c r="AG55" i="63" l="1"/>
  <c r="AF112" i="63"/>
  <c r="AG112" i="63"/>
  <c r="AG114" i="63" s="1"/>
  <c r="AM113" i="63"/>
  <c r="AL113" i="63"/>
  <c r="AK113" i="63"/>
  <c r="AJ113" i="63"/>
  <c r="AI113" i="63"/>
  <c r="AH113" i="63"/>
  <c r="AM112" i="63"/>
  <c r="AM114" i="63" s="1"/>
  <c r="AL112" i="63"/>
  <c r="AL114" i="63" s="1"/>
  <c r="AK112" i="63"/>
  <c r="AK114" i="63" s="1"/>
  <c r="AJ112" i="63"/>
  <c r="AJ114" i="63" s="1"/>
  <c r="AI112" i="63"/>
  <c r="AI114" i="63" s="1"/>
  <c r="AH112" i="63"/>
  <c r="AH114" i="63" s="1"/>
  <c r="C15" i="39"/>
  <c r="AG32" i="63"/>
  <c r="AG9" i="63"/>
  <c r="D10" i="13"/>
  <c r="D8" i="13"/>
  <c r="AG99" i="63"/>
  <c r="AJ99" i="63"/>
  <c r="AK99" i="63"/>
  <c r="AI55" i="63"/>
  <c r="AG77" i="63"/>
  <c r="AH99" i="63"/>
  <c r="AI99" i="63"/>
  <c r="AJ77" i="63"/>
  <c r="AI77" i="63"/>
  <c r="AK33" i="63"/>
  <c r="AH77" i="63"/>
  <c r="AH55" i="63"/>
  <c r="AK55" i="63"/>
  <c r="AL99" i="63"/>
  <c r="AK77" i="63"/>
  <c r="AJ55" i="63"/>
  <c r="AM99" i="63"/>
  <c r="AM77" i="63"/>
  <c r="AL77" i="63"/>
  <c r="AI33" i="63"/>
  <c r="AG33" i="63"/>
  <c r="AJ33" i="63"/>
  <c r="AM55" i="63"/>
  <c r="AH33" i="63"/>
  <c r="AL55" i="63"/>
  <c r="AM33" i="63"/>
  <c r="AL33" i="63"/>
  <c r="AL9" i="63"/>
  <c r="AM9" i="63"/>
  <c r="AJ9" i="63"/>
  <c r="AK9" i="63"/>
  <c r="AH9" i="63"/>
  <c r="AI9" i="63"/>
  <c r="AG113" i="63" l="1"/>
  <c r="E15" i="39"/>
  <c r="I18" i="13"/>
  <c r="K18" i="13" s="1"/>
  <c r="D7" i="13"/>
  <c r="I15" i="13"/>
  <c r="I16" i="13"/>
  <c r="K16" i="13" s="1"/>
  <c r="I17" i="13"/>
  <c r="K17" i="13" s="1"/>
  <c r="I19" i="13"/>
  <c r="K19" i="13" s="1"/>
  <c r="I20" i="13"/>
  <c r="K20" i="13" s="1"/>
  <c r="I21" i="13"/>
  <c r="K21" i="13" s="1"/>
  <c r="I23" i="13"/>
  <c r="K23" i="13" s="1"/>
  <c r="I22" i="13"/>
  <c r="K22" i="13" s="1"/>
  <c r="D9" i="13"/>
  <c r="D11" i="13"/>
  <c r="D6" i="13"/>
  <c r="C21" i="13"/>
  <c r="E21" i="13" s="1"/>
  <c r="C22" i="13"/>
  <c r="E22" i="13" s="1"/>
  <c r="C18" i="13"/>
  <c r="E18" i="13" s="1"/>
  <c r="C23" i="13"/>
  <c r="E23" i="13" s="1"/>
  <c r="C20" i="13"/>
  <c r="E20" i="13" s="1"/>
  <c r="C17" i="13"/>
  <c r="E17" i="13" s="1"/>
  <c r="K15" i="13" l="1"/>
  <c r="I24" i="13"/>
  <c r="C15" i="13" l="1"/>
  <c r="C16" i="13"/>
  <c r="E16" i="13" s="1"/>
  <c r="C19" i="13"/>
  <c r="E19" i="13" s="1"/>
  <c r="C24" i="13" l="1"/>
  <c r="E15" i="13"/>
  <c r="P45" i="65" l="1"/>
  <c r="E36" i="13" s="1"/>
  <c r="P44" i="65"/>
  <c r="E35" i="13" s="1"/>
  <c r="P43" i="65"/>
  <c r="E34" i="13" s="1"/>
  <c r="P42" i="65"/>
  <c r="E33" i="13" s="1"/>
  <c r="P41" i="65"/>
  <c r="E32" i="13" s="1"/>
  <c r="P40" i="65"/>
  <c r="E31" i="13" s="1"/>
  <c r="P39" i="65"/>
  <c r="E30" i="13" s="1"/>
  <c r="P38" i="65"/>
  <c r="E29" i="13" s="1"/>
  <c r="P37" i="65"/>
  <c r="E28" i="13" s="1"/>
  <c r="P35" i="65"/>
  <c r="P34" i="65"/>
  <c r="P33" i="65"/>
  <c r="P32" i="65"/>
  <c r="P31" i="65"/>
  <c r="P30" i="65"/>
  <c r="P29" i="65"/>
  <c r="P28" i="65"/>
  <c r="P27" i="65"/>
  <c r="P25" i="65"/>
  <c r="P24" i="65"/>
  <c r="P23" i="65"/>
  <c r="P22" i="65"/>
  <c r="P21" i="65"/>
  <c r="P20" i="65"/>
  <c r="P19" i="65"/>
  <c r="P18" i="65"/>
  <c r="P17" i="65"/>
  <c r="P14" i="65"/>
  <c r="K10" i="13" s="1"/>
  <c r="P13" i="65"/>
  <c r="K9" i="13" s="1"/>
  <c r="P12" i="65"/>
  <c r="K8" i="13" s="1"/>
  <c r="O11" i="65"/>
  <c r="N11" i="65"/>
  <c r="M11" i="65"/>
  <c r="L11" i="65"/>
  <c r="K11" i="65"/>
  <c r="P11" i="65"/>
  <c r="K7" i="13" s="1"/>
  <c r="F11" i="65"/>
  <c r="E11" i="65"/>
  <c r="D11" i="65"/>
  <c r="P10" i="65"/>
  <c r="K6" i="13" s="1"/>
  <c r="P9" i="65"/>
  <c r="O7" i="65"/>
  <c r="N7" i="65"/>
  <c r="M7" i="65"/>
  <c r="L7" i="65"/>
  <c r="K7" i="65"/>
  <c r="P7" i="65"/>
  <c r="E11" i="13" s="1"/>
  <c r="P6" i="65"/>
  <c r="E10" i="13" s="1"/>
  <c r="O5" i="65"/>
  <c r="N5" i="65"/>
  <c r="M5" i="65"/>
  <c r="P5" i="65" s="1"/>
  <c r="E9" i="13" s="1"/>
  <c r="L5" i="65"/>
  <c r="K5" i="65"/>
  <c r="P4" i="65"/>
  <c r="E8" i="13" s="1"/>
  <c r="P3" i="65"/>
  <c r="E7" i="13" s="1"/>
  <c r="P2" i="65"/>
  <c r="D28" i="39" l="1"/>
  <c r="E34" i="39" l="1"/>
  <c r="D6" i="5" l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C10" i="40" l="1"/>
  <c r="C9" i="40"/>
  <c r="D30" i="39" l="1"/>
  <c r="E28" i="39" l="1"/>
  <c r="C21" i="39" l="1"/>
  <c r="C22" i="39"/>
  <c r="C17" i="39"/>
  <c r="C20" i="39"/>
  <c r="C23" i="39"/>
  <c r="C19" i="39"/>
  <c r="C18" i="39"/>
  <c r="C16" i="39"/>
  <c r="C24" i="39" l="1"/>
  <c r="K22" i="57" l="1"/>
  <c r="E29" i="39" l="1"/>
  <c r="D8" i="39" l="1"/>
  <c r="M10" i="58" l="1"/>
  <c r="M11" i="58"/>
  <c r="M12" i="58"/>
  <c r="M13" i="58"/>
  <c r="M9" i="58"/>
  <c r="M29" i="60" l="1"/>
  <c r="M29" i="61" l="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M26" i="60" l="1"/>
  <c r="M27" i="60"/>
  <c r="M28" i="60"/>
  <c r="M21" i="58"/>
  <c r="M20" i="58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0" i="57"/>
  <c r="M9" i="57"/>
  <c r="M14" i="57" l="1"/>
  <c r="K14" i="57" s="1"/>
  <c r="K22" i="58"/>
  <c r="M22" i="57"/>
  <c r="M38" i="58"/>
  <c r="K38" i="58" s="1"/>
  <c r="M30" i="57"/>
  <c r="K30" i="57" s="1"/>
  <c r="M14" i="60"/>
  <c r="M22" i="60"/>
  <c r="M14" i="58"/>
  <c r="K14" i="58" s="1"/>
  <c r="K22" i="60" l="1"/>
  <c r="K22" i="59"/>
  <c r="K38" i="60"/>
  <c r="K30" i="59"/>
  <c r="K14" i="60"/>
  <c r="K30" i="60"/>
  <c r="K14" i="59"/>
  <c r="J24" i="39" l="1"/>
  <c r="D24" i="39"/>
  <c r="I15" i="39" l="1"/>
  <c r="D34" i="39" l="1"/>
  <c r="D33" i="39" l="1"/>
  <c r="D31" i="39"/>
  <c r="D32" i="39"/>
  <c r="D36" i="39"/>
  <c r="D35" i="39"/>
  <c r="E36" i="39"/>
  <c r="E31" i="39" l="1"/>
  <c r="D29" i="39"/>
  <c r="E30" i="39" l="1"/>
  <c r="E32" i="39"/>
  <c r="E33" i="39"/>
  <c r="E35" i="39"/>
  <c r="Q19" i="1" l="1"/>
  <c r="L20" i="21" l="1"/>
  <c r="L19" i="21" l="1"/>
  <c r="L18" i="21"/>
  <c r="L17" i="21"/>
  <c r="L16" i="21"/>
  <c r="L10" i="21"/>
  <c r="L11" i="21"/>
  <c r="L12" i="21"/>
  <c r="L13" i="21"/>
  <c r="L9" i="21"/>
  <c r="D6" i="39" l="1"/>
  <c r="D10" i="39"/>
  <c r="E16" i="39"/>
  <c r="E22" i="39"/>
  <c r="E18" i="39"/>
  <c r="E21" i="39"/>
  <c r="E20" i="39"/>
  <c r="E17" i="39"/>
  <c r="E23" i="39"/>
  <c r="E19" i="39"/>
  <c r="I16" i="39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K16" i="39" l="1"/>
  <c r="I24" i="39"/>
  <c r="D9" i="39"/>
  <c r="K15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</calcChain>
</file>

<file path=xl/comments1.xml><?xml version="1.0" encoding="utf-8"?>
<comments xmlns="http://schemas.openxmlformats.org/spreadsheetml/2006/main">
  <authors>
    <author>陳佳萱</author>
  </authors>
  <commentList>
    <comment ref="C9" authorId="0" shapeId="0">
      <text>
        <r>
          <rPr>
            <b/>
            <sz val="9"/>
            <color indexed="81"/>
            <rFont val="細明體"/>
            <family val="3"/>
            <charset val="136"/>
          </rPr>
          <t>陳佳萱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為變動值，故要列上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<sst xmlns="http://schemas.openxmlformats.org/spreadsheetml/2006/main" count="11018" uniqueCount="883">
  <si>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</si>
  <si>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</si>
  <si>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</si>
  <si>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</si>
  <si>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</si>
  <si>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</si>
  <si>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</si>
  <si>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</si>
  <si>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</si>
  <si>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</si>
  <si>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</si>
  <si>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</si>
  <si>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</si>
  <si>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</si>
  <si>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</si>
  <si>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</si>
  <si>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</si>
  <si>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</si>
  <si>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</si>
  <si>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</si>
  <si>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</si>
  <si>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</si>
  <si>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</si>
  <si>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</si>
  <si>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</si>
  <si>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</si>
  <si>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</si>
  <si>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</si>
  <si>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</si>
  <si>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</si>
  <si>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</si>
  <si>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</si>
  <si>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</si>
  <si>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</si>
  <si>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</si>
  <si>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</si>
  <si>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</si>
  <si>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</si>
  <si>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</si>
  <si>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</si>
  <si>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</si>
  <si>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</si>
  <si>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</si>
  <si>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</si>
  <si>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</si>
  <si>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</si>
  <si>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</si>
  <si>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</si>
  <si>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</si>
  <si>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</si>
  <si>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</si>
  <si>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</si>
  <si>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</si>
  <si>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</si>
  <si>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</si>
  <si>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</si>
  <si>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</si>
  <si>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</si>
  <si>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</si>
  <si>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</si>
  <si>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</si>
  <si>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</si>
  <si>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</si>
  <si>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</si>
  <si>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</si>
  <si>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</si>
  <si>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</si>
  <si>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</si>
  <si>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</si>
  <si>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</si>
  <si>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</si>
  <si>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</si>
  <si>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</si>
  <si>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</si>
  <si>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</si>
  <si>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</si>
  <si>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</si>
  <si>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</si>
  <si>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</si>
  <si>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</si>
  <si>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</si>
  <si>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</si>
  <si>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</si>
  <si>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</si>
  <si>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</si>
  <si>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</si>
  <si>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</si>
  <si>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</si>
  <si>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</si>
  <si>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</si>
  <si>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</si>
  <si>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</si>
  <si>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</si>
  <si>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</si>
  <si>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</si>
  <si>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</si>
  <si>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</si>
  <si>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</si>
  <si>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</si>
  <si>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</si>
  <si>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</si>
  <si>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</si>
  <si>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</si>
  <si>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</si>
  <si>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</si>
  <si>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</si>
  <si>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</si>
  <si>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</si>
  <si>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</si>
  <si>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3" type="noConversion"/>
  </si>
  <si>
    <t>業績(元)</t>
    <phoneticPr fontId="13" type="noConversion"/>
  </si>
  <si>
    <t>比例(%)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</si>
  <si>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</si>
  <si>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</si>
  <si>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</si>
  <si>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</si>
  <si>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</si>
  <si>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</si>
  <si>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t>二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</si>
  <si>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</si>
  <si>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</si>
  <si>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</si>
  <si>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</si>
  <si>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營業額(元)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</si>
  <si>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</si>
  <si>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</si>
  <si>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</si>
  <si>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</si>
  <si>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</si>
  <si>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</si>
  <si>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3" type="noConversion"/>
  </si>
  <si>
    <t>週平均</t>
    <phoneticPr fontId="13" type="noConversion"/>
  </si>
  <si>
    <t>月平均</t>
    <phoneticPr fontId="13" type="noConversion"/>
  </si>
  <si>
    <t>一配</t>
    <phoneticPr fontId="13" type="noConversion"/>
  </si>
  <si>
    <t>二配</t>
    <phoneticPr fontId="13" type="noConversion"/>
  </si>
  <si>
    <t>營業額</t>
    <phoneticPr fontId="13" type="noConversion"/>
  </si>
  <si>
    <t>便當</t>
  </si>
  <si>
    <t>便當</t>
    <phoneticPr fontId="13" type="noConversion"/>
  </si>
  <si>
    <t>主食</t>
  </si>
  <si>
    <t>主食</t>
    <phoneticPr fontId="13" type="noConversion"/>
  </si>
  <si>
    <t>熱食義麵</t>
  </si>
  <si>
    <t>季節調理麵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</si>
  <si>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</si>
  <si>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</si>
  <si>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</si>
  <si>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</si>
  <si>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</si>
  <si>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</si>
  <si>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</si>
  <si>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</si>
  <si>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</si>
  <si>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</si>
  <si>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合計</t>
    <phoneticPr fontId="13" type="noConversion"/>
  </si>
  <si>
    <t>訂單量</t>
    <phoneticPr fontId="13" type="noConversion"/>
  </si>
  <si>
    <t>訂單數</t>
    <phoneticPr fontId="13" type="noConversion"/>
  </si>
  <si>
    <t>18℃-壽司手卷</t>
  </si>
  <si>
    <t>4℃-壽司手卷</t>
  </si>
  <si>
    <t>商品名稱</t>
    <phoneticPr fontId="13" type="noConversion"/>
  </si>
  <si>
    <t>計畫</t>
    <phoneticPr fontId="13" type="noConversion"/>
  </si>
  <si>
    <t>人數</t>
    <phoneticPr fontId="13" type="noConversion"/>
  </si>
  <si>
    <t>實際</t>
    <phoneticPr fontId="13" type="noConversion"/>
  </si>
  <si>
    <t>人時性</t>
    <phoneticPr fontId="13" type="noConversion"/>
  </si>
  <si>
    <t>品群</t>
    <phoneticPr fontId="13" type="noConversion"/>
  </si>
  <si>
    <t>平均人時性</t>
    <phoneticPr fontId="13" type="noConversion"/>
  </si>
  <si>
    <t>日報</t>
    <phoneticPr fontId="13" type="noConversion"/>
  </si>
  <si>
    <t>排名</t>
    <phoneticPr fontId="13" type="noConversion"/>
  </si>
  <si>
    <t>製程不穩</t>
    <phoneticPr fontId="10"/>
  </si>
  <si>
    <t>研發設定</t>
    <phoneticPr fontId="10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</si>
  <si>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</si>
  <si>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</si>
  <si>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</si>
  <si>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</si>
  <si>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</si>
  <si>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</si>
  <si>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</si>
  <si>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</si>
  <si>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</si>
  <si>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</si>
  <si>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</si>
  <si>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</si>
  <si>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</si>
  <si>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</si>
  <si>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</si>
  <si>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</si>
  <si>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</si>
  <si>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</si>
  <si>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</si>
  <si>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</si>
  <si>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</si>
  <si>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</si>
  <si>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</si>
  <si>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</si>
  <si>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</si>
  <si>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</si>
  <si>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</si>
  <si>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</si>
  <si>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</si>
  <si>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</si>
  <si>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</si>
  <si>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</si>
  <si>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半成品-報廢(%)</t>
    <phoneticPr fontId="10"/>
  </si>
  <si>
    <t>半成品-超用(%)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</si>
  <si>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</si>
  <si>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</si>
  <si>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t>▼1</t>
    <phoneticPr fontId="10"/>
  </si>
  <si>
    <t>▼3</t>
    <phoneticPr fontId="10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</si>
  <si>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</si>
  <si>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</si>
  <si>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</si>
  <si>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0"/>
  </si>
  <si>
    <t>▼4</t>
    <phoneticPr fontId="10"/>
  </si>
  <si>
    <t>▼5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</si>
  <si>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</si>
  <si>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3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</si>
  <si>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</si>
  <si>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</si>
  <si>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</si>
  <si>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</si>
  <si>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</si>
  <si>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</si>
  <si>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</si>
  <si>
    <t>4℃-壽司手卷(077)</t>
    <phoneticPr fontId="13" type="noConversion"/>
  </si>
  <si>
    <t>18℃-壽司手卷(071,072,075,076)</t>
  </si>
  <si>
    <t>18℃-壽司手卷(071,072,075,076)</t>
    <phoneticPr fontId="13" type="noConversion"/>
  </si>
  <si>
    <t>主食(091,092,093,094,095)</t>
  </si>
  <si>
    <t>主食(091,092,093,094,095)</t>
    <phoneticPr fontId="13" type="noConversion"/>
  </si>
  <si>
    <t>便當(083)</t>
  </si>
  <si>
    <t>便當(083)</t>
    <phoneticPr fontId="13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</si>
  <si>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</si>
  <si>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</si>
  <si>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</si>
  <si>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</si>
  <si>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</si>
  <si>
    <t>微波小吃(153,154,155)</t>
    <phoneticPr fontId="13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</si>
  <si>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</si>
  <si>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</si>
  <si>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</si>
  <si>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</si>
  <si>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</si>
  <si>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項目</t>
    <phoneticPr fontId="13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</si>
  <si>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</si>
  <si>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比例</t>
    <phoneticPr fontId="10"/>
  </si>
  <si>
    <t>報廢</t>
    <phoneticPr fontId="10"/>
  </si>
  <si>
    <t>超用</t>
    <phoneticPr fontId="10"/>
  </si>
  <si>
    <t>總件數</t>
    <phoneticPr fontId="13" type="noConversion"/>
  </si>
  <si>
    <t>分析原因</t>
    <phoneticPr fontId="13" type="noConversion"/>
  </si>
  <si>
    <t>次數</t>
    <phoneticPr fontId="13" type="noConversion"/>
  </si>
  <si>
    <t>分析原因（件）</t>
    <phoneticPr fontId="13" type="noConversion"/>
  </si>
  <si>
    <t>報廢金額</t>
    <phoneticPr fontId="13" type="noConversion"/>
  </si>
  <si>
    <t>其他原因</t>
    <phoneticPr fontId="13" type="noConversion"/>
  </si>
  <si>
    <t>補單占比</t>
    <phoneticPr fontId="13" type="noConversion"/>
  </si>
  <si>
    <t>展開量高於１０5％</t>
    <phoneticPr fontId="10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</si>
  <si>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3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</si>
  <si>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3" type="noConversion"/>
  </si>
  <si>
    <t>18℃-壽司手卷(071,072,075,076)</t>
    <phoneticPr fontId="13" type="noConversion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</si>
  <si>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</si>
  <si>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</si>
  <si>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</si>
  <si>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</si>
  <si>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</si>
  <si>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</si>
  <si>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</si>
  <si>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</si>
  <si>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</si>
  <si>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</si>
  <si>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</si>
  <si>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</si>
  <si>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</si>
  <si>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</si>
  <si>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</si>
  <si>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</si>
  <si>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</si>
  <si>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</si>
  <si>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</si>
  <si>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</si>
  <si>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</si>
  <si>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</si>
  <si>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</si>
  <si>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</si>
  <si>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</si>
  <si>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</si>
  <si>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</si>
  <si>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</si>
  <si>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</si>
  <si>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</si>
  <si>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</si>
  <si>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</si>
  <si>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</si>
  <si>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</si>
  <si>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</si>
  <si>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</si>
  <si>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</si>
  <si>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</si>
  <si>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</si>
  <si>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</si>
  <si>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</si>
  <si>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</si>
  <si>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</si>
  <si>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</si>
  <si>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</si>
  <si>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</si>
  <si>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</si>
  <si>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</si>
  <si>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</si>
  <si>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</si>
  <si>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</si>
  <si>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</si>
  <si>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</si>
  <si>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</si>
  <si>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</si>
  <si>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</si>
  <si>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</si>
  <si>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</si>
  <si>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</si>
  <si>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</si>
  <si>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</si>
  <si>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</si>
  <si>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</si>
  <si>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</si>
  <si>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</si>
  <si>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</si>
  <si>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3" type="noConversion"/>
  </si>
  <si>
    <t>（3）業績構成比</t>
    <phoneticPr fontId="13" type="noConversion"/>
  </si>
  <si>
    <t>（4）訂單數量構成比</t>
    <phoneticPr fontId="13" type="noConversion"/>
  </si>
  <si>
    <t xml:space="preserve">半成品報廢(%) </t>
    <phoneticPr fontId="13" type="noConversion"/>
  </si>
  <si>
    <t>月別</t>
    <phoneticPr fontId="10"/>
  </si>
  <si>
    <t>週別</t>
    <phoneticPr fontId="13" type="noConversion"/>
  </si>
  <si>
    <t>當週</t>
  </si>
  <si>
    <t>當週</t>
    <phoneticPr fontId="10"/>
  </si>
  <si>
    <t>前週</t>
  </si>
  <si>
    <t>前週</t>
    <phoneticPr fontId="13" type="noConversion"/>
  </si>
  <si>
    <t>前週</t>
    <phoneticPr fontId="10"/>
  </si>
  <si>
    <t>前週比</t>
    <phoneticPr fontId="13" type="noConversion"/>
  </si>
  <si>
    <t>前週比</t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</si>
  <si>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</si>
  <si>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烤銀鮭魚肚</t>
  </si>
  <si>
    <t>(V)川燙小青花菜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</si>
  <si>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</si>
  <si>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0"/>
  </si>
  <si>
    <t>一配贅沢鮭魚肚飯糰</t>
  </si>
  <si>
    <t>共用類</t>
  </si>
  <si>
    <t>二配里肌豬排可可咖哩歐姆蛋飯</t>
  </si>
  <si>
    <t>糖燻野郎三十天熟成牛飯</t>
  </si>
  <si>
    <t>二配哞哞培根奶香海陸焗飯</t>
  </si>
  <si>
    <t>二配壹號醬炙烤牛飯糰</t>
  </si>
  <si>
    <t>二配經典肉鬆飯糰</t>
  </si>
  <si>
    <t>一配長野稻荷壽司</t>
  </si>
  <si>
    <t>麻油雞飯糰</t>
  </si>
  <si>
    <t>微波主食</t>
    <phoneticPr fontId="13" type="noConversion"/>
  </si>
  <si>
    <t>二配黃金雞排蘑菇白醬歐姆蛋飯</t>
  </si>
  <si>
    <t>嫩烤香料雞胸排蔬滿盒</t>
  </si>
  <si>
    <t>健身G肉餐盒</t>
  </si>
  <si>
    <t>烤蛋白餐盒</t>
  </si>
  <si>
    <t>美式雞丁餐盒</t>
  </si>
  <si>
    <t>日式茶碗蒸</t>
  </si>
  <si>
    <t>固定產線-導入率(固定產線數/總產線數)</t>
    <phoneticPr fontId="13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</si>
  <si>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3" type="noConversion"/>
  </si>
  <si>
    <t>炒油蔥醬</t>
  </si>
  <si>
    <t>雞肉飯飯糰</t>
  </si>
  <si>
    <t>大溪廠</t>
    <phoneticPr fontId="13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</si>
  <si>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</si>
  <si>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生產管理報表</t>
    <phoneticPr fontId="13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</si>
  <si>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</si>
  <si>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3" type="noConversion"/>
  </si>
  <si>
    <t>實績 (週平均)</t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</si>
  <si>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3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</si>
  <si>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</si>
  <si>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3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</si>
  <si>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3" type="noConversion"/>
  </si>
  <si>
    <t>18℃-壽司手卷</t>
    <phoneticPr fontId="13" type="noConversion"/>
  </si>
  <si>
    <t>4℃-壽司手卷</t>
    <phoneticPr fontId="13" type="noConversion"/>
  </si>
  <si>
    <t>季節調理麵</t>
    <phoneticPr fontId="13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</si>
  <si>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</si>
  <si>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</si>
  <si>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0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</si>
  <si>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0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</si>
  <si>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</si>
  <si>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</si>
  <si>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</si>
  <si>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</si>
  <si>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</si>
  <si>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3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</si>
  <si>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</si>
  <si>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t>調理多產</t>
  </si>
  <si>
    <t>其他原因</t>
  </si>
  <si>
    <t>步留不足</t>
  </si>
  <si>
    <t>蒜炒紅k高麗菜(111年)</t>
  </si>
  <si>
    <t>一配北海道秋鮭親子飯糰</t>
  </si>
  <si>
    <t>一配明太子龍蝦風味沙拉飯糰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</si>
  <si>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</si>
  <si>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</si>
  <si>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</si>
  <si>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</si>
  <si>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</si>
  <si>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二配北海道秋鮭親子飯糰</t>
  </si>
  <si>
    <t>二配明太子龍蝦風味沙拉飯糰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</si>
  <si>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</si>
  <si>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</si>
  <si>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</si>
  <si>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</si>
  <si>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</si>
  <si>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</si>
  <si>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</si>
  <si>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材料費</t>
    <phoneticPr fontId="13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</si>
  <si>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0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</si>
  <si>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</si>
  <si>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0"/>
  </si>
  <si>
    <r>
      <t>教育訓練-</t>
    </r>
    <r>
      <rPr>
        <sz val="10"/>
        <color theme="1"/>
        <rFont val="Meiryo UI"/>
        <family val="2"/>
      </rPr>
      <t>實施率(%)</t>
    </r>
    <phoneticPr fontId="10"/>
  </si>
  <si>
    <t>※單位：千元</t>
    <phoneticPr fontId="10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</si>
  <si>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</si>
  <si>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</si>
  <si>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</si>
  <si>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</si>
  <si>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</si>
  <si>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</si>
  <si>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</si>
  <si>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</si>
  <si>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調理端</t>
  </si>
  <si>
    <t>報廢</t>
    <phoneticPr fontId="13" type="noConversion"/>
  </si>
  <si>
    <t>超用</t>
    <phoneticPr fontId="13" type="noConversion"/>
  </si>
  <si>
    <t>川燙毛豆玉米</t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</si>
  <si>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3" type="noConversion"/>
  </si>
  <si>
    <t>製程不穩</t>
    <phoneticPr fontId="80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</si>
  <si>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0"/>
  </si>
  <si>
    <t>教育訓練-實施率(進度/計畫)</t>
    <phoneticPr fontId="13" type="noConversion"/>
  </si>
  <si>
    <t>4℃-飯糰</t>
    <phoneticPr fontId="13" type="noConversion"/>
  </si>
  <si>
    <t>熱食義麵</t>
    <phoneticPr fontId="13" type="noConversion"/>
  </si>
  <si>
    <t>人數配置相同與人時生產性維持穩定</t>
  </si>
  <si>
    <t>取樣不穩</t>
  </si>
  <si>
    <t>取樣不穩</t>
    <phoneticPr fontId="10"/>
  </si>
  <si>
    <t>（８）報廢原因別前幾名品項</t>
    <phoneticPr fontId="13" type="noConversion"/>
  </si>
  <si>
    <t>（８）超用原因別前幾名品項</t>
    <phoneticPr fontId="13" type="noConversion"/>
  </si>
  <si>
    <t>烤照燒雞腿丁</t>
  </si>
  <si>
    <t>海陸雙拼肉肉餐盒</t>
  </si>
  <si>
    <t>二配三杯醬爆菇菇飯糰</t>
  </si>
  <si>
    <t>蔬活腿排補力餐盒</t>
  </si>
  <si>
    <t>二配兩粒飯糰(鮪魚.焦糖鮭魚)</t>
  </si>
  <si>
    <t>香腸腿排雙拼便當</t>
  </si>
  <si>
    <t>炒蔥花碎蛋</t>
  </si>
  <si>
    <t>一配兩粒飯糰(鮪魚.焦糖鮭魚)</t>
  </si>
  <si>
    <t>二配大飯糰韓式蒜烤豬五花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</si>
  <si>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</si>
  <si>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月別</t>
    <phoneticPr fontId="13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</si>
  <si>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3" type="noConversion"/>
  </si>
  <si>
    <t>後續對策</t>
    <phoneticPr fontId="13" type="noConversion"/>
  </si>
  <si>
    <t>展開量高於需求量</t>
  </si>
  <si>
    <t>週前二十</t>
    <phoneticPr fontId="13" type="noConversion"/>
  </si>
  <si>
    <t>烤12切家常豆腐</t>
  </si>
  <si>
    <t>60切-烤豆腐蛋白丁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</si>
  <si>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</si>
  <si>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</si>
  <si>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3" type="noConversion"/>
  </si>
  <si>
    <t>展開量高於需求量</t>
    <phoneticPr fontId="10"/>
  </si>
  <si>
    <t>展開量高於需求量</t>
    <phoneticPr fontId="13" type="noConversion"/>
  </si>
  <si>
    <t>調理展開量下修，並已採用多次補單方式執行</t>
  </si>
  <si>
    <t>增加線上抽秤頻率，調理展開量下修，並已採用多次補單方式執行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</si>
  <si>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3" type="noConversion"/>
  </si>
  <si>
    <t>一配鮭魚奶油醬油飯糰</t>
  </si>
  <si>
    <t>壹號醬炙烤牛飯糰</t>
  </si>
  <si>
    <t>切-烤牛五花(112年)</t>
  </si>
  <si>
    <t>烤箱製程蛋片規格厚薄差異
準備室分切剔除，確保賣相準定</t>
    <phoneticPr fontId="13" type="noConversion"/>
  </si>
  <si>
    <t>切烤雞胸肉(111年)</t>
  </si>
  <si>
    <t>蒜炒紅K油菜(A7)</t>
  </si>
  <si>
    <t>健身G肉餐盒(113年)</t>
  </si>
  <si>
    <t>炙燒韓式牛五花</t>
  </si>
  <si>
    <t>經典肉鬆飯糰(114年)</t>
  </si>
  <si>
    <t>原物料規格過小，無法使用</t>
  </si>
  <si>
    <t>烤箱製程蛋片規格厚薄差異</t>
  </si>
  <si>
    <t>準備室分切剔除，確保賣相準定</t>
  </si>
  <si>
    <t>烤盤產生炭渣，豆腐沾黏焦化物</t>
  </si>
  <si>
    <t>拌鹽烤豬肉片(114年)</t>
  </si>
  <si>
    <t>鹽蔥燒肉飯糰</t>
  </si>
  <si>
    <t>二配鐵板豆腐燴蛋蓋飯</t>
  </si>
  <si>
    <t>二配濃起司燻腸紅醬焗烤飯</t>
  </si>
  <si>
    <t>焗飯-義式蕃茄紅醬</t>
  </si>
  <si>
    <t>煮鐵板豆腐</t>
  </si>
  <si>
    <t>拌蒜香五花肉</t>
  </si>
  <si>
    <t>生產前確認標準定量的機台設定，生產中抽查確認設定及實際出料重量</t>
  </si>
  <si>
    <t>青花菜原物料規格偏大造成超用</t>
  </si>
  <si>
    <t>注餡機機台工差設定確認</t>
  </si>
  <si>
    <t>原物料肉片的大小塊差異</t>
  </si>
  <si>
    <t>回饋研發，後續開發列入考量，調整分切方式，穩定分切厚薄減少規格異常</t>
  </si>
  <si>
    <t>抓量較不穩定造成超用</t>
  </si>
  <si>
    <t>烤墨西哥雞丁</t>
  </si>
  <si>
    <t>二配溏心蛋五目飯糰</t>
  </si>
  <si>
    <t>1月</t>
    <phoneticPr fontId="13" type="noConversion"/>
  </si>
  <si>
    <r>
      <t>（１）收支</t>
    </r>
    <r>
      <rPr>
        <b/>
        <sz val="12"/>
        <color theme="1"/>
        <rFont val="微軟正黑體"/>
        <family val="2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</si>
  <si>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</si>
  <si>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</si>
  <si>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</si>
  <si>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</si>
  <si>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</si>
  <si>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</si>
  <si>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</si>
  <si>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</si>
  <si>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</si>
  <si>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</si>
  <si>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</si>
  <si>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合計/平均</t>
    <phoneticPr fontId="13" type="noConversion"/>
  </si>
  <si>
    <t>業績金額(千元)</t>
    <phoneticPr fontId="13" type="noConversion"/>
  </si>
  <si>
    <r>
      <t>訂單數量</t>
    </r>
    <r>
      <rPr>
        <sz val="10"/>
        <color rgb="FF000000"/>
        <rFont val="Arial"/>
        <family val="3"/>
        <charset val="136"/>
        <scheme val="minor"/>
      </rPr>
      <t/>
    </r>
    <phoneticPr fontId="13" type="noConversion"/>
  </si>
  <si>
    <t>材料費(千元)</t>
    <phoneticPr fontId="13" type="noConversion"/>
  </si>
  <si>
    <t>勞務成本(千元)</t>
    <phoneticPr fontId="13" type="noConversion"/>
  </si>
  <si>
    <t xml:space="preserve">人時性(個/月均) </t>
    <phoneticPr fontId="13" type="noConversion"/>
  </si>
  <si>
    <t xml:space="preserve">人時達成率(%/月均) </t>
    <phoneticPr fontId="13" type="noConversion"/>
  </si>
  <si>
    <t>半成品-報廢(%)</t>
    <phoneticPr fontId="13" type="noConversion"/>
  </si>
  <si>
    <t>半成品-超用(%)</t>
    <phoneticPr fontId="13" type="noConversion"/>
  </si>
  <si>
    <t>二配大飯糰乾燒風味鮮蝦</t>
  </si>
  <si>
    <t>香檸奶油魚排蔬滿盒</t>
  </si>
  <si>
    <t>（１）收支狀況</t>
    <phoneticPr fontId="13" type="noConversion"/>
  </si>
  <si>
    <t>材料費率(%)</t>
    <phoneticPr fontId="13" type="noConversion"/>
  </si>
  <si>
    <t>勞務費率(%)</t>
    <phoneticPr fontId="13" type="noConversion"/>
  </si>
  <si>
    <t>人時性KPI</t>
    <phoneticPr fontId="13" type="noConversion"/>
  </si>
  <si>
    <t>固定產線-導入率(%)</t>
  </si>
  <si>
    <t>教育訓練-實施率(%)</t>
  </si>
  <si>
    <t>（３）業績構成比</t>
    <phoneticPr fontId="13" type="noConversion"/>
  </si>
  <si>
    <t>18℃-飯糰(061,063)</t>
  </si>
  <si>
    <t>（４）訂單數量構成比</t>
    <phoneticPr fontId="13" type="noConversion"/>
  </si>
  <si>
    <t>（５）品群別人時生產性</t>
    <phoneticPr fontId="13" type="noConversion"/>
  </si>
  <si>
    <t>二配贅沢鮭魚肚飯糰</t>
  </si>
  <si>
    <t>二配鹽水G絲飯糰</t>
  </si>
  <si>
    <t>一配經典人氣雙手卷</t>
  </si>
  <si>
    <t>一配鮭鮪海饌雙手卷</t>
  </si>
  <si>
    <t>贅沢鮭魚肚飯糰</t>
  </si>
  <si>
    <t>設定放料量範圍，後續開發列入考量調整，針對人員手法教育訓練，並增加線上抽秤頻率。</t>
  </si>
  <si>
    <t>針對人員抓量手法教育訓練，並增加線上抽秤頻率。</t>
  </si>
  <si>
    <t>定期更換烤盤，制定烤盤更換時程，降低豆腐沾黏焦化物而造成報廢</t>
  </si>
  <si>
    <t>抓量較不穩定，生產餘料報廢</t>
  </si>
  <si>
    <t>烤盤產生炭渣，豆腐沾黏焦化物
定期更換烤盤，制定烤盤更換時程，降低豆腐沾黏焦化物而造成報廢</t>
    <phoneticPr fontId="13" type="noConversion"/>
  </si>
  <si>
    <t>青花菜原物料規格偏大造成超用
設定放料量範圍，後續開發列入考量調整，針對人員手法教育訓練，並增加線上抽秤頻率。</t>
    <phoneticPr fontId="13" type="noConversion"/>
  </si>
  <si>
    <t>一配柚檸海灣貝飯糰</t>
  </si>
  <si>
    <t>大滿足香辣涼麵</t>
  </si>
  <si>
    <t>大滿足麻醬涼麵</t>
  </si>
  <si>
    <t>和風涓絲冷麵</t>
  </si>
  <si>
    <t>煮中華冷麵(110年)</t>
  </si>
  <si>
    <t>冷凍紅鮭碎肉20</t>
  </si>
  <si>
    <t>熟成紅鮭飯糰(114年)</t>
  </si>
  <si>
    <t>原物料肉片的大小塊差異
回饋研發，後續開發列入考量，調整分切方式，穩定分切厚薄減少規格異常</t>
    <phoneticPr fontId="13" type="noConversion"/>
  </si>
  <si>
    <t>一配山葵章魚飯糰</t>
  </si>
  <si>
    <t>台式麻醬涼麵</t>
  </si>
  <si>
    <t>原物料規格</t>
    <phoneticPr fontId="13" type="noConversion"/>
  </si>
  <si>
    <t>操作方式冰杓定量，因冰杓規格限制導致超用</t>
  </si>
  <si>
    <t>回饋研發，後續開發列入考量，針對人員手法教育訓練，並增加線上抽秤頻率。</t>
  </si>
  <si>
    <t>鰹魚烏龍冷麵</t>
  </si>
  <si>
    <t>煮烏龍冷麵(113年)</t>
  </si>
  <si>
    <t>歐姆蛋-黑咖哩醬</t>
  </si>
  <si>
    <t>操作方式冰杓定量，生產餘料報廢</t>
  </si>
  <si>
    <r>
      <rPr>
        <sz val="12"/>
        <color theme="1"/>
        <rFont val="Microsoft JhengHei"/>
        <family val="2"/>
      </rPr>
      <t>確認分切工程</t>
    </r>
    <r>
      <rPr>
        <sz val="12"/>
        <color theme="1"/>
        <rFont val="Meiryo UI"/>
        <family val="2"/>
      </rPr>
      <t>穩定分切長度減少規格異常，再針對抓量手法教育訓練，並增加線上抽秤頻率。</t>
    </r>
    <phoneticPr fontId="13" type="noConversion"/>
  </si>
  <si>
    <t>抓量較不穩定造成超用
確認分切工程穩定分切長度減少規格異常，再針對抓量手法教育訓練，並增加線上抽秤頻率。</t>
    <phoneticPr fontId="13" type="noConversion"/>
  </si>
  <si>
    <t>排序</t>
    <phoneticPr fontId="13" type="noConversion"/>
  </si>
  <si>
    <t>半成品名稱</t>
    <phoneticPr fontId="13" type="noConversion"/>
  </si>
  <si>
    <t>報廢金額
(元)</t>
    <phoneticPr fontId="13" type="noConversion"/>
  </si>
  <si>
    <t>半成品單價
(元/kg)</t>
    <phoneticPr fontId="13" type="noConversion"/>
  </si>
  <si>
    <r>
      <t>訂單需求
(kg/</t>
    </r>
    <r>
      <rPr>
        <sz val="12"/>
        <color theme="1"/>
        <rFont val="Meiryo UI"/>
        <family val="2"/>
      </rPr>
      <t>個)</t>
    </r>
    <phoneticPr fontId="13" type="noConversion"/>
  </si>
  <si>
    <t>生管展開</t>
    <phoneticPr fontId="13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</si>
  <si>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3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</si>
  <si>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  <phoneticPr fontId="13" type="noConversion"/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</si>
  <si>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3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</si>
  <si>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3" type="noConversion"/>
  </si>
  <si>
    <r>
      <t>kg/</t>
    </r>
    <r>
      <rPr>
        <sz val="12"/>
        <color theme="1"/>
        <rFont val="Meiryo UI"/>
        <family val="2"/>
      </rPr>
      <t>個</t>
    </r>
    <phoneticPr fontId="13" type="noConversion"/>
  </si>
  <si>
    <t>%</t>
  </si>
  <si>
    <t>元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</si>
  <si>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</si>
  <si>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百分比</t>
  </si>
  <si>
    <t>0526-0601</t>
    <phoneticPr fontId="13" type="noConversion"/>
  </si>
  <si>
    <t>屏榮大溪廠半成品管理日別總表</t>
    <phoneticPr fontId="13" type="noConversion"/>
  </si>
  <si>
    <t>二配香烤魚排青醬燉飯</t>
  </si>
  <si>
    <r>
      <rPr>
        <sz val="12"/>
        <color theme="1"/>
        <rFont val="Meiryo UI"/>
        <family val="2"/>
      </rPr>
      <t>超用金額
(元)</t>
    </r>
    <phoneticPr fontId="13" type="noConversion"/>
  </si>
  <si>
    <t>煮白細麵生(方#12)</t>
  </si>
  <si>
    <t>反映研發，後續開發列入考量，目前報廢量以穩定控制</t>
    <phoneticPr fontId="13" type="noConversion"/>
  </si>
  <si>
    <t>菜梗、葉差異，影響人員放料手感</t>
  </si>
  <si>
    <t>增加線上抽秤頻率，調理展開量下修，並已採用多次補單方式執行</t>
    <phoneticPr fontId="13" type="noConversion"/>
  </si>
  <si>
    <t>煮麵單藍批量設定，餘料報廢</t>
    <phoneticPr fontId="13" type="noConversion"/>
  </si>
  <si>
    <t>針對人員抓量手法教育訓練，並增加線上抽秤頻率。</t>
    <phoneticPr fontId="13" type="noConversion"/>
  </si>
  <si>
    <t>回饋研發，後續開發列入考量，針對人員抓量手法教育訓練，並增加線上抽秤頻率</t>
    <phoneticPr fontId="13" type="noConversion"/>
  </si>
  <si>
    <t>原物料規格過小，無法使用
反映研發，後續開發列入考量，目前報廢量以穩定控制</t>
    <phoneticPr fontId="10"/>
  </si>
  <si>
    <t>操作方式冰杓定量，生產餘料報廢
調理展開量下修，並已採用多次補單方式執行</t>
    <phoneticPr fontId="13" type="noConversion"/>
  </si>
  <si>
    <t>一配黑胡椒洋蔥豬飯糰</t>
  </si>
  <si>
    <t>鮪魚昆布細卷</t>
  </si>
  <si>
    <t>肉鬆火腿細卷</t>
  </si>
  <si>
    <t>懷舊滷雙拼便當</t>
  </si>
  <si>
    <t>烤燉飯魚排</t>
  </si>
  <si>
    <t>蒸黑滷D4棒</t>
  </si>
  <si>
    <t>燉飯青醬(115年)</t>
  </si>
  <si>
    <r>
      <rPr>
        <sz val="11"/>
        <color theme="1"/>
        <rFont val="Microsoft JhengHei"/>
        <family val="2"/>
      </rPr>
      <t>新品</t>
    </r>
    <r>
      <rPr>
        <sz val="11"/>
        <color theme="1"/>
        <rFont val="Calibri"/>
        <family val="2"/>
      </rPr>
      <t>.</t>
    </r>
    <r>
      <rPr>
        <sz val="11"/>
        <color theme="1"/>
        <rFont val="Microsoft JhengHei"/>
        <family val="2"/>
      </rPr>
      <t>達成率提升中</t>
    </r>
    <phoneticPr fontId="13" type="noConversion"/>
  </si>
  <si>
    <r>
      <t>魚肉烤箱製程，</t>
    </r>
    <r>
      <rPr>
        <sz val="12"/>
        <color theme="1"/>
        <rFont val="Microsoft JhengHei"/>
        <family val="2"/>
        <charset val="136"/>
      </rPr>
      <t>質地較軟</t>
    </r>
    <r>
      <rPr>
        <sz val="12"/>
        <color theme="1"/>
        <rFont val="Meiryo UI"/>
        <family val="2"/>
      </rPr>
      <t>拿取後破損造成報廢</t>
    </r>
    <phoneticPr fontId="13" type="noConversion"/>
  </si>
  <si>
    <t>原物料肉片的大小塊差異超用剩餘料報廢</t>
    <phoneticPr fontId="13" type="noConversion"/>
  </si>
  <si>
    <t>加強分切規格控管與線上抓量教育訓練，降低規格落差及剩料</t>
    <phoneticPr fontId="13" type="noConversion"/>
  </si>
  <si>
    <t>蒸箱製程後物料骨肉分離無法使用</t>
    <phoneticPr fontId="13" type="noConversion"/>
  </si>
  <si>
    <t>已調整蒸箱製程後段操作方式及入籃量下修，調整後報廢數量已降低。</t>
    <phoneticPr fontId="13" type="noConversion"/>
  </si>
  <si>
    <r>
      <t>生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前確認標準定量的機台設定，生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中抽</t>
    </r>
    <r>
      <rPr>
        <sz val="12"/>
        <color theme="1"/>
        <rFont val="細明體"/>
        <family val="3"/>
        <charset val="136"/>
      </rPr>
      <t>查</t>
    </r>
    <r>
      <rPr>
        <sz val="12"/>
        <color theme="1"/>
        <rFont val="Meiryo UI"/>
        <family val="2"/>
      </rPr>
      <t>確認設定及實際出料重量，餘料報廢。</t>
    </r>
    <phoneticPr fontId="13" type="noConversion"/>
  </si>
  <si>
    <r>
      <t>原物料肉</t>
    </r>
    <r>
      <rPr>
        <sz val="12"/>
        <color theme="1"/>
        <rFont val="Microsoft JhengHei"/>
        <family val="2"/>
      </rPr>
      <t>塊</t>
    </r>
    <r>
      <rPr>
        <sz val="12"/>
        <color theme="1"/>
        <rFont val="Meiryo UI"/>
        <family val="2"/>
      </rPr>
      <t>的大小塊差異</t>
    </r>
    <phoneticPr fontId="13" type="noConversion"/>
  </si>
  <si>
    <t>設定雙圈秤重，抓量較不穩定造成超用</t>
    <phoneticPr fontId="13" type="noConversion"/>
  </si>
  <si>
    <r>
      <t>人員抓量放料手法不穩定，原物料單價高</t>
    </r>
    <r>
      <rPr>
        <sz val="12"/>
        <color theme="1"/>
        <rFont val="Microsoft JhengHei"/>
        <family val="2"/>
      </rPr>
      <t>總計超用金額高</t>
    </r>
    <phoneticPr fontId="13" type="noConversion"/>
  </si>
  <si>
    <t>原物料肉片的大小塊差異超用剩餘料報廢
加強分切規格控管與線上抓量教育訓練，降低規格落差及剩料</t>
    <phoneticPr fontId="13" type="noConversion"/>
  </si>
  <si>
    <t>一配椒鹽檸檬鯖魚飯糰</t>
  </si>
  <si>
    <t>韓式辣炒豬肉飯卷</t>
  </si>
  <si>
    <t>日式胡麻雞絲冷麵</t>
  </si>
  <si>
    <t>蒸玉米塊</t>
  </si>
  <si>
    <t>焙炒芝麻肉鬆(飯糰)</t>
  </si>
  <si>
    <t>蒸-解凍手撕雞</t>
  </si>
  <si>
    <t>煮2025屯京冷麵</t>
  </si>
  <si>
    <r>
      <t>青花菜原物料規格偏大造成超用</t>
    </r>
    <r>
      <rPr>
        <sz val="12"/>
        <color theme="1"/>
        <rFont val="Microsoft JhengHei"/>
        <family val="2"/>
      </rPr>
      <t>剩餘料報廢</t>
    </r>
    <phoneticPr fontId="13" type="noConversion"/>
  </si>
  <si>
    <r>
      <t>已加強操作教育訓練，</t>
    </r>
    <r>
      <rPr>
        <sz val="12"/>
        <color theme="1"/>
        <rFont val="Microsoft JhengHei"/>
        <family val="2"/>
      </rPr>
      <t>對比</t>
    </r>
    <r>
      <rPr>
        <sz val="12"/>
        <color theme="1"/>
        <rFont val="Meiryo UI"/>
        <family val="2"/>
      </rPr>
      <t>前周</t>
    </r>
    <r>
      <rPr>
        <sz val="12"/>
        <color theme="1"/>
        <rFont val="Microsoft JhengHei"/>
        <family val="2"/>
      </rPr>
      <t>破損率已下降。</t>
    </r>
    <phoneticPr fontId="13" type="noConversion"/>
  </si>
  <si>
    <t>原物料規格大小顆，影響產出數量</t>
    <phoneticPr fontId="13" type="noConversion"/>
  </si>
  <si>
    <t>反映研發，後續開發列入考量</t>
    <phoneticPr fontId="13" type="noConversion"/>
  </si>
  <si>
    <t>針對抓量手法教育訓練，並增加線上抽秤頻率。</t>
  </si>
  <si>
    <t>抓量較不穩定造成超用</t>
    <phoneticPr fontId="13" type="noConversion"/>
  </si>
  <si>
    <r>
      <t>肉片</t>
    </r>
    <r>
      <rPr>
        <sz val="12"/>
        <color theme="1"/>
        <rFont val="Microsoft JhengHei"/>
        <family val="2"/>
      </rPr>
      <t>長短規格</t>
    </r>
    <r>
      <rPr>
        <sz val="12"/>
        <color theme="1"/>
        <rFont val="Meiryo UI"/>
        <family val="2"/>
      </rPr>
      <t>影響</t>
    </r>
    <phoneticPr fontId="13" type="noConversion"/>
  </si>
  <si>
    <r>
      <t>針對人員分切方式</t>
    </r>
    <r>
      <rPr>
        <sz val="12"/>
        <color theme="1"/>
        <rFont val="Microsoft JhengHei"/>
        <family val="2"/>
      </rPr>
      <t>進行教育訓練</t>
    </r>
    <r>
      <rPr>
        <sz val="12"/>
        <color theme="1"/>
        <rFont val="Meiryo UI"/>
        <family val="2"/>
      </rPr>
      <t>，穩定分切長度減少規格異常。</t>
    </r>
    <phoneticPr fontId="13" type="noConversion"/>
  </si>
  <si>
    <t>月</t>
    <phoneticPr fontId="13" type="noConversion"/>
  </si>
  <si>
    <t>注餡機機台工差設定確認
生產前確認標準定量的機台設定，生產中抽查確認設定及實際出料重量</t>
    <phoneticPr fontId="13" type="noConversion"/>
  </si>
  <si>
    <t>抓量較不穩定造成超用
針對人員抓量手法教育訓練，並增加線上抽秤頻率。</t>
    <phoneticPr fontId="13" type="noConversion"/>
  </si>
  <si>
    <t>海陸雙拼壽司</t>
  </si>
  <si>
    <t>嘉義崇文白醋涼麵</t>
  </si>
  <si>
    <t>蒸蛋湯</t>
  </si>
  <si>
    <t>馬鈴薯玉米濃湯</t>
  </si>
  <si>
    <t>三合一味噌湯</t>
  </si>
  <si>
    <t>調味扇貝柱-F</t>
  </si>
  <si>
    <t>煮白細麵生(方#5/膠片)</t>
  </si>
  <si>
    <t>消毒細切紅蘿蔔絲</t>
  </si>
  <si>
    <r>
      <t>原物料肉</t>
    </r>
    <r>
      <rPr>
        <sz val="12"/>
        <color theme="1"/>
        <rFont val="Microsoft JhengHei"/>
        <family val="2"/>
      </rPr>
      <t>片</t>
    </r>
    <r>
      <rPr>
        <sz val="12"/>
        <color theme="1"/>
        <rFont val="Meiryo UI"/>
        <family val="2"/>
      </rPr>
      <t>的大小塊差異超用剩餘料報廢</t>
    </r>
    <phoneticPr fontId="13" type="noConversion"/>
  </si>
  <si>
    <r>
      <t>原物料肉</t>
    </r>
    <r>
      <rPr>
        <sz val="12"/>
        <color theme="1"/>
        <rFont val="Microsoft JhengHei"/>
        <family val="2"/>
      </rPr>
      <t>塊</t>
    </r>
    <r>
      <rPr>
        <sz val="12"/>
        <color theme="1"/>
        <rFont val="Meiryo UI"/>
        <family val="2"/>
      </rPr>
      <t>的大小塊差異超用剩餘料報廢</t>
    </r>
    <phoneticPr fontId="13" type="noConversion"/>
  </si>
  <si>
    <r>
      <rPr>
        <sz val="12"/>
        <color theme="1"/>
        <rFont val="Microsoft JhengHei"/>
        <family val="2"/>
      </rPr>
      <t>高風險原物料拆袋</t>
    </r>
    <r>
      <rPr>
        <sz val="12"/>
        <color theme="1"/>
        <rFont val="Meiryo UI"/>
        <family val="2"/>
      </rPr>
      <t>餘料報廢</t>
    </r>
    <phoneticPr fontId="13" type="noConversion"/>
  </si>
  <si>
    <t>注餡機機台工差設定確認
生產前確認標準定量的機台設定，生產中抽查確認設定及實際出料重量，餘料報廢。</t>
    <phoneticPr fontId="13" type="noConversion"/>
  </si>
  <si>
    <t>0602-0608</t>
    <phoneticPr fontId="13" type="noConversion"/>
  </si>
  <si>
    <t>0609-0615</t>
    <phoneticPr fontId="13" type="noConversion"/>
  </si>
  <si>
    <t>0616-0622</t>
    <phoneticPr fontId="13" type="noConversion"/>
  </si>
  <si>
    <t>0623-0629</t>
    <phoneticPr fontId="13" type="noConversion"/>
  </si>
  <si>
    <t>厚香料優格咖哩烤雞飯卷</t>
  </si>
  <si>
    <t>招牌雞絲胡麻涼麵</t>
  </si>
  <si>
    <t>煮傳統冷麵</t>
  </si>
  <si>
    <t>112年拌鮪魚沙拉</t>
  </si>
  <si>
    <t>(V)消毒小黃瓜絲</t>
  </si>
  <si>
    <t>炒醬香豆瓣肉燥</t>
  </si>
  <si>
    <t>玉米濃湯(115年版)</t>
  </si>
  <si>
    <t>鮪魚飯糰</t>
  </si>
  <si>
    <t>對切屯京溫泉蛋</t>
  </si>
  <si>
    <t>義式烤馬鈴薯</t>
  </si>
  <si>
    <t>7切-烤蜜汁腿排</t>
  </si>
  <si>
    <t>6切-烤醃漬咖哩腿排</t>
  </si>
  <si>
    <t>5切法式炸雞排</t>
  </si>
  <si>
    <r>
      <t>針對人員抓量手法教育訓練，</t>
    </r>
    <r>
      <rPr>
        <sz val="12"/>
        <color theme="1"/>
        <rFont val="Microsoft JhengHei"/>
        <family val="2"/>
        <charset val="136"/>
      </rPr>
      <t>持續執行定量管理，</t>
    </r>
    <r>
      <rPr>
        <sz val="12"/>
        <color theme="1"/>
        <rFont val="Meiryo UI"/>
        <family val="2"/>
      </rPr>
      <t>並增加線上抽秤頻率。</t>
    </r>
    <phoneticPr fontId="13" type="noConversion"/>
  </si>
  <si>
    <t>設定雙圈秤重生產餘料報廢</t>
    <phoneticPr fontId="13" type="noConversion"/>
  </si>
  <si>
    <r>
      <t>菜梗、葉差異，影響人員放料手感</t>
    </r>
    <r>
      <rPr>
        <sz val="12"/>
        <color theme="1"/>
        <rFont val="Microsoft JhengHei"/>
        <family val="2"/>
      </rPr>
      <t>生產</t>
    </r>
    <r>
      <rPr>
        <sz val="12"/>
        <color theme="1"/>
        <rFont val="Microsoft JhengHei"/>
        <family val="2"/>
        <charset val="136"/>
      </rPr>
      <t>餘料報廢</t>
    </r>
    <phoneticPr fontId="13" type="noConversion"/>
  </si>
  <si>
    <t>分切製程破損導致規格不符無法使用</t>
  </si>
  <si>
    <t>針對人員分切手法進行教育訓練，改善分切製程破損狀況。</t>
  </si>
  <si>
    <t>原物料單包數量規格，產出餘料報廢</t>
    <phoneticPr fontId="13" type="noConversion"/>
  </si>
  <si>
    <t>原物料規格大小顆，影響產出數量
反映研發，後續開發列入考量</t>
    <phoneticPr fontId="13" type="noConversion"/>
  </si>
  <si>
    <t>二配酸酸辣辣椒麻雞飯</t>
  </si>
  <si>
    <t>越式牛肉寬粉</t>
  </si>
  <si>
    <t>煮牛肉片(A7)</t>
  </si>
  <si>
    <t>越式湯凍(115年)</t>
  </si>
  <si>
    <t>煮寬粉(114年)</t>
  </si>
  <si>
    <t>野郎醬(112年)</t>
  </si>
  <si>
    <t>原物料肉片大小片差異，影響人員手感生產餘料報廢</t>
    <phoneticPr fontId="13" type="noConversion"/>
  </si>
  <si>
    <r>
      <t>已加強操作教育訓練，</t>
    </r>
    <r>
      <rPr>
        <sz val="12"/>
        <color theme="1"/>
        <rFont val="Microsoft JhengHei"/>
        <family val="2"/>
      </rPr>
      <t>並更換對比</t>
    </r>
    <r>
      <rPr>
        <sz val="12"/>
        <color theme="1"/>
        <rFont val="Meiryo UI"/>
        <family val="2"/>
      </rPr>
      <t>前周</t>
    </r>
    <r>
      <rPr>
        <sz val="12"/>
        <color theme="1"/>
        <rFont val="Microsoft JhengHei"/>
        <family val="2"/>
      </rPr>
      <t>破損率已下降。</t>
    </r>
    <phoneticPr fontId="13" type="noConversion"/>
  </si>
  <si>
    <t>煮麵單包批量設定，餘料報廢</t>
    <phoneticPr fontId="13" type="noConversion"/>
  </si>
  <si>
    <t>原物料規格大小顆，影響抓量手感</t>
    <phoneticPr fontId="13" type="noConversion"/>
  </si>
  <si>
    <t>原物料肉片大小片差異，影響人員手感</t>
    <phoneticPr fontId="13" type="noConversion"/>
  </si>
  <si>
    <r>
      <t>原物料</t>
    </r>
    <r>
      <rPr>
        <sz val="12"/>
        <color theme="1"/>
        <rFont val="Microsoft JhengHei"/>
        <family val="2"/>
      </rPr>
      <t>肉塊</t>
    </r>
    <r>
      <rPr>
        <sz val="12"/>
        <color theme="1"/>
        <rFont val="Meiryo UI"/>
        <family val="2"/>
      </rPr>
      <t>大小塊差異</t>
    </r>
    <phoneticPr fontId="13" type="noConversion"/>
  </si>
  <si>
    <t>魚肉烤箱製程，質地較軟拿取後破損造成報廢
已加強操作教育訓練，並更換對比前周破損率已下降。</t>
    <phoneticPr fontId="13" type="noConversion"/>
  </si>
  <si>
    <t>煮麵單籃批量設定，餘料報廢</t>
    <phoneticPr fontId="13" type="noConversion"/>
  </si>
  <si>
    <t>二配鮭魚毛豆炊飯飯糰</t>
  </si>
  <si>
    <t>二配西班牙風味海鮮燉飯</t>
  </si>
  <si>
    <t>5切-炸椒麻雞腿排</t>
  </si>
  <si>
    <t>雙拼炒混蔬</t>
  </si>
  <si>
    <t>烤黑胡椒清肉排</t>
  </si>
  <si>
    <t>113年川燙綠豆芽</t>
  </si>
  <si>
    <t>蘑菇白醬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</si>
  <si>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性前幾名品項(0630-0706)</t>
    </r>
    <phoneticPr fontId="13" type="noConversion"/>
  </si>
  <si>
    <t>原物料規格過小，無法使用</t>
    <phoneticPr fontId="13" type="noConversion"/>
  </si>
  <si>
    <t>烤盤產生炭渣，豆腐沾黏焦化物</t>
    <phoneticPr fontId="13" type="noConversion"/>
  </si>
  <si>
    <t>烤箱製程蛋片規格厚薄差異</t>
    <phoneticPr fontId="13" type="noConversion"/>
  </si>
  <si>
    <r>
      <t>反映研發，後續開發列入考量，目前報廢量</t>
    </r>
    <r>
      <rPr>
        <sz val="12"/>
        <color theme="1"/>
        <rFont val="Microsoft JhengHei"/>
        <family val="2"/>
      </rPr>
      <t>設定目標</t>
    </r>
    <r>
      <rPr>
        <sz val="12"/>
        <color theme="1"/>
        <rFont val="Meiryo UI"/>
        <family val="2"/>
      </rPr>
      <t>控制</t>
    </r>
    <r>
      <rPr>
        <sz val="12"/>
        <color theme="1"/>
        <rFont val="Microsoft JhengHei"/>
        <family val="2"/>
      </rPr>
      <t>在單籃內</t>
    </r>
    <phoneticPr fontId="13" type="noConversion"/>
  </si>
  <si>
    <r>
      <t>青花菜原物料規格大</t>
    </r>
    <r>
      <rPr>
        <sz val="12"/>
        <color theme="1"/>
        <rFont val="Microsoft JhengHei"/>
        <family val="2"/>
      </rPr>
      <t>小差異</t>
    </r>
    <r>
      <rPr>
        <sz val="12"/>
        <color theme="1"/>
        <rFont val="Meiryo UI"/>
        <family val="2"/>
      </rPr>
      <t>造成超用</t>
    </r>
    <r>
      <rPr>
        <sz val="12"/>
        <color theme="1"/>
        <rFont val="Microsoft JhengHei"/>
        <family val="2"/>
      </rPr>
      <t>剩餘料報廢</t>
    </r>
    <phoneticPr fontId="13" type="noConversion"/>
  </si>
  <si>
    <t>生產餘料報廢</t>
    <phoneticPr fontId="13" type="noConversion"/>
  </si>
  <si>
    <t>操作方式冰杓定量，生產餘料報廢</t>
    <phoneticPr fontId="13" type="noConversion"/>
  </si>
  <si>
    <r>
      <t>抓量較不穩定造成超用</t>
    </r>
    <r>
      <rPr>
        <sz val="12"/>
        <color theme="1"/>
        <rFont val="Microsoft JhengHei"/>
        <family val="2"/>
        <charset val="136"/>
      </rPr>
      <t>餘料報廢</t>
    </r>
    <phoneticPr fontId="13" type="noConversion"/>
  </si>
  <si>
    <t>原物料規格大小顆，影響產出數量差異</t>
    <phoneticPr fontId="13" type="noConversion"/>
  </si>
  <si>
    <t>機台上灑落及生產餘料報廢</t>
    <phoneticPr fontId="13" type="noConversion"/>
  </si>
  <si>
    <t>針對人員抓量手法教育訓練，並增加線上抽秤頻率</t>
    <phoneticPr fontId="13" type="noConversion"/>
  </si>
  <si>
    <r>
      <rPr>
        <sz val="12"/>
        <color theme="1"/>
        <rFont val="Microsoft JhengHei"/>
        <family val="2"/>
      </rPr>
      <t>秤重標準差異</t>
    </r>
    <r>
      <rPr>
        <sz val="12"/>
        <color theme="1"/>
        <rFont val="Meiryo UI"/>
        <family val="2"/>
      </rPr>
      <t>造成超用</t>
    </r>
    <phoneticPr fontId="13" type="noConversion"/>
  </si>
  <si>
    <r>
      <t>針對人員</t>
    </r>
    <r>
      <rPr>
        <sz val="12"/>
        <color theme="1"/>
        <rFont val="Microsoft JhengHei"/>
        <family val="2"/>
      </rPr>
      <t>過磅標準</t>
    </r>
    <r>
      <rPr>
        <sz val="12"/>
        <color theme="1"/>
        <rFont val="Meiryo UI"/>
        <family val="2"/>
      </rPr>
      <t>教育訓練，並增加線上抽秤頻率，對比上週</t>
    </r>
    <r>
      <rPr>
        <sz val="12"/>
        <color theme="1"/>
        <rFont val="Microsoft JhengHei"/>
        <family val="2"/>
      </rPr>
      <t>減少0.1%</t>
    </r>
    <phoneticPr fontId="13" type="noConversion"/>
  </si>
  <si>
    <r>
      <t>針對人員</t>
    </r>
    <r>
      <rPr>
        <sz val="12"/>
        <color theme="1"/>
        <rFont val="Microsoft JhengHei"/>
        <family val="2"/>
      </rPr>
      <t>秤重標準</t>
    </r>
    <r>
      <rPr>
        <sz val="12"/>
        <color theme="1"/>
        <rFont val="Meiryo UI"/>
        <family val="2"/>
      </rPr>
      <t>教育訓練，並增加線上抽秤頻率</t>
    </r>
    <phoneticPr fontId="13" type="noConversion"/>
  </si>
  <si>
    <t>原物料肉片大小片差異，影響人員手感
針對人員秤重標準教育訓練，並增加線上抽秤頻率</t>
    <phoneticPr fontId="13" type="noConversion"/>
  </si>
  <si>
    <t>青花菜原物料規格大小差異造成超用剩餘料報廢
反映研發，後續開發列入考量，目前報廢量以穩定控制</t>
    <phoneticPr fontId="10"/>
  </si>
  <si>
    <t>煮麵單籃批量設定，餘料報廢
反映研發，後續開發列入考量，目前報廢量設定目標控制在單籃內</t>
    <phoneticPr fontId="10"/>
  </si>
  <si>
    <t>生產餘料報廢
增加線上抽秤頻率，調理展開量下修，並已採用多次補單方式執行</t>
    <phoneticPr fontId="13" type="noConversion"/>
  </si>
  <si>
    <t>抓量較不穩定造成超用餘料報廢
增加線上抽秤頻率，調理展開量下修，並已採用多次補單方式執行</t>
    <phoneticPr fontId="13" type="noConversion"/>
  </si>
  <si>
    <t>二配大飯糰泡菜鮪魚</t>
  </si>
  <si>
    <t>二配柚香雞胸五穀飯糰</t>
  </si>
  <si>
    <t>切-烤牛五花(115年)</t>
  </si>
  <si>
    <t>對切-烤蒜味香腸(台畜)</t>
  </si>
  <si>
    <t>蒸燻腸片</t>
  </si>
  <si>
    <t>西班牙烤雞腿丁(115年)</t>
  </si>
  <si>
    <t>煮蝦湯凍</t>
  </si>
  <si>
    <t>糖燻野郎三十天熟成牛飯(115年)</t>
  </si>
  <si>
    <t>七</t>
    <phoneticPr fontId="13" type="noConversion"/>
  </si>
  <si>
    <t>分切製程耗損導致報廢</t>
    <phoneticPr fontId="13" type="noConversion"/>
  </si>
  <si>
    <t>已加強人員分切製程教育訓練，降低規格異常與耗損</t>
    <phoneticPr fontId="13" type="noConversion"/>
  </si>
  <si>
    <r>
      <t>針對人員</t>
    </r>
    <r>
      <rPr>
        <sz val="12"/>
        <color theme="1"/>
        <rFont val="Microsoft JhengHei"/>
        <family val="2"/>
      </rPr>
      <t>過磅標準</t>
    </r>
    <r>
      <rPr>
        <sz val="12"/>
        <color theme="1"/>
        <rFont val="Meiryo UI"/>
        <family val="2"/>
      </rPr>
      <t>教育訓練，並增加線上抽秤頻率，</t>
    </r>
    <r>
      <rPr>
        <sz val="12"/>
        <color theme="1"/>
        <rFont val="Microsoft JhengHei"/>
        <family val="2"/>
        <charset val="136"/>
      </rPr>
      <t>持續控制超用百分比在1%內</t>
    </r>
    <phoneticPr fontId="13" type="noConversion"/>
  </si>
  <si>
    <t>菜梗、葉差異，影響人員放料手感抓量較不穩定造成超用</t>
    <phoneticPr fontId="13" type="noConversion"/>
  </si>
  <si>
    <t>強化截切及抓量標準化作業，落實人員教育訓練，並增加線上抽秤頻率。</t>
    <phoneticPr fontId="13" type="noConversion"/>
  </si>
  <si>
    <r>
      <t>原物料肉</t>
    </r>
    <r>
      <rPr>
        <sz val="12"/>
        <color theme="1"/>
        <rFont val="Microsoft JhengHei"/>
        <family val="2"/>
      </rPr>
      <t>塊</t>
    </r>
    <r>
      <rPr>
        <sz val="12"/>
        <color theme="1"/>
        <rFont val="Meiryo UI"/>
        <family val="2"/>
      </rPr>
      <t>大小片差異，影響人員手感</t>
    </r>
    <phoneticPr fontId="13" type="noConversion"/>
  </si>
  <si>
    <r>
      <t>針對人員抓量手法教育訓練，並增加線上抽秤頻率，</t>
    </r>
    <r>
      <rPr>
        <sz val="12"/>
        <color theme="1"/>
        <rFont val="Microsoft JhengHei"/>
        <family val="2"/>
        <charset val="136"/>
      </rPr>
      <t>持續追查，超用量百分比逐步下降。</t>
    </r>
    <phoneticPr fontId="13" type="noConversion"/>
  </si>
  <si>
    <t>0630-0706 總合計↑</t>
    <phoneticPr fontId="13" type="noConversion"/>
  </si>
  <si>
    <t>八</t>
    <phoneticPr fontId="13" type="noConversion"/>
  </si>
  <si>
    <r>
      <rPr>
        <b/>
        <sz val="12"/>
        <color theme="1"/>
        <rFont val="Meiryo UI"/>
        <family val="2"/>
        <charset val="136"/>
      </rPr>
      <t>產</t>
    </r>
    <r>
      <rPr>
        <b/>
        <sz val="12"/>
        <color theme="1"/>
        <rFont val="Meiryo UI"/>
        <family val="2"/>
        <charset val="128"/>
      </rPr>
      <t>線配置圖－</t>
    </r>
    <r>
      <rPr>
        <b/>
        <sz val="12"/>
        <color theme="1"/>
        <rFont val="Meiryo UI"/>
        <family val="2"/>
        <charset val="136"/>
      </rPr>
      <t>每</t>
    </r>
    <r>
      <rPr>
        <b/>
        <sz val="12"/>
        <color theme="1"/>
        <rFont val="Meiryo UI"/>
        <family val="2"/>
        <charset val="128"/>
      </rPr>
      <t>週更新(0630-0706)</t>
    </r>
    <phoneticPr fontId="13" type="noConversion"/>
  </si>
  <si>
    <t>產線配置圖－每週更新(0630-0706)</t>
  </si>
  <si>
    <t>地中海布格麥烤魚餐盒</t>
  </si>
  <si>
    <t>秤重標準差異造成超用
針對人員過磅標準教育訓練，並增加線上抽秤頻率，持續控制超用百分比在1%內</t>
    <phoneticPr fontId="13" type="noConversion"/>
  </si>
  <si>
    <r>
      <t>06</t>
    </r>
    <r>
      <rPr>
        <sz val="12"/>
        <color rgb="FF000000"/>
        <rFont val="新細明體"/>
        <family val="2"/>
        <charset val="136"/>
      </rPr>
      <t>30</t>
    </r>
    <r>
      <rPr>
        <sz val="12"/>
        <color rgb="FF000000"/>
        <rFont val="Meiryo UI"/>
        <family val="2"/>
      </rPr>
      <t>-0</t>
    </r>
    <r>
      <rPr>
        <sz val="12"/>
        <color rgb="FF000000"/>
        <rFont val="新細明體"/>
        <family val="2"/>
        <charset val="136"/>
      </rPr>
      <t>706</t>
    </r>
    <phoneticPr fontId="13" type="noConversion"/>
  </si>
  <si>
    <t>蒸-全熟雞肉絲CL(113年)</t>
  </si>
  <si>
    <t>煮茄汁豆腐</t>
  </si>
  <si>
    <t>餐盒用-三色高麗菜</t>
  </si>
  <si>
    <t>新冷凍銀鮭碎肉</t>
  </si>
  <si>
    <t>超用A(多展)</t>
    <phoneticPr fontId="13" type="noConversion"/>
  </si>
  <si>
    <t>超用B(多展-報廢)</t>
    <phoneticPr fontId="13" type="noConversion"/>
  </si>
  <si>
    <r>
      <t>超用A(</t>
    </r>
    <r>
      <rPr>
        <sz val="12"/>
        <rFont val="細明體"/>
        <family val="3"/>
        <charset val="136"/>
      </rPr>
      <t>多展)</t>
    </r>
    <phoneticPr fontId="13" type="noConversion"/>
  </si>
  <si>
    <r>
      <t>7</t>
    </r>
    <r>
      <rPr>
        <sz val="10"/>
        <color rgb="FFFF0000"/>
        <rFont val="Meiryo UI"/>
        <family val="2"/>
        <charset val="128"/>
      </rPr>
      <t>月平均人時性</t>
    </r>
    <phoneticPr fontId="13" type="noConversion"/>
  </si>
  <si>
    <t>反映研發，後續開發列入考量，目前報廢量以穩定控制</t>
  </si>
  <si>
    <t>煮麵單籃批量設定，餘料報廢</t>
  </si>
  <si>
    <t>反映研發，後續開發列入考量，目前報廢量設定目標控制在單籃內</t>
  </si>
  <si>
    <t>生產餘料報廢</t>
  </si>
  <si>
    <t>抓量較不穩定造成超用餘料報廢</t>
  </si>
  <si>
    <t>生產前確認標準定量的機台設定，生產中抽查確認設定及實際出料重量，餘料報廢。</t>
  </si>
  <si>
    <t>原物料肉片的大小塊差異超用剩餘料報廢</t>
  </si>
  <si>
    <t>加強分切規格控管與線上抓量教育訓練，降低規格落差及剩料</t>
  </si>
  <si>
    <t>原物料規格大小顆，影響產出數量</t>
  </si>
  <si>
    <t>反映研發，後續開發列入考量</t>
  </si>
  <si>
    <t>原物料規格大小顆，影響抓量手感，生產餘料報廢</t>
  </si>
  <si>
    <t>秤重標準差異造成超用</t>
  </si>
  <si>
    <t>針對人員過磅標準教育訓練，並增加線上抽秤頻率，持續控制超用百分比在1%內</t>
  </si>
  <si>
    <t>菜梗、葉差異，影響人員放料手感抓量較不穩定造成超用</t>
  </si>
  <si>
    <t>強化截切及抓量標準化作業，落實人員教育訓練，並增加線上抽秤頻率。</t>
  </si>
  <si>
    <t>確認分切工程穩定分切長度減少規格異常，再針對抓量手法教育訓練，並增加線上抽秤頻率。</t>
  </si>
  <si>
    <t>操作方式冰杓定量，人員手法差異導致超用</t>
  </si>
  <si>
    <t>針對人員手法教育訓練，並增加線上抽秤頻率。</t>
  </si>
  <si>
    <t>原物料肉塊大小片差異，影響人員手感</t>
  </si>
  <si>
    <t>針對人員秤重標準教育訓練，並增加線上抽秤頻率</t>
  </si>
  <si>
    <t>新品一週,達成率穩定提升中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</si>
  <si>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性前幾名品項(0707-0713)</t>
    </r>
    <phoneticPr fontId="13" type="noConversion"/>
  </si>
  <si>
    <t>轉回便二生產,人數少1</t>
    <phoneticPr fontId="13" type="noConversion"/>
  </si>
  <si>
    <t>（８）報廢原因別前幾名品項(0630-0706)</t>
    <phoneticPr fontId="13" type="noConversion"/>
  </si>
  <si>
    <t>原物料肉塊大小片差異，影響人員手感
針對人員秤重標準教育訓練，並增加線上抽秤頻率</t>
    <phoneticPr fontId="13" type="noConversion"/>
  </si>
  <si>
    <t>菜梗、葉差異，影響人員放料手感抓量較不穩定造成超用
強化截切及抓量標準化作業，落實人員教育訓練，並增加線上抽秤頻率。</t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</si>
  <si>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性前幾名品項(0714-0720)</t>
    </r>
    <phoneticPr fontId="13" type="noConversion"/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</si>
  <si>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週更新(0707-0713)</t>
    </r>
    <phoneticPr fontId="13" type="noConversion"/>
  </si>
  <si>
    <t>產線配置圖－每週更新(0707-0713)</t>
  </si>
  <si>
    <t>金門高粱香腸飯糰</t>
  </si>
  <si>
    <t>日式鮭魚茶泡烤飯</t>
  </si>
  <si>
    <t>日式蕎麥沾麵</t>
  </si>
  <si>
    <t>0707-0713 總合計↑</t>
    <phoneticPr fontId="13" type="noConversion"/>
  </si>
  <si>
    <t>7月總報廢合計</t>
    <phoneticPr fontId="13" type="noConversion"/>
  </si>
  <si>
    <t>7月總報廢率</t>
    <phoneticPr fontId="13" type="noConversion"/>
  </si>
  <si>
    <r>
      <t>7月總超用A合計金額
(</t>
    </r>
    <r>
      <rPr>
        <b/>
        <sz val="18"/>
        <color rgb="FFFF0000"/>
        <rFont val="微軟正黑體"/>
        <family val="2"/>
        <charset val="136"/>
      </rPr>
      <t>多展</t>
    </r>
    <r>
      <rPr>
        <b/>
        <sz val="18"/>
        <color theme="1"/>
        <rFont val="微軟正黑體"/>
        <family val="2"/>
        <charset val="136"/>
      </rPr>
      <t>)</t>
    </r>
    <phoneticPr fontId="13" type="noConversion"/>
  </si>
  <si>
    <r>
      <t>7月總超用率A
(</t>
    </r>
    <r>
      <rPr>
        <b/>
        <sz val="18"/>
        <color rgb="FFFF0000"/>
        <rFont val="微軟正黑體"/>
        <family val="2"/>
        <charset val="136"/>
      </rPr>
      <t>多展</t>
    </r>
    <r>
      <rPr>
        <b/>
        <sz val="18"/>
        <color theme="1"/>
        <rFont val="微軟正黑體"/>
        <family val="2"/>
        <charset val="136"/>
      </rPr>
      <t>)</t>
    </r>
    <phoneticPr fontId="13" type="noConversion"/>
  </si>
  <si>
    <t>7月總超用B合計金額
(多展-報廢)</t>
    <phoneticPr fontId="13" type="noConversion"/>
  </si>
  <si>
    <t>7月總超用率B
(多展-報廢)</t>
    <phoneticPr fontId="13" type="noConversion"/>
  </si>
  <si>
    <t>廢棄週合計</t>
    <phoneticPr fontId="13" type="noConversion"/>
  </si>
  <si>
    <t>超用週合計</t>
    <phoneticPr fontId="13" type="noConversion"/>
  </si>
  <si>
    <t>日期</t>
    <phoneticPr fontId="80" type="noConversion"/>
  </si>
  <si>
    <t>報廢額</t>
    <phoneticPr fontId="80" type="noConversion"/>
  </si>
  <si>
    <r>
      <t xml:space="preserve">報廢率
KPI </t>
    </r>
    <r>
      <rPr>
        <b/>
        <sz val="16"/>
        <color rgb="FFFF0000"/>
        <rFont val="微軟正黑體"/>
        <family val="2"/>
        <charset val="136"/>
      </rPr>
      <t>0.25%</t>
    </r>
    <phoneticPr fontId="13" type="noConversion"/>
  </si>
  <si>
    <t>超用額A</t>
    <phoneticPr fontId="80" type="noConversion"/>
  </si>
  <si>
    <t>超用率A</t>
    <phoneticPr fontId="13" type="noConversion"/>
  </si>
  <si>
    <t>超用額B</t>
    <phoneticPr fontId="80" type="noConversion"/>
  </si>
  <si>
    <t>超用率B</t>
    <phoneticPr fontId="13" type="noConversion"/>
  </si>
  <si>
    <t>營業額合計</t>
    <phoneticPr fontId="80" type="noConversion"/>
  </si>
  <si>
    <r>
      <rPr>
        <sz val="12"/>
        <color rgb="FF000000"/>
        <rFont val="新細明體"/>
        <family val="2"/>
        <charset val="136"/>
      </rPr>
      <t>0707</t>
    </r>
    <r>
      <rPr>
        <sz val="12"/>
        <color rgb="FF000000"/>
        <rFont val="Meiryo UI"/>
        <family val="2"/>
      </rPr>
      <t>-07</t>
    </r>
    <r>
      <rPr>
        <sz val="12"/>
        <color rgb="FF000000"/>
        <rFont val="新細明體"/>
        <family val="2"/>
        <charset val="136"/>
      </rPr>
      <t>13</t>
    </r>
    <phoneticPr fontId="13" type="noConversion"/>
  </si>
  <si>
    <t>煮熊本蕎麥生麵(角#18)</t>
  </si>
  <si>
    <t>泡飯-柴魚湯凍(115年)</t>
  </si>
  <si>
    <t>川燙青白花菜</t>
  </si>
  <si>
    <t>炒筍絲冬粉</t>
  </si>
  <si>
    <t>水煮毛豆仁(111年)</t>
  </si>
  <si>
    <t>烤厚烘蔥蛋(114年)</t>
    <phoneticPr fontId="13" type="noConversion"/>
  </si>
  <si>
    <t>調味鮭魚熟碎肉CL</t>
  </si>
  <si>
    <t>炒酸菜豬絞肉</t>
  </si>
  <si>
    <t>人時生產性維持穩定</t>
    <phoneticPr fontId="13" type="noConversion"/>
  </si>
  <si>
    <t>手工貼金酒小標,人數配置+1人</t>
    <phoneticPr fontId="13" type="noConversion"/>
  </si>
  <si>
    <t>九億包裝機產速提升</t>
    <phoneticPr fontId="13" type="noConversion"/>
  </si>
  <si>
    <t>上蓋操作困難,人時性不佳</t>
    <phoneticPr fontId="13" type="noConversion"/>
  </si>
  <si>
    <r>
      <rPr>
        <sz val="11"/>
        <color theme="1"/>
        <rFont val="細明體"/>
        <family val="2"/>
        <charset val="136"/>
      </rPr>
      <t>新品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細明體"/>
        <family val="2"/>
        <charset val="136"/>
      </rPr>
      <t>人時性提升中</t>
    </r>
    <phoneticPr fontId="13" type="noConversion"/>
  </si>
  <si>
    <r>
      <t>生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前確認標準定量的機台設定，生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中抽</t>
    </r>
    <r>
      <rPr>
        <sz val="12"/>
        <color theme="1"/>
        <rFont val="細明體"/>
        <family val="3"/>
        <charset val="136"/>
      </rPr>
      <t>查</t>
    </r>
    <r>
      <rPr>
        <sz val="12"/>
        <color theme="1"/>
        <rFont val="Meiryo UI"/>
        <family val="2"/>
      </rPr>
      <t>確認設定及實際出料重量，針對注餡機噴口調整持續確認用量</t>
    </r>
  </si>
  <si>
    <r>
      <t>生產前確認標準定量的機台設定，生產中抽</t>
    </r>
    <r>
      <rPr>
        <sz val="12"/>
        <color theme="1"/>
        <rFont val="微軟正黑體"/>
        <family val="2"/>
        <charset val="136"/>
      </rPr>
      <t>查</t>
    </r>
    <r>
      <rPr>
        <sz val="12"/>
        <color theme="1"/>
        <rFont val="Meiryo UI"/>
        <family val="2"/>
        <charset val="128"/>
      </rPr>
      <t>確認設定及實際出料重量</t>
    </r>
    <r>
      <rPr>
        <sz val="12"/>
        <color theme="1"/>
        <rFont val="Meiryo UI"/>
        <family val="2"/>
      </rPr>
      <t>，針對注餡機</t>
    </r>
    <r>
      <rPr>
        <sz val="12"/>
        <color theme="1"/>
        <rFont val="微軟正黑體"/>
        <family val="2"/>
        <charset val="136"/>
      </rPr>
      <t>噴口調整持續確認用量</t>
    </r>
    <phoneticPr fontId="13" type="noConversion"/>
  </si>
  <si>
    <r>
      <t>原物料規格大</t>
    </r>
    <r>
      <rPr>
        <sz val="12"/>
        <color theme="1"/>
        <rFont val="Microsoft JhengHei"/>
        <family val="2"/>
      </rPr>
      <t>小差異</t>
    </r>
    <r>
      <rPr>
        <sz val="12"/>
        <color theme="1"/>
        <rFont val="Meiryo UI"/>
        <family val="2"/>
      </rPr>
      <t>造成超用</t>
    </r>
    <r>
      <rPr>
        <sz val="12"/>
        <color theme="1"/>
        <rFont val="Microsoft JhengHei"/>
        <family val="2"/>
      </rPr>
      <t>剩餘料報廢</t>
    </r>
    <phoneticPr fontId="13" type="noConversion"/>
  </si>
  <si>
    <t>原物料規格差異及人員手法不穩定導致餘料報廢</t>
    <phoneticPr fontId="13" type="noConversion"/>
  </si>
  <si>
    <t>加強操作教育訓練，調理展開量下修，並已採用多次補單方式執行</t>
    <phoneticPr fontId="13" type="noConversion"/>
  </si>
  <si>
    <t>烤箱製程狀態不符導致報廢</t>
    <phoneticPr fontId="13" type="noConversion"/>
  </si>
  <si>
    <t>確認烘烤溫度、時間及設備參數，落實確認與製程巡檢</t>
    <phoneticPr fontId="13" type="noConversion"/>
  </si>
  <si>
    <t>（８）報廢原因別前幾名品項(0707-0713)</t>
    <phoneticPr fontId="13" type="noConversion"/>
  </si>
  <si>
    <t>（８）報廢原因別前幾名品項(0714-0720)</t>
    <phoneticPr fontId="13" type="noConversion"/>
  </si>
  <si>
    <t>原物料規格大小差異造成超用剩餘料報廢
反映研發，後續開發列入考量，目前報廢量以穩定控制</t>
    <phoneticPr fontId="13" type="noConversion"/>
  </si>
  <si>
    <t>原物料規格差異及人員手法不穩定導致餘料報廢
加強操作教育訓練，調理展開量下修，並已採用多次補單方式執行</t>
    <phoneticPr fontId="13" type="noConversion"/>
  </si>
  <si>
    <t>抓量較不穩定造成超用
生產前確認標準定量的機台設定，生產中抽查確認設定及實際出料重量，針對注餡機噴口調整持續確認用量</t>
    <phoneticPr fontId="13" type="noConversion"/>
  </si>
  <si>
    <t>注餡機機台工差設定確認
生產前確認標準定量的機台設定，生產中抽查確認設定及實際出料重量，針對注餡機噴口調整持續確認用量</t>
    <phoneticPr fontId="13" type="noConversion"/>
  </si>
  <si>
    <t>0714-0720 總合計↑</t>
    <phoneticPr fontId="13" type="noConversion"/>
  </si>
  <si>
    <r>
      <t>（５）品群別人時生</t>
    </r>
    <r>
      <rPr>
        <b/>
        <sz val="12"/>
        <color theme="1"/>
        <rFont val="Meiryo UI"/>
        <family val="3"/>
        <charset val="136"/>
      </rPr>
      <t>產</t>
    </r>
    <r>
      <rPr>
        <b/>
        <sz val="12"/>
        <color theme="1"/>
        <rFont val="Meiryo UI"/>
        <family val="2"/>
        <charset val="128"/>
      </rPr>
      <t>性</t>
    </r>
    <phoneticPr fontId="10"/>
  </si>
  <si>
    <t>一配筋子銀鮭飯糰</t>
  </si>
  <si>
    <t>產線配置圖－每週更新(0714-0720)</t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</si>
  <si>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週更新(0714-0720)</t>
    </r>
    <phoneticPr fontId="13" type="noConversion"/>
  </si>
  <si>
    <r>
      <rPr>
        <sz val="12"/>
        <color rgb="FF000000"/>
        <rFont val="Meiryo UI"/>
        <family val="2"/>
      </rPr>
      <t>07</t>
    </r>
    <r>
      <rPr>
        <sz val="12"/>
        <color rgb="FF000000"/>
        <rFont val="新細明體"/>
        <family val="2"/>
        <charset val="136"/>
      </rPr>
      <t>14</t>
    </r>
    <r>
      <rPr>
        <sz val="12"/>
        <color rgb="FF000000"/>
        <rFont val="Meiryo UI"/>
        <family val="2"/>
      </rPr>
      <t>-07</t>
    </r>
    <r>
      <rPr>
        <sz val="12"/>
        <color rgb="FF000000"/>
        <rFont val="新細明體"/>
        <family val="2"/>
        <charset val="136"/>
      </rPr>
      <t>20</t>
    </r>
    <phoneticPr fontId="13" type="noConversion"/>
  </si>
  <si>
    <r>
      <rPr>
        <sz val="12"/>
        <color rgb="FF000000"/>
        <rFont val="Meiryo UI"/>
        <family val="2"/>
      </rPr>
      <t>07</t>
    </r>
    <r>
      <rPr>
        <sz val="12"/>
        <color rgb="FF000000"/>
        <rFont val="新細明體"/>
        <family val="2"/>
        <charset val="136"/>
      </rPr>
      <t>21</t>
    </r>
    <r>
      <rPr>
        <sz val="12"/>
        <color rgb="FF000000"/>
        <rFont val="Meiryo UI"/>
        <family val="2"/>
      </rPr>
      <t>-07</t>
    </r>
    <r>
      <rPr>
        <sz val="12"/>
        <color rgb="FF000000"/>
        <rFont val="新細明體"/>
        <family val="2"/>
        <charset val="136"/>
      </rPr>
      <t>27</t>
    </r>
    <phoneticPr fontId="13" type="noConversion"/>
  </si>
  <si>
    <t>義式炒洋菇片(115年)</t>
  </si>
  <si>
    <t>炒黑胡椒豆芽(餐盒)</t>
  </si>
  <si>
    <t>蒸燻腸片</t>
    <phoneticPr fontId="13" type="noConversion"/>
  </si>
  <si>
    <r>
      <t>炒蝦仁(9號)(大飯</t>
    </r>
    <r>
      <rPr>
        <sz val="12"/>
        <color rgb="FF000000"/>
        <rFont val="微軟正黑體"/>
        <family val="2"/>
        <charset val="136"/>
      </rPr>
      <t>糰</t>
    </r>
    <r>
      <rPr>
        <sz val="12"/>
        <color rgb="FF000000"/>
        <rFont val="Meiryo UI"/>
        <family val="2"/>
        <charset val="128"/>
      </rPr>
      <t>)</t>
    </r>
    <phoneticPr fontId="13" type="noConversion"/>
  </si>
  <si>
    <t>烤照燒雞腿丁</t>
    <phoneticPr fontId="13" type="noConversion"/>
  </si>
  <si>
    <t>焗飯-奶香白醬(114年)</t>
  </si>
  <si>
    <t>已調整尾數拆半批生產(半籃)，目前報廢量設定目標控制在半批內</t>
  </si>
  <si>
    <t>原物料規格大小差異造成超用剩餘料報廢</t>
  </si>
  <si>
    <t>強化截切及抓量標準化作業，落實人員教育訓練，並增加線上抽秤頻率，調理展開量下修，並已採用多次補單方式執行</t>
  </si>
  <si>
    <t>加強分切規格控管與線上秤重教育訓練，降低規格落差及剩料</t>
  </si>
  <si>
    <t>因真空製程時格籃變形倒籃導致其他半成品汙染造成報廢</t>
  </si>
  <si>
    <t>加強教育洗籃人員辨識挑選剃除變形格籃，並教育人員變形格籃需挑除勿使用</t>
  </si>
  <si>
    <t>原物料規格大小差異，生產剩餘料報廢</t>
  </si>
  <si>
    <t>青、白花菜原物料規格大小差異造成超用剩餘料報廢</t>
  </si>
  <si>
    <t>持續強化截切及抓量標準化作業，落實人員教育訓練，並增加線上抽秤頻率。</t>
  </si>
  <si>
    <t>針對人員過磅標準教育訓練，並增加線上抽秤頻率，目標控制超用百分比在1%內</t>
  </si>
  <si>
    <t>加強教育人員穩定分切厚薄減少規格異常</t>
  </si>
  <si>
    <t>生產前確認標準定量的機台設定，生產中抽查確認設定及實際出料重量，針對注餡機噴口調整持續確認用量</t>
  </si>
  <si>
    <t>針對人員過磅標準教育訓練，並增加線上抽秤頻率，設定目標控制超用百分比1%內</t>
  </si>
  <si>
    <t>原物料規格大小差異導致抓量較不穩定造成超用</t>
  </si>
  <si>
    <t>新品一週達成率上升</t>
    <phoneticPr fontId="13" type="noConversion"/>
  </si>
  <si>
    <t>九億包裝機產速提升一週後達成率上升</t>
    <phoneticPr fontId="13" type="noConversion"/>
  </si>
  <si>
    <t>上蓋熟練度上升,產速提高</t>
    <phoneticPr fontId="13" type="noConversion"/>
  </si>
  <si>
    <t>新品一週熟練度上升人時提高</t>
    <phoneticPr fontId="13" type="noConversion"/>
  </si>
  <si>
    <t>（８）報廢原因別前幾名品項(0721-0727)</t>
    <phoneticPr fontId="13" type="noConversion"/>
  </si>
  <si>
    <t>0721-0727 總合計↑</t>
    <phoneticPr fontId="13" type="noConversion"/>
  </si>
  <si>
    <t>原物料規格大小差異造成超用剩餘料報廢
反映研發，後續開發列入考量，目前報廢量以穩定控制</t>
    <phoneticPr fontId="10"/>
  </si>
  <si>
    <t>青、白花菜原物料規格大小差異造成超用剩餘料報廢
反映研發，後續開發列入考量，目前報廢量以穩定控制</t>
    <phoneticPr fontId="10"/>
  </si>
  <si>
    <t>原物料肉片的大小塊差異超用剩餘料報廢
加強分切規格控管與線上秤重教育訓練，降低規格落差及剩料</t>
    <phoneticPr fontId="13" type="noConversion"/>
  </si>
  <si>
    <t>因真空製程時格籃變形倒籃導致其他半成品汙染造成報廢
加強教育洗籃人員辨識挑選剃除變形格籃，並教育人員變形格籃需挑除勿使用</t>
    <phoneticPr fontId="13" type="noConversion"/>
  </si>
  <si>
    <t>原物料規格過小，無法使用，反映研發，後續開發列入考量，目前報廢量以穩定控制</t>
    <phoneticPr fontId="10"/>
  </si>
  <si>
    <t>煮麵單籃批量設定，餘料報廢
已調整尾數拆半批生產(半籃)，目前報廢量設定目標控制在半批內</t>
    <phoneticPr fontId="10"/>
  </si>
  <si>
    <t>炒蝦仁(9號)(大飯糰)</t>
  </si>
  <si>
    <t>抓量較不穩定造成超用餘料報廢
強化截切及抓量標準化作業，落實人員教育訓練，並增加線上抽秤頻率，調理展開量下修，並已採用多次補單方式執行</t>
    <phoneticPr fontId="13" type="noConversion"/>
  </si>
  <si>
    <t>抓量較不穩定造成超用餘料報廢
調理展開量下修，並已採用多次補單方式執行</t>
    <phoneticPr fontId="13" type="noConversion"/>
  </si>
  <si>
    <t>原物料規格大小差異，生產剩餘料報廢
調理展開量下修，並已採用多次補單方式執行</t>
    <phoneticPr fontId="13" type="noConversion"/>
  </si>
  <si>
    <t>秤重標準差異造成超用
針對人員過磅標準教育訓練，並增加線上抽秤頻率，目標控制超用百分比在1%內</t>
    <phoneticPr fontId="13" type="noConversion"/>
  </si>
  <si>
    <t>原物料肉片的大小塊差異
加強教育人員穩定分切厚薄減少規格異常</t>
    <phoneticPr fontId="13" type="noConversion"/>
  </si>
  <si>
    <t>秤重標準差異造成超用
針對人員過磅標準教育訓練，並增加線上抽秤頻率，設定目標控制超用百分比1%內</t>
    <phoneticPr fontId="13" type="noConversion"/>
  </si>
  <si>
    <t>菜梗、葉差異，影響人員放料手感抓量較不穩定造成超用
持續強化截切及抓量標準化作業，落實人員教育訓練，並增加線上抽秤頻率。</t>
    <phoneticPr fontId="13" type="noConversion"/>
  </si>
  <si>
    <t>秤重標準差異造成超用
針對人員抓量手法教育訓練，並增加線上抽秤頻率。</t>
    <phoneticPr fontId="13" type="noConversion"/>
  </si>
  <si>
    <t>原物料規格大小差異導致抓量較不穩定造成超用
針對人員抓量手法教育訓練，並增加線上抽秤頻率。</t>
    <phoneticPr fontId="13" type="noConversion"/>
  </si>
  <si>
    <t>一配鹽蔥生鮭飯糰</t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</si>
  <si>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週更新(0721-0727)</t>
    </r>
    <phoneticPr fontId="13" type="noConversion"/>
  </si>
  <si>
    <t>產線配置圖－每週更新(0721-0727)</t>
  </si>
  <si>
    <t>一配青木瓜雞絲泰泰雙手卷</t>
  </si>
  <si>
    <t>月見烏龍冷麵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</si>
  <si>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性前幾名品項(0721-0727)</t>
    </r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</si>
  <si>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性前幾名品項(0728-0803)</t>
    </r>
    <phoneticPr fontId="13" type="noConversion"/>
  </si>
  <si>
    <t>0728-0803</t>
    <phoneticPr fontId="13" type="noConversion"/>
  </si>
  <si>
    <t>拌明太子龍蝦沙拉(114年)</t>
  </si>
  <si>
    <t>冷凍鮭魚骰子丁(蔥鹽風味)</t>
  </si>
  <si>
    <t>明太子龍蝦風味沙拉飯糰(114年)</t>
  </si>
  <si>
    <t>調理展開量下修，並已採用多次補單方式執行，目前報廢量以穩定控制</t>
    <phoneticPr fontId="13" type="noConversion"/>
  </si>
  <si>
    <t>抓量較不穩定造成超用餘料報廢</t>
    <phoneticPr fontId="13" type="noConversion"/>
  </si>
  <si>
    <r>
      <t>原物料肉片的大小塊差異</t>
    </r>
    <r>
      <rPr>
        <sz val="12"/>
        <color theme="1"/>
        <rFont val="Microsoft JhengHei"/>
        <family val="2"/>
      </rPr>
      <t>導致</t>
    </r>
    <r>
      <rPr>
        <sz val="12"/>
        <color theme="1"/>
        <rFont val="Meiryo UI"/>
        <family val="2"/>
      </rPr>
      <t>抓量較不穩定</t>
    </r>
    <r>
      <rPr>
        <sz val="12"/>
        <color theme="1"/>
        <rFont val="Microsoft JhengHei"/>
        <family val="2"/>
      </rPr>
      <t>產生</t>
    </r>
    <r>
      <rPr>
        <sz val="12"/>
        <color theme="1"/>
        <rFont val="Meiryo UI"/>
        <family val="2"/>
      </rPr>
      <t>超用剩餘料報廢</t>
    </r>
    <phoneticPr fontId="13" type="noConversion"/>
  </si>
  <si>
    <r>
      <t>抓量</t>
    </r>
    <r>
      <rPr>
        <sz val="12"/>
        <color theme="1"/>
        <rFont val="Microsoft JhengHei"/>
        <family val="2"/>
      </rPr>
      <t>秤重</t>
    </r>
    <r>
      <rPr>
        <sz val="12"/>
        <color theme="1"/>
        <rFont val="Meiryo UI"/>
        <family val="2"/>
      </rPr>
      <t>較不穩定造成超用餘料報廢</t>
    </r>
    <phoneticPr fontId="13" type="noConversion"/>
  </si>
  <si>
    <t>抓量秤重差異造成超用</t>
  </si>
  <si>
    <t>確認分切工程穩定分切長度減少規格異常，再針對秤重手法教育訓練，並增加線上抽秤頻率。</t>
  </si>
  <si>
    <t>針對人員過磅標準教育訓練，並增加線上抽秤頻率，超用量已持續下降。</t>
  </si>
  <si>
    <t>針對定量管理確認、撥鬆作業加強，及人員抓量手法教育訓練，並增加線上抽秤頻率。</t>
  </si>
  <si>
    <t>生產前確認標準定量的機台設定，生產中抽查確認設定及實際出料重量。</t>
  </si>
  <si>
    <t>新品 人時性提升中</t>
  </si>
  <si>
    <t>便二轉涼二生產,人數變動</t>
    <phoneticPr fontId="13" type="noConversion"/>
  </si>
  <si>
    <t>增人貼促銷標.人時下降</t>
    <phoneticPr fontId="13" type="noConversion"/>
  </si>
  <si>
    <t>（８）報廢原因別前幾名品項(0728-0803)</t>
    <phoneticPr fontId="13" type="noConversion"/>
  </si>
  <si>
    <t>原物料規格大小差異造成超用剩餘料報廢
調理展開量下修，並已採用多次補單方式執行，目前報廢量以穩定控制</t>
    <phoneticPr fontId="10"/>
  </si>
  <si>
    <t>原物料肉片的大小塊差異導致抓量較不穩定產生超用剩餘料報廢
增加線上抽秤頻率，調理展開量下修，並已採用多次補單方式執行</t>
    <phoneticPr fontId="13" type="noConversion"/>
  </si>
  <si>
    <t>抓量秤重差異造成超用
確認分切工程穩定分切長度減少規格異常，再針對秤重手法教育訓練，並增加線上抽秤頻率。</t>
    <phoneticPr fontId="13" type="noConversion"/>
  </si>
  <si>
    <t>秤重標準差異造成超用
針對人員過磅標準教育訓練，並增加線上抽秤頻率，超用量已持續下降。</t>
    <phoneticPr fontId="13" type="noConversion"/>
  </si>
  <si>
    <t>抓量較不穩定造成超用
針對定量管理確認、撥鬆作業加強，及人員抓量手法教育訓練，並增加線上抽秤頻率。</t>
    <phoneticPr fontId="13" type="noConversion"/>
  </si>
  <si>
    <t>0728-0803 總合計↑</t>
    <phoneticPr fontId="13" type="noConversion"/>
  </si>
  <si>
    <t>W5</t>
    <phoneticPr fontId="13" type="noConversion"/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</si>
  <si>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週更新(0728-0803)</t>
    </r>
    <phoneticPr fontId="13" type="noConversion"/>
  </si>
  <si>
    <t>產線配置圖－每週更新(0728-0803)</t>
  </si>
  <si>
    <t>醬油生鮭脆卷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</si>
  <si>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週更新(0728-0803)</t>
    </r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</si>
  <si>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性前幾名品項(0804-0810)</t>
    </r>
    <phoneticPr fontId="13" type="noConversion"/>
  </si>
  <si>
    <t>歐姆蛋(110年)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</si>
</sst>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.00_ "/>
  </numFmts>
  <fonts count="129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sz val="9"/>
      <name val="Arial"/>
      <family val="2"/>
      <charset val="136"/>
      <scheme val="minor"/>
    </font>
    <font>
      <sz val="14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000000"/>
      <name val="Meiryo UI"/>
      <family val="2"/>
      <charset val="136"/>
    </font>
    <font>
      <b/>
      <sz val="12"/>
      <color theme="1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0"/>
      <color rgb="FF000000"/>
      <name val="Microsoft JhengHei UI"/>
      <family val="2"/>
      <charset val="136"/>
    </font>
    <font>
      <sz val="12"/>
      <name val="細明體"/>
      <family val="3"/>
      <charset val="136"/>
    </font>
    <font>
      <b/>
      <sz val="20"/>
      <color theme="0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4"/>
      <color theme="1"/>
      <name val="Noto Sans CJK SC"/>
      <family val="2"/>
    </font>
    <font>
      <sz val="11"/>
      <color theme="1"/>
      <name val="Calibri"/>
      <family val="2"/>
    </font>
    <font>
      <sz val="12"/>
      <color theme="1"/>
      <name val="Microsoft JhengHei"/>
      <family val="2"/>
      <charset val="136"/>
    </font>
    <font>
      <sz val="12"/>
      <color rgb="FF000000"/>
      <name val="Microsoft JhengHei"/>
      <family val="2"/>
    </font>
    <font>
      <sz val="12"/>
      <color rgb="FF000000"/>
      <name val="新細明體"/>
      <family val="2"/>
      <charset val="136"/>
    </font>
    <font>
      <b/>
      <sz val="12"/>
      <color theme="1"/>
      <name val="Meiryo UI"/>
      <family val="2"/>
      <charset val="136"/>
    </font>
    <font>
      <b/>
      <sz val="12"/>
      <name val="Meiryo UI"/>
      <family val="2"/>
    </font>
    <font>
      <b/>
      <sz val="12"/>
      <name val="Meiryo UI"/>
      <family val="2"/>
      <charset val="136"/>
    </font>
    <font>
      <b/>
      <sz val="12"/>
      <name val="Meiryo UI"/>
      <family val="2"/>
      <charset val="128"/>
    </font>
    <font>
      <sz val="14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2"/>
      <color rgb="FF000000"/>
      <name val="Meiryo UI"/>
      <family val="2"/>
      <charset val="136"/>
    </font>
    <font>
      <sz val="11"/>
      <color theme="1"/>
      <name val="Meiryo UI"/>
      <family val="2"/>
      <charset val="136"/>
    </font>
    <font>
      <sz val="11"/>
      <color theme="1"/>
      <name val="細明體"/>
      <family val="2"/>
      <charset val="136"/>
    </font>
    <font>
      <b/>
      <sz val="12"/>
      <color theme="1"/>
      <name val="Meiryo UI"/>
      <family val="3"/>
      <charset val="136"/>
    </font>
    <font>
      <sz val="12"/>
      <color rgb="FF000000"/>
      <name val="Meiryo UI"/>
      <family val="2"/>
      <charset val="128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9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thin">
        <color indexed="64"/>
      </bottom>
      <diagonal/>
    </border>
  </borders>
  <cellStyleXfs count="36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025">
    <xf numFmtId="0" fontId="0" fillId="0" borderId="0" xfId="0"/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/>
    <xf numFmtId="0" fontId="14" fillId="0" borderId="0" xfId="0" applyFont="1"/>
    <xf numFmtId="0" fontId="18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14" fillId="0" borderId="0" xfId="0" applyNumberFormat="1" applyFont="1"/>
    <xf numFmtId="176" fontId="17" fillId="0" borderId="0" xfId="0" applyNumberFormat="1" applyFont="1" applyAlignment="1">
      <alignment horizontal="center" vertical="center"/>
    </xf>
    <xf numFmtId="180" fontId="17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82" fontId="26" fillId="0" borderId="0" xfId="0" applyNumberFormat="1" applyFont="1" applyAlignment="1">
      <alignment horizontal="center"/>
    </xf>
    <xf numFmtId="0" fontId="31" fillId="0" borderId="0" xfId="0" applyFont="1"/>
    <xf numFmtId="177" fontId="26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8" fillId="0" borderId="0" xfId="0" applyFont="1" applyAlignment="1">
      <alignment shrinkToFit="1"/>
    </xf>
    <xf numFmtId="0" fontId="43" fillId="0" borderId="0" xfId="0" applyFont="1" applyAlignment="1">
      <alignment shrinkToFit="1"/>
    </xf>
    <xf numFmtId="0" fontId="26" fillId="0" borderId="22" xfId="0" applyFont="1" applyBorder="1" applyAlignment="1">
      <alignment shrinkToFit="1"/>
    </xf>
    <xf numFmtId="0" fontId="26" fillId="0" borderId="0" xfId="0" applyFont="1" applyAlignment="1">
      <alignment horizontal="center" shrinkToFit="1"/>
    </xf>
    <xf numFmtId="0" fontId="28" fillId="0" borderId="0" xfId="0" applyFont="1" applyAlignment="1">
      <alignment horizontal="center" shrinkToFit="1"/>
    </xf>
    <xf numFmtId="0" fontId="26" fillId="0" borderId="0" xfId="0" applyFont="1" applyAlignment="1">
      <alignment horizontal="center" vertical="center" shrinkToFit="1"/>
    </xf>
    <xf numFmtId="0" fontId="43" fillId="0" borderId="22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0" fontId="28" fillId="4" borderId="0" xfId="0" applyFont="1" applyFill="1" applyAlignment="1">
      <alignment shrinkToFit="1"/>
    </xf>
    <xf numFmtId="0" fontId="46" fillId="0" borderId="0" xfId="0" applyFont="1"/>
    <xf numFmtId="0" fontId="48" fillId="0" borderId="0" xfId="0" applyFont="1"/>
    <xf numFmtId="10" fontId="43" fillId="0" borderId="0" xfId="0" applyNumberFormat="1" applyFont="1" applyAlignment="1">
      <alignment shrinkToFit="1"/>
    </xf>
    <xf numFmtId="0" fontId="44" fillId="0" borderId="0" xfId="0" applyFont="1"/>
    <xf numFmtId="0" fontId="49" fillId="0" borderId="22" xfId="0" applyFont="1" applyBorder="1" applyAlignment="1">
      <alignment horizontal="center" vertical="center" shrinkToFit="1"/>
    </xf>
    <xf numFmtId="0" fontId="49" fillId="9" borderId="22" xfId="0" applyFont="1" applyFill="1" applyBorder="1" applyAlignment="1">
      <alignment horizontal="center" vertical="center" shrinkToFit="1"/>
    </xf>
    <xf numFmtId="0" fontId="43" fillId="0" borderId="22" xfId="0" applyFont="1" applyBorder="1" applyAlignment="1">
      <alignment horizontal="center" shrinkToFit="1"/>
    </xf>
    <xf numFmtId="3" fontId="28" fillId="0" borderId="22" xfId="0" applyNumberFormat="1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4" fontId="28" fillId="0" borderId="22" xfId="0" applyNumberFormat="1" applyFont="1" applyBorder="1" applyAlignment="1">
      <alignment horizontal="right" shrinkToFit="1"/>
    </xf>
    <xf numFmtId="0" fontId="43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shrinkToFit="1"/>
    </xf>
    <xf numFmtId="0" fontId="7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7" fillId="0" borderId="0" xfId="0" applyFont="1" applyAlignment="1">
      <alignment horizontal="right" shrinkToFit="1"/>
    </xf>
    <xf numFmtId="0" fontId="11" fillId="0" borderId="0" xfId="0" applyFont="1" applyAlignment="1">
      <alignment shrinkToFit="1"/>
    </xf>
    <xf numFmtId="0" fontId="8" fillId="0" borderId="0" xfId="0" applyFont="1" applyAlignment="1">
      <alignment shrinkToFit="1"/>
    </xf>
    <xf numFmtId="0" fontId="26" fillId="4" borderId="0" xfId="0" applyFont="1" applyFill="1" applyAlignment="1">
      <alignment horizontal="center" vertical="center" shrinkToFit="1"/>
    </xf>
    <xf numFmtId="0" fontId="26" fillId="4" borderId="0" xfId="0" applyFont="1" applyFill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184" fontId="58" fillId="0" borderId="0" xfId="11" applyNumberFormat="1" applyFont="1" applyAlignment="1">
      <alignment shrinkToFit="1"/>
    </xf>
    <xf numFmtId="0" fontId="43" fillId="0" borderId="6" xfId="11" applyFont="1" applyBorder="1" applyAlignment="1">
      <alignment horizontal="center" shrinkToFit="1"/>
    </xf>
    <xf numFmtId="3" fontId="36" fillId="0" borderId="6" xfId="11" applyNumberFormat="1" applyFont="1" applyBorder="1" applyAlignment="1">
      <alignment shrinkToFit="1"/>
    </xf>
    <xf numFmtId="10" fontId="36" fillId="0" borderId="6" xfId="11" applyNumberFormat="1" applyFont="1" applyBorder="1" applyAlignment="1">
      <alignment shrinkToFit="1"/>
    </xf>
    <xf numFmtId="3" fontId="28" fillId="0" borderId="22" xfId="11" applyNumberFormat="1" applyFont="1" applyBorder="1" applyAlignment="1">
      <alignment shrinkToFit="1"/>
    </xf>
    <xf numFmtId="10" fontId="28" fillId="0" borderId="22" xfId="11" applyNumberFormat="1" applyFont="1" applyBorder="1" applyAlignment="1">
      <alignment shrinkToFit="1"/>
    </xf>
    <xf numFmtId="0" fontId="43" fillId="0" borderId="1" xfId="11" applyFont="1" applyBorder="1" applyAlignment="1">
      <alignment horizontal="center" shrinkToFit="1"/>
    </xf>
    <xf numFmtId="3" fontId="36" fillId="0" borderId="1" xfId="11" applyNumberFormat="1" applyFont="1" applyBorder="1" applyAlignment="1">
      <alignment shrinkToFit="1"/>
    </xf>
    <xf numFmtId="0" fontId="31" fillId="0" borderId="0" xfId="11" applyFont="1"/>
    <xf numFmtId="0" fontId="31" fillId="0" borderId="0" xfId="11" applyFont="1" applyAlignment="1">
      <alignment vertical="center"/>
    </xf>
    <xf numFmtId="0" fontId="31" fillId="0" borderId="0" xfId="11" applyFont="1" applyAlignment="1">
      <alignment horizontal="center" vertical="center"/>
    </xf>
    <xf numFmtId="0" fontId="7" fillId="0" borderId="0" xfId="5"/>
    <xf numFmtId="0" fontId="64" fillId="9" borderId="30" xfId="5" applyFont="1" applyFill="1" applyBorder="1"/>
    <xf numFmtId="0" fontId="64" fillId="0" borderId="0" xfId="5" applyFont="1"/>
    <xf numFmtId="0" fontId="64" fillId="0" borderId="22" xfId="5" applyFont="1" applyBorder="1"/>
    <xf numFmtId="0" fontId="64" fillId="9" borderId="22" xfId="5" applyFont="1" applyFill="1" applyBorder="1"/>
    <xf numFmtId="185" fontId="26" fillId="0" borderId="0" xfId="0" applyNumberFormat="1" applyFont="1"/>
    <xf numFmtId="0" fontId="28" fillId="0" borderId="22" xfId="11" applyFont="1" applyBorder="1" applyAlignment="1">
      <alignment horizontal="center" vertical="center" shrinkToFit="1"/>
    </xf>
    <xf numFmtId="0" fontId="36" fillId="5" borderId="23" xfId="5" applyFont="1" applyFill="1" applyBorder="1" applyAlignment="1">
      <alignment horizontal="center" vertical="center"/>
    </xf>
    <xf numFmtId="0" fontId="65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shrinkToFit="1"/>
    </xf>
    <xf numFmtId="0" fontId="57" fillId="2" borderId="22" xfId="0" applyFont="1" applyFill="1" applyBorder="1" applyAlignment="1">
      <alignment horizontal="center" vertical="center" shrinkToFit="1"/>
    </xf>
    <xf numFmtId="0" fontId="31" fillId="5" borderId="23" xfId="11" applyFont="1" applyFill="1" applyBorder="1" applyAlignment="1">
      <alignment horizontal="center" vertical="center"/>
    </xf>
    <xf numFmtId="186" fontId="26" fillId="0" borderId="0" xfId="0" applyNumberFormat="1" applyFont="1"/>
    <xf numFmtId="0" fontId="14" fillId="9" borderId="0" xfId="11" applyFont="1" applyFill="1" applyAlignment="1">
      <alignment vertical="center"/>
    </xf>
    <xf numFmtId="188" fontId="26" fillId="0" borderId="0" xfId="0" applyNumberFormat="1" applyFont="1"/>
    <xf numFmtId="189" fontId="26" fillId="0" borderId="0" xfId="0" applyNumberFormat="1" applyFont="1"/>
    <xf numFmtId="0" fontId="26" fillId="9" borderId="0" xfId="0" applyFont="1" applyFill="1" applyAlignment="1">
      <alignment horizontal="center"/>
    </xf>
    <xf numFmtId="10" fontId="27" fillId="0" borderId="0" xfId="0" applyNumberFormat="1" applyFont="1" applyAlignment="1">
      <alignment horizontal="center" vertical="center"/>
    </xf>
    <xf numFmtId="186" fontId="14" fillId="0" borderId="0" xfId="0" applyNumberFormat="1" applyFont="1"/>
    <xf numFmtId="186" fontId="27" fillId="0" borderId="0" xfId="0" applyNumberFormat="1" applyFont="1" applyAlignment="1">
      <alignment horizontal="center" vertical="center"/>
    </xf>
    <xf numFmtId="0" fontId="57" fillId="0" borderId="22" xfId="0" applyFont="1" applyBorder="1" applyAlignment="1">
      <alignment horizontal="center" vertical="center" shrinkToFit="1"/>
    </xf>
    <xf numFmtId="179" fontId="14" fillId="0" borderId="22" xfId="0" applyNumberFormat="1" applyFont="1" applyBorder="1" applyAlignment="1">
      <alignment horizontal="center"/>
    </xf>
    <xf numFmtId="189" fontId="14" fillId="9" borderId="22" xfId="0" applyNumberFormat="1" applyFont="1" applyFill="1" applyBorder="1" applyAlignment="1">
      <alignment vertical="center" shrinkToFit="1"/>
    </xf>
    <xf numFmtId="10" fontId="14" fillId="0" borderId="22" xfId="0" applyNumberFormat="1" applyFont="1" applyBorder="1" applyAlignment="1">
      <alignment vertical="center"/>
    </xf>
    <xf numFmtId="10" fontId="27" fillId="0" borderId="23" xfId="0" applyNumberFormat="1" applyFont="1" applyBorder="1" applyAlignment="1">
      <alignment horizontal="center" vertical="center"/>
    </xf>
    <xf numFmtId="18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shrinkToFi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shrinkToFit="1"/>
    </xf>
    <xf numFmtId="0" fontId="14" fillId="0" borderId="0" xfId="0" applyFont="1" applyAlignment="1">
      <alignment vertical="center" shrinkToFit="1"/>
    </xf>
    <xf numFmtId="0" fontId="14" fillId="0" borderId="22" xfId="0" applyFont="1" applyBorder="1" applyAlignment="1">
      <alignment horizontal="center" vertical="center"/>
    </xf>
    <xf numFmtId="0" fontId="14" fillId="9" borderId="22" xfId="0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left" vertical="center" shrinkToFit="1"/>
    </xf>
    <xf numFmtId="1" fontId="14" fillId="0" borderId="22" xfId="0" applyNumberFormat="1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/>
    </xf>
    <xf numFmtId="1" fontId="14" fillId="9" borderId="22" xfId="0" applyNumberFormat="1" applyFont="1" applyFill="1" applyBorder="1" applyAlignment="1">
      <alignment horizontal="center" vertical="center" shrinkToFit="1"/>
    </xf>
    <xf numFmtId="183" fontId="14" fillId="9" borderId="22" xfId="0" applyNumberFormat="1" applyFont="1" applyFill="1" applyBorder="1" applyAlignment="1">
      <alignment horizontal="center" vertical="center" shrinkToFit="1"/>
    </xf>
    <xf numFmtId="1" fontId="14" fillId="0" borderId="22" xfId="0" applyNumberFormat="1" applyFont="1" applyBorder="1" applyAlignment="1">
      <alignment horizontal="center" vertical="center" shrinkToFit="1"/>
    </xf>
    <xf numFmtId="0" fontId="14" fillId="0" borderId="0" xfId="0" applyFont="1" applyAlignment="1">
      <alignment shrinkToFit="1"/>
    </xf>
    <xf numFmtId="0" fontId="14" fillId="4" borderId="0" xfId="0" applyFont="1" applyFill="1" applyAlignment="1">
      <alignment shrinkToFit="1"/>
    </xf>
    <xf numFmtId="0" fontId="57" fillId="5" borderId="22" xfId="0" applyFont="1" applyFill="1" applyBorder="1" applyAlignment="1">
      <alignment horizontal="center" vertical="center" shrinkToFit="1"/>
    </xf>
    <xf numFmtId="0" fontId="15" fillId="4" borderId="0" xfId="0" applyFont="1" applyFill="1" applyAlignment="1">
      <alignment horizontal="center" vertical="center" shrinkToFit="1"/>
    </xf>
    <xf numFmtId="0" fontId="14" fillId="4" borderId="0" xfId="0" applyFont="1" applyFill="1" applyAlignment="1">
      <alignment horizontal="center" vertical="center" shrinkToFit="1"/>
    </xf>
    <xf numFmtId="0" fontId="57" fillId="5" borderId="22" xfId="0" applyFont="1" applyFill="1" applyBorder="1" applyAlignment="1">
      <alignment horizontal="center" shrinkToFit="1"/>
    </xf>
    <xf numFmtId="0" fontId="57" fillId="0" borderId="22" xfId="0" applyFont="1" applyBorder="1" applyAlignment="1">
      <alignment horizontal="center" shrinkToFit="1"/>
    </xf>
    <xf numFmtId="0" fontId="15" fillId="4" borderId="22" xfId="0" applyFont="1" applyFill="1" applyBorder="1" applyAlignment="1">
      <alignment horizontal="center" shrinkToFit="1"/>
    </xf>
    <xf numFmtId="0" fontId="57" fillId="4" borderId="22" xfId="0" applyFont="1" applyFill="1" applyBorder="1" applyAlignment="1">
      <alignment horizontal="center" shrinkToFit="1"/>
    </xf>
    <xf numFmtId="0" fontId="15" fillId="4" borderId="0" xfId="0" applyFont="1" applyFill="1" applyAlignment="1">
      <alignment horizontal="center" shrinkToFit="1"/>
    </xf>
    <xf numFmtId="0" fontId="14" fillId="0" borderId="0" xfId="0" applyFont="1" applyAlignment="1">
      <alignment horizontal="center" shrinkToFit="1"/>
    </xf>
    <xf numFmtId="0" fontId="57" fillId="0" borderId="22" xfId="0" applyFont="1" applyBorder="1" applyAlignment="1">
      <alignment shrinkToFit="1"/>
    </xf>
    <xf numFmtId="0" fontId="72" fillId="0" borderId="22" xfId="0" applyFont="1" applyBorder="1" applyAlignment="1">
      <alignment shrinkToFit="1"/>
    </xf>
    <xf numFmtId="1" fontId="57" fillId="0" borderId="22" xfId="0" applyNumberFormat="1" applyFont="1" applyBorder="1" applyAlignment="1">
      <alignment shrinkToFit="1"/>
    </xf>
    <xf numFmtId="183" fontId="57" fillId="0" borderId="22" xfId="0" applyNumberFormat="1" applyFont="1" applyBorder="1" applyAlignment="1">
      <alignment shrinkToFit="1"/>
    </xf>
    <xf numFmtId="0" fontId="57" fillId="0" borderId="22" xfId="0" applyFont="1" applyBorder="1" applyAlignment="1">
      <alignment horizontal="right" shrinkToFit="1"/>
    </xf>
    <xf numFmtId="1" fontId="72" fillId="0" borderId="22" xfId="0" applyNumberFormat="1" applyFont="1" applyBorder="1" applyAlignment="1">
      <alignment shrinkToFit="1"/>
    </xf>
    <xf numFmtId="183" fontId="72" fillId="0" borderId="22" xfId="0" applyNumberFormat="1" applyFont="1" applyBorder="1" applyAlignment="1">
      <alignment shrinkToFit="1"/>
    </xf>
    <xf numFmtId="0" fontId="57" fillId="2" borderId="22" xfId="0" applyFont="1" applyFill="1" applyBorder="1" applyAlignment="1">
      <alignment horizontal="center" shrinkToFit="1"/>
    </xf>
    <xf numFmtId="0" fontId="14" fillId="4" borderId="0" xfId="0" applyFont="1" applyFill="1" applyAlignment="1">
      <alignment horizontal="center" shrinkToFit="1"/>
    </xf>
    <xf numFmtId="0" fontId="15" fillId="5" borderId="22" xfId="0" applyFont="1" applyFill="1" applyBorder="1" applyAlignment="1">
      <alignment horizontal="center" shrinkToFit="1"/>
    </xf>
    <xf numFmtId="183" fontId="28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68" fillId="0" borderId="67" xfId="0" applyFont="1" applyBorder="1" applyAlignment="1">
      <alignment horizontal="left" vertical="center"/>
    </xf>
    <xf numFmtId="10" fontId="28" fillId="3" borderId="50" xfId="0" applyNumberFormat="1" applyFont="1" applyFill="1" applyBorder="1" applyAlignment="1">
      <alignment horizontal="center" vertical="center" shrinkToFit="1"/>
    </xf>
    <xf numFmtId="190" fontId="26" fillId="0" borderId="0" xfId="0" applyNumberFormat="1" applyFont="1"/>
    <xf numFmtId="177" fontId="27" fillId="0" borderId="23" xfId="0" applyNumberFormat="1" applyFont="1" applyBorder="1" applyAlignment="1">
      <alignment horizontal="center" vertical="center"/>
    </xf>
    <xf numFmtId="184" fontId="28" fillId="0" borderId="22" xfId="0" applyNumberFormat="1" applyFont="1" applyBorder="1" applyAlignment="1">
      <alignment shrinkToFit="1"/>
    </xf>
    <xf numFmtId="0" fontId="74" fillId="0" borderId="22" xfId="0" applyFont="1" applyBorder="1" applyAlignment="1">
      <alignment shrinkToFit="1"/>
    </xf>
    <xf numFmtId="191" fontId="28" fillId="0" borderId="22" xfId="0" applyNumberFormat="1" applyFont="1" applyBorder="1" applyAlignment="1">
      <alignment horizontal="right" shrinkToFit="1"/>
    </xf>
    <xf numFmtId="185" fontId="28" fillId="0" borderId="22" xfId="0" applyNumberFormat="1" applyFont="1" applyBorder="1" applyAlignment="1">
      <alignment shrinkToFit="1"/>
    </xf>
    <xf numFmtId="186" fontId="28" fillId="0" borderId="22" xfId="0" applyNumberFormat="1" applyFont="1" applyBorder="1" applyAlignment="1">
      <alignment shrinkToFit="1"/>
    </xf>
    <xf numFmtId="192" fontId="28" fillId="0" borderId="22" xfId="0" applyNumberFormat="1" applyFont="1" applyBorder="1" applyAlignment="1">
      <alignment shrinkToFit="1"/>
    </xf>
    <xf numFmtId="191" fontId="28" fillId="0" borderId="22" xfId="0" applyNumberFormat="1" applyFont="1" applyBorder="1" applyAlignment="1">
      <alignment shrinkToFit="1"/>
    </xf>
    <xf numFmtId="191" fontId="27" fillId="0" borderId="22" xfId="0" applyNumberFormat="1" applyFont="1" applyBorder="1" applyAlignment="1">
      <alignment shrinkToFit="1"/>
    </xf>
    <xf numFmtId="0" fontId="67" fillId="0" borderId="0" xfId="11" applyFont="1" applyAlignment="1">
      <alignment shrinkToFit="1"/>
    </xf>
    <xf numFmtId="0" fontId="14" fillId="0" borderId="0" xfId="11" applyFont="1" applyAlignment="1">
      <alignment shrinkToFit="1"/>
    </xf>
    <xf numFmtId="0" fontId="28" fillId="0" borderId="0" xfId="11" applyFont="1" applyAlignment="1">
      <alignment shrinkToFit="1"/>
    </xf>
    <xf numFmtId="184" fontId="43" fillId="0" borderId="0" xfId="11" applyNumberFormat="1" applyFont="1" applyAlignment="1">
      <alignment shrinkToFit="1"/>
    </xf>
    <xf numFmtId="0" fontId="58" fillId="0" borderId="6" xfId="11" applyFont="1" applyBorder="1" applyAlignment="1">
      <alignment horizontal="center" shrinkToFit="1"/>
    </xf>
    <xf numFmtId="0" fontId="58" fillId="0" borderId="1" xfId="11" applyFont="1" applyBorder="1" applyAlignment="1">
      <alignment horizontal="center" shrinkToFit="1"/>
    </xf>
    <xf numFmtId="186" fontId="36" fillId="0" borderId="6" xfId="11" applyNumberFormat="1" applyFont="1" applyBorder="1" applyAlignment="1">
      <alignment shrinkToFit="1"/>
    </xf>
    <xf numFmtId="10" fontId="14" fillId="0" borderId="22" xfId="0" applyNumberFormat="1" applyFont="1" applyBorder="1"/>
    <xf numFmtId="0" fontId="24" fillId="0" borderId="0" xfId="11"/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8" fillId="0" borderId="22" xfId="11" applyFont="1" applyBorder="1" applyAlignment="1">
      <alignment vertical="center" shrinkToFit="1"/>
    </xf>
    <xf numFmtId="0" fontId="28" fillId="0" borderId="4" xfId="11" applyFont="1" applyBorder="1" applyAlignment="1">
      <alignment vertical="center"/>
    </xf>
    <xf numFmtId="0" fontId="28" fillId="0" borderId="2" xfId="11" applyFont="1" applyBorder="1" applyAlignment="1">
      <alignment vertical="center"/>
    </xf>
    <xf numFmtId="0" fontId="28" fillId="0" borderId="3" xfId="11" applyFont="1" applyBorder="1" applyAlignment="1">
      <alignment vertical="center"/>
    </xf>
    <xf numFmtId="0" fontId="28" fillId="0" borderId="25" xfId="11" applyFont="1" applyBorder="1" applyAlignment="1">
      <alignment horizontal="left" vertical="center"/>
    </xf>
    <xf numFmtId="0" fontId="28" fillId="0" borderId="28" xfId="11" applyFont="1" applyBorder="1" applyAlignment="1">
      <alignment horizontal="left" vertical="center"/>
    </xf>
    <xf numFmtId="10" fontId="28" fillId="0" borderId="22" xfId="11" applyNumberFormat="1" applyFont="1" applyBorder="1" applyAlignment="1">
      <alignment vertical="center" shrinkToFit="1"/>
    </xf>
    <xf numFmtId="0" fontId="64" fillId="0" borderId="22" xfId="11" applyFont="1" applyBorder="1" applyAlignment="1">
      <alignment horizontal="left" vertical="center" shrinkToFit="1"/>
    </xf>
    <xf numFmtId="0" fontId="28" fillId="0" borderId="54" xfId="11" applyFont="1" applyBorder="1" applyAlignment="1">
      <alignment vertical="center"/>
    </xf>
    <xf numFmtId="0" fontId="28" fillId="0" borderId="47" xfId="11" applyFont="1" applyBorder="1" applyAlignment="1">
      <alignment vertical="center"/>
    </xf>
    <xf numFmtId="0" fontId="28" fillId="0" borderId="48" xfId="11" applyFont="1" applyBorder="1" applyAlignment="1">
      <alignment vertical="center"/>
    </xf>
    <xf numFmtId="0" fontId="28" fillId="0" borderId="64" xfId="11" applyFont="1" applyBorder="1" applyAlignment="1">
      <alignment vertical="center" shrinkToFit="1"/>
    </xf>
    <xf numFmtId="10" fontId="28" fillId="0" borderId="64" xfId="11" applyNumberFormat="1" applyFont="1" applyBorder="1" applyAlignment="1">
      <alignment vertical="center" shrinkToFit="1"/>
    </xf>
    <xf numFmtId="0" fontId="28" fillId="2" borderId="49" xfId="11" applyFont="1" applyFill="1" applyBorder="1" applyAlignment="1">
      <alignment horizontal="center" vertical="center" shrinkToFit="1"/>
    </xf>
    <xf numFmtId="0" fontId="28" fillId="3" borderId="51" xfId="11" applyFont="1" applyFill="1" applyBorder="1" applyAlignment="1">
      <alignment vertical="center" shrinkToFit="1"/>
    </xf>
    <xf numFmtId="0" fontId="76" fillId="0" borderId="0" xfId="11" applyFont="1" applyAlignment="1">
      <alignment horizontal="left" vertical="center" shrinkToFit="1"/>
    </xf>
    <xf numFmtId="0" fontId="28" fillId="2" borderId="56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8" fillId="2" borderId="60" xfId="11" applyFont="1" applyFill="1" applyBorder="1" applyAlignment="1">
      <alignment horizontal="center" vertical="center" shrinkToFit="1"/>
    </xf>
    <xf numFmtId="0" fontId="64" fillId="2" borderId="60" xfId="11" applyFont="1" applyFill="1" applyBorder="1" applyAlignment="1">
      <alignment horizontal="left" vertical="center" shrinkToFit="1"/>
    </xf>
    <xf numFmtId="0" fontId="28" fillId="0" borderId="42" xfId="11" applyFont="1" applyBorder="1" applyAlignment="1">
      <alignment vertical="center" shrinkToFit="1"/>
    </xf>
    <xf numFmtId="0" fontId="28" fillId="0" borderId="1" xfId="11" applyFont="1" applyBorder="1" applyAlignment="1">
      <alignment vertical="center" shrinkToFit="1"/>
    </xf>
    <xf numFmtId="10" fontId="28" fillId="0" borderId="1" xfId="11" applyNumberFormat="1" applyFont="1" applyBorder="1" applyAlignment="1">
      <alignment vertical="center" shrinkToFit="1"/>
    </xf>
    <xf numFmtId="0" fontId="28" fillId="3" borderId="1" xfId="11" applyFont="1" applyFill="1" applyBorder="1" applyAlignment="1">
      <alignment vertical="center" shrinkToFit="1"/>
    </xf>
    <xf numFmtId="0" fontId="64" fillId="0" borderId="1" xfId="11" applyFont="1" applyBorder="1" applyAlignment="1">
      <alignment horizontal="left" vertical="center" shrinkToFit="1"/>
    </xf>
    <xf numFmtId="0" fontId="68" fillId="0" borderId="0" xfId="0" applyFont="1" applyAlignment="1">
      <alignment horizontal="left" vertical="center" indent="1"/>
    </xf>
    <xf numFmtId="0" fontId="28" fillId="0" borderId="41" xfId="11" applyFont="1" applyBorder="1" applyAlignment="1">
      <alignment vertical="center" shrinkToFit="1"/>
    </xf>
    <xf numFmtId="0" fontId="28" fillId="0" borderId="65" xfId="11" applyFont="1" applyBorder="1" applyAlignment="1">
      <alignment vertical="center" shrinkToFit="1"/>
    </xf>
    <xf numFmtId="10" fontId="28" fillId="0" borderId="65" xfId="11" applyNumberFormat="1" applyFont="1" applyBorder="1" applyAlignment="1">
      <alignment vertical="center" shrinkToFit="1"/>
    </xf>
    <xf numFmtId="0" fontId="28" fillId="3" borderId="65" xfId="11" applyFont="1" applyFill="1" applyBorder="1" applyAlignment="1">
      <alignment vertical="center" shrinkToFit="1"/>
    </xf>
    <xf numFmtId="0" fontId="64" fillId="0" borderId="55" xfId="11" applyFont="1" applyBorder="1" applyAlignment="1">
      <alignment horizontal="left" vertical="center" shrinkToFit="1"/>
    </xf>
    <xf numFmtId="0" fontId="76" fillId="0" borderId="0" xfId="11" applyFont="1" applyAlignment="1">
      <alignment vertical="center" shrinkToFit="1"/>
    </xf>
    <xf numFmtId="0" fontId="28" fillId="0" borderId="62" xfId="11" applyFont="1" applyBorder="1" applyAlignment="1">
      <alignment vertical="center"/>
    </xf>
    <xf numFmtId="0" fontId="28" fillId="0" borderId="3" xfId="11" applyFont="1" applyBorder="1" applyAlignment="1">
      <alignment vertical="center" shrinkToFit="1"/>
    </xf>
    <xf numFmtId="0" fontId="64" fillId="0" borderId="1" xfId="11" applyFont="1" applyBorder="1" applyAlignment="1">
      <alignment vertical="center" shrinkToFit="1"/>
    </xf>
    <xf numFmtId="0" fontId="28" fillId="0" borderId="63" xfId="11" applyFont="1" applyBorder="1" applyAlignment="1">
      <alignment vertical="center"/>
    </xf>
    <xf numFmtId="0" fontId="28" fillId="0" borderId="8" xfId="11" applyFont="1" applyBorder="1" applyAlignment="1">
      <alignment vertical="center" shrinkToFit="1"/>
    </xf>
    <xf numFmtId="0" fontId="28" fillId="0" borderId="5" xfId="11" applyFont="1" applyBorder="1" applyAlignment="1">
      <alignment vertical="center" shrinkToFit="1"/>
    </xf>
    <xf numFmtId="0" fontId="28" fillId="2" borderId="44" xfId="11" applyFont="1" applyFill="1" applyBorder="1" applyAlignment="1">
      <alignment horizont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11" fillId="2" borderId="1" xfId="11" applyFont="1" applyFill="1" applyBorder="1" applyAlignment="1">
      <alignment horizontal="center" vertical="center" shrinkToFit="1"/>
    </xf>
    <xf numFmtId="0" fontId="7" fillId="2" borderId="1" xfId="11" applyFont="1" applyFill="1" applyBorder="1" applyAlignment="1">
      <alignment horizontal="center" vertical="center" shrinkToFit="1"/>
    </xf>
    <xf numFmtId="0" fontId="24" fillId="0" borderId="0" xfId="11" applyAlignment="1">
      <alignment horizontal="center" vertical="center" shrinkToFit="1"/>
    </xf>
    <xf numFmtId="0" fontId="7" fillId="0" borderId="22" xfId="11" applyFont="1" applyBorder="1" applyAlignment="1">
      <alignment vertical="center" shrinkToFit="1"/>
    </xf>
    <xf numFmtId="0" fontId="28" fillId="0" borderId="4" xfId="11" applyFont="1" applyBorder="1"/>
    <xf numFmtId="0" fontId="28" fillId="0" borderId="2" xfId="11" applyFont="1" applyBorder="1"/>
    <xf numFmtId="0" fontId="28" fillId="0" borderId="3" xfId="11" applyFont="1" applyBorder="1"/>
    <xf numFmtId="0" fontId="28" fillId="0" borderId="27" xfId="11" applyFont="1" applyBorder="1" applyAlignment="1">
      <alignment horizontal="left"/>
    </xf>
    <xf numFmtId="0" fontId="28" fillId="0" borderId="28" xfId="11" applyFont="1" applyBorder="1" applyAlignment="1">
      <alignment horizontal="left"/>
    </xf>
    <xf numFmtId="0" fontId="28" fillId="0" borderId="25" xfId="11" applyFont="1" applyBorder="1" applyAlignment="1">
      <alignment horizontal="left"/>
    </xf>
    <xf numFmtId="0" fontId="7" fillId="0" borderId="3" xfId="11" applyFont="1" applyBorder="1" applyAlignment="1">
      <alignment shrinkToFit="1"/>
    </xf>
    <xf numFmtId="10" fontId="7" fillId="0" borderId="1" xfId="11" applyNumberFormat="1" applyFont="1" applyBorder="1" applyAlignment="1">
      <alignment shrinkToFit="1"/>
    </xf>
    <xf numFmtId="0" fontId="7" fillId="0" borderId="1" xfId="11" applyFont="1" applyBorder="1" applyAlignment="1">
      <alignment shrinkToFit="1"/>
    </xf>
    <xf numFmtId="0" fontId="24" fillId="0" borderId="0" xfId="11" applyAlignment="1">
      <alignment shrinkToFit="1"/>
    </xf>
    <xf numFmtId="0" fontId="28" fillId="0" borderId="54" xfId="11" applyFont="1" applyBorder="1"/>
    <xf numFmtId="0" fontId="28" fillId="0" borderId="47" xfId="11" applyFont="1" applyBorder="1"/>
    <xf numFmtId="0" fontId="28" fillId="0" borderId="48" xfId="11" applyFont="1" applyBorder="1"/>
    <xf numFmtId="0" fontId="7" fillId="0" borderId="8" xfId="11" applyFont="1" applyBorder="1" applyAlignment="1">
      <alignment shrinkToFit="1"/>
    </xf>
    <xf numFmtId="0" fontId="7" fillId="0" borderId="5" xfId="11" applyFont="1" applyBorder="1" applyAlignment="1">
      <alignment shrinkToFit="1"/>
    </xf>
    <xf numFmtId="0" fontId="11" fillId="2" borderId="66" xfId="11" applyFont="1" applyFill="1" applyBorder="1" applyAlignment="1">
      <alignment horizontal="center" shrinkToFit="1"/>
    </xf>
    <xf numFmtId="0" fontId="11" fillId="2" borderId="16" xfId="11" applyFont="1" applyFill="1" applyBorder="1" applyAlignment="1">
      <alignment horizontal="center" shrinkToFit="1"/>
    </xf>
    <xf numFmtId="0" fontId="24" fillId="0" borderId="0" xfId="11" applyAlignment="1">
      <alignment wrapText="1" shrinkToFit="1"/>
    </xf>
    <xf numFmtId="0" fontId="24" fillId="0" borderId="0" xfId="11" applyAlignment="1">
      <alignment vertical="center" shrinkToFit="1"/>
    </xf>
    <xf numFmtId="0" fontId="7" fillId="0" borderId="4" xfId="11" applyFont="1" applyBorder="1" applyAlignment="1">
      <alignment shrinkToFit="1"/>
    </xf>
    <xf numFmtId="0" fontId="9" fillId="0" borderId="3" xfId="11" applyFont="1" applyBorder="1" applyAlignment="1">
      <alignment shrinkToFit="1"/>
    </xf>
    <xf numFmtId="0" fontId="7" fillId="0" borderId="9" xfId="11" applyFont="1" applyBorder="1" applyAlignment="1">
      <alignment shrinkToFit="1"/>
    </xf>
    <xf numFmtId="0" fontId="9" fillId="0" borderId="8" xfId="11" applyFont="1" applyBorder="1" applyAlignment="1">
      <alignment shrinkToFit="1"/>
    </xf>
    <xf numFmtId="0" fontId="11" fillId="2" borderId="22" xfId="11" applyFont="1" applyFill="1" applyBorder="1" applyAlignment="1">
      <alignment horizontal="center" vertical="center" shrinkToFit="1"/>
    </xf>
    <xf numFmtId="0" fontId="11" fillId="2" borderId="3" xfId="11" applyFont="1" applyFill="1" applyBorder="1" applyAlignment="1">
      <alignment horizontal="center" vertical="center" shrinkToFit="1"/>
    </xf>
    <xf numFmtId="0" fontId="28" fillId="0" borderId="28" xfId="11" applyFont="1" applyBorder="1" applyAlignment="1">
      <alignment vertical="center"/>
    </xf>
    <xf numFmtId="0" fontId="28" fillId="0" borderId="25" xfId="11" applyFont="1" applyBorder="1" applyAlignment="1">
      <alignment vertical="center"/>
    </xf>
    <xf numFmtId="185" fontId="83" fillId="0" borderId="22" xfId="0" applyNumberFormat="1" applyFont="1" applyBorder="1" applyAlignment="1">
      <alignment shrinkToFit="1"/>
    </xf>
    <xf numFmtId="177" fontId="14" fillId="9" borderId="22" xfId="0" applyNumberFormat="1" applyFont="1" applyFill="1" applyBorder="1"/>
    <xf numFmtId="0" fontId="58" fillId="0" borderId="0" xfId="0" applyFont="1" applyAlignment="1">
      <alignment shrinkToFit="1"/>
    </xf>
    <xf numFmtId="0" fontId="66" fillId="0" borderId="0" xfId="0" applyFont="1" applyAlignment="1">
      <alignment horizontal="center" vertical="center" shrinkToFit="1"/>
    </xf>
    <xf numFmtId="185" fontId="26" fillId="0" borderId="0" xfId="14" applyNumberFormat="1" applyFont="1" applyAlignment="1">
      <alignment horizontal="center" vertical="center" shrinkToFit="1"/>
    </xf>
    <xf numFmtId="0" fontId="7" fillId="0" borderId="3" xfId="11" applyFont="1" applyBorder="1" applyAlignment="1">
      <alignment vertical="center" shrinkToFit="1"/>
    </xf>
    <xf numFmtId="10" fontId="7" fillId="0" borderId="1" xfId="11" applyNumberFormat="1" applyFont="1" applyBorder="1" applyAlignment="1">
      <alignment vertical="center" shrinkToFit="1"/>
    </xf>
    <xf numFmtId="0" fontId="7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7" fillId="0" borderId="8" xfId="11" applyFont="1" applyBorder="1" applyAlignment="1">
      <alignment vertical="center" shrinkToFit="1"/>
    </xf>
    <xf numFmtId="0" fontId="7" fillId="0" borderId="5" xfId="11" applyFont="1" applyBorder="1" applyAlignment="1">
      <alignment vertical="center" shrinkToFit="1"/>
    </xf>
    <xf numFmtId="0" fontId="68" fillId="0" borderId="0" xfId="0" applyFont="1" applyAlignment="1">
      <alignment horizontal="left" vertical="center"/>
    </xf>
    <xf numFmtId="189" fontId="26" fillId="0" borderId="0" xfId="0" applyNumberFormat="1" applyFont="1" applyAlignment="1">
      <alignment horizontal="center"/>
    </xf>
    <xf numFmtId="189" fontId="14" fillId="0" borderId="22" xfId="0" applyNumberFormat="1" applyFont="1" applyBorder="1" applyAlignment="1">
      <alignment shrinkToFit="1"/>
    </xf>
    <xf numFmtId="190" fontId="14" fillId="0" borderId="22" xfId="0" applyNumberFormat="1" applyFont="1" applyBorder="1"/>
    <xf numFmtId="1" fontId="28" fillId="3" borderId="22" xfId="11" applyNumberFormat="1" applyFont="1" applyFill="1" applyBorder="1" applyAlignment="1">
      <alignment vertical="center" shrinkToFit="1"/>
    </xf>
    <xf numFmtId="1" fontId="28" fillId="3" borderId="64" xfId="11" applyNumberFormat="1" applyFont="1" applyFill="1" applyBorder="1" applyAlignment="1">
      <alignment vertical="center" shrinkToFit="1"/>
    </xf>
    <xf numFmtId="1" fontId="28" fillId="3" borderId="51" xfId="11" applyNumberFormat="1" applyFont="1" applyFill="1" applyBorder="1" applyAlignment="1">
      <alignment vertical="center" shrinkToFit="1"/>
    </xf>
    <xf numFmtId="1" fontId="28" fillId="3" borderId="1" xfId="11" applyNumberFormat="1" applyFont="1" applyFill="1" applyBorder="1" applyAlignment="1">
      <alignment vertical="center" shrinkToFit="1"/>
    </xf>
    <xf numFmtId="1" fontId="28" fillId="3" borderId="45" xfId="11" applyNumberFormat="1" applyFont="1" applyFill="1" applyBorder="1" applyAlignment="1">
      <alignment shrinkToFit="1"/>
    </xf>
    <xf numFmtId="0" fontId="26" fillId="0" borderId="27" xfId="11" applyFont="1" applyBorder="1" applyAlignment="1">
      <alignment horizontal="center" vertical="center" shrinkToFit="1"/>
    </xf>
    <xf numFmtId="0" fontId="57" fillId="0" borderId="27" xfId="11" applyFont="1" applyBorder="1" applyAlignment="1">
      <alignment horizontal="center" vertical="center" shrinkToFit="1"/>
    </xf>
    <xf numFmtId="1" fontId="24" fillId="0" borderId="0" xfId="11" applyNumberFormat="1" applyAlignment="1">
      <alignment shrinkToFit="1"/>
    </xf>
    <xf numFmtId="1" fontId="7" fillId="2" borderId="1" xfId="11" applyNumberFormat="1" applyFont="1" applyFill="1" applyBorder="1" applyAlignment="1">
      <alignment horizontal="center" vertical="center" shrinkToFit="1"/>
    </xf>
    <xf numFmtId="1" fontId="28" fillId="3" borderId="22" xfId="11" applyNumberFormat="1" applyFont="1" applyFill="1" applyBorder="1" applyAlignment="1">
      <alignment shrinkToFit="1"/>
    </xf>
    <xf numFmtId="1" fontId="7" fillId="3" borderId="1" xfId="11" applyNumberFormat="1" applyFont="1" applyFill="1" applyBorder="1" applyAlignment="1">
      <alignment shrinkToFit="1"/>
    </xf>
    <xf numFmtId="1" fontId="7" fillId="3" borderId="5" xfId="11" applyNumberFormat="1" applyFont="1" applyFill="1" applyBorder="1" applyAlignment="1">
      <alignment shrinkToFit="1"/>
    </xf>
    <xf numFmtId="1" fontId="7" fillId="3" borderId="18" xfId="11" applyNumberFormat="1" applyFont="1" applyFill="1" applyBorder="1" applyAlignment="1">
      <alignment shrinkToFit="1"/>
    </xf>
    <xf numFmtId="0" fontId="66" fillId="0" borderId="0" xfId="11" applyFont="1" applyAlignment="1">
      <alignment vertical="center" shrinkToFit="1"/>
    </xf>
    <xf numFmtId="0" fontId="66" fillId="0" borderId="0" xfId="11" applyFont="1" applyAlignment="1">
      <alignment shrinkToFit="1"/>
    </xf>
    <xf numFmtId="0" fontId="0" fillId="0" borderId="0" xfId="0" applyAlignment="1">
      <alignment vertical="center"/>
    </xf>
    <xf numFmtId="10" fontId="28" fillId="3" borderId="50" xfId="11" applyNumberFormat="1" applyFont="1" applyFill="1" applyBorder="1" applyAlignment="1">
      <alignment horizontal="center" vertical="center" shrinkToFit="1"/>
    </xf>
    <xf numFmtId="0" fontId="24" fillId="0" borderId="0" xfId="11" applyAlignment="1">
      <alignment horizontal="left" vertical="center" indent="2"/>
    </xf>
    <xf numFmtId="0" fontId="68" fillId="0" borderId="0" xfId="11" applyFont="1" applyAlignment="1">
      <alignment horizontal="left" vertical="center" indent="1"/>
    </xf>
    <xf numFmtId="0" fontId="24" fillId="0" borderId="0" xfId="11" applyAlignment="1">
      <alignment horizontal="left" vertical="center"/>
    </xf>
    <xf numFmtId="0" fontId="68" fillId="0" borderId="0" xfId="11" applyFont="1" applyAlignment="1">
      <alignment horizontal="left" vertical="center"/>
    </xf>
    <xf numFmtId="0" fontId="68" fillId="0" borderId="67" xfId="11" applyFont="1" applyBorder="1" applyAlignment="1">
      <alignment horizontal="left" vertical="center"/>
    </xf>
    <xf numFmtId="0" fontId="28" fillId="2" borderId="72" xfId="11" applyFont="1" applyFill="1" applyBorder="1" applyAlignment="1">
      <alignment horizontal="center" vertical="center" shrinkToFit="1"/>
    </xf>
    <xf numFmtId="10" fontId="28" fillId="3" borderId="73" xfId="11" applyNumberFormat="1" applyFont="1" applyFill="1" applyBorder="1" applyAlignment="1">
      <alignment horizontal="center" vertical="center" shrinkToFit="1"/>
    </xf>
    <xf numFmtId="0" fontId="28" fillId="2" borderId="74" xfId="11" applyFont="1" applyFill="1" applyBorder="1" applyAlignment="1">
      <alignment horizontal="center" shrinkToFit="1"/>
    </xf>
    <xf numFmtId="0" fontId="11" fillId="2" borderId="75" xfId="11" applyFont="1" applyFill="1" applyBorder="1" applyAlignment="1">
      <alignment horizontal="center" shrinkToFit="1"/>
    </xf>
    <xf numFmtId="0" fontId="11" fillId="2" borderId="74" xfId="11" applyFont="1" applyFill="1" applyBorder="1" applyAlignment="1">
      <alignment horizontal="center" shrinkToFit="1"/>
    </xf>
    <xf numFmtId="1" fontId="7" fillId="3" borderId="76" xfId="11" applyNumberFormat="1" applyFont="1" applyFill="1" applyBorder="1" applyAlignment="1">
      <alignment shrinkToFit="1"/>
    </xf>
    <xf numFmtId="0" fontId="28" fillId="0" borderId="77" xfId="11" applyFont="1" applyBorder="1" applyAlignment="1">
      <alignment vertical="center"/>
    </xf>
    <xf numFmtId="192" fontId="57" fillId="0" borderId="22" xfId="0" applyNumberFormat="1" applyFont="1" applyBorder="1" applyAlignment="1">
      <alignment shrinkToFit="1"/>
    </xf>
    <xf numFmtId="0" fontId="26" fillId="0" borderId="22" xfId="11" applyFont="1" applyBorder="1" applyAlignment="1">
      <alignment horizontal="center" vertical="center" shrinkToFit="1"/>
    </xf>
    <xf numFmtId="0" fontId="57" fillId="0" borderId="22" xfId="11" applyFont="1" applyBorder="1" applyAlignment="1">
      <alignment horizontal="center" vertical="center" shrinkToFit="1"/>
    </xf>
    <xf numFmtId="1" fontId="28" fillId="3" borderId="78" xfId="11" applyNumberFormat="1" applyFont="1" applyFill="1" applyBorder="1" applyAlignment="1">
      <alignment vertical="center" shrinkToFit="1"/>
    </xf>
    <xf numFmtId="0" fontId="28" fillId="0" borderId="71" xfId="11" applyFont="1" applyBorder="1" applyAlignment="1">
      <alignment vertical="center"/>
    </xf>
    <xf numFmtId="9" fontId="28" fillId="0" borderId="22" xfId="11" applyNumberFormat="1" applyFont="1" applyBorder="1" applyAlignment="1">
      <alignment shrinkToFit="1"/>
    </xf>
    <xf numFmtId="0" fontId="28" fillId="0" borderId="22" xfId="11" applyFont="1" applyBorder="1" applyAlignment="1">
      <alignment vertical="center"/>
    </xf>
    <xf numFmtId="0" fontId="28" fillId="0" borderId="57" xfId="11" applyFont="1" applyBorder="1" applyAlignment="1">
      <alignment vertical="center"/>
    </xf>
    <xf numFmtId="0" fontId="28" fillId="0" borderId="58" xfId="11" applyFont="1" applyBorder="1" applyAlignment="1">
      <alignment vertical="center"/>
    </xf>
    <xf numFmtId="0" fontId="28" fillId="0" borderId="61" xfId="11" applyFont="1" applyBorder="1" applyAlignment="1">
      <alignment vertical="center"/>
    </xf>
    <xf numFmtId="0" fontId="31" fillId="0" borderId="22" xfId="11" applyFont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0" fontId="36" fillId="5" borderId="22" xfId="22" applyFont="1" applyFill="1" applyBorder="1" applyAlignment="1">
      <alignment horizontal="center" vertical="center"/>
    </xf>
    <xf numFmtId="196" fontId="36" fillId="0" borderId="22" xfId="11" applyNumberFormat="1" applyFont="1" applyBorder="1" applyAlignment="1">
      <alignment horizontal="center" vertical="center"/>
    </xf>
    <xf numFmtId="197" fontId="36" fillId="9" borderId="22" xfId="11" applyNumberFormat="1" applyFont="1" applyFill="1" applyBorder="1" applyAlignment="1">
      <alignment horizontal="center" vertical="center"/>
    </xf>
    <xf numFmtId="0" fontId="94" fillId="0" borderId="22" xfId="11" applyFont="1" applyBorder="1" applyAlignment="1">
      <alignment horizontal="center" vertical="center"/>
    </xf>
    <xf numFmtId="0" fontId="36" fillId="0" borderId="22" xfId="11" applyFont="1" applyBorder="1" applyAlignment="1">
      <alignment horizontal="center" vertical="center"/>
    </xf>
    <xf numFmtId="0" fontId="92" fillId="0" borderId="0" xfId="11" applyFont="1" applyAlignment="1">
      <alignment horizontal="center" vertical="center"/>
    </xf>
    <xf numFmtId="0" fontId="31" fillId="0" borderId="40" xfId="11" applyFont="1" applyBorder="1" applyAlignment="1">
      <alignment horizontal="center" vertical="center"/>
    </xf>
    <xf numFmtId="0" fontId="31" fillId="0" borderId="0" xfId="11" applyFont="1" applyAlignment="1">
      <alignment horizontal="left" vertical="center"/>
    </xf>
    <xf numFmtId="0" fontId="94" fillId="0" borderId="0" xfId="11" applyFont="1" applyAlignment="1">
      <alignment horizontal="center" vertical="center"/>
    </xf>
    <xf numFmtId="1" fontId="61" fillId="0" borderId="79" xfId="11" applyNumberFormat="1" applyFont="1" applyBorder="1" applyAlignment="1">
      <alignment horizontal="center" vertical="center"/>
    </xf>
    <xf numFmtId="9" fontId="31" fillId="0" borderId="79" xfId="13" applyFont="1" applyBorder="1" applyAlignment="1">
      <alignment horizontal="center"/>
    </xf>
    <xf numFmtId="1" fontId="31" fillId="0" borderId="69" xfId="11" applyNumberFormat="1" applyFont="1" applyBorder="1" applyAlignment="1">
      <alignment horizontal="center" vertical="center"/>
    </xf>
    <xf numFmtId="1" fontId="31" fillId="0" borderId="22" xfId="11" applyNumberFormat="1" applyFont="1" applyBorder="1" applyAlignment="1">
      <alignment horizontal="center" vertical="center"/>
    </xf>
    <xf numFmtId="0" fontId="28" fillId="0" borderId="68" xfId="11" applyFont="1" applyBorder="1" applyAlignment="1">
      <alignment vertical="center"/>
    </xf>
    <xf numFmtId="0" fontId="11" fillId="2" borderId="5" xfId="11" applyFont="1" applyFill="1" applyBorder="1" applyAlignment="1">
      <alignment horizontal="center" vertical="center" shrinkToFit="1"/>
    </xf>
    <xf numFmtId="0" fontId="28" fillId="0" borderId="59" xfId="11" applyFont="1" applyBorder="1" applyAlignment="1">
      <alignment vertical="center"/>
    </xf>
    <xf numFmtId="0" fontId="28" fillId="0" borderId="80" xfId="11" applyFont="1" applyBorder="1" applyAlignment="1">
      <alignment vertical="center"/>
    </xf>
    <xf numFmtId="0" fontId="88" fillId="0" borderId="22" xfId="11" applyFont="1" applyBorder="1" applyAlignment="1">
      <alignment horizontal="center" vertical="center"/>
    </xf>
    <xf numFmtId="0" fontId="14" fillId="0" borderId="0" xfId="11" applyFont="1" applyAlignment="1">
      <alignment horizontal="center" shrinkToFit="1"/>
    </xf>
    <xf numFmtId="10" fontId="7" fillId="0" borderId="65" xfId="11" applyNumberFormat="1" applyFont="1" applyBorder="1" applyAlignment="1">
      <alignment vertical="center" shrinkToFit="1"/>
    </xf>
    <xf numFmtId="183" fontId="14" fillId="0" borderId="0" xfId="0" applyNumberFormat="1" applyFont="1" applyAlignment="1">
      <alignment horizontal="center" vertical="center" shrinkToFit="1"/>
    </xf>
    <xf numFmtId="183" fontId="14" fillId="0" borderId="0" xfId="0" applyNumberFormat="1" applyFont="1" applyAlignment="1">
      <alignment horizontal="center" shrinkToFit="1"/>
    </xf>
    <xf numFmtId="1" fontId="14" fillId="0" borderId="0" xfId="0" applyNumberFormat="1" applyFont="1" applyAlignment="1">
      <alignment horizontal="center" shrinkToFit="1"/>
    </xf>
    <xf numFmtId="1" fontId="14" fillId="0" borderId="0" xfId="0" applyNumberFormat="1" applyFont="1" applyAlignment="1">
      <alignment horizontal="center" vertical="center" shrinkToFit="1"/>
    </xf>
    <xf numFmtId="0" fontId="95" fillId="0" borderId="0" xfId="0" applyFont="1" applyAlignment="1">
      <alignment shrinkToFit="1"/>
    </xf>
    <xf numFmtId="0" fontId="7" fillId="0" borderId="81" xfId="11" applyFont="1" applyBorder="1" applyAlignment="1">
      <alignment vertical="center" shrinkToFit="1"/>
    </xf>
    <xf numFmtId="1" fontId="7" fillId="3" borderId="76" xfId="0" applyNumberFormat="1" applyFont="1" applyFill="1" applyBorder="1" applyAlignment="1">
      <alignment shrinkToFit="1"/>
    </xf>
    <xf numFmtId="0" fontId="96" fillId="0" borderId="0" xfId="0" applyFont="1" applyAlignment="1">
      <alignment horizontal="left" vertical="center" indent="1"/>
    </xf>
    <xf numFmtId="0" fontId="66" fillId="0" borderId="0" xfId="0" applyFont="1" applyAlignment="1">
      <alignment horizontal="left" vertical="center" indent="2"/>
    </xf>
    <xf numFmtId="0" fontId="66" fillId="0" borderId="0" xfId="11" applyFont="1"/>
    <xf numFmtId="0" fontId="66" fillId="0" borderId="0" xfId="11" applyFont="1" applyAlignment="1">
      <alignment horizontal="left" vertical="center"/>
    </xf>
    <xf numFmtId="0" fontId="66" fillId="0" borderId="0" xfId="11" applyFont="1" applyAlignment="1">
      <alignment horizontal="left" vertical="center" indent="2"/>
    </xf>
    <xf numFmtId="0" fontId="96" fillId="0" borderId="0" xfId="11" applyFont="1" applyAlignment="1">
      <alignment horizontal="left" vertical="center" indent="1"/>
    </xf>
    <xf numFmtId="0" fontId="96" fillId="0" borderId="0" xfId="11" applyFont="1" applyAlignment="1">
      <alignment horizontal="left" vertical="center"/>
    </xf>
    <xf numFmtId="0" fontId="66" fillId="0" borderId="0" xfId="0" applyFont="1" applyAlignment="1">
      <alignment shrinkToFit="1"/>
    </xf>
    <xf numFmtId="0" fontId="66" fillId="0" borderId="0" xfId="0" applyFont="1"/>
    <xf numFmtId="3" fontId="28" fillId="6" borderId="22" xfId="0" applyNumberFormat="1" applyFont="1" applyFill="1" applyBorder="1" applyAlignment="1">
      <alignment shrinkToFit="1"/>
    </xf>
    <xf numFmtId="0" fontId="97" fillId="0" borderId="83" xfId="11" applyFont="1" applyBorder="1" applyAlignment="1">
      <alignment horizontal="center" vertical="center"/>
    </xf>
    <xf numFmtId="0" fontId="97" fillId="0" borderId="84" xfId="11" applyFont="1" applyBorder="1" applyAlignment="1">
      <alignment horizontal="center" vertical="center"/>
    </xf>
    <xf numFmtId="196" fontId="98" fillId="0" borderId="22" xfId="11" applyNumberFormat="1" applyFont="1" applyBorder="1" applyAlignment="1">
      <alignment horizontal="right" vertical="center"/>
    </xf>
    <xf numFmtId="198" fontId="98" fillId="0" borderId="22" xfId="11" applyNumberFormat="1" applyFont="1" applyBorder="1" applyAlignment="1">
      <alignment horizontal="right" vertical="center"/>
    </xf>
    <xf numFmtId="186" fontId="98" fillId="0" borderId="22" xfId="13" applyNumberFormat="1" applyFont="1" applyBorder="1" applyAlignment="1">
      <alignment vertical="center"/>
    </xf>
    <xf numFmtId="10" fontId="98" fillId="0" borderId="22" xfId="13" applyNumberFormat="1" applyFont="1" applyBorder="1" applyAlignment="1">
      <alignment vertical="center"/>
    </xf>
    <xf numFmtId="183" fontId="98" fillId="0" borderId="22" xfId="11" applyNumberFormat="1" applyFont="1" applyBorder="1" applyAlignment="1">
      <alignment vertical="center"/>
    </xf>
    <xf numFmtId="183" fontId="98" fillId="0" borderId="88" xfId="11" applyNumberFormat="1" applyFont="1" applyBorder="1" applyAlignment="1">
      <alignment vertical="center"/>
    </xf>
    <xf numFmtId="10" fontId="28" fillId="9" borderId="22" xfId="0" applyNumberFormat="1" applyFont="1" applyFill="1" applyBorder="1" applyAlignment="1">
      <alignment shrinkToFit="1"/>
    </xf>
    <xf numFmtId="4" fontId="28" fillId="6" borderId="22" xfId="0" applyNumberFormat="1" applyFont="1" applyFill="1" applyBorder="1" applyAlignment="1">
      <alignment horizontal="right" shrinkToFit="1"/>
    </xf>
    <xf numFmtId="186" fontId="28" fillId="6" borderId="22" xfId="13" applyNumberFormat="1" applyFont="1" applyFill="1" applyBorder="1" applyAlignment="1">
      <alignment horizontal="right" shrinkToFit="1"/>
    </xf>
    <xf numFmtId="10" fontId="28" fillId="6" borderId="22" xfId="13" applyNumberFormat="1" applyFont="1" applyFill="1" applyBorder="1" applyAlignment="1">
      <alignment horizontal="right" shrinkToFit="1"/>
    </xf>
    <xf numFmtId="191" fontId="28" fillId="6" borderId="22" xfId="0" applyNumberFormat="1" applyFont="1" applyFill="1" applyBorder="1" applyAlignment="1">
      <alignment shrinkToFit="1"/>
    </xf>
    <xf numFmtId="0" fontId="98" fillId="0" borderId="22" xfId="11" applyFont="1" applyBorder="1" applyAlignment="1">
      <alignment vertical="center"/>
    </xf>
    <xf numFmtId="196" fontId="98" fillId="9" borderId="86" xfId="11" applyNumberFormat="1" applyFont="1" applyFill="1" applyBorder="1"/>
    <xf numFmtId="0" fontId="98" fillId="9" borderId="22" xfId="11" applyFont="1" applyFill="1" applyBorder="1" applyAlignment="1">
      <alignment vertical="center"/>
    </xf>
    <xf numFmtId="10" fontId="99" fillId="9" borderId="22" xfId="13" applyNumberFormat="1" applyFont="1" applyFill="1" applyBorder="1" applyAlignment="1">
      <alignment horizontal="right" vertical="center"/>
    </xf>
    <xf numFmtId="10" fontId="98" fillId="9" borderId="22" xfId="13" applyNumberFormat="1" applyFont="1" applyFill="1" applyBorder="1" applyAlignment="1">
      <alignment horizontal="right" vertical="center"/>
    </xf>
    <xf numFmtId="10" fontId="98" fillId="9" borderId="86" xfId="13" applyNumberFormat="1" applyFont="1" applyFill="1" applyBorder="1" applyAlignment="1"/>
    <xf numFmtId="0" fontId="98" fillId="0" borderId="85" xfId="11" applyFont="1" applyBorder="1" applyAlignment="1">
      <alignment horizontal="left"/>
    </xf>
    <xf numFmtId="197" fontId="98" fillId="0" borderId="22" xfId="11" applyNumberFormat="1" applyFont="1" applyBorder="1" applyAlignment="1">
      <alignment horizontal="right" vertical="center"/>
    </xf>
    <xf numFmtId="198" fontId="98" fillId="9" borderId="86" xfId="11" applyNumberFormat="1" applyFont="1" applyFill="1" applyBorder="1"/>
    <xf numFmtId="10" fontId="98" fillId="9" borderId="86" xfId="13" applyNumberFormat="1" applyFont="1" applyFill="1" applyBorder="1" applyAlignment="1">
      <alignment horizontal="right" vertical="center"/>
    </xf>
    <xf numFmtId="186" fontId="98" fillId="9" borderId="86" xfId="13" applyNumberFormat="1" applyFont="1" applyFill="1" applyBorder="1" applyAlignment="1">
      <alignment horizontal="right" vertical="center"/>
    </xf>
    <xf numFmtId="10" fontId="98" fillId="0" borderId="22" xfId="13" applyNumberFormat="1" applyFont="1" applyBorder="1" applyAlignment="1"/>
    <xf numFmtId="197" fontId="98" fillId="9" borderId="86" xfId="13" applyNumberFormat="1" applyFont="1" applyFill="1" applyBorder="1" applyAlignment="1">
      <alignment horizontal="right" vertical="center"/>
    </xf>
    <xf numFmtId="0" fontId="98" fillId="0" borderId="23" xfId="11" applyFont="1" applyBorder="1" applyAlignment="1">
      <alignment vertical="center"/>
    </xf>
    <xf numFmtId="183" fontId="98" fillId="0" borderId="23" xfId="11" applyNumberFormat="1" applyFont="1" applyBorder="1" applyAlignment="1">
      <alignment vertical="center"/>
    </xf>
    <xf numFmtId="0" fontId="98" fillId="0" borderId="88" xfId="11" applyFont="1" applyBorder="1" applyAlignment="1">
      <alignment vertical="center"/>
    </xf>
    <xf numFmtId="197" fontId="98" fillId="9" borderId="89" xfId="13" applyNumberFormat="1" applyFont="1" applyFill="1" applyBorder="1" applyAlignment="1">
      <alignment horizontal="right" vertical="center"/>
    </xf>
    <xf numFmtId="3" fontId="28" fillId="9" borderId="22" xfId="0" applyNumberFormat="1" applyFont="1" applyFill="1" applyBorder="1" applyAlignment="1">
      <alignment shrinkToFit="1"/>
    </xf>
    <xf numFmtId="4" fontId="28" fillId="9" borderId="22" xfId="0" applyNumberFormat="1" applyFont="1" applyFill="1" applyBorder="1" applyAlignment="1">
      <alignment horizontal="right" shrinkToFit="1"/>
    </xf>
    <xf numFmtId="186" fontId="28" fillId="9" borderId="22" xfId="0" applyNumberFormat="1" applyFont="1" applyFill="1" applyBorder="1" applyAlignment="1">
      <alignment shrinkToFit="1"/>
    </xf>
    <xf numFmtId="10" fontId="28" fillId="6" borderId="22" xfId="13" applyNumberFormat="1" applyFont="1" applyFill="1" applyBorder="1" applyAlignment="1">
      <alignment shrinkToFit="1"/>
    </xf>
    <xf numFmtId="10" fontId="28" fillId="6" borderId="22" xfId="0" applyNumberFormat="1" applyFont="1" applyFill="1" applyBorder="1" applyAlignment="1">
      <alignment shrinkToFit="1"/>
    </xf>
    <xf numFmtId="183" fontId="28" fillId="9" borderId="22" xfId="0" applyNumberFormat="1" applyFont="1" applyFill="1" applyBorder="1" applyAlignment="1">
      <alignment shrinkToFit="1"/>
    </xf>
    <xf numFmtId="183" fontId="28" fillId="6" borderId="22" xfId="0" applyNumberFormat="1" applyFont="1" applyFill="1" applyBorder="1" applyAlignment="1">
      <alignment shrinkToFit="1"/>
    </xf>
    <xf numFmtId="179" fontId="14" fillId="0" borderId="0" xfId="0" applyNumberFormat="1" applyFont="1" applyAlignment="1">
      <alignment horizontal="center"/>
    </xf>
    <xf numFmtId="10" fontId="28" fillId="3" borderId="93" xfId="11" applyNumberFormat="1" applyFont="1" applyFill="1" applyBorder="1" applyAlignment="1">
      <alignment horizontal="center" vertical="center" shrinkToFit="1"/>
    </xf>
    <xf numFmtId="0" fontId="93" fillId="5" borderId="22" xfId="22" applyFont="1" applyFill="1" applyBorder="1" applyAlignment="1">
      <alignment horizontal="center" vertical="center" wrapText="1"/>
    </xf>
    <xf numFmtId="0" fontId="31" fillId="9" borderId="22" xfId="11" applyFont="1" applyFill="1" applyBorder="1" applyAlignment="1">
      <alignment horizontal="left" vertical="center"/>
    </xf>
    <xf numFmtId="196" fontId="36" fillId="4" borderId="22" xfId="11" applyNumberFormat="1" applyFont="1" applyFill="1" applyBorder="1" applyAlignment="1">
      <alignment horizontal="center" vertical="center"/>
    </xf>
    <xf numFmtId="198" fontId="36" fillId="9" borderId="22" xfId="11" applyNumberFormat="1" applyFont="1" applyFill="1" applyBorder="1" applyAlignment="1">
      <alignment horizontal="center" vertical="center"/>
    </xf>
    <xf numFmtId="198" fontId="36" fillId="9" borderId="22" xfId="13" applyNumberFormat="1" applyFont="1" applyFill="1" applyBorder="1" applyAlignment="1">
      <alignment horizontal="center" vertical="center"/>
    </xf>
    <xf numFmtId="185" fontId="36" fillId="0" borderId="22" xfId="13" applyNumberFormat="1" applyFont="1" applyFill="1" applyBorder="1" applyAlignment="1">
      <alignment horizontal="center" vertical="center"/>
    </xf>
    <xf numFmtId="198" fontId="36" fillId="0" borderId="22" xfId="11" applyNumberFormat="1" applyFont="1" applyBorder="1" applyAlignment="1">
      <alignment horizontal="center" vertical="center"/>
    </xf>
    <xf numFmtId="0" fontId="36" fillId="0" borderId="22" xfId="11" applyFont="1" applyBorder="1" applyAlignment="1">
      <alignment horizontal="left" vertical="center"/>
    </xf>
    <xf numFmtId="9" fontId="31" fillId="0" borderId="79" xfId="13" applyFont="1" applyBorder="1" applyAlignment="1">
      <alignment horizontal="center" vertical="center"/>
    </xf>
    <xf numFmtId="0" fontId="86" fillId="0" borderId="0" xfId="11" applyFont="1" applyAlignment="1">
      <alignment horizontal="center" shrinkToFit="1"/>
    </xf>
    <xf numFmtId="0" fontId="107" fillId="0" borderId="0" xfId="15" applyFont="1">
      <alignment vertical="center"/>
    </xf>
    <xf numFmtId="193" fontId="107" fillId="0" borderId="0" xfId="15" applyNumberFormat="1" applyFont="1">
      <alignment vertical="center"/>
    </xf>
    <xf numFmtId="193" fontId="111" fillId="9" borderId="22" xfId="6" applyNumberFormat="1" applyFont="1" applyFill="1" applyBorder="1" applyAlignment="1">
      <alignment horizontal="center" vertical="center"/>
    </xf>
    <xf numFmtId="196" fontId="36" fillId="0" borderId="22" xfId="13" applyNumberFormat="1" applyFont="1" applyFill="1" applyBorder="1" applyAlignment="1">
      <alignment horizontal="center" vertical="center"/>
    </xf>
    <xf numFmtId="0" fontId="114" fillId="0" borderId="0" xfId="11" applyFont="1" applyAlignment="1">
      <alignment horizontal="center" vertical="center"/>
    </xf>
    <xf numFmtId="10" fontId="28" fillId="9" borderId="22" xfId="13" applyNumberFormat="1" applyFont="1" applyFill="1" applyBorder="1" applyAlignment="1">
      <alignment shrinkToFit="1"/>
    </xf>
    <xf numFmtId="189" fontId="14" fillId="9" borderId="25" xfId="0" applyNumberFormat="1" applyFont="1" applyFill="1" applyBorder="1" applyAlignment="1">
      <alignment vertical="center" shrinkToFit="1"/>
    </xf>
    <xf numFmtId="0" fontId="58" fillId="0" borderId="0" xfId="0" applyFont="1" applyAlignment="1">
      <alignment vertical="center"/>
    </xf>
    <xf numFmtId="198" fontId="61" fillId="0" borderId="22" xfId="11" applyNumberFormat="1" applyFont="1" applyBorder="1" applyAlignment="1">
      <alignment horizontal="center" vertical="center"/>
    </xf>
    <xf numFmtId="185" fontId="61" fillId="0" borderId="22" xfId="13" applyNumberFormat="1" applyFont="1" applyFill="1" applyBorder="1" applyAlignment="1">
      <alignment horizontal="center" vertical="center"/>
    </xf>
    <xf numFmtId="196" fontId="61" fillId="0" borderId="22" xfId="13" applyNumberFormat="1" applyFont="1" applyFill="1" applyBorder="1" applyAlignment="1">
      <alignment horizontal="center" vertical="center"/>
    </xf>
    <xf numFmtId="188" fontId="26" fillId="0" borderId="0" xfId="0" applyNumberFormat="1" applyFont="1" applyAlignment="1">
      <alignment horizontal="center"/>
    </xf>
    <xf numFmtId="190" fontId="26" fillId="0" borderId="0" xfId="0" applyNumberFormat="1" applyFont="1" applyAlignment="1">
      <alignment horizontal="center"/>
    </xf>
    <xf numFmtId="185" fontId="26" fillId="0" borderId="0" xfId="13" applyNumberFormat="1" applyFont="1" applyAlignment="1">
      <alignment horizontal="center"/>
    </xf>
    <xf numFmtId="0" fontId="104" fillId="0" borderId="0" xfId="0" applyFont="1" applyAlignment="1">
      <alignment horizontal="center" vertical="center"/>
    </xf>
    <xf numFmtId="10" fontId="26" fillId="0" borderId="0" xfId="0" applyNumberFormat="1" applyFont="1" applyAlignment="1">
      <alignment horizontal="center"/>
    </xf>
    <xf numFmtId="180" fontId="26" fillId="0" borderId="0" xfId="0" applyNumberFormat="1" applyFont="1" applyAlignment="1">
      <alignment horizontal="center"/>
    </xf>
    <xf numFmtId="186" fontId="26" fillId="0" borderId="0" xfId="0" applyNumberFormat="1" applyFont="1" applyAlignment="1">
      <alignment horizontal="center"/>
    </xf>
    <xf numFmtId="182" fontId="14" fillId="0" borderId="30" xfId="0" applyNumberFormat="1" applyFont="1" applyBorder="1" applyAlignment="1">
      <alignment horizontal="center" vertical="center" shrinkToFit="1"/>
    </xf>
    <xf numFmtId="0" fontId="114" fillId="0" borderId="30" xfId="0" applyFont="1" applyBorder="1" applyAlignment="1">
      <alignment horizontal="center" vertical="center"/>
    </xf>
    <xf numFmtId="177" fontId="14" fillId="0" borderId="30" xfId="0" applyNumberFormat="1" applyFont="1" applyBorder="1" applyAlignment="1">
      <alignment horizontal="center" vertical="center"/>
    </xf>
    <xf numFmtId="0" fontId="120" fillId="0" borderId="0" xfId="15" applyFont="1">
      <alignment vertical="center"/>
    </xf>
    <xf numFmtId="0" fontId="37" fillId="0" borderId="0" xfId="15" applyFont="1">
      <alignment vertical="center"/>
    </xf>
    <xf numFmtId="193" fontId="107" fillId="0" borderId="23" xfId="15" applyNumberFormat="1" applyFont="1" applyBorder="1" applyAlignment="1">
      <alignment horizontal="center" vertical="center"/>
    </xf>
    <xf numFmtId="0" fontId="107" fillId="0" borderId="27" xfId="15" applyFont="1" applyBorder="1" applyAlignment="1">
      <alignment horizontal="center" vertical="center" wrapText="1"/>
    </xf>
    <xf numFmtId="0" fontId="107" fillId="0" borderId="25" xfId="15" applyFont="1" applyBorder="1" applyAlignment="1">
      <alignment horizontal="center" vertical="center" wrapText="1"/>
    </xf>
    <xf numFmtId="0" fontId="121" fillId="0" borderId="23" xfId="15" applyFont="1" applyBorder="1" applyAlignment="1">
      <alignment horizontal="center" vertical="center" wrapText="1"/>
    </xf>
    <xf numFmtId="0" fontId="121" fillId="0" borderId="25" xfId="15" applyFont="1" applyBorder="1" applyAlignment="1">
      <alignment horizontal="center" vertical="center" wrapText="1"/>
    </xf>
    <xf numFmtId="10" fontId="107" fillId="0" borderId="23" xfId="3" applyNumberFormat="1" applyFont="1" applyBorder="1" applyAlignment="1">
      <alignment horizontal="center" vertical="center"/>
    </xf>
    <xf numFmtId="193" fontId="121" fillId="0" borderId="23" xfId="15" applyNumberFormat="1" applyFont="1" applyBorder="1" applyAlignment="1">
      <alignment horizontal="center" vertical="center"/>
    </xf>
    <xf numFmtId="10" fontId="121" fillId="0" borderId="23" xfId="3" applyNumberFormat="1" applyFont="1" applyBorder="1" applyAlignment="1">
      <alignment horizontal="center" vertical="center"/>
    </xf>
    <xf numFmtId="0" fontId="107" fillId="0" borderId="0" xfId="15" applyFont="1" applyAlignment="1">
      <alignment horizontal="center" vertical="center"/>
    </xf>
    <xf numFmtId="10" fontId="107" fillId="0" borderId="0" xfId="3" applyNumberFormat="1" applyFont="1" applyFill="1" applyBorder="1" applyAlignment="1">
      <alignment horizontal="center" vertical="center"/>
    </xf>
    <xf numFmtId="0" fontId="108" fillId="0" borderId="23" xfId="15" applyFont="1" applyBorder="1" applyAlignment="1">
      <alignment horizontal="center" vertical="center" wrapText="1"/>
    </xf>
    <xf numFmtId="0" fontId="122" fillId="0" borderId="23" xfId="15" applyFont="1" applyBorder="1" applyAlignment="1">
      <alignment horizontal="center" vertical="center" wrapText="1"/>
    </xf>
    <xf numFmtId="193" fontId="110" fillId="0" borderId="0" xfId="15" applyNumberFormat="1" applyFont="1">
      <alignment vertical="center"/>
    </xf>
    <xf numFmtId="195" fontId="120" fillId="0" borderId="0" xfId="15" applyNumberFormat="1" applyFont="1">
      <alignment vertical="center"/>
    </xf>
    <xf numFmtId="195" fontId="37" fillId="0" borderId="0" xfId="15" applyNumberFormat="1" applyFont="1">
      <alignment vertical="center"/>
    </xf>
    <xf numFmtId="194" fontId="81" fillId="5" borderId="22" xfId="5" applyNumberFormat="1" applyFont="1" applyFill="1" applyBorder="1" applyAlignment="1">
      <alignment horizontal="center" vertical="center"/>
    </xf>
    <xf numFmtId="193" fontId="120" fillId="9" borderId="22" xfId="4" applyNumberFormat="1" applyFont="1" applyFill="1" applyBorder="1" applyAlignment="1">
      <alignment horizontal="center" vertical="center"/>
    </xf>
    <xf numFmtId="193" fontId="120" fillId="9" borderId="22" xfId="6" applyNumberFormat="1" applyFont="1" applyFill="1" applyBorder="1" applyAlignment="1">
      <alignment horizontal="center" vertical="center"/>
    </xf>
    <xf numFmtId="186" fontId="120" fillId="0" borderId="22" xfId="4" applyNumberFormat="1" applyFont="1" applyBorder="1" applyAlignment="1">
      <alignment horizontal="center" vertical="center"/>
    </xf>
    <xf numFmtId="10" fontId="120" fillId="0" borderId="22" xfId="3" applyNumberFormat="1" applyFont="1" applyBorder="1" applyAlignment="1">
      <alignment horizontal="center" vertical="center"/>
    </xf>
    <xf numFmtId="193" fontId="123" fillId="9" borderId="22" xfId="6" applyNumberFormat="1" applyFont="1" applyFill="1" applyBorder="1" applyAlignment="1">
      <alignment horizontal="center" vertical="center"/>
    </xf>
    <xf numFmtId="10" fontId="123" fillId="0" borderId="22" xfId="3" applyNumberFormat="1" applyFont="1" applyBorder="1" applyAlignment="1">
      <alignment horizontal="center" vertical="center"/>
    </xf>
    <xf numFmtId="0" fontId="120" fillId="0" borderId="0" xfId="4" applyFont="1">
      <alignment vertical="center"/>
    </xf>
    <xf numFmtId="0" fontId="37" fillId="0" borderId="0" xfId="4" applyFont="1">
      <alignment vertical="center"/>
    </xf>
    <xf numFmtId="194" fontId="81" fillId="10" borderId="22" xfId="5" applyNumberFormat="1" applyFont="1" applyFill="1" applyBorder="1" applyAlignment="1">
      <alignment horizontal="center" vertical="center"/>
    </xf>
    <xf numFmtId="194" fontId="81" fillId="0" borderId="22" xfId="5" applyNumberFormat="1" applyFont="1" applyBorder="1" applyAlignment="1">
      <alignment horizontal="center" vertical="center"/>
    </xf>
    <xf numFmtId="193" fontId="120" fillId="9" borderId="22" xfId="17" applyNumberFormat="1" applyFont="1" applyFill="1" applyBorder="1" applyAlignment="1">
      <alignment horizontal="center" vertical="center"/>
    </xf>
    <xf numFmtId="0" fontId="11" fillId="2" borderId="38" xfId="11" applyFont="1" applyFill="1" applyBorder="1" applyAlignment="1">
      <alignment horizontal="center" vertical="center" shrinkToFit="1"/>
    </xf>
    <xf numFmtId="0" fontId="11" fillId="2" borderId="6" xfId="11" applyFont="1" applyFill="1" applyBorder="1" applyAlignment="1">
      <alignment horizontal="center" vertical="center" shrinkToFit="1"/>
    </xf>
    <xf numFmtId="0" fontId="7" fillId="2" borderId="6" xfId="11" applyFont="1" applyFill="1" applyBorder="1" applyAlignment="1">
      <alignment horizontal="center" vertical="center" shrinkToFit="1"/>
    </xf>
    <xf numFmtId="0" fontId="26" fillId="0" borderId="35" xfId="11" applyFont="1" applyBorder="1" applyAlignment="1">
      <alignment shrinkToFit="1"/>
    </xf>
    <xf numFmtId="0" fontId="26" fillId="0" borderId="26" xfId="11" applyFont="1" applyBorder="1" applyAlignment="1">
      <alignment wrapText="1" shrinkToFit="1"/>
    </xf>
    <xf numFmtId="0" fontId="26" fillId="0" borderId="26" xfId="11" applyFont="1" applyBorder="1" applyAlignment="1">
      <alignment vertical="center" shrinkToFit="1"/>
    </xf>
    <xf numFmtId="0" fontId="26" fillId="0" borderId="26" xfId="11" applyFont="1" applyBorder="1" applyAlignment="1">
      <alignment shrinkToFit="1"/>
    </xf>
    <xf numFmtId="0" fontId="26" fillId="0" borderId="36" xfId="11" applyFont="1" applyBorder="1" applyAlignment="1">
      <alignment shrinkToFit="1"/>
    </xf>
    <xf numFmtId="0" fontId="26" fillId="0" borderId="34" xfId="11" applyFont="1" applyBorder="1" applyAlignment="1">
      <alignment shrinkToFit="1"/>
    </xf>
    <xf numFmtId="0" fontId="26" fillId="4" borderId="34" xfId="11" applyFont="1" applyFill="1" applyBorder="1" applyAlignment="1">
      <alignment shrinkToFit="1"/>
    </xf>
    <xf numFmtId="0" fontId="24" fillId="0" borderId="33" xfId="11" applyBorder="1" applyAlignment="1">
      <alignment shrinkToFit="1"/>
    </xf>
    <xf numFmtId="0" fontId="24" fillId="0" borderId="34" xfId="11" applyBorder="1" applyAlignment="1">
      <alignment shrinkToFit="1"/>
    </xf>
    <xf numFmtId="0" fontId="9" fillId="0" borderId="62" xfId="11" applyFont="1" applyBorder="1" applyAlignment="1">
      <alignment shrinkToFit="1"/>
    </xf>
    <xf numFmtId="0" fontId="9" fillId="0" borderId="95" xfId="11" applyFont="1" applyBorder="1" applyAlignment="1">
      <alignment shrinkToFit="1"/>
    </xf>
    <xf numFmtId="0" fontId="24" fillId="0" borderId="0" xfId="11" applyAlignment="1">
      <alignment vertical="center"/>
    </xf>
    <xf numFmtId="0" fontId="11" fillId="2" borderId="96" xfId="11" applyFont="1" applyFill="1" applyBorder="1" applyAlignment="1">
      <alignment horizontal="center" shrinkToFit="1"/>
    </xf>
    <xf numFmtId="10" fontId="28" fillId="3" borderId="97" xfId="11" applyNumberFormat="1" applyFont="1" applyFill="1" applyBorder="1" applyAlignment="1">
      <alignment horizontal="center" vertical="center" shrinkToFit="1"/>
    </xf>
    <xf numFmtId="0" fontId="11" fillId="2" borderId="44" xfId="11" applyFont="1" applyFill="1" applyBorder="1" applyAlignment="1">
      <alignment horizontal="center" shrinkToFit="1"/>
    </xf>
    <xf numFmtId="1" fontId="7" fillId="3" borderId="45" xfId="11" applyNumberFormat="1" applyFont="1" applyFill="1" applyBorder="1" applyAlignment="1">
      <alignment shrinkToFit="1"/>
    </xf>
    <xf numFmtId="177" fontId="14" fillId="9" borderId="25" xfId="0" applyNumberFormat="1" applyFont="1" applyFill="1" applyBorder="1"/>
    <xf numFmtId="0" fontId="14" fillId="9" borderId="0" xfId="0" applyFont="1" applyFill="1" applyAlignment="1">
      <alignment vertical="center" shrinkToFit="1"/>
    </xf>
    <xf numFmtId="183" fontId="14" fillId="0" borderId="0" xfId="0" applyNumberFormat="1" applyFont="1" applyAlignment="1">
      <alignment vertical="center" shrinkToFit="1"/>
    </xf>
    <xf numFmtId="0" fontId="66" fillId="0" borderId="0" xfId="0" applyFont="1" applyAlignment="1">
      <alignment vertical="center" shrinkToFit="1"/>
    </xf>
    <xf numFmtId="0" fontId="57" fillId="0" borderId="27" xfId="0" applyFont="1" applyBorder="1" applyAlignment="1">
      <alignment shrinkToFit="1"/>
    </xf>
    <xf numFmtId="0" fontId="57" fillId="0" borderId="28" xfId="0" applyFont="1" applyBorder="1" applyAlignment="1">
      <alignment shrinkToFit="1"/>
    </xf>
    <xf numFmtId="0" fontId="57" fillId="0" borderId="25" xfId="0" applyFont="1" applyBorder="1" applyAlignment="1">
      <alignment shrinkToFit="1"/>
    </xf>
    <xf numFmtId="0" fontId="57" fillId="2" borderId="27" xfId="0" applyFont="1" applyFill="1" applyBorder="1" applyAlignment="1">
      <alignment horizontal="center" shrinkToFit="1"/>
    </xf>
    <xf numFmtId="0" fontId="57" fillId="2" borderId="25" xfId="0" applyFont="1" applyFill="1" applyBorder="1" applyAlignment="1">
      <alignment horizontal="center" shrinkToFit="1"/>
    </xf>
    <xf numFmtId="0" fontId="57" fillId="2" borderId="28" xfId="0" applyFont="1" applyFill="1" applyBorder="1" applyAlignment="1">
      <alignment horizont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57" fillId="2" borderId="23" xfId="0" applyFont="1" applyFill="1" applyBorder="1" applyAlignment="1">
      <alignment horizontal="center" vertical="center" shrinkToFit="1"/>
    </xf>
    <xf numFmtId="0" fontId="57" fillId="2" borderId="29" xfId="0" applyFont="1" applyFill="1" applyBorder="1" applyAlignment="1">
      <alignment horizontal="center" vertical="center" shrinkToFit="1"/>
    </xf>
    <xf numFmtId="0" fontId="57" fillId="2" borderId="30" xfId="0" applyFont="1" applyFill="1" applyBorder="1" applyAlignment="1">
      <alignment horizontal="center" vertical="center" shrinkToFit="1"/>
    </xf>
    <xf numFmtId="0" fontId="57" fillId="2" borderId="27" xfId="0" applyFont="1" applyFill="1" applyBorder="1" applyAlignment="1">
      <alignment horizontal="center" vertical="center" shrinkToFit="1"/>
    </xf>
    <xf numFmtId="0" fontId="57" fillId="2" borderId="25" xfId="0" applyFont="1" applyFill="1" applyBorder="1" applyAlignment="1">
      <alignment horizontal="center" vertical="center" shrinkToFit="1"/>
    </xf>
    <xf numFmtId="0" fontId="57" fillId="2" borderId="28" xfId="0" applyFont="1" applyFill="1" applyBorder="1" applyAlignment="1">
      <alignment horizontal="center" vertical="center" shrinkToFit="1"/>
    </xf>
    <xf numFmtId="193" fontId="120" fillId="9" borderId="22" xfId="15" applyNumberFormat="1" applyFont="1" applyFill="1" applyBorder="1" applyAlignment="1">
      <alignment horizontal="center" vertical="center"/>
    </xf>
    <xf numFmtId="186" fontId="120" fillId="0" borderId="22" xfId="15" applyNumberFormat="1" applyFont="1" applyBorder="1" applyAlignment="1">
      <alignment horizontal="center" vertical="center"/>
    </xf>
    <xf numFmtId="0" fontId="98" fillId="0" borderId="85" xfId="11" applyFont="1" applyBorder="1" applyAlignment="1">
      <alignment horizontal="left" vertical="center"/>
    </xf>
    <xf numFmtId="0" fontId="98" fillId="0" borderId="90" xfId="11" applyFont="1" applyBorder="1" applyAlignment="1">
      <alignment horizontal="left" vertical="center"/>
    </xf>
    <xf numFmtId="0" fontId="98" fillId="0" borderId="87" xfId="11" applyFont="1" applyBorder="1" applyAlignment="1">
      <alignment horizontal="left" vertical="center"/>
    </xf>
    <xf numFmtId="0" fontId="97" fillId="0" borderId="82" xfId="11" applyFont="1" applyBorder="1" applyAlignment="1">
      <alignment horizontal="center" vertical="center"/>
    </xf>
    <xf numFmtId="0" fontId="97" fillId="0" borderId="83" xfId="11" applyFont="1" applyBorder="1" applyAlignment="1">
      <alignment horizontal="center" vertical="center"/>
    </xf>
    <xf numFmtId="0" fontId="98" fillId="0" borderId="91" xfId="11" applyFont="1" applyBorder="1" applyAlignment="1">
      <alignment horizontal="left" vertical="center"/>
    </xf>
    <xf numFmtId="0" fontId="98" fillId="0" borderId="92" xfId="11" applyFont="1" applyBorder="1" applyAlignment="1">
      <alignment horizontal="left" vertical="center"/>
    </xf>
    <xf numFmtId="0" fontId="69" fillId="0" borderId="0" xfId="0" applyFont="1" applyAlignment="1">
      <alignment horizontal="center" vertical="center" shrinkToFit="1"/>
    </xf>
    <xf numFmtId="0" fontId="42" fillId="0" borderId="0" xfId="0" applyFont="1" applyAlignment="1">
      <alignment horizontal="center" vertical="center" shrinkToFit="1"/>
    </xf>
    <xf numFmtId="0" fontId="49" fillId="9" borderId="22" xfId="0" applyFont="1" applyFill="1" applyBorder="1" applyAlignment="1">
      <alignment horizontal="center" vertical="center" shrinkToFit="1"/>
    </xf>
    <xf numFmtId="0" fontId="49" fillId="9" borderId="27" xfId="0" applyFont="1" applyFill="1" applyBorder="1" applyAlignment="1">
      <alignment horizontal="center" vertical="center" shrinkToFit="1"/>
    </xf>
    <xf numFmtId="0" fontId="49" fillId="9" borderId="25" xfId="0" applyFont="1" applyFill="1" applyBorder="1" applyAlignment="1">
      <alignment horizontal="center" vertical="center" shrinkToFit="1"/>
    </xf>
    <xf numFmtId="185" fontId="26" fillId="0" borderId="0" xfId="13" applyNumberFormat="1" applyFont="1" applyAlignment="1">
      <alignment horizontal="center"/>
    </xf>
    <xf numFmtId="189" fontId="26" fillId="0" borderId="0" xfId="0" applyNumberFormat="1" applyFont="1" applyAlignment="1">
      <alignment horizontal="center"/>
    </xf>
    <xf numFmtId="185" fontId="26" fillId="0" borderId="0" xfId="0" applyNumberFormat="1" applyFont="1" applyAlignment="1">
      <alignment horizontal="center"/>
    </xf>
    <xf numFmtId="179" fontId="26" fillId="0" borderId="0" xfId="0" applyNumberFormat="1" applyFont="1" applyAlignment="1">
      <alignment horizontal="center" vertical="center"/>
    </xf>
    <xf numFmtId="188" fontId="26" fillId="0" borderId="0" xfId="0" applyNumberFormat="1" applyFont="1" applyAlignment="1">
      <alignment horizontal="center"/>
    </xf>
    <xf numFmtId="190" fontId="26" fillId="0" borderId="0" xfId="0" applyNumberFormat="1" applyFont="1" applyAlignment="1">
      <alignment horizontal="center"/>
    </xf>
    <xf numFmtId="0" fontId="104" fillId="0" borderId="0" xfId="0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0" fontId="26" fillId="0" borderId="0" xfId="0" applyNumberFormat="1" applyFont="1" applyAlignment="1">
      <alignment horizontal="center"/>
    </xf>
    <xf numFmtId="185" fontId="14" fillId="0" borderId="0" xfId="0" applyNumberFormat="1" applyFont="1" applyAlignment="1">
      <alignment horizontal="center"/>
    </xf>
    <xf numFmtId="180" fontId="14" fillId="0" borderId="0" xfId="0" applyNumberFormat="1" applyFont="1" applyAlignment="1">
      <alignment horizontal="center"/>
    </xf>
    <xf numFmtId="186" fontId="26" fillId="0" borderId="0" xfId="0" applyNumberFormat="1" applyFont="1" applyAlignment="1">
      <alignment horizontal="center"/>
    </xf>
    <xf numFmtId="180" fontId="26" fillId="0" borderId="0" xfId="0" applyNumberFormat="1" applyFont="1" applyAlignment="1">
      <alignment horizontal="center"/>
    </xf>
    <xf numFmtId="0" fontId="25" fillId="0" borderId="0" xfId="0" applyFont="1" applyAlignment="1">
      <alignment horizontal="center" vertical="center"/>
    </xf>
    <xf numFmtId="181" fontId="15" fillId="0" borderId="0" xfId="0" applyNumberFormat="1" applyFont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182" fontId="14" fillId="0" borderId="23" xfId="0" applyNumberFormat="1" applyFont="1" applyBorder="1" applyAlignment="1">
      <alignment horizontal="center" vertical="center" shrinkToFit="1"/>
    </xf>
    <xf numFmtId="182" fontId="14" fillId="0" borderId="29" xfId="0" applyNumberFormat="1" applyFont="1" applyBorder="1" applyAlignment="1">
      <alignment horizontal="center" vertical="center" shrinkToFit="1"/>
    </xf>
    <xf numFmtId="182" fontId="14" fillId="0" borderId="30" xfId="0" applyNumberFormat="1" applyFont="1" applyBorder="1" applyAlignment="1">
      <alignment horizontal="center" vertical="center" shrinkToFit="1"/>
    </xf>
    <xf numFmtId="179" fontId="14" fillId="0" borderId="23" xfId="0" applyNumberFormat="1" applyFont="1" applyBorder="1" applyAlignment="1">
      <alignment horizontal="center" vertical="center"/>
    </xf>
    <xf numFmtId="179" fontId="14" fillId="0" borderId="29" xfId="0" applyNumberFormat="1" applyFont="1" applyBorder="1" applyAlignment="1">
      <alignment horizontal="center" vertical="center"/>
    </xf>
    <xf numFmtId="179" fontId="14" fillId="0" borderId="30" xfId="0" applyNumberFormat="1" applyFont="1" applyBorder="1" applyAlignment="1">
      <alignment horizontal="center" vertical="center"/>
    </xf>
    <xf numFmtId="182" fontId="14" fillId="0" borderId="22" xfId="0" applyNumberFormat="1" applyFont="1" applyBorder="1" applyAlignment="1">
      <alignment horizontal="center" shrinkToFit="1"/>
    </xf>
    <xf numFmtId="0" fontId="114" fillId="0" borderId="23" xfId="0" applyFont="1" applyBorder="1" applyAlignment="1">
      <alignment horizontal="center" vertical="center"/>
    </xf>
    <xf numFmtId="0" fontId="114" fillId="0" borderId="29" xfId="0" applyFont="1" applyBorder="1" applyAlignment="1">
      <alignment horizontal="center" vertical="center"/>
    </xf>
    <xf numFmtId="0" fontId="114" fillId="0" borderId="30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0" fontId="28" fillId="0" borderId="23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189" fontId="27" fillId="0" borderId="22" xfId="0" applyNumberFormat="1" applyFont="1" applyBorder="1" applyAlignment="1">
      <alignment horizontal="center" vertical="center"/>
    </xf>
    <xf numFmtId="189" fontId="27" fillId="0" borderId="23" xfId="0" applyNumberFormat="1" applyFont="1" applyBorder="1" applyAlignment="1">
      <alignment horizontal="center" vertical="center"/>
    </xf>
    <xf numFmtId="182" fontId="27" fillId="0" borderId="22" xfId="0" applyNumberFormat="1" applyFont="1" applyBorder="1" applyAlignment="1">
      <alignment horizontal="center" vertical="center"/>
    </xf>
    <xf numFmtId="177" fontId="14" fillId="0" borderId="23" xfId="0" applyNumberFormat="1" applyFont="1" applyBorder="1" applyAlignment="1">
      <alignment horizontal="center" vertical="center"/>
    </xf>
    <xf numFmtId="177" fontId="14" fillId="0" borderId="29" xfId="0" applyNumberFormat="1" applyFont="1" applyBorder="1" applyAlignment="1">
      <alignment horizontal="center" vertical="center"/>
    </xf>
    <xf numFmtId="177" fontId="14" fillId="0" borderId="30" xfId="0" applyNumberFormat="1" applyFont="1" applyBorder="1" applyAlignment="1">
      <alignment horizontal="center" vertical="center"/>
    </xf>
    <xf numFmtId="177" fontId="14" fillId="0" borderId="22" xfId="0" applyNumberFormat="1" applyFont="1" applyBorder="1" applyAlignment="1">
      <alignment horizontal="center"/>
    </xf>
    <xf numFmtId="0" fontId="114" fillId="0" borderId="29" xfId="0" applyFont="1" applyBorder="1" applyAlignment="1">
      <alignment horizontal="center"/>
    </xf>
    <xf numFmtId="0" fontId="31" fillId="0" borderId="29" xfId="0" applyFont="1" applyBorder="1" applyAlignment="1">
      <alignment horizontal="center"/>
    </xf>
    <xf numFmtId="0" fontId="31" fillId="0" borderId="30" xfId="0" applyFont="1" applyBorder="1" applyAlignment="1">
      <alignment horizontal="center"/>
    </xf>
    <xf numFmtId="177" fontId="27" fillId="0" borderId="22" xfId="0" applyNumberFormat="1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177" fontId="32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 shrinkToFit="1"/>
    </xf>
    <xf numFmtId="177" fontId="27" fillId="0" borderId="23" xfId="0" applyNumberFormat="1" applyFont="1" applyBorder="1" applyAlignment="1">
      <alignment horizontal="center" vertical="center"/>
    </xf>
    <xf numFmtId="177" fontId="79" fillId="0" borderId="22" xfId="0" applyNumberFormat="1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/>
    </xf>
    <xf numFmtId="183" fontId="14" fillId="9" borderId="22" xfId="0" applyNumberFormat="1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9" borderId="22" xfId="0" applyFont="1" applyFill="1" applyBorder="1" applyAlignment="1">
      <alignment horizontal="center" vertical="center" shrinkToFit="1"/>
    </xf>
    <xf numFmtId="179" fontId="14" fillId="5" borderId="27" xfId="0" applyNumberFormat="1" applyFont="1" applyFill="1" applyBorder="1" applyAlignment="1">
      <alignment horizontal="center" vertical="center" shrinkToFit="1"/>
    </xf>
    <xf numFmtId="179" fontId="14" fillId="5" borderId="28" xfId="0" applyNumberFormat="1" applyFont="1" applyFill="1" applyBorder="1" applyAlignment="1">
      <alignment horizontal="center" vertical="center" shrinkToFit="1"/>
    </xf>
    <xf numFmtId="179" fontId="14" fillId="5" borderId="25" xfId="0" applyNumberFormat="1" applyFont="1" applyFill="1" applyBorder="1" applyAlignment="1">
      <alignment horizontal="center" vertical="center" shrinkToFit="1"/>
    </xf>
    <xf numFmtId="187" fontId="14" fillId="5" borderId="22" xfId="0" applyNumberFormat="1" applyFont="1" applyFill="1" applyBorder="1" applyAlignment="1">
      <alignment horizontal="center" vertical="center" shrinkToFit="1"/>
    </xf>
    <xf numFmtId="187" fontId="14" fillId="8" borderId="22" xfId="0" applyNumberFormat="1" applyFont="1" applyFill="1" applyBorder="1" applyAlignment="1">
      <alignment horizontal="center" vertical="center" shrinkToFit="1"/>
    </xf>
    <xf numFmtId="187" fontId="14" fillId="5" borderId="27" xfId="0" applyNumberFormat="1" applyFont="1" applyFill="1" applyBorder="1" applyAlignment="1">
      <alignment horizontal="center" vertical="center" shrinkToFit="1"/>
    </xf>
    <xf numFmtId="187" fontId="14" fillId="5" borderId="28" xfId="0" applyNumberFormat="1" applyFont="1" applyFill="1" applyBorder="1" applyAlignment="1">
      <alignment horizontal="center" vertical="center" shrinkToFit="1"/>
    </xf>
    <xf numFmtId="187" fontId="14" fillId="5" borderId="25" xfId="0" applyNumberFormat="1" applyFont="1" applyFill="1" applyBorder="1" applyAlignment="1">
      <alignment horizontal="center" vertical="center" shrinkToFit="1"/>
    </xf>
    <xf numFmtId="185" fontId="14" fillId="0" borderId="22" xfId="13" applyNumberFormat="1" applyFont="1" applyBorder="1" applyAlignment="1">
      <alignment horizontal="center" vertical="center" shrinkToFit="1"/>
    </xf>
    <xf numFmtId="0" fontId="117" fillId="0" borderId="37" xfId="0" applyFont="1" applyBorder="1" applyAlignment="1">
      <alignment horizontal="left" vertical="center"/>
    </xf>
    <xf numFmtId="0" fontId="119" fillId="0" borderId="37" xfId="0" applyFont="1" applyBorder="1" applyAlignment="1">
      <alignment horizontal="left" vertical="center"/>
    </xf>
    <xf numFmtId="0" fontId="119" fillId="0" borderId="32" xfId="0" applyFont="1" applyBorder="1" applyAlignment="1">
      <alignment horizontal="left" vertical="center"/>
    </xf>
    <xf numFmtId="0" fontId="119" fillId="0" borderId="26" xfId="0" applyFont="1" applyBorder="1" applyAlignment="1">
      <alignment horizontal="left" vertical="center"/>
    </xf>
    <xf numFmtId="0" fontId="119" fillId="0" borderId="36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 shrinkToFit="1"/>
    </xf>
    <xf numFmtId="179" fontId="14" fillId="5" borderId="22" xfId="0" applyNumberFormat="1" applyFont="1" applyFill="1" applyBorder="1" applyAlignment="1">
      <alignment horizontal="center" vertical="center" shrinkToFit="1"/>
    </xf>
    <xf numFmtId="0" fontId="14" fillId="5" borderId="22" xfId="0" applyFont="1" applyFill="1" applyBorder="1" applyAlignment="1">
      <alignment horizontal="center" vertical="center" shrinkToFit="1"/>
    </xf>
    <xf numFmtId="179" fontId="14" fillId="8" borderId="22" xfId="0" applyNumberFormat="1" applyFont="1" applyFill="1" applyBorder="1" applyAlignment="1">
      <alignment horizontal="center" vertical="center" shrinkToFit="1"/>
    </xf>
    <xf numFmtId="0" fontId="14" fillId="8" borderId="22" xfId="0" applyFont="1" applyFill="1" applyBorder="1" applyAlignment="1">
      <alignment horizontal="center" vertical="center" shrinkToFit="1"/>
    </xf>
    <xf numFmtId="0" fontId="46" fillId="0" borderId="37" xfId="0" applyFont="1" applyBorder="1" applyAlignment="1">
      <alignment horizontal="left" vertical="center"/>
    </xf>
    <xf numFmtId="0" fontId="48" fillId="0" borderId="32" xfId="0" applyFont="1" applyBorder="1" applyAlignment="1">
      <alignment horizontal="left" vertical="center"/>
    </xf>
    <xf numFmtId="0" fontId="48" fillId="0" borderId="26" xfId="0" applyFont="1" applyBorder="1" applyAlignment="1">
      <alignment horizontal="left" vertical="center"/>
    </xf>
    <xf numFmtId="0" fontId="48" fillId="0" borderId="36" xfId="0" applyFont="1" applyBorder="1" applyAlignment="1">
      <alignment horizontal="left" vertical="center"/>
    </xf>
    <xf numFmtId="0" fontId="82" fillId="0" borderId="37" xfId="0" applyFont="1" applyBorder="1" applyAlignment="1">
      <alignment horizontal="left" vertical="center"/>
    </xf>
    <xf numFmtId="0" fontId="51" fillId="0" borderId="37" xfId="0" applyFont="1" applyBorder="1" applyAlignment="1">
      <alignment horizontal="left" vertical="center"/>
    </xf>
    <xf numFmtId="0" fontId="51" fillId="0" borderId="32" xfId="0" applyFont="1" applyBorder="1" applyAlignment="1">
      <alignment horizontal="left" vertical="center"/>
    </xf>
    <xf numFmtId="0" fontId="51" fillId="0" borderId="26" xfId="0" applyFont="1" applyBorder="1" applyAlignment="1">
      <alignment horizontal="left" vertical="center"/>
    </xf>
    <xf numFmtId="0" fontId="51" fillId="0" borderId="36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82" fillId="0" borderId="32" xfId="0" applyFont="1" applyBorder="1" applyAlignment="1">
      <alignment horizontal="left" vertical="center"/>
    </xf>
    <xf numFmtId="0" fontId="82" fillId="0" borderId="26" xfId="0" applyFont="1" applyBorder="1" applyAlignment="1">
      <alignment horizontal="left" vertical="center"/>
    </xf>
    <xf numFmtId="0" fontId="82" fillId="0" borderId="36" xfId="0" applyFont="1" applyBorder="1" applyAlignment="1">
      <alignment horizontal="left" vertical="center"/>
    </xf>
    <xf numFmtId="0" fontId="86" fillId="0" borderId="22" xfId="0" applyFont="1" applyBorder="1" applyAlignment="1">
      <alignment horizontal="center" vertical="center"/>
    </xf>
    <xf numFmtId="183" fontId="14" fillId="0" borderId="23" xfId="0" applyNumberFormat="1" applyFont="1" applyBorder="1" applyAlignment="1">
      <alignment horizontal="center" vertical="center"/>
    </xf>
    <xf numFmtId="183" fontId="14" fillId="0" borderId="29" xfId="0" applyNumberFormat="1" applyFont="1" applyBorder="1" applyAlignment="1">
      <alignment horizontal="center" vertical="center"/>
    </xf>
    <xf numFmtId="183" fontId="14" fillId="0" borderId="30" xfId="0" applyNumberFormat="1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183" fontId="14" fillId="9" borderId="23" xfId="0" applyNumberFormat="1" applyFont="1" applyFill="1" applyBorder="1" applyAlignment="1">
      <alignment horizontal="center" vertical="center" shrinkToFit="1"/>
    </xf>
    <xf numFmtId="183" fontId="14" fillId="9" borderId="29" xfId="0" applyNumberFormat="1" applyFont="1" applyFill="1" applyBorder="1" applyAlignment="1">
      <alignment horizontal="center" vertical="center" shrinkToFit="1"/>
    </xf>
    <xf numFmtId="183" fontId="14" fillId="9" borderId="30" xfId="0" applyNumberFormat="1" applyFont="1" applyFill="1" applyBorder="1" applyAlignment="1">
      <alignment horizontal="center" vertical="center" shrinkToFit="1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9" borderId="27" xfId="0" applyFont="1" applyFill="1" applyBorder="1" applyAlignment="1">
      <alignment horizontal="center" vertical="center" shrinkToFit="1"/>
    </xf>
    <xf numFmtId="0" fontId="14" fillId="9" borderId="28" xfId="0" applyFont="1" applyFill="1" applyBorder="1" applyAlignment="1">
      <alignment horizontal="center" vertical="center" shrinkToFit="1"/>
    </xf>
    <xf numFmtId="0" fontId="14" fillId="9" borderId="25" xfId="0" applyFont="1" applyFill="1" applyBorder="1" applyAlignment="1">
      <alignment horizontal="center" vertical="center" shrinkToFit="1"/>
    </xf>
    <xf numFmtId="187" fontId="14" fillId="8" borderId="27" xfId="0" applyNumberFormat="1" applyFont="1" applyFill="1" applyBorder="1" applyAlignment="1">
      <alignment horizontal="center" vertical="center" shrinkToFit="1"/>
    </xf>
    <xf numFmtId="187" fontId="14" fillId="8" borderId="28" xfId="0" applyNumberFormat="1" applyFont="1" applyFill="1" applyBorder="1" applyAlignment="1">
      <alignment horizontal="center" vertical="center" shrinkToFit="1"/>
    </xf>
    <xf numFmtId="187" fontId="14" fillId="8" borderId="25" xfId="0" applyNumberFormat="1" applyFont="1" applyFill="1" applyBorder="1" applyAlignment="1">
      <alignment horizontal="center" vertical="center" shrinkToFit="1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9" borderId="23" xfId="0" applyFont="1" applyFill="1" applyBorder="1" applyAlignment="1">
      <alignment horizontal="center" vertical="center" shrinkToFit="1"/>
    </xf>
    <xf numFmtId="0" fontId="14" fillId="9" borderId="29" xfId="0" applyFont="1" applyFill="1" applyBorder="1" applyAlignment="1">
      <alignment horizontal="center" vertical="center" shrinkToFit="1"/>
    </xf>
    <xf numFmtId="0" fontId="14" fillId="9" borderId="30" xfId="0" applyFont="1" applyFill="1" applyBorder="1" applyAlignment="1">
      <alignment horizontal="center" vertical="center" shrinkToFit="1"/>
    </xf>
    <xf numFmtId="179" fontId="14" fillId="8" borderId="27" xfId="0" applyNumberFormat="1" applyFont="1" applyFill="1" applyBorder="1" applyAlignment="1">
      <alignment horizontal="center" vertical="center" shrinkToFit="1"/>
    </xf>
    <xf numFmtId="179" fontId="14" fillId="8" borderId="28" xfId="0" applyNumberFormat="1" applyFont="1" applyFill="1" applyBorder="1" applyAlignment="1">
      <alignment horizontal="center" vertical="center" shrinkToFit="1"/>
    </xf>
    <xf numFmtId="179" fontId="14" fillId="8" borderId="25" xfId="0" applyNumberFormat="1" applyFont="1" applyFill="1" applyBorder="1" applyAlignment="1">
      <alignment horizontal="center" vertical="center" shrinkToFit="1"/>
    </xf>
    <xf numFmtId="0" fontId="57" fillId="0" borderId="22" xfId="0" applyFont="1" applyBorder="1" applyAlignment="1">
      <alignment shrinkToFit="1"/>
    </xf>
    <xf numFmtId="0" fontId="72" fillId="0" borderId="22" xfId="0" applyFont="1" applyBorder="1" applyAlignment="1">
      <alignment shrinkToFit="1"/>
    </xf>
    <xf numFmtId="0" fontId="57" fillId="2" borderId="22" xfId="0" applyFont="1" applyFill="1" applyBorder="1" applyAlignment="1">
      <alignment horizontal="center" shrinkToFit="1"/>
    </xf>
    <xf numFmtId="0" fontId="72" fillId="0" borderId="22" xfId="0" applyFont="1" applyBorder="1" applyAlignment="1">
      <alignment horizontal="center" shrinkToFit="1"/>
    </xf>
    <xf numFmtId="0" fontId="15" fillId="0" borderId="22" xfId="0" applyFont="1" applyBorder="1" applyAlignment="1">
      <alignment horizontal="center" vertical="center" shrinkToFit="1"/>
    </xf>
    <xf numFmtId="0" fontId="57" fillId="2" borderId="22" xfId="0" applyFont="1" applyFill="1" applyBorder="1" applyAlignment="1">
      <alignment horizontal="center" vertical="center" shrinkToFit="1"/>
    </xf>
    <xf numFmtId="0" fontId="51" fillId="0" borderId="0" xfId="0" applyFont="1" applyAlignment="1">
      <alignment horizontal="left" vertical="center" shrinkToFit="1"/>
    </xf>
    <xf numFmtId="0" fontId="72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shrinkToFit="1"/>
    </xf>
    <xf numFmtId="0" fontId="57" fillId="0" borderId="27" xfId="0" applyFont="1" applyBorder="1" applyAlignment="1">
      <alignment shrinkToFit="1"/>
    </xf>
    <xf numFmtId="0" fontId="57" fillId="0" borderId="28" xfId="0" applyFont="1" applyBorder="1" applyAlignment="1">
      <alignment shrinkToFit="1"/>
    </xf>
    <xf numFmtId="0" fontId="57" fillId="0" borderId="25" xfId="0" applyFont="1" applyBorder="1" applyAlignment="1">
      <alignment shrinkToFit="1"/>
    </xf>
    <xf numFmtId="0" fontId="57" fillId="2" borderId="27" xfId="0" applyFont="1" applyFill="1" applyBorder="1" applyAlignment="1">
      <alignment horizontal="center" shrinkToFit="1"/>
    </xf>
    <xf numFmtId="0" fontId="57" fillId="2" borderId="25" xfId="0" applyFont="1" applyFill="1" applyBorder="1" applyAlignment="1">
      <alignment horizontal="center" shrinkToFit="1"/>
    </xf>
    <xf numFmtId="0" fontId="57" fillId="2" borderId="28" xfId="0" applyFont="1" applyFill="1" applyBorder="1" applyAlignment="1">
      <alignment horizont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57" fillId="2" borderId="23" xfId="0" applyFont="1" applyFill="1" applyBorder="1" applyAlignment="1">
      <alignment horizontal="center" vertical="center" shrinkToFit="1"/>
    </xf>
    <xf numFmtId="0" fontId="57" fillId="2" borderId="29" xfId="0" applyFont="1" applyFill="1" applyBorder="1" applyAlignment="1">
      <alignment horizontal="center" vertical="center" shrinkToFit="1"/>
    </xf>
    <xf numFmtId="0" fontId="57" fillId="2" borderId="30" xfId="0" applyFont="1" applyFill="1" applyBorder="1" applyAlignment="1">
      <alignment horizontal="center" vertical="center" shrinkToFit="1"/>
    </xf>
    <xf numFmtId="0" fontId="57" fillId="2" borderId="27" xfId="0" applyFont="1" applyFill="1" applyBorder="1" applyAlignment="1">
      <alignment horizontal="center" vertical="center" shrinkToFit="1"/>
    </xf>
    <xf numFmtId="0" fontId="57" fillId="2" borderId="25" xfId="0" applyFont="1" applyFill="1" applyBorder="1" applyAlignment="1">
      <alignment horizontal="center" vertical="center" shrinkToFit="1"/>
    </xf>
    <xf numFmtId="0" fontId="57" fillId="2" borderId="28" xfId="0" applyFont="1" applyFill="1" applyBorder="1" applyAlignment="1">
      <alignment horizontal="center" vertical="center" shrinkToFit="1"/>
    </xf>
    <xf numFmtId="0" fontId="64" fillId="0" borderId="22" xfId="0" applyFont="1" applyBorder="1" applyAlignment="1">
      <alignment shrinkToFit="1"/>
    </xf>
    <xf numFmtId="0" fontId="125" fillId="0" borderId="27" xfId="0" applyFont="1" applyBorder="1" applyAlignment="1">
      <alignment shrinkToFit="1"/>
    </xf>
    <xf numFmtId="0" fontId="126" fillId="0" borderId="22" xfId="0" applyFont="1" applyBorder="1" applyAlignment="1">
      <alignment shrinkToFit="1"/>
    </xf>
    <xf numFmtId="0" fontId="55" fillId="0" borderId="22" xfId="11" applyFont="1" applyBorder="1" applyAlignment="1">
      <alignment horizontal="center" vertical="center" shrinkToFit="1"/>
    </xf>
    <xf numFmtId="0" fontId="32" fillId="0" borderId="22" xfId="11" applyFont="1" applyBorder="1" applyAlignment="1">
      <alignment horizontal="center" vertical="center" shrinkToFit="1"/>
    </xf>
    <xf numFmtId="0" fontId="42" fillId="0" borderId="0" xfId="11" applyFont="1" applyAlignment="1">
      <alignment horizontal="center" vertical="center" shrinkToFit="1"/>
    </xf>
    <xf numFmtId="0" fontId="51" fillId="0" borderId="0" xfId="11" applyFont="1" applyAlignment="1">
      <alignment horizontal="left" vertical="center" shrinkToFit="1"/>
    </xf>
    <xf numFmtId="0" fontId="44" fillId="0" borderId="22" xfId="11" applyFont="1" applyBorder="1" applyAlignment="1">
      <alignment horizontal="center" vertical="center"/>
    </xf>
    <xf numFmtId="0" fontId="28" fillId="0" borderId="22" xfId="11" applyFont="1" applyBorder="1" applyAlignment="1">
      <alignment horizontal="center" vertical="center" shrinkToFit="1"/>
    </xf>
    <xf numFmtId="0" fontId="28" fillId="0" borderId="37" xfId="11" applyFont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64" fillId="0" borderId="22" xfId="11" applyFont="1" applyBorder="1" applyAlignment="1">
      <alignment horizontal="left" vertical="center" wrapText="1"/>
    </xf>
    <xf numFmtId="0" fontId="64" fillId="2" borderId="22" xfId="11" applyFont="1" applyFill="1" applyBorder="1" applyAlignment="1">
      <alignment horizontal="center" vertical="center" shrinkToFit="1"/>
    </xf>
    <xf numFmtId="0" fontId="64" fillId="0" borderId="22" xfId="11" applyFont="1" applyBorder="1" applyAlignment="1">
      <alignment horizontal="center" vertical="center" wrapText="1"/>
    </xf>
    <xf numFmtId="0" fontId="43" fillId="2" borderId="22" xfId="11" applyFont="1" applyFill="1" applyBorder="1" applyAlignment="1">
      <alignment horizontal="center" vertical="center" shrinkToFit="1"/>
    </xf>
    <xf numFmtId="0" fontId="52" fillId="0" borderId="0" xfId="11" applyFont="1" applyAlignment="1">
      <alignment horizontal="left" vertical="center" shrinkToFit="1"/>
    </xf>
    <xf numFmtId="0" fontId="26" fillId="9" borderId="22" xfId="11" applyFont="1" applyFill="1" applyBorder="1" applyAlignment="1">
      <alignment horizontal="center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28" fillId="2" borderId="27" xfId="11" applyFont="1" applyFill="1" applyBorder="1" applyAlignment="1">
      <alignment horizontal="center" vertical="center" shrinkToFit="1"/>
    </xf>
    <xf numFmtId="0" fontId="28" fillId="2" borderId="28" xfId="11" applyFont="1" applyFill="1" applyBorder="1" applyAlignment="1">
      <alignment horizontal="center" vertical="center" shrinkToFit="1"/>
    </xf>
    <xf numFmtId="0" fontId="28" fillId="2" borderId="25" xfId="11" applyFont="1" applyFill="1" applyBorder="1" applyAlignment="1">
      <alignment horizontal="center" vertical="center" shrinkToFit="1"/>
    </xf>
    <xf numFmtId="0" fontId="37" fillId="4" borderId="22" xfId="11" applyFont="1" applyFill="1" applyBorder="1" applyAlignment="1">
      <alignment vertical="center" wrapText="1"/>
    </xf>
    <xf numFmtId="0" fontId="37" fillId="0" borderId="22" xfId="11" applyFont="1" applyBorder="1" applyAlignment="1">
      <alignment vertical="center" wrapText="1"/>
    </xf>
    <xf numFmtId="0" fontId="64" fillId="4" borderId="22" xfId="11" applyFont="1" applyFill="1" applyBorder="1" applyAlignment="1">
      <alignment vertical="center" wrapText="1"/>
    </xf>
    <xf numFmtId="0" fontId="64" fillId="0" borderId="22" xfId="11" applyFont="1" applyBorder="1" applyAlignment="1">
      <alignment vertical="center" wrapText="1"/>
    </xf>
    <xf numFmtId="0" fontId="26" fillId="0" borderId="22" xfId="11" applyFont="1" applyBorder="1" applyAlignment="1">
      <alignment horizontal="center" vertical="center" wrapText="1" shrinkToFit="1"/>
    </xf>
    <xf numFmtId="0" fontId="28" fillId="2" borderId="35" xfId="11" applyFont="1" applyFill="1" applyBorder="1" applyAlignment="1">
      <alignment horizontal="center" vertical="center" shrinkToFit="1"/>
    </xf>
    <xf numFmtId="0" fontId="28" fillId="2" borderId="26" xfId="11" applyFont="1" applyFill="1" applyBorder="1" applyAlignment="1">
      <alignment horizontal="center" vertical="center" shrinkToFit="1"/>
    </xf>
    <xf numFmtId="0" fontId="28" fillId="2" borderId="43" xfId="11" applyFont="1" applyFill="1" applyBorder="1" applyAlignment="1">
      <alignment horizontal="center" vertical="center" shrinkToFit="1"/>
    </xf>
    <xf numFmtId="0" fontId="37" fillId="0" borderId="22" xfId="11" applyFont="1" applyBorder="1" applyAlignment="1">
      <alignment horizontal="left" vertical="center" wrapText="1"/>
    </xf>
    <xf numFmtId="0" fontId="28" fillId="2" borderId="57" xfId="11" applyFont="1" applyFill="1" applyBorder="1" applyAlignment="1">
      <alignment horizontal="center" vertical="center" shrinkToFit="1"/>
    </xf>
    <xf numFmtId="0" fontId="28" fillId="2" borderId="58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6" fillId="9" borderId="27" xfId="11" applyFont="1" applyFill="1" applyBorder="1" applyAlignment="1">
      <alignment horizontal="center" vertical="center" shrinkToFit="1"/>
    </xf>
    <xf numFmtId="0" fontId="26" fillId="9" borderId="25" xfId="11" applyFont="1" applyFill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51" fillId="0" borderId="26" xfId="11" applyFont="1" applyBorder="1" applyAlignment="1">
      <alignment horizontal="left"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6" fillId="0" borderId="27" xfId="11" applyFont="1" applyBorder="1" applyAlignment="1">
      <alignment horizontal="center" vertical="center" shrinkToFit="1"/>
    </xf>
    <xf numFmtId="0" fontId="26" fillId="0" borderId="25" xfId="11" applyFont="1" applyBorder="1" applyAlignment="1">
      <alignment horizontal="center" vertical="center" shrinkToFit="1"/>
    </xf>
    <xf numFmtId="0" fontId="35" fillId="0" borderId="27" xfId="11" applyFont="1" applyBorder="1" applyAlignment="1">
      <alignment horizontal="center" vertical="center" shrinkToFit="1"/>
    </xf>
    <xf numFmtId="0" fontId="35" fillId="0" borderId="25" xfId="11" applyFont="1" applyBorder="1" applyAlignment="1">
      <alignment horizontal="center" vertical="center" shrinkToFit="1"/>
    </xf>
    <xf numFmtId="0" fontId="7" fillId="2" borderId="4" xfId="11" applyFont="1" applyFill="1" applyBorder="1" applyAlignment="1">
      <alignment horizontal="center" vertical="center" shrinkToFit="1"/>
    </xf>
    <xf numFmtId="0" fontId="7" fillId="2" borderId="2" xfId="11" applyFont="1" applyFill="1" applyBorder="1" applyAlignment="1">
      <alignment horizontal="center" vertical="center" shrinkToFit="1"/>
    </xf>
    <xf numFmtId="0" fontId="7" fillId="2" borderId="3" xfId="11" applyFont="1" applyFill="1" applyBorder="1" applyAlignment="1">
      <alignment horizontal="center" vertical="center" shrinkToFit="1"/>
    </xf>
    <xf numFmtId="0" fontId="11" fillId="2" borderId="54" xfId="11" applyFont="1" applyFill="1" applyBorder="1" applyAlignment="1">
      <alignment horizontal="center" vertical="center" shrinkToFit="1"/>
    </xf>
    <xf numFmtId="0" fontId="11" fillId="2" borderId="47" xfId="11" applyFont="1" applyFill="1" applyBorder="1" applyAlignment="1">
      <alignment horizontal="center" vertical="center" shrinkToFit="1"/>
    </xf>
    <xf numFmtId="0" fontId="11" fillId="2" borderId="48" xfId="11" applyFont="1" applyFill="1" applyBorder="1" applyAlignment="1">
      <alignment horizontal="center" vertical="center" shrinkToFit="1"/>
    </xf>
    <xf numFmtId="0" fontId="12" fillId="2" borderId="4" xfId="11" applyFont="1" applyFill="1" applyBorder="1" applyAlignment="1">
      <alignment horizontal="center" vertical="center" shrinkToFit="1"/>
    </xf>
    <xf numFmtId="0" fontId="12" fillId="2" borderId="3" xfId="11" applyFont="1" applyFill="1" applyBorder="1" applyAlignment="1">
      <alignment horizontal="center" vertical="center" shrinkToFit="1"/>
    </xf>
    <xf numFmtId="0" fontId="24" fillId="0" borderId="23" xfId="11" applyBorder="1" applyAlignment="1">
      <alignment horizontal="center" vertical="center" shrinkToFit="1"/>
    </xf>
    <xf numFmtId="0" fontId="24" fillId="0" borderId="29" xfId="11" applyBorder="1" applyAlignment="1">
      <alignment horizontal="center" vertical="center" shrinkToFit="1"/>
    </xf>
    <xf numFmtId="0" fontId="24" fillId="0" borderId="30" xfId="11" applyBorder="1" applyAlignment="1">
      <alignment horizontal="center" vertical="center" shrinkToFit="1"/>
    </xf>
    <xf numFmtId="0" fontId="24" fillId="0" borderId="23" xfId="11" applyBorder="1" applyAlignment="1">
      <alignment horizontal="center" vertical="center" wrapText="1" shrinkToFit="1"/>
    </xf>
    <xf numFmtId="0" fontId="24" fillId="0" borderId="29" xfId="11" applyBorder="1" applyAlignment="1">
      <alignment horizontal="center" vertical="center" wrapText="1" shrinkToFit="1"/>
    </xf>
    <xf numFmtId="0" fontId="24" fillId="0" borderId="30" xfId="11" applyBorder="1" applyAlignment="1">
      <alignment horizontal="center" vertical="center" wrapText="1" shrinkToFit="1"/>
    </xf>
    <xf numFmtId="0" fontId="37" fillId="0" borderId="68" xfId="11" applyFont="1" applyBorder="1" applyAlignment="1">
      <alignment horizontal="left" vertical="center" wrapText="1"/>
    </xf>
    <xf numFmtId="0" fontId="37" fillId="0" borderId="61" xfId="11" applyFont="1" applyBorder="1" applyAlignment="1">
      <alignment horizontal="left" vertical="center" wrapText="1"/>
    </xf>
    <xf numFmtId="0" fontId="77" fillId="0" borderId="4" xfId="11" applyFont="1" applyBorder="1" applyAlignment="1">
      <alignment horizontal="left" vertical="center" wrapText="1"/>
    </xf>
    <xf numFmtId="0" fontId="77" fillId="0" borderId="3" xfId="11" applyFont="1" applyBorder="1" applyAlignment="1">
      <alignment horizontal="left" vertical="center" wrapText="1"/>
    </xf>
    <xf numFmtId="0" fontId="77" fillId="4" borderId="4" xfId="11" applyFont="1" applyFill="1" applyBorder="1" applyAlignment="1">
      <alignment horizontal="left" vertical="center" wrapText="1"/>
    </xf>
    <xf numFmtId="0" fontId="77" fillId="4" borderId="3" xfId="11" applyFont="1" applyFill="1" applyBorder="1" applyAlignment="1">
      <alignment horizontal="left" vertical="center" wrapText="1"/>
    </xf>
    <xf numFmtId="0" fontId="77" fillId="0" borderId="4" xfId="11" applyFont="1" applyBorder="1" applyAlignment="1">
      <alignment horizontal="left" vertical="center" wrapText="1" shrinkToFit="1"/>
    </xf>
    <xf numFmtId="0" fontId="77" fillId="0" borderId="3" xfId="11" applyFont="1" applyBorder="1" applyAlignment="1">
      <alignment horizontal="left" vertical="center" wrapText="1" shrinkToFit="1"/>
    </xf>
    <xf numFmtId="0" fontId="7" fillId="2" borderId="35" xfId="11" applyFont="1" applyFill="1" applyBorder="1" applyAlignment="1">
      <alignment horizontal="center" vertical="center" shrinkToFit="1"/>
    </xf>
    <xf numFmtId="0" fontId="7" fillId="2" borderId="26" xfId="11" applyFont="1" applyFill="1" applyBorder="1" applyAlignment="1">
      <alignment horizontal="center" vertical="center" shrinkToFit="1"/>
    </xf>
    <xf numFmtId="0" fontId="7" fillId="2" borderId="36" xfId="11" applyFont="1" applyFill="1" applyBorder="1" applyAlignment="1">
      <alignment horizontal="center" vertical="center" shrinkToFit="1"/>
    </xf>
    <xf numFmtId="0" fontId="7" fillId="2" borderId="39" xfId="11" applyFont="1" applyFill="1" applyBorder="1" applyAlignment="1">
      <alignment horizontal="center" shrinkToFit="1"/>
    </xf>
    <xf numFmtId="0" fontId="7" fillId="2" borderId="2" xfId="11" applyFont="1" applyFill="1" applyBorder="1" applyAlignment="1">
      <alignment horizontal="center" shrinkToFit="1"/>
    </xf>
    <xf numFmtId="0" fontId="7" fillId="2" borderId="3" xfId="11" applyFont="1" applyFill="1" applyBorder="1" applyAlignment="1">
      <alignment horizontal="center" shrinkToFit="1"/>
    </xf>
    <xf numFmtId="0" fontId="35" fillId="0" borderId="23" xfId="11" applyFont="1" applyBorder="1" applyAlignment="1">
      <alignment horizontal="center" vertical="center" wrapText="1" shrinkToFit="1"/>
    </xf>
    <xf numFmtId="0" fontId="35" fillId="0" borderId="29" xfId="11" applyFont="1" applyBorder="1" applyAlignment="1">
      <alignment horizontal="center" vertical="center" wrapText="1" shrinkToFit="1"/>
    </xf>
    <xf numFmtId="0" fontId="35" fillId="0" borderId="30" xfId="11" applyFont="1" applyBorder="1" applyAlignment="1">
      <alignment horizontal="center" vertical="center" wrapText="1" shrinkToFit="1"/>
    </xf>
    <xf numFmtId="0" fontId="84" fillId="4" borderId="4" xfId="11" applyFont="1" applyFill="1" applyBorder="1" applyAlignment="1">
      <alignment vertical="center" wrapText="1"/>
    </xf>
    <xf numFmtId="0" fontId="84" fillId="4" borderId="3" xfId="11" applyFont="1" applyFill="1" applyBorder="1" applyAlignment="1">
      <alignment vertical="center" wrapText="1"/>
    </xf>
    <xf numFmtId="0" fontId="77" fillId="0" borderId="4" xfId="11" applyFont="1" applyBorder="1" applyAlignment="1">
      <alignment vertical="center" wrapText="1"/>
    </xf>
    <xf numFmtId="0" fontId="77" fillId="0" borderId="3" xfId="11" applyFont="1" applyBorder="1" applyAlignment="1">
      <alignment vertical="center" wrapText="1"/>
    </xf>
    <xf numFmtId="0" fontId="77" fillId="0" borderId="4" xfId="11" applyFont="1" applyBorder="1" applyAlignment="1">
      <alignment horizontal="left" vertical="top" wrapText="1"/>
    </xf>
    <xf numFmtId="0" fontId="77" fillId="0" borderId="3" xfId="11" applyFont="1" applyBorder="1" applyAlignment="1">
      <alignment horizontal="left" vertical="top" wrapText="1"/>
    </xf>
    <xf numFmtId="0" fontId="7" fillId="2" borderId="27" xfId="11" applyFont="1" applyFill="1" applyBorder="1" applyAlignment="1">
      <alignment horizontal="center" vertical="center" shrinkToFit="1"/>
    </xf>
    <xf numFmtId="0" fontId="7" fillId="2" borderId="28" xfId="11" applyFont="1" applyFill="1" applyBorder="1" applyAlignment="1">
      <alignment horizontal="center" vertical="center" shrinkToFit="1"/>
    </xf>
    <xf numFmtId="0" fontId="7" fillId="2" borderId="25" xfId="11" applyFont="1" applyFill="1" applyBorder="1" applyAlignment="1">
      <alignment horizontal="center" vertical="center" shrinkToFit="1"/>
    </xf>
    <xf numFmtId="0" fontId="77" fillId="4" borderId="4" xfId="11" applyFont="1" applyFill="1" applyBorder="1" applyAlignment="1">
      <alignment vertical="center" wrapText="1"/>
    </xf>
    <xf numFmtId="0" fontId="77" fillId="4" borderId="3" xfId="11" applyFont="1" applyFill="1" applyBorder="1" applyAlignment="1">
      <alignment vertical="center" wrapText="1"/>
    </xf>
    <xf numFmtId="0" fontId="7" fillId="2" borderId="68" xfId="11" applyFont="1" applyFill="1" applyBorder="1" applyAlignment="1">
      <alignment horizontal="center" vertical="center" shrinkToFit="1"/>
    </xf>
    <xf numFmtId="0" fontId="7" fillId="2" borderId="58" xfId="11" applyFont="1" applyFill="1" applyBorder="1" applyAlignment="1">
      <alignment horizontal="center" vertical="center" shrinkToFit="1"/>
    </xf>
    <xf numFmtId="0" fontId="7" fillId="2" borderId="61" xfId="11" applyFont="1" applyFill="1" applyBorder="1" applyAlignment="1">
      <alignment horizontal="center" vertical="center" shrinkToFit="1"/>
    </xf>
    <xf numFmtId="0" fontId="11" fillId="2" borderId="27" xfId="11" applyFont="1" applyFill="1" applyBorder="1" applyAlignment="1">
      <alignment horizontal="center" vertical="center" shrinkToFit="1"/>
    </xf>
    <xf numFmtId="0" fontId="11" fillId="2" borderId="28" xfId="11" applyFont="1" applyFill="1" applyBorder="1" applyAlignment="1">
      <alignment horizontal="center" vertical="center" shrinkToFit="1"/>
    </xf>
    <xf numFmtId="0" fontId="11" fillId="2" borderId="25" xfId="11" applyFont="1" applyFill="1" applyBorder="1" applyAlignment="1">
      <alignment horizontal="center" vertical="center" shrinkToFit="1"/>
    </xf>
    <xf numFmtId="0" fontId="77" fillId="0" borderId="4" xfId="11" applyFont="1" applyBorder="1" applyAlignment="1">
      <alignment vertical="center" wrapText="1" shrinkToFit="1"/>
    </xf>
    <xf numFmtId="0" fontId="77" fillId="0" borderId="3" xfId="11" applyFont="1" applyBorder="1" applyAlignment="1">
      <alignment vertical="center" wrapText="1" shrinkToFit="1"/>
    </xf>
    <xf numFmtId="0" fontId="66" fillId="0" borderId="23" xfId="11" applyFont="1" applyBorder="1" applyAlignment="1">
      <alignment horizontal="center" vertical="center" wrapText="1" shrinkToFit="1"/>
    </xf>
    <xf numFmtId="0" fontId="66" fillId="0" borderId="29" xfId="11" applyFont="1" applyBorder="1" applyAlignment="1">
      <alignment horizontal="center" vertical="center" wrapText="1" shrinkToFit="1"/>
    </xf>
    <xf numFmtId="0" fontId="66" fillId="0" borderId="30" xfId="11" applyFont="1" applyBorder="1" applyAlignment="1">
      <alignment horizontal="center" vertical="center" wrapText="1" shrinkToFit="1"/>
    </xf>
    <xf numFmtId="0" fontId="77" fillId="0" borderId="4" xfId="11" applyFont="1" applyBorder="1" applyAlignment="1">
      <alignment horizontal="center" vertical="center" shrinkToFit="1"/>
    </xf>
    <xf numFmtId="0" fontId="77" fillId="0" borderId="3" xfId="11" applyFont="1" applyBorder="1" applyAlignment="1">
      <alignment horizontal="center" vertical="center" shrinkToFit="1"/>
    </xf>
    <xf numFmtId="0" fontId="77" fillId="0" borderId="4" xfId="11" applyFont="1" applyBorder="1" applyAlignment="1">
      <alignment horizontal="center" shrinkToFit="1"/>
    </xf>
    <xf numFmtId="0" fontId="77" fillId="0" borderId="3" xfId="11" applyFont="1" applyBorder="1" applyAlignment="1">
      <alignment horizontal="center" shrinkToFit="1"/>
    </xf>
    <xf numFmtId="0" fontId="57" fillId="0" borderId="22" xfId="11" applyFont="1" applyBorder="1" applyAlignment="1">
      <alignment horizontal="center" vertical="center" shrinkToFit="1"/>
    </xf>
    <xf numFmtId="0" fontId="64" fillId="0" borderId="68" xfId="11" applyFont="1" applyBorder="1" applyAlignment="1">
      <alignment horizontal="left" vertical="center" wrapText="1"/>
    </xf>
    <xf numFmtId="0" fontId="64" fillId="0" borderId="61" xfId="11" applyFont="1" applyBorder="1" applyAlignment="1">
      <alignment horizontal="left" vertical="center" wrapText="1"/>
    </xf>
    <xf numFmtId="0" fontId="64" fillId="2" borderId="52" xfId="11" applyFont="1" applyFill="1" applyBorder="1" applyAlignment="1">
      <alignment horizontal="left" vertical="center" shrinkToFit="1"/>
    </xf>
    <xf numFmtId="0" fontId="64" fillId="2" borderId="26" xfId="11" applyFont="1" applyFill="1" applyBorder="1" applyAlignment="1">
      <alignment horizontal="left" vertical="center" shrinkToFit="1"/>
    </xf>
    <xf numFmtId="0" fontId="64" fillId="2" borderId="53" xfId="11" applyFont="1" applyFill="1" applyBorder="1" applyAlignment="1">
      <alignment horizontal="left" vertical="center" shrinkToFit="1"/>
    </xf>
    <xf numFmtId="0" fontId="64" fillId="2" borderId="57" xfId="11" applyFont="1" applyFill="1" applyBorder="1" applyAlignment="1">
      <alignment horizontal="left" vertical="center" shrinkToFit="1"/>
    </xf>
    <xf numFmtId="0" fontId="64" fillId="2" borderId="61" xfId="11" applyFont="1" applyFill="1" applyBorder="1" applyAlignment="1">
      <alignment horizontal="left" vertical="center" shrinkToFit="1"/>
    </xf>
    <xf numFmtId="0" fontId="64" fillId="0" borderId="4" xfId="11" applyFont="1" applyBorder="1" applyAlignment="1">
      <alignment horizontal="left" vertical="center" shrinkToFit="1"/>
    </xf>
    <xf numFmtId="0" fontId="64" fillId="0" borderId="62" xfId="11" applyFont="1" applyBorder="1" applyAlignment="1">
      <alignment horizontal="left" vertical="center" shrinkToFit="1"/>
    </xf>
    <xf numFmtId="0" fontId="64" fillId="2" borderId="52" xfId="11" applyFont="1" applyFill="1" applyBorder="1" applyAlignment="1">
      <alignment horizontal="center" vertical="center" shrinkToFit="1"/>
    </xf>
    <xf numFmtId="0" fontId="64" fillId="2" borderId="26" xfId="11" applyFont="1" applyFill="1" applyBorder="1" applyAlignment="1">
      <alignment horizontal="center" vertical="center" shrinkToFit="1"/>
    </xf>
    <xf numFmtId="0" fontId="64" fillId="2" borderId="36" xfId="11" applyFont="1" applyFill="1" applyBorder="1" applyAlignment="1">
      <alignment horizontal="center" vertical="center" shrinkToFit="1"/>
    </xf>
    <xf numFmtId="0" fontId="64" fillId="0" borderId="4" xfId="11" applyFont="1" applyBorder="1" applyAlignment="1">
      <alignment horizontal="left" vertical="center" wrapText="1"/>
    </xf>
    <xf numFmtId="0" fontId="64" fillId="0" borderId="62" xfId="11" applyFont="1" applyBorder="1" applyAlignment="1">
      <alignment horizontal="left" vertical="center" wrapText="1"/>
    </xf>
    <xf numFmtId="0" fontId="28" fillId="2" borderId="46" xfId="11" applyFont="1" applyFill="1" applyBorder="1" applyAlignment="1">
      <alignment horizontal="center" shrinkToFit="1"/>
    </xf>
    <xf numFmtId="0" fontId="28" fillId="2" borderId="47" xfId="11" applyFont="1" applyFill="1" applyBorder="1" applyAlignment="1">
      <alignment horizontal="center" shrinkToFit="1"/>
    </xf>
    <xf numFmtId="0" fontId="28" fillId="2" borderId="63" xfId="11" applyFont="1" applyFill="1" applyBorder="1" applyAlignment="1">
      <alignment horizontal="center" shrinkToFit="1"/>
    </xf>
    <xf numFmtId="0" fontId="64" fillId="2" borderId="57" xfId="11" applyFont="1" applyFill="1" applyBorder="1" applyAlignment="1">
      <alignment horizontal="center" vertical="center" shrinkToFit="1"/>
    </xf>
    <xf numFmtId="0" fontId="64" fillId="2" borderId="61" xfId="11" applyFont="1" applyFill="1" applyBorder="1" applyAlignment="1">
      <alignment horizontal="center" vertical="center" shrinkToFit="1"/>
    </xf>
    <xf numFmtId="0" fontId="7" fillId="2" borderId="9" xfId="11" applyFont="1" applyFill="1" applyBorder="1" applyAlignment="1">
      <alignment horizontal="center" vertical="center" shrinkToFit="1"/>
    </xf>
    <xf numFmtId="0" fontId="7" fillId="2" borderId="10" xfId="11" applyFont="1" applyFill="1" applyBorder="1" applyAlignment="1">
      <alignment horizontal="center" vertical="center" shrinkToFit="1"/>
    </xf>
    <xf numFmtId="0" fontId="7" fillId="2" borderId="8" xfId="11" applyFont="1" applyFill="1" applyBorder="1" applyAlignment="1">
      <alignment horizontal="center" vertical="center" shrinkToFit="1"/>
    </xf>
    <xf numFmtId="0" fontId="11" fillId="2" borderId="9" xfId="11" applyFont="1" applyFill="1" applyBorder="1" applyAlignment="1">
      <alignment horizontal="center" vertical="center" shrinkToFit="1"/>
    </xf>
    <xf numFmtId="0" fontId="11" fillId="2" borderId="10" xfId="11" applyFont="1" applyFill="1" applyBorder="1" applyAlignment="1">
      <alignment horizontal="center" vertic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84" fillId="0" borderId="4" xfId="11" applyFont="1" applyBorder="1" applyAlignment="1">
      <alignment vertical="center" wrapText="1"/>
    </xf>
    <xf numFmtId="0" fontId="84" fillId="0" borderId="3" xfId="11" applyFont="1" applyBorder="1" applyAlignment="1">
      <alignment vertical="center" wrapText="1"/>
    </xf>
    <xf numFmtId="0" fontId="77" fillId="4" borderId="4" xfId="11" applyFont="1" applyFill="1" applyBorder="1" applyAlignment="1">
      <alignment vertical="top" wrapText="1" shrinkToFit="1"/>
    </xf>
    <xf numFmtId="0" fontId="77" fillId="4" borderId="3" xfId="11" applyFont="1" applyFill="1" applyBorder="1" applyAlignment="1">
      <alignment vertical="top" wrapText="1" shrinkToFit="1"/>
    </xf>
    <xf numFmtId="0" fontId="77" fillId="0" borderId="4" xfId="11" applyFont="1" applyBorder="1" applyAlignment="1">
      <alignment vertical="top" wrapText="1" shrinkToFit="1"/>
    </xf>
    <xf numFmtId="0" fontId="77" fillId="0" borderId="3" xfId="11" applyFont="1" applyBorder="1" applyAlignment="1">
      <alignment vertical="top" wrapText="1" shrinkToFit="1"/>
    </xf>
    <xf numFmtId="0" fontId="26" fillId="0" borderId="27" xfId="11" applyFont="1" applyBorder="1" applyAlignment="1">
      <alignment horizontal="center" shrinkToFit="1"/>
    </xf>
    <xf numFmtId="0" fontId="26" fillId="0" borderId="25" xfId="11" applyFont="1" applyBorder="1" applyAlignment="1">
      <alignment horizontal="center" shrinkToFit="1"/>
    </xf>
    <xf numFmtId="0" fontId="55" fillId="0" borderId="27" xfId="11" applyFont="1" applyBorder="1" applyAlignment="1">
      <alignment horizontal="center" vertical="center" shrinkToFit="1"/>
    </xf>
    <xf numFmtId="0" fontId="55" fillId="0" borderId="25" xfId="11" applyFont="1" applyBorder="1" applyAlignment="1">
      <alignment horizontal="center" vertical="center" shrinkToFit="1"/>
    </xf>
    <xf numFmtId="0" fontId="32" fillId="0" borderId="27" xfId="11" applyFont="1" applyBorder="1" applyAlignment="1">
      <alignment horizontal="center" vertical="center" shrinkToFit="1"/>
    </xf>
    <xf numFmtId="0" fontId="32" fillId="0" borderId="25" xfId="11" applyFont="1" applyBorder="1" applyAlignment="1">
      <alignment horizontal="center" vertical="center" shrinkToFit="1"/>
    </xf>
    <xf numFmtId="0" fontId="89" fillId="0" borderId="26" xfId="11" applyFont="1" applyBorder="1" applyAlignment="1">
      <alignment horizontal="center" shrinkToFit="1"/>
    </xf>
    <xf numFmtId="0" fontId="26" fillId="0" borderId="26" xfId="11" applyFont="1" applyBorder="1" applyAlignment="1">
      <alignment horizontal="center" shrinkToFit="1"/>
    </xf>
    <xf numFmtId="0" fontId="28" fillId="0" borderId="22" xfId="11" applyFont="1" applyBorder="1" applyAlignment="1">
      <alignment horizontal="center" vertical="center"/>
    </xf>
    <xf numFmtId="0" fontId="28" fillId="2" borderId="61" xfId="11" applyFont="1" applyFill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shrinkToFit="1"/>
    </xf>
    <xf numFmtId="0" fontId="26" fillId="0" borderId="29" xfId="11" applyFont="1" applyBorder="1" applyAlignment="1">
      <alignment horizontal="center" vertical="center" shrinkToFit="1"/>
    </xf>
    <xf numFmtId="0" fontId="26" fillId="0" borderId="30" xfId="11" applyFont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wrapText="1" shrinkToFit="1"/>
    </xf>
    <xf numFmtId="0" fontId="26" fillId="0" borderId="29" xfId="11" applyFont="1" applyBorder="1" applyAlignment="1">
      <alignment horizontal="center" vertical="center" wrapText="1" shrinkToFit="1"/>
    </xf>
    <xf numFmtId="0" fontId="26" fillId="0" borderId="30" xfId="11" applyFont="1" applyBorder="1" applyAlignment="1">
      <alignment horizontal="center" vertical="center" wrapText="1" shrinkToFit="1"/>
    </xf>
    <xf numFmtId="0" fontId="37" fillId="0" borderId="4" xfId="11" applyFont="1" applyBorder="1" applyAlignment="1">
      <alignment horizontal="left" vertical="center" wrapText="1"/>
    </xf>
    <xf numFmtId="0" fontId="37" fillId="0" borderId="62" xfId="11" applyFont="1" applyBorder="1" applyAlignment="1">
      <alignment horizontal="left" vertical="center" wrapText="1"/>
    </xf>
    <xf numFmtId="0" fontId="28" fillId="2" borderId="70" xfId="11" applyFont="1" applyFill="1" applyBorder="1" applyAlignment="1">
      <alignment horizontal="center" vertical="center" shrinkToFit="1"/>
    </xf>
    <xf numFmtId="0" fontId="28" fillId="2" borderId="68" xfId="11" applyFont="1" applyFill="1" applyBorder="1" applyAlignment="1">
      <alignment horizontal="center" vertical="center" shrinkToFit="1"/>
    </xf>
    <xf numFmtId="0" fontId="28" fillId="2" borderId="31" xfId="11" applyFont="1" applyFill="1" applyBorder="1" applyAlignment="1">
      <alignment horizontal="center" vertical="center" shrinkToFit="1"/>
    </xf>
    <xf numFmtId="0" fontId="28" fillId="2" borderId="37" xfId="11" applyFont="1" applyFill="1" applyBorder="1" applyAlignment="1">
      <alignment horizontal="center" vertical="center" shrinkToFit="1"/>
    </xf>
    <xf numFmtId="0" fontId="28" fillId="2" borderId="32" xfId="11" applyFont="1" applyFill="1" applyBorder="1" applyAlignment="1">
      <alignment horizontal="center" vertical="center" shrinkToFit="1"/>
    </xf>
    <xf numFmtId="0" fontId="43" fillId="2" borderId="27" xfId="11" applyFont="1" applyFill="1" applyBorder="1" applyAlignment="1">
      <alignment horizontal="center" vertical="center" shrinkToFit="1"/>
    </xf>
    <xf numFmtId="0" fontId="43" fillId="2" borderId="25" xfId="11" applyFont="1" applyFill="1" applyBorder="1" applyAlignment="1">
      <alignment horizontal="center" vertical="center" shrinkToFit="1"/>
    </xf>
    <xf numFmtId="0" fontId="37" fillId="0" borderId="71" xfId="11" applyFont="1" applyBorder="1" applyAlignment="1">
      <alignment horizontal="left" vertical="center" wrapText="1"/>
    </xf>
    <xf numFmtId="0" fontId="64" fillId="0" borderId="71" xfId="11" applyFont="1" applyBorder="1" applyAlignment="1">
      <alignment horizontal="left" vertical="center" wrapText="1"/>
    </xf>
    <xf numFmtId="0" fontId="51" fillId="0" borderId="37" xfId="11" applyFont="1" applyBorder="1" applyAlignment="1">
      <alignment horizontal="left" vertical="center" shrinkToFit="1"/>
    </xf>
    <xf numFmtId="0" fontId="64" fillId="0" borderId="4" xfId="11" applyFont="1" applyBorder="1" applyAlignment="1">
      <alignment horizontal="left" vertical="center" wrapText="1" shrinkToFit="1"/>
    </xf>
    <xf numFmtId="0" fontId="64" fillId="0" borderId="3" xfId="11" applyFont="1" applyBorder="1" applyAlignment="1">
      <alignment horizontal="left" vertical="center" wrapText="1" shrinkToFit="1"/>
    </xf>
    <xf numFmtId="0" fontId="87" fillId="0" borderId="4" xfId="11" applyFont="1" applyBorder="1" applyAlignment="1">
      <alignment horizontal="left" vertical="center" wrapText="1"/>
    </xf>
    <xf numFmtId="0" fontId="87" fillId="0" borderId="3" xfId="11" applyFont="1" applyBorder="1" applyAlignment="1">
      <alignment horizontal="left" vertical="center" wrapText="1"/>
    </xf>
    <xf numFmtId="0" fontId="7" fillId="0" borderId="3" xfId="11" applyFont="1" applyBorder="1" applyAlignment="1">
      <alignment horizontal="left" vertical="center" wrapText="1"/>
    </xf>
    <xf numFmtId="0" fontId="12" fillId="2" borderId="62" xfId="11" applyFont="1" applyFill="1" applyBorder="1" applyAlignment="1">
      <alignment horizontal="center" vertical="center" shrinkToFit="1"/>
    </xf>
    <xf numFmtId="0" fontId="77" fillId="0" borderId="62" xfId="11" applyFont="1" applyBorder="1" applyAlignment="1">
      <alignment horizontal="left" vertical="center" wrapText="1" shrinkToFit="1"/>
    </xf>
    <xf numFmtId="0" fontId="7" fillId="2" borderId="46" xfId="11" applyFont="1" applyFill="1" applyBorder="1" applyAlignment="1">
      <alignment horizontal="center" shrinkToFit="1"/>
    </xf>
    <xf numFmtId="0" fontId="7" fillId="2" borderId="47" xfId="11" applyFont="1" applyFill="1" applyBorder="1" applyAlignment="1">
      <alignment horizontal="center" shrinkToFit="1"/>
    </xf>
    <xf numFmtId="0" fontId="7" fillId="2" borderId="63" xfId="11" applyFont="1" applyFill="1" applyBorder="1" applyAlignment="1">
      <alignment horizontal="center" shrinkToFit="1"/>
    </xf>
    <xf numFmtId="0" fontId="84" fillId="0" borderId="62" xfId="11" applyFont="1" applyBorder="1" applyAlignment="1">
      <alignment vertical="center" wrapText="1"/>
    </xf>
    <xf numFmtId="0" fontId="77" fillId="0" borderId="62" xfId="11" applyFont="1" applyBorder="1" applyAlignment="1">
      <alignment vertical="center" wrapText="1"/>
    </xf>
    <xf numFmtId="0" fontId="77" fillId="0" borderId="62" xfId="11" applyFont="1" applyBorder="1" applyAlignment="1">
      <alignment horizontal="center" shrinkToFit="1"/>
    </xf>
    <xf numFmtId="0" fontId="7" fillId="2" borderId="62" xfId="11" applyFont="1" applyFill="1" applyBorder="1" applyAlignment="1">
      <alignment horizontal="center" shrinkToFit="1"/>
    </xf>
    <xf numFmtId="0" fontId="35" fillId="0" borderId="35" xfId="11" applyFont="1" applyBorder="1" applyAlignment="1">
      <alignment horizontal="center" vertical="center" shrinkToFit="1"/>
    </xf>
    <xf numFmtId="0" fontId="35" fillId="0" borderId="36" xfId="11" applyFont="1" applyBorder="1" applyAlignment="1">
      <alignment horizontal="center" vertical="center" shrinkToFit="1"/>
    </xf>
    <xf numFmtId="0" fontId="7" fillId="2" borderId="19" xfId="11" applyFont="1" applyFill="1" applyBorder="1" applyAlignment="1">
      <alignment horizontal="center" vertical="center" shrinkToFit="1"/>
    </xf>
    <xf numFmtId="0" fontId="7" fillId="2" borderId="20" xfId="11" applyFont="1" applyFill="1" applyBorder="1" applyAlignment="1">
      <alignment horizontal="center" vertical="center" shrinkToFit="1"/>
    </xf>
    <xf numFmtId="0" fontId="7" fillId="2" borderId="21" xfId="11" applyFont="1" applyFill="1" applyBorder="1" applyAlignment="1">
      <alignment horizontal="center" vertical="center" shrinkToFit="1"/>
    </xf>
    <xf numFmtId="0" fontId="11" fillId="2" borderId="78" xfId="11" applyFont="1" applyFill="1" applyBorder="1" applyAlignment="1">
      <alignment horizontal="center" vertical="center" shrinkToFit="1"/>
    </xf>
    <xf numFmtId="0" fontId="11" fillId="2" borderId="26" xfId="11" applyFont="1" applyFill="1" applyBorder="1" applyAlignment="1">
      <alignment horizontal="center" vertical="center" shrinkToFit="1"/>
    </xf>
    <xf numFmtId="0" fontId="11" fillId="2" borderId="53" xfId="11" applyFont="1" applyFill="1" applyBorder="1" applyAlignment="1">
      <alignment horizontal="center" vertical="center" shrinkToFit="1"/>
    </xf>
    <xf numFmtId="0" fontId="12" fillId="2" borderId="19" xfId="11" applyFont="1" applyFill="1" applyBorder="1" applyAlignment="1">
      <alignment horizontal="center" vertical="center" shrinkToFit="1"/>
    </xf>
    <xf numFmtId="0" fontId="12" fillId="2" borderId="94" xfId="11" applyFont="1" applyFill="1" applyBorder="1" applyAlignment="1">
      <alignment horizontal="center" vertical="center" shrinkToFit="1"/>
    </xf>
    <xf numFmtId="0" fontId="77" fillId="0" borderId="62" xfId="11" applyFont="1" applyBorder="1" applyAlignment="1">
      <alignment horizontal="left" vertical="center" wrapText="1"/>
    </xf>
    <xf numFmtId="0" fontId="77" fillId="4" borderId="62" xfId="11" applyFont="1" applyFill="1" applyBorder="1" applyAlignment="1">
      <alignment horizontal="left" vertical="center" wrapText="1"/>
    </xf>
    <xf numFmtId="0" fontId="42" fillId="0" borderId="31" xfId="11" applyFont="1" applyBorder="1" applyAlignment="1">
      <alignment horizontal="center" vertical="center" shrinkToFit="1"/>
    </xf>
    <xf numFmtId="0" fontId="42" fillId="0" borderId="37" xfId="11" applyFont="1" applyBorder="1" applyAlignment="1">
      <alignment horizontal="center" vertical="center" shrinkToFit="1"/>
    </xf>
    <xf numFmtId="0" fontId="42" fillId="0" borderId="32" xfId="11" applyFont="1" applyBorder="1" applyAlignment="1">
      <alignment horizontal="center" vertical="center" shrinkToFit="1"/>
    </xf>
    <xf numFmtId="0" fontId="42" fillId="0" borderId="33" xfId="11" applyFont="1" applyBorder="1" applyAlignment="1">
      <alignment horizontal="center" vertical="center" shrinkToFit="1"/>
    </xf>
    <xf numFmtId="0" fontId="42" fillId="0" borderId="34" xfId="11" applyFont="1" applyBorder="1" applyAlignment="1">
      <alignment horizontal="center" vertical="center" shrinkToFit="1"/>
    </xf>
    <xf numFmtId="0" fontId="51" fillId="0" borderId="33" xfId="11" applyFont="1" applyBorder="1" applyAlignment="1">
      <alignment horizontal="left" vertical="center" shrinkToFit="1"/>
    </xf>
    <xf numFmtId="0" fontId="28" fillId="0" borderId="22" xfId="0" applyFont="1" applyBorder="1" applyAlignment="1">
      <alignment shrinkToFit="1"/>
    </xf>
    <xf numFmtId="0" fontId="53" fillId="0" borderId="22" xfId="0" applyFont="1" applyBorder="1" applyAlignment="1">
      <alignment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shrinkToFit="1"/>
    </xf>
    <xf numFmtId="0" fontId="51" fillId="0" borderId="26" xfId="0" applyFont="1" applyBorder="1" applyAlignment="1">
      <alignment horizontal="left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195" fontId="120" fillId="5" borderId="22" xfId="15" applyNumberFormat="1" applyFont="1" applyFill="1" applyBorder="1" applyAlignment="1">
      <alignment horizontal="center" vertical="center"/>
    </xf>
    <xf numFmtId="195" fontId="120" fillId="10" borderId="22" xfId="15" applyNumberFormat="1" applyFont="1" applyFill="1" applyBorder="1" applyAlignment="1">
      <alignment horizontal="center" vertical="center"/>
    </xf>
    <xf numFmtId="0" fontId="106" fillId="11" borderId="22" xfId="15" applyFont="1" applyFill="1" applyBorder="1" applyAlignment="1">
      <alignment horizontal="center" vertical="center"/>
    </xf>
    <xf numFmtId="0" fontId="107" fillId="0" borderId="23" xfId="15" applyFont="1" applyBorder="1" applyAlignment="1">
      <alignment horizontal="center" vertical="center"/>
    </xf>
    <xf numFmtId="0" fontId="107" fillId="0" borderId="30" xfId="15" applyFont="1" applyBorder="1" applyAlignment="1">
      <alignment horizontal="center" vertical="center"/>
    </xf>
    <xf numFmtId="193" fontId="107" fillId="0" borderId="23" xfId="15" applyNumberFormat="1" applyFont="1" applyBorder="1" applyAlignment="1">
      <alignment horizontal="center" vertical="center"/>
    </xf>
    <xf numFmtId="193" fontId="107" fillId="0" borderId="30" xfId="15" applyNumberFormat="1" applyFont="1" applyBorder="1" applyAlignment="1">
      <alignment horizontal="center" vertical="center"/>
    </xf>
    <xf numFmtId="186" fontId="107" fillId="0" borderId="23" xfId="15" applyNumberFormat="1" applyFont="1" applyBorder="1" applyAlignment="1">
      <alignment horizontal="center" vertical="center"/>
    </xf>
    <xf numFmtId="186" fontId="107" fillId="0" borderId="30" xfId="15" applyNumberFormat="1" applyFont="1" applyBorder="1" applyAlignment="1">
      <alignment horizontal="center" vertical="center"/>
    </xf>
    <xf numFmtId="0" fontId="109" fillId="0" borderId="23" xfId="11" applyFont="1" applyBorder="1" applyAlignment="1">
      <alignment horizontal="center" vertical="center"/>
    </xf>
    <xf numFmtId="0" fontId="109" fillId="0" borderId="29" xfId="11" applyFont="1" applyBorder="1" applyAlignment="1">
      <alignment horizontal="center" vertical="center"/>
    </xf>
    <xf numFmtId="0" fontId="109" fillId="0" borderId="30" xfId="11" applyFont="1" applyBorder="1" applyAlignment="1">
      <alignment horizontal="center" vertical="center"/>
    </xf>
    <xf numFmtId="0" fontId="36" fillId="5" borderId="23" xfId="22" applyFont="1" applyFill="1" applyBorder="1" applyAlignment="1">
      <alignment horizontal="center" vertical="center" wrapText="1"/>
    </xf>
    <xf numFmtId="0" fontId="36" fillId="5" borderId="30" xfId="22" applyFont="1" applyFill="1" applyBorder="1" applyAlignment="1">
      <alignment horizontal="center" vertical="center" wrapText="1"/>
    </xf>
    <xf numFmtId="0" fontId="49" fillId="5" borderId="31" xfId="5" applyFont="1" applyFill="1" applyBorder="1" applyAlignment="1">
      <alignment horizontal="center" vertical="center"/>
    </xf>
    <xf numFmtId="0" fontId="49" fillId="5" borderId="37" xfId="5" applyFont="1" applyFill="1" applyBorder="1" applyAlignment="1">
      <alignment horizontal="center" vertical="center"/>
    </xf>
    <xf numFmtId="0" fontId="49" fillId="5" borderId="32" xfId="5" applyFont="1" applyFill="1" applyBorder="1" applyAlignment="1">
      <alignment horizontal="center" vertical="center"/>
    </xf>
    <xf numFmtId="0" fontId="49" fillId="5" borderId="33" xfId="5" applyFont="1" applyFill="1" applyBorder="1" applyAlignment="1">
      <alignment horizontal="center" vertical="center"/>
    </xf>
    <xf numFmtId="0" fontId="49" fillId="5" borderId="0" xfId="5" applyFont="1" applyFill="1" applyAlignment="1">
      <alignment horizontal="center" vertical="center"/>
    </xf>
    <xf numFmtId="0" fontId="49" fillId="5" borderId="34" xfId="5" applyFont="1" applyFill="1" applyBorder="1" applyAlignment="1">
      <alignment horizontal="center" vertical="center"/>
    </xf>
    <xf numFmtId="0" fontId="49" fillId="5" borderId="35" xfId="5" applyFont="1" applyFill="1" applyBorder="1" applyAlignment="1">
      <alignment horizontal="center" vertical="center"/>
    </xf>
    <xf numFmtId="0" fontId="49" fillId="5" borderId="26" xfId="5" applyFont="1" applyFill="1" applyBorder="1" applyAlignment="1">
      <alignment horizontal="center" vertical="center"/>
    </xf>
    <xf numFmtId="0" fontId="49" fillId="5" borderId="36" xfId="5" applyFont="1" applyFill="1" applyBorder="1" applyAlignment="1">
      <alignment horizontal="center" vertical="center"/>
    </xf>
    <xf numFmtId="0" fontId="31" fillId="0" borderId="31" xfId="11" applyFont="1" applyBorder="1" applyAlignment="1">
      <alignment horizontal="center" vertical="center"/>
    </xf>
    <xf numFmtId="0" fontId="31" fillId="0" borderId="32" xfId="11" applyFont="1" applyBorder="1" applyAlignment="1">
      <alignment horizontal="center" vertical="center"/>
    </xf>
    <xf numFmtId="0" fontId="31" fillId="0" borderId="33" xfId="11" applyFont="1" applyBorder="1" applyAlignment="1">
      <alignment horizontal="center" vertical="center"/>
    </xf>
    <xf numFmtId="0" fontId="31" fillId="0" borderId="34" xfId="11" applyFont="1" applyBorder="1" applyAlignment="1">
      <alignment horizontal="center" vertical="center"/>
    </xf>
    <xf numFmtId="0" fontId="31" fillId="0" borderId="35" xfId="11" applyFont="1" applyBorder="1" applyAlignment="1">
      <alignment horizontal="center" vertical="center"/>
    </xf>
    <xf numFmtId="0" fontId="31" fillId="0" borderId="36" xfId="11" applyFont="1" applyBorder="1" applyAlignment="1">
      <alignment horizontal="center" vertical="center"/>
    </xf>
    <xf numFmtId="0" fontId="38" fillId="5" borderId="27" xfId="22" applyFont="1" applyFill="1" applyBorder="1" applyAlignment="1">
      <alignment horizontal="center" vertical="center"/>
    </xf>
    <xf numFmtId="0" fontId="38" fillId="5" borderId="25" xfId="22" applyFont="1" applyFill="1" applyBorder="1" applyAlignment="1">
      <alignment horizontal="center" vertical="center"/>
    </xf>
    <xf numFmtId="0" fontId="38" fillId="5" borderId="27" xfId="22" applyFont="1" applyFill="1" applyBorder="1" applyAlignment="1">
      <alignment horizontal="center" vertical="center" wrapText="1"/>
    </xf>
    <xf numFmtId="0" fontId="38" fillId="5" borderId="28" xfId="22" applyFont="1" applyFill="1" applyBorder="1" applyAlignment="1">
      <alignment horizontal="center" vertical="center" wrapText="1"/>
    </xf>
    <xf numFmtId="0" fontId="38" fillId="5" borderId="25" xfId="22" applyFont="1" applyFill="1" applyBorder="1" applyAlignment="1">
      <alignment horizontal="center" vertical="center" wrapText="1"/>
    </xf>
    <xf numFmtId="0" fontId="61" fillId="5" borderId="31" xfId="22" applyFont="1" applyFill="1" applyBorder="1" applyAlignment="1">
      <alignment horizontal="center" vertical="center" wrapText="1"/>
    </xf>
    <xf numFmtId="0" fontId="61" fillId="5" borderId="37" xfId="22" applyFont="1" applyFill="1" applyBorder="1" applyAlignment="1">
      <alignment horizontal="center" vertical="center" wrapText="1"/>
    </xf>
    <xf numFmtId="0" fontId="61" fillId="5" borderId="32" xfId="22" applyFont="1" applyFill="1" applyBorder="1" applyAlignment="1">
      <alignment horizontal="center" vertical="center" wrapText="1"/>
    </xf>
    <xf numFmtId="0" fontId="36" fillId="5" borderId="23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1" fillId="5" borderId="33" xfId="11" applyFont="1" applyFill="1" applyBorder="1" applyAlignment="1">
      <alignment horizontal="center" vertical="center"/>
    </xf>
    <xf numFmtId="0" fontId="31" fillId="5" borderId="34" xfId="11" applyFont="1" applyFill="1" applyBorder="1" applyAlignment="1">
      <alignment horizontal="center" vertical="center"/>
    </xf>
    <xf numFmtId="0" fontId="31" fillId="5" borderId="35" xfId="11" applyFont="1" applyFill="1" applyBorder="1" applyAlignment="1">
      <alignment horizontal="center" vertical="center"/>
    </xf>
    <xf numFmtId="0" fontId="31" fillId="5" borderId="36" xfId="11" applyFont="1" applyFill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/>
    </xf>
    <xf numFmtId="0" fontId="93" fillId="5" borderId="22" xfId="22" applyFont="1" applyFill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0" fontId="93" fillId="5" borderId="23" xfId="22" applyFont="1" applyFill="1" applyBorder="1" applyAlignment="1">
      <alignment horizontal="center" vertical="center" wrapText="1"/>
    </xf>
    <xf numFmtId="0" fontId="36" fillId="5" borderId="31" xfId="5" applyFont="1" applyFill="1" applyBorder="1" applyAlignment="1">
      <alignment horizontal="center" vertical="center"/>
    </xf>
    <xf numFmtId="0" fontId="36" fillId="5" borderId="37" xfId="5" applyFont="1" applyFill="1" applyBorder="1" applyAlignment="1">
      <alignment horizontal="center" vertical="center"/>
    </xf>
    <xf numFmtId="0" fontId="36" fillId="5" borderId="32" xfId="5" applyFont="1" applyFill="1" applyBorder="1" applyAlignment="1">
      <alignment horizontal="center" vertical="center"/>
    </xf>
    <xf numFmtId="0" fontId="36" fillId="5" borderId="33" xfId="5" applyFont="1" applyFill="1" applyBorder="1" applyAlignment="1">
      <alignment horizontal="center" vertical="center"/>
    </xf>
    <xf numFmtId="0" fontId="36" fillId="5" borderId="0" xfId="5" applyFont="1" applyFill="1" applyAlignment="1">
      <alignment horizontal="center" vertical="center"/>
    </xf>
    <xf numFmtId="0" fontId="36" fillId="5" borderId="34" xfId="5" applyFont="1" applyFill="1" applyBorder="1" applyAlignment="1">
      <alignment horizontal="center" vertical="center"/>
    </xf>
    <xf numFmtId="0" fontId="36" fillId="5" borderId="35" xfId="5" applyFont="1" applyFill="1" applyBorder="1" applyAlignment="1">
      <alignment horizontal="center" vertical="center"/>
    </xf>
    <xf numFmtId="0" fontId="36" fillId="5" borderId="26" xfId="5" applyFont="1" applyFill="1" applyBorder="1" applyAlignment="1">
      <alignment horizontal="center" vertical="center"/>
    </xf>
    <xf numFmtId="0" fontId="36" fillId="5" borderId="36" xfId="5" applyFont="1" applyFill="1" applyBorder="1" applyAlignment="1">
      <alignment horizontal="center" vertical="center"/>
    </xf>
    <xf numFmtId="0" fontId="93" fillId="5" borderId="23" xfId="22" applyFont="1" applyFill="1" applyBorder="1" applyAlignment="1">
      <alignment horizontal="center" vertical="center"/>
    </xf>
    <xf numFmtId="0" fontId="93" fillId="5" borderId="30" xfId="22" applyFont="1" applyFill="1" applyBorder="1" applyAlignment="1">
      <alignment horizontal="center" vertical="center"/>
    </xf>
    <xf numFmtId="0" fontId="93" fillId="5" borderId="23" xfId="5" applyFont="1" applyFill="1" applyBorder="1" applyAlignment="1">
      <alignment horizontal="center" vertical="center"/>
    </xf>
    <xf numFmtId="0" fontId="93" fillId="5" borderId="29" xfId="5" applyFont="1" applyFill="1" applyBorder="1" applyAlignment="1">
      <alignment horizontal="center" vertical="center"/>
    </xf>
    <xf numFmtId="0" fontId="93" fillId="5" borderId="30" xfId="5" applyFont="1" applyFill="1" applyBorder="1" applyAlignment="1">
      <alignment horizontal="center" vertical="center"/>
    </xf>
    <xf numFmtId="0" fontId="36" fillId="5" borderId="27" xfId="5" applyFont="1" applyFill="1" applyBorder="1" applyAlignment="1">
      <alignment horizontal="center" vertical="center"/>
    </xf>
    <xf numFmtId="0" fontId="36" fillId="5" borderId="28" xfId="5" applyFont="1" applyFill="1" applyBorder="1" applyAlignment="1">
      <alignment horizontal="center" vertical="center"/>
    </xf>
    <xf numFmtId="0" fontId="36" fillId="5" borderId="25" xfId="5" applyFont="1" applyFill="1" applyBorder="1" applyAlignment="1">
      <alignment horizontal="center" vertical="center"/>
    </xf>
    <xf numFmtId="0" fontId="92" fillId="5" borderId="31" xfId="11" applyFont="1" applyFill="1" applyBorder="1" applyAlignment="1">
      <alignment horizontal="center" vertical="center"/>
    </xf>
    <xf numFmtId="0" fontId="92" fillId="5" borderId="32" xfId="11" applyFont="1" applyFill="1" applyBorder="1" applyAlignment="1">
      <alignment horizontal="center" vertical="center"/>
    </xf>
    <xf numFmtId="0" fontId="92" fillId="5" borderId="33" xfId="11" applyFont="1" applyFill="1" applyBorder="1" applyAlignment="1">
      <alignment horizontal="center" vertical="center"/>
    </xf>
    <xf numFmtId="0" fontId="92" fillId="5" borderId="34" xfId="11" applyFont="1" applyFill="1" applyBorder="1" applyAlignment="1">
      <alignment horizontal="center" vertical="center"/>
    </xf>
    <xf numFmtId="0" fontId="92" fillId="5" borderId="35" xfId="11" applyFont="1" applyFill="1" applyBorder="1" applyAlignment="1">
      <alignment horizontal="center" vertical="center"/>
    </xf>
    <xf numFmtId="0" fontId="92" fillId="5" borderId="36" xfId="11" applyFont="1" applyFill="1" applyBorder="1" applyAlignment="1">
      <alignment horizontal="center" vertical="center"/>
    </xf>
    <xf numFmtId="0" fontId="36" fillId="5" borderId="23" xfId="22" applyFont="1" applyFill="1" applyBorder="1" applyAlignment="1">
      <alignment horizontal="center" vertical="center"/>
    </xf>
    <xf numFmtId="0" fontId="36" fillId="5" borderId="30" xfId="22" applyFont="1" applyFill="1" applyBorder="1" applyAlignment="1">
      <alignment horizontal="center" vertical="center"/>
    </xf>
    <xf numFmtId="0" fontId="38" fillId="5" borderId="27" xfId="22" applyFont="1" applyFill="1" applyBorder="1" applyAlignment="1">
      <alignment horizontal="center"/>
    </xf>
    <xf numFmtId="0" fontId="38" fillId="5" borderId="28" xfId="22" applyFont="1" applyFill="1" applyBorder="1" applyAlignment="1">
      <alignment horizontal="center"/>
    </xf>
    <xf numFmtId="0" fontId="38" fillId="5" borderId="25" xfId="22" applyFont="1" applyFill="1" applyBorder="1" applyAlignment="1">
      <alignment horizontal="center"/>
    </xf>
    <xf numFmtId="0" fontId="36" fillId="5" borderId="29" xfId="22" applyFont="1" applyFill="1" applyBorder="1" applyAlignment="1">
      <alignment horizontal="center" vertical="center"/>
    </xf>
    <xf numFmtId="0" fontId="36" fillId="5" borderId="29" xfId="5" applyFont="1" applyFill="1" applyBorder="1" applyAlignment="1">
      <alignment horizontal="center" vertical="center"/>
    </xf>
    <xf numFmtId="0" fontId="31" fillId="5" borderId="31" xfId="11" applyFont="1" applyFill="1" applyBorder="1" applyAlignment="1">
      <alignment horizontal="center" vertical="center"/>
    </xf>
    <xf numFmtId="0" fontId="31" fillId="5" borderId="32" xfId="11" applyFont="1" applyFill="1" applyBorder="1" applyAlignment="1">
      <alignment horizontal="center" vertical="center"/>
    </xf>
    <xf numFmtId="0" fontId="36" fillId="5" borderId="29" xfId="22" applyFont="1" applyFill="1" applyBorder="1" applyAlignment="1">
      <alignment horizontal="center" vertical="center" wrapText="1"/>
    </xf>
    <xf numFmtId="0" fontId="93" fillId="5" borderId="30" xfId="22" applyFont="1" applyFill="1" applyBorder="1" applyAlignment="1">
      <alignment horizontal="center" vertical="center" wrapText="1"/>
    </xf>
    <xf numFmtId="0" fontId="40" fillId="0" borderId="26" xfId="11" applyFont="1" applyBorder="1" applyAlignment="1">
      <alignment horizontal="center" vertical="center"/>
    </xf>
    <xf numFmtId="0" fontId="34" fillId="0" borderId="26" xfId="11" applyFont="1" applyBorder="1" applyAlignment="1">
      <alignment horizontal="center" vertical="center"/>
    </xf>
    <xf numFmtId="0" fontId="124" fillId="0" borderId="31" xfId="11" applyFont="1" applyBorder="1" applyAlignment="1">
      <alignment horizontal="center" vertical="center"/>
    </xf>
    <xf numFmtId="0" fontId="38" fillId="5" borderId="28" xfId="22" applyFont="1" applyFill="1" applyBorder="1" applyAlignment="1">
      <alignment horizontal="center" vertical="center"/>
    </xf>
    <xf numFmtId="0" fontId="93" fillId="5" borderId="22" xfId="22" applyFont="1" applyFill="1" applyBorder="1" applyAlignment="1">
      <alignment horizontal="center" vertical="center" wrapText="1"/>
    </xf>
    <xf numFmtId="0" fontId="36" fillId="5" borderId="22" xfId="5" applyFont="1" applyFill="1" applyBorder="1" applyAlignment="1">
      <alignment horizontal="center" vertical="center"/>
    </xf>
    <xf numFmtId="0" fontId="7" fillId="0" borderId="4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11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8" fillId="0" borderId="4" xfId="0" applyFont="1" applyBorder="1" applyAlignment="1">
      <alignment shrinkToFit="1"/>
    </xf>
    <xf numFmtId="0" fontId="7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37" fillId="5" borderId="22" xfId="5" applyFont="1" applyFill="1" applyBorder="1" applyAlignment="1">
      <alignment horizontal="center"/>
    </xf>
  </cellXfs>
  <cellStyles count="36">
    <cellStyle name="一般" xfId="0" builtinId="0"/>
    <cellStyle name="一般 2" xfId="1"/>
    <cellStyle name="一般 2 2" xfId="23"/>
    <cellStyle name="一般 2 2 2" xfId="9"/>
    <cellStyle name="一般 2 2 30 2 2 30 2" xfId="4"/>
    <cellStyle name="一般 2 2 30 2 2 30 2 2" xfId="12"/>
    <cellStyle name="一般 2 2 30 2 2 30 2 2 2" xfId="17"/>
    <cellStyle name="一般 2 2 30 2 2 30 2 2 2 2" xfId="20"/>
    <cellStyle name="一般 2 2 30 2 2 30 2 2 2 2 2" xfId="22"/>
    <cellStyle name="一般 2 2 30 2 2 30 2 2 2 2 2 2" xfId="35"/>
    <cellStyle name="一般 2 2 30 2 2 30 2 2 2 2 3" xfId="33"/>
    <cellStyle name="一般 2 2 30 2 2 30 2 2 2 3" xfId="31"/>
    <cellStyle name="一般 2 2 30 2 2 30 2 2 3" xfId="28"/>
    <cellStyle name="一般 2 2 30 2 2 30 2 3" xfId="15"/>
    <cellStyle name="一般 2 2 30 2 2 30 2 3 2" xfId="29"/>
    <cellStyle name="一般 2 2 30 2 2 30 2 4" xfId="25"/>
    <cellStyle name="一般 2 2 30 2 3 2" xfId="6"/>
    <cellStyle name="一般 2 2 30 2 3 2 2" xfId="16"/>
    <cellStyle name="一般 2 2 30 2 3 2 2 2" xfId="18"/>
    <cellStyle name="一般 2 2 30 2 3 2 2 2 2" xfId="32"/>
    <cellStyle name="一般 2 2 30 2 3 2 2 3" xfId="30"/>
    <cellStyle name="一般 2 2 30 2 3 2 3" xfId="26"/>
    <cellStyle name="一般 2 2 30 3 30" xfId="7"/>
    <cellStyle name="一般 2 2 30 3 30 2" xfId="27"/>
    <cellStyle name="一般 3" xfId="11"/>
    <cellStyle name="一般 4" xfId="5"/>
    <cellStyle name="千分位 2" xfId="2"/>
    <cellStyle name="千分位 2 2" xfId="24"/>
    <cellStyle name="千分位 3" xfId="21"/>
    <cellStyle name="千分位 3 2" xfId="34"/>
    <cellStyle name="百分比" xfId="14" builtinId="5"/>
    <cellStyle name="百分比 2" xfId="8"/>
    <cellStyle name="百分比 2 2" xfId="10"/>
    <cellStyle name="百分比 2 2 2" xfId="19"/>
    <cellStyle name="百分比 3" xfId="3"/>
    <cellStyle name="百分比 4" xfId="13"/>
  </cellStyles>
  <dxfs count="3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zps99632\Desktop\&#39854;&#39135;\&#9733;&#39135;&#30740;&#25152;&#27599;&#26085;\2026-08&#23631;&#27054;&#22823;&#28330;&#24288;&#21322;&#25104;&#21697;&#29983;&#29986;&#31649;&#29702;&#26085;&#2257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別報廢率總表"/>
      <sheetName val="0801-31合計"/>
      <sheetName val="0808分析日報"/>
      <sheetName val="0808合計"/>
      <sheetName val="0807分析日報"/>
      <sheetName val="0807合計"/>
      <sheetName val="0806分析日報"/>
      <sheetName val="0806合計"/>
      <sheetName val="0805分析日報"/>
      <sheetName val="0805合計"/>
      <sheetName val="0804分析日報"/>
      <sheetName val="0804合計"/>
      <sheetName val="0803分析日報"/>
      <sheetName val="0803合計"/>
      <sheetName val="0802分析日報"/>
      <sheetName val="0802合計"/>
      <sheetName val="0801分析日報"/>
      <sheetName val="0801合計"/>
      <sheetName val="名詞定義"/>
      <sheetName val="列入前十名共用類半成品超用.報廢商品展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P2">
            <v>13493.917600000004</v>
          </cell>
          <cell r="S2">
            <v>40445.831799999978</v>
          </cell>
        </row>
      </sheetData>
      <sheetData sheetId="14"/>
      <sheetData sheetId="15">
        <row r="2">
          <cell r="P2">
            <v>13798.472</v>
          </cell>
          <cell r="S2">
            <v>41544.367100000003</v>
          </cell>
        </row>
      </sheetData>
      <sheetData sheetId="16"/>
      <sheetData sheetId="17">
        <row r="2">
          <cell r="P2">
            <v>10569.7711</v>
          </cell>
          <cell r="S2">
            <v>31686.342000000004</v>
          </cell>
        </row>
      </sheetData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1"/>
  <dimension ref="B1:P45"/>
  <sheetViews>
    <sheetView workbookViewId="0">
      <selection activeCell="J13" sqref="J13"/>
    </sheetView>
  </sheetViews>
  <sheetFormatPr defaultColWidth="8.7109375" defaultRowHeight="13.5"/>
  <cols>
    <col min="1" max="1" width="8.7109375" style="392"/>
    <col min="2" max="2" width="27.7109375" style="392" bestFit="1" customWidth="1"/>
    <col min="3" max="3" width="34.7109375" style="392" customWidth="1"/>
    <col min="4" max="15" width="12.7109375" style="392" customWidth="1"/>
    <col min="16" max="16" width="15.7109375" style="392" customWidth="1"/>
    <col min="17" max="16384" width="8.7109375" style="392"/>
  </cols>
  <sheetData>
    <row r="1" spans="2:16" ht="18.75">
      <c r="B1" s="542" t="s">
        <v>197</v>
      </c>
      <c r="C1" s="543"/>
      <c r="D1" s="400" t="s">
        <v>485</v>
      </c>
      <c r="E1" s="400" t="s">
        <v>487</v>
      </c>
      <c r="F1" s="400" t="s">
        <v>488</v>
      </c>
      <c r="G1" s="400" t="s">
        <v>489</v>
      </c>
      <c r="H1" s="400" t="s">
        <v>490</v>
      </c>
      <c r="I1" s="400" t="s">
        <v>491</v>
      </c>
      <c r="J1" s="400" t="s">
        <v>492</v>
      </c>
      <c r="K1" s="400" t="s">
        <v>493</v>
      </c>
      <c r="L1" s="400" t="s">
        <v>494</v>
      </c>
      <c r="M1" s="400" t="s">
        <v>495</v>
      </c>
      <c r="N1" s="400" t="s">
        <v>496</v>
      </c>
      <c r="O1" s="400" t="s">
        <v>497</v>
      </c>
      <c r="P1" s="401" t="s">
        <v>498</v>
      </c>
    </row>
    <row r="2" spans="2:16" ht="15.75">
      <c r="B2" s="539" t="s">
        <v>509</v>
      </c>
      <c r="C2" s="413" t="s">
        <v>499</v>
      </c>
      <c r="D2" s="402">
        <v>146299.93539000006</v>
      </c>
      <c r="E2" s="402">
        <v>116569.43023000001</v>
      </c>
      <c r="F2" s="402">
        <v>148837.99842999995</v>
      </c>
      <c r="G2" s="402">
        <v>160648.31477000003</v>
      </c>
      <c r="H2" s="402">
        <v>181836.62618999998</v>
      </c>
      <c r="I2" s="402">
        <v>194099.28702000002</v>
      </c>
      <c r="J2" s="402">
        <v>199388.61726000003</v>
      </c>
      <c r="K2" s="402"/>
      <c r="L2" s="402"/>
      <c r="M2" s="402"/>
      <c r="N2" s="402"/>
      <c r="O2" s="402"/>
      <c r="P2" s="414">
        <f>SUM(D2:O2)</f>
        <v>1147680.2092900001</v>
      </c>
    </row>
    <row r="3" spans="2:16" ht="15.75">
      <c r="B3" s="539"/>
      <c r="C3" s="413" t="s">
        <v>500</v>
      </c>
      <c r="D3" s="402">
        <v>4768701</v>
      </c>
      <c r="E3" s="402">
        <v>3787002</v>
      </c>
      <c r="F3" s="402">
        <v>5045753</v>
      </c>
      <c r="G3" s="402">
        <v>5396292</v>
      </c>
      <c r="H3" s="402">
        <v>6084520</v>
      </c>
      <c r="I3" s="402">
        <v>6275618</v>
      </c>
      <c r="J3" s="402">
        <v>6323244</v>
      </c>
      <c r="K3" s="402"/>
      <c r="L3" s="402"/>
      <c r="M3" s="402"/>
      <c r="N3" s="402"/>
      <c r="O3" s="402"/>
      <c r="P3" s="414">
        <f>SUM(D3:O3)</f>
        <v>37681130</v>
      </c>
    </row>
    <row r="4" spans="2:16" ht="15.75">
      <c r="B4" s="539"/>
      <c r="C4" s="413" t="s">
        <v>501</v>
      </c>
      <c r="D4" s="402">
        <v>93253</v>
      </c>
      <c r="E4" s="402">
        <v>74777</v>
      </c>
      <c r="F4" s="402">
        <v>93614</v>
      </c>
      <c r="G4" s="402">
        <v>104435</v>
      </c>
      <c r="H4" s="402">
        <v>116562</v>
      </c>
      <c r="I4" s="402">
        <v>126964</v>
      </c>
      <c r="J4" s="402">
        <v>134056.59496639523</v>
      </c>
      <c r="K4" s="402"/>
      <c r="L4" s="402"/>
      <c r="M4" s="402"/>
      <c r="N4" s="402"/>
      <c r="O4" s="402"/>
      <c r="P4" s="414">
        <f>SUM(D4:O4)</f>
        <v>743661.59496639529</v>
      </c>
    </row>
    <row r="5" spans="2:16" ht="15.75">
      <c r="B5" s="539"/>
      <c r="C5" s="415" t="s">
        <v>510</v>
      </c>
      <c r="D5" s="416">
        <v>0.65500000000000003</v>
      </c>
      <c r="E5" s="416">
        <v>0.65300000000000002</v>
      </c>
      <c r="F5" s="416">
        <v>0.64800000000000002</v>
      </c>
      <c r="G5" s="416">
        <v>0.66300000000000003</v>
      </c>
      <c r="H5" s="416">
        <v>0.67200000000000004</v>
      </c>
      <c r="I5" s="416">
        <v>0.67500000000000004</v>
      </c>
      <c r="J5" s="416">
        <v>0.67233825485427423</v>
      </c>
      <c r="K5" s="417" t="str">
        <f t="shared" ref="K5:O5" si="0">IFERROR(K4/K2, "")</f>
        <v/>
      </c>
      <c r="L5" s="417" t="str">
        <f t="shared" si="0"/>
        <v/>
      </c>
      <c r="M5" s="417" t="str">
        <f t="shared" si="0"/>
        <v/>
      </c>
      <c r="N5" s="417" t="str">
        <f t="shared" si="0"/>
        <v/>
      </c>
      <c r="O5" s="417" t="str">
        <f t="shared" si="0"/>
        <v/>
      </c>
      <c r="P5" s="418">
        <f>AVERAGEIF(D5:O5, "&gt;0")</f>
        <v>0.66261975069346779</v>
      </c>
    </row>
    <row r="6" spans="2:16" ht="15.75">
      <c r="B6" s="539"/>
      <c r="C6" s="413" t="s">
        <v>502</v>
      </c>
      <c r="D6" s="402">
        <v>22378</v>
      </c>
      <c r="E6" s="402">
        <v>22860</v>
      </c>
      <c r="F6" s="402">
        <v>22710</v>
      </c>
      <c r="G6" s="402">
        <v>23226</v>
      </c>
      <c r="H6" s="402">
        <v>24474</v>
      </c>
      <c r="I6" s="402">
        <v>26795</v>
      </c>
      <c r="J6" s="402">
        <v>27431.996822000001</v>
      </c>
      <c r="K6" s="402"/>
      <c r="L6" s="402"/>
      <c r="M6" s="402"/>
      <c r="N6" s="402"/>
      <c r="O6" s="402"/>
      <c r="P6" s="414">
        <f t="shared" ref="P6" si="1">SUM(D6:O6)</f>
        <v>169874.99682200002</v>
      </c>
    </row>
    <row r="7" spans="2:16" ht="15.75">
      <c r="B7" s="539"/>
      <c r="C7" s="415" t="s">
        <v>511</v>
      </c>
      <c r="D7" s="416">
        <v>0.157</v>
      </c>
      <c r="E7" s="416">
        <v>0.2</v>
      </c>
      <c r="F7" s="416">
        <v>0.157</v>
      </c>
      <c r="G7" s="416">
        <v>0.14699999999999999</v>
      </c>
      <c r="H7" s="416">
        <v>0.14099999999999999</v>
      </c>
      <c r="I7" s="416">
        <v>0.14199999999999999</v>
      </c>
      <c r="J7" s="416">
        <v>0.13758055599647925</v>
      </c>
      <c r="K7" s="417" t="str">
        <f t="shared" ref="K7:O7" si="2">IFERROR(K6/K2, "")</f>
        <v/>
      </c>
      <c r="L7" s="417" t="str">
        <f t="shared" si="2"/>
        <v/>
      </c>
      <c r="M7" s="417" t="str">
        <f t="shared" si="2"/>
        <v/>
      </c>
      <c r="N7" s="417" t="str">
        <f t="shared" si="2"/>
        <v/>
      </c>
      <c r="O7" s="417" t="str">
        <f t="shared" si="2"/>
        <v/>
      </c>
      <c r="P7" s="418">
        <f>AVERAGEIF(D7:O7, "&gt;0")</f>
        <v>0.15451150799949703</v>
      </c>
    </row>
    <row r="8" spans="2:16" ht="15.75">
      <c r="B8" s="419"/>
      <c r="C8" s="413"/>
      <c r="D8" s="402"/>
      <c r="E8" s="402"/>
      <c r="F8" s="402"/>
      <c r="G8" s="402"/>
      <c r="H8" s="402"/>
      <c r="I8" s="402"/>
      <c r="J8" s="402"/>
      <c r="K8" s="402"/>
      <c r="L8" s="402"/>
      <c r="M8" s="402"/>
      <c r="N8" s="402"/>
      <c r="O8" s="402"/>
      <c r="P8" s="414"/>
    </row>
    <row r="9" spans="2:16" ht="15.75">
      <c r="B9" s="539" t="s">
        <v>130</v>
      </c>
      <c r="C9" s="413" t="s">
        <v>512</v>
      </c>
      <c r="D9" s="420">
        <v>497.6</v>
      </c>
      <c r="E9" s="420">
        <v>497.6</v>
      </c>
      <c r="F9" s="420">
        <v>497.6</v>
      </c>
      <c r="G9" s="420">
        <v>497.6</v>
      </c>
      <c r="H9" s="403">
        <v>497.6</v>
      </c>
      <c r="I9" s="403">
        <v>497.6</v>
      </c>
      <c r="J9" s="403">
        <v>497.6</v>
      </c>
      <c r="K9" s="403"/>
      <c r="L9" s="403"/>
      <c r="M9" s="403"/>
      <c r="N9" s="403"/>
      <c r="O9" s="403"/>
      <c r="P9" s="421">
        <f>AVERAGEIF(D9:O9, "&gt;0")</f>
        <v>497.59999999999997</v>
      </c>
    </row>
    <row r="10" spans="2:16" ht="15.75">
      <c r="B10" s="539"/>
      <c r="C10" s="413" t="s">
        <v>503</v>
      </c>
      <c r="D10" s="420">
        <v>458.3841382804668</v>
      </c>
      <c r="E10" s="420">
        <v>476.04171528829499</v>
      </c>
      <c r="F10" s="420">
        <v>409.81563372836604</v>
      </c>
      <c r="G10" s="403">
        <v>402.86432092718081</v>
      </c>
      <c r="H10" s="403">
        <v>419.38045550218868</v>
      </c>
      <c r="I10" s="403">
        <v>425.95259125022073</v>
      </c>
      <c r="J10" s="403">
        <v>434.66889417885551</v>
      </c>
      <c r="K10" s="403"/>
      <c r="L10" s="403"/>
      <c r="M10" s="403"/>
      <c r="N10" s="403"/>
      <c r="O10" s="403"/>
      <c r="P10" s="421">
        <f>AVERAGEIF(D10:O10, "&gt;0")</f>
        <v>432.44396416508198</v>
      </c>
    </row>
    <row r="11" spans="2:16" ht="15.75">
      <c r="B11" s="539"/>
      <c r="C11" s="415" t="s">
        <v>504</v>
      </c>
      <c r="D11" s="417">
        <f t="shared" ref="D11:O11" si="3">IFERROR(D10/D9, "")</f>
        <v>0.92118998850576117</v>
      </c>
      <c r="E11" s="417">
        <f t="shared" si="3"/>
        <v>0.95667547284625198</v>
      </c>
      <c r="F11" s="417">
        <f t="shared" si="3"/>
        <v>0.82358447292678061</v>
      </c>
      <c r="G11" s="417">
        <f t="shared" si="3"/>
        <v>0.80961479286008997</v>
      </c>
      <c r="H11" s="417">
        <v>0.94796667156914272</v>
      </c>
      <c r="I11" s="417">
        <v>0.96282231295257903</v>
      </c>
      <c r="J11" s="417">
        <v>0.98252462517824501</v>
      </c>
      <c r="K11" s="417" t="str">
        <f t="shared" si="3"/>
        <v/>
      </c>
      <c r="L11" s="417" t="str">
        <f t="shared" si="3"/>
        <v/>
      </c>
      <c r="M11" s="417" t="str">
        <f t="shared" si="3"/>
        <v/>
      </c>
      <c r="N11" s="417" t="str">
        <f t="shared" si="3"/>
        <v/>
      </c>
      <c r="O11" s="417" t="str">
        <f t="shared" si="3"/>
        <v/>
      </c>
      <c r="P11" s="422">
        <f>AVERAGEIF(D11:O11, "&gt;0")</f>
        <v>0.91491119097697848</v>
      </c>
    </row>
    <row r="12" spans="2:16" ht="15.75">
      <c r="B12" s="539"/>
      <c r="C12" s="413" t="s">
        <v>505</v>
      </c>
      <c r="D12" s="405">
        <v>2.4135432458014692E-3</v>
      </c>
      <c r="E12" s="404">
        <v>2.3657636051419204E-3</v>
      </c>
      <c r="F12" s="404">
        <v>2.0222247634522129E-3</v>
      </c>
      <c r="G12" s="404">
        <v>2.0113648122943311E-3</v>
      </c>
      <c r="H12" s="404">
        <v>2.0088240498114199E-3</v>
      </c>
      <c r="I12" s="404">
        <v>2.0072505835617024E-3</v>
      </c>
      <c r="J12" s="404">
        <v>2.0067058203413666E-3</v>
      </c>
      <c r="K12" s="404"/>
      <c r="L12" s="404"/>
      <c r="M12" s="404"/>
      <c r="N12" s="404"/>
      <c r="O12" s="404"/>
      <c r="P12" s="423">
        <f>AVERAGEIF(D12:O12, "&gt;0")</f>
        <v>2.1193824114863458E-3</v>
      </c>
    </row>
    <row r="13" spans="2:16" ht="15.75">
      <c r="B13" s="539"/>
      <c r="C13" s="413" t="s">
        <v>506</v>
      </c>
      <c r="D13" s="405">
        <v>5.599443330875099E-3</v>
      </c>
      <c r="E13" s="405">
        <v>5.2393000579921759E-3</v>
      </c>
      <c r="F13" s="405">
        <v>4.8799137535570384E-3</v>
      </c>
      <c r="G13" s="405">
        <v>4.3085188206646403E-3</v>
      </c>
      <c r="H13" s="405">
        <v>6.1874817008048359E-3</v>
      </c>
      <c r="I13" s="405">
        <v>6.077521140456379E-3</v>
      </c>
      <c r="J13" s="405">
        <v>6.0144112131268234E-3</v>
      </c>
      <c r="K13" s="405"/>
      <c r="L13" s="405"/>
      <c r="M13" s="405"/>
      <c r="N13" s="405"/>
      <c r="O13" s="405"/>
      <c r="P13" s="422">
        <f>AVERAGEIF(D13:O13, "&gt;0")</f>
        <v>5.4723700024967136E-3</v>
      </c>
    </row>
    <row r="14" spans="2:16" ht="15.75">
      <c r="B14" s="539"/>
      <c r="C14" s="413" t="s">
        <v>513</v>
      </c>
      <c r="D14" s="405">
        <v>0.89999999999999947</v>
      </c>
      <c r="E14" s="405">
        <v>0.89999999999999958</v>
      </c>
      <c r="F14" s="405">
        <v>0.89999999999999947</v>
      </c>
      <c r="G14" s="405">
        <v>0.89999999999999958</v>
      </c>
      <c r="H14" s="405">
        <v>0.89999999999999947</v>
      </c>
      <c r="I14" s="405">
        <v>0.89999999999999958</v>
      </c>
      <c r="J14" s="405">
        <v>0.89999999999999947</v>
      </c>
      <c r="K14" s="405"/>
      <c r="L14" s="405"/>
      <c r="M14" s="405"/>
      <c r="N14" s="405"/>
      <c r="O14" s="405"/>
      <c r="P14" s="422">
        <f t="shared" ref="P14" si="4">AVERAGEIF(D14:O14, "&gt;0")</f>
        <v>0.89999999999999947</v>
      </c>
    </row>
    <row r="15" spans="2:16" ht="15.75">
      <c r="B15" s="539"/>
      <c r="C15" s="413" t="s">
        <v>514</v>
      </c>
      <c r="D15" s="405">
        <v>5.7692307692307702E-2</v>
      </c>
      <c r="E15" s="405">
        <v>0.13873626373626369</v>
      </c>
      <c r="F15" s="405">
        <v>0.21960297766749381</v>
      </c>
      <c r="G15" s="405">
        <v>0.30384615384615377</v>
      </c>
      <c r="H15" s="405">
        <v>0.38709677419354849</v>
      </c>
      <c r="I15" s="405">
        <v>0.47115384615384609</v>
      </c>
      <c r="J15" s="405">
        <v>0.55521091811414403</v>
      </c>
      <c r="K15" s="405"/>
      <c r="L15" s="405"/>
      <c r="M15" s="405"/>
      <c r="N15" s="405"/>
      <c r="O15" s="405"/>
      <c r="P15" s="422">
        <f>MAX(D15:O15)</f>
        <v>0.55521091811414403</v>
      </c>
    </row>
    <row r="16" spans="2:16" ht="15.75">
      <c r="B16" s="419"/>
      <c r="C16" s="413"/>
      <c r="D16" s="405"/>
      <c r="E16" s="405"/>
      <c r="F16" s="405"/>
      <c r="G16" s="405"/>
      <c r="H16" s="405"/>
      <c r="I16" s="405"/>
      <c r="J16" s="405"/>
      <c r="K16" s="405"/>
      <c r="L16" s="405"/>
      <c r="M16" s="405"/>
      <c r="N16" s="405"/>
      <c r="O16" s="405"/>
      <c r="P16" s="422"/>
    </row>
    <row r="17" spans="2:16" ht="15.75">
      <c r="B17" s="540" t="s">
        <v>515</v>
      </c>
      <c r="C17" s="413" t="s">
        <v>516</v>
      </c>
      <c r="D17" s="424">
        <v>0.36139567422949059</v>
      </c>
      <c r="E17" s="424">
        <v>0.34737656751091073</v>
      </c>
      <c r="F17" s="424">
        <v>0.36414345188530645</v>
      </c>
      <c r="G17" s="424">
        <v>0.38079955956950995</v>
      </c>
      <c r="H17" s="424">
        <v>0.36318310058720077</v>
      </c>
      <c r="I17" s="424">
        <v>0.29977346874027683</v>
      </c>
      <c r="J17" s="424">
        <v>0.28835229016623554</v>
      </c>
      <c r="K17" s="424"/>
      <c r="L17" s="424"/>
      <c r="M17" s="424"/>
      <c r="N17" s="424"/>
      <c r="O17" s="424"/>
      <c r="P17" s="422">
        <f>AVERAGEIF(D17:O17, "&gt;0")</f>
        <v>0.34357487324127589</v>
      </c>
    </row>
    <row r="18" spans="2:16" ht="15.75">
      <c r="B18" s="544"/>
      <c r="C18" s="413" t="s">
        <v>222</v>
      </c>
      <c r="D18" s="424">
        <v>6.9633574224369291E-2</v>
      </c>
      <c r="E18" s="424">
        <v>7.7793665132509071E-2</v>
      </c>
      <c r="F18" s="424">
        <v>8.4480826486750038E-2</v>
      </c>
      <c r="G18" s="424">
        <v>6.0267903798814304E-2</v>
      </c>
      <c r="H18" s="424">
        <v>4.1707027010475142E-2</v>
      </c>
      <c r="I18" s="424">
        <v>3.5290065487433755E-2</v>
      </c>
      <c r="J18" s="424">
        <v>4.0105546996058235E-2</v>
      </c>
      <c r="K18" s="424"/>
      <c r="L18" s="424"/>
      <c r="M18" s="424"/>
      <c r="N18" s="424"/>
      <c r="O18" s="424"/>
      <c r="P18" s="422">
        <f t="shared" ref="P18:P45" si="5">AVERAGEIF(D18:O18, "&gt;0")</f>
        <v>5.8468372733772825E-2</v>
      </c>
    </row>
    <row r="19" spans="2:16" ht="15.75">
      <c r="B19" s="544"/>
      <c r="C19" s="413" t="s">
        <v>235</v>
      </c>
      <c r="D19" s="424">
        <v>2.2453221877666876E-2</v>
      </c>
      <c r="E19" s="424">
        <v>2.1676449691951108E-2</v>
      </c>
      <c r="F19" s="424">
        <v>2.4365160296787799E-2</v>
      </c>
      <c r="G19" s="424">
        <v>1.8891117808144807E-2</v>
      </c>
      <c r="H19" s="424">
        <v>1.3969000103124941E-2</v>
      </c>
      <c r="I19" s="424">
        <v>1.0903808522397734E-2</v>
      </c>
      <c r="J19" s="424">
        <v>2.3749545962421303E-2</v>
      </c>
      <c r="K19" s="424"/>
      <c r="L19" s="424"/>
      <c r="M19" s="424"/>
      <c r="N19" s="424"/>
      <c r="O19" s="424"/>
      <c r="P19" s="422">
        <f t="shared" si="5"/>
        <v>1.9429757751784939E-2</v>
      </c>
    </row>
    <row r="20" spans="2:16" ht="15.75">
      <c r="B20" s="544"/>
      <c r="C20" s="413" t="s">
        <v>220</v>
      </c>
      <c r="D20" s="424">
        <v>8.5850389930237133E-3</v>
      </c>
      <c r="E20" s="424">
        <v>9.9523222144173289E-3</v>
      </c>
      <c r="F20" s="424">
        <v>1.4684918119400437E-2</v>
      </c>
      <c r="G20" s="424">
        <v>2.8316295795027466E-2</v>
      </c>
      <c r="H20" s="424">
        <v>3.4128077824737396E-2</v>
      </c>
      <c r="I20" s="424">
        <v>4.9548361396139648E-2</v>
      </c>
      <c r="J20" s="424">
        <v>3.7024873543174894E-2</v>
      </c>
      <c r="K20" s="424"/>
      <c r="L20" s="424"/>
      <c r="M20" s="424"/>
      <c r="N20" s="424"/>
      <c r="O20" s="424"/>
      <c r="P20" s="422">
        <f t="shared" si="5"/>
        <v>2.6034269697988697E-2</v>
      </c>
    </row>
    <row r="21" spans="2:16" ht="15.75">
      <c r="B21" s="544"/>
      <c r="C21" s="413" t="s">
        <v>224</v>
      </c>
      <c r="D21" s="424">
        <v>0.16215294044225204</v>
      </c>
      <c r="E21" s="424">
        <v>0.18214707911075978</v>
      </c>
      <c r="F21" s="424">
        <v>0.20289323995580696</v>
      </c>
      <c r="G21" s="424">
        <v>0.15628267987712793</v>
      </c>
      <c r="H21" s="424">
        <v>0.13415543936957161</v>
      </c>
      <c r="I21" s="424">
        <v>0.13432459995236101</v>
      </c>
      <c r="J21" s="424">
        <v>0.15806064650573423</v>
      </c>
      <c r="K21" s="424"/>
      <c r="L21" s="424"/>
      <c r="M21" s="424"/>
      <c r="N21" s="424"/>
      <c r="O21" s="424"/>
      <c r="P21" s="422">
        <f t="shared" si="5"/>
        <v>0.16143094645908768</v>
      </c>
    </row>
    <row r="22" spans="2:16" ht="15.75">
      <c r="B22" s="544"/>
      <c r="C22" s="413" t="s">
        <v>226</v>
      </c>
      <c r="D22" s="424">
        <v>0.27057088032525339</v>
      </c>
      <c r="E22" s="424">
        <v>0.27529225824200032</v>
      </c>
      <c r="F22" s="424">
        <v>0.29293399487971084</v>
      </c>
      <c r="G22" s="424">
        <v>0.27842233710348685</v>
      </c>
      <c r="H22" s="424">
        <v>0.26474822074458115</v>
      </c>
      <c r="I22" s="424">
        <v>0.22905816354399502</v>
      </c>
      <c r="J22" s="424">
        <v>0.22396345871524598</v>
      </c>
      <c r="K22" s="424"/>
      <c r="L22" s="424"/>
      <c r="M22" s="424"/>
      <c r="N22" s="424"/>
      <c r="O22" s="424"/>
      <c r="P22" s="422">
        <f t="shared" si="5"/>
        <v>0.2621413305077534</v>
      </c>
    </row>
    <row r="23" spans="2:16" ht="15.75">
      <c r="B23" s="544"/>
      <c r="C23" s="413" t="s">
        <v>236</v>
      </c>
      <c r="D23" s="424">
        <v>2.9234371078829206E-2</v>
      </c>
      <c r="E23" s="424">
        <v>8.9796818765835347E-3</v>
      </c>
      <c r="F23" s="424">
        <v>0</v>
      </c>
      <c r="G23" s="424">
        <v>0</v>
      </c>
      <c r="H23" s="424">
        <v>0</v>
      </c>
      <c r="I23" s="424">
        <v>0</v>
      </c>
      <c r="J23" s="424">
        <v>0</v>
      </c>
      <c r="K23" s="424"/>
      <c r="L23" s="424"/>
      <c r="M23" s="424"/>
      <c r="N23" s="424"/>
      <c r="O23" s="424"/>
      <c r="P23" s="422">
        <f t="shared" si="5"/>
        <v>1.910702647770637E-2</v>
      </c>
    </row>
    <row r="24" spans="2:16" ht="15.75">
      <c r="B24" s="544"/>
      <c r="C24" s="413" t="s">
        <v>237</v>
      </c>
      <c r="D24" s="424">
        <v>4.0564165966170615E-2</v>
      </c>
      <c r="E24" s="424">
        <v>4.0109498783470192E-2</v>
      </c>
      <c r="F24" s="424">
        <v>1.6541184549440737E-3</v>
      </c>
      <c r="G24" s="424">
        <v>6.4343547299571813E-2</v>
      </c>
      <c r="H24" s="424">
        <v>0.13502459319909141</v>
      </c>
      <c r="I24" s="424">
        <v>0.17184921115430482</v>
      </c>
      <c r="J24" s="424">
        <v>0.16810091634415497</v>
      </c>
      <c r="K24" s="424"/>
      <c r="L24" s="424"/>
      <c r="M24" s="424"/>
      <c r="N24" s="424"/>
      <c r="O24" s="424"/>
      <c r="P24" s="422">
        <f t="shared" si="5"/>
        <v>8.8806578743101133E-2</v>
      </c>
    </row>
    <row r="25" spans="2:16" ht="15.75">
      <c r="B25" s="545"/>
      <c r="C25" s="413" t="s">
        <v>232</v>
      </c>
      <c r="D25" s="424">
        <v>3.5410132862943831E-2</v>
      </c>
      <c r="E25" s="424">
        <v>3.6672477437397863E-2</v>
      </c>
      <c r="F25" s="424">
        <v>1.4844289921293864E-2</v>
      </c>
      <c r="G25" s="424">
        <v>1.2676558748316833E-2</v>
      </c>
      <c r="H25" s="424">
        <v>1.308454116121764E-2</v>
      </c>
      <c r="I25" s="424">
        <v>6.925232120309105E-2</v>
      </c>
      <c r="J25" s="424">
        <v>6.0642721766974744E-2</v>
      </c>
      <c r="K25" s="424"/>
      <c r="L25" s="424"/>
      <c r="M25" s="424"/>
      <c r="N25" s="424"/>
      <c r="O25" s="424"/>
      <c r="P25" s="422">
        <f t="shared" si="5"/>
        <v>3.4654720443033686E-2</v>
      </c>
    </row>
    <row r="26" spans="2:16" ht="15.75">
      <c r="B26" s="419"/>
      <c r="C26" s="413"/>
      <c r="D26" s="405"/>
      <c r="E26" s="405"/>
      <c r="F26" s="405"/>
      <c r="G26" s="405"/>
      <c r="H26" s="405"/>
      <c r="I26" s="405"/>
      <c r="J26" s="405"/>
      <c r="K26" s="405"/>
      <c r="L26" s="405"/>
      <c r="M26" s="405"/>
      <c r="N26" s="405"/>
      <c r="O26" s="405"/>
      <c r="P26" s="422"/>
    </row>
    <row r="27" spans="2:16" ht="15.75">
      <c r="B27" s="540" t="s">
        <v>517</v>
      </c>
      <c r="C27" s="413" t="s">
        <v>516</v>
      </c>
      <c r="D27" s="424">
        <v>0.58577126139802016</v>
      </c>
      <c r="E27" s="424">
        <v>0.57025346170928881</v>
      </c>
      <c r="F27" s="424">
        <v>0.57640851623137324</v>
      </c>
      <c r="G27" s="424">
        <v>0.58366911946203059</v>
      </c>
      <c r="H27" s="424">
        <v>0.56064800510147061</v>
      </c>
      <c r="I27" s="424">
        <v>0.49244058513440431</v>
      </c>
      <c r="J27" s="424">
        <v>0.47778244837618161</v>
      </c>
      <c r="K27" s="424"/>
      <c r="L27" s="424"/>
      <c r="M27" s="424"/>
      <c r="N27" s="424"/>
      <c r="O27" s="424"/>
      <c r="P27" s="422">
        <f>AVERAGEIF(D27:O27, "&gt;0")</f>
        <v>0.54956762820182414</v>
      </c>
    </row>
    <row r="28" spans="2:16" ht="15.75">
      <c r="B28" s="544"/>
      <c r="C28" s="413" t="s">
        <v>222</v>
      </c>
      <c r="D28" s="424">
        <v>8.1693945583923164E-2</v>
      </c>
      <c r="E28" s="424">
        <v>9.1615478418020382E-2</v>
      </c>
      <c r="F28" s="424">
        <v>0.10179987010858439</v>
      </c>
      <c r="G28" s="424">
        <v>6.8907686982098079E-2</v>
      </c>
      <c r="H28" s="424">
        <v>4.4634580870799995E-2</v>
      </c>
      <c r="I28" s="424">
        <v>3.785093356542734E-2</v>
      </c>
      <c r="J28" s="424">
        <v>4.3692920912114096E-2</v>
      </c>
      <c r="K28" s="424"/>
      <c r="L28" s="424"/>
      <c r="M28" s="424"/>
      <c r="N28" s="424"/>
      <c r="O28" s="424"/>
      <c r="P28" s="422">
        <f t="shared" si="5"/>
        <v>6.7170773777281062E-2</v>
      </c>
    </row>
    <row r="29" spans="2:16" ht="15.75">
      <c r="B29" s="544"/>
      <c r="C29" s="413" t="s">
        <v>235</v>
      </c>
      <c r="D29" s="424">
        <v>2.4966128092325353E-2</v>
      </c>
      <c r="E29" s="424">
        <v>2.3825971045169769E-2</v>
      </c>
      <c r="F29" s="424">
        <v>2.6809080825002728E-2</v>
      </c>
      <c r="G29" s="424">
        <v>2.031339297428679E-2</v>
      </c>
      <c r="H29" s="424">
        <v>1.4309263508049936E-2</v>
      </c>
      <c r="I29" s="424">
        <v>1.1252756302247842E-2</v>
      </c>
      <c r="J29" s="424">
        <v>2.5356763079204283E-2</v>
      </c>
      <c r="K29" s="424"/>
      <c r="L29" s="424"/>
      <c r="M29" s="424"/>
      <c r="N29" s="424"/>
      <c r="O29" s="424"/>
      <c r="P29" s="422">
        <f t="shared" si="5"/>
        <v>2.0976193689469531E-2</v>
      </c>
    </row>
    <row r="30" spans="2:16" ht="15.75">
      <c r="B30" s="544"/>
      <c r="C30" s="413" t="s">
        <v>220</v>
      </c>
      <c r="D30" s="424">
        <v>9.7963785106258503E-3</v>
      </c>
      <c r="E30" s="424">
        <v>1.1706621755150907E-2</v>
      </c>
      <c r="F30" s="424">
        <v>1.640151628508173E-2</v>
      </c>
      <c r="G30" s="424">
        <v>3.1347821800599376E-2</v>
      </c>
      <c r="H30" s="424">
        <v>4.8132802587550046E-2</v>
      </c>
      <c r="I30" s="424">
        <v>6.2276894482742574E-2</v>
      </c>
      <c r="J30" s="424">
        <v>4.8683239172804336E-2</v>
      </c>
      <c r="K30" s="424"/>
      <c r="L30" s="424"/>
      <c r="M30" s="424"/>
      <c r="N30" s="424"/>
      <c r="O30" s="424"/>
      <c r="P30" s="422">
        <f t="shared" si="5"/>
        <v>3.2620753513507829E-2</v>
      </c>
    </row>
    <row r="31" spans="2:16" ht="15.75">
      <c r="B31" s="544"/>
      <c r="C31" s="413" t="s">
        <v>224</v>
      </c>
      <c r="D31" s="424">
        <v>8.9953008167213674E-2</v>
      </c>
      <c r="E31" s="424">
        <v>0.10114834901064219</v>
      </c>
      <c r="F31" s="424">
        <v>0.11343936177613133</v>
      </c>
      <c r="G31" s="424">
        <v>8.956298139537297E-2</v>
      </c>
      <c r="H31" s="424">
        <v>7.5610894532354242E-2</v>
      </c>
      <c r="I31" s="424">
        <v>7.6646793989054149E-2</v>
      </c>
      <c r="J31" s="424">
        <v>9.2940901853542271E-2</v>
      </c>
      <c r="K31" s="424"/>
      <c r="L31" s="424"/>
      <c r="M31" s="424"/>
      <c r="N31" s="424"/>
      <c r="O31" s="424"/>
      <c r="P31" s="422">
        <f t="shared" si="5"/>
        <v>9.1328898674901557E-2</v>
      </c>
    </row>
    <row r="32" spans="2:16" ht="15.75">
      <c r="B32" s="544"/>
      <c r="C32" s="413" t="s">
        <v>226</v>
      </c>
      <c r="D32" s="424">
        <v>0.13708177551916129</v>
      </c>
      <c r="E32" s="424">
        <v>0.14060779476747043</v>
      </c>
      <c r="F32" s="424">
        <v>0.14223546019791297</v>
      </c>
      <c r="G32" s="424">
        <v>0.13317793032697267</v>
      </c>
      <c r="H32" s="424">
        <v>0.12743437444531369</v>
      </c>
      <c r="I32" s="424">
        <v>0.11321896903221325</v>
      </c>
      <c r="J32" s="424">
        <v>0.11314919999924089</v>
      </c>
      <c r="K32" s="424"/>
      <c r="L32" s="424"/>
      <c r="M32" s="424"/>
      <c r="N32" s="424"/>
      <c r="O32" s="424"/>
      <c r="P32" s="422">
        <f t="shared" si="5"/>
        <v>0.12955792918404074</v>
      </c>
    </row>
    <row r="33" spans="2:16" ht="15.75">
      <c r="B33" s="544"/>
      <c r="C33" s="413" t="s">
        <v>236</v>
      </c>
      <c r="D33" s="424">
        <v>1.5652480623129864E-2</v>
      </c>
      <c r="E33" s="424">
        <v>4.823868590510383E-3</v>
      </c>
      <c r="F33" s="424">
        <v>0</v>
      </c>
      <c r="G33" s="424">
        <v>0</v>
      </c>
      <c r="H33" s="424">
        <v>0</v>
      </c>
      <c r="I33" s="424">
        <v>0</v>
      </c>
      <c r="J33" s="424">
        <v>0</v>
      </c>
      <c r="K33" s="424"/>
      <c r="L33" s="424"/>
      <c r="M33" s="424"/>
      <c r="N33" s="424"/>
      <c r="O33" s="424"/>
      <c r="P33" s="422">
        <f t="shared" si="5"/>
        <v>1.0238174606820123E-2</v>
      </c>
    </row>
    <row r="34" spans="2:16" ht="15.75">
      <c r="B34" s="544"/>
      <c r="C34" s="413" t="s">
        <v>237</v>
      </c>
      <c r="D34" s="424">
        <v>2.2004734622699137E-2</v>
      </c>
      <c r="E34" s="424">
        <v>2.0902022232890293E-2</v>
      </c>
      <c r="F34" s="424">
        <v>6.7918504928798538E-4</v>
      </c>
      <c r="G34" s="424">
        <v>5.3864579603920618E-2</v>
      </c>
      <c r="H34" s="424">
        <v>0.11022479998422226</v>
      </c>
      <c r="I34" s="424">
        <v>0.14207987165566802</v>
      </c>
      <c r="J34" s="424">
        <v>0.13977856935459076</v>
      </c>
      <c r="K34" s="424"/>
      <c r="L34" s="424"/>
      <c r="M34" s="424"/>
      <c r="N34" s="424"/>
      <c r="O34" s="424"/>
      <c r="P34" s="422">
        <f t="shared" si="5"/>
        <v>6.9933394643325583E-2</v>
      </c>
    </row>
    <row r="35" spans="2:16" ht="15.75">
      <c r="B35" s="545"/>
      <c r="C35" s="413" t="s">
        <v>232</v>
      </c>
      <c r="D35" s="424">
        <v>3.3080287482901531E-2</v>
      </c>
      <c r="E35" s="424">
        <v>3.5116432470856891E-2</v>
      </c>
      <c r="F35" s="424">
        <v>2.2227009526625659E-2</v>
      </c>
      <c r="G35" s="424">
        <v>1.9156487454718908E-2</v>
      </c>
      <c r="H35" s="424">
        <v>1.900527897023923E-2</v>
      </c>
      <c r="I35" s="424">
        <v>6.4233195838242538E-2</v>
      </c>
      <c r="J35" s="424">
        <v>5.861595725232175E-2</v>
      </c>
      <c r="K35" s="424"/>
      <c r="L35" s="424"/>
      <c r="M35" s="424"/>
      <c r="N35" s="424"/>
      <c r="O35" s="424"/>
      <c r="P35" s="422">
        <f t="shared" si="5"/>
        <v>3.591923557084379E-2</v>
      </c>
    </row>
    <row r="36" spans="2:16" ht="15.75">
      <c r="B36" s="419"/>
      <c r="C36" s="413"/>
      <c r="D36" s="405"/>
      <c r="E36" s="405"/>
      <c r="F36" s="405"/>
      <c r="G36" s="405"/>
      <c r="H36" s="405"/>
      <c r="I36" s="405"/>
      <c r="J36" s="405"/>
      <c r="K36" s="405"/>
      <c r="L36" s="405"/>
      <c r="M36" s="405"/>
      <c r="N36" s="405"/>
      <c r="O36" s="405"/>
      <c r="P36" s="422"/>
    </row>
    <row r="37" spans="2:16" ht="15.75">
      <c r="B37" s="539" t="s">
        <v>518</v>
      </c>
      <c r="C37" s="413" t="s">
        <v>516</v>
      </c>
      <c r="D37" s="406">
        <v>768.96508698264131</v>
      </c>
      <c r="E37" s="406">
        <v>774.12086448722914</v>
      </c>
      <c r="F37" s="406">
        <v>757.5904244152307</v>
      </c>
      <c r="G37" s="406">
        <v>740.76981301731939</v>
      </c>
      <c r="H37" s="406">
        <v>765.35781664687147</v>
      </c>
      <c r="I37" s="406">
        <v>783.42710865003369</v>
      </c>
      <c r="J37" s="406">
        <v>771.87393132465104</v>
      </c>
      <c r="K37" s="406"/>
      <c r="L37" s="406"/>
      <c r="M37" s="406"/>
      <c r="N37" s="406"/>
      <c r="O37" s="406"/>
      <c r="P37" s="425">
        <f>AVERAGEIF(D37:O37, "&gt;0")</f>
        <v>766.01500650342518</v>
      </c>
    </row>
    <row r="38" spans="2:16" ht="15.75">
      <c r="B38" s="540"/>
      <c r="C38" s="426" t="s">
        <v>222</v>
      </c>
      <c r="D38" s="427">
        <v>280.52357557404559</v>
      </c>
      <c r="E38" s="427">
        <v>304.46478382945497</v>
      </c>
      <c r="F38" s="427">
        <v>311.70581961708376</v>
      </c>
      <c r="G38" s="427">
        <v>320.67204374311393</v>
      </c>
      <c r="H38" s="427">
        <v>308.1159721716769</v>
      </c>
      <c r="I38" s="427">
        <v>298.23676867480344</v>
      </c>
      <c r="J38" s="427">
        <v>296.14735806418179</v>
      </c>
      <c r="K38" s="427"/>
      <c r="L38" s="427"/>
      <c r="M38" s="427"/>
      <c r="N38" s="427"/>
      <c r="O38" s="427"/>
      <c r="P38" s="425">
        <f t="shared" si="5"/>
        <v>302.83804595348005</v>
      </c>
    </row>
    <row r="39" spans="2:16" ht="15.75">
      <c r="B39" s="540"/>
      <c r="C39" s="426" t="s">
        <v>235</v>
      </c>
      <c r="D39" s="427">
        <v>258.56166578115295</v>
      </c>
      <c r="E39" s="427">
        <v>203.2437413385673</v>
      </c>
      <c r="F39" s="427">
        <v>331.13667122055222</v>
      </c>
      <c r="G39" s="427">
        <v>331.07659362533582</v>
      </c>
      <c r="H39" s="427">
        <v>209.58696420097431</v>
      </c>
      <c r="I39" s="427">
        <v>118.56652276295132</v>
      </c>
      <c r="J39" s="427">
        <v>117.05022912035081</v>
      </c>
      <c r="K39" s="427"/>
      <c r="L39" s="427"/>
      <c r="M39" s="427"/>
      <c r="N39" s="427"/>
      <c r="O39" s="427"/>
      <c r="P39" s="425">
        <f t="shared" si="5"/>
        <v>224.17462686426924</v>
      </c>
    </row>
    <row r="40" spans="2:16" ht="15.75">
      <c r="B40" s="540"/>
      <c r="C40" s="426" t="s">
        <v>220</v>
      </c>
      <c r="D40" s="427">
        <v>486.07170829520021</v>
      </c>
      <c r="E40" s="427">
        <v>490.19814173593841</v>
      </c>
      <c r="F40" s="427">
        <v>493.97618103140815</v>
      </c>
      <c r="G40" s="427">
        <v>416.80190173613738</v>
      </c>
      <c r="H40" s="427">
        <v>367.707567900654</v>
      </c>
      <c r="I40" s="427">
        <v>397.08854160526414</v>
      </c>
      <c r="J40" s="427">
        <v>437.64998264612387</v>
      </c>
      <c r="K40" s="427"/>
      <c r="L40" s="427"/>
      <c r="M40" s="427"/>
      <c r="N40" s="427"/>
      <c r="O40" s="427"/>
      <c r="P40" s="425">
        <f t="shared" si="5"/>
        <v>441.35628927867521</v>
      </c>
    </row>
    <row r="41" spans="2:16" ht="15.75">
      <c r="B41" s="540"/>
      <c r="C41" s="426" t="s">
        <v>224</v>
      </c>
      <c r="D41" s="427">
        <v>82.669482447974161</v>
      </c>
      <c r="E41" s="427">
        <v>81.452411562244222</v>
      </c>
      <c r="F41" s="427">
        <v>79.94999927589204</v>
      </c>
      <c r="G41" s="427">
        <v>82.282454157599574</v>
      </c>
      <c r="H41" s="427">
        <v>81.90398870846974</v>
      </c>
      <c r="I41" s="427">
        <v>84.227709910361142</v>
      </c>
      <c r="J41" s="427">
        <v>84.954232333344365</v>
      </c>
      <c r="K41" s="427"/>
      <c r="L41" s="427"/>
      <c r="M41" s="427"/>
      <c r="N41" s="427"/>
      <c r="O41" s="427"/>
      <c r="P41" s="425">
        <f t="shared" si="5"/>
        <v>82.491468342269329</v>
      </c>
    </row>
    <row r="42" spans="2:16" ht="15.75">
      <c r="B42" s="540"/>
      <c r="C42" s="426" t="s">
        <v>226</v>
      </c>
      <c r="D42" s="427">
        <v>78.306366965294018</v>
      </c>
      <c r="E42" s="427">
        <v>77.971322564328403</v>
      </c>
      <c r="F42" s="427">
        <v>77.906796798443906</v>
      </c>
      <c r="G42" s="427">
        <v>78.189351465199536</v>
      </c>
      <c r="H42" s="427">
        <v>79.190461701431943</v>
      </c>
      <c r="I42" s="427">
        <v>79.718377211575145</v>
      </c>
      <c r="J42" s="427">
        <v>79.472250627696354</v>
      </c>
      <c r="K42" s="427"/>
      <c r="L42" s="427"/>
      <c r="M42" s="427"/>
      <c r="N42" s="427"/>
      <c r="O42" s="427"/>
      <c r="P42" s="425">
        <f t="shared" si="5"/>
        <v>78.679275333424201</v>
      </c>
    </row>
    <row r="43" spans="2:16" ht="15.75">
      <c r="B43" s="540"/>
      <c r="C43" s="426" t="s">
        <v>236</v>
      </c>
      <c r="D43" s="427">
        <v>76.250132772766719</v>
      </c>
      <c r="E43" s="427">
        <v>72.949975663847383</v>
      </c>
      <c r="F43" s="427">
        <v>0</v>
      </c>
      <c r="G43" s="427">
        <v>0</v>
      </c>
      <c r="H43" s="427">
        <v>0</v>
      </c>
      <c r="I43" s="427">
        <v>0</v>
      </c>
      <c r="J43" s="427">
        <v>0</v>
      </c>
      <c r="K43" s="427"/>
      <c r="L43" s="427"/>
      <c r="M43" s="427"/>
      <c r="N43" s="427"/>
      <c r="O43" s="427"/>
      <c r="P43" s="425">
        <f t="shared" si="5"/>
        <v>74.600054218307051</v>
      </c>
    </row>
    <row r="44" spans="2:16" ht="15.75">
      <c r="B44" s="540"/>
      <c r="C44" s="426" t="s">
        <v>237</v>
      </c>
      <c r="D44" s="427">
        <v>110.80830487807768</v>
      </c>
      <c r="E44" s="427">
        <v>97.15750138812345</v>
      </c>
      <c r="F44" s="427">
        <v>84.60142398436416</v>
      </c>
      <c r="G44" s="427">
        <v>159.74228643292116</v>
      </c>
      <c r="H44" s="427">
        <v>161.80618458291255</v>
      </c>
      <c r="I44" s="427">
        <v>157.36335172582426</v>
      </c>
      <c r="J44" s="427">
        <v>155.73662529229455</v>
      </c>
      <c r="K44" s="427"/>
      <c r="L44" s="427"/>
      <c r="M44" s="427"/>
      <c r="N44" s="427"/>
      <c r="O44" s="427"/>
      <c r="P44" s="425">
        <f t="shared" si="5"/>
        <v>132.45938261207397</v>
      </c>
    </row>
    <row r="45" spans="2:16" ht="16.5" thickBot="1">
      <c r="B45" s="541"/>
      <c r="C45" s="428" t="s">
        <v>232</v>
      </c>
      <c r="D45" s="407">
        <v>76.123665150077642</v>
      </c>
      <c r="E45" s="407">
        <v>77.592138128204311</v>
      </c>
      <c r="F45" s="407">
        <v>83.044478559400275</v>
      </c>
      <c r="G45" s="407">
        <v>83.064526679068933</v>
      </c>
      <c r="H45" s="407">
        <v>89.419712752776604</v>
      </c>
      <c r="I45" s="407">
        <v>118.28436587813741</v>
      </c>
      <c r="J45" s="407">
        <v>117.58780675275712</v>
      </c>
      <c r="K45" s="407"/>
      <c r="L45" s="407"/>
      <c r="M45" s="407"/>
      <c r="N45" s="407"/>
      <c r="O45" s="407"/>
      <c r="P45" s="429">
        <f t="shared" si="5"/>
        <v>92.159527700060337</v>
      </c>
    </row>
  </sheetData>
  <mergeCells count="6">
    <mergeCell ref="B37:B45"/>
    <mergeCell ref="B1:C1"/>
    <mergeCell ref="B2:B7"/>
    <mergeCell ref="B9:B15"/>
    <mergeCell ref="B17:B25"/>
    <mergeCell ref="B27:B35"/>
  </mergeCells>
  <phoneticPr fontId="13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rgb="FFFF0000"/>
    <outlinePr summaryBelow="0" summaryRight="0"/>
  </sheetPr>
  <dimension ref="A1:P37"/>
  <sheetViews>
    <sheetView view="pageBreakPreview" zoomScale="115" zoomScaleNormal="100" zoomScaleSheetLayoutView="115" workbookViewId="0">
      <selection activeCell="I8" sqref="I8"/>
    </sheetView>
  </sheetViews>
  <sheetFormatPr defaultColWidth="12.5703125" defaultRowHeight="15.75" customHeight="1"/>
  <cols>
    <col min="1" max="1" width="27.42578125" style="98" bestFit="1" customWidth="1"/>
    <col min="2" max="2" width="12.5703125" style="98" customWidth="1"/>
    <col min="3" max="4" width="12.5703125" style="98"/>
    <col min="5" max="5" width="16.42578125" style="98" customWidth="1"/>
    <col min="6" max="6" width="2.42578125" style="98" customWidth="1"/>
    <col min="7" max="7" width="24.85546875" style="98" bestFit="1" customWidth="1"/>
    <col min="8" max="10" width="12.5703125" style="98"/>
    <col min="11" max="11" width="16.42578125" style="98" customWidth="1"/>
    <col min="12" max="12" width="12.5703125" style="99"/>
    <col min="13" max="16384" width="12.5703125" style="98"/>
  </cols>
  <sheetData>
    <row r="1" spans="1:12" ht="15.75" customHeight="1">
      <c r="A1" s="546" t="s">
        <v>334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98"/>
    </row>
    <row r="2" spans="1:12" s="99" customFormat="1" ht="15.75" customHeight="1">
      <c r="A2" s="547"/>
      <c r="B2" s="547"/>
      <c r="C2" s="547"/>
      <c r="D2" s="547"/>
      <c r="E2" s="547"/>
      <c r="F2" s="547"/>
      <c r="G2" s="547"/>
      <c r="H2" s="547"/>
      <c r="I2" s="547"/>
      <c r="J2" s="547"/>
      <c r="K2" s="547"/>
    </row>
    <row r="3" spans="1:12" ht="21.6" customHeight="1">
      <c r="A3" s="113" t="s">
        <v>73</v>
      </c>
      <c r="B3" s="114">
        <v>7</v>
      </c>
      <c r="C3" s="113" t="s">
        <v>20</v>
      </c>
      <c r="D3" s="548" t="s">
        <v>359</v>
      </c>
      <c r="E3" s="548"/>
      <c r="F3" s="99"/>
      <c r="G3" s="108"/>
      <c r="H3" s="99"/>
      <c r="I3" s="99"/>
      <c r="J3" s="99"/>
      <c r="K3" s="99"/>
    </row>
    <row r="4" spans="1:12" ht="15.75" customHeight="1">
      <c r="A4" s="109" t="s">
        <v>486</v>
      </c>
      <c r="E4" s="101" t="s">
        <v>23</v>
      </c>
      <c r="G4" s="110" t="s">
        <v>71</v>
      </c>
      <c r="L4" s="98"/>
    </row>
    <row r="5" spans="1:12" s="103" customFormat="1" ht="15.75" customHeight="1">
      <c r="A5" s="120" t="s">
        <v>197</v>
      </c>
      <c r="B5" s="115" t="s">
        <v>22</v>
      </c>
      <c r="C5" s="115" t="s">
        <v>1</v>
      </c>
      <c r="D5" s="115" t="s">
        <v>2</v>
      </c>
      <c r="E5" s="115" t="s">
        <v>3</v>
      </c>
      <c r="G5" s="120" t="s">
        <v>197</v>
      </c>
      <c r="H5" s="115" t="s">
        <v>69</v>
      </c>
      <c r="I5" s="115" t="s">
        <v>22</v>
      </c>
      <c r="J5" s="115" t="s">
        <v>67</v>
      </c>
      <c r="K5" s="115" t="s">
        <v>3</v>
      </c>
      <c r="L5" s="104" t="s">
        <v>60</v>
      </c>
    </row>
    <row r="6" spans="1:12" ht="18" customHeight="1">
      <c r="A6" s="106" t="s">
        <v>24</v>
      </c>
      <c r="B6" s="430">
        <f>'（１）收支狀況'!H6/1000</f>
        <v>199388.61726000003</v>
      </c>
      <c r="C6" s="399">
        <v>194099.28702000002</v>
      </c>
      <c r="D6" s="116">
        <f t="shared" ref="D6:D11" si="0">B6-C6</f>
        <v>5289.3302400000102</v>
      </c>
      <c r="E6" s="399">
        <f>'數值累積總表(月)'!P2</f>
        <v>1147680.2092900001</v>
      </c>
      <c r="G6" s="106" t="s">
        <v>198</v>
      </c>
      <c r="H6" s="118">
        <v>497.6</v>
      </c>
      <c r="I6" s="431">
        <f>'（２）ＫＰＩ達成進度'!H6</f>
        <v>434.66889417885551</v>
      </c>
      <c r="J6" s="409">
        <v>425.95259125022073</v>
      </c>
      <c r="K6" s="409">
        <f>'數值累積總表(月)'!P10</f>
        <v>432.44396416508198</v>
      </c>
      <c r="L6" s="100" t="s">
        <v>195</v>
      </c>
    </row>
    <row r="7" spans="1:12" ht="18" customHeight="1">
      <c r="A7" s="106" t="s">
        <v>25</v>
      </c>
      <c r="B7" s="430">
        <f>'（１）收支狀況'!K6</f>
        <v>6323244</v>
      </c>
      <c r="C7" s="399">
        <v>6275618</v>
      </c>
      <c r="D7" s="116">
        <f t="shared" si="0"/>
        <v>47626</v>
      </c>
      <c r="E7" s="399">
        <f>'數值累積總表(月)'!P3</f>
        <v>37681130</v>
      </c>
      <c r="G7" s="106" t="s">
        <v>199</v>
      </c>
      <c r="H7" s="117">
        <v>0.8</v>
      </c>
      <c r="I7" s="408">
        <f>'（２）ＫＰＩ達成進度'!K6</f>
        <v>0.97111012997956991</v>
      </c>
      <c r="J7" s="411">
        <v>0.96282231295257903</v>
      </c>
      <c r="K7" s="411">
        <f>'數值累積總表(月)'!P11</f>
        <v>0.91491119097697848</v>
      </c>
      <c r="L7" s="100" t="s">
        <v>4</v>
      </c>
    </row>
    <row r="8" spans="1:12" ht="18" customHeight="1">
      <c r="A8" s="106" t="s">
        <v>5</v>
      </c>
      <c r="B8" s="430">
        <f>'（１）收支狀況'!N6/1000</f>
        <v>134056.59496639523</v>
      </c>
      <c r="C8" s="399">
        <v>131016.30050794722</v>
      </c>
      <c r="D8" s="116">
        <f>B8-C8</f>
        <v>3040.2944584480138</v>
      </c>
      <c r="E8" s="399">
        <f>'數值累積總表(月)'!P4</f>
        <v>743661.59496639529</v>
      </c>
      <c r="G8" s="106" t="s">
        <v>200</v>
      </c>
      <c r="H8" s="117">
        <v>2.5000000000000001E-3</v>
      </c>
      <c r="I8" s="432">
        <f>'（２）ＫＰＩ達成進度'!N6</f>
        <v>2.0067058203413666E-3</v>
      </c>
      <c r="J8" s="410">
        <v>2.0072505835617024E-3</v>
      </c>
      <c r="K8" s="410">
        <f>'數值累積總表(月)'!P12</f>
        <v>2.1193824114863458E-3</v>
      </c>
      <c r="L8" s="100" t="s">
        <v>55</v>
      </c>
    </row>
    <row r="9" spans="1:12" ht="18" customHeight="1">
      <c r="A9" s="106" t="s">
        <v>6</v>
      </c>
      <c r="B9" s="454">
        <f>'（１）收支狀況'!Q6</f>
        <v>0.67233825485427423</v>
      </c>
      <c r="C9" s="433">
        <v>0.67499629967444075</v>
      </c>
      <c r="D9" s="117">
        <f t="shared" si="0"/>
        <v>-2.6580448201665163E-3</v>
      </c>
      <c r="E9" s="433">
        <f>'數值累積總表(月)'!P5</f>
        <v>0.66261975069346779</v>
      </c>
      <c r="G9" s="106" t="s">
        <v>201</v>
      </c>
      <c r="H9" s="117">
        <v>4.0000000000000001E-3</v>
      </c>
      <c r="I9" s="408">
        <f>'（２）ＫＰＩ達成進度'!Q6</f>
        <v>6.0144112131268234E-3</v>
      </c>
      <c r="J9" s="411">
        <v>6.077521140456379E-3</v>
      </c>
      <c r="K9" s="411">
        <f>'數值累積總表(月)'!P13</f>
        <v>5.4723700024967136E-3</v>
      </c>
      <c r="L9" s="100" t="s">
        <v>98</v>
      </c>
    </row>
    <row r="10" spans="1:12" ht="18" customHeight="1">
      <c r="A10" s="106" t="s">
        <v>64</v>
      </c>
      <c r="B10" s="430">
        <f>'（１）收支狀況'!T6/1000</f>
        <v>27431.996822000001</v>
      </c>
      <c r="C10" s="399">
        <v>27275.089879999996</v>
      </c>
      <c r="D10" s="116">
        <f>B10-C10</f>
        <v>156.90694200000507</v>
      </c>
      <c r="E10" s="399">
        <f>'數值累積總表(月)'!P6</f>
        <v>169874.99682200002</v>
      </c>
      <c r="G10" s="106" t="s">
        <v>202</v>
      </c>
      <c r="H10" s="117">
        <v>0.8</v>
      </c>
      <c r="I10" s="408">
        <f>'（２）ＫＰＩ達成進度'!T6</f>
        <v>0.89999999999999947</v>
      </c>
      <c r="J10" s="411">
        <v>0.89999999999999958</v>
      </c>
      <c r="K10" s="411">
        <f>'數值累積總表(月)'!P14</f>
        <v>0.89999999999999947</v>
      </c>
      <c r="L10" s="100" t="s">
        <v>7</v>
      </c>
    </row>
    <row r="11" spans="1:12" ht="18" customHeight="1">
      <c r="A11" s="106" t="s">
        <v>65</v>
      </c>
      <c r="B11" s="454">
        <f>'（１）收支狀況'!W6</f>
        <v>0.13758055599647925</v>
      </c>
      <c r="C11" s="433">
        <v>0.14052132956670554</v>
      </c>
      <c r="D11" s="117">
        <f t="shared" si="0"/>
        <v>-2.9407735702262905E-3</v>
      </c>
      <c r="E11" s="433">
        <f>'數值累積總表(月)'!P7</f>
        <v>0.15451150799949703</v>
      </c>
      <c r="G11" s="106" t="s">
        <v>203</v>
      </c>
      <c r="H11" s="117">
        <v>1</v>
      </c>
      <c r="I11" s="408">
        <f>'（２）ＫＰＩ達成進度'!W6</f>
        <v>0.55521091811414403</v>
      </c>
      <c r="J11" s="411">
        <v>0.47115384615384609</v>
      </c>
      <c r="K11" s="411">
        <f>'數值累積總表(月)'!P15</f>
        <v>0.55521091811414403</v>
      </c>
      <c r="L11" s="100" t="s">
        <v>62</v>
      </c>
    </row>
    <row r="12" spans="1:12" ht="9.6" customHeight="1">
      <c r="L12" s="98"/>
    </row>
    <row r="13" spans="1:12" ht="15.75" customHeight="1">
      <c r="A13" s="109" t="s">
        <v>32</v>
      </c>
      <c r="E13" s="309" t="s">
        <v>23</v>
      </c>
      <c r="G13" s="109" t="s">
        <v>33</v>
      </c>
      <c r="K13" s="309" t="s">
        <v>423</v>
      </c>
      <c r="L13" s="98"/>
    </row>
    <row r="14" spans="1:12" s="105" customFormat="1" ht="12">
      <c r="A14" s="119"/>
      <c r="B14" s="119" t="s">
        <v>22</v>
      </c>
      <c r="C14" s="119" t="s">
        <v>41</v>
      </c>
      <c r="D14" s="119" t="s">
        <v>67</v>
      </c>
      <c r="E14" s="119" t="s">
        <v>68</v>
      </c>
      <c r="G14" s="119"/>
      <c r="H14" s="119" t="s">
        <v>22</v>
      </c>
      <c r="I14" s="119" t="s">
        <v>41</v>
      </c>
      <c r="J14" s="119" t="s">
        <v>67</v>
      </c>
      <c r="K14" s="119" t="s">
        <v>68</v>
      </c>
    </row>
    <row r="15" spans="1:12" ht="18" customHeight="1">
      <c r="A15" s="106" t="s">
        <v>380</v>
      </c>
      <c r="B15" s="430">
        <f>SUM('（３）業績構成比'!M8:M38)/1000</f>
        <v>57494.164420000008</v>
      </c>
      <c r="C15" s="117">
        <f>IFERROR(B15/$B$6,"")</f>
        <v>0.28835229016623554</v>
      </c>
      <c r="D15" s="434">
        <v>0.29977346874027683</v>
      </c>
      <c r="E15" s="117">
        <f>IFERROR(C15-D15,"")</f>
        <v>-1.1421178574041291E-2</v>
      </c>
      <c r="G15" s="106" t="s">
        <v>381</v>
      </c>
      <c r="H15" s="430">
        <f>SUM('（４）訂單數量構成比'!M8:M38)</f>
        <v>3021135</v>
      </c>
      <c r="I15" s="117">
        <f t="shared" ref="I15:I23" si="1">IFERROR(H15/$B$7,"")</f>
        <v>0.47778244837618161</v>
      </c>
      <c r="J15" s="434">
        <v>0.49244058513440431</v>
      </c>
      <c r="K15" s="117">
        <f>IFERROR(I15-J15,"")</f>
        <v>-1.4658136758222695E-2</v>
      </c>
      <c r="L15" s="98"/>
    </row>
    <row r="16" spans="1:12" ht="18" customHeight="1">
      <c r="A16" s="106" t="s">
        <v>223</v>
      </c>
      <c r="B16" s="430">
        <f>SUM('（３）業績構成比'!S8:S38)/1000</f>
        <v>7996.5895599999994</v>
      </c>
      <c r="C16" s="117">
        <f t="shared" ref="C16:C23" si="2">IFERROR(B16/$B$6,"")</f>
        <v>4.0105546996058235E-2</v>
      </c>
      <c r="D16" s="434">
        <v>3.5290065487433755E-2</v>
      </c>
      <c r="E16" s="117">
        <f t="shared" ref="E16:E23" si="3">IFERROR(C16-D16,"")</f>
        <v>4.8154815086244793E-3</v>
      </c>
      <c r="G16" s="106" t="s">
        <v>223</v>
      </c>
      <c r="H16" s="430">
        <f>SUM('（４）訂單數量構成比'!S8:S38)</f>
        <v>276281</v>
      </c>
      <c r="I16" s="117">
        <f t="shared" si="1"/>
        <v>4.3692920912114096E-2</v>
      </c>
      <c r="J16" s="434">
        <v>3.785093356542734E-2</v>
      </c>
      <c r="K16" s="117">
        <f t="shared" ref="K16:K23" si="4">IFERROR(I16-J16,"")</f>
        <v>5.8419873466867556E-3</v>
      </c>
      <c r="L16" s="98"/>
    </row>
    <row r="17" spans="1:16" ht="18" customHeight="1">
      <c r="A17" s="106" t="s">
        <v>219</v>
      </c>
      <c r="B17" s="430">
        <f>SUM('（３）業績構成比'!U8:U38)/1000</f>
        <v>4735.3891300000005</v>
      </c>
      <c r="C17" s="117">
        <f t="shared" si="2"/>
        <v>2.3749545962421303E-2</v>
      </c>
      <c r="D17" s="434">
        <v>1.0903808522397734E-2</v>
      </c>
      <c r="E17" s="117">
        <f t="shared" si="3"/>
        <v>1.2845737440023569E-2</v>
      </c>
      <c r="G17" s="106" t="s">
        <v>235</v>
      </c>
      <c r="H17" s="430">
        <f>SUM('（４）訂單數量構成比'!U8:U38)</f>
        <v>160337</v>
      </c>
      <c r="I17" s="117">
        <f t="shared" si="1"/>
        <v>2.5356763079204283E-2</v>
      </c>
      <c r="J17" s="434">
        <v>1.1252756302247842E-2</v>
      </c>
      <c r="K17" s="117">
        <f t="shared" si="4"/>
        <v>1.4104006776956441E-2</v>
      </c>
      <c r="L17" s="98"/>
    </row>
    <row r="18" spans="1:16" ht="18" customHeight="1">
      <c r="A18" s="106" t="s">
        <v>221</v>
      </c>
      <c r="B18" s="430">
        <f>SUM('（３）業績構成比'!W8:W38)/1000</f>
        <v>7382.3383399999993</v>
      </c>
      <c r="C18" s="117">
        <f t="shared" si="2"/>
        <v>3.7024873543174894E-2</v>
      </c>
      <c r="D18" s="434">
        <v>4.9548361396139648E-2</v>
      </c>
      <c r="E18" s="117">
        <f t="shared" si="3"/>
        <v>-1.2523487852964754E-2</v>
      </c>
      <c r="G18" s="106" t="s">
        <v>220</v>
      </c>
      <c r="H18" s="430">
        <f>SUM('（４）訂單數量構成比'!W8:W38)</f>
        <v>307836</v>
      </c>
      <c r="I18" s="117">
        <f t="shared" si="1"/>
        <v>4.8683239172804336E-2</v>
      </c>
      <c r="J18" s="434">
        <v>6.2276894482742574E-2</v>
      </c>
      <c r="K18" s="117">
        <f t="shared" si="4"/>
        <v>-1.3593655309938238E-2</v>
      </c>
      <c r="L18" s="98"/>
    </row>
    <row r="19" spans="1:16" ht="18" customHeight="1">
      <c r="A19" s="106" t="s">
        <v>225</v>
      </c>
      <c r="B19" s="430">
        <f>SUM('（３）業績構成比'!AC8:AC38)/1000</f>
        <v>31515.493750000001</v>
      </c>
      <c r="C19" s="117">
        <f t="shared" si="2"/>
        <v>0.15806064650573423</v>
      </c>
      <c r="D19" s="434">
        <v>0.13432459995236101</v>
      </c>
      <c r="E19" s="117">
        <f t="shared" si="3"/>
        <v>2.3736046553373219E-2</v>
      </c>
      <c r="G19" s="106" t="s">
        <v>224</v>
      </c>
      <c r="H19" s="430">
        <f>SUM('（４）訂單數量構成比'!AC8:AC38)</f>
        <v>587688</v>
      </c>
      <c r="I19" s="117">
        <f t="shared" si="1"/>
        <v>9.2940901853542271E-2</v>
      </c>
      <c r="J19" s="434">
        <v>7.6646793989054149E-2</v>
      </c>
      <c r="K19" s="117">
        <f t="shared" si="4"/>
        <v>1.6294107864488122E-2</v>
      </c>
      <c r="L19" s="98"/>
    </row>
    <row r="20" spans="1:16" ht="18" customHeight="1">
      <c r="A20" s="106" t="s">
        <v>227</v>
      </c>
      <c r="B20" s="430">
        <f>SUM('（３）業績構成比'!AE8:AE38)/1000</f>
        <v>44655.764349999998</v>
      </c>
      <c r="C20" s="117">
        <f t="shared" si="2"/>
        <v>0.22396345871524598</v>
      </c>
      <c r="D20" s="434">
        <v>0.22905816354399502</v>
      </c>
      <c r="E20" s="117">
        <f t="shared" si="3"/>
        <v>-5.0947048287490471E-3</v>
      </c>
      <c r="G20" s="106" t="s">
        <v>226</v>
      </c>
      <c r="H20" s="430">
        <f>SUM('（４）訂單數量構成比'!AE8:AE38)</f>
        <v>715470</v>
      </c>
      <c r="I20" s="117">
        <f t="shared" si="1"/>
        <v>0.11314919999924089</v>
      </c>
      <c r="J20" s="434">
        <v>0.11321896903221325</v>
      </c>
      <c r="K20" s="117">
        <f t="shared" si="4"/>
        <v>-6.9769032972358258E-5</v>
      </c>
      <c r="L20" s="98"/>
    </row>
    <row r="21" spans="1:16" ht="18" customHeight="1">
      <c r="A21" s="106" t="s">
        <v>230</v>
      </c>
      <c r="B21" s="430">
        <f>SUM('（３）業績構成比'!AG8:AG38)/1000</f>
        <v>0</v>
      </c>
      <c r="C21" s="117">
        <f t="shared" si="2"/>
        <v>0</v>
      </c>
      <c r="D21" s="434">
        <v>0</v>
      </c>
      <c r="E21" s="117">
        <f t="shared" si="3"/>
        <v>0</v>
      </c>
      <c r="G21" s="106" t="s">
        <v>236</v>
      </c>
      <c r="H21" s="430">
        <f>SUM('（４）訂單數量構成比'!AG8:AG38)</f>
        <v>0</v>
      </c>
      <c r="I21" s="117">
        <f t="shared" si="1"/>
        <v>0</v>
      </c>
      <c r="J21" s="434">
        <v>0</v>
      </c>
      <c r="K21" s="117">
        <f t="shared" si="4"/>
        <v>0</v>
      </c>
      <c r="L21" s="98"/>
    </row>
    <row r="22" spans="1:16" ht="18" customHeight="1">
      <c r="A22" s="106" t="s">
        <v>231</v>
      </c>
      <c r="B22" s="430">
        <f>SUM('（３）業績構成比'!AI8:AI38)/1000</f>
        <v>33517.409269999996</v>
      </c>
      <c r="C22" s="117">
        <f t="shared" si="2"/>
        <v>0.16810091634415497</v>
      </c>
      <c r="D22" s="434">
        <v>0.17184921115430482</v>
      </c>
      <c r="E22" s="117">
        <f t="shared" si="3"/>
        <v>-3.7482948101498492E-3</v>
      </c>
      <c r="G22" s="106" t="s">
        <v>237</v>
      </c>
      <c r="H22" s="430">
        <f>SUM('（４）訂單數量構成比'!AI8:AI38)</f>
        <v>883854</v>
      </c>
      <c r="I22" s="117">
        <f t="shared" si="1"/>
        <v>0.13977856935459076</v>
      </c>
      <c r="J22" s="434">
        <v>0.14207987165566802</v>
      </c>
      <c r="K22" s="117">
        <f t="shared" si="4"/>
        <v>-2.3013023010772515E-3</v>
      </c>
      <c r="L22" s="98"/>
    </row>
    <row r="23" spans="1:16" ht="18" customHeight="1">
      <c r="A23" s="106" t="s">
        <v>233</v>
      </c>
      <c r="B23" s="430">
        <f>SUM('（３）業績構成比'!AK8:AK38)/1000</f>
        <v>12091.468440000001</v>
      </c>
      <c r="C23" s="117">
        <f t="shared" si="2"/>
        <v>6.0642721766974744E-2</v>
      </c>
      <c r="D23" s="434">
        <v>6.925232120309105E-2</v>
      </c>
      <c r="E23" s="117">
        <f t="shared" si="3"/>
        <v>-8.6095994361163053E-3</v>
      </c>
      <c r="G23" s="106" t="s">
        <v>232</v>
      </c>
      <c r="H23" s="430">
        <f>SUM('（４）訂單數量構成比'!AK8:AK38)</f>
        <v>370643</v>
      </c>
      <c r="I23" s="117">
        <f t="shared" si="1"/>
        <v>5.861595725232175E-2</v>
      </c>
      <c r="J23" s="434">
        <v>6.4233195838242538E-2</v>
      </c>
      <c r="K23" s="117">
        <f t="shared" si="4"/>
        <v>-5.6172385859207877E-3</v>
      </c>
      <c r="L23" s="98"/>
    </row>
    <row r="24" spans="1:16" ht="15.75" customHeight="1">
      <c r="C24" s="111">
        <f>SUM(C15:C23)</f>
        <v>0.99999999999999978</v>
      </c>
      <c r="D24" s="111">
        <f t="shared" ref="D24" si="5">SUM(D15:D23)</f>
        <v>1</v>
      </c>
      <c r="I24" s="111">
        <f t="shared" ref="I24:J24" si="6">SUM(I15:I23)</f>
        <v>1.0000000000000002</v>
      </c>
      <c r="J24" s="111">
        <f t="shared" si="6"/>
        <v>1</v>
      </c>
      <c r="L24" s="98"/>
    </row>
    <row r="25" spans="1:16" ht="9.6" customHeight="1">
      <c r="A25" s="112"/>
      <c r="L25" s="98"/>
    </row>
    <row r="26" spans="1:16" ht="15.75" customHeight="1">
      <c r="A26" s="109" t="s">
        <v>196</v>
      </c>
      <c r="L26" s="98"/>
    </row>
    <row r="27" spans="1:16" ht="15.75" customHeight="1">
      <c r="A27" s="106" t="s">
        <v>188</v>
      </c>
      <c r="B27" s="106" t="s">
        <v>22</v>
      </c>
      <c r="C27" s="106" t="s">
        <v>1</v>
      </c>
      <c r="D27" s="106" t="s">
        <v>2</v>
      </c>
      <c r="E27" s="106" t="s">
        <v>3</v>
      </c>
      <c r="L27" s="98"/>
    </row>
    <row r="28" spans="1:16" ht="18" customHeight="1">
      <c r="A28" s="106" t="s">
        <v>234</v>
      </c>
      <c r="B28" s="435">
        <f>'（５-1）品群別人時生產性(18℃-飯糰)'!C1</f>
        <v>771.87393132465104</v>
      </c>
      <c r="C28" s="436">
        <v>783.42710865003369</v>
      </c>
      <c r="D28" s="221">
        <f t="shared" ref="D28:D36" si="7">B28-C28</f>
        <v>-11.553177325382649</v>
      </c>
      <c r="E28" s="412">
        <f>'數值累積總表(月)'!P37</f>
        <v>766.01500650342518</v>
      </c>
      <c r="G28" s="121"/>
      <c r="H28" s="121"/>
      <c r="I28" s="121"/>
      <c r="J28" s="121"/>
      <c r="K28" s="121"/>
      <c r="L28" s="121"/>
      <c r="M28" s="121"/>
      <c r="N28" s="121"/>
      <c r="O28" s="122"/>
      <c r="P28" s="122"/>
    </row>
    <row r="29" spans="1:16" ht="18" customHeight="1">
      <c r="A29" s="106" t="s">
        <v>222</v>
      </c>
      <c r="B29" s="435">
        <f>'（５-2）品群別人時生產性(18℃-壽司手卷)'!C1</f>
        <v>296.14735806418179</v>
      </c>
      <c r="C29" s="436">
        <v>298.23676867480344</v>
      </c>
      <c r="D29" s="221">
        <f t="shared" si="7"/>
        <v>-2.0894106106216555</v>
      </c>
      <c r="E29" s="412">
        <f>'數值累積總表(月)'!P38</f>
        <v>302.83804595348005</v>
      </c>
      <c r="G29" s="123"/>
      <c r="H29" s="123"/>
      <c r="I29" s="124"/>
      <c r="J29" s="1"/>
      <c r="K29" s="125"/>
      <c r="L29" s="67"/>
      <c r="M29" s="67"/>
      <c r="N29" s="67"/>
      <c r="O29" s="67"/>
      <c r="P29" s="67"/>
    </row>
    <row r="30" spans="1:16" ht="18" customHeight="1">
      <c r="A30" s="106" t="s">
        <v>235</v>
      </c>
      <c r="B30" s="435">
        <f>'（５-3）品群別人時生產性(4℃-飯糰)'!C1</f>
        <v>117.05022912035081</v>
      </c>
      <c r="C30" s="436">
        <v>118.56652276295132</v>
      </c>
      <c r="D30" s="221">
        <f t="shared" si="7"/>
        <v>-1.516293642600516</v>
      </c>
      <c r="E30" s="412">
        <f>'數值累積總表(月)'!P39</f>
        <v>224.17462686426924</v>
      </c>
      <c r="L30" s="98"/>
    </row>
    <row r="31" spans="1:16" ht="18" customHeight="1">
      <c r="A31" s="106" t="s">
        <v>220</v>
      </c>
      <c r="B31" s="435">
        <f>'（５-4）品群別人時生產性(4℃-壽司手卷)'!C1</f>
        <v>437.64998264612387</v>
      </c>
      <c r="C31" s="436">
        <v>397.08854160526414</v>
      </c>
      <c r="D31" s="221">
        <f t="shared" si="7"/>
        <v>40.561441040859734</v>
      </c>
      <c r="E31" s="412">
        <f>'數值累積總表(月)'!P40</f>
        <v>441.35628927867521</v>
      </c>
      <c r="L31" s="98"/>
    </row>
    <row r="32" spans="1:16" ht="18" customHeight="1">
      <c r="A32" s="106" t="s">
        <v>224</v>
      </c>
      <c r="B32" s="435">
        <f>'（５-5）品群別人時生產性(微波主食) '!C1</f>
        <v>84.954232333344365</v>
      </c>
      <c r="C32" s="436">
        <v>84.227709910361142</v>
      </c>
      <c r="D32" s="221">
        <f t="shared" si="7"/>
        <v>0.72652242298322278</v>
      </c>
      <c r="E32" s="412">
        <f>'數值累積總表(月)'!P41</f>
        <v>82.491468342269329</v>
      </c>
      <c r="L32" s="98"/>
    </row>
    <row r="33" spans="1:12" ht="18" customHeight="1">
      <c r="A33" s="106" t="s">
        <v>226</v>
      </c>
      <c r="B33" s="435">
        <f>'（５-6）品群別人時生產性(便當)'!C1</f>
        <v>79.472250627696354</v>
      </c>
      <c r="C33" s="436">
        <v>79.718377211575145</v>
      </c>
      <c r="D33" s="221">
        <f t="shared" si="7"/>
        <v>-0.24612658387879094</v>
      </c>
      <c r="E33" s="412">
        <f>'數值累積總表(月)'!P42</f>
        <v>78.679275333424201</v>
      </c>
      <c r="L33" s="98"/>
    </row>
    <row r="34" spans="1:12" ht="18" customHeight="1">
      <c r="A34" s="106" t="s">
        <v>236</v>
      </c>
      <c r="B34" s="435">
        <f>'（５-7）品群別人時生產性(熱食義麵) '!C1</f>
        <v>0</v>
      </c>
      <c r="C34" s="436">
        <v>0</v>
      </c>
      <c r="D34" s="221">
        <f t="shared" si="7"/>
        <v>0</v>
      </c>
      <c r="E34" s="412">
        <f>'數值累積總表(月)'!P43</f>
        <v>74.600054218307051</v>
      </c>
      <c r="L34" s="98"/>
    </row>
    <row r="35" spans="1:12" ht="18" customHeight="1">
      <c r="A35" s="106" t="s">
        <v>237</v>
      </c>
      <c r="B35" s="435">
        <f>'（５-8）品群別人時生產性(季節調理麵) '!C1</f>
        <v>155.73662529229455</v>
      </c>
      <c r="C35" s="436">
        <v>157.36335172582426</v>
      </c>
      <c r="D35" s="221">
        <f t="shared" si="7"/>
        <v>-1.6267264335297114</v>
      </c>
      <c r="E35" s="412">
        <f>'數值累積總表(月)'!P44</f>
        <v>132.45938261207397</v>
      </c>
      <c r="L35" s="98"/>
    </row>
    <row r="36" spans="1:12" ht="18" customHeight="1">
      <c r="A36" s="102" t="s">
        <v>232</v>
      </c>
      <c r="B36" s="435">
        <f>'（５-9）品群別人時生產性(微波小吃)'!C1</f>
        <v>117.58780675275712</v>
      </c>
      <c r="C36" s="436">
        <v>118.28436587813741</v>
      </c>
      <c r="D36" s="221">
        <f t="shared" si="7"/>
        <v>-0.69655912538028986</v>
      </c>
      <c r="E36" s="412">
        <f>'數值累積總表(月)'!P45</f>
        <v>92.159527700060337</v>
      </c>
      <c r="L36" s="98"/>
    </row>
    <row r="37" spans="1:12" ht="15.75" customHeight="1">
      <c r="L37" s="98"/>
    </row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5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tabColor rgb="FF92D050"/>
    <outlinePr summaryBelow="0" summaryRight="0"/>
  </sheetPr>
  <dimension ref="A1:Q38"/>
  <sheetViews>
    <sheetView tabSelected="1" view="pageBreakPreview" topLeftCell="B1" zoomScale="115" zoomScaleNormal="60" zoomScaleSheetLayoutView="115" workbookViewId="0">
      <selection activeCell="E20" sqref="E20"/>
    </sheetView>
  </sheetViews>
  <sheetFormatPr defaultColWidth="12.5703125" defaultRowHeight="15.75" customHeight="1"/>
  <cols>
    <col min="1" max="1" width="27.42578125" style="98" bestFit="1" customWidth="1"/>
    <col min="2" max="2" width="12.5703125" style="98" customWidth="1"/>
    <col min="3" max="4" width="12.5703125" style="98"/>
    <col min="5" max="5" width="16.42578125" style="98" customWidth="1"/>
    <col min="6" max="6" width="2.42578125" style="98" customWidth="1"/>
    <col min="7" max="7" width="24.85546875" style="98" bestFit="1" customWidth="1"/>
    <col min="8" max="10" width="12.5703125" style="98"/>
    <col min="11" max="11" width="16.42578125" style="98" customWidth="1"/>
    <col min="12" max="12" width="12.5703125" style="99"/>
    <col min="13" max="16384" width="12.5703125" style="98"/>
  </cols>
  <sheetData>
    <row r="1" spans="1:16" ht="15.75" customHeight="1">
      <c r="A1" s="546" t="s">
        <v>360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98"/>
    </row>
    <row r="2" spans="1:16" s="99" customFormat="1" ht="15.75" customHeight="1">
      <c r="A2" s="547"/>
      <c r="B2" s="547"/>
      <c r="C2" s="547"/>
      <c r="D2" s="547"/>
      <c r="E2" s="547"/>
      <c r="F2" s="547"/>
      <c r="G2" s="547"/>
      <c r="H2" s="547"/>
      <c r="I2" s="547"/>
      <c r="J2" s="547"/>
      <c r="K2" s="547"/>
    </row>
    <row r="3" spans="1:16" ht="21.6" customHeight="1">
      <c r="A3" s="113" t="s">
        <v>325</v>
      </c>
      <c r="B3" s="114">
        <v>7</v>
      </c>
      <c r="C3" s="156" t="s">
        <v>326</v>
      </c>
      <c r="D3" s="114" t="s">
        <v>876</v>
      </c>
      <c r="E3" s="113" t="s">
        <v>20</v>
      </c>
      <c r="F3" s="549" t="s">
        <v>359</v>
      </c>
      <c r="G3" s="550"/>
      <c r="H3" s="99"/>
      <c r="I3" s="108"/>
      <c r="J3" s="99"/>
      <c r="K3" s="99"/>
      <c r="M3" s="99"/>
      <c r="N3" s="99"/>
    </row>
    <row r="4" spans="1:16" ht="15.75" customHeight="1">
      <c r="A4" s="109" t="s">
        <v>402</v>
      </c>
      <c r="E4" s="101" t="s">
        <v>408</v>
      </c>
      <c r="G4" s="110" t="s">
        <v>71</v>
      </c>
      <c r="L4" s="98"/>
    </row>
    <row r="5" spans="1:16" s="103" customFormat="1" ht="15.75" customHeight="1">
      <c r="A5" s="120" t="s">
        <v>197</v>
      </c>
      <c r="B5" s="120" t="s">
        <v>328</v>
      </c>
      <c r="C5" s="120" t="s">
        <v>330</v>
      </c>
      <c r="D5" s="115" t="s">
        <v>2</v>
      </c>
      <c r="E5" s="115" t="s">
        <v>3</v>
      </c>
      <c r="G5" s="120" t="s">
        <v>197</v>
      </c>
      <c r="H5" s="115" t="s">
        <v>69</v>
      </c>
      <c r="I5" s="115" t="s">
        <v>327</v>
      </c>
      <c r="J5" s="115" t="s">
        <v>329</v>
      </c>
      <c r="K5" s="115" t="s">
        <v>3</v>
      </c>
      <c r="L5" s="104" t="s">
        <v>60</v>
      </c>
    </row>
    <row r="6" spans="1:16" ht="18" customHeight="1">
      <c r="A6" s="106" t="s">
        <v>24</v>
      </c>
      <c r="B6" s="116">
        <f>'（１）收支狀況'!G33/1000</f>
        <v>42486.866159999998</v>
      </c>
      <c r="C6" s="116">
        <v>44483.628960000002</v>
      </c>
      <c r="D6" s="116">
        <f>B6-C6</f>
        <v>-1996.7628000000041</v>
      </c>
      <c r="E6" s="215">
        <f>'（１）收支狀況'!H6:H6/1000</f>
        <v>199388.61726000003</v>
      </c>
      <c r="G6" s="216" t="s">
        <v>404</v>
      </c>
      <c r="H6" s="217">
        <v>447.6</v>
      </c>
      <c r="I6" s="217">
        <f>'（２）ＫＰＩ達成進度'!G33</f>
        <v>441.50044683537647</v>
      </c>
      <c r="J6" s="217">
        <v>441.49780424819073</v>
      </c>
      <c r="K6" s="217">
        <f>'（２）ＫＰＩ達成進度'!H6</f>
        <v>434.66889417885551</v>
      </c>
      <c r="L6" s="100" t="s">
        <v>195</v>
      </c>
    </row>
    <row r="7" spans="1:16" ht="18" customHeight="1">
      <c r="A7" s="106" t="s">
        <v>25</v>
      </c>
      <c r="B7" s="116">
        <f>'（１）收支狀況'!J33</f>
        <v>1361947</v>
      </c>
      <c r="C7" s="116">
        <v>1410513</v>
      </c>
      <c r="D7" s="116">
        <f t="shared" ref="D7:D11" si="0">B7-C7</f>
        <v>-48566</v>
      </c>
      <c r="E7" s="215">
        <f>'（１）收支狀況'!K6:K6</f>
        <v>6323244</v>
      </c>
      <c r="G7" s="216" t="s">
        <v>405</v>
      </c>
      <c r="H7" s="218">
        <v>0.8</v>
      </c>
      <c r="I7" s="117">
        <f>'（２）ＫＰＩ達成進度'!J33</f>
        <v>0.98637275879217257</v>
      </c>
      <c r="J7" s="117">
        <v>0.98637275879217257</v>
      </c>
      <c r="K7" s="218">
        <f>'（２）ＫＰＩ達成進度'!K6</f>
        <v>0.97111012997956991</v>
      </c>
      <c r="L7" s="100" t="s">
        <v>4</v>
      </c>
    </row>
    <row r="8" spans="1:16" ht="18" customHeight="1">
      <c r="A8" s="106" t="s">
        <v>403</v>
      </c>
      <c r="B8" s="116">
        <f>'（１）收支狀況'!M33/1000</f>
        <v>28602.573767007634</v>
      </c>
      <c r="C8" s="116">
        <v>29868.294429315876</v>
      </c>
      <c r="D8" s="116">
        <f>B8-C8</f>
        <v>-1265.720662308242</v>
      </c>
      <c r="E8" s="215">
        <f>'（１）收支狀況'!N6:N6/1000</f>
        <v>134056.59496639523</v>
      </c>
      <c r="G8" s="216" t="s">
        <v>200</v>
      </c>
      <c r="H8" s="117">
        <v>2.5000000000000001E-3</v>
      </c>
      <c r="I8" s="219">
        <f>'（２）ＫＰＩ達成進度'!M33</f>
        <v>2.0021910448978601E-3</v>
      </c>
      <c r="J8" s="219">
        <v>2.0065977899126211E-3</v>
      </c>
      <c r="K8" s="219">
        <f>'（２）ＫＰＩ達成進度'!N6</f>
        <v>2.0067058203413666E-3</v>
      </c>
      <c r="L8" s="100" t="s">
        <v>55</v>
      </c>
    </row>
    <row r="9" spans="1:16" ht="18" customHeight="1">
      <c r="A9" s="106" t="s">
        <v>6</v>
      </c>
      <c r="B9" s="218">
        <f>'（１）收支狀況'!P33</f>
        <v>0.67320977874183685</v>
      </c>
      <c r="C9" s="218">
        <v>0.67144464441454765</v>
      </c>
      <c r="D9" s="218">
        <f t="shared" si="0"/>
        <v>1.7651343272891973E-3</v>
      </c>
      <c r="E9" s="218">
        <f>'（１）收支狀況'!Q6</f>
        <v>0.67233825485427423</v>
      </c>
      <c r="G9" s="216" t="s">
        <v>201</v>
      </c>
      <c r="H9" s="117">
        <v>2.5000000000000001E-3</v>
      </c>
      <c r="I9" s="117">
        <f>'（２）ＫＰＩ達成進度'!P33</f>
        <v>6.0080319327112108E-3</v>
      </c>
      <c r="J9" s="117">
        <v>6.0087082506956133E-3</v>
      </c>
      <c r="K9" s="117">
        <f>'（２）ＫＰＩ達成進度'!Q6</f>
        <v>6.0144112131268234E-3</v>
      </c>
      <c r="L9" s="100" t="s">
        <v>98</v>
      </c>
    </row>
    <row r="10" spans="1:16" ht="18" customHeight="1">
      <c r="A10" s="106" t="s">
        <v>64</v>
      </c>
      <c r="B10" s="116">
        <f>'（１）收支狀況'!S33/1000</f>
        <v>6007.6023720000003</v>
      </c>
      <c r="C10" s="116">
        <v>6104.7997160000014</v>
      </c>
      <c r="D10" s="116">
        <f t="shared" si="0"/>
        <v>-97.197344000001067</v>
      </c>
      <c r="E10" s="215">
        <f>'（１）收支狀況'!T6/1000</f>
        <v>27431.996822000001</v>
      </c>
      <c r="G10" s="216" t="s">
        <v>406</v>
      </c>
      <c r="H10" s="218">
        <v>0.8</v>
      </c>
      <c r="I10" s="218">
        <f>'（２）ＫＰＩ達成進度'!S33</f>
        <v>0.90000000000000013</v>
      </c>
      <c r="J10" s="218">
        <v>0.90000000000000013</v>
      </c>
      <c r="K10" s="218">
        <f>'（２）ＫＰＩ達成進度'!T6</f>
        <v>0.89999999999999947</v>
      </c>
      <c r="L10" s="100" t="s">
        <v>7</v>
      </c>
      <c r="M10" s="310"/>
      <c r="N10" s="310"/>
      <c r="O10" s="310"/>
      <c r="P10" s="310"/>
    </row>
    <row r="11" spans="1:16" ht="18" customHeight="1">
      <c r="A11" s="106" t="s">
        <v>65</v>
      </c>
      <c r="B11" s="218">
        <f>'（１）收支狀況'!V33</f>
        <v>0.14139904669306871</v>
      </c>
      <c r="C11" s="218">
        <v>0.13723699839078959</v>
      </c>
      <c r="D11" s="218">
        <f t="shared" si="0"/>
        <v>4.1620483022791199E-3</v>
      </c>
      <c r="E11" s="218">
        <f>'（１）收支狀況'!W6</f>
        <v>0.13758055599647925</v>
      </c>
      <c r="G11" s="216" t="s">
        <v>407</v>
      </c>
      <c r="H11" s="218">
        <v>1</v>
      </c>
      <c r="I11" s="307">
        <f>31/52*100%</f>
        <v>0.59615384615384615</v>
      </c>
      <c r="J11" s="307">
        <v>0.57692307692307687</v>
      </c>
      <c r="K11" s="307">
        <f>'（２）ＫＰＩ達成進度'!W6</f>
        <v>0.55521091811414403</v>
      </c>
      <c r="L11" s="100" t="s">
        <v>62</v>
      </c>
      <c r="M11" s="311"/>
      <c r="N11" s="311"/>
      <c r="O11" s="311"/>
      <c r="P11" s="311"/>
    </row>
    <row r="12" spans="1:16" ht="9.6" customHeight="1">
      <c r="L12" s="98"/>
    </row>
    <row r="13" spans="1:16" ht="15.75" customHeight="1">
      <c r="A13" s="109" t="s">
        <v>32</v>
      </c>
      <c r="E13" s="309" t="s">
        <v>23</v>
      </c>
      <c r="G13" s="109" t="s">
        <v>33</v>
      </c>
      <c r="K13" s="309" t="s">
        <v>423</v>
      </c>
      <c r="L13" s="98"/>
    </row>
    <row r="14" spans="1:16" s="105" customFormat="1" ht="14.25">
      <c r="A14" s="119"/>
      <c r="B14" s="157" t="s">
        <v>328</v>
      </c>
      <c r="C14" s="119" t="s">
        <v>66</v>
      </c>
      <c r="D14" s="157" t="s">
        <v>331</v>
      </c>
      <c r="E14" s="119" t="s">
        <v>68</v>
      </c>
      <c r="G14" s="119"/>
      <c r="H14" s="157" t="s">
        <v>328</v>
      </c>
      <c r="I14" s="119" t="s">
        <v>66</v>
      </c>
      <c r="J14" s="157" t="s">
        <v>331</v>
      </c>
      <c r="K14" s="119" t="s">
        <v>68</v>
      </c>
    </row>
    <row r="15" spans="1:16" ht="18" customHeight="1">
      <c r="A15" s="106" t="s">
        <v>380</v>
      </c>
      <c r="B15" s="116">
        <f>SUM('（３）業績構成比'!M35:M41)/1000</f>
        <v>12516.834719999999</v>
      </c>
      <c r="C15" s="218">
        <f>IFERROR(B15/$B$6,"")</f>
        <v>0.29460480028965264</v>
      </c>
      <c r="D15" s="218">
        <v>0.29491357150282277</v>
      </c>
      <c r="E15" s="218">
        <f>IFERROR(C15-D15,"")</f>
        <v>-3.0877121317013367E-4</v>
      </c>
      <c r="G15" s="106" t="s">
        <v>381</v>
      </c>
      <c r="H15" s="116">
        <f>SUM('（４）訂單數量構成比'!M35:M41)</f>
        <v>657060</v>
      </c>
      <c r="I15" s="218">
        <f>IFERROR(H15/$B$7,"")</f>
        <v>0.48244168091709883</v>
      </c>
      <c r="J15" s="218">
        <v>0.4820423491311317</v>
      </c>
      <c r="K15" s="218">
        <f t="shared" ref="K15:K23" si="1">IFERROR(I15-J15,"")</f>
        <v>3.9933178596712748E-4</v>
      </c>
      <c r="L15" s="98"/>
    </row>
    <row r="16" spans="1:16" ht="18" customHeight="1">
      <c r="A16" s="106" t="s">
        <v>223</v>
      </c>
      <c r="B16" s="116">
        <f>SUM('（３）業績構成比'!S35:S41)/1000</f>
        <v>2125.5042400000002</v>
      </c>
      <c r="C16" s="218">
        <f t="shared" ref="C16:C23" si="2">IFERROR(B16/$B$6,"")</f>
        <v>5.0027324491188137E-2</v>
      </c>
      <c r="D16" s="218">
        <v>5.1577227255067012E-2</v>
      </c>
      <c r="E16" s="218">
        <f t="shared" ref="E16:E23" si="3">IFERROR(C16-D16,"")</f>
        <v>-1.5499027638788757E-3</v>
      </c>
      <c r="G16" s="106" t="s">
        <v>254</v>
      </c>
      <c r="H16" s="116">
        <f>SUM('（４）訂單數量構成比'!S35:S41)</f>
        <v>73010</v>
      </c>
      <c r="I16" s="218">
        <f>IFERROR(H16/$B$7,"")</f>
        <v>5.3607078689552529E-2</v>
      </c>
      <c r="J16" s="218">
        <v>5.576552644321605E-2</v>
      </c>
      <c r="K16" s="218">
        <f t="shared" si="1"/>
        <v>-2.1584477536635213E-3</v>
      </c>
      <c r="L16" s="98"/>
    </row>
    <row r="17" spans="1:17" ht="18" customHeight="1">
      <c r="A17" s="106" t="s">
        <v>219</v>
      </c>
      <c r="B17" s="116">
        <f>SUM('（３）業績構成比'!U35:U41)/1000</f>
        <v>453.41612999999995</v>
      </c>
      <c r="C17" s="218">
        <f t="shared" si="2"/>
        <v>1.0671912781057891E-2</v>
      </c>
      <c r="D17" s="218">
        <v>2.4936805650399432E-2</v>
      </c>
      <c r="E17" s="218">
        <f t="shared" si="3"/>
        <v>-1.4264892869341541E-2</v>
      </c>
      <c r="G17" s="106" t="s">
        <v>235</v>
      </c>
      <c r="H17" s="116">
        <f>SUM('（４）訂單數量構成比'!U35:U41)</f>
        <v>15129</v>
      </c>
      <c r="I17" s="218">
        <f t="shared" ref="I17:I23" si="4">IFERROR(H17/$B$7,"")</f>
        <v>1.1108361779129437E-2</v>
      </c>
      <c r="J17" s="218">
        <v>2.6660512877229772E-2</v>
      </c>
      <c r="K17" s="218">
        <f t="shared" si="1"/>
        <v>-1.5552151098100335E-2</v>
      </c>
      <c r="L17" s="98"/>
    </row>
    <row r="18" spans="1:17" ht="18" customHeight="1">
      <c r="A18" s="106" t="s">
        <v>221</v>
      </c>
      <c r="B18" s="116">
        <f>SUM('（３）業績構成比'!W35:W41)/1000</f>
        <v>2040.1967200000001</v>
      </c>
      <c r="C18" s="218">
        <f t="shared" si="2"/>
        <v>4.8019468235592742E-2</v>
      </c>
      <c r="D18" s="218">
        <v>3.2662974536239363E-2</v>
      </c>
      <c r="E18" s="218">
        <f t="shared" si="3"/>
        <v>1.535649369935338E-2</v>
      </c>
      <c r="G18" s="106" t="s">
        <v>220</v>
      </c>
      <c r="H18" s="116">
        <f>SUM('（４）訂單數量構成比'!W35:W41)</f>
        <v>86434</v>
      </c>
      <c r="I18" s="218">
        <f t="shared" si="4"/>
        <v>6.3463556217679545E-2</v>
      </c>
      <c r="J18" s="218">
        <v>4.3347349510426347E-2</v>
      </c>
      <c r="K18" s="218">
        <f t="shared" si="1"/>
        <v>2.0116206707253198E-2</v>
      </c>
      <c r="L18" s="98"/>
    </row>
    <row r="19" spans="1:17" ht="18" customHeight="1">
      <c r="A19" s="106" t="s">
        <v>225</v>
      </c>
      <c r="B19" s="116">
        <f>SUM('（３）業績構成比'!AC35:AC41)/1000</f>
        <v>6163.0962499999996</v>
      </c>
      <c r="C19" s="218">
        <f t="shared" si="2"/>
        <v>0.14505885717225137</v>
      </c>
      <c r="D19" s="218">
        <v>0.14852051607437017</v>
      </c>
      <c r="E19" s="218">
        <f t="shared" si="3"/>
        <v>-3.4616589021188027E-3</v>
      </c>
      <c r="G19" s="106" t="s">
        <v>224</v>
      </c>
      <c r="H19" s="116">
        <f>SUM('（４）訂單數量構成比'!AC35:AC41)</f>
        <v>114674</v>
      </c>
      <c r="I19" s="218">
        <f t="shared" si="4"/>
        <v>8.4198577477684527E-2</v>
      </c>
      <c r="J19" s="218">
        <v>8.7405078861378799E-2</v>
      </c>
      <c r="K19" s="218">
        <f t="shared" si="1"/>
        <v>-3.2065013836942713E-3</v>
      </c>
      <c r="L19" s="98"/>
    </row>
    <row r="20" spans="1:17" ht="18" customHeight="1">
      <c r="A20" s="106" t="s">
        <v>227</v>
      </c>
      <c r="B20" s="116">
        <f>SUM('（３）業績構成比'!AE35:AE41)/1000</f>
        <v>9585.4391899999991</v>
      </c>
      <c r="C20" s="218">
        <f t="shared" si="2"/>
        <v>0.22560946608541296</v>
      </c>
      <c r="D20" s="218">
        <v>0.21920657212495551</v>
      </c>
      <c r="E20" s="218">
        <f t="shared" si="3"/>
        <v>6.4028939604574564E-3</v>
      </c>
      <c r="G20" s="106" t="s">
        <v>226</v>
      </c>
      <c r="H20" s="116">
        <f>SUM('（４）訂單數量構成比'!AE35:AE41)</f>
        <v>154123</v>
      </c>
      <c r="I20" s="218">
        <f t="shared" si="4"/>
        <v>0.11316372810395706</v>
      </c>
      <c r="J20" s="218">
        <v>0.11086533764665764</v>
      </c>
      <c r="K20" s="218">
        <f t="shared" si="1"/>
        <v>2.2983904572994179E-3</v>
      </c>
      <c r="L20" s="98"/>
    </row>
    <row r="21" spans="1:17" ht="18" customHeight="1">
      <c r="A21" s="106" t="s">
        <v>230</v>
      </c>
      <c r="B21" s="116">
        <f>SUM('（３）業績構成比'!AG35:AG41)/1000</f>
        <v>0</v>
      </c>
      <c r="C21" s="218">
        <f t="shared" si="2"/>
        <v>0</v>
      </c>
      <c r="D21" s="218">
        <v>0</v>
      </c>
      <c r="E21" s="218">
        <f t="shared" si="3"/>
        <v>0</v>
      </c>
      <c r="G21" s="106" t="s">
        <v>236</v>
      </c>
      <c r="H21" s="116">
        <f>SUM('（４）訂單數量構成比'!AG35:AG41)</f>
        <v>0</v>
      </c>
      <c r="I21" s="218">
        <f t="shared" si="4"/>
        <v>0</v>
      </c>
      <c r="J21" s="218">
        <v>0</v>
      </c>
      <c r="K21" s="218">
        <f t="shared" si="1"/>
        <v>0</v>
      </c>
      <c r="L21" s="98"/>
    </row>
    <row r="22" spans="1:17" ht="18" customHeight="1">
      <c r="A22" s="106" t="s">
        <v>231</v>
      </c>
      <c r="B22" s="116">
        <f>SUM('（３）業績構成比'!AI35:AI41)/1000</f>
        <v>7187.9826099999991</v>
      </c>
      <c r="C22" s="218">
        <f t="shared" si="2"/>
        <v>0.16918128493946796</v>
      </c>
      <c r="D22" s="218">
        <v>0.16966314431735155</v>
      </c>
      <c r="E22" s="218">
        <f t="shared" si="3"/>
        <v>-4.8185937788358668E-4</v>
      </c>
      <c r="G22" s="106" t="s">
        <v>237</v>
      </c>
      <c r="H22" s="116">
        <f>SUM('（４）訂單數量構成比'!AI35:AI41)</f>
        <v>185562</v>
      </c>
      <c r="I22" s="218">
        <f t="shared" si="4"/>
        <v>0.13624759260088681</v>
      </c>
      <c r="J22" s="218">
        <v>0.13675946269194258</v>
      </c>
      <c r="K22" s="218">
        <f t="shared" si="1"/>
        <v>-5.1187009105577164E-4</v>
      </c>
      <c r="L22" s="98"/>
    </row>
    <row r="23" spans="1:17" ht="18" customHeight="1">
      <c r="A23" s="106" t="s">
        <v>233</v>
      </c>
      <c r="B23" s="116">
        <f>SUM('（３）業績構成比'!AK35:AK41)/1000</f>
        <v>2414.3962999999999</v>
      </c>
      <c r="C23" s="218">
        <f t="shared" si="2"/>
        <v>5.6826886005376304E-2</v>
      </c>
      <c r="D23" s="218">
        <v>5.8519188538794072E-2</v>
      </c>
      <c r="E23" s="218">
        <f t="shared" si="3"/>
        <v>-1.692302533417768E-3</v>
      </c>
      <c r="G23" s="106" t="s">
        <v>232</v>
      </c>
      <c r="H23" s="116">
        <f>SUM('（４）訂單數量構成比'!AK35:AK41)</f>
        <v>75955</v>
      </c>
      <c r="I23" s="218">
        <f t="shared" si="4"/>
        <v>5.5769424214011265E-2</v>
      </c>
      <c r="J23" s="218">
        <v>5.715438283801709E-2</v>
      </c>
      <c r="K23" s="218">
        <f t="shared" si="1"/>
        <v>-1.3849586240058248E-3</v>
      </c>
      <c r="L23" s="98"/>
    </row>
    <row r="24" spans="1:17" ht="15.75" customHeight="1">
      <c r="B24" s="101"/>
      <c r="C24" s="111">
        <f>SUM(C15:C23)</f>
        <v>1</v>
      </c>
      <c r="D24" s="111">
        <f>SUM(D15:D23)</f>
        <v>0.99999999999999989</v>
      </c>
      <c r="I24" s="111">
        <f>SUM(I15:I23)</f>
        <v>1</v>
      </c>
      <c r="J24" s="111">
        <f>SUM(J15:J23)</f>
        <v>1</v>
      </c>
      <c r="L24" s="98"/>
    </row>
    <row r="25" spans="1:17" ht="9.6" customHeight="1">
      <c r="A25" s="112"/>
      <c r="L25" s="98"/>
    </row>
    <row r="26" spans="1:17" ht="15.75" customHeight="1">
      <c r="A26" s="110" t="s">
        <v>798</v>
      </c>
      <c r="L26" s="98"/>
    </row>
    <row r="27" spans="1:17" ht="15.75" customHeight="1">
      <c r="A27" s="106" t="s">
        <v>188</v>
      </c>
      <c r="B27" s="158" t="s">
        <v>328</v>
      </c>
      <c r="C27" s="158" t="s">
        <v>330</v>
      </c>
      <c r="D27" s="106" t="s">
        <v>2</v>
      </c>
      <c r="E27" s="106" t="s">
        <v>3</v>
      </c>
      <c r="L27" s="98"/>
    </row>
    <row r="28" spans="1:17" ht="18" customHeight="1">
      <c r="A28" s="106" t="s">
        <v>381</v>
      </c>
      <c r="B28" s="209">
        <f>'（５-1）品群別人時生產性(18℃-飯糰)'!L175</f>
        <v>777.98601036720368</v>
      </c>
      <c r="C28" s="209">
        <v>775.16269199566943</v>
      </c>
      <c r="D28" s="220">
        <f>B28-C28</f>
        <v>2.823318371534242</v>
      </c>
      <c r="E28" s="221">
        <f>'（５-1）品群別人時生產性(18℃-飯糰)'!C1</f>
        <v>771.87393132465104</v>
      </c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2"/>
    </row>
    <row r="29" spans="1:17" ht="18" customHeight="1">
      <c r="A29" s="106" t="s">
        <v>222</v>
      </c>
      <c r="B29" s="209">
        <f>'（５-2）品群別人時生產性(18℃-壽司手卷)'!L87</f>
        <v>295.72171351408798</v>
      </c>
      <c r="C29" s="209">
        <v>288.41668194301246</v>
      </c>
      <c r="D29" s="220">
        <f>B29-C29</f>
        <v>7.3050315710755171</v>
      </c>
      <c r="E29" s="221">
        <f>'（５-2）品群別人時生產性(18℃-壽司手卷)'!C1</f>
        <v>296.14735806418179</v>
      </c>
      <c r="G29" s="123"/>
      <c r="H29" s="123"/>
      <c r="I29" s="124"/>
      <c r="J29" s="1"/>
      <c r="K29" s="125"/>
      <c r="L29" s="67"/>
      <c r="M29" s="66"/>
      <c r="N29" s="67"/>
      <c r="O29" s="67"/>
      <c r="P29" s="67"/>
      <c r="Q29" s="67"/>
    </row>
    <row r="30" spans="1:17" ht="18" customHeight="1">
      <c r="A30" s="106" t="s">
        <v>235</v>
      </c>
      <c r="B30" s="209">
        <f>'（５-3）品群別人時生產性(4℃-飯糰)'!L87</f>
        <v>119.39248251748248</v>
      </c>
      <c r="C30" s="209">
        <v>117.10996718313936</v>
      </c>
      <c r="D30" s="220">
        <f>B30-C30</f>
        <v>2.2825153343431168</v>
      </c>
      <c r="E30" s="221">
        <f>'（５-3）品群別人時生產性(4℃-飯糰)'!C1</f>
        <v>117.05022912035081</v>
      </c>
      <c r="L30" s="98"/>
    </row>
    <row r="31" spans="1:17" ht="18" customHeight="1">
      <c r="A31" s="106" t="s">
        <v>220</v>
      </c>
      <c r="B31" s="209">
        <f>'（５-4）品群別人時生產性(4℃-壽司手卷)'!L87</f>
        <v>438.24248389844593</v>
      </c>
      <c r="C31" s="209">
        <v>452.77254518488434</v>
      </c>
      <c r="D31" s="220">
        <f>B31-C31</f>
        <v>-14.530061286438411</v>
      </c>
      <c r="E31" s="221">
        <f>'（５-4）品群別人時生產性(4℃-壽司手卷)'!C1</f>
        <v>437.64998264612387</v>
      </c>
      <c r="L31" s="98"/>
    </row>
    <row r="32" spans="1:17" ht="18" customHeight="1">
      <c r="A32" s="106" t="s">
        <v>225</v>
      </c>
      <c r="B32" s="209">
        <f>'（５-5）品群別人時生產性(微波主食) '!L87</f>
        <v>84.597094492730079</v>
      </c>
      <c r="C32" s="209">
        <v>84.372195591997368</v>
      </c>
      <c r="D32" s="220">
        <f t="shared" ref="D32:D36" si="5">B32-C32</f>
        <v>0.22489890073271113</v>
      </c>
      <c r="E32" s="221">
        <f>'（５-5）品群別人時生產性(微波主食) '!C1</f>
        <v>84.954232333344365</v>
      </c>
      <c r="L32" s="98"/>
    </row>
    <row r="33" spans="1:12" ht="18" customHeight="1">
      <c r="A33" s="106" t="s">
        <v>226</v>
      </c>
      <c r="B33" s="209">
        <f>'（５-6）品群別人時生產性(便當)'!L87</f>
        <v>79.776973679343911</v>
      </c>
      <c r="C33" s="209">
        <v>79.541627983101279</v>
      </c>
      <c r="D33" s="220">
        <f t="shared" si="5"/>
        <v>0.23534569624263213</v>
      </c>
      <c r="E33" s="221">
        <f>'（５-6）品群別人時生產性(便當)'!C1</f>
        <v>79.472250627696354</v>
      </c>
      <c r="L33" s="98"/>
    </row>
    <row r="34" spans="1:12" ht="18" customHeight="1">
      <c r="A34" s="106" t="s">
        <v>236</v>
      </c>
      <c r="B34" s="209">
        <f>'（５-7）品群別人時生產性(熱食義麵) '!L87</f>
        <v>0</v>
      </c>
      <c r="C34" s="209">
        <v>0</v>
      </c>
      <c r="D34" s="220">
        <f t="shared" si="5"/>
        <v>0</v>
      </c>
      <c r="E34" s="221">
        <f>'（５-7）品群別人時生產性(熱食義麵) '!C1</f>
        <v>0</v>
      </c>
      <c r="L34" s="98"/>
    </row>
    <row r="35" spans="1:12" ht="18" customHeight="1">
      <c r="A35" s="106" t="s">
        <v>237</v>
      </c>
      <c r="B35" s="209">
        <f>'（５-8）品群別人時生產性(季節調理麵) '!L87</f>
        <v>154.82710267055958</v>
      </c>
      <c r="C35" s="209">
        <v>153.1937316294038</v>
      </c>
      <c r="D35" s="220">
        <f t="shared" si="5"/>
        <v>1.6333710411557831</v>
      </c>
      <c r="E35" s="221">
        <f>'（５-8）品群別人時生產性(季節調理麵) '!C1</f>
        <v>155.73662529229455</v>
      </c>
      <c r="L35" s="98"/>
    </row>
    <row r="36" spans="1:12" ht="18" customHeight="1">
      <c r="A36" s="102" t="s">
        <v>232</v>
      </c>
      <c r="B36" s="209">
        <f>'（５-9）品群別人時生產性(微波小吃)'!L87</f>
        <v>117.75467132365129</v>
      </c>
      <c r="C36" s="209">
        <v>117.65557156767821</v>
      </c>
      <c r="D36" s="220">
        <f t="shared" si="5"/>
        <v>9.9099755973085735E-2</v>
      </c>
      <c r="E36" s="222">
        <f>'（５-9）品群別人時生產性(微波小吃)'!C1</f>
        <v>117.58780675275712</v>
      </c>
      <c r="L36" s="98"/>
    </row>
    <row r="37" spans="1:12" ht="15.75" customHeight="1">
      <c r="L37" s="98"/>
    </row>
    <row r="38" spans="1:12" ht="15.75" customHeight="1">
      <c r="L38" s="98"/>
    </row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tabColor rgb="FFFFFFCC"/>
    <pageSetUpPr fitToPage="1"/>
  </sheetPr>
  <dimension ref="B2:W67"/>
  <sheetViews>
    <sheetView zoomScale="80" zoomScaleNormal="80" workbookViewId="0">
      <selection activeCell="Q6" sqref="Q6:Q36"/>
    </sheetView>
  </sheetViews>
  <sheetFormatPr defaultColWidth="8.85546875" defaultRowHeight="12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559" t="s">
        <v>126</v>
      </c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59"/>
      <c r="N2" s="559"/>
      <c r="O2" s="559"/>
      <c r="P2" s="559"/>
      <c r="Q2" s="559"/>
      <c r="R2" s="559"/>
      <c r="S2" s="559"/>
      <c r="T2" s="559"/>
      <c r="U2" s="559"/>
      <c r="V2" s="559"/>
      <c r="W2" s="559"/>
    </row>
    <row r="3" spans="2:23" s="77" customFormat="1" ht="23.45" customHeight="1">
      <c r="B3" s="563" t="s">
        <v>122</v>
      </c>
      <c r="C3" s="564" t="s">
        <v>119</v>
      </c>
      <c r="D3" s="565" t="s">
        <v>105</v>
      </c>
      <c r="E3" s="565"/>
      <c r="F3" s="562" t="s">
        <v>123</v>
      </c>
      <c r="G3" s="562"/>
      <c r="H3" s="562"/>
      <c r="I3" s="560" t="s">
        <v>124</v>
      </c>
      <c r="J3" s="560"/>
      <c r="K3" s="560"/>
      <c r="L3" s="561" t="s">
        <v>125</v>
      </c>
      <c r="M3" s="561"/>
      <c r="N3" s="561"/>
      <c r="O3" s="558" t="s">
        <v>127</v>
      </c>
      <c r="P3" s="558"/>
      <c r="Q3" s="558"/>
      <c r="R3" s="566" t="s">
        <v>128</v>
      </c>
      <c r="S3" s="566"/>
      <c r="T3" s="566"/>
      <c r="U3" s="558" t="s">
        <v>129</v>
      </c>
      <c r="V3" s="558"/>
      <c r="W3" s="558"/>
    </row>
    <row r="4" spans="2:23" s="77" customFormat="1" ht="23.45" customHeight="1">
      <c r="B4" s="563"/>
      <c r="C4" s="564"/>
      <c r="D4" s="565"/>
      <c r="E4" s="565"/>
      <c r="F4" s="76" t="s">
        <v>116</v>
      </c>
      <c r="G4" s="76" t="s">
        <v>120</v>
      </c>
      <c r="H4" s="76" t="s">
        <v>121</v>
      </c>
      <c r="I4" s="86" t="s">
        <v>116</v>
      </c>
      <c r="J4" s="86" t="s">
        <v>120</v>
      </c>
      <c r="K4" s="86" t="s">
        <v>121</v>
      </c>
      <c r="L4" s="85" t="s">
        <v>116</v>
      </c>
      <c r="M4" s="85" t="s">
        <v>120</v>
      </c>
      <c r="N4" s="85" t="s">
        <v>121</v>
      </c>
      <c r="O4" s="79" t="s">
        <v>116</v>
      </c>
      <c r="P4" s="79" t="s">
        <v>120</v>
      </c>
      <c r="Q4" s="79" t="s">
        <v>121</v>
      </c>
      <c r="R4" s="79" t="s">
        <v>116</v>
      </c>
      <c r="S4" s="79" t="s">
        <v>120</v>
      </c>
      <c r="T4" s="79" t="s">
        <v>121</v>
      </c>
      <c r="U4" s="79" t="s">
        <v>116</v>
      </c>
      <c r="V4" s="79" t="s">
        <v>120</v>
      </c>
      <c r="W4" s="79" t="s">
        <v>121</v>
      </c>
    </row>
    <row r="5" spans="2:23" ht="13.5">
      <c r="B5" s="554">
        <v>46211</v>
      </c>
      <c r="C5" s="463"/>
      <c r="D5" s="80">
        <v>46203</v>
      </c>
      <c r="E5" s="80" t="s">
        <v>118</v>
      </c>
      <c r="F5" s="163">
        <v>7292751.3200000003</v>
      </c>
      <c r="G5" s="555">
        <f>SUM(F5:F11)</f>
        <v>46397166.829999998</v>
      </c>
      <c r="H5" s="460"/>
      <c r="I5" s="213">
        <v>229980</v>
      </c>
      <c r="J5" s="556">
        <f t="shared" ref="J5" si="0">SUM(I5:I11)</f>
        <v>1487035</v>
      </c>
      <c r="K5" s="461"/>
      <c r="L5" s="163">
        <v>4832312.3540379386</v>
      </c>
      <c r="M5" s="555">
        <f t="shared" ref="M5" si="1">SUM(L5:L11)</f>
        <v>31283826.455387834</v>
      </c>
      <c r="N5" s="460"/>
      <c r="O5" s="153">
        <f t="shared" ref="O5:O11" si="2">L5/F5</f>
        <v>0.66261855670103098</v>
      </c>
      <c r="P5" s="553">
        <f>M5/G5</f>
        <v>0.6742615679533257</v>
      </c>
      <c r="Q5" s="462"/>
      <c r="R5" s="164">
        <v>983789.54599999997</v>
      </c>
      <c r="S5" s="552">
        <f t="shared" ref="S5" si="3">SUM(R5:R11)</f>
        <v>6295557.1100000003</v>
      </c>
      <c r="T5" s="460"/>
      <c r="U5" s="153">
        <f t="shared" ref="U5:U11" si="4">R5/F5</f>
        <v>0.13489964251242287</v>
      </c>
      <c r="V5" s="553">
        <f>S5/G5</f>
        <v>0.13568839522178214</v>
      </c>
      <c r="W5" s="462"/>
    </row>
    <row r="6" spans="2:23">
      <c r="B6" s="554"/>
      <c r="C6" s="557" t="s">
        <v>698</v>
      </c>
      <c r="D6" s="80">
        <f t="shared" ref="D6:D7" si="5">D5+1</f>
        <v>46204</v>
      </c>
      <c r="E6" s="80" t="s">
        <v>112</v>
      </c>
      <c r="F6" s="163">
        <v>6821172.7800000003</v>
      </c>
      <c r="G6" s="555"/>
      <c r="H6" s="555">
        <f>SUM(F6:F36)</f>
        <v>199388617.26000002</v>
      </c>
      <c r="I6" s="213">
        <v>219467</v>
      </c>
      <c r="J6" s="556"/>
      <c r="K6" s="556">
        <f>SUM(I6:I36)</f>
        <v>6323244</v>
      </c>
      <c r="L6" s="163">
        <v>4619692.0062816506</v>
      </c>
      <c r="M6" s="555"/>
      <c r="N6" s="555">
        <f>SUM(L6:L36)</f>
        <v>134056594.96639524</v>
      </c>
      <c r="O6" s="153">
        <f t="shared" si="2"/>
        <v>0.67725773195876304</v>
      </c>
      <c r="P6" s="553"/>
      <c r="Q6" s="551">
        <f>N6/H6</f>
        <v>0.67233825485427423</v>
      </c>
      <c r="R6" s="164">
        <v>891137.81200000003</v>
      </c>
      <c r="S6" s="552"/>
      <c r="T6" s="555">
        <f>SUM(R6:R36)</f>
        <v>27431996.822000001</v>
      </c>
      <c r="U6" s="153">
        <f t="shared" si="4"/>
        <v>0.13064290272969745</v>
      </c>
      <c r="V6" s="553"/>
      <c r="W6" s="551">
        <f>T6/H6</f>
        <v>0.13758055599647925</v>
      </c>
    </row>
    <row r="7" spans="2:23">
      <c r="B7" s="554"/>
      <c r="C7" s="557"/>
      <c r="D7" s="80">
        <f t="shared" si="5"/>
        <v>46205</v>
      </c>
      <c r="E7" s="80" t="s">
        <v>113</v>
      </c>
      <c r="F7" s="163">
        <v>6343385.2199999997</v>
      </c>
      <c r="G7" s="555"/>
      <c r="H7" s="555"/>
      <c r="I7" s="213">
        <v>206563</v>
      </c>
      <c r="J7" s="556"/>
      <c r="K7" s="556"/>
      <c r="L7" s="163">
        <v>4244444.0651430916</v>
      </c>
      <c r="M7" s="555"/>
      <c r="N7" s="555"/>
      <c r="O7" s="153">
        <f t="shared" si="2"/>
        <v>0.66911340206185554</v>
      </c>
      <c r="P7" s="553"/>
      <c r="Q7" s="551"/>
      <c r="R7" s="164">
        <v>886674.37</v>
      </c>
      <c r="S7" s="552"/>
      <c r="T7" s="555"/>
      <c r="U7" s="153">
        <f t="shared" si="4"/>
        <v>0.13977936689142142</v>
      </c>
      <c r="V7" s="553"/>
      <c r="W7" s="551"/>
    </row>
    <row r="8" spans="2:23">
      <c r="B8" s="554"/>
      <c r="C8" s="557"/>
      <c r="D8" s="80">
        <f t="shared" ref="D8:D67" si="6">D7+1</f>
        <v>46206</v>
      </c>
      <c r="E8" s="80" t="s">
        <v>114</v>
      </c>
      <c r="F8" s="163">
        <v>5464679.9400000004</v>
      </c>
      <c r="G8" s="555"/>
      <c r="H8" s="555"/>
      <c r="I8" s="213">
        <v>176725</v>
      </c>
      <c r="J8" s="556"/>
      <c r="K8" s="556"/>
      <c r="L8" s="163">
        <v>3679588.7175377328</v>
      </c>
      <c r="M8" s="555"/>
      <c r="N8" s="555"/>
      <c r="O8" s="153">
        <f t="shared" si="2"/>
        <v>0.67334020618556711</v>
      </c>
      <c r="P8" s="553"/>
      <c r="Q8" s="551"/>
      <c r="R8" s="164">
        <v>824958.18599999999</v>
      </c>
      <c r="S8" s="552"/>
      <c r="T8" s="555"/>
      <c r="U8" s="153">
        <f t="shared" si="4"/>
        <v>0.15096184864579643</v>
      </c>
      <c r="V8" s="553"/>
      <c r="W8" s="551"/>
    </row>
    <row r="9" spans="2:23">
      <c r="B9" s="554"/>
      <c r="C9" s="557"/>
      <c r="D9" s="80">
        <f t="shared" si="6"/>
        <v>46207</v>
      </c>
      <c r="E9" s="80" t="s">
        <v>115</v>
      </c>
      <c r="F9" s="163">
        <v>6007602.6200000001</v>
      </c>
      <c r="G9" s="555"/>
      <c r="H9" s="555"/>
      <c r="I9" s="213">
        <v>192415</v>
      </c>
      <c r="J9" s="556"/>
      <c r="K9" s="556"/>
      <c r="L9" s="163">
        <v>4079843.4535039188</v>
      </c>
      <c r="M9" s="555"/>
      <c r="N9" s="555"/>
      <c r="O9" s="153">
        <f t="shared" si="2"/>
        <v>0.67911340206185589</v>
      </c>
      <c r="P9" s="553"/>
      <c r="Q9" s="551"/>
      <c r="R9" s="164">
        <v>838341.32799999998</v>
      </c>
      <c r="S9" s="552"/>
      <c r="T9" s="555"/>
      <c r="U9" s="153">
        <f t="shared" si="4"/>
        <v>0.13954673453418262</v>
      </c>
      <c r="V9" s="553"/>
      <c r="W9" s="551"/>
    </row>
    <row r="10" spans="2:23">
      <c r="B10" s="554"/>
      <c r="C10" s="557"/>
      <c r="D10" s="80">
        <f t="shared" si="6"/>
        <v>46208</v>
      </c>
      <c r="E10" s="80" t="s">
        <v>116</v>
      </c>
      <c r="F10" s="163">
        <v>7429288.9299999997</v>
      </c>
      <c r="G10" s="555"/>
      <c r="H10" s="555"/>
      <c r="I10" s="213">
        <v>234759</v>
      </c>
      <c r="J10" s="556"/>
      <c r="K10" s="556"/>
      <c r="L10" s="163">
        <v>5016225.2492929893</v>
      </c>
      <c r="M10" s="555"/>
      <c r="N10" s="555"/>
      <c r="O10" s="153">
        <f t="shared" si="2"/>
        <v>0.67519587628865974</v>
      </c>
      <c r="P10" s="553"/>
      <c r="Q10" s="551"/>
      <c r="R10" s="164">
        <v>943212.37199999997</v>
      </c>
      <c r="S10" s="552"/>
      <c r="T10" s="555"/>
      <c r="U10" s="153">
        <f t="shared" si="4"/>
        <v>0.12695863371139612</v>
      </c>
      <c r="V10" s="553"/>
      <c r="W10" s="551"/>
    </row>
    <row r="11" spans="2:23">
      <c r="B11" s="554"/>
      <c r="C11" s="557"/>
      <c r="D11" s="80">
        <f t="shared" si="6"/>
        <v>46209</v>
      </c>
      <c r="E11" s="80" t="s">
        <v>117</v>
      </c>
      <c r="F11" s="163">
        <v>7038286.0199999996</v>
      </c>
      <c r="G11" s="555"/>
      <c r="H11" s="555"/>
      <c r="I11" s="213">
        <v>227126</v>
      </c>
      <c r="J11" s="556"/>
      <c r="K11" s="556"/>
      <c r="L11" s="163">
        <v>4811720.6095905164</v>
      </c>
      <c r="M11" s="555"/>
      <c r="N11" s="555"/>
      <c r="O11" s="153">
        <f t="shared" si="2"/>
        <v>0.68364948453608265</v>
      </c>
      <c r="P11" s="553"/>
      <c r="Q11" s="551"/>
      <c r="R11" s="164">
        <v>927443.49600000004</v>
      </c>
      <c r="S11" s="552"/>
      <c r="T11" s="555"/>
      <c r="U11" s="153">
        <f t="shared" si="4"/>
        <v>0.13177121437869616</v>
      </c>
      <c r="V11" s="553"/>
      <c r="W11" s="551"/>
    </row>
    <row r="12" spans="2:23">
      <c r="B12" s="554">
        <f>B5+7</f>
        <v>46218</v>
      </c>
      <c r="C12" s="557"/>
      <c r="D12" s="80">
        <f t="shared" si="6"/>
        <v>46210</v>
      </c>
      <c r="E12" s="80" t="s">
        <v>118</v>
      </c>
      <c r="F12" s="163">
        <v>7860603.3600000013</v>
      </c>
      <c r="G12" s="555">
        <f>SUM(F12:F18)</f>
        <v>48409401.950000003</v>
      </c>
      <c r="H12" s="555"/>
      <c r="I12" s="213">
        <v>249215</v>
      </c>
      <c r="J12" s="556">
        <f t="shared" ref="J12" si="7">SUM(I12:I18)</f>
        <v>1514096</v>
      </c>
      <c r="K12" s="556"/>
      <c r="L12" s="163">
        <v>5271790.6286746403</v>
      </c>
      <c r="M12" s="555">
        <f t="shared" ref="M12" si="8">SUM(L12:L18)</f>
        <v>32519175.124987625</v>
      </c>
      <c r="N12" s="555"/>
      <c r="O12" s="153">
        <f t="shared" ref="O12:O18" si="9">L12/F12</f>
        <v>0.67065979381443308</v>
      </c>
      <c r="P12" s="553">
        <f>M12/G12</f>
        <v>0.67175329202734801</v>
      </c>
      <c r="Q12" s="551"/>
      <c r="R12" s="164">
        <v>992155.29599999997</v>
      </c>
      <c r="S12" s="552">
        <f t="shared" ref="S12" si="10">SUM(R12:R18)</f>
        <v>6474205.0580000002</v>
      </c>
      <c r="T12" s="555"/>
      <c r="U12" s="153">
        <f t="shared" ref="U12:U18" si="11">R12/F12</f>
        <v>0.12621872018740299</v>
      </c>
      <c r="V12" s="553">
        <f>S12/G12</f>
        <v>0.13373858790255103</v>
      </c>
      <c r="W12" s="551"/>
    </row>
    <row r="13" spans="2:23">
      <c r="B13" s="554"/>
      <c r="C13" s="557"/>
      <c r="D13" s="80">
        <f t="shared" si="6"/>
        <v>46211</v>
      </c>
      <c r="E13" s="80" t="s">
        <v>112</v>
      </c>
      <c r="F13" s="163">
        <v>7229874.9699999988</v>
      </c>
      <c r="G13" s="555"/>
      <c r="H13" s="555"/>
      <c r="I13" s="213">
        <v>230160</v>
      </c>
      <c r="J13" s="556"/>
      <c r="K13" s="556"/>
      <c r="L13" s="163">
        <v>4820463.2351523703</v>
      </c>
      <c r="M13" s="555"/>
      <c r="N13" s="555"/>
      <c r="O13" s="153">
        <f t="shared" si="9"/>
        <v>0.66674226804123715</v>
      </c>
      <c r="P13" s="553"/>
      <c r="Q13" s="551"/>
      <c r="R13" s="164">
        <v>938245.09600000002</v>
      </c>
      <c r="S13" s="552"/>
      <c r="T13" s="555"/>
      <c r="U13" s="153">
        <f t="shared" si="11"/>
        <v>0.12977335014688368</v>
      </c>
      <c r="V13" s="553"/>
      <c r="W13" s="551"/>
    </row>
    <row r="14" spans="2:23">
      <c r="B14" s="554"/>
      <c r="C14" s="557"/>
      <c r="D14" s="80">
        <f t="shared" si="6"/>
        <v>46212</v>
      </c>
      <c r="E14" s="80" t="s">
        <v>113</v>
      </c>
      <c r="F14" s="163">
        <v>6763681.4199999999</v>
      </c>
      <c r="G14" s="555"/>
      <c r="H14" s="555"/>
      <c r="I14" s="213">
        <v>211372</v>
      </c>
      <c r="J14" s="556"/>
      <c r="K14" s="556"/>
      <c r="L14" s="163">
        <v>4492897.408415257</v>
      </c>
      <c r="M14" s="555"/>
      <c r="N14" s="555"/>
      <c r="O14" s="153">
        <f t="shared" si="9"/>
        <v>0.66426804123711325</v>
      </c>
      <c r="P14" s="553"/>
      <c r="Q14" s="551"/>
      <c r="R14" s="164">
        <v>923989.09400000004</v>
      </c>
      <c r="S14" s="552"/>
      <c r="T14" s="555"/>
      <c r="U14" s="153">
        <f t="shared" si="11"/>
        <v>0.13661038074143947</v>
      </c>
      <c r="V14" s="553"/>
      <c r="W14" s="551"/>
    </row>
    <row r="15" spans="2:23">
      <c r="B15" s="554"/>
      <c r="C15" s="557"/>
      <c r="D15" s="80">
        <f t="shared" si="6"/>
        <v>46213</v>
      </c>
      <c r="E15" s="80" t="s">
        <v>114</v>
      </c>
      <c r="F15" s="163">
        <v>5383246.2599999998</v>
      </c>
      <c r="G15" s="555"/>
      <c r="H15" s="555"/>
      <c r="I15" s="213">
        <v>168721</v>
      </c>
      <c r="J15" s="556"/>
      <c r="K15" s="556"/>
      <c r="L15" s="163">
        <v>3666934.1585901021</v>
      </c>
      <c r="M15" s="555"/>
      <c r="N15" s="555"/>
      <c r="O15" s="153">
        <f t="shared" si="9"/>
        <v>0.68117525773195864</v>
      </c>
      <c r="P15" s="553"/>
      <c r="Q15" s="551"/>
      <c r="R15" s="164">
        <v>808018.27399999998</v>
      </c>
      <c r="S15" s="552"/>
      <c r="T15" s="555"/>
      <c r="U15" s="153">
        <f t="shared" si="11"/>
        <v>0.15009870159646013</v>
      </c>
      <c r="V15" s="553"/>
      <c r="W15" s="551"/>
    </row>
    <row r="16" spans="2:23">
      <c r="B16" s="554"/>
      <c r="C16" s="557"/>
      <c r="D16" s="80">
        <f t="shared" si="6"/>
        <v>46214</v>
      </c>
      <c r="E16" s="80" t="s">
        <v>115</v>
      </c>
      <c r="F16" s="163">
        <v>6085802.3499999996</v>
      </c>
      <c r="G16" s="555"/>
      <c r="H16" s="555"/>
      <c r="I16" s="213">
        <v>191243</v>
      </c>
      <c r="J16" s="556"/>
      <c r="K16" s="556"/>
      <c r="L16" s="163">
        <v>4159928.237261855</v>
      </c>
      <c r="M16" s="555"/>
      <c r="N16" s="555"/>
      <c r="O16" s="153">
        <f t="shared" si="9"/>
        <v>0.68354639175257725</v>
      </c>
      <c r="P16" s="553"/>
      <c r="Q16" s="551"/>
      <c r="R16" s="164">
        <v>846564.04</v>
      </c>
      <c r="S16" s="552"/>
      <c r="T16" s="555"/>
      <c r="U16" s="153">
        <f t="shared" si="11"/>
        <v>0.13910475419892662</v>
      </c>
      <c r="V16" s="553"/>
      <c r="W16" s="551"/>
    </row>
    <row r="17" spans="2:23">
      <c r="B17" s="554"/>
      <c r="C17" s="557"/>
      <c r="D17" s="80">
        <f t="shared" si="6"/>
        <v>46215</v>
      </c>
      <c r="E17" s="80" t="s">
        <v>116</v>
      </c>
      <c r="F17" s="163">
        <v>7790002.0999999996</v>
      </c>
      <c r="G17" s="555"/>
      <c r="H17" s="555"/>
      <c r="I17" s="213">
        <v>237620</v>
      </c>
      <c r="J17" s="556"/>
      <c r="K17" s="556"/>
      <c r="L17" s="163">
        <v>5212394.8071999997</v>
      </c>
      <c r="M17" s="555"/>
      <c r="N17" s="555"/>
      <c r="O17" s="153">
        <f t="shared" si="9"/>
        <v>0.66911340206185566</v>
      </c>
      <c r="P17" s="553"/>
      <c r="Q17" s="551"/>
      <c r="R17" s="164">
        <v>1014302.392</v>
      </c>
      <c r="S17" s="552"/>
      <c r="T17" s="555"/>
      <c r="U17" s="153">
        <f t="shared" si="11"/>
        <v>0.13020566348756185</v>
      </c>
      <c r="V17" s="553"/>
      <c r="W17" s="551"/>
    </row>
    <row r="18" spans="2:23">
      <c r="B18" s="554"/>
      <c r="C18" s="557"/>
      <c r="D18" s="80">
        <f t="shared" si="6"/>
        <v>46216</v>
      </c>
      <c r="E18" s="80" t="s">
        <v>117</v>
      </c>
      <c r="F18" s="163">
        <v>7296191.4900000002</v>
      </c>
      <c r="G18" s="555"/>
      <c r="H18" s="555"/>
      <c r="I18" s="213">
        <v>225765</v>
      </c>
      <c r="J18" s="556"/>
      <c r="K18" s="556"/>
      <c r="L18" s="163">
        <v>4894766.6496934015</v>
      </c>
      <c r="M18" s="555"/>
      <c r="N18" s="555"/>
      <c r="O18" s="153">
        <f t="shared" si="9"/>
        <v>0.67086597938144321</v>
      </c>
      <c r="P18" s="553"/>
      <c r="Q18" s="551"/>
      <c r="R18" s="164">
        <v>950930.86600000004</v>
      </c>
      <c r="S18" s="552"/>
      <c r="T18" s="555"/>
      <c r="U18" s="153">
        <f t="shared" si="11"/>
        <v>0.1303324984415945</v>
      </c>
      <c r="V18" s="553"/>
      <c r="W18" s="551"/>
    </row>
    <row r="19" spans="2:23">
      <c r="B19" s="554">
        <f>B12+7</f>
        <v>46225</v>
      </c>
      <c r="C19" s="557"/>
      <c r="D19" s="80">
        <f t="shared" si="6"/>
        <v>46217</v>
      </c>
      <c r="E19" s="80" t="s">
        <v>118</v>
      </c>
      <c r="F19" s="163">
        <v>6870172.4199999999</v>
      </c>
      <c r="G19" s="555">
        <f>SUM(F19:F25)</f>
        <v>43787408.530000001</v>
      </c>
      <c r="H19" s="555"/>
      <c r="I19" s="213">
        <v>215096</v>
      </c>
      <c r="J19" s="556">
        <f t="shared" ref="J19" si="12">SUM(I19:I25)</f>
        <v>1380106</v>
      </c>
      <c r="K19" s="556"/>
      <c r="L19" s="163">
        <v>4655710.4521265989</v>
      </c>
      <c r="M19" s="555">
        <f t="shared" ref="M19" si="13">SUM(L19:L25)</f>
        <v>29380856.101741448</v>
      </c>
      <c r="N19" s="555"/>
      <c r="O19" s="153">
        <f t="shared" ref="O19:O32" si="14">L19/F19</f>
        <v>0.67767010309278364</v>
      </c>
      <c r="P19" s="553">
        <f>M19/G19</f>
        <v>0.67098869488044233</v>
      </c>
      <c r="Q19" s="551"/>
      <c r="R19" s="164">
        <v>917953.902</v>
      </c>
      <c r="S19" s="552">
        <f t="shared" ref="S19" si="15">SUM(R19:R25)</f>
        <v>6117744.0419999994</v>
      </c>
      <c r="T19" s="555"/>
      <c r="U19" s="153">
        <f t="shared" ref="U19:U32" si="16">R19/F19</f>
        <v>0.13361439071422898</v>
      </c>
      <c r="V19" s="553">
        <f>S19/G19</f>
        <v>0.13971468619360194</v>
      </c>
      <c r="W19" s="551"/>
    </row>
    <row r="20" spans="2:23">
      <c r="B20" s="554"/>
      <c r="C20" s="557"/>
      <c r="D20" s="80">
        <f t="shared" si="6"/>
        <v>46218</v>
      </c>
      <c r="E20" s="80" t="s">
        <v>112</v>
      </c>
      <c r="F20" s="163">
        <v>6423738.620000001</v>
      </c>
      <c r="G20" s="555"/>
      <c r="H20" s="555"/>
      <c r="I20" s="213">
        <v>202647</v>
      </c>
      <c r="J20" s="556"/>
      <c r="K20" s="556"/>
      <c r="L20" s="163">
        <v>4261786.3417678364</v>
      </c>
      <c r="M20" s="555"/>
      <c r="N20" s="555"/>
      <c r="O20" s="153">
        <f t="shared" si="14"/>
        <v>0.66344329896907228</v>
      </c>
      <c r="P20" s="553"/>
      <c r="Q20" s="551"/>
      <c r="R20" s="164">
        <v>880401.01199999999</v>
      </c>
      <c r="S20" s="552"/>
      <c r="T20" s="555"/>
      <c r="U20" s="153">
        <f t="shared" si="16"/>
        <v>0.13705430187631137</v>
      </c>
      <c r="V20" s="553"/>
      <c r="W20" s="551"/>
    </row>
    <row r="21" spans="2:23">
      <c r="B21" s="554"/>
      <c r="C21" s="557"/>
      <c r="D21" s="80">
        <f t="shared" si="6"/>
        <v>46219</v>
      </c>
      <c r="E21" s="80" t="s">
        <v>113</v>
      </c>
      <c r="F21" s="163">
        <v>5886839.0900000008</v>
      </c>
      <c r="G21" s="555"/>
      <c r="H21" s="555"/>
      <c r="I21" s="213">
        <v>187259</v>
      </c>
      <c r="J21" s="556"/>
      <c r="K21" s="556"/>
      <c r="L21" s="163">
        <v>3929252.6808552574</v>
      </c>
      <c r="M21" s="555"/>
      <c r="N21" s="555"/>
      <c r="O21" s="153">
        <f t="shared" si="14"/>
        <v>0.66746391752577305</v>
      </c>
      <c r="P21" s="553"/>
      <c r="Q21" s="551"/>
      <c r="R21" s="164">
        <v>849047.79</v>
      </c>
      <c r="S21" s="552"/>
      <c r="T21" s="555"/>
      <c r="U21" s="153">
        <f t="shared" si="16"/>
        <v>0.14422812939498911</v>
      </c>
      <c r="V21" s="553"/>
      <c r="W21" s="551"/>
    </row>
    <row r="22" spans="2:23">
      <c r="B22" s="554"/>
      <c r="C22" s="557"/>
      <c r="D22" s="80">
        <f t="shared" si="6"/>
        <v>46220</v>
      </c>
      <c r="E22" s="80" t="s">
        <v>114</v>
      </c>
      <c r="F22" s="163">
        <v>5200104.47</v>
      </c>
      <c r="G22" s="555"/>
      <c r="H22" s="555"/>
      <c r="I22" s="213">
        <v>164894</v>
      </c>
      <c r="J22" s="556"/>
      <c r="K22" s="556"/>
      <c r="L22" s="163">
        <v>3489109.2713967003</v>
      </c>
      <c r="M22" s="555"/>
      <c r="N22" s="555"/>
      <c r="O22" s="153">
        <f t="shared" si="14"/>
        <v>0.67096907216494839</v>
      </c>
      <c r="P22" s="553"/>
      <c r="Q22" s="551"/>
      <c r="R22" s="164">
        <v>799003.17799999996</v>
      </c>
      <c r="S22" s="552"/>
      <c r="T22" s="555"/>
      <c r="U22" s="153">
        <f t="shared" si="16"/>
        <v>0.15365137039256443</v>
      </c>
      <c r="V22" s="553"/>
      <c r="W22" s="551"/>
    </row>
    <row r="23" spans="2:23">
      <c r="B23" s="554"/>
      <c r="C23" s="557"/>
      <c r="D23" s="80">
        <f t="shared" si="6"/>
        <v>46221</v>
      </c>
      <c r="E23" s="80" t="s">
        <v>115</v>
      </c>
      <c r="F23" s="163">
        <v>5391308.3200000003</v>
      </c>
      <c r="G23" s="555"/>
      <c r="H23" s="555"/>
      <c r="I23" s="213">
        <v>172065</v>
      </c>
      <c r="J23" s="556"/>
      <c r="K23" s="556"/>
      <c r="L23" s="163">
        <v>3661865.5397410318</v>
      </c>
      <c r="M23" s="555"/>
      <c r="N23" s="555"/>
      <c r="O23" s="153">
        <f t="shared" si="14"/>
        <v>0.67921649484536095</v>
      </c>
      <c r="P23" s="553"/>
      <c r="Q23" s="551"/>
      <c r="R23" s="164">
        <v>802686.22400000005</v>
      </c>
      <c r="S23" s="552"/>
      <c r="T23" s="555"/>
      <c r="U23" s="153">
        <f t="shared" si="16"/>
        <v>0.14888523830519862</v>
      </c>
      <c r="V23" s="553"/>
      <c r="W23" s="551"/>
    </row>
    <row r="24" spans="2:23">
      <c r="B24" s="554"/>
      <c r="C24" s="557"/>
      <c r="D24" s="80">
        <f t="shared" si="6"/>
        <v>46222</v>
      </c>
      <c r="E24" s="80" t="s">
        <v>116</v>
      </c>
      <c r="F24" s="163">
        <v>7176291.25</v>
      </c>
      <c r="G24" s="555"/>
      <c r="H24" s="555"/>
      <c r="I24" s="213">
        <v>222011</v>
      </c>
      <c r="J24" s="556"/>
      <c r="K24" s="556"/>
      <c r="L24" s="163">
        <v>4825427.0153608248</v>
      </c>
      <c r="M24" s="555"/>
      <c r="N24" s="555"/>
      <c r="O24" s="153">
        <f t="shared" si="14"/>
        <v>0.67241237113402064</v>
      </c>
      <c r="P24" s="553"/>
      <c r="Q24" s="551"/>
      <c r="R24" s="164">
        <v>944834.79599999997</v>
      </c>
      <c r="S24" s="552"/>
      <c r="T24" s="555"/>
      <c r="U24" s="153">
        <f t="shared" si="16"/>
        <v>0.13166059780530787</v>
      </c>
      <c r="V24" s="553"/>
      <c r="W24" s="551"/>
    </row>
    <row r="25" spans="2:23">
      <c r="B25" s="554"/>
      <c r="C25" s="557"/>
      <c r="D25" s="80">
        <f t="shared" si="6"/>
        <v>46223</v>
      </c>
      <c r="E25" s="80" t="s">
        <v>117</v>
      </c>
      <c r="F25" s="163">
        <v>6838954.3600000003</v>
      </c>
      <c r="G25" s="555"/>
      <c r="H25" s="555"/>
      <c r="I25" s="213">
        <v>216134</v>
      </c>
      <c r="J25" s="556"/>
      <c r="K25" s="556"/>
      <c r="L25" s="163">
        <v>4557704.8004931966</v>
      </c>
      <c r="M25" s="555"/>
      <c r="N25" s="555"/>
      <c r="O25" s="153">
        <f t="shared" si="14"/>
        <v>0.66643298969072173</v>
      </c>
      <c r="P25" s="553"/>
      <c r="Q25" s="551"/>
      <c r="R25" s="164">
        <v>923817.14</v>
      </c>
      <c r="S25" s="552"/>
      <c r="T25" s="555"/>
      <c r="U25" s="153">
        <f t="shared" si="16"/>
        <v>0.13508163549142327</v>
      </c>
      <c r="V25" s="553"/>
      <c r="W25" s="551"/>
    </row>
    <row r="26" spans="2:23">
      <c r="B26" s="554">
        <f>B19+7</f>
        <v>46232</v>
      </c>
      <c r="C26" s="557"/>
      <c r="D26" s="80">
        <f t="shared" si="6"/>
        <v>46224</v>
      </c>
      <c r="E26" s="80" t="s">
        <v>118</v>
      </c>
      <c r="F26" s="163">
        <v>7083157.2800000003</v>
      </c>
      <c r="G26" s="555">
        <f>SUM(F26:F32)</f>
        <v>44483628.960000001</v>
      </c>
      <c r="H26" s="555"/>
      <c r="I26" s="213">
        <v>222814</v>
      </c>
      <c r="J26" s="556">
        <f t="shared" ref="J26" si="17">SUM(I26:I32)</f>
        <v>1410513</v>
      </c>
      <c r="K26" s="556"/>
      <c r="L26" s="163">
        <v>4742356.3545600008</v>
      </c>
      <c r="M26" s="555">
        <f t="shared" ref="M26" si="18">SUM(L26:L32)</f>
        <v>29868294.429315876</v>
      </c>
      <c r="N26" s="555"/>
      <c r="O26" s="153">
        <f t="shared" si="14"/>
        <v>0.66952577319587636</v>
      </c>
      <c r="P26" s="553">
        <f>M26/G26</f>
        <v>0.67144464441454765</v>
      </c>
      <c r="Q26" s="551"/>
      <c r="R26" s="164">
        <v>946208.68200000003</v>
      </c>
      <c r="S26" s="552">
        <f t="shared" ref="S26" si="19">SUM(R26:R32)</f>
        <v>6104799.7160000009</v>
      </c>
      <c r="T26" s="555"/>
      <c r="U26" s="153">
        <f t="shared" si="16"/>
        <v>0.13358572238282981</v>
      </c>
      <c r="V26" s="553">
        <f>S26/G26</f>
        <v>0.13723699839078959</v>
      </c>
      <c r="W26" s="551"/>
    </row>
    <row r="27" spans="2:23">
      <c r="B27" s="554"/>
      <c r="C27" s="557"/>
      <c r="D27" s="80">
        <f t="shared" si="6"/>
        <v>46225</v>
      </c>
      <c r="E27" s="80" t="s">
        <v>112</v>
      </c>
      <c r="F27" s="163">
        <v>6640513.2299999995</v>
      </c>
      <c r="G27" s="555"/>
      <c r="H27" s="555"/>
      <c r="I27" s="213">
        <v>209827</v>
      </c>
      <c r="J27" s="556"/>
      <c r="K27" s="556"/>
      <c r="L27" s="163">
        <v>4424772.495956907</v>
      </c>
      <c r="M27" s="555"/>
      <c r="N27" s="555"/>
      <c r="O27" s="153">
        <f t="shared" si="14"/>
        <v>0.66632989690721656</v>
      </c>
      <c r="P27" s="553"/>
      <c r="Q27" s="551"/>
      <c r="R27" s="164">
        <v>921321.95200000005</v>
      </c>
      <c r="S27" s="552"/>
      <c r="T27" s="555"/>
      <c r="U27" s="153">
        <f t="shared" si="16"/>
        <v>0.13874258210008869</v>
      </c>
      <c r="V27" s="553"/>
      <c r="W27" s="551"/>
    </row>
    <row r="28" spans="2:23">
      <c r="B28" s="554"/>
      <c r="C28" s="557"/>
      <c r="D28" s="80">
        <f t="shared" si="6"/>
        <v>46226</v>
      </c>
      <c r="E28" s="80" t="s">
        <v>113</v>
      </c>
      <c r="F28" s="163">
        <v>6072830.7200000007</v>
      </c>
      <c r="G28" s="555"/>
      <c r="H28" s="555"/>
      <c r="I28" s="213">
        <v>194256</v>
      </c>
      <c r="J28" s="556"/>
      <c r="K28" s="556"/>
      <c r="L28" s="163">
        <v>3959485.6294400007</v>
      </c>
      <c r="M28" s="555"/>
      <c r="N28" s="555"/>
      <c r="O28" s="153">
        <f t="shared" si="14"/>
        <v>0.65200000000000002</v>
      </c>
      <c r="P28" s="553"/>
      <c r="Q28" s="551"/>
      <c r="R28" s="164">
        <v>858183.18599999999</v>
      </c>
      <c r="S28" s="552"/>
      <c r="T28" s="555"/>
      <c r="U28" s="153">
        <f t="shared" si="16"/>
        <v>0.14131518324291442</v>
      </c>
      <c r="V28" s="553"/>
      <c r="W28" s="551"/>
    </row>
    <row r="29" spans="2:23">
      <c r="B29" s="554"/>
      <c r="C29" s="557"/>
      <c r="D29" s="80">
        <f t="shared" si="6"/>
        <v>46227</v>
      </c>
      <c r="E29" s="80" t="s">
        <v>114</v>
      </c>
      <c r="F29" s="163">
        <v>5136735.6099999994</v>
      </c>
      <c r="G29" s="555"/>
      <c r="H29" s="555"/>
      <c r="I29" s="213">
        <v>164279</v>
      </c>
      <c r="J29" s="556"/>
      <c r="K29" s="556"/>
      <c r="L29" s="163">
        <v>3548266.3176540202</v>
      </c>
      <c r="M29" s="555"/>
      <c r="N29" s="555"/>
      <c r="O29" s="153">
        <f t="shared" si="14"/>
        <v>0.69076288659793816</v>
      </c>
      <c r="P29" s="553"/>
      <c r="Q29" s="551"/>
      <c r="R29" s="164">
        <v>819870.78</v>
      </c>
      <c r="S29" s="552"/>
      <c r="T29" s="555"/>
      <c r="U29" s="153">
        <f t="shared" si="16"/>
        <v>0.1596093009739312</v>
      </c>
      <c r="V29" s="553"/>
      <c r="W29" s="551"/>
    </row>
    <row r="30" spans="2:23">
      <c r="B30" s="554"/>
      <c r="C30" s="557"/>
      <c r="D30" s="80">
        <f t="shared" si="6"/>
        <v>46228</v>
      </c>
      <c r="E30" s="80" t="s">
        <v>115</v>
      </c>
      <c r="F30" s="163">
        <v>5426020.8499999996</v>
      </c>
      <c r="G30" s="555"/>
      <c r="H30" s="555"/>
      <c r="I30" s="213">
        <v>175112</v>
      </c>
      <c r="J30" s="556"/>
      <c r="K30" s="556"/>
      <c r="L30" s="163">
        <v>3629504.5034164945</v>
      </c>
      <c r="M30" s="555"/>
      <c r="N30" s="555"/>
      <c r="O30" s="153">
        <f t="shared" si="14"/>
        <v>0.6689072164948453</v>
      </c>
      <c r="P30" s="553"/>
      <c r="Q30" s="551"/>
      <c r="R30" s="164">
        <v>811372.91</v>
      </c>
      <c r="S30" s="552"/>
      <c r="T30" s="555"/>
      <c r="U30" s="153">
        <f t="shared" si="16"/>
        <v>0.14953368820910448</v>
      </c>
      <c r="V30" s="553"/>
      <c r="W30" s="551"/>
    </row>
    <row r="31" spans="2:23">
      <c r="B31" s="554"/>
      <c r="C31" s="557"/>
      <c r="D31" s="80">
        <f t="shared" si="6"/>
        <v>46229</v>
      </c>
      <c r="E31" s="80" t="s">
        <v>116</v>
      </c>
      <c r="F31" s="163">
        <v>7251453.3400000008</v>
      </c>
      <c r="G31" s="555"/>
      <c r="H31" s="555"/>
      <c r="I31" s="213">
        <v>225956</v>
      </c>
      <c r="J31" s="556"/>
      <c r="K31" s="556"/>
      <c r="L31" s="163">
        <v>4914840.7049995884</v>
      </c>
      <c r="M31" s="555"/>
      <c r="N31" s="555"/>
      <c r="O31" s="153">
        <f t="shared" si="14"/>
        <v>0.6777731958762887</v>
      </c>
      <c r="P31" s="553"/>
      <c r="Q31" s="551"/>
      <c r="R31" s="164">
        <v>942361.21200000006</v>
      </c>
      <c r="S31" s="552"/>
      <c r="T31" s="555"/>
      <c r="U31" s="153">
        <f t="shared" si="16"/>
        <v>0.12995480599755194</v>
      </c>
      <c r="V31" s="553"/>
      <c r="W31" s="551"/>
    </row>
    <row r="32" spans="2:23">
      <c r="B32" s="554"/>
      <c r="C32" s="557"/>
      <c r="D32" s="80">
        <f t="shared" si="6"/>
        <v>46230</v>
      </c>
      <c r="E32" s="80" t="s">
        <v>117</v>
      </c>
      <c r="F32" s="163">
        <v>6872917.9299999988</v>
      </c>
      <c r="G32" s="555"/>
      <c r="H32" s="555"/>
      <c r="I32" s="213">
        <v>218269</v>
      </c>
      <c r="J32" s="556"/>
      <c r="K32" s="556"/>
      <c r="L32" s="163">
        <v>4649068.4232888659</v>
      </c>
      <c r="M32" s="555"/>
      <c r="N32" s="555"/>
      <c r="O32" s="153">
        <f t="shared" si="14"/>
        <v>0.67643298969072174</v>
      </c>
      <c r="P32" s="553"/>
      <c r="Q32" s="551"/>
      <c r="R32" s="164">
        <v>805480.99399999995</v>
      </c>
      <c r="S32" s="552"/>
      <c r="T32" s="555"/>
      <c r="U32" s="153">
        <f t="shared" si="16"/>
        <v>0.11719636436863434</v>
      </c>
      <c r="V32" s="553"/>
      <c r="W32" s="551"/>
    </row>
    <row r="33" spans="2:23">
      <c r="B33" s="554">
        <f>B26+7</f>
        <v>46239</v>
      </c>
      <c r="C33" s="557"/>
      <c r="D33" s="80">
        <f t="shared" si="6"/>
        <v>46231</v>
      </c>
      <c r="E33" s="80" t="s">
        <v>118</v>
      </c>
      <c r="F33" s="163">
        <v>6626056.8699999992</v>
      </c>
      <c r="G33" s="555">
        <f>SUM(F33:F39)</f>
        <v>42486866.159999996</v>
      </c>
      <c r="H33" s="555"/>
      <c r="I33" s="213">
        <v>213264</v>
      </c>
      <c r="J33" s="556">
        <f t="shared" ref="J33" si="20">SUM(I33:I39)</f>
        <v>1361947</v>
      </c>
      <c r="K33" s="556"/>
      <c r="L33" s="163">
        <v>4366639.7871946385</v>
      </c>
      <c r="M33" s="555">
        <f t="shared" ref="M33" si="21">SUM(L33:L39)</f>
        <v>28602573.767007634</v>
      </c>
      <c r="N33" s="555"/>
      <c r="O33" s="153">
        <f t="shared" ref="O33:O39" si="22">L33/F33</f>
        <v>0.65901030927835047</v>
      </c>
      <c r="P33" s="553">
        <f>M33/G33</f>
        <v>0.67320977874183685</v>
      </c>
      <c r="Q33" s="551"/>
      <c r="R33" s="164">
        <v>925337.42799999996</v>
      </c>
      <c r="S33" s="552">
        <f t="shared" ref="S33" si="23">SUM(R33:R39)</f>
        <v>6007602.3720000004</v>
      </c>
      <c r="T33" s="555"/>
      <c r="U33" s="153">
        <f t="shared" ref="U33:U39" si="24">R33/F33</f>
        <v>0.13965129580905636</v>
      </c>
      <c r="V33" s="553">
        <f>S33/G33</f>
        <v>0.14139904669306871</v>
      </c>
      <c r="W33" s="551"/>
    </row>
    <row r="34" spans="2:23">
      <c r="B34" s="554"/>
      <c r="C34" s="557"/>
      <c r="D34" s="80">
        <f t="shared" si="6"/>
        <v>46232</v>
      </c>
      <c r="E34" s="80" t="s">
        <v>112</v>
      </c>
      <c r="F34" s="163">
        <v>6255627.21</v>
      </c>
      <c r="G34" s="555"/>
      <c r="H34" s="555"/>
      <c r="I34" s="213">
        <v>201459</v>
      </c>
      <c r="J34" s="556"/>
      <c r="K34" s="556"/>
      <c r="L34" s="163">
        <v>4227643.1559210317</v>
      </c>
      <c r="M34" s="555"/>
      <c r="N34" s="555"/>
      <c r="O34" s="153">
        <f t="shared" si="22"/>
        <v>0.67581443298969091</v>
      </c>
      <c r="P34" s="553"/>
      <c r="Q34" s="551"/>
      <c r="R34" s="164">
        <v>889269.56400000001</v>
      </c>
      <c r="S34" s="552"/>
      <c r="T34" s="555"/>
      <c r="U34" s="153">
        <f t="shared" si="24"/>
        <v>0.14215514034762952</v>
      </c>
      <c r="V34" s="553"/>
      <c r="W34" s="551"/>
    </row>
    <row r="35" spans="2:23">
      <c r="B35" s="554"/>
      <c r="C35" s="557"/>
      <c r="D35" s="80">
        <f t="shared" si="6"/>
        <v>46233</v>
      </c>
      <c r="E35" s="80" t="s">
        <v>113</v>
      </c>
      <c r="F35" s="163">
        <v>5785963.21</v>
      </c>
      <c r="G35" s="555"/>
      <c r="H35" s="555"/>
      <c r="I35" s="213">
        <v>187092</v>
      </c>
      <c r="J35" s="556"/>
      <c r="K35" s="556"/>
      <c r="L35" s="163">
        <v>3888763.7681725775</v>
      </c>
      <c r="M35" s="555"/>
      <c r="N35" s="555"/>
      <c r="O35" s="153">
        <f t="shared" si="22"/>
        <v>0.67210309278350522</v>
      </c>
      <c r="P35" s="553"/>
      <c r="Q35" s="551"/>
      <c r="R35" s="164">
        <v>833792.64</v>
      </c>
      <c r="S35" s="552"/>
      <c r="T35" s="555"/>
      <c r="U35" s="153">
        <f t="shared" si="24"/>
        <v>0.14410610813406816</v>
      </c>
      <c r="V35" s="553"/>
      <c r="W35" s="551"/>
    </row>
    <row r="36" spans="2:23">
      <c r="B36" s="554"/>
      <c r="C36" s="557"/>
      <c r="D36" s="80">
        <f t="shared" si="6"/>
        <v>46234</v>
      </c>
      <c r="E36" s="80" t="s">
        <v>114</v>
      </c>
      <c r="F36" s="163">
        <v>4936115.0199999996</v>
      </c>
      <c r="G36" s="555"/>
      <c r="H36" s="555"/>
      <c r="I36" s="213">
        <v>159659</v>
      </c>
      <c r="J36" s="556"/>
      <c r="K36" s="556"/>
      <c r="L36" s="163">
        <v>3353708.4977121642</v>
      </c>
      <c r="M36" s="555"/>
      <c r="N36" s="555"/>
      <c r="O36" s="153">
        <f t="shared" si="22"/>
        <v>0.67942268041237108</v>
      </c>
      <c r="P36" s="553"/>
      <c r="Q36" s="551"/>
      <c r="R36" s="164">
        <v>775080.81</v>
      </c>
      <c r="S36" s="552"/>
      <c r="T36" s="555"/>
      <c r="U36" s="153">
        <f t="shared" si="24"/>
        <v>0.15702243705009938</v>
      </c>
      <c r="V36" s="553"/>
      <c r="W36" s="551"/>
    </row>
    <row r="37" spans="2:23">
      <c r="B37" s="554"/>
      <c r="C37" s="557" t="s">
        <v>707</v>
      </c>
      <c r="D37" s="80">
        <f t="shared" si="6"/>
        <v>46235</v>
      </c>
      <c r="E37" s="80" t="s">
        <v>115</v>
      </c>
      <c r="F37" s="163">
        <v>5278918.5600000005</v>
      </c>
      <c r="G37" s="555"/>
      <c r="H37" s="555">
        <f>SUM(F37:F67)</f>
        <v>18883103.850000001</v>
      </c>
      <c r="I37" s="213">
        <v>170810</v>
      </c>
      <c r="J37" s="556"/>
      <c r="K37" s="556">
        <f>SUM(I37:I67)</f>
        <v>600473</v>
      </c>
      <c r="L37" s="163">
        <v>3538725.7777880416</v>
      </c>
      <c r="M37" s="555"/>
      <c r="N37" s="555">
        <f>SUM(L37:L67)</f>
        <v>12765818.558007218</v>
      </c>
      <c r="O37" s="153">
        <f t="shared" si="22"/>
        <v>0.67035051546391755</v>
      </c>
      <c r="P37" s="553"/>
      <c r="Q37" s="551">
        <f>N37/H37</f>
        <v>0.67604450303371166</v>
      </c>
      <c r="R37" s="164">
        <v>791868.99199999997</v>
      </c>
      <c r="S37" s="552"/>
      <c r="T37" s="555">
        <f>SUM(R37:R67)</f>
        <v>2584121.9299999997</v>
      </c>
      <c r="U37" s="153">
        <f t="shared" si="24"/>
        <v>0.15000591181690817</v>
      </c>
      <c r="V37" s="553"/>
      <c r="W37" s="551">
        <f>T37/H37</f>
        <v>0.13684836722433211</v>
      </c>
    </row>
    <row r="38" spans="2:23">
      <c r="B38" s="554"/>
      <c r="C38" s="557"/>
      <c r="D38" s="80">
        <f t="shared" si="6"/>
        <v>46236</v>
      </c>
      <c r="E38" s="80" t="s">
        <v>116</v>
      </c>
      <c r="F38" s="163">
        <v>6878371.4600000009</v>
      </c>
      <c r="G38" s="555"/>
      <c r="H38" s="555"/>
      <c r="I38" s="213">
        <v>216220</v>
      </c>
      <c r="J38" s="556"/>
      <c r="K38" s="556"/>
      <c r="L38" s="163">
        <v>4644248.0453736102</v>
      </c>
      <c r="M38" s="555"/>
      <c r="N38" s="555"/>
      <c r="O38" s="153">
        <f t="shared" si="22"/>
        <v>0.67519587628865996</v>
      </c>
      <c r="P38" s="553"/>
      <c r="Q38" s="551"/>
      <c r="R38" s="164">
        <v>910527.826</v>
      </c>
      <c r="S38" s="552"/>
      <c r="T38" s="555"/>
      <c r="U38" s="153">
        <f t="shared" si="24"/>
        <v>0.13237549488203998</v>
      </c>
      <c r="V38" s="553"/>
      <c r="W38" s="551"/>
    </row>
    <row r="39" spans="2:23">
      <c r="B39" s="554"/>
      <c r="C39" s="557"/>
      <c r="D39" s="80">
        <f t="shared" si="6"/>
        <v>46237</v>
      </c>
      <c r="E39" s="80" t="s">
        <v>117</v>
      </c>
      <c r="F39" s="163">
        <v>6725813.8300000001</v>
      </c>
      <c r="G39" s="555"/>
      <c r="H39" s="555"/>
      <c r="I39" s="213">
        <v>213443</v>
      </c>
      <c r="J39" s="556"/>
      <c r="K39" s="556"/>
      <c r="L39" s="163">
        <v>4582844.7348455666</v>
      </c>
      <c r="M39" s="555"/>
      <c r="N39" s="555"/>
      <c r="O39" s="153">
        <f t="shared" si="22"/>
        <v>0.68138144329896899</v>
      </c>
      <c r="P39" s="553"/>
      <c r="Q39" s="551"/>
      <c r="R39" s="164">
        <v>881725.11199999996</v>
      </c>
      <c r="S39" s="552"/>
      <c r="T39" s="555"/>
      <c r="U39" s="153">
        <f t="shared" si="24"/>
        <v>0.13109567619417736</v>
      </c>
      <c r="V39" s="553"/>
      <c r="W39" s="551"/>
    </row>
    <row r="40" spans="2:23">
      <c r="B40" s="554">
        <f>B33+7</f>
        <v>46246</v>
      </c>
      <c r="C40" s="557"/>
      <c r="D40" s="80">
        <f t="shared" si="6"/>
        <v>46238</v>
      </c>
      <c r="E40" s="80" t="s">
        <v>118</v>
      </c>
      <c r="F40" s="163"/>
      <c r="G40" s="555">
        <f>SUM(F40:F46)</f>
        <v>0</v>
      </c>
      <c r="H40" s="555"/>
      <c r="I40" s="213"/>
      <c r="J40" s="556">
        <f t="shared" ref="J40" si="25">SUM(I40:I46)</f>
        <v>0</v>
      </c>
      <c r="K40" s="556"/>
      <c r="L40" s="163"/>
      <c r="M40" s="555">
        <f t="shared" ref="M40" si="26">SUM(L40:L46)</f>
        <v>0</v>
      </c>
      <c r="N40" s="555"/>
      <c r="O40" s="153" t="e">
        <f t="shared" ref="O40:O46" si="27">L40/F40</f>
        <v>#DIV/0!</v>
      </c>
      <c r="P40" s="553" t="e">
        <f>M40/G40</f>
        <v>#DIV/0!</v>
      </c>
      <c r="Q40" s="551"/>
      <c r="R40" s="164"/>
      <c r="S40" s="552">
        <f t="shared" ref="S40" si="28">SUM(R40:R46)</f>
        <v>0</v>
      </c>
      <c r="T40" s="555"/>
      <c r="U40" s="153" t="e">
        <f t="shared" ref="U40:U46" si="29">R40/F40</f>
        <v>#DIV/0!</v>
      </c>
      <c r="V40" s="553" t="e">
        <f>S40/G40</f>
        <v>#DIV/0!</v>
      </c>
      <c r="W40" s="551"/>
    </row>
    <row r="41" spans="2:23">
      <c r="B41" s="554"/>
      <c r="C41" s="557"/>
      <c r="D41" s="80">
        <f t="shared" si="6"/>
        <v>46239</v>
      </c>
      <c r="E41" s="80" t="s">
        <v>112</v>
      </c>
      <c r="F41" s="163"/>
      <c r="G41" s="555"/>
      <c r="H41" s="555"/>
      <c r="I41" s="213"/>
      <c r="J41" s="556"/>
      <c r="K41" s="556"/>
      <c r="L41" s="163"/>
      <c r="M41" s="555"/>
      <c r="N41" s="555"/>
      <c r="O41" s="153" t="e">
        <f t="shared" si="27"/>
        <v>#DIV/0!</v>
      </c>
      <c r="P41" s="553"/>
      <c r="Q41" s="551"/>
      <c r="R41" s="164"/>
      <c r="S41" s="552"/>
      <c r="T41" s="555"/>
      <c r="U41" s="153" t="e">
        <f t="shared" si="29"/>
        <v>#DIV/0!</v>
      </c>
      <c r="V41" s="553"/>
      <c r="W41" s="551"/>
    </row>
    <row r="42" spans="2:23">
      <c r="B42" s="554"/>
      <c r="C42" s="557"/>
      <c r="D42" s="80">
        <f t="shared" si="6"/>
        <v>46240</v>
      </c>
      <c r="E42" s="80" t="s">
        <v>113</v>
      </c>
      <c r="F42" s="163"/>
      <c r="G42" s="555"/>
      <c r="H42" s="555"/>
      <c r="I42" s="213"/>
      <c r="J42" s="556"/>
      <c r="K42" s="556"/>
      <c r="L42" s="163"/>
      <c r="M42" s="555"/>
      <c r="N42" s="555"/>
      <c r="O42" s="153" t="e">
        <f t="shared" si="27"/>
        <v>#DIV/0!</v>
      </c>
      <c r="P42" s="553"/>
      <c r="Q42" s="551"/>
      <c r="R42" s="164"/>
      <c r="S42" s="552"/>
      <c r="T42" s="555"/>
      <c r="U42" s="153" t="e">
        <f t="shared" si="29"/>
        <v>#DIV/0!</v>
      </c>
      <c r="V42" s="553"/>
      <c r="W42" s="551"/>
    </row>
    <row r="43" spans="2:23">
      <c r="B43" s="554"/>
      <c r="C43" s="557"/>
      <c r="D43" s="80">
        <f t="shared" si="6"/>
        <v>46241</v>
      </c>
      <c r="E43" s="80" t="s">
        <v>114</v>
      </c>
      <c r="F43" s="163"/>
      <c r="G43" s="555"/>
      <c r="H43" s="555"/>
      <c r="I43" s="213"/>
      <c r="J43" s="556"/>
      <c r="K43" s="556"/>
      <c r="L43" s="163"/>
      <c r="M43" s="555"/>
      <c r="N43" s="555"/>
      <c r="O43" s="153" t="e">
        <f t="shared" si="27"/>
        <v>#DIV/0!</v>
      </c>
      <c r="P43" s="553"/>
      <c r="Q43" s="551"/>
      <c r="R43" s="164"/>
      <c r="S43" s="552"/>
      <c r="T43" s="555"/>
      <c r="U43" s="153" t="e">
        <f t="shared" si="29"/>
        <v>#DIV/0!</v>
      </c>
      <c r="V43" s="553"/>
      <c r="W43" s="551"/>
    </row>
    <row r="44" spans="2:23">
      <c r="B44" s="554"/>
      <c r="C44" s="557"/>
      <c r="D44" s="80">
        <f t="shared" si="6"/>
        <v>46242</v>
      </c>
      <c r="E44" s="80" t="s">
        <v>115</v>
      </c>
      <c r="F44" s="163"/>
      <c r="G44" s="555"/>
      <c r="H44" s="555"/>
      <c r="I44" s="213"/>
      <c r="J44" s="556"/>
      <c r="K44" s="556"/>
      <c r="L44" s="163"/>
      <c r="M44" s="555"/>
      <c r="N44" s="555"/>
      <c r="O44" s="153" t="e">
        <f t="shared" si="27"/>
        <v>#DIV/0!</v>
      </c>
      <c r="P44" s="553"/>
      <c r="Q44" s="551"/>
      <c r="R44" s="164"/>
      <c r="S44" s="552"/>
      <c r="T44" s="555"/>
      <c r="U44" s="153" t="e">
        <f t="shared" si="29"/>
        <v>#DIV/0!</v>
      </c>
      <c r="V44" s="553"/>
      <c r="W44" s="551"/>
    </row>
    <row r="45" spans="2:23">
      <c r="B45" s="554"/>
      <c r="C45" s="557"/>
      <c r="D45" s="80">
        <f t="shared" si="6"/>
        <v>46243</v>
      </c>
      <c r="E45" s="80" t="s">
        <v>116</v>
      </c>
      <c r="F45" s="163"/>
      <c r="G45" s="555"/>
      <c r="H45" s="555"/>
      <c r="I45" s="213"/>
      <c r="J45" s="556"/>
      <c r="K45" s="556"/>
      <c r="L45" s="163"/>
      <c r="M45" s="555"/>
      <c r="N45" s="555"/>
      <c r="O45" s="153" t="e">
        <f t="shared" si="27"/>
        <v>#DIV/0!</v>
      </c>
      <c r="P45" s="553"/>
      <c r="Q45" s="551"/>
      <c r="R45" s="164"/>
      <c r="S45" s="552"/>
      <c r="T45" s="555"/>
      <c r="U45" s="153" t="e">
        <f t="shared" si="29"/>
        <v>#DIV/0!</v>
      </c>
      <c r="V45" s="553"/>
      <c r="W45" s="551"/>
    </row>
    <row r="46" spans="2:23">
      <c r="B46" s="554"/>
      <c r="C46" s="557"/>
      <c r="D46" s="80">
        <f t="shared" si="6"/>
        <v>46244</v>
      </c>
      <c r="E46" s="80" t="s">
        <v>117</v>
      </c>
      <c r="F46" s="163"/>
      <c r="G46" s="555"/>
      <c r="H46" s="555"/>
      <c r="I46" s="213"/>
      <c r="J46" s="556"/>
      <c r="K46" s="556"/>
      <c r="L46" s="163"/>
      <c r="M46" s="555"/>
      <c r="N46" s="555"/>
      <c r="O46" s="153" t="e">
        <f t="shared" si="27"/>
        <v>#DIV/0!</v>
      </c>
      <c r="P46" s="553"/>
      <c r="Q46" s="551"/>
      <c r="R46" s="164"/>
      <c r="S46" s="552"/>
      <c r="T46" s="555"/>
      <c r="U46" s="153" t="e">
        <f t="shared" si="29"/>
        <v>#DIV/0!</v>
      </c>
      <c r="V46" s="553"/>
      <c r="W46" s="551"/>
    </row>
    <row r="47" spans="2:23">
      <c r="B47" s="554">
        <f>B40+7</f>
        <v>46253</v>
      </c>
      <c r="C47" s="557"/>
      <c r="D47" s="80">
        <f t="shared" si="6"/>
        <v>46245</v>
      </c>
      <c r="E47" s="80" t="s">
        <v>118</v>
      </c>
      <c r="F47" s="163"/>
      <c r="G47" s="555">
        <f>SUM(F47:F53)</f>
        <v>0</v>
      </c>
      <c r="H47" s="555"/>
      <c r="I47" s="213"/>
      <c r="J47" s="556">
        <f t="shared" ref="J47" si="30">SUM(I47:I53)</f>
        <v>0</v>
      </c>
      <c r="K47" s="556"/>
      <c r="L47" s="163"/>
      <c r="M47" s="555">
        <f t="shared" ref="M47" si="31">SUM(L47:L53)</f>
        <v>0</v>
      </c>
      <c r="N47" s="555"/>
      <c r="O47" s="153" t="e">
        <f t="shared" ref="O47:O60" si="32">L47/F47</f>
        <v>#DIV/0!</v>
      </c>
      <c r="P47" s="553" t="e">
        <f>M47/G47</f>
        <v>#DIV/0!</v>
      </c>
      <c r="Q47" s="551"/>
      <c r="R47" s="164"/>
      <c r="S47" s="552">
        <f t="shared" ref="S47" si="33">SUM(R47:R53)</f>
        <v>0</v>
      </c>
      <c r="T47" s="555"/>
      <c r="U47" s="153" t="e">
        <f t="shared" ref="U47:U60" si="34">R47/F47</f>
        <v>#DIV/0!</v>
      </c>
      <c r="V47" s="553" t="e">
        <f>S47/G47</f>
        <v>#DIV/0!</v>
      </c>
      <c r="W47" s="551"/>
    </row>
    <row r="48" spans="2:23">
      <c r="B48" s="554"/>
      <c r="C48" s="557"/>
      <c r="D48" s="80">
        <f t="shared" si="6"/>
        <v>46246</v>
      </c>
      <c r="E48" s="80" t="s">
        <v>112</v>
      </c>
      <c r="F48" s="163"/>
      <c r="G48" s="555"/>
      <c r="H48" s="555"/>
      <c r="I48" s="213"/>
      <c r="J48" s="556"/>
      <c r="K48" s="556"/>
      <c r="L48" s="163"/>
      <c r="M48" s="555"/>
      <c r="N48" s="555"/>
      <c r="O48" s="153" t="e">
        <f t="shared" si="32"/>
        <v>#DIV/0!</v>
      </c>
      <c r="P48" s="553"/>
      <c r="Q48" s="551"/>
      <c r="R48" s="164"/>
      <c r="S48" s="552"/>
      <c r="T48" s="555"/>
      <c r="U48" s="153" t="e">
        <f t="shared" si="34"/>
        <v>#DIV/0!</v>
      </c>
      <c r="V48" s="553"/>
      <c r="W48" s="551"/>
    </row>
    <row r="49" spans="2:23">
      <c r="B49" s="554"/>
      <c r="C49" s="557"/>
      <c r="D49" s="80">
        <f t="shared" si="6"/>
        <v>46247</v>
      </c>
      <c r="E49" s="80" t="s">
        <v>113</v>
      </c>
      <c r="F49" s="163"/>
      <c r="G49" s="555"/>
      <c r="H49" s="555"/>
      <c r="I49" s="213"/>
      <c r="J49" s="556"/>
      <c r="K49" s="556"/>
      <c r="L49" s="163"/>
      <c r="M49" s="555"/>
      <c r="N49" s="555"/>
      <c r="O49" s="153" t="e">
        <f t="shared" si="32"/>
        <v>#DIV/0!</v>
      </c>
      <c r="P49" s="553"/>
      <c r="Q49" s="551"/>
      <c r="R49" s="164"/>
      <c r="S49" s="552"/>
      <c r="T49" s="555"/>
      <c r="U49" s="153" t="e">
        <f t="shared" si="34"/>
        <v>#DIV/0!</v>
      </c>
      <c r="V49" s="553"/>
      <c r="W49" s="551"/>
    </row>
    <row r="50" spans="2:23">
      <c r="B50" s="554"/>
      <c r="C50" s="557"/>
      <c r="D50" s="80">
        <f t="shared" si="6"/>
        <v>46248</v>
      </c>
      <c r="E50" s="80" t="s">
        <v>114</v>
      </c>
      <c r="F50" s="163"/>
      <c r="G50" s="555"/>
      <c r="H50" s="555"/>
      <c r="I50" s="213"/>
      <c r="J50" s="556"/>
      <c r="K50" s="556"/>
      <c r="L50" s="163"/>
      <c r="M50" s="555"/>
      <c r="N50" s="555"/>
      <c r="O50" s="153" t="e">
        <f t="shared" si="32"/>
        <v>#DIV/0!</v>
      </c>
      <c r="P50" s="553"/>
      <c r="Q50" s="551"/>
      <c r="R50" s="164"/>
      <c r="S50" s="552"/>
      <c r="T50" s="555"/>
      <c r="U50" s="153" t="e">
        <f t="shared" si="34"/>
        <v>#DIV/0!</v>
      </c>
      <c r="V50" s="553"/>
      <c r="W50" s="551"/>
    </row>
    <row r="51" spans="2:23">
      <c r="B51" s="554"/>
      <c r="C51" s="557"/>
      <c r="D51" s="80">
        <f t="shared" si="6"/>
        <v>46249</v>
      </c>
      <c r="E51" s="80" t="s">
        <v>115</v>
      </c>
      <c r="F51" s="163"/>
      <c r="G51" s="555"/>
      <c r="H51" s="555"/>
      <c r="I51" s="213"/>
      <c r="J51" s="556"/>
      <c r="K51" s="556"/>
      <c r="L51" s="163"/>
      <c r="M51" s="555"/>
      <c r="N51" s="555"/>
      <c r="O51" s="153" t="e">
        <f t="shared" si="32"/>
        <v>#DIV/0!</v>
      </c>
      <c r="P51" s="553"/>
      <c r="Q51" s="551"/>
      <c r="R51" s="164"/>
      <c r="S51" s="552"/>
      <c r="T51" s="555"/>
      <c r="U51" s="153" t="e">
        <f t="shared" si="34"/>
        <v>#DIV/0!</v>
      </c>
      <c r="V51" s="553"/>
      <c r="W51" s="551"/>
    </row>
    <row r="52" spans="2:23">
      <c r="B52" s="554"/>
      <c r="C52" s="557"/>
      <c r="D52" s="80">
        <f t="shared" si="6"/>
        <v>46250</v>
      </c>
      <c r="E52" s="80" t="s">
        <v>116</v>
      </c>
      <c r="F52" s="163"/>
      <c r="G52" s="555"/>
      <c r="H52" s="555"/>
      <c r="I52" s="213"/>
      <c r="J52" s="556"/>
      <c r="K52" s="556"/>
      <c r="L52" s="163"/>
      <c r="M52" s="555"/>
      <c r="N52" s="555"/>
      <c r="O52" s="153" t="e">
        <f t="shared" si="32"/>
        <v>#DIV/0!</v>
      </c>
      <c r="P52" s="553"/>
      <c r="Q52" s="551"/>
      <c r="R52" s="164"/>
      <c r="S52" s="552"/>
      <c r="T52" s="555"/>
      <c r="U52" s="153" t="e">
        <f t="shared" si="34"/>
        <v>#DIV/0!</v>
      </c>
      <c r="V52" s="553"/>
      <c r="W52" s="551"/>
    </row>
    <row r="53" spans="2:23">
      <c r="B53" s="554"/>
      <c r="C53" s="557"/>
      <c r="D53" s="80">
        <f t="shared" si="6"/>
        <v>46251</v>
      </c>
      <c r="E53" s="80" t="s">
        <v>117</v>
      </c>
      <c r="F53" s="163"/>
      <c r="G53" s="555"/>
      <c r="H53" s="555"/>
      <c r="I53" s="213"/>
      <c r="J53" s="556"/>
      <c r="K53" s="556"/>
      <c r="L53" s="163"/>
      <c r="M53" s="555"/>
      <c r="N53" s="555"/>
      <c r="O53" s="153" t="e">
        <f t="shared" si="32"/>
        <v>#DIV/0!</v>
      </c>
      <c r="P53" s="553"/>
      <c r="Q53" s="551"/>
      <c r="R53" s="164"/>
      <c r="S53" s="552"/>
      <c r="T53" s="555"/>
      <c r="U53" s="153" t="e">
        <f t="shared" si="34"/>
        <v>#DIV/0!</v>
      </c>
      <c r="V53" s="553"/>
      <c r="W53" s="551"/>
    </row>
    <row r="54" spans="2:23">
      <c r="B54" s="554">
        <f>B47+7</f>
        <v>46260</v>
      </c>
      <c r="C54" s="557"/>
      <c r="D54" s="80">
        <f t="shared" si="6"/>
        <v>46252</v>
      </c>
      <c r="E54" s="80" t="s">
        <v>118</v>
      </c>
      <c r="F54" s="163"/>
      <c r="G54" s="555">
        <f>SUM(F54:F60)</f>
        <v>0</v>
      </c>
      <c r="H54" s="555"/>
      <c r="I54" s="213"/>
      <c r="J54" s="556">
        <f t="shared" ref="J54" si="35">SUM(I54:I60)</f>
        <v>0</v>
      </c>
      <c r="K54" s="556"/>
      <c r="L54" s="163"/>
      <c r="M54" s="555">
        <f t="shared" ref="M54" si="36">SUM(L54:L60)</f>
        <v>0</v>
      </c>
      <c r="N54" s="555"/>
      <c r="O54" s="153" t="e">
        <f t="shared" si="32"/>
        <v>#DIV/0!</v>
      </c>
      <c r="P54" s="553" t="e">
        <f>M54/G54</f>
        <v>#DIV/0!</v>
      </c>
      <c r="Q54" s="551"/>
      <c r="R54" s="164"/>
      <c r="S54" s="552">
        <f t="shared" ref="S54" si="37">SUM(R54:R60)</f>
        <v>0</v>
      </c>
      <c r="T54" s="555"/>
      <c r="U54" s="153" t="e">
        <f t="shared" si="34"/>
        <v>#DIV/0!</v>
      </c>
      <c r="V54" s="553" t="e">
        <f>S54/G54</f>
        <v>#DIV/0!</v>
      </c>
      <c r="W54" s="551"/>
    </row>
    <row r="55" spans="2:23">
      <c r="B55" s="554"/>
      <c r="C55" s="557"/>
      <c r="D55" s="80">
        <f t="shared" si="6"/>
        <v>46253</v>
      </c>
      <c r="E55" s="80" t="s">
        <v>112</v>
      </c>
      <c r="F55" s="163"/>
      <c r="G55" s="555"/>
      <c r="H55" s="555"/>
      <c r="I55" s="213"/>
      <c r="J55" s="556"/>
      <c r="K55" s="556"/>
      <c r="L55" s="163"/>
      <c r="M55" s="555"/>
      <c r="N55" s="555"/>
      <c r="O55" s="153" t="e">
        <f t="shared" si="32"/>
        <v>#DIV/0!</v>
      </c>
      <c r="P55" s="553"/>
      <c r="Q55" s="551"/>
      <c r="R55" s="164"/>
      <c r="S55" s="552"/>
      <c r="T55" s="555"/>
      <c r="U55" s="153" t="e">
        <f t="shared" si="34"/>
        <v>#DIV/0!</v>
      </c>
      <c r="V55" s="553"/>
      <c r="W55" s="551"/>
    </row>
    <row r="56" spans="2:23">
      <c r="B56" s="554"/>
      <c r="C56" s="557"/>
      <c r="D56" s="80">
        <f t="shared" si="6"/>
        <v>46254</v>
      </c>
      <c r="E56" s="80" t="s">
        <v>113</v>
      </c>
      <c r="F56" s="163"/>
      <c r="G56" s="555"/>
      <c r="H56" s="555"/>
      <c r="I56" s="213"/>
      <c r="J56" s="556"/>
      <c r="K56" s="556"/>
      <c r="L56" s="163"/>
      <c r="M56" s="555"/>
      <c r="N56" s="555"/>
      <c r="O56" s="153" t="e">
        <f t="shared" si="32"/>
        <v>#DIV/0!</v>
      </c>
      <c r="P56" s="553"/>
      <c r="Q56" s="551"/>
      <c r="R56" s="164"/>
      <c r="S56" s="552"/>
      <c r="T56" s="555"/>
      <c r="U56" s="153" t="e">
        <f t="shared" si="34"/>
        <v>#DIV/0!</v>
      </c>
      <c r="V56" s="553"/>
      <c r="W56" s="551"/>
    </row>
    <row r="57" spans="2:23">
      <c r="B57" s="554"/>
      <c r="C57" s="557"/>
      <c r="D57" s="80">
        <f t="shared" si="6"/>
        <v>46255</v>
      </c>
      <c r="E57" s="80" t="s">
        <v>114</v>
      </c>
      <c r="F57" s="163"/>
      <c r="G57" s="555"/>
      <c r="H57" s="555"/>
      <c r="I57" s="213"/>
      <c r="J57" s="556"/>
      <c r="K57" s="556"/>
      <c r="L57" s="163"/>
      <c r="M57" s="555"/>
      <c r="N57" s="555"/>
      <c r="O57" s="153" t="e">
        <f t="shared" si="32"/>
        <v>#DIV/0!</v>
      </c>
      <c r="P57" s="553"/>
      <c r="Q57" s="551"/>
      <c r="R57" s="164"/>
      <c r="S57" s="552"/>
      <c r="T57" s="555"/>
      <c r="U57" s="153" t="e">
        <f t="shared" si="34"/>
        <v>#DIV/0!</v>
      </c>
      <c r="V57" s="553"/>
      <c r="W57" s="551"/>
    </row>
    <row r="58" spans="2:23">
      <c r="B58" s="554"/>
      <c r="C58" s="557"/>
      <c r="D58" s="80">
        <f t="shared" si="6"/>
        <v>46256</v>
      </c>
      <c r="E58" s="80" t="s">
        <v>115</v>
      </c>
      <c r="F58" s="163"/>
      <c r="G58" s="555"/>
      <c r="H58" s="555"/>
      <c r="I58" s="213"/>
      <c r="J58" s="556"/>
      <c r="K58" s="556"/>
      <c r="L58" s="163"/>
      <c r="M58" s="555"/>
      <c r="N58" s="555"/>
      <c r="O58" s="153" t="e">
        <f t="shared" si="32"/>
        <v>#DIV/0!</v>
      </c>
      <c r="P58" s="553"/>
      <c r="Q58" s="551"/>
      <c r="R58" s="164"/>
      <c r="S58" s="552"/>
      <c r="T58" s="555"/>
      <c r="U58" s="153" t="e">
        <f t="shared" si="34"/>
        <v>#DIV/0!</v>
      </c>
      <c r="V58" s="553"/>
      <c r="W58" s="551"/>
    </row>
    <row r="59" spans="2:23">
      <c r="B59" s="554"/>
      <c r="C59" s="557"/>
      <c r="D59" s="80">
        <f t="shared" si="6"/>
        <v>46257</v>
      </c>
      <c r="E59" s="80" t="s">
        <v>116</v>
      </c>
      <c r="F59" s="163"/>
      <c r="G59" s="555"/>
      <c r="H59" s="555"/>
      <c r="I59" s="213"/>
      <c r="J59" s="556"/>
      <c r="K59" s="556"/>
      <c r="L59" s="163"/>
      <c r="M59" s="555"/>
      <c r="N59" s="555"/>
      <c r="O59" s="153" t="e">
        <f t="shared" si="32"/>
        <v>#DIV/0!</v>
      </c>
      <c r="P59" s="553"/>
      <c r="Q59" s="551"/>
      <c r="R59" s="164"/>
      <c r="S59" s="552"/>
      <c r="T59" s="555"/>
      <c r="U59" s="153" t="e">
        <f t="shared" si="34"/>
        <v>#DIV/0!</v>
      </c>
      <c r="V59" s="553"/>
      <c r="W59" s="551"/>
    </row>
    <row r="60" spans="2:23">
      <c r="B60" s="554"/>
      <c r="C60" s="557"/>
      <c r="D60" s="80">
        <f t="shared" si="6"/>
        <v>46258</v>
      </c>
      <c r="E60" s="80" t="s">
        <v>117</v>
      </c>
      <c r="F60" s="163"/>
      <c r="G60" s="555"/>
      <c r="H60" s="555"/>
      <c r="I60" s="213"/>
      <c r="J60" s="556"/>
      <c r="K60" s="556"/>
      <c r="L60" s="163"/>
      <c r="M60" s="555"/>
      <c r="N60" s="555"/>
      <c r="O60" s="153" t="e">
        <f t="shared" si="32"/>
        <v>#DIV/0!</v>
      </c>
      <c r="P60" s="553"/>
      <c r="Q60" s="551"/>
      <c r="R60" s="164"/>
      <c r="S60" s="552"/>
      <c r="T60" s="555"/>
      <c r="U60" s="153" t="e">
        <f t="shared" si="34"/>
        <v>#DIV/0!</v>
      </c>
      <c r="V60" s="553"/>
      <c r="W60" s="551"/>
    </row>
    <row r="61" spans="2:23">
      <c r="B61" s="554">
        <f>B54+7</f>
        <v>46267</v>
      </c>
      <c r="C61" s="557"/>
      <c r="D61" s="80">
        <f t="shared" si="6"/>
        <v>46259</v>
      </c>
      <c r="E61" s="80" t="s">
        <v>118</v>
      </c>
      <c r="F61" s="163"/>
      <c r="G61" s="555">
        <f>SUM(F61:F67)</f>
        <v>0</v>
      </c>
      <c r="H61" s="555"/>
      <c r="I61" s="213"/>
      <c r="J61" s="556">
        <f t="shared" ref="J61" si="38">SUM(I61:I67)</f>
        <v>0</v>
      </c>
      <c r="K61" s="556"/>
      <c r="L61" s="163"/>
      <c r="M61" s="555">
        <f t="shared" ref="M61" si="39">SUM(L61:L67)</f>
        <v>0</v>
      </c>
      <c r="N61" s="555"/>
      <c r="O61" s="153" t="e">
        <f t="shared" ref="O61:O67" si="40">L61/F61</f>
        <v>#DIV/0!</v>
      </c>
      <c r="P61" s="553" t="e">
        <f>M61/G61</f>
        <v>#DIV/0!</v>
      </c>
      <c r="Q61" s="551"/>
      <c r="R61" s="164"/>
      <c r="S61" s="552">
        <f t="shared" ref="S61" si="41">SUM(R61:R67)</f>
        <v>0</v>
      </c>
      <c r="T61" s="555"/>
      <c r="U61" s="153" t="e">
        <f t="shared" ref="U61:U67" si="42">R61/F61</f>
        <v>#DIV/0!</v>
      </c>
      <c r="V61" s="553" t="e">
        <f>S61/G61</f>
        <v>#DIV/0!</v>
      </c>
      <c r="W61" s="551"/>
    </row>
    <row r="62" spans="2:23">
      <c r="B62" s="554"/>
      <c r="C62" s="557"/>
      <c r="D62" s="80">
        <f t="shared" si="6"/>
        <v>46260</v>
      </c>
      <c r="E62" s="80" t="s">
        <v>112</v>
      </c>
      <c r="F62" s="163"/>
      <c r="G62" s="555"/>
      <c r="H62" s="555"/>
      <c r="I62" s="213"/>
      <c r="J62" s="556"/>
      <c r="K62" s="556"/>
      <c r="L62" s="163"/>
      <c r="M62" s="555"/>
      <c r="N62" s="555"/>
      <c r="O62" s="153" t="e">
        <f t="shared" si="40"/>
        <v>#DIV/0!</v>
      </c>
      <c r="P62" s="553"/>
      <c r="Q62" s="551"/>
      <c r="R62" s="164"/>
      <c r="S62" s="552"/>
      <c r="T62" s="555"/>
      <c r="U62" s="153" t="e">
        <f t="shared" si="42"/>
        <v>#DIV/0!</v>
      </c>
      <c r="V62" s="553"/>
      <c r="W62" s="551"/>
    </row>
    <row r="63" spans="2:23">
      <c r="B63" s="554"/>
      <c r="C63" s="557"/>
      <c r="D63" s="80">
        <f t="shared" si="6"/>
        <v>46261</v>
      </c>
      <c r="E63" s="80" t="s">
        <v>113</v>
      </c>
      <c r="F63" s="163"/>
      <c r="G63" s="555"/>
      <c r="H63" s="555"/>
      <c r="I63" s="213"/>
      <c r="J63" s="556"/>
      <c r="K63" s="556"/>
      <c r="L63" s="163"/>
      <c r="M63" s="555"/>
      <c r="N63" s="555"/>
      <c r="O63" s="153" t="e">
        <f t="shared" si="40"/>
        <v>#DIV/0!</v>
      </c>
      <c r="P63" s="553"/>
      <c r="Q63" s="551"/>
      <c r="R63" s="164"/>
      <c r="S63" s="552"/>
      <c r="T63" s="555"/>
      <c r="U63" s="153" t="e">
        <f t="shared" si="42"/>
        <v>#DIV/0!</v>
      </c>
      <c r="V63" s="553"/>
      <c r="W63" s="551"/>
    </row>
    <row r="64" spans="2:23">
      <c r="B64" s="554"/>
      <c r="C64" s="557"/>
      <c r="D64" s="80">
        <f t="shared" si="6"/>
        <v>46262</v>
      </c>
      <c r="E64" s="80" t="s">
        <v>114</v>
      </c>
      <c r="F64" s="163"/>
      <c r="G64" s="555"/>
      <c r="H64" s="555"/>
      <c r="I64" s="213"/>
      <c r="J64" s="556"/>
      <c r="K64" s="556"/>
      <c r="L64" s="163"/>
      <c r="M64" s="555"/>
      <c r="N64" s="555"/>
      <c r="O64" s="153" t="e">
        <f t="shared" si="40"/>
        <v>#DIV/0!</v>
      </c>
      <c r="P64" s="553"/>
      <c r="Q64" s="551"/>
      <c r="R64" s="164"/>
      <c r="S64" s="552"/>
      <c r="T64" s="555"/>
      <c r="U64" s="153" t="e">
        <f t="shared" si="42"/>
        <v>#DIV/0!</v>
      </c>
      <c r="V64" s="553"/>
      <c r="W64" s="551"/>
    </row>
    <row r="65" spans="2:23">
      <c r="B65" s="554"/>
      <c r="C65" s="557"/>
      <c r="D65" s="80">
        <f t="shared" si="6"/>
        <v>46263</v>
      </c>
      <c r="E65" s="80" t="s">
        <v>115</v>
      </c>
      <c r="F65" s="163"/>
      <c r="G65" s="555"/>
      <c r="H65" s="555"/>
      <c r="I65" s="213"/>
      <c r="J65" s="556"/>
      <c r="K65" s="556"/>
      <c r="L65" s="163"/>
      <c r="M65" s="555"/>
      <c r="N65" s="555"/>
      <c r="O65" s="153" t="e">
        <f t="shared" si="40"/>
        <v>#DIV/0!</v>
      </c>
      <c r="P65" s="553"/>
      <c r="Q65" s="551"/>
      <c r="R65" s="164"/>
      <c r="S65" s="552"/>
      <c r="T65" s="555"/>
      <c r="U65" s="153" t="e">
        <f t="shared" si="42"/>
        <v>#DIV/0!</v>
      </c>
      <c r="V65" s="553"/>
      <c r="W65" s="551"/>
    </row>
    <row r="66" spans="2:23">
      <c r="B66" s="554"/>
      <c r="C66" s="557"/>
      <c r="D66" s="80">
        <f t="shared" si="6"/>
        <v>46264</v>
      </c>
      <c r="E66" s="80" t="s">
        <v>116</v>
      </c>
      <c r="F66" s="163"/>
      <c r="G66" s="555"/>
      <c r="H66" s="555"/>
      <c r="I66" s="213"/>
      <c r="J66" s="556"/>
      <c r="K66" s="556"/>
      <c r="L66" s="163"/>
      <c r="M66" s="555"/>
      <c r="N66" s="555"/>
      <c r="O66" s="153" t="e">
        <f t="shared" si="40"/>
        <v>#DIV/0!</v>
      </c>
      <c r="P66" s="553"/>
      <c r="Q66" s="551"/>
      <c r="R66" s="164"/>
      <c r="S66" s="552"/>
      <c r="T66" s="555"/>
      <c r="U66" s="153" t="e">
        <f t="shared" si="42"/>
        <v>#DIV/0!</v>
      </c>
      <c r="V66" s="553"/>
      <c r="W66" s="551"/>
    </row>
    <row r="67" spans="2:23">
      <c r="B67" s="554"/>
      <c r="C67" s="557"/>
      <c r="D67" s="80">
        <f t="shared" si="6"/>
        <v>46265</v>
      </c>
      <c r="E67" s="80" t="s">
        <v>117</v>
      </c>
      <c r="F67" s="163"/>
      <c r="G67" s="555"/>
      <c r="H67" s="555"/>
      <c r="I67" s="213"/>
      <c r="J67" s="556"/>
      <c r="K67" s="556"/>
      <c r="L67" s="163"/>
      <c r="M67" s="555"/>
      <c r="N67" s="555"/>
      <c r="O67" s="153" t="e">
        <f t="shared" si="40"/>
        <v>#DIV/0!</v>
      </c>
      <c r="P67" s="553"/>
      <c r="Q67" s="551"/>
      <c r="R67" s="164"/>
      <c r="S67" s="552"/>
      <c r="T67" s="555"/>
      <c r="U67" s="153" t="e">
        <f t="shared" si="42"/>
        <v>#DIV/0!</v>
      </c>
      <c r="V67" s="553"/>
      <c r="W67" s="551"/>
    </row>
  </sheetData>
  <mergeCells count="87"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B26:B32"/>
    <mergeCell ref="G26:G32"/>
    <mergeCell ref="J26:J32"/>
    <mergeCell ref="V5:V11"/>
    <mergeCell ref="W6:W36"/>
    <mergeCell ref="S12:S18"/>
    <mergeCell ref="B5:B11"/>
    <mergeCell ref="M19:M25"/>
    <mergeCell ref="P19:P25"/>
    <mergeCell ref="G5:G11"/>
    <mergeCell ref="J5:J11"/>
    <mergeCell ref="M5:M11"/>
    <mergeCell ref="P5:P11"/>
    <mergeCell ref="H6:H36"/>
    <mergeCell ref="K6:K36"/>
    <mergeCell ref="B12:B18"/>
    <mergeCell ref="B33:B39"/>
    <mergeCell ref="G33:G39"/>
    <mergeCell ref="J33:J39"/>
    <mergeCell ref="M33:M39"/>
    <mergeCell ref="S33:S39"/>
    <mergeCell ref="C6:C36"/>
    <mergeCell ref="B19:B25"/>
    <mergeCell ref="G19:G25"/>
    <mergeCell ref="J19:J25"/>
    <mergeCell ref="S19:S25"/>
    <mergeCell ref="G12:G18"/>
    <mergeCell ref="J12:J18"/>
    <mergeCell ref="M12:M18"/>
    <mergeCell ref="P12:P18"/>
    <mergeCell ref="Q6:Q36"/>
    <mergeCell ref="P26:P32"/>
    <mergeCell ref="T6:T36"/>
    <mergeCell ref="M26:M32"/>
    <mergeCell ref="S26:S32"/>
    <mergeCell ref="S5:S11"/>
    <mergeCell ref="V26:V32"/>
    <mergeCell ref="V33:V39"/>
    <mergeCell ref="V12:V18"/>
    <mergeCell ref="V19:V25"/>
    <mergeCell ref="N6:N36"/>
    <mergeCell ref="P33:P39"/>
    <mergeCell ref="S40:S46"/>
    <mergeCell ref="V40:V46"/>
    <mergeCell ref="B47:B53"/>
    <mergeCell ref="G47:G53"/>
    <mergeCell ref="J47:J53"/>
    <mergeCell ref="M47:M53"/>
    <mergeCell ref="P47:P53"/>
    <mergeCell ref="S47:S53"/>
    <mergeCell ref="V47:V53"/>
    <mergeCell ref="B40:B46"/>
    <mergeCell ref="G40:G46"/>
    <mergeCell ref="J40:J46"/>
    <mergeCell ref="M40:M46"/>
    <mergeCell ref="P40:P46"/>
    <mergeCell ref="B54:B60"/>
    <mergeCell ref="G54:G60"/>
    <mergeCell ref="J54:J60"/>
    <mergeCell ref="M54:M60"/>
    <mergeCell ref="P54:P60"/>
    <mergeCell ref="W37:W67"/>
    <mergeCell ref="S54:S60"/>
    <mergeCell ref="V54:V60"/>
    <mergeCell ref="B61:B67"/>
    <mergeCell ref="G61:G67"/>
    <mergeCell ref="J61:J67"/>
    <mergeCell ref="M61:M67"/>
    <mergeCell ref="P61:P67"/>
    <mergeCell ref="S61:S67"/>
    <mergeCell ref="V61:V67"/>
    <mergeCell ref="C37:C67"/>
    <mergeCell ref="H37:H67"/>
    <mergeCell ref="K37:K67"/>
    <mergeCell ref="N37:N67"/>
    <mergeCell ref="Q37:Q67"/>
    <mergeCell ref="T37:T67"/>
  </mergeCells>
  <phoneticPr fontId="13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tabColor rgb="FFFFFFCC"/>
  </sheetPr>
  <dimension ref="B1:W67"/>
  <sheetViews>
    <sheetView topLeftCell="A3" zoomScale="80" zoomScaleNormal="80" workbookViewId="0">
      <selection activeCell="F54" sqref="F54:F57"/>
    </sheetView>
  </sheetViews>
  <sheetFormatPr defaultColWidth="8.85546875" defaultRowHeight="12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7" customWidth="1"/>
    <col min="9" max="11" width="15" style="72" customWidth="1"/>
    <col min="12" max="12" width="14.5703125" style="167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 ht="14.25">
      <c r="B1" s="162" t="s">
        <v>356</v>
      </c>
      <c r="C1" s="165">
        <v>447.6</v>
      </c>
    </row>
    <row r="2" spans="2:23" ht="38.1" customHeight="1">
      <c r="B2" s="559" t="s">
        <v>130</v>
      </c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</row>
    <row r="3" spans="2:23" s="71" customFormat="1" ht="23.45" customHeight="1">
      <c r="B3" s="563" t="s">
        <v>122</v>
      </c>
      <c r="C3" s="564" t="s">
        <v>119</v>
      </c>
      <c r="D3" s="565" t="s">
        <v>105</v>
      </c>
      <c r="E3" s="565"/>
      <c r="F3" s="573" t="s">
        <v>107</v>
      </c>
      <c r="G3" s="573"/>
      <c r="H3" s="573"/>
      <c r="I3" s="575" t="s">
        <v>108</v>
      </c>
      <c r="J3" s="575"/>
      <c r="K3" s="575"/>
      <c r="L3" s="574" t="s">
        <v>324</v>
      </c>
      <c r="M3" s="574"/>
      <c r="N3" s="574"/>
      <c r="O3" s="574" t="s">
        <v>106</v>
      </c>
      <c r="P3" s="574"/>
      <c r="Q3" s="574"/>
      <c r="R3" s="574" t="s">
        <v>355</v>
      </c>
      <c r="S3" s="574"/>
      <c r="T3" s="574"/>
      <c r="U3" s="574" t="s">
        <v>424</v>
      </c>
      <c r="V3" s="574"/>
      <c r="W3" s="574"/>
    </row>
    <row r="4" spans="2:23" ht="15.75">
      <c r="B4" s="563"/>
      <c r="C4" s="564"/>
      <c r="D4" s="565"/>
      <c r="E4" s="565"/>
      <c r="F4" s="79" t="s">
        <v>116</v>
      </c>
      <c r="G4" s="89" t="s">
        <v>131</v>
      </c>
      <c r="H4" s="89" t="s">
        <v>132</v>
      </c>
      <c r="I4" s="79" t="s">
        <v>116</v>
      </c>
      <c r="J4" s="88" t="s">
        <v>131</v>
      </c>
      <c r="K4" s="88" t="s">
        <v>132</v>
      </c>
      <c r="L4" s="168" t="s">
        <v>116</v>
      </c>
      <c r="M4" s="88" t="s">
        <v>131</v>
      </c>
      <c r="N4" s="88" t="s">
        <v>132</v>
      </c>
      <c r="O4" s="166" t="s">
        <v>116</v>
      </c>
      <c r="P4" s="88" t="s">
        <v>131</v>
      </c>
      <c r="Q4" s="88" t="s">
        <v>132</v>
      </c>
      <c r="R4" s="79" t="s">
        <v>116</v>
      </c>
      <c r="S4" s="88" t="s">
        <v>131</v>
      </c>
      <c r="T4" s="88" t="s">
        <v>132</v>
      </c>
      <c r="U4" s="79" t="s">
        <v>116</v>
      </c>
      <c r="V4" s="88" t="s">
        <v>131</v>
      </c>
      <c r="W4" s="88" t="s">
        <v>132</v>
      </c>
    </row>
    <row r="5" spans="2:23" ht="13.5">
      <c r="B5" s="554">
        <v>46211</v>
      </c>
      <c r="C5" s="463"/>
      <c r="D5" s="80">
        <v>46203</v>
      </c>
      <c r="E5" s="437" t="s">
        <v>118</v>
      </c>
      <c r="F5" s="87">
        <v>414.46181534434942</v>
      </c>
      <c r="G5" s="569">
        <f t="shared" ref="G5" si="0">AVERAGE(F5:F11)</f>
        <v>428.26228500709522</v>
      </c>
      <c r="H5" s="465"/>
      <c r="I5" s="153">
        <f t="shared" ref="I5:I11" si="1">F5/$C$1</f>
        <v>0.92596473490694686</v>
      </c>
      <c r="J5" s="568">
        <f t="shared" ref="J5" si="2">AVERAGE(I5:I11)</f>
        <v>0.95679688339386781</v>
      </c>
      <c r="K5" s="464"/>
      <c r="L5" s="161">
        <v>2.0100000000000001E-3</v>
      </c>
      <c r="M5" s="570">
        <f>AVERAGE(L5:L11)</f>
        <v>2.0078679563627412E-3</v>
      </c>
      <c r="N5" s="466"/>
      <c r="O5" s="84">
        <v>6.0000000000000001E-3</v>
      </c>
      <c r="P5" s="567">
        <f t="shared" ref="P5" si="3">AVERAGE(O5:O11)</f>
        <v>6.0119541038000657E-3</v>
      </c>
      <c r="Q5" s="466"/>
      <c r="R5" s="153">
        <v>0.9</v>
      </c>
      <c r="S5" s="568">
        <f t="shared" ref="S5" si="4">AVERAGE(R5:R11)</f>
        <v>0.90000000000000013</v>
      </c>
      <c r="T5" s="464"/>
      <c r="U5" s="153">
        <f>27/52*100%</f>
        <v>0.51923076923076927</v>
      </c>
      <c r="V5" s="553">
        <f t="shared" ref="V5" si="5">AVERAGE(U5:U11)</f>
        <v>0.51923076923076927</v>
      </c>
      <c r="W5" s="464"/>
    </row>
    <row r="6" spans="2:23">
      <c r="B6" s="554"/>
      <c r="C6" s="557" t="s">
        <v>698</v>
      </c>
      <c r="D6" s="80">
        <f t="shared" ref="D6:D7" si="6">D5+1</f>
        <v>46204</v>
      </c>
      <c r="E6" s="437" t="s">
        <v>112</v>
      </c>
      <c r="F6" s="87">
        <v>435.9796886499139</v>
      </c>
      <c r="G6" s="569"/>
      <c r="H6" s="571">
        <f>AVERAGEIF(F6:F36,"&lt;&gt;0")</f>
        <v>434.66889417885551</v>
      </c>
      <c r="I6" s="153">
        <f t="shared" si="1"/>
        <v>0.97403862522322138</v>
      </c>
      <c r="J6" s="568"/>
      <c r="K6" s="567">
        <f>AVERAGEIF(I6:I36,"&lt;&gt;0")</f>
        <v>0.97111012997956991</v>
      </c>
      <c r="L6" s="161">
        <v>2.0079059630564006E-3</v>
      </c>
      <c r="M6" s="570"/>
      <c r="N6" s="570">
        <f>AVERAGEIF(L6:L36,"&lt;&gt;0")</f>
        <v>2.0067058203413666E-3</v>
      </c>
      <c r="O6" s="84">
        <v>6.0181155680973713E-3</v>
      </c>
      <c r="P6" s="567"/>
      <c r="Q6" s="570">
        <f>AVERAGEIF(O6:O36,"&lt;&gt;0")</f>
        <v>6.0144112131268234E-3</v>
      </c>
      <c r="R6" s="153">
        <v>0.9</v>
      </c>
      <c r="S6" s="568"/>
      <c r="T6" s="567">
        <f>AVERAGEIF(R6:R36,"&lt;&gt;0")</f>
        <v>0.89999999999999947</v>
      </c>
      <c r="U6" s="153">
        <f t="shared" ref="U6:U11" si="7">27/52*100%</f>
        <v>0.51923076923076927</v>
      </c>
      <c r="V6" s="553"/>
      <c r="W6" s="567">
        <f>AVERAGEIF(U6:U36,"&lt;&gt;0")</f>
        <v>0.55521091811414403</v>
      </c>
    </row>
    <row r="7" spans="2:23">
      <c r="B7" s="554"/>
      <c r="C7" s="557"/>
      <c r="D7" s="80">
        <f t="shared" si="6"/>
        <v>46205</v>
      </c>
      <c r="E7" s="437" t="s">
        <v>113</v>
      </c>
      <c r="F7" s="87">
        <v>436.43136818362393</v>
      </c>
      <c r="G7" s="569"/>
      <c r="H7" s="571"/>
      <c r="I7" s="153">
        <f t="shared" si="1"/>
        <v>0.97504773946296674</v>
      </c>
      <c r="J7" s="568"/>
      <c r="K7" s="567"/>
      <c r="L7" s="161">
        <v>2.0058934872632561E-3</v>
      </c>
      <c r="M7" s="570"/>
      <c r="N7" s="570"/>
      <c r="O7" s="84">
        <v>6.0118097793846505E-3</v>
      </c>
      <c r="P7" s="567"/>
      <c r="Q7" s="570"/>
      <c r="R7" s="153">
        <v>0.9</v>
      </c>
      <c r="S7" s="568"/>
      <c r="T7" s="567"/>
      <c r="U7" s="153">
        <f t="shared" si="7"/>
        <v>0.51923076923076927</v>
      </c>
      <c r="V7" s="553"/>
      <c r="W7" s="567"/>
    </row>
    <row r="8" spans="2:23">
      <c r="B8" s="554"/>
      <c r="C8" s="557"/>
      <c r="D8" s="80">
        <f t="shared" ref="D8:D67" si="8">D7+1</f>
        <v>46206</v>
      </c>
      <c r="E8" s="437" t="s">
        <v>114</v>
      </c>
      <c r="F8" s="87">
        <v>437.68597176719646</v>
      </c>
      <c r="G8" s="569"/>
      <c r="H8" s="571"/>
      <c r="I8" s="153">
        <f t="shared" si="1"/>
        <v>0.97785069653082313</v>
      </c>
      <c r="J8" s="568"/>
      <c r="K8" s="567"/>
      <c r="L8" s="161">
        <v>2.0024104467497869E-3</v>
      </c>
      <c r="M8" s="570"/>
      <c r="N8" s="570"/>
      <c r="O8" s="84">
        <v>6.0083486609464661E-3</v>
      </c>
      <c r="P8" s="567"/>
      <c r="Q8" s="570"/>
      <c r="R8" s="153">
        <v>0.9</v>
      </c>
      <c r="S8" s="568"/>
      <c r="T8" s="567"/>
      <c r="U8" s="153">
        <f t="shared" si="7"/>
        <v>0.51923076923076927</v>
      </c>
      <c r="V8" s="553"/>
      <c r="W8" s="567"/>
    </row>
    <row r="9" spans="2:23">
      <c r="B9" s="554"/>
      <c r="C9" s="557"/>
      <c r="D9" s="80">
        <f t="shared" si="8"/>
        <v>46207</v>
      </c>
      <c r="E9" s="437" t="s">
        <v>115</v>
      </c>
      <c r="F9" s="87">
        <v>437.88829044195768</v>
      </c>
      <c r="G9" s="569"/>
      <c r="H9" s="571"/>
      <c r="I9" s="153">
        <f t="shared" si="1"/>
        <v>0.97830270429391786</v>
      </c>
      <c r="J9" s="568"/>
      <c r="K9" s="567"/>
      <c r="L9" s="161">
        <v>2.0044784852963531E-3</v>
      </c>
      <c r="M9" s="570"/>
      <c r="N9" s="570"/>
      <c r="O9" s="84">
        <v>6.0121683980489367E-3</v>
      </c>
      <c r="P9" s="567"/>
      <c r="Q9" s="570"/>
      <c r="R9" s="153">
        <v>0.9</v>
      </c>
      <c r="S9" s="568"/>
      <c r="T9" s="567"/>
      <c r="U9" s="153">
        <f t="shared" si="7"/>
        <v>0.51923076923076927</v>
      </c>
      <c r="V9" s="553"/>
      <c r="W9" s="567"/>
    </row>
    <row r="10" spans="2:23">
      <c r="B10" s="554"/>
      <c r="C10" s="557"/>
      <c r="D10" s="80">
        <f t="shared" si="8"/>
        <v>46208</v>
      </c>
      <c r="E10" s="437" t="s">
        <v>116</v>
      </c>
      <c r="F10" s="87">
        <v>417.67210073056992</v>
      </c>
      <c r="G10" s="569"/>
      <c r="H10" s="571"/>
      <c r="I10" s="153">
        <f t="shared" si="1"/>
        <v>0.93313695426847609</v>
      </c>
      <c r="J10" s="568"/>
      <c r="K10" s="567"/>
      <c r="L10" s="161">
        <v>2.0142457294361816E-3</v>
      </c>
      <c r="M10" s="570"/>
      <c r="N10" s="570"/>
      <c r="O10" s="84">
        <v>6.023704357396689E-3</v>
      </c>
      <c r="P10" s="567"/>
      <c r="Q10" s="570"/>
      <c r="R10" s="153">
        <v>0.9</v>
      </c>
      <c r="S10" s="568"/>
      <c r="T10" s="567"/>
      <c r="U10" s="153">
        <f t="shared" si="7"/>
        <v>0.51923076923076927</v>
      </c>
      <c r="V10" s="553"/>
      <c r="W10" s="567"/>
    </row>
    <row r="11" spans="2:23">
      <c r="B11" s="554"/>
      <c r="C11" s="557"/>
      <c r="D11" s="80">
        <f t="shared" si="8"/>
        <v>46209</v>
      </c>
      <c r="E11" s="437" t="s">
        <v>117</v>
      </c>
      <c r="F11" s="87">
        <v>417.71675993205571</v>
      </c>
      <c r="G11" s="569"/>
      <c r="H11" s="571"/>
      <c r="I11" s="153">
        <f t="shared" si="1"/>
        <v>0.93323672907072319</v>
      </c>
      <c r="J11" s="568"/>
      <c r="K11" s="567"/>
      <c r="L11" s="161">
        <v>2.0101415827372131E-3</v>
      </c>
      <c r="M11" s="570"/>
      <c r="N11" s="570"/>
      <c r="O11" s="84">
        <v>6.0095319627263477E-3</v>
      </c>
      <c r="P11" s="567"/>
      <c r="Q11" s="570"/>
      <c r="R11" s="153">
        <v>0.9</v>
      </c>
      <c r="S11" s="568"/>
      <c r="T11" s="567"/>
      <c r="U11" s="153">
        <f t="shared" si="7"/>
        <v>0.51923076923076927</v>
      </c>
      <c r="V11" s="553"/>
      <c r="W11" s="567"/>
    </row>
    <row r="12" spans="2:23">
      <c r="B12" s="554">
        <f t="shared" ref="B12:B26" si="9">B5+7</f>
        <v>46218</v>
      </c>
      <c r="C12" s="557"/>
      <c r="D12" s="80">
        <f t="shared" si="8"/>
        <v>46210</v>
      </c>
      <c r="E12" s="437" t="s">
        <v>118</v>
      </c>
      <c r="F12" s="87">
        <v>423.14212650917972</v>
      </c>
      <c r="G12" s="569">
        <f t="shared" ref="G12" si="10">AVERAGE(F12:F18)</f>
        <v>427.48888392303405</v>
      </c>
      <c r="H12" s="571"/>
      <c r="I12" s="153">
        <f t="shared" ref="I12:I32" si="11">F12/$C$1</f>
        <v>0.94535774465857836</v>
      </c>
      <c r="J12" s="568">
        <f t="shared" ref="J12" si="12">AVERAGE(I12:I18)</f>
        <v>0.95506899893439245</v>
      </c>
      <c r="K12" s="567"/>
      <c r="L12" s="161">
        <v>2.01997397309206E-3</v>
      </c>
      <c r="M12" s="570">
        <f t="shared" ref="M12" si="13">AVERAGE(L12:L18)</f>
        <v>2.0128889834199601E-3</v>
      </c>
      <c r="N12" s="570"/>
      <c r="O12" s="84">
        <v>6.0496513463566964E-3</v>
      </c>
      <c r="P12" s="567">
        <f t="shared" ref="P12" si="14">AVERAGE(O12:O18)</f>
        <v>6.0293903208747399E-3</v>
      </c>
      <c r="Q12" s="570"/>
      <c r="R12" s="153">
        <v>0.9</v>
      </c>
      <c r="S12" s="568">
        <f t="shared" ref="S12" si="15">AVERAGE(R12:R18)</f>
        <v>0.90000000000000013</v>
      </c>
      <c r="T12" s="567"/>
      <c r="U12" s="153">
        <f>28/52*100%</f>
        <v>0.53846153846153844</v>
      </c>
      <c r="V12" s="553">
        <f t="shared" ref="V12" si="16">AVERAGE(U12:U18)</f>
        <v>0.53846153846153844</v>
      </c>
      <c r="W12" s="567"/>
    </row>
    <row r="13" spans="2:23">
      <c r="B13" s="554"/>
      <c r="C13" s="557"/>
      <c r="D13" s="80">
        <f t="shared" si="8"/>
        <v>46211</v>
      </c>
      <c r="E13" s="437" t="s">
        <v>112</v>
      </c>
      <c r="F13" s="87">
        <v>423.43805459690589</v>
      </c>
      <c r="G13" s="569"/>
      <c r="H13" s="571"/>
      <c r="I13" s="153">
        <f t="shared" si="11"/>
        <v>0.94601888873303364</v>
      </c>
      <c r="J13" s="568"/>
      <c r="K13" s="567"/>
      <c r="L13" s="161">
        <v>2.0159882377606322E-3</v>
      </c>
      <c r="M13" s="570"/>
      <c r="N13" s="570"/>
      <c r="O13" s="84">
        <v>6.0363254110326649E-3</v>
      </c>
      <c r="P13" s="567"/>
      <c r="Q13" s="570"/>
      <c r="R13" s="153">
        <v>0.9</v>
      </c>
      <c r="S13" s="568"/>
      <c r="T13" s="567"/>
      <c r="U13" s="153">
        <f t="shared" ref="U13:U18" si="17">28/52*100%</f>
        <v>0.53846153846153844</v>
      </c>
      <c r="V13" s="553"/>
      <c r="W13" s="567"/>
    </row>
    <row r="14" spans="2:23">
      <c r="B14" s="554"/>
      <c r="C14" s="557"/>
      <c r="D14" s="80">
        <f t="shared" si="8"/>
        <v>46212</v>
      </c>
      <c r="E14" s="437" t="s">
        <v>113</v>
      </c>
      <c r="F14" s="87">
        <v>422.02496212665733</v>
      </c>
      <c r="G14" s="569"/>
      <c r="H14" s="571"/>
      <c r="I14" s="153">
        <f t="shared" si="11"/>
        <v>0.94286184568064635</v>
      </c>
      <c r="J14" s="568"/>
      <c r="K14" s="567"/>
      <c r="L14" s="161">
        <v>2.0104574943152777E-3</v>
      </c>
      <c r="M14" s="570"/>
      <c r="N14" s="570"/>
      <c r="O14" s="84">
        <v>5.9852622094669862E-3</v>
      </c>
      <c r="P14" s="567"/>
      <c r="Q14" s="570"/>
      <c r="R14" s="153">
        <v>0.9</v>
      </c>
      <c r="S14" s="568"/>
      <c r="T14" s="567"/>
      <c r="U14" s="153">
        <f t="shared" si="17"/>
        <v>0.53846153846153844</v>
      </c>
      <c r="V14" s="553"/>
      <c r="W14" s="567"/>
    </row>
    <row r="15" spans="2:23">
      <c r="B15" s="554"/>
      <c r="C15" s="557"/>
      <c r="D15" s="80">
        <f t="shared" si="8"/>
        <v>46213</v>
      </c>
      <c r="E15" s="437" t="s">
        <v>114</v>
      </c>
      <c r="F15" s="87">
        <v>443.36312463499223</v>
      </c>
      <c r="G15" s="569"/>
      <c r="H15" s="571"/>
      <c r="I15" s="153">
        <f t="shared" si="11"/>
        <v>0.99053423734359292</v>
      </c>
      <c r="J15" s="568"/>
      <c r="K15" s="567"/>
      <c r="L15" s="161">
        <v>2.0041492770200707E-3</v>
      </c>
      <c r="M15" s="570"/>
      <c r="N15" s="570"/>
      <c r="O15" s="84">
        <v>5.9880401793099454E-3</v>
      </c>
      <c r="P15" s="567"/>
      <c r="Q15" s="570"/>
      <c r="R15" s="153">
        <v>0.9</v>
      </c>
      <c r="S15" s="568"/>
      <c r="T15" s="567"/>
      <c r="U15" s="153">
        <f t="shared" si="17"/>
        <v>0.53846153846153844</v>
      </c>
      <c r="V15" s="553"/>
      <c r="W15" s="567"/>
    </row>
    <row r="16" spans="2:23">
      <c r="B16" s="554"/>
      <c r="C16" s="557"/>
      <c r="D16" s="80">
        <f t="shared" si="8"/>
        <v>46214</v>
      </c>
      <c r="E16" s="437" t="s">
        <v>115</v>
      </c>
      <c r="F16" s="87">
        <v>440.60112152835706</v>
      </c>
      <c r="G16" s="569"/>
      <c r="H16" s="571"/>
      <c r="I16" s="153">
        <f t="shared" si="11"/>
        <v>0.9843635422885546</v>
      </c>
      <c r="J16" s="568"/>
      <c r="K16" s="567"/>
      <c r="L16" s="161">
        <v>2.0097746684132772E-3</v>
      </c>
      <c r="M16" s="570"/>
      <c r="N16" s="570"/>
      <c r="O16" s="84">
        <v>6.0040976519718861E-3</v>
      </c>
      <c r="P16" s="567"/>
      <c r="Q16" s="570"/>
      <c r="R16" s="153">
        <v>0.9</v>
      </c>
      <c r="S16" s="568"/>
      <c r="T16" s="567"/>
      <c r="U16" s="153">
        <f t="shared" si="17"/>
        <v>0.53846153846153844</v>
      </c>
      <c r="V16" s="553"/>
      <c r="W16" s="567"/>
    </row>
    <row r="17" spans="2:23">
      <c r="B17" s="554"/>
      <c r="C17" s="557"/>
      <c r="D17" s="80">
        <f t="shared" si="8"/>
        <v>46215</v>
      </c>
      <c r="E17" s="437" t="s">
        <v>116</v>
      </c>
      <c r="F17" s="87">
        <v>420.01861021098057</v>
      </c>
      <c r="G17" s="569"/>
      <c r="H17" s="571"/>
      <c r="I17" s="153">
        <f t="shared" si="11"/>
        <v>0.93837937938110039</v>
      </c>
      <c r="J17" s="568"/>
      <c r="K17" s="567"/>
      <c r="L17" s="161">
        <v>2.0195443593012644E-3</v>
      </c>
      <c r="M17" s="570"/>
      <c r="N17" s="570"/>
      <c r="O17" s="84">
        <v>6.1082606383379553E-3</v>
      </c>
      <c r="P17" s="567"/>
      <c r="Q17" s="570"/>
      <c r="R17" s="153">
        <v>0.9</v>
      </c>
      <c r="S17" s="568"/>
      <c r="T17" s="567"/>
      <c r="U17" s="153">
        <f t="shared" si="17"/>
        <v>0.53846153846153844</v>
      </c>
      <c r="V17" s="553"/>
      <c r="W17" s="567"/>
    </row>
    <row r="18" spans="2:23">
      <c r="B18" s="554"/>
      <c r="C18" s="557"/>
      <c r="D18" s="80">
        <f t="shared" si="8"/>
        <v>46216</v>
      </c>
      <c r="E18" s="437" t="s">
        <v>117</v>
      </c>
      <c r="F18" s="87">
        <v>419.8341878541658</v>
      </c>
      <c r="G18" s="569"/>
      <c r="H18" s="571"/>
      <c r="I18" s="153">
        <f t="shared" si="11"/>
        <v>0.93796735445524082</v>
      </c>
      <c r="J18" s="568"/>
      <c r="K18" s="567"/>
      <c r="L18" s="161">
        <v>2.0103348740371399E-3</v>
      </c>
      <c r="M18" s="570"/>
      <c r="N18" s="570"/>
      <c r="O18" s="84">
        <v>6.0340948096470485E-3</v>
      </c>
      <c r="P18" s="567"/>
      <c r="Q18" s="570"/>
      <c r="R18" s="153">
        <v>0.9</v>
      </c>
      <c r="S18" s="568"/>
      <c r="T18" s="567"/>
      <c r="U18" s="153">
        <f t="shared" si="17"/>
        <v>0.53846153846153844</v>
      </c>
      <c r="V18" s="553"/>
      <c r="W18" s="567"/>
    </row>
    <row r="19" spans="2:23">
      <c r="B19" s="554">
        <f t="shared" si="9"/>
        <v>46225</v>
      </c>
      <c r="C19" s="557"/>
      <c r="D19" s="80">
        <f t="shared" si="8"/>
        <v>46217</v>
      </c>
      <c r="E19" s="437" t="s">
        <v>118</v>
      </c>
      <c r="F19" s="87">
        <v>418.55908210182844</v>
      </c>
      <c r="G19" s="569">
        <f t="shared" ref="G19" si="18">AVERAGE(F19:F25)</f>
        <v>435.74576471933477</v>
      </c>
      <c r="H19" s="571"/>
      <c r="I19" s="153">
        <f t="shared" si="11"/>
        <v>0.93511859272079634</v>
      </c>
      <c r="J19" s="568">
        <f t="shared" ref="J19" si="19">AVERAGE(I19:I25)</f>
        <v>0.97351600696902307</v>
      </c>
      <c r="K19" s="567"/>
      <c r="L19" s="161">
        <v>2.0063636481484409E-3</v>
      </c>
      <c r="M19" s="570">
        <f t="shared" ref="M19" si="20">AVERAGE(L19:L25)</f>
        <v>2.0036678728904632E-3</v>
      </c>
      <c r="N19" s="570"/>
      <c r="O19" s="84">
        <v>6.0199613156142577E-3</v>
      </c>
      <c r="P19" s="567">
        <f t="shared" ref="P19" si="21">AVERAGE(O19:O25)</f>
        <v>6.0137090526054928E-3</v>
      </c>
      <c r="Q19" s="570"/>
      <c r="R19" s="153">
        <v>0.9</v>
      </c>
      <c r="S19" s="568">
        <f t="shared" ref="S19" si="22">AVERAGE(R19:R25)</f>
        <v>0.90000000000000013</v>
      </c>
      <c r="T19" s="567"/>
      <c r="U19" s="153">
        <f>29/52*100%</f>
        <v>0.55769230769230771</v>
      </c>
      <c r="V19" s="553">
        <f t="shared" ref="V19" si="23">AVERAGE(U19:U25)</f>
        <v>0.5576923076923076</v>
      </c>
      <c r="W19" s="567"/>
    </row>
    <row r="20" spans="2:23">
      <c r="B20" s="554"/>
      <c r="C20" s="557"/>
      <c r="D20" s="80">
        <f t="shared" si="8"/>
        <v>46218</v>
      </c>
      <c r="E20" s="437" t="s">
        <v>112</v>
      </c>
      <c r="F20" s="87">
        <v>437.52615109568922</v>
      </c>
      <c r="G20" s="569"/>
      <c r="H20" s="571"/>
      <c r="I20" s="153">
        <f t="shared" si="11"/>
        <v>0.97749363515569521</v>
      </c>
      <c r="J20" s="568"/>
      <c r="K20" s="567"/>
      <c r="L20" s="161">
        <v>2.0015267682233304E-3</v>
      </c>
      <c r="M20" s="570"/>
      <c r="N20" s="570"/>
      <c r="O20" s="84">
        <v>6.0137341173448914E-3</v>
      </c>
      <c r="P20" s="567"/>
      <c r="Q20" s="570"/>
      <c r="R20" s="153">
        <v>0.9</v>
      </c>
      <c r="S20" s="568"/>
      <c r="T20" s="567"/>
      <c r="U20" s="153">
        <f t="shared" ref="U20:U25" si="24">29/52*100%</f>
        <v>0.55769230769230771</v>
      </c>
      <c r="V20" s="553"/>
      <c r="W20" s="567"/>
    </row>
    <row r="21" spans="2:23">
      <c r="B21" s="554"/>
      <c r="C21" s="557"/>
      <c r="D21" s="80">
        <f t="shared" si="8"/>
        <v>46219</v>
      </c>
      <c r="E21" s="437" t="s">
        <v>113</v>
      </c>
      <c r="F21" s="87">
        <v>437.96387606815648</v>
      </c>
      <c r="G21" s="569"/>
      <c r="H21" s="571"/>
      <c r="I21" s="153">
        <f t="shared" si="11"/>
        <v>0.97847157298515741</v>
      </c>
      <c r="J21" s="568"/>
      <c r="K21" s="567"/>
      <c r="L21" s="161">
        <v>2.0004877354308655E-3</v>
      </c>
      <c r="M21" s="570"/>
      <c r="N21" s="570"/>
      <c r="O21" s="84">
        <v>6.0104612100073561E-3</v>
      </c>
      <c r="P21" s="567"/>
      <c r="Q21" s="570"/>
      <c r="R21" s="153">
        <v>0.9</v>
      </c>
      <c r="S21" s="568"/>
      <c r="T21" s="567"/>
      <c r="U21" s="153">
        <f t="shared" si="24"/>
        <v>0.55769230769230771</v>
      </c>
      <c r="V21" s="553"/>
      <c r="W21" s="567"/>
    </row>
    <row r="22" spans="2:23">
      <c r="B22" s="554"/>
      <c r="C22" s="557"/>
      <c r="D22" s="80">
        <f t="shared" si="8"/>
        <v>46220</v>
      </c>
      <c r="E22" s="437" t="s">
        <v>114</v>
      </c>
      <c r="F22" s="87">
        <v>440.66020911090556</v>
      </c>
      <c r="G22" s="569"/>
      <c r="H22" s="571"/>
      <c r="I22" s="153">
        <f t="shared" si="11"/>
        <v>0.98449555207977102</v>
      </c>
      <c r="J22" s="568"/>
      <c r="K22" s="567"/>
      <c r="L22" s="161">
        <v>1.9975764063832357E-3</v>
      </c>
      <c r="M22" s="570"/>
      <c r="N22" s="570"/>
      <c r="O22" s="84">
        <v>6.0076929050619657E-3</v>
      </c>
      <c r="P22" s="567"/>
      <c r="Q22" s="570"/>
      <c r="R22" s="153">
        <v>0.9</v>
      </c>
      <c r="S22" s="568"/>
      <c r="T22" s="567"/>
      <c r="U22" s="153">
        <f t="shared" si="24"/>
        <v>0.55769230769230771</v>
      </c>
      <c r="V22" s="553"/>
      <c r="W22" s="567"/>
    </row>
    <row r="23" spans="2:23">
      <c r="B23" s="554"/>
      <c r="C23" s="557"/>
      <c r="D23" s="80">
        <f t="shared" si="8"/>
        <v>46221</v>
      </c>
      <c r="E23" s="437" t="s">
        <v>115</v>
      </c>
      <c r="F23" s="87">
        <v>438.37297460865057</v>
      </c>
      <c r="G23" s="569"/>
      <c r="H23" s="571"/>
      <c r="I23" s="153">
        <f t="shared" si="11"/>
        <v>0.97938555542593952</v>
      </c>
      <c r="J23" s="568"/>
      <c r="K23" s="567"/>
      <c r="L23" s="161">
        <v>1.9995970662646141E-3</v>
      </c>
      <c r="M23" s="570"/>
      <c r="N23" s="570"/>
      <c r="O23" s="84">
        <v>6.0103891813777718E-3</v>
      </c>
      <c r="P23" s="567"/>
      <c r="Q23" s="570"/>
      <c r="R23" s="153">
        <v>0.9</v>
      </c>
      <c r="S23" s="568"/>
      <c r="T23" s="567"/>
      <c r="U23" s="153">
        <f t="shared" si="24"/>
        <v>0.55769230769230771</v>
      </c>
      <c r="V23" s="553"/>
      <c r="W23" s="567"/>
    </row>
    <row r="24" spans="2:23">
      <c r="B24" s="554"/>
      <c r="C24" s="557"/>
      <c r="D24" s="80">
        <f t="shared" si="8"/>
        <v>46222</v>
      </c>
      <c r="E24" s="437" t="s">
        <v>116</v>
      </c>
      <c r="F24" s="87">
        <v>438.70799237233746</v>
      </c>
      <c r="G24" s="569"/>
      <c r="H24" s="571"/>
      <c r="I24" s="153">
        <f t="shared" si="11"/>
        <v>0.98013403121612475</v>
      </c>
      <c r="J24" s="568"/>
      <c r="K24" s="567"/>
      <c r="L24" s="161">
        <v>2.0142841749908077E-3</v>
      </c>
      <c r="M24" s="570"/>
      <c r="N24" s="570"/>
      <c r="O24" s="84">
        <v>6.0178085302766927E-3</v>
      </c>
      <c r="P24" s="567"/>
      <c r="Q24" s="570"/>
      <c r="R24" s="153">
        <v>0.9</v>
      </c>
      <c r="S24" s="568"/>
      <c r="T24" s="567"/>
      <c r="U24" s="153">
        <f t="shared" si="24"/>
        <v>0.55769230769230771</v>
      </c>
      <c r="V24" s="553"/>
      <c r="W24" s="567"/>
    </row>
    <row r="25" spans="2:23">
      <c r="B25" s="554"/>
      <c r="C25" s="557"/>
      <c r="D25" s="80">
        <f t="shared" si="8"/>
        <v>46223</v>
      </c>
      <c r="E25" s="437" t="s">
        <v>117</v>
      </c>
      <c r="F25" s="87">
        <v>438.43006767777587</v>
      </c>
      <c r="G25" s="569"/>
      <c r="H25" s="571"/>
      <c r="I25" s="153">
        <f t="shared" si="11"/>
        <v>0.97951310919967793</v>
      </c>
      <c r="J25" s="568"/>
      <c r="K25" s="567"/>
      <c r="L25" s="161">
        <v>2.0058393107919496E-3</v>
      </c>
      <c r="M25" s="570"/>
      <c r="N25" s="570"/>
      <c r="O25" s="84">
        <v>6.0159161085555166E-3</v>
      </c>
      <c r="P25" s="567"/>
      <c r="Q25" s="570"/>
      <c r="R25" s="153">
        <v>0.9</v>
      </c>
      <c r="S25" s="568"/>
      <c r="T25" s="567"/>
      <c r="U25" s="153">
        <f t="shared" si="24"/>
        <v>0.55769230769230771</v>
      </c>
      <c r="V25" s="553"/>
      <c r="W25" s="567"/>
    </row>
    <row r="26" spans="2:23">
      <c r="B26" s="554">
        <f t="shared" si="9"/>
        <v>46232</v>
      </c>
      <c r="C26" s="557"/>
      <c r="D26" s="80">
        <f t="shared" si="8"/>
        <v>46224</v>
      </c>
      <c r="E26" s="437" t="s">
        <v>118</v>
      </c>
      <c r="F26" s="87">
        <v>440.43417755759845</v>
      </c>
      <c r="G26" s="569">
        <f t="shared" ref="G26" si="25">AVERAGE(F26:F32)</f>
        <v>441.49780424819073</v>
      </c>
      <c r="H26" s="571"/>
      <c r="I26" s="153">
        <f t="shared" si="11"/>
        <v>0.98399056648257022</v>
      </c>
      <c r="J26" s="568">
        <f t="shared" ref="J26" si="26">AVERAGE(I26:I32)</f>
        <v>0.98636685488871922</v>
      </c>
      <c r="K26" s="567"/>
      <c r="L26" s="161">
        <v>2.0121596255166033E-3</v>
      </c>
      <c r="M26" s="570">
        <f t="shared" ref="M26" si="27">AVERAGE(L26:L32)</f>
        <v>2.0065977899126211E-3</v>
      </c>
      <c r="N26" s="570"/>
      <c r="O26" s="84">
        <v>6.0216201354772094E-3</v>
      </c>
      <c r="P26" s="567">
        <f t="shared" ref="P26" si="28">AVERAGE(O26:O32)</f>
        <v>6.0087082506956133E-3</v>
      </c>
      <c r="Q26" s="570"/>
      <c r="R26" s="153">
        <v>0.9</v>
      </c>
      <c r="S26" s="568">
        <f t="shared" ref="S26" si="29">AVERAGE(R26:R32)</f>
        <v>0.90000000000000013</v>
      </c>
      <c r="T26" s="567"/>
      <c r="U26" s="153">
        <f>30/52*100%</f>
        <v>0.57692307692307687</v>
      </c>
      <c r="V26" s="553">
        <f t="shared" ref="V26" si="30">AVERAGE(U26:U32)</f>
        <v>0.57692307692307676</v>
      </c>
      <c r="W26" s="567"/>
    </row>
    <row r="27" spans="2:23">
      <c r="B27" s="554"/>
      <c r="C27" s="557"/>
      <c r="D27" s="80">
        <f t="shared" si="8"/>
        <v>46225</v>
      </c>
      <c r="E27" s="437" t="s">
        <v>112</v>
      </c>
      <c r="F27" s="87">
        <v>440.49069103980582</v>
      </c>
      <c r="G27" s="569"/>
      <c r="H27" s="571"/>
      <c r="I27" s="153">
        <f t="shared" si="11"/>
        <v>0.98411682537936951</v>
      </c>
      <c r="J27" s="568"/>
      <c r="K27" s="567"/>
      <c r="L27" s="161">
        <v>2.0081772655394597E-3</v>
      </c>
      <c r="M27" s="570"/>
      <c r="N27" s="570"/>
      <c r="O27" s="84">
        <v>6.0099663862878908E-3</v>
      </c>
      <c r="P27" s="567"/>
      <c r="Q27" s="570"/>
      <c r="R27" s="153">
        <v>0.9</v>
      </c>
      <c r="S27" s="568"/>
      <c r="T27" s="567"/>
      <c r="U27" s="153">
        <f t="shared" ref="U27:U32" si="31">30/52*100%</f>
        <v>0.57692307692307687</v>
      </c>
      <c r="V27" s="553"/>
      <c r="W27" s="567"/>
    </row>
    <row r="28" spans="2:23">
      <c r="B28" s="554"/>
      <c r="C28" s="557"/>
      <c r="D28" s="80">
        <f t="shared" si="8"/>
        <v>46226</v>
      </c>
      <c r="E28" s="437" t="s">
        <v>113</v>
      </c>
      <c r="F28" s="87">
        <v>440.16549182952321</v>
      </c>
      <c r="G28" s="569"/>
      <c r="H28" s="571"/>
      <c r="I28" s="153">
        <f t="shared" si="11"/>
        <v>0.98339028558874708</v>
      </c>
      <c r="J28" s="568"/>
      <c r="K28" s="567"/>
      <c r="L28" s="161">
        <v>2.0040451086375758E-3</v>
      </c>
      <c r="M28" s="570"/>
      <c r="N28" s="570"/>
      <c r="O28" s="84">
        <v>6.0042431414916849E-3</v>
      </c>
      <c r="P28" s="567"/>
      <c r="Q28" s="570"/>
      <c r="R28" s="153">
        <v>0.9</v>
      </c>
      <c r="S28" s="568"/>
      <c r="T28" s="567"/>
      <c r="U28" s="153">
        <f t="shared" si="31"/>
        <v>0.57692307692307687</v>
      </c>
      <c r="V28" s="553"/>
      <c r="W28" s="567"/>
    </row>
    <row r="29" spans="2:23">
      <c r="B29" s="554"/>
      <c r="C29" s="557"/>
      <c r="D29" s="80">
        <f t="shared" si="8"/>
        <v>46227</v>
      </c>
      <c r="E29" s="437" t="s">
        <v>114</v>
      </c>
      <c r="F29" s="87">
        <v>444.54608191581366</v>
      </c>
      <c r="G29" s="569"/>
      <c r="H29" s="571"/>
      <c r="I29" s="153">
        <f t="shared" si="11"/>
        <v>0.99317712671093306</v>
      </c>
      <c r="J29" s="568"/>
      <c r="K29" s="567"/>
      <c r="L29" s="161">
        <v>2.0004196011170618E-3</v>
      </c>
      <c r="M29" s="570"/>
      <c r="N29" s="570"/>
      <c r="O29" s="84">
        <v>5.9999192600064524E-3</v>
      </c>
      <c r="P29" s="567"/>
      <c r="Q29" s="570"/>
      <c r="R29" s="153">
        <v>0.9</v>
      </c>
      <c r="S29" s="568"/>
      <c r="T29" s="567"/>
      <c r="U29" s="153">
        <f t="shared" si="31"/>
        <v>0.57692307692307687</v>
      </c>
      <c r="V29" s="553"/>
      <c r="W29" s="567"/>
    </row>
    <row r="30" spans="2:23">
      <c r="B30" s="554"/>
      <c r="C30" s="557"/>
      <c r="D30" s="80">
        <f t="shared" si="8"/>
        <v>46228</v>
      </c>
      <c r="E30" s="437" t="s">
        <v>115</v>
      </c>
      <c r="F30" s="87">
        <v>441.77334180316757</v>
      </c>
      <c r="G30" s="569"/>
      <c r="H30" s="571"/>
      <c r="I30" s="153">
        <f t="shared" si="11"/>
        <v>0.98698244370680865</v>
      </c>
      <c r="J30" s="568"/>
      <c r="K30" s="567"/>
      <c r="L30" s="161">
        <v>2.0020099627888464E-3</v>
      </c>
      <c r="M30" s="570"/>
      <c r="N30" s="570"/>
      <c r="O30" s="84">
        <v>6.0039837111941783E-3</v>
      </c>
      <c r="P30" s="567"/>
      <c r="Q30" s="570"/>
      <c r="R30" s="153">
        <v>0.9</v>
      </c>
      <c r="S30" s="568"/>
      <c r="T30" s="567"/>
      <c r="U30" s="153">
        <f t="shared" si="31"/>
        <v>0.57692307692307687</v>
      </c>
      <c r="V30" s="553"/>
      <c r="W30" s="567"/>
    </row>
    <row r="31" spans="2:23">
      <c r="B31" s="554"/>
      <c r="C31" s="557"/>
      <c r="D31" s="80">
        <f t="shared" si="8"/>
        <v>46229</v>
      </c>
      <c r="E31" s="437" t="s">
        <v>116</v>
      </c>
      <c r="F31" s="87">
        <v>441.43699803444042</v>
      </c>
      <c r="G31" s="569"/>
      <c r="H31" s="571"/>
      <c r="I31" s="153">
        <f t="shared" si="11"/>
        <v>0.98623100543887487</v>
      </c>
      <c r="J31" s="568"/>
      <c r="K31" s="567"/>
      <c r="L31" s="161">
        <v>2.0118513511665245E-3</v>
      </c>
      <c r="M31" s="570"/>
      <c r="N31" s="570"/>
      <c r="O31" s="84">
        <v>6.0136274420266788E-3</v>
      </c>
      <c r="P31" s="567"/>
      <c r="Q31" s="570"/>
      <c r="R31" s="153">
        <v>0.9</v>
      </c>
      <c r="S31" s="568"/>
      <c r="T31" s="567"/>
      <c r="U31" s="153">
        <f t="shared" si="31"/>
        <v>0.57692307692307687</v>
      </c>
      <c r="V31" s="553"/>
      <c r="W31" s="567"/>
    </row>
    <row r="32" spans="2:23">
      <c r="B32" s="554"/>
      <c r="C32" s="557"/>
      <c r="D32" s="80">
        <f t="shared" si="8"/>
        <v>46230</v>
      </c>
      <c r="E32" s="437" t="s">
        <v>117</v>
      </c>
      <c r="F32" s="87">
        <v>441.637847556986</v>
      </c>
      <c r="G32" s="569"/>
      <c r="H32" s="571"/>
      <c r="I32" s="153">
        <f t="shared" si="11"/>
        <v>0.98667973091373096</v>
      </c>
      <c r="J32" s="568"/>
      <c r="K32" s="567"/>
      <c r="L32" s="161">
        <v>2.0075216146222771E-3</v>
      </c>
      <c r="M32" s="570"/>
      <c r="N32" s="570"/>
      <c r="O32" s="84">
        <v>6.0075976783851986E-3</v>
      </c>
      <c r="P32" s="567"/>
      <c r="Q32" s="570"/>
      <c r="R32" s="153">
        <v>0.9</v>
      </c>
      <c r="S32" s="568"/>
      <c r="T32" s="567"/>
      <c r="U32" s="153">
        <f t="shared" si="31"/>
        <v>0.57692307692307687</v>
      </c>
      <c r="V32" s="553"/>
      <c r="W32" s="567"/>
    </row>
    <row r="33" spans="2:23">
      <c r="B33" s="554">
        <f t="shared" ref="B33" si="32">B26+7</f>
        <v>46239</v>
      </c>
      <c r="C33" s="557"/>
      <c r="D33" s="80">
        <f t="shared" si="8"/>
        <v>46231</v>
      </c>
      <c r="E33" s="437" t="s">
        <v>118</v>
      </c>
      <c r="F33" s="87">
        <v>435.56217864447569</v>
      </c>
      <c r="G33" s="569">
        <f t="shared" ref="G33" si="33">AVERAGE(F33:F39)</f>
        <v>441.50044683537647</v>
      </c>
      <c r="H33" s="571"/>
      <c r="I33" s="153">
        <f t="shared" ref="I33:I39" si="34">F33/$C$1</f>
        <v>0.97310585041214404</v>
      </c>
      <c r="J33" s="568">
        <f t="shared" ref="J33" si="35">AVERAGE(I33:I39)</f>
        <v>0.98637275879217257</v>
      </c>
      <c r="K33" s="567"/>
      <c r="L33" s="161">
        <v>2.003779723067786E-3</v>
      </c>
      <c r="M33" s="570">
        <f t="shared" ref="M33" si="36">AVERAGE(L33:L39)</f>
        <v>2.0021910448978601E-3</v>
      </c>
      <c r="N33" s="570"/>
      <c r="O33" s="84">
        <v>6.0038060765995179E-3</v>
      </c>
      <c r="P33" s="567">
        <f t="shared" ref="P33" si="37">AVERAGE(O33:O39)</f>
        <v>6.0080319327112108E-3</v>
      </c>
      <c r="Q33" s="570"/>
      <c r="R33" s="153">
        <v>0.9</v>
      </c>
      <c r="S33" s="568">
        <f t="shared" ref="S33" si="38">AVERAGE(R33:R39)</f>
        <v>0.90000000000000013</v>
      </c>
      <c r="T33" s="567"/>
      <c r="U33" s="153">
        <f>31/52*100%</f>
        <v>0.59615384615384615</v>
      </c>
      <c r="V33" s="553">
        <f t="shared" ref="V33" si="39">AVERAGE(U33:U39)</f>
        <v>0.59615384615384615</v>
      </c>
      <c r="W33" s="567"/>
    </row>
    <row r="34" spans="2:23">
      <c r="B34" s="554"/>
      <c r="C34" s="557"/>
      <c r="D34" s="80">
        <f t="shared" si="8"/>
        <v>46232</v>
      </c>
      <c r="E34" s="437" t="s">
        <v>112</v>
      </c>
      <c r="F34" s="87">
        <v>438.34046289481421</v>
      </c>
      <c r="G34" s="569"/>
      <c r="H34" s="571"/>
      <c r="I34" s="153">
        <f t="shared" si="34"/>
        <v>0.97931291978287349</v>
      </c>
      <c r="J34" s="568"/>
      <c r="K34" s="567"/>
      <c r="L34" s="161">
        <v>2.001947891009318E-3</v>
      </c>
      <c r="M34" s="570"/>
      <c r="N34" s="570"/>
      <c r="O34" s="84">
        <v>6.001752540493858E-3</v>
      </c>
      <c r="P34" s="567"/>
      <c r="Q34" s="570"/>
      <c r="R34" s="153">
        <v>0.9</v>
      </c>
      <c r="S34" s="568"/>
      <c r="T34" s="567"/>
      <c r="U34" s="153">
        <f t="shared" ref="U34:U39" si="40">31/52*100%</f>
        <v>0.59615384615384615</v>
      </c>
      <c r="V34" s="553"/>
      <c r="W34" s="567"/>
    </row>
    <row r="35" spans="2:23">
      <c r="B35" s="554"/>
      <c r="C35" s="557"/>
      <c r="D35" s="80">
        <f t="shared" si="8"/>
        <v>46233</v>
      </c>
      <c r="E35" s="437" t="s">
        <v>113</v>
      </c>
      <c r="F35" s="87">
        <v>441.47627351718859</v>
      </c>
      <c r="G35" s="569"/>
      <c r="H35" s="571"/>
      <c r="I35" s="153">
        <f t="shared" si="34"/>
        <v>0.98631875227253929</v>
      </c>
      <c r="J35" s="568"/>
      <c r="K35" s="567"/>
      <c r="L35" s="161">
        <v>1.998529005510217E-3</v>
      </c>
      <c r="M35" s="570"/>
      <c r="N35" s="570"/>
      <c r="O35" s="84">
        <v>5.9985558394174427E-3</v>
      </c>
      <c r="P35" s="567"/>
      <c r="Q35" s="570"/>
      <c r="R35" s="153">
        <v>0.9</v>
      </c>
      <c r="S35" s="568"/>
      <c r="T35" s="567"/>
      <c r="U35" s="153">
        <f t="shared" si="40"/>
        <v>0.59615384615384615</v>
      </c>
      <c r="V35" s="553"/>
      <c r="W35" s="567"/>
    </row>
    <row r="36" spans="2:23">
      <c r="B36" s="554"/>
      <c r="C36" s="557"/>
      <c r="D36" s="80">
        <f t="shared" si="8"/>
        <v>46234</v>
      </c>
      <c r="E36" s="437" t="s">
        <v>114</v>
      </c>
      <c r="F36" s="87">
        <v>442.8554545488073</v>
      </c>
      <c r="G36" s="569"/>
      <c r="H36" s="571"/>
      <c r="I36" s="153">
        <f t="shared" si="34"/>
        <v>0.98940003250403774</v>
      </c>
      <c r="J36" s="568"/>
      <c r="K36" s="567"/>
      <c r="L36" s="161">
        <v>1.9964655928945505E-3</v>
      </c>
      <c r="M36" s="570"/>
      <c r="N36" s="570"/>
      <c r="O36" s="84">
        <v>5.9963010545892826E-3</v>
      </c>
      <c r="P36" s="567"/>
      <c r="Q36" s="570"/>
      <c r="R36" s="153">
        <v>0.9</v>
      </c>
      <c r="S36" s="568"/>
      <c r="T36" s="567"/>
      <c r="U36" s="153">
        <f t="shared" si="40"/>
        <v>0.59615384615384615</v>
      </c>
      <c r="V36" s="553"/>
      <c r="W36" s="567"/>
    </row>
    <row r="37" spans="2:23">
      <c r="B37" s="554"/>
      <c r="C37" s="557" t="s">
        <v>707</v>
      </c>
      <c r="D37" s="80">
        <f t="shared" si="8"/>
        <v>46235</v>
      </c>
      <c r="E37" s="437" t="s">
        <v>115</v>
      </c>
      <c r="F37" s="87">
        <v>443.7999820460866</v>
      </c>
      <c r="G37" s="569"/>
      <c r="H37" s="571">
        <f>AVERAGEIF(F37:F67,"&lt;&gt;0")</f>
        <v>444.08958608078319</v>
      </c>
      <c r="I37" s="153">
        <f t="shared" si="34"/>
        <v>0.99151023692155182</v>
      </c>
      <c r="J37" s="568"/>
      <c r="K37" s="567">
        <f>AVERAGEIF(I37:I67,"&lt;&gt;0")</f>
        <v>0.99215725219120454</v>
      </c>
      <c r="L37" s="161">
        <v>2.0022606865145497E-3</v>
      </c>
      <c r="M37" s="570"/>
      <c r="N37" s="570">
        <f>AVERAGEIF(L37:L67,"&lt;&gt;0")</f>
        <v>2.0048717006010499E-3</v>
      </c>
      <c r="O37" s="84">
        <v>6.002430543274E-3</v>
      </c>
      <c r="P37" s="567"/>
      <c r="Q37" s="570">
        <f>AVERAGEIF(O37:O67,"&lt;&gt;0")</f>
        <v>6.0186026726261237E-3</v>
      </c>
      <c r="R37" s="153">
        <v>0.9</v>
      </c>
      <c r="S37" s="568"/>
      <c r="T37" s="567">
        <f>AVERAGEIF(R37:R67,"&lt;&gt;0")</f>
        <v>0.9</v>
      </c>
      <c r="U37" s="153">
        <f t="shared" si="40"/>
        <v>0.59615384615384615</v>
      </c>
      <c r="V37" s="553"/>
      <c r="W37" s="567">
        <f>AVERAGEIF(U37:U67,"&lt;&gt;0")</f>
        <v>0.59615384615384615</v>
      </c>
    </row>
    <row r="38" spans="2:23">
      <c r="B38" s="554"/>
      <c r="C38" s="557"/>
      <c r="D38" s="80">
        <f t="shared" si="8"/>
        <v>46236</v>
      </c>
      <c r="E38" s="437" t="s">
        <v>116</v>
      </c>
      <c r="F38" s="87">
        <v>443.89283392882203</v>
      </c>
      <c r="G38" s="569"/>
      <c r="H38" s="571"/>
      <c r="I38" s="153">
        <f t="shared" si="34"/>
        <v>0.99171768080612599</v>
      </c>
      <c r="J38" s="568"/>
      <c r="K38" s="567"/>
      <c r="L38" s="161">
        <v>2.0060667092847008E-3</v>
      </c>
      <c r="M38" s="570"/>
      <c r="N38" s="570"/>
      <c r="O38" s="84">
        <v>6.039855122915971E-3</v>
      </c>
      <c r="P38" s="567"/>
      <c r="Q38" s="570"/>
      <c r="R38" s="153">
        <v>0.9</v>
      </c>
      <c r="S38" s="568"/>
      <c r="T38" s="567"/>
      <c r="U38" s="153">
        <f t="shared" si="40"/>
        <v>0.59615384615384615</v>
      </c>
      <c r="V38" s="553"/>
      <c r="W38" s="567"/>
    </row>
    <row r="39" spans="2:23">
      <c r="B39" s="554"/>
      <c r="C39" s="557"/>
      <c r="D39" s="80">
        <f t="shared" si="8"/>
        <v>46237</v>
      </c>
      <c r="E39" s="437" t="s">
        <v>117</v>
      </c>
      <c r="F39" s="87">
        <v>444.57594226744095</v>
      </c>
      <c r="G39" s="569"/>
      <c r="H39" s="571"/>
      <c r="I39" s="153">
        <f t="shared" si="34"/>
        <v>0.99324383884593592</v>
      </c>
      <c r="J39" s="568"/>
      <c r="K39" s="567"/>
      <c r="L39" s="161">
        <v>2.0062877060038997E-3</v>
      </c>
      <c r="M39" s="570"/>
      <c r="N39" s="570"/>
      <c r="O39" s="84">
        <v>6.0135223516884009E-3</v>
      </c>
      <c r="P39" s="567"/>
      <c r="Q39" s="570"/>
      <c r="R39" s="153">
        <v>0.9</v>
      </c>
      <c r="S39" s="568"/>
      <c r="T39" s="567"/>
      <c r="U39" s="153">
        <f t="shared" si="40"/>
        <v>0.59615384615384615</v>
      </c>
      <c r="V39" s="553"/>
      <c r="W39" s="567"/>
    </row>
    <row r="40" spans="2:23">
      <c r="B40" s="554">
        <f t="shared" ref="B40" si="41">B33+7</f>
        <v>46246</v>
      </c>
      <c r="C40" s="557"/>
      <c r="D40" s="80">
        <f t="shared" si="8"/>
        <v>46238</v>
      </c>
      <c r="E40" s="437" t="s">
        <v>118</v>
      </c>
      <c r="G40" s="569" t="e">
        <f t="shared" ref="G40" si="42">AVERAGE(F40:F46)</f>
        <v>#DIV/0!</v>
      </c>
      <c r="H40" s="571"/>
      <c r="I40" s="153">
        <f t="shared" ref="I40:I46" si="43">F40/$C$1</f>
        <v>0</v>
      </c>
      <c r="J40" s="568">
        <f t="shared" ref="J40" si="44">AVERAGE(I40:I46)</f>
        <v>0</v>
      </c>
      <c r="K40" s="567"/>
      <c r="L40" s="161"/>
      <c r="M40" s="570" t="e">
        <f t="shared" ref="M40" si="45">AVERAGE(L40:L46)</f>
        <v>#DIV/0!</v>
      </c>
      <c r="N40" s="570"/>
      <c r="O40" s="84"/>
      <c r="P40" s="567" t="e">
        <f t="shared" ref="P40" si="46">AVERAGE(O40:O46)</f>
        <v>#DIV/0!</v>
      </c>
      <c r="Q40" s="570"/>
      <c r="R40" s="153"/>
      <c r="S40" s="568" t="e">
        <f t="shared" ref="S40" si="47">AVERAGE(R40:R46)</f>
        <v>#DIV/0!</v>
      </c>
      <c r="T40" s="567"/>
      <c r="U40" s="153"/>
      <c r="V40" s="553" t="e">
        <f t="shared" ref="V40" si="48">AVERAGE(U40:U46)</f>
        <v>#DIV/0!</v>
      </c>
      <c r="W40" s="567"/>
    </row>
    <row r="41" spans="2:23">
      <c r="B41" s="554"/>
      <c r="C41" s="557"/>
      <c r="D41" s="80">
        <f t="shared" si="8"/>
        <v>46239</v>
      </c>
      <c r="E41" s="437" t="s">
        <v>112</v>
      </c>
      <c r="G41" s="569"/>
      <c r="H41" s="571"/>
      <c r="I41" s="153">
        <f t="shared" si="43"/>
        <v>0</v>
      </c>
      <c r="J41" s="568"/>
      <c r="K41" s="567"/>
      <c r="L41" s="161"/>
      <c r="M41" s="570"/>
      <c r="N41" s="570"/>
      <c r="O41" s="84"/>
      <c r="P41" s="567"/>
      <c r="Q41" s="570"/>
      <c r="R41" s="153"/>
      <c r="S41" s="568"/>
      <c r="T41" s="567"/>
      <c r="U41" s="153"/>
      <c r="V41" s="553"/>
      <c r="W41" s="567"/>
    </row>
    <row r="42" spans="2:23">
      <c r="B42" s="554"/>
      <c r="C42" s="557"/>
      <c r="D42" s="80">
        <f t="shared" si="8"/>
        <v>46240</v>
      </c>
      <c r="E42" s="437" t="s">
        <v>113</v>
      </c>
      <c r="G42" s="569"/>
      <c r="H42" s="571"/>
      <c r="I42" s="153">
        <f t="shared" si="43"/>
        <v>0</v>
      </c>
      <c r="J42" s="568"/>
      <c r="K42" s="567"/>
      <c r="L42" s="161"/>
      <c r="M42" s="570"/>
      <c r="N42" s="570"/>
      <c r="O42" s="84"/>
      <c r="P42" s="567"/>
      <c r="Q42" s="570"/>
      <c r="R42" s="153"/>
      <c r="S42" s="568"/>
      <c r="T42" s="567"/>
      <c r="U42" s="153"/>
      <c r="V42" s="553"/>
      <c r="W42" s="567"/>
    </row>
    <row r="43" spans="2:23">
      <c r="B43" s="554"/>
      <c r="C43" s="557"/>
      <c r="D43" s="80">
        <f t="shared" si="8"/>
        <v>46241</v>
      </c>
      <c r="E43" s="437" t="s">
        <v>114</v>
      </c>
      <c r="G43" s="569"/>
      <c r="H43" s="571"/>
      <c r="I43" s="153">
        <f t="shared" si="43"/>
        <v>0</v>
      </c>
      <c r="J43" s="568"/>
      <c r="K43" s="567"/>
      <c r="L43" s="161"/>
      <c r="M43" s="570"/>
      <c r="N43" s="570"/>
      <c r="O43" s="84"/>
      <c r="P43" s="567"/>
      <c r="Q43" s="570"/>
      <c r="R43" s="153"/>
      <c r="S43" s="568"/>
      <c r="T43" s="567"/>
      <c r="U43" s="153"/>
      <c r="V43" s="553"/>
      <c r="W43" s="567"/>
    </row>
    <row r="44" spans="2:23">
      <c r="B44" s="554"/>
      <c r="C44" s="557"/>
      <c r="D44" s="80">
        <f t="shared" si="8"/>
        <v>46242</v>
      </c>
      <c r="E44" s="437" t="s">
        <v>115</v>
      </c>
      <c r="G44" s="569"/>
      <c r="H44" s="571"/>
      <c r="I44" s="153">
        <f t="shared" si="43"/>
        <v>0</v>
      </c>
      <c r="J44" s="568"/>
      <c r="K44" s="567"/>
      <c r="L44" s="161"/>
      <c r="M44" s="570"/>
      <c r="N44" s="570"/>
      <c r="O44" s="84"/>
      <c r="P44" s="567"/>
      <c r="Q44" s="570"/>
      <c r="R44" s="153"/>
      <c r="S44" s="568"/>
      <c r="T44" s="567"/>
      <c r="U44" s="153"/>
      <c r="V44" s="553"/>
      <c r="W44" s="567"/>
    </row>
    <row r="45" spans="2:23">
      <c r="B45" s="554"/>
      <c r="C45" s="557"/>
      <c r="D45" s="80">
        <f t="shared" si="8"/>
        <v>46243</v>
      </c>
      <c r="E45" s="437" t="s">
        <v>116</v>
      </c>
      <c r="G45" s="569"/>
      <c r="H45" s="571"/>
      <c r="I45" s="153">
        <f t="shared" si="43"/>
        <v>0</v>
      </c>
      <c r="J45" s="568"/>
      <c r="K45" s="567"/>
      <c r="L45" s="161"/>
      <c r="M45" s="570"/>
      <c r="N45" s="570"/>
      <c r="O45" s="84"/>
      <c r="P45" s="567"/>
      <c r="Q45" s="570"/>
      <c r="R45" s="153"/>
      <c r="S45" s="568"/>
      <c r="T45" s="567"/>
      <c r="U45" s="153"/>
      <c r="V45" s="553"/>
      <c r="W45" s="567"/>
    </row>
    <row r="46" spans="2:23">
      <c r="B46" s="554"/>
      <c r="C46" s="557"/>
      <c r="D46" s="80">
        <f t="shared" si="8"/>
        <v>46244</v>
      </c>
      <c r="E46" s="437" t="s">
        <v>117</v>
      </c>
      <c r="G46" s="569"/>
      <c r="H46" s="571"/>
      <c r="I46" s="153">
        <f t="shared" si="43"/>
        <v>0</v>
      </c>
      <c r="J46" s="568"/>
      <c r="K46" s="567"/>
      <c r="L46" s="161"/>
      <c r="M46" s="570"/>
      <c r="N46" s="570"/>
      <c r="O46" s="84"/>
      <c r="P46" s="567"/>
      <c r="Q46" s="570"/>
      <c r="R46" s="153"/>
      <c r="S46" s="568"/>
      <c r="T46" s="567"/>
      <c r="U46" s="153"/>
      <c r="V46" s="553"/>
      <c r="W46" s="567"/>
    </row>
    <row r="47" spans="2:23">
      <c r="B47" s="554">
        <f t="shared" ref="B47" si="49">B40+7</f>
        <v>46253</v>
      </c>
      <c r="C47" s="557"/>
      <c r="D47" s="80">
        <f t="shared" si="8"/>
        <v>46245</v>
      </c>
      <c r="E47" s="437" t="s">
        <v>118</v>
      </c>
      <c r="G47" s="569" t="e">
        <f t="shared" ref="G47" si="50">AVERAGE(F47:F53)</f>
        <v>#DIV/0!</v>
      </c>
      <c r="H47" s="571"/>
      <c r="I47" s="153">
        <f t="shared" ref="I47:I53" si="51">F47/$C$1</f>
        <v>0</v>
      </c>
      <c r="J47" s="568">
        <f t="shared" ref="J47" si="52">AVERAGE(I47:I53)</f>
        <v>0</v>
      </c>
      <c r="K47" s="567"/>
      <c r="L47" s="161"/>
      <c r="M47" s="570" t="e">
        <f t="shared" ref="M47" si="53">AVERAGE(L47:L53)</f>
        <v>#DIV/0!</v>
      </c>
      <c r="N47" s="570"/>
      <c r="O47" s="84"/>
      <c r="P47" s="567" t="e">
        <f t="shared" ref="P47" si="54">AVERAGE(O47:O53)</f>
        <v>#DIV/0!</v>
      </c>
      <c r="Q47" s="570"/>
      <c r="R47" s="153"/>
      <c r="S47" s="568" t="e">
        <f t="shared" ref="S47" si="55">AVERAGE(R47:R53)</f>
        <v>#DIV/0!</v>
      </c>
      <c r="T47" s="567"/>
      <c r="U47" s="153"/>
      <c r="V47" s="553" t="e">
        <f t="shared" ref="V47" si="56">AVERAGE(U47:U53)</f>
        <v>#DIV/0!</v>
      </c>
      <c r="W47" s="567"/>
    </row>
    <row r="48" spans="2:23">
      <c r="B48" s="554"/>
      <c r="C48" s="557"/>
      <c r="D48" s="80">
        <f t="shared" si="8"/>
        <v>46246</v>
      </c>
      <c r="E48" s="437" t="s">
        <v>112</v>
      </c>
      <c r="G48" s="569"/>
      <c r="H48" s="571"/>
      <c r="I48" s="153">
        <f t="shared" si="51"/>
        <v>0</v>
      </c>
      <c r="J48" s="568"/>
      <c r="K48" s="567"/>
      <c r="L48" s="161"/>
      <c r="M48" s="570"/>
      <c r="N48" s="570"/>
      <c r="O48" s="84"/>
      <c r="P48" s="567"/>
      <c r="Q48" s="570"/>
      <c r="R48" s="153"/>
      <c r="S48" s="568"/>
      <c r="T48" s="567"/>
      <c r="U48" s="153"/>
      <c r="V48" s="553"/>
      <c r="W48" s="567"/>
    </row>
    <row r="49" spans="2:23">
      <c r="B49" s="554"/>
      <c r="C49" s="557"/>
      <c r="D49" s="80">
        <f t="shared" si="8"/>
        <v>46247</v>
      </c>
      <c r="E49" s="437" t="s">
        <v>113</v>
      </c>
      <c r="G49" s="569"/>
      <c r="H49" s="571"/>
      <c r="I49" s="153">
        <f t="shared" si="51"/>
        <v>0</v>
      </c>
      <c r="J49" s="568"/>
      <c r="K49" s="567"/>
      <c r="L49" s="161"/>
      <c r="M49" s="570"/>
      <c r="N49" s="570"/>
      <c r="O49" s="84"/>
      <c r="P49" s="567"/>
      <c r="Q49" s="570"/>
      <c r="R49" s="153"/>
      <c r="S49" s="568"/>
      <c r="T49" s="567"/>
      <c r="U49" s="153"/>
      <c r="V49" s="553"/>
      <c r="W49" s="567"/>
    </row>
    <row r="50" spans="2:23">
      <c r="B50" s="554"/>
      <c r="C50" s="557"/>
      <c r="D50" s="80">
        <f t="shared" si="8"/>
        <v>46248</v>
      </c>
      <c r="E50" s="437" t="s">
        <v>114</v>
      </c>
      <c r="G50" s="569"/>
      <c r="H50" s="571"/>
      <c r="I50" s="153">
        <f t="shared" si="51"/>
        <v>0</v>
      </c>
      <c r="J50" s="568"/>
      <c r="K50" s="567"/>
      <c r="L50" s="161"/>
      <c r="M50" s="570"/>
      <c r="N50" s="570"/>
      <c r="O50" s="84"/>
      <c r="P50" s="567"/>
      <c r="Q50" s="570"/>
      <c r="R50" s="153"/>
      <c r="S50" s="568"/>
      <c r="T50" s="567"/>
      <c r="U50" s="153"/>
      <c r="V50" s="553"/>
      <c r="W50" s="567"/>
    </row>
    <row r="51" spans="2:23">
      <c r="B51" s="554"/>
      <c r="C51" s="557"/>
      <c r="D51" s="80">
        <f t="shared" si="8"/>
        <v>46249</v>
      </c>
      <c r="E51" s="437" t="s">
        <v>115</v>
      </c>
      <c r="G51" s="569"/>
      <c r="H51" s="571"/>
      <c r="I51" s="153">
        <f t="shared" si="51"/>
        <v>0</v>
      </c>
      <c r="J51" s="568"/>
      <c r="K51" s="567"/>
      <c r="L51" s="161"/>
      <c r="M51" s="570"/>
      <c r="N51" s="570"/>
      <c r="O51" s="84"/>
      <c r="P51" s="567"/>
      <c r="Q51" s="570"/>
      <c r="R51" s="153"/>
      <c r="S51" s="568"/>
      <c r="T51" s="567"/>
      <c r="U51" s="153"/>
      <c r="V51" s="553"/>
      <c r="W51" s="567"/>
    </row>
    <row r="52" spans="2:23">
      <c r="B52" s="554"/>
      <c r="C52" s="557"/>
      <c r="D52" s="80">
        <f t="shared" si="8"/>
        <v>46250</v>
      </c>
      <c r="E52" s="437" t="s">
        <v>116</v>
      </c>
      <c r="G52" s="569"/>
      <c r="H52" s="571"/>
      <c r="I52" s="153">
        <f t="shared" si="51"/>
        <v>0</v>
      </c>
      <c r="J52" s="568"/>
      <c r="K52" s="567"/>
      <c r="L52" s="161"/>
      <c r="M52" s="570"/>
      <c r="N52" s="570"/>
      <c r="O52" s="84"/>
      <c r="P52" s="567"/>
      <c r="Q52" s="570"/>
      <c r="R52" s="153"/>
      <c r="S52" s="568"/>
      <c r="T52" s="567"/>
      <c r="U52" s="153"/>
      <c r="V52" s="553"/>
      <c r="W52" s="567"/>
    </row>
    <row r="53" spans="2:23">
      <c r="B53" s="554"/>
      <c r="C53" s="557"/>
      <c r="D53" s="80">
        <f t="shared" si="8"/>
        <v>46251</v>
      </c>
      <c r="E53" s="437" t="s">
        <v>117</v>
      </c>
      <c r="G53" s="569"/>
      <c r="H53" s="571"/>
      <c r="I53" s="153">
        <f t="shared" si="51"/>
        <v>0</v>
      </c>
      <c r="J53" s="568"/>
      <c r="K53" s="567"/>
      <c r="L53" s="161"/>
      <c r="M53" s="570"/>
      <c r="N53" s="570"/>
      <c r="O53" s="84"/>
      <c r="P53" s="567"/>
      <c r="Q53" s="570"/>
      <c r="R53" s="153"/>
      <c r="S53" s="568"/>
      <c r="T53" s="567"/>
      <c r="U53" s="153"/>
      <c r="V53" s="553"/>
      <c r="W53" s="567"/>
    </row>
    <row r="54" spans="2:23">
      <c r="B54" s="554">
        <f t="shared" ref="B54" si="57">B47+7</f>
        <v>46260</v>
      </c>
      <c r="C54" s="557"/>
      <c r="D54" s="80">
        <f t="shared" si="8"/>
        <v>46252</v>
      </c>
      <c r="E54" s="437" t="s">
        <v>118</v>
      </c>
      <c r="G54" s="569" t="e">
        <f t="shared" ref="G54" si="58">AVERAGE(F54:F60)</f>
        <v>#DIV/0!</v>
      </c>
      <c r="H54" s="571"/>
      <c r="I54" s="153">
        <f t="shared" ref="I54:I60" si="59">F54/$C$1</f>
        <v>0</v>
      </c>
      <c r="J54" s="568">
        <f t="shared" ref="J54" si="60">AVERAGE(I54:I60)</f>
        <v>0</v>
      </c>
      <c r="K54" s="567"/>
      <c r="L54" s="161"/>
      <c r="M54" s="570" t="e">
        <f t="shared" ref="M54" si="61">AVERAGE(L54:L60)</f>
        <v>#DIV/0!</v>
      </c>
      <c r="N54" s="570"/>
      <c r="O54" s="84"/>
      <c r="P54" s="567" t="e">
        <f t="shared" ref="P54" si="62">AVERAGE(O54:O60)</f>
        <v>#DIV/0!</v>
      </c>
      <c r="Q54" s="570"/>
      <c r="R54" s="153"/>
      <c r="S54" s="568" t="e">
        <f t="shared" ref="S54" si="63">AVERAGE(R54:R60)</f>
        <v>#DIV/0!</v>
      </c>
      <c r="T54" s="567"/>
      <c r="U54" s="153"/>
      <c r="V54" s="553" t="e">
        <f t="shared" ref="V54" si="64">AVERAGE(U54:U60)</f>
        <v>#DIV/0!</v>
      </c>
      <c r="W54" s="567"/>
    </row>
    <row r="55" spans="2:23">
      <c r="B55" s="554"/>
      <c r="C55" s="557"/>
      <c r="D55" s="80">
        <f t="shared" si="8"/>
        <v>46253</v>
      </c>
      <c r="E55" s="437" t="s">
        <v>112</v>
      </c>
      <c r="G55" s="569"/>
      <c r="H55" s="571"/>
      <c r="I55" s="153">
        <f t="shared" si="59"/>
        <v>0</v>
      </c>
      <c r="J55" s="568"/>
      <c r="K55" s="567"/>
      <c r="L55" s="161"/>
      <c r="M55" s="570"/>
      <c r="N55" s="570"/>
      <c r="O55" s="84"/>
      <c r="P55" s="567"/>
      <c r="Q55" s="570"/>
      <c r="R55" s="153"/>
      <c r="S55" s="568"/>
      <c r="T55" s="567"/>
      <c r="U55" s="153"/>
      <c r="V55" s="553"/>
      <c r="W55" s="567"/>
    </row>
    <row r="56" spans="2:23">
      <c r="B56" s="554"/>
      <c r="C56" s="557"/>
      <c r="D56" s="80">
        <f t="shared" si="8"/>
        <v>46254</v>
      </c>
      <c r="E56" s="437" t="s">
        <v>113</v>
      </c>
      <c r="G56" s="569"/>
      <c r="H56" s="571"/>
      <c r="I56" s="153">
        <f t="shared" si="59"/>
        <v>0</v>
      </c>
      <c r="J56" s="568"/>
      <c r="K56" s="567"/>
      <c r="L56" s="161"/>
      <c r="M56" s="570"/>
      <c r="N56" s="570"/>
      <c r="O56" s="84"/>
      <c r="P56" s="567"/>
      <c r="Q56" s="570"/>
      <c r="R56" s="153"/>
      <c r="S56" s="568"/>
      <c r="T56" s="567"/>
      <c r="U56" s="153"/>
      <c r="V56" s="553"/>
      <c r="W56" s="567"/>
    </row>
    <row r="57" spans="2:23">
      <c r="B57" s="554"/>
      <c r="C57" s="557"/>
      <c r="D57" s="80">
        <f t="shared" si="8"/>
        <v>46255</v>
      </c>
      <c r="E57" s="437" t="s">
        <v>114</v>
      </c>
      <c r="G57" s="569"/>
      <c r="H57" s="571"/>
      <c r="I57" s="153">
        <f t="shared" si="59"/>
        <v>0</v>
      </c>
      <c r="J57" s="568"/>
      <c r="K57" s="567"/>
      <c r="L57" s="161"/>
      <c r="M57" s="570"/>
      <c r="N57" s="570"/>
      <c r="O57" s="84"/>
      <c r="P57" s="567"/>
      <c r="Q57" s="570"/>
      <c r="R57" s="153"/>
      <c r="S57" s="568"/>
      <c r="T57" s="567"/>
      <c r="U57" s="153"/>
      <c r="V57" s="553"/>
      <c r="W57" s="567"/>
    </row>
    <row r="58" spans="2:23">
      <c r="B58" s="554"/>
      <c r="C58" s="557"/>
      <c r="D58" s="80">
        <f t="shared" si="8"/>
        <v>46256</v>
      </c>
      <c r="E58" s="437" t="s">
        <v>115</v>
      </c>
      <c r="G58" s="569"/>
      <c r="H58" s="571"/>
      <c r="I58" s="153">
        <f t="shared" si="59"/>
        <v>0</v>
      </c>
      <c r="J58" s="568"/>
      <c r="K58" s="567"/>
      <c r="L58" s="161"/>
      <c r="M58" s="570"/>
      <c r="N58" s="570"/>
      <c r="O58" s="84"/>
      <c r="P58" s="567"/>
      <c r="Q58" s="570"/>
      <c r="R58" s="153"/>
      <c r="S58" s="568"/>
      <c r="T58" s="567"/>
      <c r="U58" s="153"/>
      <c r="V58" s="553"/>
      <c r="W58" s="567"/>
    </row>
    <row r="59" spans="2:23">
      <c r="B59" s="554"/>
      <c r="C59" s="557"/>
      <c r="D59" s="80">
        <f t="shared" si="8"/>
        <v>46257</v>
      </c>
      <c r="E59" s="437" t="s">
        <v>116</v>
      </c>
      <c r="G59" s="569"/>
      <c r="H59" s="571"/>
      <c r="I59" s="153">
        <f t="shared" si="59"/>
        <v>0</v>
      </c>
      <c r="J59" s="568"/>
      <c r="K59" s="567"/>
      <c r="L59" s="161"/>
      <c r="M59" s="570"/>
      <c r="N59" s="570"/>
      <c r="O59" s="84"/>
      <c r="P59" s="567"/>
      <c r="Q59" s="570"/>
      <c r="R59" s="153"/>
      <c r="S59" s="568"/>
      <c r="T59" s="567"/>
      <c r="U59" s="153"/>
      <c r="V59" s="553"/>
      <c r="W59" s="567"/>
    </row>
    <row r="60" spans="2:23">
      <c r="B60" s="554"/>
      <c r="C60" s="557"/>
      <c r="D60" s="80">
        <f t="shared" si="8"/>
        <v>46258</v>
      </c>
      <c r="E60" s="437" t="s">
        <v>117</v>
      </c>
      <c r="G60" s="569"/>
      <c r="H60" s="571"/>
      <c r="I60" s="153">
        <f t="shared" si="59"/>
        <v>0</v>
      </c>
      <c r="J60" s="568"/>
      <c r="K60" s="567"/>
      <c r="L60" s="161"/>
      <c r="M60" s="570"/>
      <c r="N60" s="570"/>
      <c r="O60" s="84"/>
      <c r="P60" s="567"/>
      <c r="Q60" s="570"/>
      <c r="R60" s="153"/>
      <c r="S60" s="568"/>
      <c r="T60" s="567"/>
      <c r="U60" s="153"/>
      <c r="V60" s="553"/>
      <c r="W60" s="567"/>
    </row>
    <row r="61" spans="2:23">
      <c r="B61" s="554">
        <f t="shared" ref="B61" si="65">B54+7</f>
        <v>46267</v>
      </c>
      <c r="C61" s="557"/>
      <c r="D61" s="80">
        <f t="shared" si="8"/>
        <v>46259</v>
      </c>
      <c r="E61" s="437" t="s">
        <v>118</v>
      </c>
      <c r="G61" s="569" t="e">
        <f t="shared" ref="G61" si="66">AVERAGE(F61:F67)</f>
        <v>#DIV/0!</v>
      </c>
      <c r="H61" s="571"/>
      <c r="I61" s="153">
        <f t="shared" ref="I61:I67" si="67">F61/$C$1</f>
        <v>0</v>
      </c>
      <c r="J61" s="568">
        <f t="shared" ref="J61" si="68">AVERAGE(I61:I67)</f>
        <v>0</v>
      </c>
      <c r="K61" s="567"/>
      <c r="L61" s="161"/>
      <c r="M61" s="570" t="e">
        <f t="shared" ref="M61" si="69">AVERAGE(L61:L67)</f>
        <v>#DIV/0!</v>
      </c>
      <c r="N61" s="570"/>
      <c r="O61" s="84"/>
      <c r="P61" s="567" t="e">
        <f t="shared" ref="P61" si="70">AVERAGE(O61:O67)</f>
        <v>#DIV/0!</v>
      </c>
      <c r="Q61" s="570"/>
      <c r="R61" s="153"/>
      <c r="S61" s="568" t="e">
        <f t="shared" ref="S61" si="71">AVERAGE(R61:R67)</f>
        <v>#DIV/0!</v>
      </c>
      <c r="T61" s="567"/>
      <c r="U61" s="153"/>
      <c r="V61" s="553" t="e">
        <f t="shared" ref="V61" si="72">AVERAGE(U61:U67)</f>
        <v>#DIV/0!</v>
      </c>
      <c r="W61" s="567"/>
    </row>
    <row r="62" spans="2:23">
      <c r="B62" s="554"/>
      <c r="C62" s="557"/>
      <c r="D62" s="80">
        <f t="shared" si="8"/>
        <v>46260</v>
      </c>
      <c r="E62" s="437" t="s">
        <v>112</v>
      </c>
      <c r="G62" s="569"/>
      <c r="H62" s="571"/>
      <c r="I62" s="153">
        <f t="shared" si="67"/>
        <v>0</v>
      </c>
      <c r="J62" s="568"/>
      <c r="K62" s="567"/>
      <c r="L62" s="161"/>
      <c r="M62" s="570"/>
      <c r="N62" s="570"/>
      <c r="O62" s="84"/>
      <c r="P62" s="567"/>
      <c r="Q62" s="570"/>
      <c r="R62" s="153"/>
      <c r="S62" s="568"/>
      <c r="T62" s="567"/>
      <c r="U62" s="153"/>
      <c r="V62" s="553"/>
      <c r="W62" s="567"/>
    </row>
    <row r="63" spans="2:23">
      <c r="B63" s="554"/>
      <c r="C63" s="557"/>
      <c r="D63" s="80">
        <f t="shared" si="8"/>
        <v>46261</v>
      </c>
      <c r="E63" s="437" t="s">
        <v>113</v>
      </c>
      <c r="G63" s="569"/>
      <c r="H63" s="571"/>
      <c r="I63" s="153">
        <f t="shared" si="67"/>
        <v>0</v>
      </c>
      <c r="J63" s="568"/>
      <c r="K63" s="567"/>
      <c r="L63" s="161"/>
      <c r="M63" s="570"/>
      <c r="N63" s="570"/>
      <c r="O63" s="84"/>
      <c r="P63" s="567"/>
      <c r="Q63" s="570"/>
      <c r="R63" s="153"/>
      <c r="S63" s="568"/>
      <c r="T63" s="567"/>
      <c r="U63" s="153"/>
      <c r="V63" s="553"/>
      <c r="W63" s="567"/>
    </row>
    <row r="64" spans="2:23">
      <c r="B64" s="554"/>
      <c r="C64" s="557"/>
      <c r="D64" s="80">
        <f t="shared" si="8"/>
        <v>46262</v>
      </c>
      <c r="E64" s="437" t="s">
        <v>114</v>
      </c>
      <c r="G64" s="569"/>
      <c r="H64" s="571"/>
      <c r="I64" s="153">
        <f t="shared" si="67"/>
        <v>0</v>
      </c>
      <c r="J64" s="568"/>
      <c r="K64" s="567"/>
      <c r="L64" s="161"/>
      <c r="M64" s="570"/>
      <c r="N64" s="570"/>
      <c r="O64" s="84"/>
      <c r="P64" s="567"/>
      <c r="Q64" s="570"/>
      <c r="R64" s="153"/>
      <c r="S64" s="568"/>
      <c r="T64" s="567"/>
      <c r="U64" s="153"/>
      <c r="V64" s="553"/>
      <c r="W64" s="567"/>
    </row>
    <row r="65" spans="2:23">
      <c r="B65" s="554"/>
      <c r="C65" s="557"/>
      <c r="D65" s="80">
        <f t="shared" si="8"/>
        <v>46263</v>
      </c>
      <c r="E65" s="437" t="s">
        <v>115</v>
      </c>
      <c r="G65" s="569"/>
      <c r="H65" s="571"/>
      <c r="I65" s="153">
        <f t="shared" si="67"/>
        <v>0</v>
      </c>
      <c r="J65" s="568"/>
      <c r="K65" s="567"/>
      <c r="L65" s="161"/>
      <c r="M65" s="570"/>
      <c r="N65" s="570"/>
      <c r="O65" s="84"/>
      <c r="P65" s="567"/>
      <c r="Q65" s="570"/>
      <c r="R65" s="153"/>
      <c r="S65" s="568"/>
      <c r="T65" s="567"/>
      <c r="U65" s="153"/>
      <c r="V65" s="553"/>
      <c r="W65" s="567"/>
    </row>
    <row r="66" spans="2:23">
      <c r="B66" s="554"/>
      <c r="C66" s="557"/>
      <c r="D66" s="80">
        <f t="shared" si="8"/>
        <v>46264</v>
      </c>
      <c r="E66" s="437" t="s">
        <v>116</v>
      </c>
      <c r="G66" s="569"/>
      <c r="H66" s="571"/>
      <c r="I66" s="153">
        <f t="shared" si="67"/>
        <v>0</v>
      </c>
      <c r="J66" s="568"/>
      <c r="K66" s="567"/>
      <c r="L66" s="161"/>
      <c r="M66" s="570"/>
      <c r="N66" s="570"/>
      <c r="O66" s="84"/>
      <c r="P66" s="567"/>
      <c r="Q66" s="570"/>
      <c r="R66" s="153"/>
      <c r="S66" s="568"/>
      <c r="T66" s="567"/>
      <c r="U66" s="153"/>
      <c r="V66" s="553"/>
      <c r="W66" s="567"/>
    </row>
    <row r="67" spans="2:23">
      <c r="B67" s="554"/>
      <c r="C67" s="557"/>
      <c r="D67" s="80">
        <f t="shared" si="8"/>
        <v>46265</v>
      </c>
      <c r="E67" s="437" t="s">
        <v>117</v>
      </c>
      <c r="G67" s="569"/>
      <c r="H67" s="571"/>
      <c r="I67" s="153">
        <f t="shared" si="67"/>
        <v>0</v>
      </c>
      <c r="J67" s="568"/>
      <c r="K67" s="567"/>
      <c r="L67" s="161"/>
      <c r="M67" s="570"/>
      <c r="N67" s="570"/>
      <c r="O67" s="84"/>
      <c r="P67" s="567"/>
      <c r="Q67" s="570"/>
      <c r="R67" s="153"/>
      <c r="S67" s="568"/>
      <c r="T67" s="567"/>
      <c r="U67" s="153"/>
      <c r="V67" s="553"/>
      <c r="W67" s="567"/>
    </row>
  </sheetData>
  <mergeCells count="87">
    <mergeCell ref="B5:B11"/>
    <mergeCell ref="G5:G11"/>
    <mergeCell ref="J5:J11"/>
    <mergeCell ref="M5:M11"/>
    <mergeCell ref="P5:P11"/>
    <mergeCell ref="B2:U2"/>
    <mergeCell ref="F3:H3"/>
    <mergeCell ref="L3:N3"/>
    <mergeCell ref="R3:T3"/>
    <mergeCell ref="B3:B4"/>
    <mergeCell ref="C3:C4"/>
    <mergeCell ref="D3:E4"/>
    <mergeCell ref="I3:K3"/>
    <mergeCell ref="O3:Q3"/>
    <mergeCell ref="U3:W3"/>
    <mergeCell ref="B12:B18"/>
    <mergeCell ref="G12:G18"/>
    <mergeCell ref="J12:J18"/>
    <mergeCell ref="M12:M18"/>
    <mergeCell ref="P12:P18"/>
    <mergeCell ref="B33:B39"/>
    <mergeCell ref="G33:G39"/>
    <mergeCell ref="J33:J39"/>
    <mergeCell ref="M33:M39"/>
    <mergeCell ref="P33:P39"/>
    <mergeCell ref="C6:C36"/>
    <mergeCell ref="B26:B32"/>
    <mergeCell ref="G26:G32"/>
    <mergeCell ref="J26:J32"/>
    <mergeCell ref="M26:M32"/>
    <mergeCell ref="P26:P32"/>
    <mergeCell ref="B19:B25"/>
    <mergeCell ref="G19:G25"/>
    <mergeCell ref="J19:J25"/>
    <mergeCell ref="M19:M25"/>
    <mergeCell ref="P19:P25"/>
    <mergeCell ref="W6:W36"/>
    <mergeCell ref="H6:H36"/>
    <mergeCell ref="K6:K36"/>
    <mergeCell ref="N6:N36"/>
    <mergeCell ref="Q6:Q36"/>
    <mergeCell ref="T6:T36"/>
    <mergeCell ref="S26:S32"/>
    <mergeCell ref="V26:V32"/>
    <mergeCell ref="S33:S39"/>
    <mergeCell ref="V33:V39"/>
    <mergeCell ref="S12:S18"/>
    <mergeCell ref="V12:V18"/>
    <mergeCell ref="S19:S25"/>
    <mergeCell ref="V19:V25"/>
    <mergeCell ref="S5:S11"/>
    <mergeCell ref="V5:V11"/>
    <mergeCell ref="S40:S46"/>
    <mergeCell ref="V40:V46"/>
    <mergeCell ref="B47:B53"/>
    <mergeCell ref="G47:G53"/>
    <mergeCell ref="J47:J53"/>
    <mergeCell ref="M47:M53"/>
    <mergeCell ref="P47:P53"/>
    <mergeCell ref="S47:S53"/>
    <mergeCell ref="V47:V53"/>
    <mergeCell ref="B40:B46"/>
    <mergeCell ref="G40:G46"/>
    <mergeCell ref="J40:J46"/>
    <mergeCell ref="M40:M46"/>
    <mergeCell ref="P40:P46"/>
    <mergeCell ref="B54:B60"/>
    <mergeCell ref="G54:G60"/>
    <mergeCell ref="J54:J60"/>
    <mergeCell ref="M54:M60"/>
    <mergeCell ref="P54:P60"/>
    <mergeCell ref="W37:W67"/>
    <mergeCell ref="S54:S60"/>
    <mergeCell ref="V54:V60"/>
    <mergeCell ref="B61:B67"/>
    <mergeCell ref="G61:G67"/>
    <mergeCell ref="J61:J67"/>
    <mergeCell ref="M61:M67"/>
    <mergeCell ref="P61:P67"/>
    <mergeCell ref="S61:S67"/>
    <mergeCell ref="V61:V67"/>
    <mergeCell ref="C37:C67"/>
    <mergeCell ref="H37:H67"/>
    <mergeCell ref="K37:K67"/>
    <mergeCell ref="N37:N67"/>
    <mergeCell ref="Q37:Q67"/>
    <mergeCell ref="T37:T67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tabColor rgb="FFFFFFCC"/>
  </sheetPr>
  <dimension ref="A2:AN41"/>
  <sheetViews>
    <sheetView topLeftCell="A3" zoomScale="85" zoomScaleNormal="85" workbookViewId="0">
      <selection activeCell="D8" sqref="D8:D38"/>
    </sheetView>
  </sheetViews>
  <sheetFormatPr defaultColWidth="8.85546875" defaultRowHeight="14.25"/>
  <cols>
    <col min="1" max="1" width="8.85546875" style="75"/>
    <col min="2" max="2" width="13.140625" style="75" customWidth="1"/>
    <col min="3" max="3" width="8.85546875" style="94"/>
    <col min="4" max="4" width="17" style="94" customWidth="1"/>
    <col min="5" max="5" width="8.5703125" style="77" customWidth="1"/>
    <col min="6" max="6" width="20.28515625" style="319" bestFit="1" customWidth="1"/>
    <col min="7" max="8" width="20.28515625" style="93" bestFit="1" customWidth="1"/>
    <col min="9" max="9" width="18.28515625" style="90" bestFit="1" customWidth="1"/>
    <col min="10" max="10" width="10.5703125" style="84" customWidth="1"/>
    <col min="11" max="11" width="18.28515625" style="90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0" bestFit="1" customWidth="1"/>
    <col min="16" max="16" width="10.5703125" style="84" customWidth="1"/>
    <col min="17" max="17" width="18.28515625" style="90" bestFit="1" customWidth="1"/>
    <col min="18" max="18" width="10.5703125" style="84" customWidth="1"/>
    <col min="19" max="19" width="18.28515625" style="90" bestFit="1" customWidth="1"/>
    <col min="20" max="20" width="10.5703125" style="84" customWidth="1"/>
    <col min="21" max="21" width="18.28515625" style="90" bestFit="1" customWidth="1"/>
    <col min="22" max="22" width="10.5703125" style="84" customWidth="1"/>
    <col min="23" max="23" width="17" style="90" bestFit="1" customWidth="1"/>
    <col min="24" max="24" width="10.5703125" style="84" customWidth="1"/>
    <col min="25" max="25" width="18.28515625" style="90" bestFit="1" customWidth="1"/>
    <col min="26" max="26" width="10.5703125" style="84" customWidth="1"/>
    <col min="27" max="27" width="18.28515625" style="90" bestFit="1" customWidth="1"/>
    <col min="28" max="28" width="10.5703125" style="84" customWidth="1"/>
    <col min="29" max="29" width="18.28515625" style="90" bestFit="1" customWidth="1"/>
    <col min="30" max="30" width="10.5703125" style="84" customWidth="1"/>
    <col min="31" max="31" width="20.28515625" style="90" bestFit="1" customWidth="1"/>
    <col min="32" max="32" width="10.5703125" style="84" customWidth="1"/>
    <col min="33" max="33" width="18.28515625" style="90" bestFit="1" customWidth="1"/>
    <col min="34" max="34" width="10.42578125" style="84" customWidth="1"/>
    <col min="35" max="35" width="20.28515625" style="90" bestFit="1" customWidth="1"/>
    <col min="36" max="36" width="10.42578125" style="84" customWidth="1"/>
    <col min="37" max="37" width="18.28515625" style="90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559" t="s">
        <v>322</v>
      </c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59"/>
      <c r="N2" s="559"/>
      <c r="O2" s="559"/>
      <c r="P2" s="559"/>
      <c r="Q2" s="559"/>
      <c r="R2" s="559"/>
      <c r="S2" s="559"/>
      <c r="T2" s="559"/>
      <c r="U2" s="559"/>
      <c r="V2" s="559"/>
      <c r="W2" s="559"/>
      <c r="X2" s="559"/>
      <c r="Y2" s="559"/>
      <c r="Z2" s="559"/>
      <c r="AA2" s="559"/>
      <c r="AB2" s="559"/>
      <c r="AC2" s="559"/>
      <c r="AD2" s="559"/>
      <c r="AE2" s="559"/>
      <c r="AF2" s="559"/>
      <c r="AG2" s="559"/>
      <c r="AH2" s="559"/>
      <c r="AI2" s="559"/>
      <c r="AJ2" s="559"/>
      <c r="AK2" s="559"/>
      <c r="AL2" s="559"/>
    </row>
    <row r="3" spans="1:40" ht="25.35" customHeight="1">
      <c r="B3" s="588" t="s">
        <v>151</v>
      </c>
      <c r="C3" s="589" t="s">
        <v>144</v>
      </c>
      <c r="D3" s="590" t="s">
        <v>105</v>
      </c>
      <c r="E3" s="590"/>
      <c r="F3" s="592" t="s">
        <v>135</v>
      </c>
      <c r="G3" s="592"/>
      <c r="H3" s="592"/>
      <c r="I3" s="593" t="s">
        <v>109</v>
      </c>
      <c r="J3" s="593"/>
      <c r="K3" s="593"/>
      <c r="L3" s="593"/>
      <c r="M3" s="593"/>
      <c r="N3" s="593"/>
      <c r="O3" s="593"/>
      <c r="P3" s="593"/>
      <c r="Q3" s="593"/>
      <c r="R3" s="593"/>
      <c r="S3" s="593"/>
      <c r="T3" s="593"/>
      <c r="U3" s="593"/>
      <c r="V3" s="593"/>
      <c r="W3" s="593"/>
      <c r="X3" s="593"/>
      <c r="Y3" s="593"/>
      <c r="Z3" s="593"/>
      <c r="AA3" s="593"/>
      <c r="AB3" s="593"/>
      <c r="AC3" s="593"/>
      <c r="AD3" s="593"/>
      <c r="AE3" s="593"/>
      <c r="AF3" s="593"/>
      <c r="AG3" s="593"/>
      <c r="AH3" s="593"/>
      <c r="AI3" s="593"/>
      <c r="AJ3" s="593"/>
      <c r="AK3" s="593"/>
      <c r="AL3" s="593"/>
    </row>
    <row r="4" spans="1:40" ht="25.35" customHeight="1">
      <c r="B4" s="588"/>
      <c r="C4" s="589"/>
      <c r="D4" s="590"/>
      <c r="E4" s="590"/>
      <c r="F4" s="592"/>
      <c r="G4" s="592"/>
      <c r="H4" s="592"/>
      <c r="I4" s="586" t="s">
        <v>145</v>
      </c>
      <c r="J4" s="586"/>
      <c r="K4" s="586"/>
      <c r="L4" s="586"/>
      <c r="M4" s="586"/>
      <c r="N4" s="586"/>
      <c r="O4" s="586" t="s">
        <v>146</v>
      </c>
      <c r="P4" s="586"/>
      <c r="Q4" s="586"/>
      <c r="R4" s="586"/>
      <c r="S4" s="586"/>
      <c r="T4" s="586"/>
      <c r="U4" s="586" t="s">
        <v>147</v>
      </c>
      <c r="V4" s="586"/>
      <c r="W4" s="586" t="s">
        <v>148</v>
      </c>
      <c r="X4" s="586"/>
      <c r="Y4" s="586" t="s">
        <v>139</v>
      </c>
      <c r="Z4" s="586"/>
      <c r="AA4" s="586"/>
      <c r="AB4" s="586"/>
      <c r="AC4" s="586"/>
      <c r="AD4" s="586"/>
      <c r="AE4" s="586" t="s">
        <v>137</v>
      </c>
      <c r="AF4" s="586"/>
      <c r="AG4" s="586" t="s">
        <v>149</v>
      </c>
      <c r="AH4" s="586"/>
      <c r="AI4" s="586" t="s">
        <v>150</v>
      </c>
      <c r="AJ4" s="586"/>
      <c r="AK4" s="586" t="s">
        <v>143</v>
      </c>
      <c r="AL4" s="586"/>
    </row>
    <row r="5" spans="1:40" ht="25.35" customHeight="1">
      <c r="B5" s="588"/>
      <c r="C5" s="589"/>
      <c r="D5" s="590"/>
      <c r="E5" s="590"/>
      <c r="F5" s="594" t="s">
        <v>116</v>
      </c>
      <c r="G5" s="596" t="s">
        <v>120</v>
      </c>
      <c r="H5" s="596" t="s">
        <v>121</v>
      </c>
      <c r="I5" s="586" t="s">
        <v>133</v>
      </c>
      <c r="J5" s="586"/>
      <c r="K5" s="586" t="s">
        <v>134</v>
      </c>
      <c r="L5" s="586"/>
      <c r="M5" s="587" t="s">
        <v>152</v>
      </c>
      <c r="N5" s="586"/>
      <c r="O5" s="586" t="s">
        <v>133</v>
      </c>
      <c r="P5" s="586"/>
      <c r="Q5" s="586" t="s">
        <v>134</v>
      </c>
      <c r="R5" s="586"/>
      <c r="S5" s="587" t="s">
        <v>152</v>
      </c>
      <c r="T5" s="586"/>
      <c r="U5" s="586" t="s">
        <v>133</v>
      </c>
      <c r="V5" s="586"/>
      <c r="W5" s="586" t="s">
        <v>133</v>
      </c>
      <c r="X5" s="586"/>
      <c r="Y5" s="586" t="s">
        <v>133</v>
      </c>
      <c r="Z5" s="586"/>
      <c r="AA5" s="586" t="s">
        <v>134</v>
      </c>
      <c r="AB5" s="586"/>
      <c r="AC5" s="587" t="s">
        <v>152</v>
      </c>
      <c r="AD5" s="586"/>
      <c r="AE5" s="586" t="s">
        <v>133</v>
      </c>
      <c r="AF5" s="586"/>
      <c r="AG5" s="586" t="s">
        <v>133</v>
      </c>
      <c r="AH5" s="586"/>
      <c r="AI5" s="586" t="s">
        <v>133</v>
      </c>
      <c r="AJ5" s="586"/>
      <c r="AK5" s="586" t="s">
        <v>133</v>
      </c>
      <c r="AL5" s="586"/>
    </row>
    <row r="6" spans="1:40" s="77" customFormat="1" ht="23.45" customHeight="1">
      <c r="B6" s="588"/>
      <c r="C6" s="589"/>
      <c r="D6" s="591"/>
      <c r="E6" s="591"/>
      <c r="F6" s="595"/>
      <c r="G6" s="596"/>
      <c r="H6" s="596"/>
      <c r="I6" s="91" t="s">
        <v>110</v>
      </c>
      <c r="J6" s="92" t="s">
        <v>111</v>
      </c>
      <c r="K6" s="91" t="s">
        <v>110</v>
      </c>
      <c r="L6" s="92" t="s">
        <v>111</v>
      </c>
      <c r="M6" s="91" t="s">
        <v>110</v>
      </c>
      <c r="N6" s="92" t="s">
        <v>111</v>
      </c>
      <c r="O6" s="91" t="s">
        <v>110</v>
      </c>
      <c r="P6" s="92" t="s">
        <v>111</v>
      </c>
      <c r="Q6" s="91" t="s">
        <v>110</v>
      </c>
      <c r="R6" s="92" t="s">
        <v>111</v>
      </c>
      <c r="S6" s="91" t="s">
        <v>110</v>
      </c>
      <c r="T6" s="92" t="s">
        <v>111</v>
      </c>
      <c r="U6" s="91" t="s">
        <v>110</v>
      </c>
      <c r="V6" s="92" t="s">
        <v>111</v>
      </c>
      <c r="W6" s="91" t="s">
        <v>110</v>
      </c>
      <c r="X6" s="92" t="s">
        <v>111</v>
      </c>
      <c r="Y6" s="91" t="s">
        <v>110</v>
      </c>
      <c r="Z6" s="92" t="s">
        <v>111</v>
      </c>
      <c r="AA6" s="91" t="s">
        <v>110</v>
      </c>
      <c r="AB6" s="92" t="s">
        <v>111</v>
      </c>
      <c r="AC6" s="91" t="s">
        <v>110</v>
      </c>
      <c r="AD6" s="92" t="s">
        <v>111</v>
      </c>
      <c r="AE6" s="91" t="s">
        <v>110</v>
      </c>
      <c r="AF6" s="92" t="s">
        <v>111</v>
      </c>
      <c r="AG6" s="91" t="s">
        <v>110</v>
      </c>
      <c r="AH6" s="92" t="s">
        <v>111</v>
      </c>
      <c r="AI6" s="91" t="s">
        <v>110</v>
      </c>
      <c r="AJ6" s="92" t="s">
        <v>111</v>
      </c>
      <c r="AK6" s="91" t="s">
        <v>110</v>
      </c>
      <c r="AL6" s="92" t="s">
        <v>111</v>
      </c>
    </row>
    <row r="7" spans="1:40" s="73" customFormat="1" ht="14.25" customHeight="1">
      <c r="B7" s="579">
        <f>D8+7</f>
        <v>46211</v>
      </c>
      <c r="C7" s="468"/>
      <c r="D7" s="170">
        <v>46203</v>
      </c>
      <c r="E7" s="170" t="s">
        <v>118</v>
      </c>
      <c r="F7" s="320">
        <f t="shared" ref="F7:F41" si="0">SUM(M7,S7,U7,W7,AC7,AE7,AG7,AI7,AK7)</f>
        <v>7292751.3200000003</v>
      </c>
      <c r="G7" s="582">
        <f t="shared" ref="G7" si="1">SUM(F7:F13)</f>
        <v>46397166.829999998</v>
      </c>
      <c r="H7" s="467"/>
      <c r="I7" s="171">
        <v>870247.34</v>
      </c>
      <c r="J7" s="172">
        <f t="shared" ref="J7:J41" si="2">I7/$F7</f>
        <v>0.11933045593003985</v>
      </c>
      <c r="K7" s="171">
        <v>1296194.78</v>
      </c>
      <c r="L7" s="172">
        <f t="shared" ref="L7:L41" si="3">K7/$F7</f>
        <v>0.17773741666540194</v>
      </c>
      <c r="M7" s="171">
        <f t="shared" ref="M7:M41" si="4">I7+K7</f>
        <v>2166442.12</v>
      </c>
      <c r="N7" s="172">
        <f t="shared" ref="N7" si="5">M7/$F7</f>
        <v>0.29706787259544182</v>
      </c>
      <c r="O7" s="171">
        <v>243640.36</v>
      </c>
      <c r="P7" s="172">
        <f t="shared" ref="P7:P41" si="6">O7/$F7</f>
        <v>3.3408565479509586E-2</v>
      </c>
      <c r="Q7" s="171">
        <v>0</v>
      </c>
      <c r="R7" s="172">
        <f t="shared" ref="R7:R41" si="7">Q7/$F7</f>
        <v>0</v>
      </c>
      <c r="S7" s="171">
        <f t="shared" ref="S7:S41" si="8">O7+Q7</f>
        <v>243640.36</v>
      </c>
      <c r="T7" s="172">
        <f t="shared" ref="T7" si="9">S7/$F7</f>
        <v>3.3408565479509586E-2</v>
      </c>
      <c r="U7" s="171">
        <v>76932.989999999991</v>
      </c>
      <c r="V7" s="172">
        <f t="shared" ref="V7" si="10">U7/$F7</f>
        <v>1.0549240831648156E-2</v>
      </c>
      <c r="W7" s="171">
        <v>269176.06</v>
      </c>
      <c r="X7" s="172">
        <f t="shared" ref="X7:X41" si="11">W7/$F7</f>
        <v>3.6910083477246551E-2</v>
      </c>
      <c r="Y7" s="171">
        <v>267703.92</v>
      </c>
      <c r="Z7" s="172">
        <f t="shared" ref="Z7:Z41" si="12">Y7/$F7</f>
        <v>3.6708220019217655E-2</v>
      </c>
      <c r="AA7" s="171">
        <v>791291.01</v>
      </c>
      <c r="AB7" s="172">
        <f t="shared" ref="AB7:AB41" si="13">AA7/$F7</f>
        <v>0.10850376974049898</v>
      </c>
      <c r="AC7" s="171">
        <f t="shared" ref="AC7:AC41" si="14">Y7+AA7</f>
        <v>1058994.93</v>
      </c>
      <c r="AD7" s="172">
        <f t="shared" ref="AD7:AD41" si="15">AC7/$F7</f>
        <v>0.14521198975971664</v>
      </c>
      <c r="AE7" s="171">
        <v>1964192.27</v>
      </c>
      <c r="AF7" s="172">
        <f t="shared" ref="AF7:AF41" si="16">AE7/F7</f>
        <v>0.26933487566116543</v>
      </c>
      <c r="AG7" s="171">
        <v>0</v>
      </c>
      <c r="AH7" s="172">
        <f t="shared" ref="AH7:AH41" si="17">AG7/$F7</f>
        <v>0</v>
      </c>
      <c r="AI7" s="171">
        <v>1049909</v>
      </c>
      <c r="AJ7" s="172">
        <f t="shared" ref="AJ7:AJ41" si="18">AI7/$F7</f>
        <v>0.14396610468818233</v>
      </c>
      <c r="AK7" s="171">
        <v>463463.58999999997</v>
      </c>
      <c r="AL7" s="172">
        <f t="shared" ref="AL7:AL41" si="19">AK7/$F7</f>
        <v>6.355126750708949E-2</v>
      </c>
      <c r="AN7" s="72"/>
    </row>
    <row r="8" spans="1:40" s="73" customFormat="1" ht="14.25" customHeight="1">
      <c r="B8" s="580"/>
      <c r="C8" s="583" t="s">
        <v>698</v>
      </c>
      <c r="D8" s="170">
        <v>46204</v>
      </c>
      <c r="E8" s="170" t="s">
        <v>112</v>
      </c>
      <c r="F8" s="320">
        <f t="shared" si="0"/>
        <v>6821172.7800000003</v>
      </c>
      <c r="G8" s="582"/>
      <c r="H8" s="576">
        <f>SUM(F8:F38)</f>
        <v>199388617.26000002</v>
      </c>
      <c r="I8" s="455">
        <v>852518.15</v>
      </c>
      <c r="J8" s="172">
        <f t="shared" si="2"/>
        <v>0.12498116929388205</v>
      </c>
      <c r="K8" s="171">
        <v>1247636.73</v>
      </c>
      <c r="L8" s="172">
        <f t="shared" si="3"/>
        <v>0.18290648400787174</v>
      </c>
      <c r="M8" s="171">
        <f t="shared" si="4"/>
        <v>2100154.88</v>
      </c>
      <c r="N8" s="172">
        <f t="shared" ref="N8" si="20">M8/F8</f>
        <v>0.30788765330175377</v>
      </c>
      <c r="O8" s="171">
        <v>241584.82</v>
      </c>
      <c r="P8" s="172">
        <f t="shared" si="6"/>
        <v>3.5416903777652144E-2</v>
      </c>
      <c r="Q8" s="171">
        <v>0</v>
      </c>
      <c r="R8" s="172">
        <f t="shared" si="7"/>
        <v>0</v>
      </c>
      <c r="S8" s="171">
        <f t="shared" si="8"/>
        <v>241584.82</v>
      </c>
      <c r="T8" s="172">
        <f t="shared" ref="T8" si="21">S8/F8</f>
        <v>3.5416903777652144E-2</v>
      </c>
      <c r="U8" s="171">
        <v>69560.37</v>
      </c>
      <c r="V8" s="172">
        <f t="shared" ref="V8" si="22">U8/F8</f>
        <v>1.0197714123875337E-2</v>
      </c>
      <c r="W8" s="171">
        <v>266298.69</v>
      </c>
      <c r="X8" s="172">
        <f t="shared" si="11"/>
        <v>3.9040015344692675E-2</v>
      </c>
      <c r="Y8" s="171">
        <v>228710.79</v>
      </c>
      <c r="Z8" s="172">
        <f t="shared" si="12"/>
        <v>3.3529540648873576E-2</v>
      </c>
      <c r="AA8" s="171">
        <v>715486.28</v>
      </c>
      <c r="AB8" s="172">
        <f t="shared" si="13"/>
        <v>0.10489197430943832</v>
      </c>
      <c r="AC8" s="171">
        <f t="shared" si="14"/>
        <v>944197.07000000007</v>
      </c>
      <c r="AD8" s="172">
        <f t="shared" si="15"/>
        <v>0.1384215149583119</v>
      </c>
      <c r="AE8" s="171">
        <v>1635986.01</v>
      </c>
      <c r="AF8" s="172">
        <f t="shared" si="16"/>
        <v>0.23983940339361995</v>
      </c>
      <c r="AG8" s="171">
        <v>0</v>
      </c>
      <c r="AH8" s="172">
        <f t="shared" si="17"/>
        <v>0</v>
      </c>
      <c r="AI8" s="171">
        <v>1137140.79</v>
      </c>
      <c r="AJ8" s="172">
        <f t="shared" si="18"/>
        <v>0.1667075188791802</v>
      </c>
      <c r="AK8" s="171">
        <v>426250.15</v>
      </c>
      <c r="AL8" s="172">
        <f t="shared" si="19"/>
        <v>6.2489276220914027E-2</v>
      </c>
      <c r="AN8" s="72"/>
    </row>
    <row r="9" spans="1:40" s="73" customFormat="1" ht="14.25" customHeight="1">
      <c r="B9" s="580"/>
      <c r="C9" s="584"/>
      <c r="D9" s="170">
        <v>46205</v>
      </c>
      <c r="E9" s="170" t="s">
        <v>113</v>
      </c>
      <c r="F9" s="320">
        <f t="shared" si="0"/>
        <v>6343385.2199999997</v>
      </c>
      <c r="G9" s="582"/>
      <c r="H9" s="577"/>
      <c r="I9" s="455">
        <v>841060.58</v>
      </c>
      <c r="J9" s="172">
        <f t="shared" si="2"/>
        <v>0.13258860227315661</v>
      </c>
      <c r="K9" s="171">
        <v>1132330.29</v>
      </c>
      <c r="L9" s="172">
        <f t="shared" si="3"/>
        <v>0.17850567965348951</v>
      </c>
      <c r="M9" s="171">
        <f t="shared" si="4"/>
        <v>1973390.87</v>
      </c>
      <c r="N9" s="172">
        <f t="shared" ref="N9" si="23">M9/$F9</f>
        <v>0.31109428192664612</v>
      </c>
      <c r="O9" s="171">
        <v>241052.02000000002</v>
      </c>
      <c r="P9" s="172">
        <f t="shared" si="6"/>
        <v>3.8000533097058233E-2</v>
      </c>
      <c r="Q9" s="171">
        <v>0</v>
      </c>
      <c r="R9" s="172">
        <f t="shared" si="7"/>
        <v>0</v>
      </c>
      <c r="S9" s="171">
        <f t="shared" si="8"/>
        <v>241052.02000000002</v>
      </c>
      <c r="T9" s="172">
        <f t="shared" ref="T9" si="24">S9/$F9</f>
        <v>3.8000533097058233E-2</v>
      </c>
      <c r="U9" s="171">
        <v>68391.539999999994</v>
      </c>
      <c r="V9" s="172">
        <f t="shared" ref="V9" si="25">U9/$F9</f>
        <v>1.0781552377485912E-2</v>
      </c>
      <c r="W9" s="171">
        <v>263487.44</v>
      </c>
      <c r="X9" s="172">
        <f t="shared" si="11"/>
        <v>4.1537354403332297E-2</v>
      </c>
      <c r="Y9" s="171">
        <v>238868.19</v>
      </c>
      <c r="Z9" s="172">
        <f t="shared" si="12"/>
        <v>3.7656264236779237E-2</v>
      </c>
      <c r="AA9" s="171">
        <v>571313.38</v>
      </c>
      <c r="AB9" s="172">
        <f t="shared" si="13"/>
        <v>9.0064430928569722E-2</v>
      </c>
      <c r="AC9" s="171">
        <f t="shared" si="14"/>
        <v>810181.57000000007</v>
      </c>
      <c r="AD9" s="172">
        <f t="shared" si="15"/>
        <v>0.12772069516534898</v>
      </c>
      <c r="AE9" s="171">
        <v>1417335.47</v>
      </c>
      <c r="AF9" s="172">
        <f t="shared" si="16"/>
        <v>0.22343518812814589</v>
      </c>
      <c r="AG9" s="171">
        <v>0</v>
      </c>
      <c r="AH9" s="172">
        <f t="shared" si="17"/>
        <v>0</v>
      </c>
      <c r="AI9" s="171">
        <v>1172740.2799999998</v>
      </c>
      <c r="AJ9" s="172">
        <f t="shared" si="18"/>
        <v>0.18487609365145885</v>
      </c>
      <c r="AK9" s="171">
        <v>396806.02999999997</v>
      </c>
      <c r="AL9" s="172">
        <f t="shared" si="19"/>
        <v>6.2554301250523761E-2</v>
      </c>
      <c r="AN9" s="72"/>
    </row>
    <row r="10" spans="1:40" s="73" customFormat="1" ht="14.25" customHeight="1">
      <c r="B10" s="580"/>
      <c r="C10" s="584"/>
      <c r="D10" s="170">
        <v>46206</v>
      </c>
      <c r="E10" s="170" t="s">
        <v>114</v>
      </c>
      <c r="F10" s="320">
        <f t="shared" si="0"/>
        <v>5464679.9400000004</v>
      </c>
      <c r="G10" s="582"/>
      <c r="H10" s="577"/>
      <c r="I10" s="455">
        <v>647323.15999999992</v>
      </c>
      <c r="J10" s="172">
        <f t="shared" si="2"/>
        <v>0.11845582305045295</v>
      </c>
      <c r="K10" s="171">
        <v>1011868.26</v>
      </c>
      <c r="L10" s="172">
        <f t="shared" si="3"/>
        <v>0.18516514619518595</v>
      </c>
      <c r="M10" s="171">
        <f t="shared" si="4"/>
        <v>1659191.42</v>
      </c>
      <c r="N10" s="172">
        <f t="shared" ref="N10" si="26">M10/F10</f>
        <v>0.30362096924563892</v>
      </c>
      <c r="O10" s="171">
        <v>189998.62</v>
      </c>
      <c r="P10" s="172">
        <f t="shared" si="6"/>
        <v>3.476848087831471E-2</v>
      </c>
      <c r="Q10" s="171">
        <v>0</v>
      </c>
      <c r="R10" s="172">
        <f t="shared" si="7"/>
        <v>0</v>
      </c>
      <c r="S10" s="171">
        <f t="shared" si="8"/>
        <v>189998.62</v>
      </c>
      <c r="T10" s="172">
        <f t="shared" ref="T10" si="27">S10/F10</f>
        <v>3.476848087831471E-2</v>
      </c>
      <c r="U10" s="171">
        <v>52327.619999999995</v>
      </c>
      <c r="V10" s="172">
        <f t="shared" ref="V10" si="28">U10/F10</f>
        <v>9.5756056300709876E-3</v>
      </c>
      <c r="W10" s="171">
        <v>203624.02000000002</v>
      </c>
      <c r="X10" s="172">
        <f t="shared" si="11"/>
        <v>3.7261838247749236E-2</v>
      </c>
      <c r="Y10" s="171">
        <v>304834.86</v>
      </c>
      <c r="Z10" s="172">
        <f t="shared" si="12"/>
        <v>5.5782747269184071E-2</v>
      </c>
      <c r="AA10" s="171">
        <v>602529.19000000006</v>
      </c>
      <c r="AB10" s="172">
        <f t="shared" si="13"/>
        <v>0.11025882514905347</v>
      </c>
      <c r="AC10" s="171">
        <f t="shared" si="14"/>
        <v>907364.05</v>
      </c>
      <c r="AD10" s="172">
        <f t="shared" si="15"/>
        <v>0.16604157241823755</v>
      </c>
      <c r="AE10" s="171">
        <v>1049930.6099999999</v>
      </c>
      <c r="AF10" s="172">
        <f t="shared" si="16"/>
        <v>0.19213030251136717</v>
      </c>
      <c r="AG10" s="171">
        <v>0</v>
      </c>
      <c r="AH10" s="172">
        <f t="shared" si="17"/>
        <v>0</v>
      </c>
      <c r="AI10" s="171">
        <v>1060721.93</v>
      </c>
      <c r="AJ10" s="172">
        <f t="shared" si="18"/>
        <v>0.19410504213353799</v>
      </c>
      <c r="AK10" s="171">
        <v>341521.67</v>
      </c>
      <c r="AL10" s="172">
        <f t="shared" si="19"/>
        <v>6.2496188935083352E-2</v>
      </c>
      <c r="AN10" s="72"/>
    </row>
    <row r="11" spans="1:40" s="73" customFormat="1" ht="14.25" customHeight="1">
      <c r="B11" s="580"/>
      <c r="C11" s="584"/>
      <c r="D11" s="170">
        <v>46207</v>
      </c>
      <c r="E11" s="170" t="s">
        <v>115</v>
      </c>
      <c r="F11" s="320">
        <f t="shared" si="0"/>
        <v>6007602.6200000001</v>
      </c>
      <c r="G11" s="582"/>
      <c r="H11" s="577"/>
      <c r="I11" s="455">
        <v>628066.32000000007</v>
      </c>
      <c r="J11" s="172">
        <f t="shared" si="2"/>
        <v>0.10454525036477863</v>
      </c>
      <c r="K11" s="171">
        <v>1138095.6600000001</v>
      </c>
      <c r="L11" s="172">
        <f t="shared" si="3"/>
        <v>0.18944256669226903</v>
      </c>
      <c r="M11" s="171">
        <f t="shared" si="4"/>
        <v>1766161.9800000002</v>
      </c>
      <c r="N11" s="172">
        <f t="shared" ref="N11" si="29">M11/$F11</f>
        <v>0.29398781705704763</v>
      </c>
      <c r="O11" s="171">
        <v>182080.84999999998</v>
      </c>
      <c r="P11" s="172">
        <f t="shared" si="6"/>
        <v>3.0308404453022887E-2</v>
      </c>
      <c r="Q11" s="171">
        <v>0</v>
      </c>
      <c r="R11" s="172">
        <f t="shared" si="7"/>
        <v>0</v>
      </c>
      <c r="S11" s="171">
        <f t="shared" si="8"/>
        <v>182080.84999999998</v>
      </c>
      <c r="T11" s="172">
        <f t="shared" ref="T11" si="30">S11/$F11</f>
        <v>3.0308404453022887E-2</v>
      </c>
      <c r="U11" s="171">
        <v>58711.229999999996</v>
      </c>
      <c r="V11" s="172">
        <f t="shared" ref="V11" si="31">U11/$F11</f>
        <v>9.772821824889609E-3</v>
      </c>
      <c r="W11" s="171">
        <v>240534.61000000004</v>
      </c>
      <c r="X11" s="172">
        <f t="shared" si="11"/>
        <v>4.0038368915952041E-2</v>
      </c>
      <c r="Y11" s="171">
        <v>256248.63</v>
      </c>
      <c r="Z11" s="172">
        <f t="shared" si="12"/>
        <v>4.265405790105338E-2</v>
      </c>
      <c r="AA11" s="171">
        <v>720303.38</v>
      </c>
      <c r="AB11" s="172">
        <f t="shared" si="13"/>
        <v>0.11989863936772835</v>
      </c>
      <c r="AC11" s="171">
        <f t="shared" si="14"/>
        <v>976552.01</v>
      </c>
      <c r="AD11" s="172">
        <f t="shared" si="15"/>
        <v>0.16255269726878174</v>
      </c>
      <c r="AE11" s="171">
        <v>1274785.06</v>
      </c>
      <c r="AF11" s="172">
        <f t="shared" si="16"/>
        <v>0.21219530329054953</v>
      </c>
      <c r="AG11" s="171">
        <v>0</v>
      </c>
      <c r="AH11" s="172">
        <f t="shared" si="17"/>
        <v>0</v>
      </c>
      <c r="AI11" s="171">
        <v>1117715.3399999999</v>
      </c>
      <c r="AJ11" s="172">
        <f t="shared" si="18"/>
        <v>0.18605014524079821</v>
      </c>
      <c r="AK11" s="171">
        <v>391061.54</v>
      </c>
      <c r="AL11" s="172">
        <f t="shared" si="19"/>
        <v>6.5094441948958331E-2</v>
      </c>
      <c r="AN11" s="72"/>
    </row>
    <row r="12" spans="1:40" s="73" customFormat="1" ht="14.25" customHeight="1">
      <c r="B12" s="580"/>
      <c r="C12" s="584"/>
      <c r="D12" s="170">
        <v>46208</v>
      </c>
      <c r="E12" s="170" t="s">
        <v>116</v>
      </c>
      <c r="F12" s="320">
        <f t="shared" si="0"/>
        <v>7429288.9299999997</v>
      </c>
      <c r="G12" s="582"/>
      <c r="H12" s="577"/>
      <c r="I12" s="455">
        <v>898860.55</v>
      </c>
      <c r="J12" s="172">
        <f t="shared" si="2"/>
        <v>0.12098877274382706</v>
      </c>
      <c r="K12" s="171">
        <v>1280412.9099999999</v>
      </c>
      <c r="L12" s="172">
        <f t="shared" si="3"/>
        <v>0.172346629948608</v>
      </c>
      <c r="M12" s="171">
        <f t="shared" si="4"/>
        <v>2179273.46</v>
      </c>
      <c r="N12" s="172">
        <f t="shared" ref="N12" si="32">M12/F12</f>
        <v>0.29333540269243508</v>
      </c>
      <c r="O12" s="171">
        <v>252783.55</v>
      </c>
      <c r="P12" s="172">
        <f t="shared" si="6"/>
        <v>3.4025268418252243E-2</v>
      </c>
      <c r="Q12" s="171">
        <v>0</v>
      </c>
      <c r="R12" s="172">
        <f t="shared" si="7"/>
        <v>0</v>
      </c>
      <c r="S12" s="171">
        <f t="shared" si="8"/>
        <v>252783.55</v>
      </c>
      <c r="T12" s="172">
        <f t="shared" ref="T12" si="33">S12/F12</f>
        <v>3.4025268418252243E-2</v>
      </c>
      <c r="U12" s="171">
        <v>83136.78</v>
      </c>
      <c r="V12" s="172">
        <f t="shared" ref="V12" si="34">U12/F12</f>
        <v>1.1190408770385513E-2</v>
      </c>
      <c r="W12" s="171">
        <v>262650.2</v>
      </c>
      <c r="X12" s="172">
        <f t="shared" si="11"/>
        <v>3.5353343028482809E-2</v>
      </c>
      <c r="Y12" s="171">
        <v>291573.81</v>
      </c>
      <c r="Z12" s="172">
        <f t="shared" si="12"/>
        <v>3.9246529882907652E-2</v>
      </c>
      <c r="AA12" s="171">
        <v>778259.37999999989</v>
      </c>
      <c r="AB12" s="172">
        <f t="shared" si="13"/>
        <v>0.10475556777140985</v>
      </c>
      <c r="AC12" s="171">
        <f t="shared" si="14"/>
        <v>1069833.19</v>
      </c>
      <c r="AD12" s="172">
        <f t="shared" si="15"/>
        <v>0.14400209765431751</v>
      </c>
      <c r="AE12" s="171">
        <v>1901796.5699999998</v>
      </c>
      <c r="AF12" s="172">
        <f t="shared" si="16"/>
        <v>0.25598635184592289</v>
      </c>
      <c r="AG12" s="171">
        <v>0</v>
      </c>
      <c r="AH12" s="172">
        <f t="shared" si="17"/>
        <v>0</v>
      </c>
      <c r="AI12" s="171">
        <v>1246032.0899999999</v>
      </c>
      <c r="AJ12" s="172">
        <f t="shared" si="18"/>
        <v>0.16771888961922496</v>
      </c>
      <c r="AK12" s="171">
        <v>433783.09</v>
      </c>
      <c r="AL12" s="172">
        <f t="shared" si="19"/>
        <v>5.8388237970979015E-2</v>
      </c>
      <c r="AN12" s="72"/>
    </row>
    <row r="13" spans="1:40" s="73" customFormat="1" ht="14.25" customHeight="1">
      <c r="B13" s="581"/>
      <c r="C13" s="584"/>
      <c r="D13" s="170">
        <v>46209</v>
      </c>
      <c r="E13" s="170" t="s">
        <v>117</v>
      </c>
      <c r="F13" s="320">
        <f t="shared" si="0"/>
        <v>7038286.0199999996</v>
      </c>
      <c r="G13" s="582"/>
      <c r="H13" s="577"/>
      <c r="I13" s="455">
        <v>885803.67999999993</v>
      </c>
      <c r="J13" s="172">
        <f t="shared" si="2"/>
        <v>0.12585502741475688</v>
      </c>
      <c r="K13" s="171">
        <v>1266607.53</v>
      </c>
      <c r="L13" s="172">
        <f t="shared" si="3"/>
        <v>0.17995965585950996</v>
      </c>
      <c r="M13" s="171">
        <f t="shared" si="4"/>
        <v>2152411.21</v>
      </c>
      <c r="N13" s="172">
        <f t="shared" ref="N13:N14" si="35">M13/$F13</f>
        <v>0.30581468327426686</v>
      </c>
      <c r="O13" s="171">
        <v>250345.34999999998</v>
      </c>
      <c r="P13" s="172">
        <f t="shared" si="6"/>
        <v>3.5569078791145799E-2</v>
      </c>
      <c r="Q13" s="171">
        <v>0</v>
      </c>
      <c r="R13" s="172">
        <f t="shared" si="7"/>
        <v>0</v>
      </c>
      <c r="S13" s="171">
        <f t="shared" si="8"/>
        <v>250345.34999999998</v>
      </c>
      <c r="T13" s="172">
        <f t="shared" ref="T13:T14" si="36">S13/$F13</f>
        <v>3.5569078791145799E-2</v>
      </c>
      <c r="U13" s="171">
        <v>77682.239999999991</v>
      </c>
      <c r="V13" s="172">
        <f t="shared" ref="V13:V14" si="37">U13/$F13</f>
        <v>1.1037096216217708E-2</v>
      </c>
      <c r="W13" s="171">
        <v>286246.63</v>
      </c>
      <c r="X13" s="172">
        <f t="shared" si="11"/>
        <v>4.0669934297441354E-2</v>
      </c>
      <c r="Y13" s="171">
        <v>242197.56</v>
      </c>
      <c r="Z13" s="172">
        <f t="shared" si="12"/>
        <v>3.4411440414863957E-2</v>
      </c>
      <c r="AA13" s="171">
        <v>759357.09000000008</v>
      </c>
      <c r="AB13" s="172">
        <f t="shared" si="13"/>
        <v>0.10788949011765227</v>
      </c>
      <c r="AC13" s="171">
        <f t="shared" si="14"/>
        <v>1001554.6500000001</v>
      </c>
      <c r="AD13" s="172">
        <f t="shared" si="15"/>
        <v>0.14230093053251625</v>
      </c>
      <c r="AE13" s="171">
        <v>1659551.49</v>
      </c>
      <c r="AF13" s="172">
        <f t="shared" si="16"/>
        <v>0.23578915168895057</v>
      </c>
      <c r="AG13" s="171">
        <v>0</v>
      </c>
      <c r="AH13" s="172">
        <f t="shared" si="17"/>
        <v>0</v>
      </c>
      <c r="AI13" s="171">
        <v>1152323.1800000002</v>
      </c>
      <c r="AJ13" s="172">
        <f t="shared" si="18"/>
        <v>0.1637221301785062</v>
      </c>
      <c r="AK13" s="171">
        <v>458171.27</v>
      </c>
      <c r="AL13" s="172">
        <f t="shared" si="19"/>
        <v>6.5096995020955409E-2</v>
      </c>
      <c r="AN13" s="72"/>
    </row>
    <row r="14" spans="1:40" s="73" customFormat="1" ht="14.25" customHeight="1">
      <c r="B14" s="579">
        <f>D15+7</f>
        <v>46218</v>
      </c>
      <c r="C14" s="584"/>
      <c r="D14" s="170">
        <v>46210</v>
      </c>
      <c r="E14" s="170" t="s">
        <v>118</v>
      </c>
      <c r="F14" s="320">
        <f t="shared" si="0"/>
        <v>7860603.3600000013</v>
      </c>
      <c r="G14" s="582">
        <f>SUM(F14:F20)</f>
        <v>48409401.950000003</v>
      </c>
      <c r="H14" s="577"/>
      <c r="I14" s="171">
        <v>880930.33000000007</v>
      </c>
      <c r="J14" s="172">
        <f t="shared" si="2"/>
        <v>0.11206904733073822</v>
      </c>
      <c r="K14" s="171">
        <v>1233744.4300000004</v>
      </c>
      <c r="L14" s="172">
        <f t="shared" si="3"/>
        <v>0.15695289197240456</v>
      </c>
      <c r="M14" s="171">
        <f t="shared" si="4"/>
        <v>2114674.7600000007</v>
      </c>
      <c r="N14" s="172">
        <f t="shared" si="35"/>
        <v>0.26902193930314278</v>
      </c>
      <c r="O14" s="171">
        <v>249319.47</v>
      </c>
      <c r="P14" s="172">
        <f t="shared" si="6"/>
        <v>3.1717599601667215E-2</v>
      </c>
      <c r="Q14" s="171">
        <v>0</v>
      </c>
      <c r="R14" s="172">
        <f t="shared" si="7"/>
        <v>0</v>
      </c>
      <c r="S14" s="171">
        <f t="shared" si="8"/>
        <v>249319.47</v>
      </c>
      <c r="T14" s="172">
        <f t="shared" si="36"/>
        <v>3.1717599601667215E-2</v>
      </c>
      <c r="U14" s="171">
        <v>346715.9</v>
      </c>
      <c r="V14" s="172">
        <f t="shared" si="37"/>
        <v>4.4108051776829506E-2</v>
      </c>
      <c r="W14" s="171">
        <v>263397.84999999998</v>
      </c>
      <c r="X14" s="172">
        <f t="shared" si="11"/>
        <v>3.3508604611745721E-2</v>
      </c>
      <c r="Y14" s="171">
        <v>682575.13</v>
      </c>
      <c r="Z14" s="172">
        <f t="shared" si="12"/>
        <v>8.6834953850158381E-2</v>
      </c>
      <c r="AA14" s="171">
        <v>734119.83000000007</v>
      </c>
      <c r="AB14" s="172">
        <f t="shared" si="13"/>
        <v>9.3392300358989225E-2</v>
      </c>
      <c r="AC14" s="171">
        <f t="shared" si="14"/>
        <v>1416694.96</v>
      </c>
      <c r="AD14" s="172">
        <f t="shared" si="15"/>
        <v>0.18022725420914759</v>
      </c>
      <c r="AE14" s="171">
        <v>1550480.35</v>
      </c>
      <c r="AF14" s="172">
        <f t="shared" si="16"/>
        <v>0.1972469897018185</v>
      </c>
      <c r="AG14" s="171">
        <v>0</v>
      </c>
      <c r="AH14" s="172">
        <f t="shared" si="17"/>
        <v>0</v>
      </c>
      <c r="AI14" s="171">
        <v>1479142.7399999998</v>
      </c>
      <c r="AJ14" s="172">
        <f t="shared" si="18"/>
        <v>0.18817165454841109</v>
      </c>
      <c r="AK14" s="171">
        <v>440177.33</v>
      </c>
      <c r="AL14" s="172">
        <f t="shared" si="19"/>
        <v>5.5997906247237481E-2</v>
      </c>
      <c r="AN14" s="72"/>
    </row>
    <row r="15" spans="1:40" s="73" customFormat="1" ht="14.25" customHeight="1">
      <c r="B15" s="580"/>
      <c r="C15" s="584"/>
      <c r="D15" s="170">
        <v>46211</v>
      </c>
      <c r="E15" s="170" t="s">
        <v>112</v>
      </c>
      <c r="F15" s="320">
        <f t="shared" si="0"/>
        <v>7229874.9699999988</v>
      </c>
      <c r="G15" s="582"/>
      <c r="H15" s="577"/>
      <c r="I15" s="171">
        <v>854165.3899999999</v>
      </c>
      <c r="J15" s="172">
        <f t="shared" si="2"/>
        <v>0.11814386743122338</v>
      </c>
      <c r="K15" s="171">
        <v>1144811.96</v>
      </c>
      <c r="L15" s="172">
        <f t="shared" si="3"/>
        <v>0.15834464147033517</v>
      </c>
      <c r="M15" s="171">
        <f t="shared" si="4"/>
        <v>1998977.3499999999</v>
      </c>
      <c r="N15" s="172">
        <f t="shared" ref="N15" si="38">M15/F15</f>
        <v>0.27648850890155852</v>
      </c>
      <c r="O15" s="171">
        <v>246302.58000000002</v>
      </c>
      <c r="P15" s="172">
        <f t="shared" si="6"/>
        <v>3.4067336021994868E-2</v>
      </c>
      <c r="Q15" s="171">
        <v>0</v>
      </c>
      <c r="R15" s="172">
        <f t="shared" si="7"/>
        <v>0</v>
      </c>
      <c r="S15" s="171">
        <f t="shared" si="8"/>
        <v>246302.58000000002</v>
      </c>
      <c r="T15" s="172">
        <f t="shared" ref="T15" si="39">S15/F15</f>
        <v>3.4067336021994868E-2</v>
      </c>
      <c r="U15" s="171">
        <v>229547.26</v>
      </c>
      <c r="V15" s="172">
        <f t="shared" ref="V15" si="40">U15/F15</f>
        <v>3.1749824298828784E-2</v>
      </c>
      <c r="W15" s="171">
        <v>255314.84000000003</v>
      </c>
      <c r="X15" s="172">
        <f t="shared" si="11"/>
        <v>3.5313866568843312E-2</v>
      </c>
      <c r="Y15" s="171">
        <v>535980.38</v>
      </c>
      <c r="Z15" s="172">
        <f t="shared" si="12"/>
        <v>7.4134114659523645E-2</v>
      </c>
      <c r="AA15" s="171">
        <v>722118.41</v>
      </c>
      <c r="AB15" s="172">
        <f t="shared" si="13"/>
        <v>9.9879792250404595E-2</v>
      </c>
      <c r="AC15" s="171">
        <f t="shared" si="14"/>
        <v>1258098.79</v>
      </c>
      <c r="AD15" s="172">
        <f t="shared" si="15"/>
        <v>0.17401390690992824</v>
      </c>
      <c r="AE15" s="171">
        <v>1457285.7999999998</v>
      </c>
      <c r="AF15" s="172">
        <f t="shared" si="16"/>
        <v>0.20156445388709124</v>
      </c>
      <c r="AG15" s="171">
        <v>0</v>
      </c>
      <c r="AH15" s="172">
        <f t="shared" si="17"/>
        <v>0</v>
      </c>
      <c r="AI15" s="171">
        <v>1356785.8499999999</v>
      </c>
      <c r="AJ15" s="172">
        <f t="shared" si="18"/>
        <v>0.18766380547795283</v>
      </c>
      <c r="AK15" s="171">
        <v>427562.5</v>
      </c>
      <c r="AL15" s="172">
        <f t="shared" si="19"/>
        <v>5.9138297933802313E-2</v>
      </c>
      <c r="AN15" s="72"/>
    </row>
    <row r="16" spans="1:40" s="73" customFormat="1" ht="14.25" customHeight="1">
      <c r="B16" s="580"/>
      <c r="C16" s="584"/>
      <c r="D16" s="170">
        <v>46212</v>
      </c>
      <c r="E16" s="170" t="s">
        <v>113</v>
      </c>
      <c r="F16" s="320">
        <f t="shared" si="0"/>
        <v>6763681.4199999999</v>
      </c>
      <c r="G16" s="582"/>
      <c r="H16" s="577"/>
      <c r="I16" s="171">
        <v>765228.92999999993</v>
      </c>
      <c r="J16" s="172">
        <f t="shared" si="2"/>
        <v>0.11313793221207039</v>
      </c>
      <c r="K16" s="171">
        <v>992416.55999999994</v>
      </c>
      <c r="L16" s="172">
        <f t="shared" si="3"/>
        <v>0.14672727740627381</v>
      </c>
      <c r="M16" s="171">
        <f t="shared" si="4"/>
        <v>1757645.4899999998</v>
      </c>
      <c r="N16" s="172">
        <f t="shared" ref="N16" si="41">M16/$F16</f>
        <v>0.2598652096183442</v>
      </c>
      <c r="O16" s="171">
        <v>228745.53</v>
      </c>
      <c r="P16" s="172">
        <f t="shared" si="6"/>
        <v>3.3819678337244925E-2</v>
      </c>
      <c r="Q16" s="171">
        <v>0</v>
      </c>
      <c r="R16" s="172">
        <f t="shared" si="7"/>
        <v>0</v>
      </c>
      <c r="S16" s="171">
        <f t="shared" si="8"/>
        <v>228745.53</v>
      </c>
      <c r="T16" s="172">
        <f t="shared" ref="T16" si="42">S16/$F16</f>
        <v>3.3819678337244925E-2</v>
      </c>
      <c r="U16" s="171">
        <v>212758.88</v>
      </c>
      <c r="V16" s="172">
        <f t="shared" ref="V16" si="43">U16/$F16</f>
        <v>3.1456076474991636E-2</v>
      </c>
      <c r="W16" s="171">
        <v>247015.87000000002</v>
      </c>
      <c r="X16" s="172">
        <f t="shared" si="11"/>
        <v>3.6520920288998476E-2</v>
      </c>
      <c r="Y16" s="171">
        <v>496231.16000000003</v>
      </c>
      <c r="Z16" s="172">
        <f t="shared" si="12"/>
        <v>7.3367021476301295E-2</v>
      </c>
      <c r="AA16" s="171">
        <v>668808.42000000004</v>
      </c>
      <c r="AB16" s="172">
        <f t="shared" si="13"/>
        <v>9.888230661224727E-2</v>
      </c>
      <c r="AC16" s="171">
        <f t="shared" si="14"/>
        <v>1165039.58</v>
      </c>
      <c r="AD16" s="172">
        <f t="shared" si="15"/>
        <v>0.17224932808854856</v>
      </c>
      <c r="AE16" s="171">
        <v>1456308.1400000001</v>
      </c>
      <c r="AF16" s="172">
        <f t="shared" si="16"/>
        <v>0.21531294121774294</v>
      </c>
      <c r="AG16" s="171">
        <v>0</v>
      </c>
      <c r="AH16" s="172">
        <f t="shared" si="17"/>
        <v>0</v>
      </c>
      <c r="AI16" s="171">
        <v>1250972.55</v>
      </c>
      <c r="AJ16" s="172">
        <f t="shared" si="18"/>
        <v>0.18495438686702664</v>
      </c>
      <c r="AK16" s="171">
        <v>445195.38</v>
      </c>
      <c r="AL16" s="172">
        <f t="shared" si="19"/>
        <v>6.5821459107102659E-2</v>
      </c>
      <c r="AN16" s="72"/>
    </row>
    <row r="17" spans="2:40" s="73" customFormat="1" ht="14.25" customHeight="1">
      <c r="B17" s="580"/>
      <c r="C17" s="584"/>
      <c r="D17" s="170">
        <v>46213</v>
      </c>
      <c r="E17" s="170" t="s">
        <v>114</v>
      </c>
      <c r="F17" s="320">
        <f t="shared" si="0"/>
        <v>5383246.2599999998</v>
      </c>
      <c r="G17" s="582"/>
      <c r="H17" s="577"/>
      <c r="I17" s="171">
        <v>579909.59000000008</v>
      </c>
      <c r="J17" s="172">
        <f t="shared" si="2"/>
        <v>0.10772488606159364</v>
      </c>
      <c r="K17" s="171">
        <v>866974.10000000009</v>
      </c>
      <c r="L17" s="172">
        <f t="shared" si="3"/>
        <v>0.16105042536174077</v>
      </c>
      <c r="M17" s="171">
        <f t="shared" si="4"/>
        <v>1446883.6900000002</v>
      </c>
      <c r="N17" s="172">
        <f t="shared" ref="N17" si="44">M17/F17</f>
        <v>0.26877531142333438</v>
      </c>
      <c r="O17" s="171">
        <v>178415.97000000003</v>
      </c>
      <c r="P17" s="172">
        <f t="shared" si="6"/>
        <v>3.3142821521228355E-2</v>
      </c>
      <c r="Q17" s="171">
        <v>0</v>
      </c>
      <c r="R17" s="172">
        <f t="shared" si="7"/>
        <v>0</v>
      </c>
      <c r="S17" s="171">
        <f t="shared" si="8"/>
        <v>178415.97000000003</v>
      </c>
      <c r="T17" s="172">
        <f t="shared" ref="T17" si="45">S17/F17</f>
        <v>3.3142821521228355E-2</v>
      </c>
      <c r="U17" s="171">
        <v>182945.39</v>
      </c>
      <c r="V17" s="172">
        <f t="shared" ref="V17" si="46">U17/F17</f>
        <v>3.3984213458590692E-2</v>
      </c>
      <c r="W17" s="171">
        <v>183686.99</v>
      </c>
      <c r="X17" s="172">
        <f t="shared" si="11"/>
        <v>3.4121974200749271E-2</v>
      </c>
      <c r="Y17" s="171">
        <v>384734.26</v>
      </c>
      <c r="Z17" s="172">
        <f t="shared" si="12"/>
        <v>7.1468820376796222E-2</v>
      </c>
      <c r="AA17" s="171">
        <v>584000.57999999996</v>
      </c>
      <c r="AB17" s="172">
        <f t="shared" si="13"/>
        <v>0.10848483457637696</v>
      </c>
      <c r="AC17" s="171">
        <f t="shared" si="14"/>
        <v>968734.84</v>
      </c>
      <c r="AD17" s="172">
        <f t="shared" si="15"/>
        <v>0.17995365495317317</v>
      </c>
      <c r="AE17" s="171">
        <v>1171330.49</v>
      </c>
      <c r="AF17" s="172">
        <f t="shared" si="16"/>
        <v>0.21758813054931656</v>
      </c>
      <c r="AG17" s="171">
        <v>0</v>
      </c>
      <c r="AH17" s="172">
        <f t="shared" si="17"/>
        <v>0</v>
      </c>
      <c r="AI17" s="171">
        <v>917881.72</v>
      </c>
      <c r="AJ17" s="172">
        <f t="shared" si="18"/>
        <v>0.17050710215883752</v>
      </c>
      <c r="AK17" s="171">
        <v>333367.17</v>
      </c>
      <c r="AL17" s="172">
        <f t="shared" si="19"/>
        <v>6.1926791734770087E-2</v>
      </c>
      <c r="AN17" s="72"/>
    </row>
    <row r="18" spans="2:40" s="73" customFormat="1" ht="14.25" customHeight="1">
      <c r="B18" s="580"/>
      <c r="C18" s="584"/>
      <c r="D18" s="170">
        <v>46214</v>
      </c>
      <c r="E18" s="170" t="s">
        <v>115</v>
      </c>
      <c r="F18" s="320">
        <f t="shared" si="0"/>
        <v>6085802.3499999996</v>
      </c>
      <c r="G18" s="582"/>
      <c r="H18" s="577"/>
      <c r="I18" s="171">
        <v>575469.14999999991</v>
      </c>
      <c r="J18" s="172">
        <f t="shared" si="2"/>
        <v>9.4559290115624597E-2</v>
      </c>
      <c r="K18" s="171">
        <v>1056890.1599999999</v>
      </c>
      <c r="L18" s="172">
        <f t="shared" si="3"/>
        <v>0.17366488413807918</v>
      </c>
      <c r="M18" s="171">
        <f t="shared" si="4"/>
        <v>1632359.3099999998</v>
      </c>
      <c r="N18" s="172">
        <f t="shared" ref="N18" si="47">M18/$F18</f>
        <v>0.26822417425370376</v>
      </c>
      <c r="O18" s="171">
        <v>180329.65999999997</v>
      </c>
      <c r="P18" s="172">
        <f t="shared" si="6"/>
        <v>2.9631205489281127E-2</v>
      </c>
      <c r="Q18" s="171">
        <v>0</v>
      </c>
      <c r="R18" s="172">
        <f t="shared" si="7"/>
        <v>0</v>
      </c>
      <c r="S18" s="171">
        <f t="shared" si="8"/>
        <v>180329.65999999997</v>
      </c>
      <c r="T18" s="172">
        <f t="shared" ref="T18" si="48">S18/$F18</f>
        <v>2.9631205489281127E-2</v>
      </c>
      <c r="U18" s="171">
        <v>224454.94999999998</v>
      </c>
      <c r="V18" s="172">
        <f t="shared" ref="V18" si="49">U18/$F18</f>
        <v>3.6881735076394653E-2</v>
      </c>
      <c r="W18" s="171">
        <v>209800.09000000003</v>
      </c>
      <c r="X18" s="172">
        <f t="shared" si="11"/>
        <v>3.4473694335472468E-2</v>
      </c>
      <c r="Y18" s="171">
        <v>453560.67000000004</v>
      </c>
      <c r="Z18" s="172">
        <f t="shared" si="12"/>
        <v>7.4527670127177245E-2</v>
      </c>
      <c r="AA18" s="171">
        <v>671874.37</v>
      </c>
      <c r="AB18" s="172">
        <f t="shared" si="13"/>
        <v>0.11040029421921664</v>
      </c>
      <c r="AC18" s="171">
        <f t="shared" si="14"/>
        <v>1125435.04</v>
      </c>
      <c r="AD18" s="172">
        <f t="shared" si="15"/>
        <v>0.18492796434639389</v>
      </c>
      <c r="AE18" s="171">
        <v>1269917.0900000001</v>
      </c>
      <c r="AF18" s="172">
        <f t="shared" si="16"/>
        <v>0.20866880272574087</v>
      </c>
      <c r="AG18" s="171">
        <v>0</v>
      </c>
      <c r="AH18" s="172">
        <f t="shared" si="17"/>
        <v>0</v>
      </c>
      <c r="AI18" s="171">
        <v>1068018.8399999999</v>
      </c>
      <c r="AJ18" s="172">
        <f t="shared" si="18"/>
        <v>0.17549351401463112</v>
      </c>
      <c r="AK18" s="171">
        <v>375487.37</v>
      </c>
      <c r="AL18" s="172">
        <f t="shared" si="19"/>
        <v>6.1698909758382152E-2</v>
      </c>
      <c r="AN18" s="72"/>
    </row>
    <row r="19" spans="2:40" s="73" customFormat="1" ht="14.25" customHeight="1">
      <c r="B19" s="580"/>
      <c r="C19" s="584"/>
      <c r="D19" s="170">
        <v>46215</v>
      </c>
      <c r="E19" s="170" t="s">
        <v>116</v>
      </c>
      <c r="F19" s="320">
        <f t="shared" si="0"/>
        <v>7790002.0999999996</v>
      </c>
      <c r="G19" s="582"/>
      <c r="H19" s="577"/>
      <c r="I19" s="171">
        <v>825821.42000000027</v>
      </c>
      <c r="J19" s="172">
        <f t="shared" si="2"/>
        <v>0.10601042328345461</v>
      </c>
      <c r="K19" s="171">
        <v>1163118.6299999999</v>
      </c>
      <c r="L19" s="172">
        <f t="shared" si="3"/>
        <v>0.14930915487172974</v>
      </c>
      <c r="M19" s="171">
        <f t="shared" si="4"/>
        <v>1988940.0500000003</v>
      </c>
      <c r="N19" s="172">
        <f t="shared" ref="N19" si="50">M19/F19</f>
        <v>0.25531957815518436</v>
      </c>
      <c r="O19" s="171">
        <v>241261.93000000002</v>
      </c>
      <c r="P19" s="172">
        <f t="shared" si="6"/>
        <v>3.0970714372464681E-2</v>
      </c>
      <c r="Q19" s="171">
        <v>0</v>
      </c>
      <c r="R19" s="172">
        <f t="shared" si="7"/>
        <v>0</v>
      </c>
      <c r="S19" s="171">
        <f t="shared" si="8"/>
        <v>241261.93000000002</v>
      </c>
      <c r="T19" s="172">
        <f t="shared" ref="T19" si="51">S19/F19</f>
        <v>3.0970714372464681E-2</v>
      </c>
      <c r="U19" s="171">
        <v>263001.55</v>
      </c>
      <c r="V19" s="172">
        <f t="shared" ref="V19" si="52">U19/F19</f>
        <v>3.3761422220925971E-2</v>
      </c>
      <c r="W19" s="171">
        <v>231269.79</v>
      </c>
      <c r="X19" s="172">
        <f t="shared" si="11"/>
        <v>2.9688026656629531E-2</v>
      </c>
      <c r="Y19" s="171">
        <v>588890.14</v>
      </c>
      <c r="Z19" s="172">
        <f t="shared" si="12"/>
        <v>7.5595633023000083E-2</v>
      </c>
      <c r="AA19" s="171">
        <v>823525.12999999989</v>
      </c>
      <c r="AB19" s="172">
        <f t="shared" si="13"/>
        <v>0.10571564929359903</v>
      </c>
      <c r="AC19" s="171">
        <f t="shared" si="14"/>
        <v>1412415.27</v>
      </c>
      <c r="AD19" s="172">
        <f t="shared" si="15"/>
        <v>0.18131128231659913</v>
      </c>
      <c r="AE19" s="171">
        <v>1954760.6299999997</v>
      </c>
      <c r="AF19" s="172">
        <f t="shared" si="16"/>
        <v>0.25093197728406258</v>
      </c>
      <c r="AG19" s="171">
        <v>0</v>
      </c>
      <c r="AH19" s="172">
        <f t="shared" si="17"/>
        <v>0</v>
      </c>
      <c r="AI19" s="171">
        <v>1247470.8399999999</v>
      </c>
      <c r="AJ19" s="172">
        <f t="shared" si="18"/>
        <v>0.16013742024536809</v>
      </c>
      <c r="AK19" s="171">
        <v>450882.04000000004</v>
      </c>
      <c r="AL19" s="172">
        <f t="shared" si="19"/>
        <v>5.7879578748765682E-2</v>
      </c>
      <c r="AN19" s="72"/>
    </row>
    <row r="20" spans="2:40" s="73" customFormat="1" ht="14.25" customHeight="1">
      <c r="B20" s="581"/>
      <c r="C20" s="584"/>
      <c r="D20" s="170">
        <v>46216</v>
      </c>
      <c r="E20" s="170" t="s">
        <v>117</v>
      </c>
      <c r="F20" s="320">
        <f t="shared" si="0"/>
        <v>7296191.4900000002</v>
      </c>
      <c r="G20" s="582"/>
      <c r="H20" s="577"/>
      <c r="I20" s="171">
        <v>807393.35000000009</v>
      </c>
      <c r="J20" s="172">
        <f t="shared" si="2"/>
        <v>0.11065956137617765</v>
      </c>
      <c r="K20" s="171">
        <v>1127879.18</v>
      </c>
      <c r="L20" s="172">
        <f t="shared" si="3"/>
        <v>0.15458464618778803</v>
      </c>
      <c r="M20" s="171">
        <f t="shared" si="4"/>
        <v>1935272.53</v>
      </c>
      <c r="N20" s="172">
        <f t="shared" ref="N20:N21" si="53">M20/$F20</f>
        <v>0.26524420756396566</v>
      </c>
      <c r="O20" s="171">
        <v>239605.71000000002</v>
      </c>
      <c r="P20" s="172">
        <f t="shared" si="6"/>
        <v>3.2839832990731996E-2</v>
      </c>
      <c r="Q20" s="171">
        <v>0</v>
      </c>
      <c r="R20" s="172">
        <f t="shared" si="7"/>
        <v>0</v>
      </c>
      <c r="S20" s="171">
        <f t="shared" si="8"/>
        <v>239605.71000000002</v>
      </c>
      <c r="T20" s="172">
        <f t="shared" ref="T20:T21" si="54">S20/$F20</f>
        <v>3.2839832990731996E-2</v>
      </c>
      <c r="U20" s="171">
        <v>218053.58000000002</v>
      </c>
      <c r="V20" s="172">
        <f t="shared" ref="V20:V21" si="55">U20/$F20</f>
        <v>2.9885945331733613E-2</v>
      </c>
      <c r="W20" s="171">
        <v>252968.04000000004</v>
      </c>
      <c r="X20" s="172">
        <f t="shared" si="11"/>
        <v>3.467124462765437E-2</v>
      </c>
      <c r="Y20" s="171">
        <v>496197.77</v>
      </c>
      <c r="Z20" s="172">
        <f t="shared" si="12"/>
        <v>6.80077778495915E-2</v>
      </c>
      <c r="AA20" s="171">
        <v>837797.55999999994</v>
      </c>
      <c r="AB20" s="172">
        <f t="shared" si="13"/>
        <v>0.11482669570121164</v>
      </c>
      <c r="AC20" s="171">
        <f t="shared" si="14"/>
        <v>1333995.33</v>
      </c>
      <c r="AD20" s="172">
        <f t="shared" si="15"/>
        <v>0.18283447355080315</v>
      </c>
      <c r="AE20" s="171">
        <v>1711630.5999999999</v>
      </c>
      <c r="AF20" s="172">
        <f t="shared" si="16"/>
        <v>0.23459233524036796</v>
      </c>
      <c r="AG20" s="171">
        <v>0</v>
      </c>
      <c r="AH20" s="172">
        <f t="shared" si="17"/>
        <v>0</v>
      </c>
      <c r="AI20" s="171">
        <v>1115033.67</v>
      </c>
      <c r="AJ20" s="172">
        <f t="shared" si="18"/>
        <v>0.15282406876632015</v>
      </c>
      <c r="AK20" s="171">
        <v>489632.03</v>
      </c>
      <c r="AL20" s="172">
        <f t="shared" si="19"/>
        <v>6.7107891928423063E-2</v>
      </c>
      <c r="AN20" s="72"/>
    </row>
    <row r="21" spans="2:40" s="73" customFormat="1" ht="14.25" customHeight="1">
      <c r="B21" s="579">
        <f>D22+7</f>
        <v>46225</v>
      </c>
      <c r="C21" s="584"/>
      <c r="D21" s="170">
        <v>46217</v>
      </c>
      <c r="E21" s="170" t="s">
        <v>118</v>
      </c>
      <c r="F21" s="320">
        <f t="shared" si="0"/>
        <v>6870172.4199999999</v>
      </c>
      <c r="G21" s="582">
        <f t="shared" ref="G21" si="56">SUM(F21:F27)</f>
        <v>43787408.530000001</v>
      </c>
      <c r="H21" s="577"/>
      <c r="I21" s="171">
        <v>933663.58000000007</v>
      </c>
      <c r="J21" s="172">
        <f t="shared" si="2"/>
        <v>0.13590104045743878</v>
      </c>
      <c r="K21" s="171">
        <v>1079108.68</v>
      </c>
      <c r="L21" s="172">
        <f t="shared" si="3"/>
        <v>0.1570715571647909</v>
      </c>
      <c r="M21" s="171">
        <f t="shared" si="4"/>
        <v>2012772.26</v>
      </c>
      <c r="N21" s="172">
        <f t="shared" si="53"/>
        <v>0.29297259762222971</v>
      </c>
      <c r="O21" s="171">
        <v>235295.28</v>
      </c>
      <c r="P21" s="172">
        <f t="shared" si="6"/>
        <v>3.4248817295330705E-2</v>
      </c>
      <c r="Q21" s="171">
        <v>0</v>
      </c>
      <c r="R21" s="172">
        <f t="shared" si="7"/>
        <v>0</v>
      </c>
      <c r="S21" s="171">
        <f t="shared" si="8"/>
        <v>235295.28</v>
      </c>
      <c r="T21" s="172">
        <f t="shared" si="54"/>
        <v>3.4248817295330705E-2</v>
      </c>
      <c r="U21" s="171">
        <v>181053.58000000002</v>
      </c>
      <c r="V21" s="172">
        <f t="shared" si="55"/>
        <v>2.6353571487220406E-2</v>
      </c>
      <c r="W21" s="171">
        <v>237786.15000000002</v>
      </c>
      <c r="X21" s="172">
        <f t="shared" si="11"/>
        <v>3.461138024829951E-2</v>
      </c>
      <c r="Y21" s="171">
        <v>440755.01</v>
      </c>
      <c r="Z21" s="172">
        <f t="shared" si="12"/>
        <v>6.4154868765287851E-2</v>
      </c>
      <c r="AA21" s="171">
        <v>668894.01</v>
      </c>
      <c r="AB21" s="172">
        <f t="shared" si="13"/>
        <v>9.736204116984884E-2</v>
      </c>
      <c r="AC21" s="171">
        <f t="shared" si="14"/>
        <v>1109649.02</v>
      </c>
      <c r="AD21" s="172">
        <f t="shared" si="15"/>
        <v>0.16151690993513668</v>
      </c>
      <c r="AE21" s="171">
        <v>1680304.22</v>
      </c>
      <c r="AF21" s="172">
        <f t="shared" si="16"/>
        <v>0.2445796287598849</v>
      </c>
      <c r="AG21" s="171">
        <v>0</v>
      </c>
      <c r="AH21" s="172">
        <f t="shared" si="17"/>
        <v>0</v>
      </c>
      <c r="AI21" s="171">
        <v>987387.24999999977</v>
      </c>
      <c r="AJ21" s="172">
        <f t="shared" si="18"/>
        <v>0.14372088350003881</v>
      </c>
      <c r="AK21" s="171">
        <v>425924.66</v>
      </c>
      <c r="AL21" s="172">
        <f t="shared" si="19"/>
        <v>6.1996211151859271E-2</v>
      </c>
      <c r="AN21" s="72"/>
    </row>
    <row r="22" spans="2:40" s="73" customFormat="1" ht="14.25" customHeight="1">
      <c r="B22" s="580"/>
      <c r="C22" s="584"/>
      <c r="D22" s="170">
        <v>46218</v>
      </c>
      <c r="E22" s="170" t="s">
        <v>112</v>
      </c>
      <c r="F22" s="320">
        <f t="shared" si="0"/>
        <v>6423738.620000001</v>
      </c>
      <c r="G22" s="582"/>
      <c r="H22" s="577"/>
      <c r="I22" s="171">
        <v>837864.7300000001</v>
      </c>
      <c r="J22" s="172">
        <f t="shared" si="2"/>
        <v>0.13043256887684512</v>
      </c>
      <c r="K22" s="171">
        <v>1031638.49</v>
      </c>
      <c r="L22" s="172">
        <f t="shared" si="3"/>
        <v>0.16059783111162762</v>
      </c>
      <c r="M22" s="171">
        <f t="shared" si="4"/>
        <v>1869503.2200000002</v>
      </c>
      <c r="N22" s="172">
        <f t="shared" ref="N22" si="57">M22/F22</f>
        <v>0.29103039998847274</v>
      </c>
      <c r="O22" s="171">
        <v>233445.58000000002</v>
      </c>
      <c r="P22" s="172">
        <f t="shared" si="6"/>
        <v>3.6341077028442352E-2</v>
      </c>
      <c r="Q22" s="171">
        <v>0</v>
      </c>
      <c r="R22" s="172">
        <f t="shared" si="7"/>
        <v>0</v>
      </c>
      <c r="S22" s="171">
        <f t="shared" si="8"/>
        <v>233445.58000000002</v>
      </c>
      <c r="T22" s="172">
        <f t="shared" ref="T22" si="58">S22/F22</f>
        <v>3.6341077028442352E-2</v>
      </c>
      <c r="U22" s="171">
        <v>191547.89</v>
      </c>
      <c r="V22" s="172">
        <f t="shared" ref="V22" si="59">U22/F22</f>
        <v>2.9818755296740263E-2</v>
      </c>
      <c r="W22" s="171">
        <v>224753.52000000002</v>
      </c>
      <c r="X22" s="172">
        <f t="shared" si="11"/>
        <v>3.498796157431449E-2</v>
      </c>
      <c r="Y22" s="171">
        <v>441698.23</v>
      </c>
      <c r="Z22" s="172">
        <f t="shared" si="12"/>
        <v>6.8760305505705638E-2</v>
      </c>
      <c r="AA22" s="171">
        <v>594309.30000000005</v>
      </c>
      <c r="AB22" s="172">
        <f t="shared" si="13"/>
        <v>9.2517665359179879E-2</v>
      </c>
      <c r="AC22" s="171">
        <f t="shared" si="14"/>
        <v>1036007.53</v>
      </c>
      <c r="AD22" s="172">
        <f t="shared" si="15"/>
        <v>0.16127797086488552</v>
      </c>
      <c r="AE22" s="171">
        <v>1535257.74</v>
      </c>
      <c r="AF22" s="172">
        <f t="shared" si="16"/>
        <v>0.23899754190185274</v>
      </c>
      <c r="AG22" s="171">
        <v>0</v>
      </c>
      <c r="AH22" s="172">
        <f t="shared" si="17"/>
        <v>0</v>
      </c>
      <c r="AI22" s="171">
        <v>914812.07</v>
      </c>
      <c r="AJ22" s="172">
        <f t="shared" si="18"/>
        <v>0.14241116024736383</v>
      </c>
      <c r="AK22" s="171">
        <v>418411.06999999995</v>
      </c>
      <c r="AL22" s="172">
        <f t="shared" si="19"/>
        <v>6.5135133097927927E-2</v>
      </c>
      <c r="AN22" s="72"/>
    </row>
    <row r="23" spans="2:40" s="73" customFormat="1" ht="14.25" customHeight="1">
      <c r="B23" s="580"/>
      <c r="C23" s="584"/>
      <c r="D23" s="170">
        <v>46219</v>
      </c>
      <c r="E23" s="170" t="s">
        <v>113</v>
      </c>
      <c r="F23" s="320">
        <f t="shared" si="0"/>
        <v>5886839.0900000008</v>
      </c>
      <c r="G23" s="582"/>
      <c r="H23" s="577"/>
      <c r="I23" s="171">
        <v>796140.71000000008</v>
      </c>
      <c r="J23" s="172">
        <f t="shared" si="2"/>
        <v>0.13524077995479913</v>
      </c>
      <c r="K23" s="171">
        <v>914813.24000000022</v>
      </c>
      <c r="L23" s="172">
        <f t="shared" si="3"/>
        <v>0.15539973592177803</v>
      </c>
      <c r="M23" s="171">
        <f t="shared" si="4"/>
        <v>1710953.9500000002</v>
      </c>
      <c r="N23" s="172">
        <f t="shared" ref="N23" si="60">M23/$F23</f>
        <v>0.29064051587657713</v>
      </c>
      <c r="O23" s="171">
        <v>230334.59</v>
      </c>
      <c r="P23" s="172">
        <f t="shared" si="6"/>
        <v>3.9127040246652971E-2</v>
      </c>
      <c r="Q23" s="171">
        <v>0</v>
      </c>
      <c r="R23" s="172">
        <f t="shared" si="7"/>
        <v>0</v>
      </c>
      <c r="S23" s="171">
        <f t="shared" si="8"/>
        <v>230334.59</v>
      </c>
      <c r="T23" s="172">
        <f t="shared" ref="T23" si="61">S23/$F23</f>
        <v>3.9127040246652971E-2</v>
      </c>
      <c r="U23" s="171">
        <v>179909.91</v>
      </c>
      <c r="V23" s="172">
        <f t="shared" ref="V23" si="62">U23/$F23</f>
        <v>3.0561377209309789E-2</v>
      </c>
      <c r="W23" s="171">
        <v>219929.86000000002</v>
      </c>
      <c r="X23" s="172">
        <f t="shared" si="11"/>
        <v>3.7359584088784731E-2</v>
      </c>
      <c r="Y23" s="171">
        <v>431493.03</v>
      </c>
      <c r="Z23" s="172">
        <f t="shared" si="12"/>
        <v>7.329791478978577E-2</v>
      </c>
      <c r="AA23" s="171">
        <v>483611.21000000008</v>
      </c>
      <c r="AB23" s="172">
        <f t="shared" si="13"/>
        <v>8.2151253432680454E-2</v>
      </c>
      <c r="AC23" s="171">
        <f t="shared" si="14"/>
        <v>915104.24000000011</v>
      </c>
      <c r="AD23" s="172">
        <f t="shared" si="15"/>
        <v>0.15544916822246621</v>
      </c>
      <c r="AE23" s="171">
        <v>1354591.5500000003</v>
      </c>
      <c r="AF23" s="172">
        <f t="shared" si="16"/>
        <v>0.23010507494608623</v>
      </c>
      <c r="AG23" s="171">
        <v>0</v>
      </c>
      <c r="AH23" s="172">
        <f t="shared" si="17"/>
        <v>0</v>
      </c>
      <c r="AI23" s="171">
        <v>895147.95</v>
      </c>
      <c r="AJ23" s="172">
        <f t="shared" si="18"/>
        <v>0.15205918427778869</v>
      </c>
      <c r="AK23" s="171">
        <v>380867.04000000004</v>
      </c>
      <c r="AL23" s="172">
        <f t="shared" si="19"/>
        <v>6.4698055132334176E-2</v>
      </c>
      <c r="AN23" s="72"/>
    </row>
    <row r="24" spans="2:40" s="73" customFormat="1" ht="14.25" customHeight="1">
      <c r="B24" s="580"/>
      <c r="C24" s="584"/>
      <c r="D24" s="170">
        <v>46220</v>
      </c>
      <c r="E24" s="170" t="s">
        <v>114</v>
      </c>
      <c r="F24" s="320">
        <f t="shared" si="0"/>
        <v>5200104.47</v>
      </c>
      <c r="G24" s="582"/>
      <c r="H24" s="577"/>
      <c r="I24" s="171">
        <v>640903.0199999999</v>
      </c>
      <c r="J24" s="172">
        <f t="shared" si="2"/>
        <v>0.12324810466740486</v>
      </c>
      <c r="K24" s="171">
        <v>838132.20999999985</v>
      </c>
      <c r="L24" s="172">
        <f t="shared" si="3"/>
        <v>0.16117603306535105</v>
      </c>
      <c r="M24" s="171">
        <f t="shared" si="4"/>
        <v>1479035.2299999997</v>
      </c>
      <c r="N24" s="172">
        <f t="shared" ref="N24" si="63">M24/F24</f>
        <v>0.28442413773275593</v>
      </c>
      <c r="O24" s="171">
        <v>184063.19</v>
      </c>
      <c r="P24" s="172">
        <f t="shared" si="6"/>
        <v>3.5396056187309642E-2</v>
      </c>
      <c r="Q24" s="171">
        <v>0</v>
      </c>
      <c r="R24" s="172">
        <f t="shared" si="7"/>
        <v>0</v>
      </c>
      <c r="S24" s="171">
        <f t="shared" si="8"/>
        <v>184063.19</v>
      </c>
      <c r="T24" s="172">
        <f t="shared" ref="T24" si="64">S24/F24</f>
        <v>3.5396056187309642E-2</v>
      </c>
      <c r="U24" s="171">
        <v>161117.60999999999</v>
      </c>
      <c r="V24" s="172">
        <f t="shared" ref="V24" si="65">U24/F24</f>
        <v>3.0983533298130066E-2</v>
      </c>
      <c r="W24" s="171">
        <v>175888.91999999998</v>
      </c>
      <c r="X24" s="172">
        <f t="shared" si="11"/>
        <v>3.3824112768257517E-2</v>
      </c>
      <c r="Y24" s="171">
        <v>442099.4</v>
      </c>
      <c r="Z24" s="172">
        <f t="shared" si="12"/>
        <v>8.5017407352202687E-2</v>
      </c>
      <c r="AA24" s="171">
        <v>477587.29999999993</v>
      </c>
      <c r="AB24" s="172">
        <f t="shared" si="13"/>
        <v>9.1841866400041758E-2</v>
      </c>
      <c r="AC24" s="171">
        <f t="shared" si="14"/>
        <v>919686.7</v>
      </c>
      <c r="AD24" s="172">
        <f t="shared" si="15"/>
        <v>0.17685927375224444</v>
      </c>
      <c r="AE24" s="171">
        <v>1020406.15</v>
      </c>
      <c r="AF24" s="172">
        <f t="shared" si="16"/>
        <v>0.19622800962689121</v>
      </c>
      <c r="AG24" s="171">
        <v>0</v>
      </c>
      <c r="AH24" s="172">
        <f t="shared" si="17"/>
        <v>0</v>
      </c>
      <c r="AI24" s="171">
        <v>946134.59</v>
      </c>
      <c r="AJ24" s="172">
        <f t="shared" si="18"/>
        <v>0.18194530426424299</v>
      </c>
      <c r="AK24" s="171">
        <v>313772.08</v>
      </c>
      <c r="AL24" s="172">
        <f t="shared" si="19"/>
        <v>6.0339572370168175E-2</v>
      </c>
      <c r="AN24" s="72"/>
    </row>
    <row r="25" spans="2:40" s="73" customFormat="1" ht="14.25" customHeight="1">
      <c r="B25" s="580"/>
      <c r="C25" s="584"/>
      <c r="D25" s="170">
        <v>46221</v>
      </c>
      <c r="E25" s="170" t="s">
        <v>115</v>
      </c>
      <c r="F25" s="320">
        <f t="shared" si="0"/>
        <v>5391308.3200000003</v>
      </c>
      <c r="G25" s="582"/>
      <c r="H25" s="577"/>
      <c r="I25" s="171">
        <v>615469.30000000005</v>
      </c>
      <c r="J25" s="172">
        <f t="shared" si="2"/>
        <v>0.11415954411600041</v>
      </c>
      <c r="K25" s="171">
        <v>969000.51</v>
      </c>
      <c r="L25" s="172">
        <f t="shared" si="3"/>
        <v>0.17973383314126615</v>
      </c>
      <c r="M25" s="171">
        <f t="shared" si="4"/>
        <v>1584469.81</v>
      </c>
      <c r="N25" s="172">
        <f t="shared" ref="N25" si="66">M25/$F25</f>
        <v>0.29389337725726655</v>
      </c>
      <c r="O25" s="171">
        <v>174193.89</v>
      </c>
      <c r="P25" s="172">
        <f t="shared" si="6"/>
        <v>3.2310133210856691E-2</v>
      </c>
      <c r="Q25" s="171">
        <v>0</v>
      </c>
      <c r="R25" s="172">
        <f t="shared" si="7"/>
        <v>0</v>
      </c>
      <c r="S25" s="171">
        <f t="shared" si="8"/>
        <v>174193.89</v>
      </c>
      <c r="T25" s="172">
        <f t="shared" ref="T25" si="67">S25/$F25</f>
        <v>3.2310133210856691E-2</v>
      </c>
      <c r="U25" s="171">
        <v>161820.97999999998</v>
      </c>
      <c r="V25" s="172">
        <f t="shared" ref="V25" si="68">U25/$F25</f>
        <v>3.001515965979849E-2</v>
      </c>
      <c r="W25" s="171">
        <v>183074.12</v>
      </c>
      <c r="X25" s="172">
        <f t="shared" si="11"/>
        <v>3.3957271432771628E-2</v>
      </c>
      <c r="Y25" s="171">
        <v>413382.74</v>
      </c>
      <c r="Z25" s="172">
        <f t="shared" si="12"/>
        <v>7.6675774313719816E-2</v>
      </c>
      <c r="AA25" s="171">
        <v>556245.62</v>
      </c>
      <c r="AB25" s="172">
        <f t="shared" si="13"/>
        <v>0.10317451479013168</v>
      </c>
      <c r="AC25" s="171">
        <f t="shared" si="14"/>
        <v>969628.36</v>
      </c>
      <c r="AD25" s="172">
        <f t="shared" si="15"/>
        <v>0.17985028910385151</v>
      </c>
      <c r="AE25" s="171">
        <v>1087809.99</v>
      </c>
      <c r="AF25" s="172">
        <f t="shared" si="16"/>
        <v>0.20177105916287125</v>
      </c>
      <c r="AG25" s="171">
        <v>0</v>
      </c>
      <c r="AH25" s="172">
        <f t="shared" si="17"/>
        <v>0</v>
      </c>
      <c r="AI25" s="171">
        <v>903060.12000000011</v>
      </c>
      <c r="AJ25" s="172">
        <f t="shared" si="18"/>
        <v>0.16750296336233281</v>
      </c>
      <c r="AK25" s="171">
        <v>327251.05000000005</v>
      </c>
      <c r="AL25" s="172">
        <f t="shared" si="19"/>
        <v>6.0699746810251066E-2</v>
      </c>
      <c r="AN25" s="72"/>
    </row>
    <row r="26" spans="2:40" s="73" customFormat="1" ht="14.25" customHeight="1">
      <c r="B26" s="580"/>
      <c r="C26" s="584"/>
      <c r="D26" s="170">
        <v>46222</v>
      </c>
      <c r="E26" s="170" t="s">
        <v>116</v>
      </c>
      <c r="F26" s="320">
        <f t="shared" si="0"/>
        <v>7176291.25</v>
      </c>
      <c r="G26" s="582"/>
      <c r="H26" s="577"/>
      <c r="I26" s="171">
        <v>881753.83</v>
      </c>
      <c r="J26" s="172">
        <f t="shared" si="2"/>
        <v>0.12287040746848171</v>
      </c>
      <c r="K26" s="171">
        <v>1111733.75</v>
      </c>
      <c r="L26" s="172">
        <f t="shared" si="3"/>
        <v>0.15491759061479005</v>
      </c>
      <c r="M26" s="171">
        <f t="shared" si="4"/>
        <v>1993487.58</v>
      </c>
      <c r="N26" s="172">
        <f t="shared" ref="N26" si="69">M26/F26</f>
        <v>0.27778799808327176</v>
      </c>
      <c r="O26" s="171">
        <v>243741.47999999998</v>
      </c>
      <c r="P26" s="172">
        <f t="shared" si="6"/>
        <v>3.396482549394856E-2</v>
      </c>
      <c r="Q26" s="171">
        <v>0</v>
      </c>
      <c r="R26" s="172">
        <f t="shared" si="7"/>
        <v>0</v>
      </c>
      <c r="S26" s="171">
        <f t="shared" si="8"/>
        <v>243741.47999999998</v>
      </c>
      <c r="T26" s="172">
        <f t="shared" ref="T26" si="70">S26/F26</f>
        <v>3.396482549394856E-2</v>
      </c>
      <c r="U26" s="171">
        <v>217036.82</v>
      </c>
      <c r="V26" s="172">
        <f t="shared" ref="V26" si="71">U26/F26</f>
        <v>3.0243591353681473E-2</v>
      </c>
      <c r="W26" s="171">
        <v>227469.35</v>
      </c>
      <c r="X26" s="172">
        <f t="shared" si="11"/>
        <v>3.1697340879245951E-2</v>
      </c>
      <c r="Y26" s="171">
        <v>509935.66000000003</v>
      </c>
      <c r="Z26" s="172">
        <f t="shared" si="12"/>
        <v>7.1058384092200833E-2</v>
      </c>
      <c r="AA26" s="171">
        <v>636335.04</v>
      </c>
      <c r="AB26" s="172">
        <f t="shared" si="13"/>
        <v>8.8671852609103624E-2</v>
      </c>
      <c r="AC26" s="171">
        <f t="shared" si="14"/>
        <v>1146270.7000000002</v>
      </c>
      <c r="AD26" s="172">
        <f t="shared" si="15"/>
        <v>0.15973023670130448</v>
      </c>
      <c r="AE26" s="171">
        <v>1873840.3599999999</v>
      </c>
      <c r="AF26" s="172">
        <f t="shared" si="16"/>
        <v>0.26111542783328362</v>
      </c>
      <c r="AG26" s="171">
        <v>0</v>
      </c>
      <c r="AH26" s="172">
        <f t="shared" si="17"/>
        <v>0</v>
      </c>
      <c r="AI26" s="171">
        <v>1069355.0299999998</v>
      </c>
      <c r="AJ26" s="172">
        <f t="shared" si="18"/>
        <v>0.14901221156540989</v>
      </c>
      <c r="AK26" s="171">
        <v>405089.93000000005</v>
      </c>
      <c r="AL26" s="172">
        <f t="shared" si="19"/>
        <v>5.644836808985422E-2</v>
      </c>
      <c r="AN26" s="72"/>
    </row>
    <row r="27" spans="2:40" s="73" customFormat="1" ht="14.25" customHeight="1">
      <c r="B27" s="581"/>
      <c r="C27" s="584"/>
      <c r="D27" s="170">
        <v>46223</v>
      </c>
      <c r="E27" s="170" t="s">
        <v>117</v>
      </c>
      <c r="F27" s="320">
        <f t="shared" si="0"/>
        <v>6838954.3600000003</v>
      </c>
      <c r="G27" s="582"/>
      <c r="H27" s="577"/>
      <c r="I27" s="171">
        <v>865702.96000000008</v>
      </c>
      <c r="J27" s="172">
        <f t="shared" si="2"/>
        <v>0.12658411131727454</v>
      </c>
      <c r="K27" s="171">
        <v>1098953.4299999997</v>
      </c>
      <c r="L27" s="172">
        <f t="shared" si="3"/>
        <v>0.16069027107822367</v>
      </c>
      <c r="M27" s="171">
        <f t="shared" si="4"/>
        <v>1964656.3899999997</v>
      </c>
      <c r="N27" s="172">
        <f t="shared" ref="N27:N28" si="72">M27/$F27</f>
        <v>0.28727438239549818</v>
      </c>
      <c r="O27" s="171">
        <v>241229.68</v>
      </c>
      <c r="P27" s="172">
        <f t="shared" si="6"/>
        <v>3.5272889290052227E-2</v>
      </c>
      <c r="Q27" s="171">
        <v>0</v>
      </c>
      <c r="R27" s="172">
        <f t="shared" si="7"/>
        <v>0</v>
      </c>
      <c r="S27" s="171">
        <f t="shared" si="8"/>
        <v>241229.68</v>
      </c>
      <c r="T27" s="172">
        <f t="shared" ref="T27:T28" si="73">S27/$F27</f>
        <v>3.5272889290052227E-2</v>
      </c>
      <c r="U27" s="171">
        <v>194917.11</v>
      </c>
      <c r="V27" s="172">
        <f t="shared" ref="V27:V28" si="74">U27/$F27</f>
        <v>2.8501010496581231E-2</v>
      </c>
      <c r="W27" s="171">
        <v>264650.16000000003</v>
      </c>
      <c r="X27" s="172">
        <f t="shared" si="11"/>
        <v>3.8697459592346224E-2</v>
      </c>
      <c r="Y27" s="171">
        <v>484698.73000000004</v>
      </c>
      <c r="Z27" s="172">
        <f t="shared" si="12"/>
        <v>7.0873221911660775E-2</v>
      </c>
      <c r="AA27" s="171">
        <v>599142.6399999999</v>
      </c>
      <c r="AB27" s="172">
        <f t="shared" si="13"/>
        <v>8.760734586917171E-2</v>
      </c>
      <c r="AC27" s="171">
        <f t="shared" si="14"/>
        <v>1083841.3699999999</v>
      </c>
      <c r="AD27" s="172">
        <f t="shared" si="15"/>
        <v>0.15848056778083247</v>
      </c>
      <c r="AE27" s="171">
        <v>1623108.2500000002</v>
      </c>
      <c r="AF27" s="172">
        <f t="shared" si="16"/>
        <v>0.23733280916353419</v>
      </c>
      <c r="AG27" s="171">
        <v>0</v>
      </c>
      <c r="AH27" s="172">
        <f t="shared" si="17"/>
        <v>0</v>
      </c>
      <c r="AI27" s="171">
        <v>1023313.58</v>
      </c>
      <c r="AJ27" s="172">
        <f t="shared" si="18"/>
        <v>0.14963012269612513</v>
      </c>
      <c r="AK27" s="171">
        <v>443237.82</v>
      </c>
      <c r="AL27" s="172">
        <f t="shared" si="19"/>
        <v>6.4810758585030243E-2</v>
      </c>
      <c r="AN27" s="72"/>
    </row>
    <row r="28" spans="2:40" s="73" customFormat="1" ht="14.25" customHeight="1">
      <c r="B28" s="579">
        <f>D29+7</f>
        <v>46232</v>
      </c>
      <c r="C28" s="584"/>
      <c r="D28" s="170">
        <v>46224</v>
      </c>
      <c r="E28" s="170" t="s">
        <v>118</v>
      </c>
      <c r="F28" s="320">
        <f t="shared" si="0"/>
        <v>7083157.2800000003</v>
      </c>
      <c r="G28" s="582">
        <f t="shared" ref="G28" si="75">SUM(F28:F34)</f>
        <v>44483628.960000001</v>
      </c>
      <c r="H28" s="577"/>
      <c r="I28" s="171">
        <v>993298.55999999994</v>
      </c>
      <c r="J28" s="172">
        <f t="shared" si="2"/>
        <v>0.1402338703962818</v>
      </c>
      <c r="K28" s="171">
        <v>1077189.1399999999</v>
      </c>
      <c r="L28" s="172">
        <f t="shared" si="3"/>
        <v>0.15207754076583202</v>
      </c>
      <c r="M28" s="171">
        <f t="shared" si="4"/>
        <v>2070487.6999999997</v>
      </c>
      <c r="N28" s="172">
        <f t="shared" si="72"/>
        <v>0.29231141116211379</v>
      </c>
      <c r="O28" s="171">
        <v>380250.83</v>
      </c>
      <c r="P28" s="172">
        <f t="shared" si="6"/>
        <v>5.3683804406500488E-2</v>
      </c>
      <c r="Q28" s="171">
        <v>0</v>
      </c>
      <c r="R28" s="172">
        <f t="shared" si="7"/>
        <v>0</v>
      </c>
      <c r="S28" s="171">
        <f t="shared" si="8"/>
        <v>380250.83</v>
      </c>
      <c r="T28" s="172">
        <f t="shared" si="73"/>
        <v>5.3683804406500488E-2</v>
      </c>
      <c r="U28" s="171">
        <v>172498.81</v>
      </c>
      <c r="V28" s="172">
        <f t="shared" si="74"/>
        <v>2.435337846966459E-2</v>
      </c>
      <c r="W28" s="171">
        <v>220300.46000000002</v>
      </c>
      <c r="X28" s="172">
        <f t="shared" si="11"/>
        <v>3.1102014439526891E-2</v>
      </c>
      <c r="Y28" s="171">
        <v>436145.63</v>
      </c>
      <c r="Z28" s="172">
        <f t="shared" si="12"/>
        <v>6.1575031127926609E-2</v>
      </c>
      <c r="AA28" s="171">
        <v>612944.64000000001</v>
      </c>
      <c r="AB28" s="172">
        <f t="shared" si="13"/>
        <v>8.6535511745688645E-2</v>
      </c>
      <c r="AC28" s="171">
        <f t="shared" si="14"/>
        <v>1049090.27</v>
      </c>
      <c r="AD28" s="172">
        <f t="shared" si="15"/>
        <v>0.14811054287361525</v>
      </c>
      <c r="AE28" s="171">
        <v>1538809.51</v>
      </c>
      <c r="AF28" s="172">
        <f t="shared" si="16"/>
        <v>0.2172490951662166</v>
      </c>
      <c r="AG28" s="171">
        <v>0</v>
      </c>
      <c r="AH28" s="172">
        <f t="shared" si="17"/>
        <v>0</v>
      </c>
      <c r="AI28" s="171">
        <v>1239869.71</v>
      </c>
      <c r="AJ28" s="172">
        <f t="shared" si="18"/>
        <v>0.17504478031299622</v>
      </c>
      <c r="AK28" s="171">
        <v>411849.99</v>
      </c>
      <c r="AL28" s="172">
        <f t="shared" si="19"/>
        <v>5.8144973169366072E-2</v>
      </c>
      <c r="AN28" s="72"/>
    </row>
    <row r="29" spans="2:40" s="73" customFormat="1" ht="14.25" customHeight="1">
      <c r="B29" s="580"/>
      <c r="C29" s="584"/>
      <c r="D29" s="170">
        <v>46225</v>
      </c>
      <c r="E29" s="170" t="s">
        <v>112</v>
      </c>
      <c r="F29" s="320">
        <f t="shared" si="0"/>
        <v>6640513.2299999995</v>
      </c>
      <c r="G29" s="582"/>
      <c r="H29" s="577"/>
      <c r="I29" s="171">
        <v>930767.8600000001</v>
      </c>
      <c r="J29" s="172">
        <f t="shared" si="2"/>
        <v>0.14016504865844537</v>
      </c>
      <c r="K29" s="171">
        <v>1018975.7799999998</v>
      </c>
      <c r="L29" s="172">
        <f t="shared" si="3"/>
        <v>0.15344834724469028</v>
      </c>
      <c r="M29" s="171">
        <f t="shared" si="4"/>
        <v>1949743.64</v>
      </c>
      <c r="N29" s="172">
        <f t="shared" ref="N29" si="76">M29/F29</f>
        <v>0.29361339590313562</v>
      </c>
      <c r="O29" s="171">
        <v>329135.27</v>
      </c>
      <c r="P29" s="172">
        <f t="shared" si="6"/>
        <v>4.9564733718631571E-2</v>
      </c>
      <c r="Q29" s="171">
        <v>0</v>
      </c>
      <c r="R29" s="172">
        <f t="shared" si="7"/>
        <v>0</v>
      </c>
      <c r="S29" s="171">
        <f t="shared" si="8"/>
        <v>329135.27</v>
      </c>
      <c r="T29" s="172">
        <f t="shared" ref="T29" si="77">S29/F29</f>
        <v>4.9564733718631571E-2</v>
      </c>
      <c r="U29" s="171">
        <v>173759.03</v>
      </c>
      <c r="V29" s="172">
        <f t="shared" ref="V29" si="78">U29/F29</f>
        <v>2.6166506109046635E-2</v>
      </c>
      <c r="W29" s="171">
        <v>217622.28000000003</v>
      </c>
      <c r="X29" s="172">
        <f t="shared" si="11"/>
        <v>3.2771906697940584E-2</v>
      </c>
      <c r="Y29" s="171">
        <v>437502.25</v>
      </c>
      <c r="Z29" s="172">
        <f t="shared" si="12"/>
        <v>6.5883800671232159E-2</v>
      </c>
      <c r="AA29" s="171">
        <v>580215.12</v>
      </c>
      <c r="AB29" s="172">
        <f t="shared" si="13"/>
        <v>8.737504164267737E-2</v>
      </c>
      <c r="AC29" s="171">
        <f t="shared" si="14"/>
        <v>1017717.37</v>
      </c>
      <c r="AD29" s="172">
        <f t="shared" si="15"/>
        <v>0.15325884231390954</v>
      </c>
      <c r="AE29" s="171">
        <v>1428921.7600000002</v>
      </c>
      <c r="AF29" s="172">
        <f t="shared" si="16"/>
        <v>0.21518242800037315</v>
      </c>
      <c r="AG29" s="171">
        <v>0</v>
      </c>
      <c r="AH29" s="172">
        <f t="shared" si="17"/>
        <v>0</v>
      </c>
      <c r="AI29" s="171">
        <v>1127195.53</v>
      </c>
      <c r="AJ29" s="172">
        <f t="shared" si="18"/>
        <v>0.16974524271823491</v>
      </c>
      <c r="AK29" s="171">
        <v>396418.35000000003</v>
      </c>
      <c r="AL29" s="172">
        <f t="shared" si="19"/>
        <v>5.9696944538728078E-2</v>
      </c>
      <c r="AN29" s="72"/>
    </row>
    <row r="30" spans="2:40" s="73" customFormat="1" ht="14.25" customHeight="1">
      <c r="B30" s="580"/>
      <c r="C30" s="584"/>
      <c r="D30" s="170">
        <v>46226</v>
      </c>
      <c r="E30" s="170" t="s">
        <v>113</v>
      </c>
      <c r="F30" s="320">
        <f t="shared" si="0"/>
        <v>6072830.7200000007</v>
      </c>
      <c r="G30" s="582"/>
      <c r="H30" s="577"/>
      <c r="I30" s="171">
        <v>893013.51</v>
      </c>
      <c r="J30" s="172">
        <f t="shared" si="2"/>
        <v>0.14705061793653948</v>
      </c>
      <c r="K30" s="171">
        <v>911016.89</v>
      </c>
      <c r="L30" s="172">
        <f t="shared" si="3"/>
        <v>0.15001519587886683</v>
      </c>
      <c r="M30" s="171">
        <f t="shared" si="4"/>
        <v>1804030.4</v>
      </c>
      <c r="N30" s="172">
        <f t="shared" ref="N30" si="79">M30/$F30</f>
        <v>0.29706581381540631</v>
      </c>
      <c r="O30" s="171">
        <v>319008.83</v>
      </c>
      <c r="P30" s="172">
        <f t="shared" si="6"/>
        <v>5.2530499318775674E-2</v>
      </c>
      <c r="Q30" s="171">
        <v>0</v>
      </c>
      <c r="R30" s="172">
        <f t="shared" si="7"/>
        <v>0</v>
      </c>
      <c r="S30" s="171">
        <f t="shared" si="8"/>
        <v>319008.83</v>
      </c>
      <c r="T30" s="172">
        <f t="shared" ref="T30" si="80">S30/$F30</f>
        <v>5.2530499318775674E-2</v>
      </c>
      <c r="U30" s="171">
        <v>154291.48000000001</v>
      </c>
      <c r="V30" s="172">
        <f t="shared" ref="V30" si="81">U30/$F30</f>
        <v>2.5406846841928767E-2</v>
      </c>
      <c r="W30" s="171">
        <v>216789.3</v>
      </c>
      <c r="X30" s="172">
        <f t="shared" si="11"/>
        <v>3.5698228716640391E-2</v>
      </c>
      <c r="Y30" s="171">
        <v>354918.24</v>
      </c>
      <c r="Z30" s="172">
        <f t="shared" si="12"/>
        <v>5.8443624787881447E-2</v>
      </c>
      <c r="AA30" s="171">
        <v>490785.3</v>
      </c>
      <c r="AB30" s="172">
        <f t="shared" si="13"/>
        <v>8.0816561934398845E-2</v>
      </c>
      <c r="AC30" s="171">
        <f t="shared" si="14"/>
        <v>845703.54</v>
      </c>
      <c r="AD30" s="172">
        <f t="shared" si="15"/>
        <v>0.1392601867222803</v>
      </c>
      <c r="AE30" s="171">
        <v>1278176.49</v>
      </c>
      <c r="AF30" s="172">
        <f t="shared" si="16"/>
        <v>0.21047457914321707</v>
      </c>
      <c r="AG30" s="171">
        <v>0</v>
      </c>
      <c r="AH30" s="172">
        <f t="shared" si="17"/>
        <v>0</v>
      </c>
      <c r="AI30" s="171">
        <v>1079169.6100000001</v>
      </c>
      <c r="AJ30" s="172">
        <f t="shared" si="18"/>
        <v>0.17770454335997035</v>
      </c>
      <c r="AK30" s="171">
        <v>375661.07</v>
      </c>
      <c r="AL30" s="172">
        <f t="shared" si="19"/>
        <v>6.1859302081781059E-2</v>
      </c>
      <c r="AN30" s="72"/>
    </row>
    <row r="31" spans="2:40" s="73" customFormat="1" ht="14.25" customHeight="1">
      <c r="B31" s="580"/>
      <c r="C31" s="584"/>
      <c r="D31" s="170">
        <v>46227</v>
      </c>
      <c r="E31" s="170" t="s">
        <v>114</v>
      </c>
      <c r="F31" s="320">
        <f t="shared" si="0"/>
        <v>5136735.6099999994</v>
      </c>
      <c r="G31" s="582"/>
      <c r="H31" s="577"/>
      <c r="I31" s="171">
        <v>703872.41999999993</v>
      </c>
      <c r="J31" s="172">
        <f t="shared" si="2"/>
        <v>0.13702718485836182</v>
      </c>
      <c r="K31" s="171">
        <v>821040.19</v>
      </c>
      <c r="L31" s="172">
        <f t="shared" si="3"/>
        <v>0.1598369572305085</v>
      </c>
      <c r="M31" s="171">
        <f t="shared" si="4"/>
        <v>1524912.6099999999</v>
      </c>
      <c r="N31" s="172">
        <f t="shared" ref="N31" si="82">M31/F31</f>
        <v>0.29686414208887035</v>
      </c>
      <c r="O31" s="171">
        <v>290052.5</v>
      </c>
      <c r="P31" s="172">
        <f t="shared" si="6"/>
        <v>5.6466308959981691E-2</v>
      </c>
      <c r="Q31" s="171">
        <v>0</v>
      </c>
      <c r="R31" s="172">
        <f t="shared" si="7"/>
        <v>0</v>
      </c>
      <c r="S31" s="171">
        <f t="shared" si="8"/>
        <v>290052.5</v>
      </c>
      <c r="T31" s="172">
        <f t="shared" ref="T31" si="83">S31/F31</f>
        <v>5.6466308959981691E-2</v>
      </c>
      <c r="U31" s="171">
        <v>132087.03999999998</v>
      </c>
      <c r="V31" s="172">
        <f t="shared" ref="V31" si="84">U31/F31</f>
        <v>2.5714198671790311E-2</v>
      </c>
      <c r="W31" s="171">
        <v>162487.99</v>
      </c>
      <c r="X31" s="172">
        <f t="shared" si="11"/>
        <v>3.1632539094220584E-2</v>
      </c>
      <c r="Y31" s="171">
        <v>334506.95999999996</v>
      </c>
      <c r="Z31" s="172">
        <f t="shared" si="12"/>
        <v>6.5120532843620502E-2</v>
      </c>
      <c r="AA31" s="171">
        <v>436061.88999999996</v>
      </c>
      <c r="AB31" s="172">
        <f t="shared" si="13"/>
        <v>8.4890857366902717E-2</v>
      </c>
      <c r="AC31" s="171">
        <f t="shared" si="14"/>
        <v>770568.84999999986</v>
      </c>
      <c r="AD31" s="172">
        <f t="shared" si="15"/>
        <v>0.1500113902105232</v>
      </c>
      <c r="AE31" s="171">
        <v>1024167.6699999999</v>
      </c>
      <c r="AF31" s="172">
        <f t="shared" si="16"/>
        <v>0.19938103647113736</v>
      </c>
      <c r="AG31" s="171">
        <v>0</v>
      </c>
      <c r="AH31" s="172">
        <f t="shared" si="17"/>
        <v>0</v>
      </c>
      <c r="AI31" s="171">
        <v>917515.57</v>
      </c>
      <c r="AJ31" s="172">
        <f t="shared" si="18"/>
        <v>0.17861841442915924</v>
      </c>
      <c r="AK31" s="171">
        <v>314943.38</v>
      </c>
      <c r="AL31" s="172">
        <f t="shared" si="19"/>
        <v>6.1311970074317303E-2</v>
      </c>
      <c r="AN31" s="72"/>
    </row>
    <row r="32" spans="2:40" s="73" customFormat="1" ht="14.25" customHeight="1">
      <c r="B32" s="580"/>
      <c r="C32" s="584"/>
      <c r="D32" s="170">
        <v>46228</v>
      </c>
      <c r="E32" s="170" t="s">
        <v>115</v>
      </c>
      <c r="F32" s="320">
        <f t="shared" si="0"/>
        <v>5426020.8499999996</v>
      </c>
      <c r="G32" s="582"/>
      <c r="H32" s="577"/>
      <c r="I32" s="171">
        <v>679542.00999999978</v>
      </c>
      <c r="J32" s="172">
        <f t="shared" si="2"/>
        <v>0.12523763339390778</v>
      </c>
      <c r="K32" s="171">
        <v>980867.5199999999</v>
      </c>
      <c r="L32" s="172">
        <f t="shared" si="3"/>
        <v>0.18077105619673392</v>
      </c>
      <c r="M32" s="171">
        <f t="shared" si="4"/>
        <v>1660409.5299999998</v>
      </c>
      <c r="N32" s="172">
        <f t="shared" ref="N32" si="85">M32/$F32</f>
        <v>0.3060086895906417</v>
      </c>
      <c r="O32" s="171">
        <v>278761.2</v>
      </c>
      <c r="P32" s="172">
        <f t="shared" si="6"/>
        <v>5.1374885520390143E-2</v>
      </c>
      <c r="Q32" s="171">
        <v>0</v>
      </c>
      <c r="R32" s="172">
        <f t="shared" si="7"/>
        <v>0</v>
      </c>
      <c r="S32" s="171">
        <f t="shared" si="8"/>
        <v>278761.2</v>
      </c>
      <c r="T32" s="172">
        <f t="shared" ref="T32" si="86">S32/$F32</f>
        <v>5.1374885520390143E-2</v>
      </c>
      <c r="U32" s="171">
        <v>139639.85</v>
      </c>
      <c r="V32" s="172">
        <f t="shared" ref="V32" si="87">U32/$F32</f>
        <v>2.5735221787804227E-2</v>
      </c>
      <c r="W32" s="171">
        <v>160757.85</v>
      </c>
      <c r="X32" s="172">
        <f t="shared" si="11"/>
        <v>2.9627208306801846E-2</v>
      </c>
      <c r="Y32" s="171">
        <v>349986.33</v>
      </c>
      <c r="Z32" s="172">
        <f t="shared" si="12"/>
        <v>6.4501471644732078E-2</v>
      </c>
      <c r="AA32" s="171">
        <v>533328.34</v>
      </c>
      <c r="AB32" s="172">
        <f t="shared" si="13"/>
        <v>9.8290875531744412E-2</v>
      </c>
      <c r="AC32" s="171">
        <f t="shared" si="14"/>
        <v>883314.66999999993</v>
      </c>
      <c r="AD32" s="172">
        <f t="shared" si="15"/>
        <v>0.16279234717647648</v>
      </c>
      <c r="AE32" s="171">
        <v>1031003.23</v>
      </c>
      <c r="AF32" s="172">
        <f t="shared" si="16"/>
        <v>0.19001092301368508</v>
      </c>
      <c r="AG32" s="171">
        <v>0</v>
      </c>
      <c r="AH32" s="172">
        <f t="shared" si="17"/>
        <v>0</v>
      </c>
      <c r="AI32" s="171">
        <v>967013.2699999999</v>
      </c>
      <c r="AJ32" s="172">
        <f t="shared" si="18"/>
        <v>0.1782177578620989</v>
      </c>
      <c r="AK32" s="171">
        <v>305121.25</v>
      </c>
      <c r="AL32" s="172">
        <f t="shared" si="19"/>
        <v>5.6232966742101632E-2</v>
      </c>
      <c r="AN32" s="72"/>
    </row>
    <row r="33" spans="2:40" s="73" customFormat="1" ht="14.25" customHeight="1">
      <c r="B33" s="580"/>
      <c r="C33" s="584"/>
      <c r="D33" s="170">
        <v>46229</v>
      </c>
      <c r="E33" s="170" t="s">
        <v>116</v>
      </c>
      <c r="F33" s="320">
        <f t="shared" si="0"/>
        <v>7251453.3400000008</v>
      </c>
      <c r="G33" s="582"/>
      <c r="H33" s="577"/>
      <c r="I33" s="171">
        <v>966032.2</v>
      </c>
      <c r="J33" s="172">
        <f t="shared" si="2"/>
        <v>0.13321911549388799</v>
      </c>
      <c r="K33" s="171">
        <v>1107864.48</v>
      </c>
      <c r="L33" s="172">
        <f t="shared" si="3"/>
        <v>0.15277826775618469</v>
      </c>
      <c r="M33" s="171">
        <f t="shared" si="4"/>
        <v>2073896.68</v>
      </c>
      <c r="N33" s="172">
        <f t="shared" ref="N33" si="88">M33/F33</f>
        <v>0.28599738325007268</v>
      </c>
      <c r="O33" s="171">
        <v>365236.83999999997</v>
      </c>
      <c r="P33" s="172">
        <f t="shared" si="6"/>
        <v>5.0367398488976547E-2</v>
      </c>
      <c r="Q33" s="171">
        <v>0</v>
      </c>
      <c r="R33" s="172">
        <f t="shared" si="7"/>
        <v>0</v>
      </c>
      <c r="S33" s="171">
        <f t="shared" si="8"/>
        <v>365236.83999999997</v>
      </c>
      <c r="T33" s="172">
        <f t="shared" ref="T33" si="89">S33/F33</f>
        <v>5.0367398488976547E-2</v>
      </c>
      <c r="U33" s="171">
        <v>170628.83</v>
      </c>
      <c r="V33" s="172">
        <f t="shared" ref="V33" si="90">U33/F33</f>
        <v>2.3530294135492565E-2</v>
      </c>
      <c r="W33" s="171">
        <v>220768.68</v>
      </c>
      <c r="X33" s="172">
        <f t="shared" si="11"/>
        <v>3.0444749438324314E-2</v>
      </c>
      <c r="Y33" s="171">
        <v>431247.87</v>
      </c>
      <c r="Z33" s="172">
        <f t="shared" si="12"/>
        <v>5.9470543321457812E-2</v>
      </c>
      <c r="AA33" s="171">
        <v>631200.77</v>
      </c>
      <c r="AB33" s="172">
        <f t="shared" si="13"/>
        <v>8.7044726126583608E-2</v>
      </c>
      <c r="AC33" s="171">
        <f t="shared" si="14"/>
        <v>1062448.6400000001</v>
      </c>
      <c r="AD33" s="172">
        <f t="shared" si="15"/>
        <v>0.14651526944804144</v>
      </c>
      <c r="AE33" s="171">
        <v>1818192.9700000002</v>
      </c>
      <c r="AF33" s="172">
        <f t="shared" si="16"/>
        <v>0.25073497473542317</v>
      </c>
      <c r="AG33" s="171">
        <v>0</v>
      </c>
      <c r="AH33" s="172">
        <f t="shared" si="17"/>
        <v>0</v>
      </c>
      <c r="AI33" s="171">
        <v>1159243.6499999999</v>
      </c>
      <c r="AJ33" s="172">
        <f t="shared" si="18"/>
        <v>0.15986362948865085</v>
      </c>
      <c r="AK33" s="171">
        <v>381037.05000000005</v>
      </c>
      <c r="AL33" s="172">
        <f t="shared" si="19"/>
        <v>5.2546301015018324E-2</v>
      </c>
      <c r="AN33" s="72"/>
    </row>
    <row r="34" spans="2:40" s="73" customFormat="1" ht="14.25" customHeight="1">
      <c r="B34" s="581"/>
      <c r="C34" s="584"/>
      <c r="D34" s="170">
        <v>46230</v>
      </c>
      <c r="E34" s="170" t="s">
        <v>117</v>
      </c>
      <c r="F34" s="320">
        <f t="shared" si="0"/>
        <v>6872917.9299999988</v>
      </c>
      <c r="G34" s="582"/>
      <c r="H34" s="577"/>
      <c r="I34" s="171">
        <v>943539.54999999981</v>
      </c>
      <c r="J34" s="172">
        <f t="shared" si="2"/>
        <v>0.13728369225558321</v>
      </c>
      <c r="K34" s="171">
        <v>1091805.78</v>
      </c>
      <c r="L34" s="172">
        <f t="shared" si="3"/>
        <v>0.15885622251275744</v>
      </c>
      <c r="M34" s="171">
        <f t="shared" si="4"/>
        <v>2035345.3299999998</v>
      </c>
      <c r="N34" s="172">
        <f t="shared" ref="N34:N35" si="91">M34/$F34</f>
        <v>0.29613991476834062</v>
      </c>
      <c r="O34" s="171">
        <v>331896.77</v>
      </c>
      <c r="P34" s="172">
        <f t="shared" si="6"/>
        <v>4.8290518434868035E-2</v>
      </c>
      <c r="Q34" s="171">
        <v>0</v>
      </c>
      <c r="R34" s="172">
        <f t="shared" si="7"/>
        <v>0</v>
      </c>
      <c r="S34" s="171">
        <f t="shared" si="8"/>
        <v>331896.77</v>
      </c>
      <c r="T34" s="172">
        <f t="shared" ref="T34:T35" si="92">S34/$F34</f>
        <v>4.8290518434868035E-2</v>
      </c>
      <c r="U34" s="171">
        <v>166374.57</v>
      </c>
      <c r="V34" s="172">
        <f t="shared" ref="V34:V35" si="93">U34/$F34</f>
        <v>2.4207268542198356E-2</v>
      </c>
      <c r="W34" s="171">
        <v>254241.08000000002</v>
      </c>
      <c r="X34" s="172">
        <f t="shared" si="11"/>
        <v>3.6991723542958134E-2</v>
      </c>
      <c r="Y34" s="171">
        <v>427188.24000000005</v>
      </c>
      <c r="Z34" s="172">
        <f t="shared" si="12"/>
        <v>6.2155294789035857E-2</v>
      </c>
      <c r="AA34" s="171">
        <v>550699.94999999995</v>
      </c>
      <c r="AB34" s="172">
        <f t="shared" si="13"/>
        <v>8.0126076814655056E-2</v>
      </c>
      <c r="AC34" s="171">
        <f t="shared" si="14"/>
        <v>977888.19</v>
      </c>
      <c r="AD34" s="172">
        <f t="shared" si="15"/>
        <v>0.14228137160369092</v>
      </c>
      <c r="AE34" s="171">
        <v>1631832.1899999997</v>
      </c>
      <c r="AF34" s="172">
        <f t="shared" si="16"/>
        <v>0.23742931410211093</v>
      </c>
      <c r="AG34" s="171">
        <v>0</v>
      </c>
      <c r="AH34" s="172">
        <f t="shared" si="17"/>
        <v>0</v>
      </c>
      <c r="AI34" s="171">
        <v>1057225.0199999998</v>
      </c>
      <c r="AJ34" s="172">
        <f t="shared" si="18"/>
        <v>0.15382477002748088</v>
      </c>
      <c r="AK34" s="171">
        <v>418114.78</v>
      </c>
      <c r="AL34" s="172">
        <f t="shared" si="19"/>
        <v>6.0835118978352198E-2</v>
      </c>
      <c r="AN34" s="72"/>
    </row>
    <row r="35" spans="2:40" s="73" customFormat="1" ht="14.25" customHeight="1">
      <c r="B35" s="579">
        <f>D36+7</f>
        <v>46239</v>
      </c>
      <c r="C35" s="584"/>
      <c r="D35" s="170">
        <v>46231</v>
      </c>
      <c r="E35" s="170" t="s">
        <v>118</v>
      </c>
      <c r="F35" s="320">
        <f t="shared" si="0"/>
        <v>6626056.8699999992</v>
      </c>
      <c r="G35" s="582">
        <f t="shared" ref="G35" si="94">SUM(F35:F41)</f>
        <v>42486866.159999996</v>
      </c>
      <c r="H35" s="577"/>
      <c r="I35" s="171">
        <v>916210.92</v>
      </c>
      <c r="J35" s="172">
        <f t="shared" si="2"/>
        <v>0.13827392942372982</v>
      </c>
      <c r="K35" s="171">
        <v>1056654.74</v>
      </c>
      <c r="L35" s="172">
        <f t="shared" si="3"/>
        <v>0.15946961529776307</v>
      </c>
      <c r="M35" s="171">
        <f t="shared" si="4"/>
        <v>1972865.6600000001</v>
      </c>
      <c r="N35" s="172">
        <f t="shared" si="91"/>
        <v>0.29774354472149289</v>
      </c>
      <c r="O35" s="171">
        <v>332859.43</v>
      </c>
      <c r="P35" s="172">
        <f t="shared" si="6"/>
        <v>5.0234918976782048E-2</v>
      </c>
      <c r="Q35" s="171">
        <v>0</v>
      </c>
      <c r="R35" s="172">
        <f t="shared" si="7"/>
        <v>0</v>
      </c>
      <c r="S35" s="171">
        <f t="shared" si="8"/>
        <v>332859.43</v>
      </c>
      <c r="T35" s="172">
        <f t="shared" si="92"/>
        <v>5.0234918976782048E-2</v>
      </c>
      <c r="U35" s="171">
        <v>72647.28</v>
      </c>
      <c r="V35" s="172">
        <f t="shared" si="93"/>
        <v>1.0963878129225897E-2</v>
      </c>
      <c r="W35" s="171">
        <v>405052.75</v>
      </c>
      <c r="X35" s="172">
        <f t="shared" si="11"/>
        <v>6.1130285771302181E-2</v>
      </c>
      <c r="Y35" s="171">
        <v>391742.31</v>
      </c>
      <c r="Z35" s="172">
        <f t="shared" si="12"/>
        <v>5.9121483211779326E-2</v>
      </c>
      <c r="AA35" s="171">
        <v>564780.37</v>
      </c>
      <c r="AB35" s="172">
        <f t="shared" si="13"/>
        <v>8.5236269636786266E-2</v>
      </c>
      <c r="AC35" s="171">
        <f t="shared" si="14"/>
        <v>956522.67999999993</v>
      </c>
      <c r="AD35" s="172">
        <f t="shared" si="15"/>
        <v>0.14435775284856558</v>
      </c>
      <c r="AE35" s="171">
        <v>1542665.3900000001</v>
      </c>
      <c r="AF35" s="172">
        <f t="shared" si="16"/>
        <v>0.23281801232110469</v>
      </c>
      <c r="AG35" s="171">
        <v>0</v>
      </c>
      <c r="AH35" s="172">
        <f t="shared" si="17"/>
        <v>0</v>
      </c>
      <c r="AI35" s="171">
        <v>974769.30999999994</v>
      </c>
      <c r="AJ35" s="172">
        <f t="shared" si="18"/>
        <v>0.14711152184843834</v>
      </c>
      <c r="AK35" s="171">
        <v>368674.37</v>
      </c>
      <c r="AL35" s="172">
        <f t="shared" si="19"/>
        <v>5.5640085383088483E-2</v>
      </c>
      <c r="AN35" s="72"/>
    </row>
    <row r="36" spans="2:40" s="73" customFormat="1" ht="14.25" customHeight="1">
      <c r="B36" s="580"/>
      <c r="C36" s="584"/>
      <c r="D36" s="170">
        <v>46232</v>
      </c>
      <c r="E36" s="170" t="s">
        <v>112</v>
      </c>
      <c r="F36" s="320">
        <f t="shared" si="0"/>
        <v>6255627.21</v>
      </c>
      <c r="G36" s="582"/>
      <c r="H36" s="577"/>
      <c r="I36" s="171">
        <v>892990.06000000017</v>
      </c>
      <c r="J36" s="172">
        <f t="shared" si="2"/>
        <v>0.14274988422783591</v>
      </c>
      <c r="K36" s="171">
        <v>1002618.0599999998</v>
      </c>
      <c r="L36" s="172">
        <f t="shared" si="3"/>
        <v>0.1602745857996867</v>
      </c>
      <c r="M36" s="171">
        <f t="shared" si="4"/>
        <v>1895608.12</v>
      </c>
      <c r="N36" s="172">
        <f t="shared" ref="N36" si="95">M36/F36</f>
        <v>0.30302447002752264</v>
      </c>
      <c r="O36" s="171">
        <v>335009.01</v>
      </c>
      <c r="P36" s="172">
        <f t="shared" si="6"/>
        <v>5.3553224761294559E-2</v>
      </c>
      <c r="Q36" s="171">
        <v>0</v>
      </c>
      <c r="R36" s="172">
        <f t="shared" si="7"/>
        <v>0</v>
      </c>
      <c r="S36" s="171">
        <f t="shared" si="8"/>
        <v>335009.01</v>
      </c>
      <c r="T36" s="172">
        <f t="shared" ref="T36" si="96">S36/F36</f>
        <v>5.3553224761294559E-2</v>
      </c>
      <c r="U36" s="171">
        <v>65034.899999999994</v>
      </c>
      <c r="V36" s="172">
        <f t="shared" ref="V36" si="97">U36/F36</f>
        <v>1.0396223722545001E-2</v>
      </c>
      <c r="W36" s="171">
        <v>310798.37</v>
      </c>
      <c r="X36" s="172">
        <f t="shared" si="11"/>
        <v>4.9683006925855477E-2</v>
      </c>
      <c r="Y36" s="171">
        <v>360085.06</v>
      </c>
      <c r="Z36" s="172">
        <f t="shared" si="12"/>
        <v>5.7561783640876517E-2</v>
      </c>
      <c r="AA36" s="171">
        <v>557071.84000000008</v>
      </c>
      <c r="AB36" s="172">
        <f t="shared" si="13"/>
        <v>8.9051316726400653E-2</v>
      </c>
      <c r="AC36" s="171">
        <f t="shared" si="14"/>
        <v>917156.90000000014</v>
      </c>
      <c r="AD36" s="172">
        <f t="shared" si="15"/>
        <v>0.14661310036727718</v>
      </c>
      <c r="AE36" s="171">
        <v>1411466.67</v>
      </c>
      <c r="AF36" s="172">
        <f t="shared" si="16"/>
        <v>0.22563151904955026</v>
      </c>
      <c r="AG36" s="171">
        <v>0</v>
      </c>
      <c r="AH36" s="172">
        <f t="shared" si="17"/>
        <v>0</v>
      </c>
      <c r="AI36" s="171">
        <v>957447.54999999993</v>
      </c>
      <c r="AJ36" s="172">
        <f t="shared" si="18"/>
        <v>0.15305380545526465</v>
      </c>
      <c r="AK36" s="171">
        <v>363105.69</v>
      </c>
      <c r="AL36" s="172">
        <f t="shared" si="19"/>
        <v>5.8044649690690252E-2</v>
      </c>
      <c r="AN36" s="72"/>
    </row>
    <row r="37" spans="2:40" s="73" customFormat="1" ht="14.25" customHeight="1">
      <c r="B37" s="580"/>
      <c r="C37" s="584"/>
      <c r="D37" s="170">
        <v>46233</v>
      </c>
      <c r="E37" s="170" t="s">
        <v>113</v>
      </c>
      <c r="F37" s="320">
        <f t="shared" si="0"/>
        <v>5785963.21</v>
      </c>
      <c r="G37" s="582"/>
      <c r="H37" s="577"/>
      <c r="I37" s="171">
        <v>838667.45</v>
      </c>
      <c r="J37" s="172">
        <f t="shared" si="2"/>
        <v>0.14494863163846491</v>
      </c>
      <c r="K37" s="171">
        <v>888975.99999999988</v>
      </c>
      <c r="L37" s="172">
        <f t="shared" si="3"/>
        <v>0.15364356248646108</v>
      </c>
      <c r="M37" s="171">
        <f t="shared" si="4"/>
        <v>1727643.4499999997</v>
      </c>
      <c r="N37" s="172">
        <f t="shared" ref="N37" si="98">M37/$F37</f>
        <v>0.29859219412492594</v>
      </c>
      <c r="O37" s="171">
        <v>317196.07</v>
      </c>
      <c r="P37" s="172">
        <f t="shared" si="6"/>
        <v>5.4821653454654444E-2</v>
      </c>
      <c r="Q37" s="171">
        <v>0</v>
      </c>
      <c r="R37" s="172">
        <f t="shared" si="7"/>
        <v>0</v>
      </c>
      <c r="S37" s="171">
        <f t="shared" si="8"/>
        <v>317196.07</v>
      </c>
      <c r="T37" s="172">
        <f t="shared" ref="T37" si="99">S37/$F37</f>
        <v>5.4821653454654444E-2</v>
      </c>
      <c r="U37" s="171">
        <v>65454.479999999996</v>
      </c>
      <c r="V37" s="172">
        <f t="shared" ref="V37" si="100">U37/$F37</f>
        <v>1.1312633285824159E-2</v>
      </c>
      <c r="W37" s="171">
        <v>297300.07</v>
      </c>
      <c r="X37" s="172">
        <f t="shared" si="11"/>
        <v>5.1382986584873225E-2</v>
      </c>
      <c r="Y37" s="171">
        <v>336180.01</v>
      </c>
      <c r="Z37" s="172">
        <f t="shared" si="12"/>
        <v>5.8102687106439448E-2</v>
      </c>
      <c r="AA37" s="171">
        <v>426289.69999999995</v>
      </c>
      <c r="AB37" s="172">
        <f t="shared" si="13"/>
        <v>7.3676531379120183E-2</v>
      </c>
      <c r="AC37" s="171">
        <f t="shared" si="14"/>
        <v>762469.71</v>
      </c>
      <c r="AD37" s="172">
        <f t="shared" si="15"/>
        <v>0.13177921848555962</v>
      </c>
      <c r="AE37" s="171">
        <v>1297947.98</v>
      </c>
      <c r="AF37" s="172">
        <f t="shared" si="16"/>
        <v>0.22432703646589552</v>
      </c>
      <c r="AG37" s="171">
        <v>0</v>
      </c>
      <c r="AH37" s="172">
        <f t="shared" si="17"/>
        <v>0</v>
      </c>
      <c r="AI37" s="171">
        <v>974797.78999999992</v>
      </c>
      <c r="AJ37" s="172">
        <f t="shared" si="18"/>
        <v>0.16847632012509806</v>
      </c>
      <c r="AK37" s="171">
        <v>343153.66000000003</v>
      </c>
      <c r="AL37" s="172">
        <f t="shared" si="19"/>
        <v>5.9307957473168936E-2</v>
      </c>
      <c r="AN37" s="72"/>
    </row>
    <row r="38" spans="2:40" s="73" customFormat="1" ht="14.25" customHeight="1">
      <c r="B38" s="580"/>
      <c r="C38" s="585"/>
      <c r="D38" s="170">
        <v>46234</v>
      </c>
      <c r="E38" s="170" t="s">
        <v>114</v>
      </c>
      <c r="F38" s="320">
        <f t="shared" si="0"/>
        <v>4936115.0199999996</v>
      </c>
      <c r="G38" s="582"/>
      <c r="H38" s="578"/>
      <c r="I38" s="171">
        <v>642135.92999999993</v>
      </c>
      <c r="J38" s="172">
        <f t="shared" si="2"/>
        <v>0.13008933693769559</v>
      </c>
      <c r="K38" s="171">
        <v>816869.93</v>
      </c>
      <c r="L38" s="172">
        <f t="shared" si="3"/>
        <v>0.16548843102120422</v>
      </c>
      <c r="M38" s="171">
        <f t="shared" si="4"/>
        <v>1459005.8599999999</v>
      </c>
      <c r="N38" s="172">
        <f t="shared" ref="N38" si="101">M38/F38</f>
        <v>0.29557776795889978</v>
      </c>
      <c r="O38" s="171">
        <v>253053.06</v>
      </c>
      <c r="P38" s="172">
        <f t="shared" si="6"/>
        <v>5.1265632785031823E-2</v>
      </c>
      <c r="Q38" s="171">
        <v>0</v>
      </c>
      <c r="R38" s="172">
        <f t="shared" si="7"/>
        <v>0</v>
      </c>
      <c r="S38" s="171">
        <f t="shared" si="8"/>
        <v>253053.06</v>
      </c>
      <c r="T38" s="172">
        <f t="shared" ref="T38" si="102">S38/F38</f>
        <v>5.1265632785031823E-2</v>
      </c>
      <c r="U38" s="171">
        <v>48281.67</v>
      </c>
      <c r="V38" s="172">
        <f t="shared" ref="V38" si="103">U38/F38</f>
        <v>9.7813097556223479E-3</v>
      </c>
      <c r="W38" s="171">
        <v>216372.37</v>
      </c>
      <c r="X38" s="172">
        <f t="shared" si="11"/>
        <v>4.3834547842444727E-2</v>
      </c>
      <c r="Y38" s="171">
        <v>296368.40000000002</v>
      </c>
      <c r="Z38" s="172">
        <f t="shared" si="12"/>
        <v>6.004082133402152E-2</v>
      </c>
      <c r="AA38" s="171">
        <v>405960.25999999995</v>
      </c>
      <c r="AB38" s="172">
        <f t="shared" si="13"/>
        <v>8.224286880575972E-2</v>
      </c>
      <c r="AC38" s="171">
        <f t="shared" si="14"/>
        <v>702328.65999999992</v>
      </c>
      <c r="AD38" s="172">
        <f t="shared" si="15"/>
        <v>0.14228369013978123</v>
      </c>
      <c r="AE38" s="171">
        <v>966163.91999999993</v>
      </c>
      <c r="AF38" s="172">
        <f t="shared" si="16"/>
        <v>0.19573367234866421</v>
      </c>
      <c r="AG38" s="171">
        <v>0</v>
      </c>
      <c r="AH38" s="172">
        <f t="shared" si="17"/>
        <v>0</v>
      </c>
      <c r="AI38" s="171">
        <v>1001971.85</v>
      </c>
      <c r="AJ38" s="172">
        <f t="shared" si="18"/>
        <v>0.20298794617634336</v>
      </c>
      <c r="AK38" s="171">
        <v>288937.63</v>
      </c>
      <c r="AL38" s="172">
        <f t="shared" si="19"/>
        <v>5.8535432993212552E-2</v>
      </c>
      <c r="AN38" s="72"/>
    </row>
    <row r="39" spans="2:40" s="73" customFormat="1" ht="14.25" customHeight="1">
      <c r="B39" s="580"/>
      <c r="C39" s="583" t="s">
        <v>707</v>
      </c>
      <c r="D39" s="170">
        <v>46235</v>
      </c>
      <c r="E39" s="170" t="s">
        <v>115</v>
      </c>
      <c r="F39" s="320">
        <f t="shared" si="0"/>
        <v>5278918.5600000005</v>
      </c>
      <c r="G39" s="582"/>
      <c r="H39" s="93"/>
      <c r="I39" s="171">
        <v>603913.17000000004</v>
      </c>
      <c r="J39" s="172">
        <f t="shared" si="2"/>
        <v>0.1144009257077836</v>
      </c>
      <c r="K39" s="171">
        <v>950774.94000000006</v>
      </c>
      <c r="L39" s="172">
        <f t="shared" si="3"/>
        <v>0.18010790073639626</v>
      </c>
      <c r="M39" s="171">
        <f t="shared" si="4"/>
        <v>1554688.11</v>
      </c>
      <c r="N39" s="172">
        <f t="shared" ref="N39" si="104">M39/$F39</f>
        <v>0.29450882644417986</v>
      </c>
      <c r="O39" s="171">
        <v>244351.8</v>
      </c>
      <c r="P39" s="172">
        <f t="shared" si="6"/>
        <v>4.6288230671245656E-2</v>
      </c>
      <c r="Q39" s="171">
        <v>0</v>
      </c>
      <c r="R39" s="172">
        <f t="shared" si="7"/>
        <v>0</v>
      </c>
      <c r="S39" s="171">
        <f t="shared" si="8"/>
        <v>244351.8</v>
      </c>
      <c r="T39" s="172">
        <f t="shared" ref="T39" si="105">S39/$F39</f>
        <v>4.6288230671245656E-2</v>
      </c>
      <c r="U39" s="171">
        <v>49630.32</v>
      </c>
      <c r="V39" s="172">
        <f t="shared" ref="V39" si="106">U39/$F39</f>
        <v>9.4016074383235036E-3</v>
      </c>
      <c r="W39" s="171">
        <v>239798.25</v>
      </c>
      <c r="X39" s="172">
        <f t="shared" si="11"/>
        <v>4.5425639224106536E-2</v>
      </c>
      <c r="Y39" s="171">
        <v>320707.3</v>
      </c>
      <c r="Z39" s="172">
        <f t="shared" si="12"/>
        <v>6.0752462148232107E-2</v>
      </c>
      <c r="AA39" s="171">
        <v>528342.76</v>
      </c>
      <c r="AB39" s="172">
        <f t="shared" si="13"/>
        <v>0.10008541597959411</v>
      </c>
      <c r="AC39" s="171">
        <f t="shared" si="14"/>
        <v>849050.06</v>
      </c>
      <c r="AD39" s="172">
        <f t="shared" si="15"/>
        <v>0.16083787812782624</v>
      </c>
      <c r="AE39" s="171">
        <v>1036536.8799999999</v>
      </c>
      <c r="AF39" s="172">
        <f t="shared" si="16"/>
        <v>0.19635401990365234</v>
      </c>
      <c r="AG39" s="171">
        <v>0</v>
      </c>
      <c r="AH39" s="172">
        <f t="shared" si="17"/>
        <v>0</v>
      </c>
      <c r="AI39" s="171">
        <v>1014723.1600000001</v>
      </c>
      <c r="AJ39" s="172">
        <f t="shared" si="18"/>
        <v>0.19222178718362345</v>
      </c>
      <c r="AK39" s="171">
        <v>290139.98</v>
      </c>
      <c r="AL39" s="172">
        <f t="shared" si="19"/>
        <v>5.4962011007042309E-2</v>
      </c>
      <c r="AN39" s="72"/>
    </row>
    <row r="40" spans="2:40" s="73" customFormat="1" ht="14.25" customHeight="1">
      <c r="B40" s="580"/>
      <c r="C40" s="584"/>
      <c r="D40" s="170">
        <v>46236</v>
      </c>
      <c r="E40" s="170" t="s">
        <v>116</v>
      </c>
      <c r="F40" s="320">
        <f t="shared" si="0"/>
        <v>6878371.4600000009</v>
      </c>
      <c r="G40" s="582"/>
      <c r="H40" s="93"/>
      <c r="I40" s="171">
        <v>877498.45000000007</v>
      </c>
      <c r="J40" s="172">
        <f t="shared" si="2"/>
        <v>0.12757357684198115</v>
      </c>
      <c r="K40" s="171">
        <v>1090163.8799999999</v>
      </c>
      <c r="L40" s="172">
        <f t="shared" si="3"/>
        <v>0.15849156829340527</v>
      </c>
      <c r="M40" s="171">
        <f t="shared" si="4"/>
        <v>1967662.33</v>
      </c>
      <c r="N40" s="172">
        <f t="shared" ref="N40" si="107">M40/F40</f>
        <v>0.28606514513538644</v>
      </c>
      <c r="O40" s="171">
        <v>327772.14</v>
      </c>
      <c r="P40" s="172">
        <f t="shared" si="6"/>
        <v>4.765257908882984E-2</v>
      </c>
      <c r="Q40" s="171">
        <v>0</v>
      </c>
      <c r="R40" s="172">
        <f t="shared" si="7"/>
        <v>0</v>
      </c>
      <c r="S40" s="171">
        <f t="shared" si="8"/>
        <v>327772.14</v>
      </c>
      <c r="T40" s="172">
        <f t="shared" ref="T40" si="108">S40/F40</f>
        <v>4.765257908882984E-2</v>
      </c>
      <c r="U40" s="171">
        <v>81368.55</v>
      </c>
      <c r="V40" s="172">
        <f t="shared" ref="V40" si="109">U40/F40</f>
        <v>1.1829624275627591E-2</v>
      </c>
      <c r="W40" s="171">
        <v>267861.06</v>
      </c>
      <c r="X40" s="172">
        <f t="shared" si="11"/>
        <v>3.8942511546185082E-2</v>
      </c>
      <c r="Y40" s="171">
        <v>391389.14</v>
      </c>
      <c r="Z40" s="172">
        <f t="shared" si="12"/>
        <v>5.6901425326628112E-2</v>
      </c>
      <c r="AA40" s="171">
        <v>621079.82999999996</v>
      </c>
      <c r="AB40" s="172">
        <f t="shared" si="13"/>
        <v>9.0294604414981661E-2</v>
      </c>
      <c r="AC40" s="171">
        <f t="shared" si="14"/>
        <v>1012468.97</v>
      </c>
      <c r="AD40" s="172">
        <f t="shared" si="15"/>
        <v>0.14719602974160978</v>
      </c>
      <c r="AE40" s="171">
        <v>1726381.57</v>
      </c>
      <c r="AF40" s="172">
        <f t="shared" si="16"/>
        <v>0.25098696399859738</v>
      </c>
      <c r="AG40" s="171">
        <v>0</v>
      </c>
      <c r="AH40" s="172">
        <f t="shared" si="17"/>
        <v>0</v>
      </c>
      <c r="AI40" s="171">
        <v>1134622.1099999999</v>
      </c>
      <c r="AJ40" s="172">
        <f t="shared" si="18"/>
        <v>0.16495505027581045</v>
      </c>
      <c r="AK40" s="171">
        <v>360234.73000000004</v>
      </c>
      <c r="AL40" s="172">
        <f t="shared" si="19"/>
        <v>5.2372095937953313E-2</v>
      </c>
      <c r="AN40" s="72"/>
    </row>
    <row r="41" spans="2:40" s="73" customFormat="1" ht="14.25" customHeight="1">
      <c r="B41" s="581"/>
      <c r="C41" s="585"/>
      <c r="D41" s="170">
        <v>46237</v>
      </c>
      <c r="E41" s="170" t="s">
        <v>117</v>
      </c>
      <c r="F41" s="320">
        <f t="shared" si="0"/>
        <v>6725813.8300000001</v>
      </c>
      <c r="G41" s="582"/>
      <c r="H41" s="93"/>
      <c r="I41" s="171">
        <v>864009.9600000002</v>
      </c>
      <c r="J41" s="172">
        <f t="shared" si="2"/>
        <v>0.12846177159203354</v>
      </c>
      <c r="K41" s="171">
        <v>1075351.23</v>
      </c>
      <c r="L41" s="172">
        <f t="shared" si="3"/>
        <v>0.15988418014240516</v>
      </c>
      <c r="M41" s="171">
        <f t="shared" si="4"/>
        <v>1939361.1900000002</v>
      </c>
      <c r="N41" s="172">
        <f t="shared" ref="N41" si="110">M41/$F41</f>
        <v>0.28834595173443867</v>
      </c>
      <c r="O41" s="171">
        <v>315262.73</v>
      </c>
      <c r="P41" s="172">
        <f t="shared" si="6"/>
        <v>4.6873543926207663E-2</v>
      </c>
      <c r="Q41" s="171">
        <v>0</v>
      </c>
      <c r="R41" s="172">
        <f t="shared" si="7"/>
        <v>0</v>
      </c>
      <c r="S41" s="171">
        <f t="shared" si="8"/>
        <v>315262.73</v>
      </c>
      <c r="T41" s="172">
        <f t="shared" ref="T41" si="111">S41/$F41</f>
        <v>4.6873543926207663E-2</v>
      </c>
      <c r="U41" s="171">
        <v>70998.929999999993</v>
      </c>
      <c r="V41" s="172">
        <f t="shared" ref="V41" si="112">U41/$F41</f>
        <v>1.0556184246925549E-2</v>
      </c>
      <c r="W41" s="171">
        <v>303013.85000000003</v>
      </c>
      <c r="X41" s="172">
        <f t="shared" si="11"/>
        <v>4.505236952120633E-2</v>
      </c>
      <c r="Y41" s="171">
        <v>401346.24</v>
      </c>
      <c r="Z41" s="172">
        <f t="shared" si="12"/>
        <v>5.9672516983717935E-2</v>
      </c>
      <c r="AA41" s="171">
        <v>561753.03</v>
      </c>
      <c r="AB41" s="172">
        <f t="shared" si="13"/>
        <v>8.352194161163691E-2</v>
      </c>
      <c r="AC41" s="171">
        <f t="shared" si="14"/>
        <v>963099.27</v>
      </c>
      <c r="AD41" s="172">
        <f t="shared" si="15"/>
        <v>0.14319445859535485</v>
      </c>
      <c r="AE41" s="171">
        <v>1604276.7799999998</v>
      </c>
      <c r="AF41" s="172">
        <f t="shared" si="16"/>
        <v>0.23852530274392084</v>
      </c>
      <c r="AG41" s="171">
        <v>0</v>
      </c>
      <c r="AH41" s="172">
        <f t="shared" si="17"/>
        <v>0</v>
      </c>
      <c r="AI41" s="171">
        <v>1129650.8400000001</v>
      </c>
      <c r="AJ41" s="172">
        <f t="shared" si="18"/>
        <v>0.16795749459511877</v>
      </c>
      <c r="AK41" s="171">
        <v>400150.24</v>
      </c>
      <c r="AL41" s="172">
        <f t="shared" si="19"/>
        <v>5.9494694636827314E-2</v>
      </c>
      <c r="AN41" s="72"/>
    </row>
  </sheetData>
  <mergeCells count="46">
    <mergeCell ref="AI4:AJ4"/>
    <mergeCell ref="G5:G6"/>
    <mergeCell ref="H5:H6"/>
    <mergeCell ref="I5:J5"/>
    <mergeCell ref="K5:L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H8:H38"/>
    <mergeCell ref="B28:B34"/>
    <mergeCell ref="G28:G34"/>
    <mergeCell ref="B35:B41"/>
    <mergeCell ref="G35:G41"/>
    <mergeCell ref="C8:C38"/>
    <mergeCell ref="C39:C41"/>
    <mergeCell ref="B14:B20"/>
    <mergeCell ref="G14:G20"/>
    <mergeCell ref="B21:B27"/>
    <mergeCell ref="G21:G27"/>
    <mergeCell ref="B7:B13"/>
    <mergeCell ref="G7:G13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tabColor rgb="FFFFFFCC"/>
  </sheetPr>
  <dimension ref="A2:AL41"/>
  <sheetViews>
    <sheetView topLeftCell="A4" zoomScale="85" zoomScaleNormal="85" workbookViewId="0">
      <selection activeCell="F8" sqref="F8"/>
    </sheetView>
  </sheetViews>
  <sheetFormatPr defaultColWidth="8.85546875" defaultRowHeight="14.25"/>
  <cols>
    <col min="1" max="1" width="8.85546875" style="75"/>
    <col min="2" max="2" width="13.140625" style="75" customWidth="1"/>
    <col min="3" max="3" width="8.85546875" style="94"/>
    <col min="4" max="4" width="17" style="94" customWidth="1"/>
    <col min="5" max="5" width="8.5703125" style="77" customWidth="1"/>
    <col min="6" max="8" width="17.42578125" style="95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559" t="s">
        <v>323</v>
      </c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59"/>
      <c r="N2" s="559"/>
      <c r="O2" s="559"/>
      <c r="P2" s="559"/>
      <c r="Q2" s="559"/>
      <c r="R2" s="559"/>
      <c r="S2" s="559"/>
      <c r="T2" s="559"/>
      <c r="U2" s="559"/>
      <c r="V2" s="559"/>
      <c r="W2" s="559"/>
      <c r="X2" s="559"/>
      <c r="Y2" s="559"/>
      <c r="Z2" s="559"/>
      <c r="AA2" s="559"/>
      <c r="AB2" s="559"/>
      <c r="AC2" s="559"/>
      <c r="AD2" s="559"/>
      <c r="AE2" s="559"/>
      <c r="AF2" s="559"/>
      <c r="AG2" s="559"/>
      <c r="AH2" s="559"/>
      <c r="AI2" s="559"/>
      <c r="AJ2" s="559"/>
      <c r="AK2" s="559"/>
      <c r="AL2" s="559"/>
    </row>
    <row r="3" spans="1:38" ht="25.35" customHeight="1">
      <c r="B3" s="588" t="s">
        <v>409</v>
      </c>
      <c r="C3" s="589" t="s">
        <v>410</v>
      </c>
      <c r="D3" s="590" t="s">
        <v>105</v>
      </c>
      <c r="E3" s="590"/>
      <c r="F3" s="607" t="s">
        <v>153</v>
      </c>
      <c r="G3" s="607"/>
      <c r="H3" s="607"/>
      <c r="I3" s="609" t="s">
        <v>321</v>
      </c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</row>
    <row r="4" spans="1:38" ht="25.35" customHeight="1">
      <c r="B4" s="588"/>
      <c r="C4" s="589"/>
      <c r="D4" s="590"/>
      <c r="E4" s="590"/>
      <c r="F4" s="607"/>
      <c r="G4" s="607"/>
      <c r="H4" s="607"/>
      <c r="I4" s="606" t="s">
        <v>411</v>
      </c>
      <c r="J4" s="606"/>
      <c r="K4" s="606"/>
      <c r="L4" s="606"/>
      <c r="M4" s="606"/>
      <c r="N4" s="606"/>
      <c r="O4" s="606" t="s">
        <v>412</v>
      </c>
      <c r="P4" s="606"/>
      <c r="Q4" s="606"/>
      <c r="R4" s="606"/>
      <c r="S4" s="606"/>
      <c r="T4" s="606"/>
      <c r="U4" s="606" t="s">
        <v>413</v>
      </c>
      <c r="V4" s="606"/>
      <c r="W4" s="606" t="s">
        <v>414</v>
      </c>
      <c r="X4" s="606"/>
      <c r="Y4" s="606" t="s">
        <v>139</v>
      </c>
      <c r="Z4" s="606"/>
      <c r="AA4" s="606"/>
      <c r="AB4" s="606"/>
      <c r="AC4" s="606"/>
      <c r="AD4" s="606"/>
      <c r="AE4" s="606" t="s">
        <v>137</v>
      </c>
      <c r="AF4" s="606"/>
      <c r="AG4" s="606" t="s">
        <v>415</v>
      </c>
      <c r="AH4" s="606"/>
      <c r="AI4" s="606" t="s">
        <v>416</v>
      </c>
      <c r="AJ4" s="606"/>
      <c r="AK4" s="606" t="s">
        <v>143</v>
      </c>
      <c r="AL4" s="606"/>
    </row>
    <row r="5" spans="1:38" ht="25.35" customHeight="1">
      <c r="B5" s="588"/>
      <c r="C5" s="589"/>
      <c r="D5" s="590"/>
      <c r="E5" s="590"/>
      <c r="F5" s="604" t="s">
        <v>116</v>
      </c>
      <c r="G5" s="604" t="s">
        <v>120</v>
      </c>
      <c r="H5" s="604" t="s">
        <v>121</v>
      </c>
      <c r="I5" s="606" t="s">
        <v>133</v>
      </c>
      <c r="J5" s="606"/>
      <c r="K5" s="606" t="s">
        <v>134</v>
      </c>
      <c r="L5" s="606"/>
      <c r="M5" s="606" t="s">
        <v>152</v>
      </c>
      <c r="N5" s="606"/>
      <c r="O5" s="606" t="s">
        <v>133</v>
      </c>
      <c r="P5" s="606"/>
      <c r="Q5" s="606" t="s">
        <v>134</v>
      </c>
      <c r="R5" s="606"/>
      <c r="S5" s="606" t="s">
        <v>152</v>
      </c>
      <c r="T5" s="606"/>
      <c r="U5" s="606" t="s">
        <v>133</v>
      </c>
      <c r="V5" s="606"/>
      <c r="W5" s="606" t="s">
        <v>133</v>
      </c>
      <c r="X5" s="606"/>
      <c r="Y5" s="606" t="s">
        <v>133</v>
      </c>
      <c r="Z5" s="606"/>
      <c r="AA5" s="606" t="s">
        <v>134</v>
      </c>
      <c r="AB5" s="606"/>
      <c r="AC5" s="606" t="s">
        <v>152</v>
      </c>
      <c r="AD5" s="606"/>
      <c r="AE5" s="606" t="s">
        <v>133</v>
      </c>
      <c r="AF5" s="606"/>
      <c r="AG5" s="606" t="s">
        <v>133</v>
      </c>
      <c r="AH5" s="606"/>
      <c r="AI5" s="606" t="s">
        <v>133</v>
      </c>
      <c r="AJ5" s="606"/>
      <c r="AK5" s="606" t="s">
        <v>133</v>
      </c>
      <c r="AL5" s="606"/>
    </row>
    <row r="6" spans="1:38" s="77" customFormat="1" ht="23.45" customHeight="1">
      <c r="B6" s="588"/>
      <c r="C6" s="605"/>
      <c r="D6" s="591"/>
      <c r="E6" s="591"/>
      <c r="F6" s="608"/>
      <c r="G6" s="604"/>
      <c r="H6" s="604"/>
      <c r="I6" s="214" t="s">
        <v>154</v>
      </c>
      <c r="J6" s="173" t="s">
        <v>111</v>
      </c>
      <c r="K6" s="214" t="s">
        <v>154</v>
      </c>
      <c r="L6" s="173" t="s">
        <v>111</v>
      </c>
      <c r="M6" s="214" t="s">
        <v>154</v>
      </c>
      <c r="N6" s="173" t="s">
        <v>111</v>
      </c>
      <c r="O6" s="214" t="s">
        <v>154</v>
      </c>
      <c r="P6" s="173" t="s">
        <v>111</v>
      </c>
      <c r="Q6" s="214" t="s">
        <v>154</v>
      </c>
      <c r="R6" s="173" t="s">
        <v>111</v>
      </c>
      <c r="S6" s="214" t="s">
        <v>154</v>
      </c>
      <c r="T6" s="173" t="s">
        <v>111</v>
      </c>
      <c r="U6" s="214" t="s">
        <v>154</v>
      </c>
      <c r="V6" s="173" t="s">
        <v>111</v>
      </c>
      <c r="W6" s="214" t="s">
        <v>154</v>
      </c>
      <c r="X6" s="173" t="s">
        <v>111</v>
      </c>
      <c r="Y6" s="214" t="s">
        <v>154</v>
      </c>
      <c r="Z6" s="173" t="s">
        <v>111</v>
      </c>
      <c r="AA6" s="214" t="s">
        <v>154</v>
      </c>
      <c r="AB6" s="173" t="s">
        <v>111</v>
      </c>
      <c r="AC6" s="214" t="s">
        <v>154</v>
      </c>
      <c r="AD6" s="173" t="s">
        <v>111</v>
      </c>
      <c r="AE6" s="214" t="s">
        <v>154</v>
      </c>
      <c r="AF6" s="173" t="s">
        <v>111</v>
      </c>
      <c r="AG6" s="214" t="s">
        <v>154</v>
      </c>
      <c r="AH6" s="173" t="s">
        <v>111</v>
      </c>
      <c r="AI6" s="214" t="s">
        <v>154</v>
      </c>
      <c r="AJ6" s="173" t="s">
        <v>111</v>
      </c>
      <c r="AK6" s="214" t="s">
        <v>154</v>
      </c>
      <c r="AL6" s="173" t="s">
        <v>111</v>
      </c>
    </row>
    <row r="7" spans="1:38" s="73" customFormat="1" ht="14.25" customHeight="1">
      <c r="B7" s="579">
        <v>46211</v>
      </c>
      <c r="C7" s="468"/>
      <c r="D7" s="170">
        <v>46203</v>
      </c>
      <c r="E7" s="170" t="s">
        <v>118</v>
      </c>
      <c r="F7" s="321">
        <f t="shared" ref="F7:F41" si="0">SUM(M7,S7,U7,W7,AC7,AE7,AG7,AI7,AK7)</f>
        <v>229980</v>
      </c>
      <c r="G7" s="600">
        <f t="shared" ref="G7" si="1">SUM(F7:F13)</f>
        <v>1487035</v>
      </c>
      <c r="H7" s="469"/>
      <c r="I7" s="308">
        <v>45550</v>
      </c>
      <c r="J7" s="230">
        <f t="shared" ref="J7:J41" si="2">I7/$F7</f>
        <v>0.1980607009305157</v>
      </c>
      <c r="K7" s="308">
        <v>69362</v>
      </c>
      <c r="L7" s="230">
        <f t="shared" ref="L7:L41" si="3">K7/$F7</f>
        <v>0.30160013914253414</v>
      </c>
      <c r="M7" s="308">
        <f t="shared" ref="M7:M41" si="4">I7+K7</f>
        <v>114912</v>
      </c>
      <c r="N7" s="230">
        <f t="shared" ref="N7:N41" si="5">M7/$F7</f>
        <v>0.49966084007304984</v>
      </c>
      <c r="O7" s="308">
        <v>8454</v>
      </c>
      <c r="P7" s="230">
        <f t="shared" ref="P7:P41" si="6">O7/$F7</f>
        <v>3.675971823636838E-2</v>
      </c>
      <c r="Q7" s="308">
        <v>0</v>
      </c>
      <c r="R7" s="230">
        <f t="shared" ref="R7:R41" si="7">Q7/$F7</f>
        <v>0</v>
      </c>
      <c r="S7" s="308">
        <f t="shared" ref="S7:S41" si="8">O7+Q7</f>
        <v>8454</v>
      </c>
      <c r="T7" s="230">
        <f t="shared" ref="T7:T41" si="9">S7/$F7</f>
        <v>3.675971823636838E-2</v>
      </c>
      <c r="U7" s="308">
        <v>2567</v>
      </c>
      <c r="V7" s="230">
        <f t="shared" ref="V7:V41" si="10">U7/$F7</f>
        <v>1.1161840160013915E-2</v>
      </c>
      <c r="W7" s="308">
        <v>11068</v>
      </c>
      <c r="X7" s="230">
        <f t="shared" ref="X7:X41" si="11">W7/$F7</f>
        <v>4.8125923993390732E-2</v>
      </c>
      <c r="Y7" s="308">
        <v>4744</v>
      </c>
      <c r="Z7" s="230">
        <f t="shared" ref="Z7:Z41" si="12">Y7/$F7</f>
        <v>2.0627880685276982E-2</v>
      </c>
      <c r="AA7" s="308">
        <v>14570</v>
      </c>
      <c r="AB7" s="230">
        <f t="shared" ref="AB7:AB41" si="13">AA7/$F7</f>
        <v>6.3353335072615008E-2</v>
      </c>
      <c r="AC7" s="308">
        <f t="shared" ref="AC7:AC41" si="14">Y7+AA7</f>
        <v>19314</v>
      </c>
      <c r="AD7" s="230">
        <f t="shared" ref="AD7:AD41" si="15">AC7/$F7</f>
        <v>8.3981215757891997E-2</v>
      </c>
      <c r="AE7" s="308">
        <v>31363</v>
      </c>
      <c r="AF7" s="230">
        <f t="shared" ref="AF7:AF41" si="16">AE7/$F7</f>
        <v>0.13637272806330986</v>
      </c>
      <c r="AG7" s="308">
        <v>0</v>
      </c>
      <c r="AH7" s="230">
        <f t="shared" ref="AH7:AH41" si="17">AG7/$F7</f>
        <v>0</v>
      </c>
      <c r="AI7" s="308">
        <v>28378</v>
      </c>
      <c r="AJ7" s="230">
        <f t="shared" ref="AJ7:AJ41" si="18">AI7/$F7</f>
        <v>0.12339333855117836</v>
      </c>
      <c r="AK7" s="308">
        <v>13924</v>
      </c>
      <c r="AL7" s="230">
        <f t="shared" ref="AL7:AL41" si="19">AK7/$F7</f>
        <v>6.0544395164796941E-2</v>
      </c>
    </row>
    <row r="8" spans="1:38" s="73" customFormat="1" ht="14.25" customHeight="1">
      <c r="B8" s="580"/>
      <c r="C8" s="583" t="s">
        <v>698</v>
      </c>
      <c r="D8" s="170">
        <f t="shared" ref="D8:D41" si="20">D7+1</f>
        <v>46204</v>
      </c>
      <c r="E8" s="170" t="s">
        <v>112</v>
      </c>
      <c r="F8" s="321">
        <f t="shared" si="0"/>
        <v>219467</v>
      </c>
      <c r="G8" s="600"/>
      <c r="H8" s="597">
        <f>SUM(F8:F38)</f>
        <v>6323244</v>
      </c>
      <c r="I8" s="518">
        <v>44534</v>
      </c>
      <c r="J8" s="230">
        <f t="shared" si="2"/>
        <v>0.20291888985587811</v>
      </c>
      <c r="K8" s="308">
        <v>66568</v>
      </c>
      <c r="L8" s="230">
        <f t="shared" si="3"/>
        <v>0.3033166717547513</v>
      </c>
      <c r="M8" s="308">
        <f t="shared" si="4"/>
        <v>111102</v>
      </c>
      <c r="N8" s="230">
        <f t="shared" si="5"/>
        <v>0.50623556161062944</v>
      </c>
      <c r="O8" s="308">
        <v>8378</v>
      </c>
      <c r="P8" s="230">
        <f t="shared" si="6"/>
        <v>3.8174304109501657E-2</v>
      </c>
      <c r="Q8" s="308">
        <v>0</v>
      </c>
      <c r="R8" s="230">
        <f t="shared" si="7"/>
        <v>0</v>
      </c>
      <c r="S8" s="308">
        <f t="shared" si="8"/>
        <v>8378</v>
      </c>
      <c r="T8" s="230">
        <f t="shared" si="9"/>
        <v>3.8174304109501657E-2</v>
      </c>
      <c r="U8" s="308">
        <v>2321</v>
      </c>
      <c r="V8" s="230">
        <f t="shared" si="10"/>
        <v>1.057562184747593E-2</v>
      </c>
      <c r="W8" s="308">
        <v>10915</v>
      </c>
      <c r="X8" s="230">
        <f t="shared" si="11"/>
        <v>4.9734128593364832E-2</v>
      </c>
      <c r="Y8" s="308">
        <v>4053</v>
      </c>
      <c r="Z8" s="230">
        <f t="shared" si="12"/>
        <v>1.8467468913321822E-2</v>
      </c>
      <c r="AA8" s="308">
        <v>13127</v>
      </c>
      <c r="AB8" s="230">
        <f t="shared" si="13"/>
        <v>5.981309262896016E-2</v>
      </c>
      <c r="AC8" s="308">
        <f t="shared" si="14"/>
        <v>17180</v>
      </c>
      <c r="AD8" s="230">
        <f t="shared" si="15"/>
        <v>7.8280561542281982E-2</v>
      </c>
      <c r="AE8" s="308">
        <v>26085</v>
      </c>
      <c r="AF8" s="230">
        <f t="shared" si="16"/>
        <v>0.11885613782482105</v>
      </c>
      <c r="AG8" s="308">
        <v>0</v>
      </c>
      <c r="AH8" s="230">
        <f t="shared" si="17"/>
        <v>0</v>
      </c>
      <c r="AI8" s="308">
        <v>30626</v>
      </c>
      <c r="AJ8" s="230">
        <f t="shared" si="18"/>
        <v>0.13954717565738814</v>
      </c>
      <c r="AK8" s="308">
        <v>12860</v>
      </c>
      <c r="AL8" s="230">
        <f t="shared" si="19"/>
        <v>5.8596508814537041E-2</v>
      </c>
    </row>
    <row r="9" spans="1:38" s="73" customFormat="1" ht="14.25" customHeight="1">
      <c r="B9" s="580"/>
      <c r="C9" s="584"/>
      <c r="D9" s="170">
        <f t="shared" si="20"/>
        <v>46205</v>
      </c>
      <c r="E9" s="170" t="s">
        <v>113</v>
      </c>
      <c r="F9" s="321">
        <f t="shared" si="0"/>
        <v>206563</v>
      </c>
      <c r="G9" s="600"/>
      <c r="H9" s="598"/>
      <c r="I9" s="518">
        <v>43894</v>
      </c>
      <c r="J9" s="230">
        <f t="shared" si="2"/>
        <v>0.21249691377449012</v>
      </c>
      <c r="K9" s="308">
        <v>60386</v>
      </c>
      <c r="L9" s="230">
        <f t="shared" si="3"/>
        <v>0.29233696257316172</v>
      </c>
      <c r="M9" s="308">
        <f t="shared" si="4"/>
        <v>104280</v>
      </c>
      <c r="N9" s="230">
        <f t="shared" si="5"/>
        <v>0.50483387634765176</v>
      </c>
      <c r="O9" s="308">
        <v>8359</v>
      </c>
      <c r="P9" s="230">
        <f t="shared" si="6"/>
        <v>4.046707299952073E-2</v>
      </c>
      <c r="Q9" s="308">
        <v>0</v>
      </c>
      <c r="R9" s="230">
        <f t="shared" si="7"/>
        <v>0</v>
      </c>
      <c r="S9" s="308">
        <f t="shared" si="8"/>
        <v>8359</v>
      </c>
      <c r="T9" s="230">
        <f t="shared" si="9"/>
        <v>4.046707299952073E-2</v>
      </c>
      <c r="U9" s="308">
        <v>2282</v>
      </c>
      <c r="V9" s="230">
        <f t="shared" si="10"/>
        <v>1.1047477040902776E-2</v>
      </c>
      <c r="W9" s="308">
        <v>10882</v>
      </c>
      <c r="X9" s="230">
        <f t="shared" si="11"/>
        <v>5.2681264311614372E-2</v>
      </c>
      <c r="Y9" s="308">
        <v>4233</v>
      </c>
      <c r="Z9" s="230">
        <f t="shared" si="12"/>
        <v>2.0492537385688629E-2</v>
      </c>
      <c r="AA9" s="308">
        <v>10501</v>
      </c>
      <c r="AB9" s="230">
        <f t="shared" si="13"/>
        <v>5.0836790712760753E-2</v>
      </c>
      <c r="AC9" s="308">
        <f t="shared" si="14"/>
        <v>14734</v>
      </c>
      <c r="AD9" s="230">
        <f t="shared" si="15"/>
        <v>7.1329328098449385E-2</v>
      </c>
      <c r="AE9" s="308">
        <v>22577</v>
      </c>
      <c r="AF9" s="230">
        <f t="shared" si="16"/>
        <v>0.10929837386172742</v>
      </c>
      <c r="AG9" s="308">
        <v>0</v>
      </c>
      <c r="AH9" s="230">
        <f t="shared" si="17"/>
        <v>0</v>
      </c>
      <c r="AI9" s="308">
        <v>31626</v>
      </c>
      <c r="AJ9" s="230">
        <f t="shared" si="18"/>
        <v>0.15310583211901455</v>
      </c>
      <c r="AK9" s="308">
        <v>11823</v>
      </c>
      <c r="AL9" s="230">
        <f t="shared" si="19"/>
        <v>5.7236775221118981E-2</v>
      </c>
    </row>
    <row r="10" spans="1:38" s="73" customFormat="1" ht="14.25" customHeight="1">
      <c r="B10" s="580"/>
      <c r="C10" s="584"/>
      <c r="D10" s="170">
        <f t="shared" si="20"/>
        <v>46206</v>
      </c>
      <c r="E10" s="170" t="s">
        <v>114</v>
      </c>
      <c r="F10" s="321">
        <f t="shared" si="0"/>
        <v>176725</v>
      </c>
      <c r="G10" s="600"/>
      <c r="H10" s="598"/>
      <c r="I10" s="518">
        <v>33752</v>
      </c>
      <c r="J10" s="230">
        <f t="shared" si="2"/>
        <v>0.19098599519026738</v>
      </c>
      <c r="K10" s="308">
        <v>54067</v>
      </c>
      <c r="L10" s="230">
        <f t="shared" si="3"/>
        <v>0.30593860517753574</v>
      </c>
      <c r="M10" s="308">
        <f t="shared" si="4"/>
        <v>87819</v>
      </c>
      <c r="N10" s="230">
        <f t="shared" si="5"/>
        <v>0.49692460036780306</v>
      </c>
      <c r="O10" s="308">
        <v>6604</v>
      </c>
      <c r="P10" s="230">
        <f t="shared" si="6"/>
        <v>3.73687933229594E-2</v>
      </c>
      <c r="Q10" s="308">
        <v>0</v>
      </c>
      <c r="R10" s="230">
        <f t="shared" si="7"/>
        <v>0</v>
      </c>
      <c r="S10" s="308">
        <f t="shared" si="8"/>
        <v>6604</v>
      </c>
      <c r="T10" s="230">
        <f t="shared" si="9"/>
        <v>3.73687933229594E-2</v>
      </c>
      <c r="U10" s="308">
        <v>1746</v>
      </c>
      <c r="V10" s="230">
        <f t="shared" si="10"/>
        <v>9.8797566841137361E-3</v>
      </c>
      <c r="W10" s="308">
        <v>8346</v>
      </c>
      <c r="X10" s="230">
        <f t="shared" si="11"/>
        <v>4.7225915971141605E-2</v>
      </c>
      <c r="Y10" s="308">
        <v>5402</v>
      </c>
      <c r="Z10" s="230">
        <f t="shared" si="12"/>
        <v>3.0567265525534022E-2</v>
      </c>
      <c r="AA10" s="308">
        <v>11076</v>
      </c>
      <c r="AB10" s="230">
        <f t="shared" si="13"/>
        <v>6.267364549441222E-2</v>
      </c>
      <c r="AC10" s="308">
        <f t="shared" si="14"/>
        <v>16478</v>
      </c>
      <c r="AD10" s="230">
        <f t="shared" si="15"/>
        <v>9.3240911019946249E-2</v>
      </c>
      <c r="AE10" s="308">
        <v>16756</v>
      </c>
      <c r="AF10" s="230">
        <f t="shared" si="16"/>
        <v>9.4813976517187717E-2</v>
      </c>
      <c r="AG10" s="308">
        <v>0</v>
      </c>
      <c r="AH10" s="230">
        <f t="shared" si="17"/>
        <v>0</v>
      </c>
      <c r="AI10" s="308">
        <v>28501</v>
      </c>
      <c r="AJ10" s="230">
        <f t="shared" si="18"/>
        <v>0.16127316452114868</v>
      </c>
      <c r="AK10" s="308">
        <v>10475</v>
      </c>
      <c r="AL10" s="230">
        <f t="shared" si="19"/>
        <v>5.9272881595699531E-2</v>
      </c>
    </row>
    <row r="11" spans="1:38" s="73" customFormat="1" ht="14.25" customHeight="1">
      <c r="B11" s="580"/>
      <c r="C11" s="584"/>
      <c r="D11" s="170">
        <f t="shared" si="20"/>
        <v>46207</v>
      </c>
      <c r="E11" s="170" t="s">
        <v>115</v>
      </c>
      <c r="F11" s="321">
        <f t="shared" si="0"/>
        <v>192415</v>
      </c>
      <c r="G11" s="600"/>
      <c r="H11" s="598"/>
      <c r="I11" s="518">
        <v>32941</v>
      </c>
      <c r="J11" s="230">
        <f t="shared" si="2"/>
        <v>0.17119767169919184</v>
      </c>
      <c r="K11" s="308">
        <v>61237</v>
      </c>
      <c r="L11" s="230">
        <f t="shared" si="3"/>
        <v>0.31825481381389187</v>
      </c>
      <c r="M11" s="308">
        <f t="shared" si="4"/>
        <v>94178</v>
      </c>
      <c r="N11" s="230">
        <f t="shared" si="5"/>
        <v>0.48945248551308368</v>
      </c>
      <c r="O11" s="308">
        <v>6326</v>
      </c>
      <c r="P11" s="230">
        <f t="shared" si="6"/>
        <v>3.2876854715068994E-2</v>
      </c>
      <c r="Q11" s="308">
        <v>0</v>
      </c>
      <c r="R11" s="230">
        <f t="shared" si="7"/>
        <v>0</v>
      </c>
      <c r="S11" s="308">
        <f t="shared" si="8"/>
        <v>6326</v>
      </c>
      <c r="T11" s="230">
        <f t="shared" si="9"/>
        <v>3.2876854715068994E-2</v>
      </c>
      <c r="U11" s="308">
        <v>1959</v>
      </c>
      <c r="V11" s="230">
        <f t="shared" si="10"/>
        <v>1.0181118935633917E-2</v>
      </c>
      <c r="W11" s="308">
        <v>9903</v>
      </c>
      <c r="X11" s="230">
        <f t="shared" si="11"/>
        <v>5.1466881480134084E-2</v>
      </c>
      <c r="Y11" s="308">
        <v>4541</v>
      </c>
      <c r="Z11" s="230">
        <f t="shared" si="12"/>
        <v>2.3600031182600109E-2</v>
      </c>
      <c r="AA11" s="308">
        <v>13213</v>
      </c>
      <c r="AB11" s="230">
        <f t="shared" si="13"/>
        <v>6.8669282540342491E-2</v>
      </c>
      <c r="AC11" s="308">
        <f t="shared" si="14"/>
        <v>17754</v>
      </c>
      <c r="AD11" s="230">
        <f t="shared" si="15"/>
        <v>9.22693137229426E-2</v>
      </c>
      <c r="AE11" s="308">
        <v>20362</v>
      </c>
      <c r="AF11" s="230">
        <f t="shared" si="16"/>
        <v>0.10582335057038172</v>
      </c>
      <c r="AG11" s="308">
        <v>0</v>
      </c>
      <c r="AH11" s="230">
        <f t="shared" si="17"/>
        <v>0</v>
      </c>
      <c r="AI11" s="308">
        <v>30085</v>
      </c>
      <c r="AJ11" s="230">
        <f t="shared" si="18"/>
        <v>0.15635475404724164</v>
      </c>
      <c r="AK11" s="308">
        <v>11848</v>
      </c>
      <c r="AL11" s="230">
        <f t="shared" si="19"/>
        <v>6.1575241015513343E-2</v>
      </c>
    </row>
    <row r="12" spans="1:38" s="73" customFormat="1" ht="14.25" customHeight="1">
      <c r="B12" s="580"/>
      <c r="C12" s="584"/>
      <c r="D12" s="170">
        <f t="shared" si="20"/>
        <v>46208</v>
      </c>
      <c r="E12" s="170" t="s">
        <v>116</v>
      </c>
      <c r="F12" s="321">
        <f t="shared" si="0"/>
        <v>234759</v>
      </c>
      <c r="G12" s="600"/>
      <c r="H12" s="598"/>
      <c r="I12" s="518">
        <v>47177</v>
      </c>
      <c r="J12" s="230">
        <f t="shared" si="2"/>
        <v>0.20095928164628407</v>
      </c>
      <c r="K12" s="308">
        <v>68899</v>
      </c>
      <c r="L12" s="230">
        <f t="shared" si="3"/>
        <v>0.2934882155742698</v>
      </c>
      <c r="M12" s="308">
        <f t="shared" si="4"/>
        <v>116076</v>
      </c>
      <c r="N12" s="230">
        <f t="shared" si="5"/>
        <v>0.49444749722055387</v>
      </c>
      <c r="O12" s="308">
        <v>8773</v>
      </c>
      <c r="P12" s="230">
        <f t="shared" si="6"/>
        <v>3.7370239266652186E-2</v>
      </c>
      <c r="Q12" s="308">
        <v>0</v>
      </c>
      <c r="R12" s="230">
        <f t="shared" si="7"/>
        <v>0</v>
      </c>
      <c r="S12" s="308">
        <f t="shared" si="8"/>
        <v>8773</v>
      </c>
      <c r="T12" s="230">
        <f t="shared" si="9"/>
        <v>3.7370239266652186E-2</v>
      </c>
      <c r="U12" s="308">
        <v>2774</v>
      </c>
      <c r="V12" s="230">
        <f t="shared" si="10"/>
        <v>1.1816373387175784E-2</v>
      </c>
      <c r="W12" s="308">
        <v>10858</v>
      </c>
      <c r="X12" s="230">
        <f t="shared" si="11"/>
        <v>4.6251687901209322E-2</v>
      </c>
      <c r="Y12" s="308">
        <v>5167</v>
      </c>
      <c r="Z12" s="230">
        <f t="shared" si="12"/>
        <v>2.2009805800842566E-2</v>
      </c>
      <c r="AA12" s="308">
        <v>14280</v>
      </c>
      <c r="AB12" s="230">
        <f t="shared" si="13"/>
        <v>6.0828338849628766E-2</v>
      </c>
      <c r="AC12" s="308">
        <f t="shared" si="14"/>
        <v>19447</v>
      </c>
      <c r="AD12" s="230">
        <f t="shared" si="15"/>
        <v>8.2838144650471332E-2</v>
      </c>
      <c r="AE12" s="308">
        <v>30337</v>
      </c>
      <c r="AF12" s="230">
        <f t="shared" si="16"/>
        <v>0.12922614255470505</v>
      </c>
      <c r="AG12" s="308">
        <v>0</v>
      </c>
      <c r="AH12" s="230">
        <f t="shared" si="17"/>
        <v>0</v>
      </c>
      <c r="AI12" s="308">
        <v>33607</v>
      </c>
      <c r="AJ12" s="230">
        <f t="shared" si="18"/>
        <v>0.14315532098875869</v>
      </c>
      <c r="AK12" s="308">
        <v>12887</v>
      </c>
      <c r="AL12" s="230">
        <f t="shared" si="19"/>
        <v>5.4894594030473802E-2</v>
      </c>
    </row>
    <row r="13" spans="1:38" s="73" customFormat="1" ht="14.25" customHeight="1">
      <c r="B13" s="581"/>
      <c r="C13" s="584"/>
      <c r="D13" s="170">
        <f t="shared" si="20"/>
        <v>46209</v>
      </c>
      <c r="E13" s="170" t="s">
        <v>117</v>
      </c>
      <c r="F13" s="321">
        <f t="shared" si="0"/>
        <v>227126</v>
      </c>
      <c r="G13" s="600"/>
      <c r="H13" s="598"/>
      <c r="I13" s="518">
        <v>46467</v>
      </c>
      <c r="J13" s="230">
        <f t="shared" si="2"/>
        <v>0.20458688129056118</v>
      </c>
      <c r="K13" s="308">
        <v>68106</v>
      </c>
      <c r="L13" s="230">
        <f t="shared" si="3"/>
        <v>0.29985998960929178</v>
      </c>
      <c r="M13" s="308">
        <f t="shared" si="4"/>
        <v>114573</v>
      </c>
      <c r="N13" s="230">
        <f t="shared" si="5"/>
        <v>0.50444687089985296</v>
      </c>
      <c r="O13" s="308">
        <v>8688</v>
      </c>
      <c r="P13" s="230">
        <f t="shared" si="6"/>
        <v>3.8251895423685532E-2</v>
      </c>
      <c r="Q13" s="308">
        <v>0</v>
      </c>
      <c r="R13" s="230">
        <f t="shared" si="7"/>
        <v>0</v>
      </c>
      <c r="S13" s="308">
        <f t="shared" si="8"/>
        <v>8688</v>
      </c>
      <c r="T13" s="230">
        <f t="shared" si="9"/>
        <v>3.8251895423685532E-2</v>
      </c>
      <c r="U13" s="308">
        <v>2592</v>
      </c>
      <c r="V13" s="230">
        <f t="shared" si="10"/>
        <v>1.1412167695464192E-2</v>
      </c>
      <c r="W13" s="308">
        <v>11801</v>
      </c>
      <c r="X13" s="230">
        <f t="shared" si="11"/>
        <v>5.1957944048677825E-2</v>
      </c>
      <c r="Y13" s="308">
        <v>4292</v>
      </c>
      <c r="Z13" s="230">
        <f t="shared" si="12"/>
        <v>1.8896999903137465E-2</v>
      </c>
      <c r="AA13" s="308">
        <v>13922</v>
      </c>
      <c r="AB13" s="230">
        <f t="shared" si="13"/>
        <v>6.1296372938369009E-2</v>
      </c>
      <c r="AC13" s="308">
        <f t="shared" si="14"/>
        <v>18214</v>
      </c>
      <c r="AD13" s="230">
        <f t="shared" si="15"/>
        <v>8.0193372841506474E-2</v>
      </c>
      <c r="AE13" s="308">
        <v>26496</v>
      </c>
      <c r="AF13" s="230">
        <f t="shared" si="16"/>
        <v>0.11665771422030062</v>
      </c>
      <c r="AG13" s="308">
        <v>0</v>
      </c>
      <c r="AH13" s="230">
        <f t="shared" si="17"/>
        <v>0</v>
      </c>
      <c r="AI13" s="308">
        <v>31068</v>
      </c>
      <c r="AJ13" s="230">
        <f t="shared" si="18"/>
        <v>0.13678751001646663</v>
      </c>
      <c r="AK13" s="308">
        <v>13694</v>
      </c>
      <c r="AL13" s="230">
        <f t="shared" si="19"/>
        <v>6.0292524854045772E-2</v>
      </c>
    </row>
    <row r="14" spans="1:38" s="73" customFormat="1" ht="14.25" customHeight="1">
      <c r="B14" s="579">
        <f>D15+7</f>
        <v>46218</v>
      </c>
      <c r="C14" s="584"/>
      <c r="D14" s="170">
        <f t="shared" si="20"/>
        <v>46210</v>
      </c>
      <c r="E14" s="170" t="s">
        <v>118</v>
      </c>
      <c r="F14" s="321">
        <f t="shared" si="0"/>
        <v>249215</v>
      </c>
      <c r="G14" s="600">
        <f>SUM(F14:F20)</f>
        <v>1514096</v>
      </c>
      <c r="H14" s="598"/>
      <c r="I14" s="518">
        <v>46233</v>
      </c>
      <c r="J14" s="230">
        <f t="shared" si="2"/>
        <v>0.18551451557891779</v>
      </c>
      <c r="K14" s="308">
        <v>66245</v>
      </c>
      <c r="L14" s="230">
        <f t="shared" si="3"/>
        <v>0.2658146580262023</v>
      </c>
      <c r="M14" s="308">
        <f t="shared" si="4"/>
        <v>112478</v>
      </c>
      <c r="N14" s="230">
        <f t="shared" si="5"/>
        <v>0.45132917360512009</v>
      </c>
      <c r="O14" s="308">
        <v>8659</v>
      </c>
      <c r="P14" s="230">
        <f t="shared" si="6"/>
        <v>3.4745099612784144E-2</v>
      </c>
      <c r="Q14" s="308">
        <v>0</v>
      </c>
      <c r="R14" s="230">
        <f t="shared" si="7"/>
        <v>0</v>
      </c>
      <c r="S14" s="308">
        <f t="shared" si="8"/>
        <v>8659</v>
      </c>
      <c r="T14" s="230">
        <f t="shared" si="9"/>
        <v>3.4745099612784144E-2</v>
      </c>
      <c r="U14" s="308">
        <v>11796</v>
      </c>
      <c r="V14" s="230">
        <f t="shared" si="10"/>
        <v>4.7332624440743938E-2</v>
      </c>
      <c r="W14" s="308">
        <v>10943</v>
      </c>
      <c r="X14" s="230">
        <f t="shared" si="11"/>
        <v>4.3909877013823408E-2</v>
      </c>
      <c r="Y14" s="308">
        <v>13734</v>
      </c>
      <c r="Z14" s="230">
        <f t="shared" si="12"/>
        <v>5.5109042393114378E-2</v>
      </c>
      <c r="AA14" s="308">
        <v>13478</v>
      </c>
      <c r="AB14" s="230">
        <f t="shared" si="13"/>
        <v>5.4081816905081959E-2</v>
      </c>
      <c r="AC14" s="308">
        <f t="shared" si="14"/>
        <v>27212</v>
      </c>
      <c r="AD14" s="230">
        <f t="shared" si="15"/>
        <v>0.10919085929819633</v>
      </c>
      <c r="AE14" s="308">
        <v>24810</v>
      </c>
      <c r="AF14" s="230">
        <f t="shared" si="16"/>
        <v>9.9552595148767131E-2</v>
      </c>
      <c r="AG14" s="308">
        <v>0</v>
      </c>
      <c r="AH14" s="230">
        <f t="shared" si="17"/>
        <v>0</v>
      </c>
      <c r="AI14" s="308">
        <v>40029</v>
      </c>
      <c r="AJ14" s="230">
        <f t="shared" si="18"/>
        <v>0.16062034789238208</v>
      </c>
      <c r="AK14" s="308">
        <v>13288</v>
      </c>
      <c r="AL14" s="230">
        <f t="shared" si="19"/>
        <v>5.3319422988182895E-2</v>
      </c>
    </row>
    <row r="15" spans="1:38" s="73" customFormat="1" ht="14.25" customHeight="1">
      <c r="B15" s="580"/>
      <c r="C15" s="584"/>
      <c r="D15" s="170">
        <f t="shared" si="20"/>
        <v>46211</v>
      </c>
      <c r="E15" s="170" t="s">
        <v>112</v>
      </c>
      <c r="F15" s="321">
        <f t="shared" si="0"/>
        <v>230160</v>
      </c>
      <c r="G15" s="600"/>
      <c r="H15" s="598"/>
      <c r="I15" s="518">
        <v>44805</v>
      </c>
      <c r="J15" s="230">
        <f t="shared" si="2"/>
        <v>0.19466892596454641</v>
      </c>
      <c r="K15" s="308">
        <v>61375</v>
      </c>
      <c r="L15" s="230">
        <f t="shared" si="3"/>
        <v>0.26666232186305178</v>
      </c>
      <c r="M15" s="308">
        <f t="shared" si="4"/>
        <v>106180</v>
      </c>
      <c r="N15" s="230">
        <f t="shared" si="5"/>
        <v>0.46133124782759821</v>
      </c>
      <c r="O15" s="308">
        <v>8552</v>
      </c>
      <c r="P15" s="230">
        <f t="shared" si="6"/>
        <v>3.715676051442475E-2</v>
      </c>
      <c r="Q15" s="308">
        <v>0</v>
      </c>
      <c r="R15" s="230">
        <f t="shared" si="7"/>
        <v>0</v>
      </c>
      <c r="S15" s="308">
        <f t="shared" si="8"/>
        <v>8552</v>
      </c>
      <c r="T15" s="230">
        <f t="shared" si="9"/>
        <v>3.715676051442475E-2</v>
      </c>
      <c r="U15" s="308">
        <v>7808</v>
      </c>
      <c r="V15" s="230">
        <f t="shared" si="10"/>
        <v>3.3924226624956554E-2</v>
      </c>
      <c r="W15" s="308">
        <v>10614</v>
      </c>
      <c r="X15" s="230">
        <f t="shared" si="11"/>
        <v>4.6115745568300316E-2</v>
      </c>
      <c r="Y15" s="308">
        <v>10532</v>
      </c>
      <c r="Z15" s="230">
        <f t="shared" si="12"/>
        <v>4.5759471671880429E-2</v>
      </c>
      <c r="AA15" s="308">
        <v>13276</v>
      </c>
      <c r="AB15" s="230">
        <f t="shared" si="13"/>
        <v>5.7681612791101844E-2</v>
      </c>
      <c r="AC15" s="308">
        <f t="shared" si="14"/>
        <v>23808</v>
      </c>
      <c r="AD15" s="230">
        <f t="shared" si="15"/>
        <v>0.10344108446298228</v>
      </c>
      <c r="AE15" s="308">
        <v>23380</v>
      </c>
      <c r="AF15" s="230">
        <f t="shared" si="16"/>
        <v>0.10158150851581509</v>
      </c>
      <c r="AG15" s="308">
        <v>0</v>
      </c>
      <c r="AH15" s="230">
        <f t="shared" si="17"/>
        <v>0</v>
      </c>
      <c r="AI15" s="308">
        <v>36686</v>
      </c>
      <c r="AJ15" s="230">
        <f t="shared" si="18"/>
        <v>0.15939346541536323</v>
      </c>
      <c r="AK15" s="308">
        <v>13132</v>
      </c>
      <c r="AL15" s="230">
        <f t="shared" si="19"/>
        <v>5.7055961070559609E-2</v>
      </c>
    </row>
    <row r="16" spans="1:38" s="73" customFormat="1" ht="14.25" customHeight="1">
      <c r="B16" s="580"/>
      <c r="C16" s="584"/>
      <c r="D16" s="170">
        <f t="shared" si="20"/>
        <v>46212</v>
      </c>
      <c r="E16" s="170" t="s">
        <v>113</v>
      </c>
      <c r="F16" s="321">
        <f t="shared" si="0"/>
        <v>211372</v>
      </c>
      <c r="G16" s="600"/>
      <c r="H16" s="598"/>
      <c r="I16" s="518">
        <v>40163</v>
      </c>
      <c r="J16" s="230">
        <f t="shared" si="2"/>
        <v>0.19001097590977045</v>
      </c>
      <c r="K16" s="308">
        <v>53139</v>
      </c>
      <c r="L16" s="230">
        <f t="shared" si="3"/>
        <v>0.25140037469485077</v>
      </c>
      <c r="M16" s="308">
        <f t="shared" si="4"/>
        <v>93302</v>
      </c>
      <c r="N16" s="230">
        <f t="shared" si="5"/>
        <v>0.44141135060462122</v>
      </c>
      <c r="O16" s="308">
        <v>7949</v>
      </c>
      <c r="P16" s="230">
        <f t="shared" si="6"/>
        <v>3.7606683950570555E-2</v>
      </c>
      <c r="Q16" s="308">
        <v>0</v>
      </c>
      <c r="R16" s="230">
        <f t="shared" si="7"/>
        <v>0</v>
      </c>
      <c r="S16" s="308">
        <f t="shared" si="8"/>
        <v>7949</v>
      </c>
      <c r="T16" s="230">
        <f t="shared" si="9"/>
        <v>3.7606683950570555E-2</v>
      </c>
      <c r="U16" s="308">
        <v>7232</v>
      </c>
      <c r="V16" s="230">
        <f t="shared" si="10"/>
        <v>3.4214560112029974E-2</v>
      </c>
      <c r="W16" s="308">
        <v>10237</v>
      </c>
      <c r="X16" s="230">
        <f t="shared" si="11"/>
        <v>4.8431201862119862E-2</v>
      </c>
      <c r="Y16" s="308">
        <v>9723</v>
      </c>
      <c r="Z16" s="230">
        <f t="shared" si="12"/>
        <v>4.5999470128493841E-2</v>
      </c>
      <c r="AA16" s="308">
        <v>12306</v>
      </c>
      <c r="AB16" s="230">
        <f t="shared" si="13"/>
        <v>5.8219631739303217E-2</v>
      </c>
      <c r="AC16" s="308">
        <f t="shared" si="14"/>
        <v>22029</v>
      </c>
      <c r="AD16" s="230">
        <f t="shared" si="15"/>
        <v>0.10421910186779706</v>
      </c>
      <c r="AE16" s="308">
        <v>23273</v>
      </c>
      <c r="AF16" s="230">
        <f t="shared" si="16"/>
        <v>0.11010446038264292</v>
      </c>
      <c r="AG16" s="308">
        <v>0</v>
      </c>
      <c r="AH16" s="230">
        <f t="shared" si="17"/>
        <v>0</v>
      </c>
      <c r="AI16" s="308">
        <v>33866</v>
      </c>
      <c r="AJ16" s="230">
        <f t="shared" si="18"/>
        <v>0.16021989667505629</v>
      </c>
      <c r="AK16" s="308">
        <v>13484</v>
      </c>
      <c r="AL16" s="230">
        <f t="shared" si="19"/>
        <v>6.3792744545162081E-2</v>
      </c>
    </row>
    <row r="17" spans="2:38" s="73" customFormat="1" ht="14.25" customHeight="1">
      <c r="B17" s="580"/>
      <c r="C17" s="584"/>
      <c r="D17" s="170">
        <f t="shared" si="20"/>
        <v>46213</v>
      </c>
      <c r="E17" s="170" t="s">
        <v>114</v>
      </c>
      <c r="F17" s="321">
        <f t="shared" si="0"/>
        <v>168721</v>
      </c>
      <c r="G17" s="600"/>
      <c r="H17" s="598"/>
      <c r="I17" s="518">
        <v>30451</v>
      </c>
      <c r="J17" s="230">
        <f t="shared" si="2"/>
        <v>0.18048138643085329</v>
      </c>
      <c r="K17" s="308">
        <v>46500</v>
      </c>
      <c r="L17" s="230">
        <f t="shared" si="3"/>
        <v>0.27560291842746309</v>
      </c>
      <c r="M17" s="308">
        <f t="shared" si="4"/>
        <v>76951</v>
      </c>
      <c r="N17" s="230">
        <f t="shared" si="5"/>
        <v>0.45608430485831641</v>
      </c>
      <c r="O17" s="308">
        <v>6208</v>
      </c>
      <c r="P17" s="230">
        <f t="shared" si="6"/>
        <v>3.6794471346186901E-2</v>
      </c>
      <c r="Q17" s="308">
        <v>0</v>
      </c>
      <c r="R17" s="230">
        <f t="shared" si="7"/>
        <v>0</v>
      </c>
      <c r="S17" s="308">
        <f t="shared" si="8"/>
        <v>6208</v>
      </c>
      <c r="T17" s="230">
        <f t="shared" si="9"/>
        <v>3.6794471346186901E-2</v>
      </c>
      <c r="U17" s="308">
        <v>6217</v>
      </c>
      <c r="V17" s="230">
        <f t="shared" si="10"/>
        <v>3.6847813846527702E-2</v>
      </c>
      <c r="W17" s="308">
        <v>7579</v>
      </c>
      <c r="X17" s="230">
        <f t="shared" si="11"/>
        <v>4.4920312231435326E-2</v>
      </c>
      <c r="Y17" s="308">
        <v>7492</v>
      </c>
      <c r="Z17" s="230">
        <f t="shared" si="12"/>
        <v>4.4404668061474271E-2</v>
      </c>
      <c r="AA17" s="308">
        <v>10740</v>
      </c>
      <c r="AB17" s="230">
        <f t="shared" si="13"/>
        <v>6.3655383740020513E-2</v>
      </c>
      <c r="AC17" s="308">
        <f t="shared" si="14"/>
        <v>18232</v>
      </c>
      <c r="AD17" s="230">
        <f t="shared" si="15"/>
        <v>0.10806005180149478</v>
      </c>
      <c r="AE17" s="308">
        <v>18753</v>
      </c>
      <c r="AF17" s="230">
        <f t="shared" si="16"/>
        <v>0.11114798987677882</v>
      </c>
      <c r="AG17" s="308">
        <v>0</v>
      </c>
      <c r="AH17" s="230">
        <f t="shared" si="17"/>
        <v>0</v>
      </c>
      <c r="AI17" s="308">
        <v>24332</v>
      </c>
      <c r="AJ17" s="230">
        <f t="shared" si="18"/>
        <v>0.1442144131435921</v>
      </c>
      <c r="AK17" s="308">
        <v>10449</v>
      </c>
      <c r="AL17" s="230">
        <f t="shared" si="19"/>
        <v>6.1930642895667999E-2</v>
      </c>
    </row>
    <row r="18" spans="2:38" s="73" customFormat="1" ht="14.25" customHeight="1">
      <c r="B18" s="580"/>
      <c r="C18" s="584"/>
      <c r="D18" s="170">
        <f t="shared" si="20"/>
        <v>46214</v>
      </c>
      <c r="E18" s="170" t="s">
        <v>115</v>
      </c>
      <c r="F18" s="321">
        <f t="shared" si="0"/>
        <v>191243</v>
      </c>
      <c r="G18" s="600"/>
      <c r="H18" s="598"/>
      <c r="I18" s="518">
        <v>30361</v>
      </c>
      <c r="J18" s="230">
        <f t="shared" si="2"/>
        <v>0.15875613747954173</v>
      </c>
      <c r="K18" s="308">
        <v>56798</v>
      </c>
      <c r="L18" s="230">
        <f t="shared" si="3"/>
        <v>0.29699387690006956</v>
      </c>
      <c r="M18" s="308">
        <f t="shared" si="4"/>
        <v>87159</v>
      </c>
      <c r="N18" s="230">
        <f t="shared" si="5"/>
        <v>0.45575001437961127</v>
      </c>
      <c r="O18" s="308">
        <v>6270</v>
      </c>
      <c r="P18" s="230">
        <f t="shared" si="6"/>
        <v>3.278551371814916E-2</v>
      </c>
      <c r="Q18" s="308">
        <v>0</v>
      </c>
      <c r="R18" s="230">
        <f t="shared" si="7"/>
        <v>0</v>
      </c>
      <c r="S18" s="308">
        <f t="shared" si="8"/>
        <v>6270</v>
      </c>
      <c r="T18" s="230">
        <f t="shared" si="9"/>
        <v>3.278551371814916E-2</v>
      </c>
      <c r="U18" s="308">
        <v>7631</v>
      </c>
      <c r="V18" s="230">
        <f t="shared" si="10"/>
        <v>3.9902114064305619E-2</v>
      </c>
      <c r="W18" s="308">
        <v>8687</v>
      </c>
      <c r="X18" s="230">
        <f t="shared" si="11"/>
        <v>4.5423884795783374E-2</v>
      </c>
      <c r="Y18" s="308">
        <v>8876</v>
      </c>
      <c r="Z18" s="230">
        <f t="shared" si="12"/>
        <v>4.6412156261928544E-2</v>
      </c>
      <c r="AA18" s="308">
        <v>12336</v>
      </c>
      <c r="AB18" s="230">
        <f t="shared" si="13"/>
        <v>6.4504321726808297E-2</v>
      </c>
      <c r="AC18" s="308">
        <f t="shared" si="14"/>
        <v>21212</v>
      </c>
      <c r="AD18" s="230">
        <f t="shared" si="15"/>
        <v>0.11091647798873684</v>
      </c>
      <c r="AE18" s="308">
        <v>20296</v>
      </c>
      <c r="AF18" s="230">
        <f t="shared" si="16"/>
        <v>0.1061267601951444</v>
      </c>
      <c r="AG18" s="308">
        <v>0</v>
      </c>
      <c r="AH18" s="230">
        <f t="shared" si="17"/>
        <v>0</v>
      </c>
      <c r="AI18" s="308">
        <v>28312</v>
      </c>
      <c r="AJ18" s="230">
        <f t="shared" si="18"/>
        <v>0.1480420198386346</v>
      </c>
      <c r="AK18" s="308">
        <v>11676</v>
      </c>
      <c r="AL18" s="230">
        <f t="shared" si="19"/>
        <v>6.1053215019634705E-2</v>
      </c>
    </row>
    <row r="19" spans="2:38" s="73" customFormat="1" ht="14.25" customHeight="1">
      <c r="B19" s="580"/>
      <c r="C19" s="584"/>
      <c r="D19" s="170">
        <f t="shared" si="20"/>
        <v>46215</v>
      </c>
      <c r="E19" s="170" t="s">
        <v>116</v>
      </c>
      <c r="F19" s="321">
        <f t="shared" si="0"/>
        <v>237620</v>
      </c>
      <c r="G19" s="600"/>
      <c r="H19" s="598"/>
      <c r="I19" s="518">
        <v>43521</v>
      </c>
      <c r="J19" s="230">
        <f t="shared" si="2"/>
        <v>0.18315377493476981</v>
      </c>
      <c r="K19" s="308">
        <v>62461</v>
      </c>
      <c r="L19" s="230">
        <f t="shared" si="3"/>
        <v>0.26286087029711303</v>
      </c>
      <c r="M19" s="308">
        <f t="shared" si="4"/>
        <v>105982</v>
      </c>
      <c r="N19" s="230">
        <f t="shared" si="5"/>
        <v>0.44601464523188283</v>
      </c>
      <c r="O19" s="308">
        <v>8389</v>
      </c>
      <c r="P19" s="230">
        <f t="shared" si="6"/>
        <v>3.5304267317565863E-2</v>
      </c>
      <c r="Q19" s="308">
        <v>0</v>
      </c>
      <c r="R19" s="230">
        <f t="shared" si="7"/>
        <v>0</v>
      </c>
      <c r="S19" s="308">
        <f t="shared" si="8"/>
        <v>8389</v>
      </c>
      <c r="T19" s="230">
        <f t="shared" si="9"/>
        <v>3.5304267317565863E-2</v>
      </c>
      <c r="U19" s="308">
        <v>8939</v>
      </c>
      <c r="V19" s="230">
        <f t="shared" si="10"/>
        <v>3.76188872990489E-2</v>
      </c>
      <c r="W19" s="308">
        <v>9563</v>
      </c>
      <c r="X19" s="230">
        <f t="shared" si="11"/>
        <v>4.024492887804057E-2</v>
      </c>
      <c r="Y19" s="308">
        <v>11598</v>
      </c>
      <c r="Z19" s="230">
        <f t="shared" si="12"/>
        <v>4.880902280952782E-2</v>
      </c>
      <c r="AA19" s="308">
        <v>15117</v>
      </c>
      <c r="AB19" s="230">
        <f t="shared" si="13"/>
        <v>6.3618382291052947E-2</v>
      </c>
      <c r="AC19" s="308">
        <f t="shared" si="14"/>
        <v>26715</v>
      </c>
      <c r="AD19" s="230">
        <f t="shared" si="15"/>
        <v>0.11242740510058076</v>
      </c>
      <c r="AE19" s="308">
        <v>31411</v>
      </c>
      <c r="AF19" s="230">
        <f t="shared" si="16"/>
        <v>0.1321900513424796</v>
      </c>
      <c r="AG19" s="308">
        <v>0</v>
      </c>
      <c r="AH19" s="230">
        <f t="shared" si="17"/>
        <v>0</v>
      </c>
      <c r="AI19" s="308">
        <v>33106</v>
      </c>
      <c r="AJ19" s="230">
        <f t="shared" si="18"/>
        <v>0.13932328928541368</v>
      </c>
      <c r="AK19" s="308">
        <v>13515</v>
      </c>
      <c r="AL19" s="230">
        <f t="shared" si="19"/>
        <v>5.6876525544987795E-2</v>
      </c>
    </row>
    <row r="20" spans="2:38" s="73" customFormat="1" ht="14.25" customHeight="1">
      <c r="B20" s="581"/>
      <c r="C20" s="584"/>
      <c r="D20" s="170">
        <f t="shared" si="20"/>
        <v>46216</v>
      </c>
      <c r="E20" s="170" t="s">
        <v>117</v>
      </c>
      <c r="F20" s="321">
        <f t="shared" si="0"/>
        <v>225765</v>
      </c>
      <c r="G20" s="600"/>
      <c r="H20" s="598"/>
      <c r="I20" s="518">
        <v>42515</v>
      </c>
      <c r="J20" s="230">
        <f t="shared" si="2"/>
        <v>0.18831528359134497</v>
      </c>
      <c r="K20" s="308">
        <v>60543</v>
      </c>
      <c r="L20" s="230">
        <f t="shared" si="3"/>
        <v>0.26816822802471596</v>
      </c>
      <c r="M20" s="308">
        <f t="shared" si="4"/>
        <v>103058</v>
      </c>
      <c r="N20" s="230">
        <f t="shared" si="5"/>
        <v>0.45648351161606093</v>
      </c>
      <c r="O20" s="308">
        <v>8327</v>
      </c>
      <c r="P20" s="230">
        <f t="shared" si="6"/>
        <v>3.6883485039753729E-2</v>
      </c>
      <c r="Q20" s="308">
        <v>0</v>
      </c>
      <c r="R20" s="230">
        <f t="shared" si="7"/>
        <v>0</v>
      </c>
      <c r="S20" s="308">
        <f t="shared" si="8"/>
        <v>8327</v>
      </c>
      <c r="T20" s="230">
        <f t="shared" si="9"/>
        <v>3.6883485039753729E-2</v>
      </c>
      <c r="U20" s="308">
        <v>7394</v>
      </c>
      <c r="V20" s="230">
        <f t="shared" si="10"/>
        <v>3.2750869266715388E-2</v>
      </c>
      <c r="W20" s="308">
        <v>10474</v>
      </c>
      <c r="X20" s="230">
        <f t="shared" si="11"/>
        <v>4.6393373640732621E-2</v>
      </c>
      <c r="Y20" s="308">
        <v>9547</v>
      </c>
      <c r="Z20" s="230">
        <f t="shared" si="12"/>
        <v>4.2287334174916397E-2</v>
      </c>
      <c r="AA20" s="308">
        <v>15380</v>
      </c>
      <c r="AB20" s="230">
        <f t="shared" si="13"/>
        <v>6.8123934179345785E-2</v>
      </c>
      <c r="AC20" s="308">
        <f t="shared" si="14"/>
        <v>24927</v>
      </c>
      <c r="AD20" s="230">
        <f t="shared" si="15"/>
        <v>0.11041126835426218</v>
      </c>
      <c r="AE20" s="308">
        <v>27381</v>
      </c>
      <c r="AF20" s="230">
        <f t="shared" si="16"/>
        <v>0.12128097800810578</v>
      </c>
      <c r="AG20" s="308">
        <v>0</v>
      </c>
      <c r="AH20" s="230">
        <f t="shared" si="17"/>
        <v>0</v>
      </c>
      <c r="AI20" s="308">
        <v>29527</v>
      </c>
      <c r="AJ20" s="230">
        <f t="shared" si="18"/>
        <v>0.13078643722454764</v>
      </c>
      <c r="AK20" s="308">
        <v>14677</v>
      </c>
      <c r="AL20" s="230">
        <f t="shared" si="19"/>
        <v>6.5010076849821713E-2</v>
      </c>
    </row>
    <row r="21" spans="2:38" s="73" customFormat="1" ht="14.25" customHeight="1">
      <c r="B21" s="579">
        <f>D22+7</f>
        <v>46225</v>
      </c>
      <c r="C21" s="584"/>
      <c r="D21" s="170">
        <f t="shared" si="20"/>
        <v>46217</v>
      </c>
      <c r="E21" s="170" t="s">
        <v>118</v>
      </c>
      <c r="F21" s="321">
        <f t="shared" si="0"/>
        <v>215096</v>
      </c>
      <c r="G21" s="600">
        <f t="shared" ref="G21" si="21">SUM(F21:F27)</f>
        <v>1380106</v>
      </c>
      <c r="H21" s="598"/>
      <c r="I21" s="518">
        <v>46118</v>
      </c>
      <c r="J21" s="230">
        <f t="shared" si="2"/>
        <v>0.21440659054561684</v>
      </c>
      <c r="K21" s="308">
        <v>58009</v>
      </c>
      <c r="L21" s="230">
        <f t="shared" si="3"/>
        <v>0.26968888310335848</v>
      </c>
      <c r="M21" s="308">
        <f t="shared" si="4"/>
        <v>104127</v>
      </c>
      <c r="N21" s="230">
        <f t="shared" si="5"/>
        <v>0.48409547364897532</v>
      </c>
      <c r="O21" s="308">
        <v>8177</v>
      </c>
      <c r="P21" s="230">
        <f t="shared" si="6"/>
        <v>3.8015583739353591E-2</v>
      </c>
      <c r="Q21" s="308">
        <v>0</v>
      </c>
      <c r="R21" s="230">
        <f t="shared" si="7"/>
        <v>0</v>
      </c>
      <c r="S21" s="308">
        <f t="shared" si="8"/>
        <v>8177</v>
      </c>
      <c r="T21" s="230">
        <f t="shared" si="9"/>
        <v>3.8015583739353591E-2</v>
      </c>
      <c r="U21" s="308">
        <v>6132</v>
      </c>
      <c r="V21" s="230">
        <f t="shared" si="10"/>
        <v>2.8508200989325695E-2</v>
      </c>
      <c r="W21" s="308">
        <v>9893</v>
      </c>
      <c r="X21" s="230">
        <f t="shared" si="11"/>
        <v>4.5993416892922231E-2</v>
      </c>
      <c r="Y21" s="308">
        <v>8432</v>
      </c>
      <c r="Z21" s="230">
        <f t="shared" si="12"/>
        <v>3.9201100903782496E-2</v>
      </c>
      <c r="AA21" s="308">
        <v>12230</v>
      </c>
      <c r="AB21" s="230">
        <f t="shared" si="13"/>
        <v>5.6858333023394207E-2</v>
      </c>
      <c r="AC21" s="308">
        <f t="shared" si="14"/>
        <v>20662</v>
      </c>
      <c r="AD21" s="230">
        <f t="shared" si="15"/>
        <v>9.6059433927176696E-2</v>
      </c>
      <c r="AE21" s="308">
        <v>27053</v>
      </c>
      <c r="AF21" s="230">
        <f t="shared" si="16"/>
        <v>0.12577174842860861</v>
      </c>
      <c r="AG21" s="308">
        <v>0</v>
      </c>
      <c r="AH21" s="230">
        <f t="shared" si="17"/>
        <v>0</v>
      </c>
      <c r="AI21" s="308">
        <v>26200</v>
      </c>
      <c r="AJ21" s="230">
        <f t="shared" si="18"/>
        <v>0.12180607728642094</v>
      </c>
      <c r="AK21" s="308">
        <v>12852</v>
      </c>
      <c r="AL21" s="230">
        <f t="shared" si="19"/>
        <v>5.9750065087216871E-2</v>
      </c>
    </row>
    <row r="22" spans="2:38" s="73" customFormat="1" ht="14.25" customHeight="1">
      <c r="B22" s="580"/>
      <c r="C22" s="584"/>
      <c r="D22" s="170">
        <f t="shared" si="20"/>
        <v>46218</v>
      </c>
      <c r="E22" s="170" t="s">
        <v>112</v>
      </c>
      <c r="F22" s="321">
        <f t="shared" si="0"/>
        <v>202647</v>
      </c>
      <c r="G22" s="600"/>
      <c r="H22" s="598"/>
      <c r="I22" s="518">
        <v>42400</v>
      </c>
      <c r="J22" s="230">
        <f t="shared" si="2"/>
        <v>0.20923082996540782</v>
      </c>
      <c r="K22" s="308">
        <v>55338</v>
      </c>
      <c r="L22" s="230">
        <f t="shared" si="3"/>
        <v>0.27307584124117307</v>
      </c>
      <c r="M22" s="308">
        <f t="shared" si="4"/>
        <v>97738</v>
      </c>
      <c r="N22" s="230">
        <f t="shared" si="5"/>
        <v>0.48230667120658088</v>
      </c>
      <c r="O22" s="308">
        <v>8117</v>
      </c>
      <c r="P22" s="230">
        <f t="shared" si="6"/>
        <v>4.005487374597206E-2</v>
      </c>
      <c r="Q22" s="308">
        <v>0</v>
      </c>
      <c r="R22" s="230">
        <f t="shared" si="7"/>
        <v>0</v>
      </c>
      <c r="S22" s="308">
        <f t="shared" si="8"/>
        <v>8117</v>
      </c>
      <c r="T22" s="230">
        <f t="shared" si="9"/>
        <v>4.005487374597206E-2</v>
      </c>
      <c r="U22" s="308">
        <v>6495</v>
      </c>
      <c r="V22" s="230">
        <f t="shared" si="10"/>
        <v>3.2050807561918013E-2</v>
      </c>
      <c r="W22" s="308">
        <v>9352</v>
      </c>
      <c r="X22" s="230">
        <f t="shared" si="11"/>
        <v>4.614921513765316E-2</v>
      </c>
      <c r="Y22" s="308">
        <v>8421</v>
      </c>
      <c r="Z22" s="230">
        <f t="shared" si="12"/>
        <v>4.1555019319308946E-2</v>
      </c>
      <c r="AA22" s="308">
        <v>10853</v>
      </c>
      <c r="AB22" s="230">
        <f t="shared" si="13"/>
        <v>5.3556183906004036E-2</v>
      </c>
      <c r="AC22" s="308">
        <f t="shared" si="14"/>
        <v>19274</v>
      </c>
      <c r="AD22" s="230">
        <f t="shared" si="15"/>
        <v>9.5111203225312982E-2</v>
      </c>
      <c r="AE22" s="308">
        <v>24643</v>
      </c>
      <c r="AF22" s="230">
        <f t="shared" si="16"/>
        <v>0.12160555053862135</v>
      </c>
      <c r="AG22" s="308">
        <v>0</v>
      </c>
      <c r="AH22" s="230">
        <f t="shared" si="17"/>
        <v>0</v>
      </c>
      <c r="AI22" s="308">
        <v>24229</v>
      </c>
      <c r="AJ22" s="230">
        <f t="shared" si="18"/>
        <v>0.11956258913282704</v>
      </c>
      <c r="AK22" s="308">
        <v>12799</v>
      </c>
      <c r="AL22" s="230">
        <f t="shared" si="19"/>
        <v>6.3159089451114495E-2</v>
      </c>
    </row>
    <row r="23" spans="2:38" s="73" customFormat="1" ht="14.25" customHeight="1">
      <c r="B23" s="580"/>
      <c r="C23" s="584"/>
      <c r="D23" s="170">
        <f t="shared" si="20"/>
        <v>46219</v>
      </c>
      <c r="E23" s="170" t="s">
        <v>113</v>
      </c>
      <c r="F23" s="321">
        <f t="shared" si="0"/>
        <v>187259</v>
      </c>
      <c r="G23" s="600"/>
      <c r="H23" s="598"/>
      <c r="I23" s="518">
        <v>40442</v>
      </c>
      <c r="J23" s="230">
        <f t="shared" si="2"/>
        <v>0.21596825786744561</v>
      </c>
      <c r="K23" s="308">
        <v>49238</v>
      </c>
      <c r="L23" s="230">
        <f t="shared" si="3"/>
        <v>0.26294063302698401</v>
      </c>
      <c r="M23" s="308">
        <f t="shared" si="4"/>
        <v>89680</v>
      </c>
      <c r="N23" s="230">
        <f t="shared" si="5"/>
        <v>0.47890889089442962</v>
      </c>
      <c r="O23" s="308">
        <v>8000</v>
      </c>
      <c r="P23" s="230">
        <f t="shared" si="6"/>
        <v>4.2721578135096312E-2</v>
      </c>
      <c r="Q23" s="308">
        <v>0</v>
      </c>
      <c r="R23" s="230">
        <f t="shared" si="7"/>
        <v>0</v>
      </c>
      <c r="S23" s="308">
        <f t="shared" si="8"/>
        <v>8000</v>
      </c>
      <c r="T23" s="230">
        <f t="shared" si="9"/>
        <v>4.2721578135096312E-2</v>
      </c>
      <c r="U23" s="308">
        <v>6101</v>
      </c>
      <c r="V23" s="230">
        <f t="shared" si="10"/>
        <v>3.2580543525277825E-2</v>
      </c>
      <c r="W23" s="308">
        <v>9180</v>
      </c>
      <c r="X23" s="230">
        <f t="shared" si="11"/>
        <v>4.9023010910023014E-2</v>
      </c>
      <c r="Y23" s="308">
        <v>8287</v>
      </c>
      <c r="Z23" s="230">
        <f t="shared" si="12"/>
        <v>4.425421475069289E-2</v>
      </c>
      <c r="AA23" s="308">
        <v>8851</v>
      </c>
      <c r="AB23" s="230">
        <f t="shared" si="13"/>
        <v>4.7266086009217181E-2</v>
      </c>
      <c r="AC23" s="308">
        <f t="shared" si="14"/>
        <v>17138</v>
      </c>
      <c r="AD23" s="230">
        <f t="shared" si="15"/>
        <v>9.1520300759910064E-2</v>
      </c>
      <c r="AE23" s="308">
        <v>21695</v>
      </c>
      <c r="AF23" s="230">
        <f t="shared" si="16"/>
        <v>0.1158555797051143</v>
      </c>
      <c r="AG23" s="308">
        <v>0</v>
      </c>
      <c r="AH23" s="230">
        <f t="shared" si="17"/>
        <v>0</v>
      </c>
      <c r="AI23" s="308">
        <v>23730</v>
      </c>
      <c r="AJ23" s="230">
        <f t="shared" si="18"/>
        <v>0.12672288114322944</v>
      </c>
      <c r="AK23" s="308">
        <v>11735</v>
      </c>
      <c r="AL23" s="230">
        <f t="shared" si="19"/>
        <v>6.2667214926919401E-2</v>
      </c>
    </row>
    <row r="24" spans="2:38" s="73" customFormat="1" ht="14.25" customHeight="1">
      <c r="B24" s="580"/>
      <c r="C24" s="584"/>
      <c r="D24" s="170">
        <f t="shared" si="20"/>
        <v>46220</v>
      </c>
      <c r="E24" s="170" t="s">
        <v>114</v>
      </c>
      <c r="F24" s="321">
        <f t="shared" si="0"/>
        <v>164894</v>
      </c>
      <c r="G24" s="600"/>
      <c r="H24" s="598"/>
      <c r="I24" s="518">
        <v>31950</v>
      </c>
      <c r="J24" s="230">
        <f t="shared" si="2"/>
        <v>0.19376084029740318</v>
      </c>
      <c r="K24" s="308">
        <v>45113</v>
      </c>
      <c r="L24" s="230">
        <f t="shared" si="3"/>
        <v>0.27358788069911577</v>
      </c>
      <c r="M24" s="308">
        <f t="shared" si="4"/>
        <v>77063</v>
      </c>
      <c r="N24" s="230">
        <f t="shared" si="5"/>
        <v>0.46734872099651897</v>
      </c>
      <c r="O24" s="308">
        <v>6404</v>
      </c>
      <c r="P24" s="230">
        <f t="shared" si="6"/>
        <v>3.8837071088092957E-2</v>
      </c>
      <c r="Q24" s="308">
        <v>0</v>
      </c>
      <c r="R24" s="230">
        <f t="shared" si="7"/>
        <v>0</v>
      </c>
      <c r="S24" s="308">
        <f t="shared" si="8"/>
        <v>6404</v>
      </c>
      <c r="T24" s="230">
        <f t="shared" si="9"/>
        <v>3.8837071088092957E-2</v>
      </c>
      <c r="U24" s="308">
        <v>5471</v>
      </c>
      <c r="V24" s="230">
        <f t="shared" si="10"/>
        <v>3.3178890681286162E-2</v>
      </c>
      <c r="W24" s="308">
        <v>7226</v>
      </c>
      <c r="X24" s="230">
        <f t="shared" si="11"/>
        <v>4.3822091768044927E-2</v>
      </c>
      <c r="Y24" s="308">
        <v>8672</v>
      </c>
      <c r="Z24" s="230">
        <f t="shared" si="12"/>
        <v>5.2591361723288904E-2</v>
      </c>
      <c r="AA24" s="308">
        <v>8742</v>
      </c>
      <c r="AB24" s="230">
        <f t="shared" si="13"/>
        <v>5.3015876866350502E-2</v>
      </c>
      <c r="AC24" s="308">
        <f t="shared" si="14"/>
        <v>17414</v>
      </c>
      <c r="AD24" s="230">
        <f t="shared" si="15"/>
        <v>0.1056072385896394</v>
      </c>
      <c r="AE24" s="308">
        <v>16349</v>
      </c>
      <c r="AF24" s="230">
        <f t="shared" si="16"/>
        <v>9.91485439130593E-2</v>
      </c>
      <c r="AG24" s="308">
        <v>0</v>
      </c>
      <c r="AH24" s="230">
        <f t="shared" si="17"/>
        <v>0</v>
      </c>
      <c r="AI24" s="308">
        <v>25122</v>
      </c>
      <c r="AJ24" s="230">
        <f t="shared" si="18"/>
        <v>0.15235242034276567</v>
      </c>
      <c r="AK24" s="308">
        <v>9845</v>
      </c>
      <c r="AL24" s="230">
        <f t="shared" si="19"/>
        <v>5.9705022620592622E-2</v>
      </c>
    </row>
    <row r="25" spans="2:38" s="73" customFormat="1" ht="14.25" customHeight="1">
      <c r="B25" s="580"/>
      <c r="C25" s="584"/>
      <c r="D25" s="170">
        <f t="shared" si="20"/>
        <v>46221</v>
      </c>
      <c r="E25" s="170" t="s">
        <v>115</v>
      </c>
      <c r="F25" s="321">
        <f t="shared" si="0"/>
        <v>172065</v>
      </c>
      <c r="G25" s="600"/>
      <c r="H25" s="598"/>
      <c r="I25" s="518">
        <v>30761</v>
      </c>
      <c r="J25" s="230">
        <f t="shared" si="2"/>
        <v>0.17877546276116585</v>
      </c>
      <c r="K25" s="308">
        <v>52335</v>
      </c>
      <c r="L25" s="230">
        <f t="shared" si="3"/>
        <v>0.30415831226571355</v>
      </c>
      <c r="M25" s="308">
        <f t="shared" si="4"/>
        <v>83096</v>
      </c>
      <c r="N25" s="230">
        <f t="shared" si="5"/>
        <v>0.4829337750268794</v>
      </c>
      <c r="O25" s="308">
        <v>6060</v>
      </c>
      <c r="P25" s="230">
        <f t="shared" si="6"/>
        <v>3.5219248539796008E-2</v>
      </c>
      <c r="Q25" s="308">
        <v>0</v>
      </c>
      <c r="R25" s="230">
        <f t="shared" si="7"/>
        <v>0</v>
      </c>
      <c r="S25" s="308">
        <f t="shared" si="8"/>
        <v>6060</v>
      </c>
      <c r="T25" s="230">
        <f t="shared" si="9"/>
        <v>3.5219248539796008E-2</v>
      </c>
      <c r="U25" s="308">
        <v>5490</v>
      </c>
      <c r="V25" s="230">
        <f t="shared" si="10"/>
        <v>3.1906546944468657E-2</v>
      </c>
      <c r="W25" s="308">
        <v>7572</v>
      </c>
      <c r="X25" s="230">
        <f t="shared" si="11"/>
        <v>4.4006625403190655E-2</v>
      </c>
      <c r="Y25" s="308">
        <v>7970</v>
      </c>
      <c r="Z25" s="230">
        <f t="shared" si="12"/>
        <v>4.631970476273501E-2</v>
      </c>
      <c r="AA25" s="308">
        <v>10156</v>
      </c>
      <c r="AB25" s="230">
        <f t="shared" si="13"/>
        <v>5.902420596867463E-2</v>
      </c>
      <c r="AC25" s="308">
        <f t="shared" si="14"/>
        <v>18126</v>
      </c>
      <c r="AD25" s="230">
        <f t="shared" si="15"/>
        <v>0.10534391073140964</v>
      </c>
      <c r="AE25" s="308">
        <v>17475</v>
      </c>
      <c r="AF25" s="230">
        <f t="shared" si="16"/>
        <v>0.10156045680411473</v>
      </c>
      <c r="AG25" s="308">
        <v>0</v>
      </c>
      <c r="AH25" s="230">
        <f t="shared" si="17"/>
        <v>0</v>
      </c>
      <c r="AI25" s="308">
        <v>23949</v>
      </c>
      <c r="AJ25" s="230">
        <f t="shared" si="18"/>
        <v>0.13918577281841166</v>
      </c>
      <c r="AK25" s="308">
        <v>10297</v>
      </c>
      <c r="AL25" s="230">
        <f t="shared" si="19"/>
        <v>5.9843663731729287E-2</v>
      </c>
    </row>
    <row r="26" spans="2:38" s="73" customFormat="1" ht="14.25" customHeight="1">
      <c r="B26" s="580"/>
      <c r="C26" s="584"/>
      <c r="D26" s="170">
        <f t="shared" si="20"/>
        <v>46222</v>
      </c>
      <c r="E26" s="170" t="s">
        <v>116</v>
      </c>
      <c r="F26" s="321">
        <f t="shared" si="0"/>
        <v>222011</v>
      </c>
      <c r="G26" s="600"/>
      <c r="H26" s="598"/>
      <c r="I26" s="518">
        <v>44457</v>
      </c>
      <c r="J26" s="230">
        <f t="shared" si="2"/>
        <v>0.2002468346163028</v>
      </c>
      <c r="K26" s="308">
        <v>60136</v>
      </c>
      <c r="L26" s="230">
        <f t="shared" si="3"/>
        <v>0.27086946142308266</v>
      </c>
      <c r="M26" s="308">
        <f t="shared" si="4"/>
        <v>104593</v>
      </c>
      <c r="N26" s="230">
        <f t="shared" si="5"/>
        <v>0.47111629603938543</v>
      </c>
      <c r="O26" s="308">
        <v>8474</v>
      </c>
      <c r="P26" s="230">
        <f t="shared" si="6"/>
        <v>3.8169279900545472E-2</v>
      </c>
      <c r="Q26" s="308">
        <v>0</v>
      </c>
      <c r="R26" s="230">
        <f t="shared" si="7"/>
        <v>0</v>
      </c>
      <c r="S26" s="308">
        <f t="shared" si="8"/>
        <v>8474</v>
      </c>
      <c r="T26" s="230">
        <f t="shared" si="9"/>
        <v>3.8169279900545472E-2</v>
      </c>
      <c r="U26" s="308">
        <v>7356</v>
      </c>
      <c r="V26" s="230">
        <f t="shared" si="10"/>
        <v>3.3133493385462884E-2</v>
      </c>
      <c r="W26" s="308">
        <v>9545</v>
      </c>
      <c r="X26" s="230">
        <f t="shared" si="11"/>
        <v>4.2993365193616531E-2</v>
      </c>
      <c r="Y26" s="308">
        <v>9774</v>
      </c>
      <c r="Z26" s="230">
        <f t="shared" si="12"/>
        <v>4.4024845615757778E-2</v>
      </c>
      <c r="AA26" s="308">
        <v>11627</v>
      </c>
      <c r="AB26" s="230">
        <f t="shared" si="13"/>
        <v>5.2371278900595016E-2</v>
      </c>
      <c r="AC26" s="308">
        <f t="shared" si="14"/>
        <v>21401</v>
      </c>
      <c r="AD26" s="230">
        <f t="shared" si="15"/>
        <v>9.6396124516352794E-2</v>
      </c>
      <c r="AE26" s="308">
        <v>30057</v>
      </c>
      <c r="AF26" s="230">
        <f t="shared" si="16"/>
        <v>0.13538518361702798</v>
      </c>
      <c r="AG26" s="308">
        <v>0</v>
      </c>
      <c r="AH26" s="230">
        <f t="shared" si="17"/>
        <v>0</v>
      </c>
      <c r="AI26" s="308">
        <v>28393</v>
      </c>
      <c r="AJ26" s="230">
        <f t="shared" si="18"/>
        <v>0.12789005950155624</v>
      </c>
      <c r="AK26" s="308">
        <v>12192</v>
      </c>
      <c r="AL26" s="230">
        <f t="shared" si="19"/>
        <v>5.4916197846052672E-2</v>
      </c>
    </row>
    <row r="27" spans="2:38" s="73" customFormat="1" ht="14.25" customHeight="1">
      <c r="B27" s="581"/>
      <c r="C27" s="584"/>
      <c r="D27" s="170">
        <f t="shared" si="20"/>
        <v>46223</v>
      </c>
      <c r="E27" s="170" t="s">
        <v>117</v>
      </c>
      <c r="F27" s="321">
        <f t="shared" si="0"/>
        <v>216134</v>
      </c>
      <c r="G27" s="600"/>
      <c r="H27" s="598"/>
      <c r="I27" s="518">
        <v>43906</v>
      </c>
      <c r="J27" s="230">
        <f t="shared" si="2"/>
        <v>0.20314249493369854</v>
      </c>
      <c r="K27" s="308">
        <v>59449</v>
      </c>
      <c r="L27" s="230">
        <f t="shared" si="3"/>
        <v>0.27505621512580158</v>
      </c>
      <c r="M27" s="308">
        <f t="shared" si="4"/>
        <v>103355</v>
      </c>
      <c r="N27" s="230">
        <f t="shared" si="5"/>
        <v>0.4781987100595001</v>
      </c>
      <c r="O27" s="308">
        <v>8388</v>
      </c>
      <c r="P27" s="230">
        <f t="shared" si="6"/>
        <v>3.880925722005793E-2</v>
      </c>
      <c r="Q27" s="308">
        <v>0</v>
      </c>
      <c r="R27" s="230">
        <f t="shared" si="7"/>
        <v>0</v>
      </c>
      <c r="S27" s="308">
        <f t="shared" si="8"/>
        <v>8388</v>
      </c>
      <c r="T27" s="230">
        <f t="shared" si="9"/>
        <v>3.880925722005793E-2</v>
      </c>
      <c r="U27" s="308">
        <v>6607</v>
      </c>
      <c r="V27" s="230">
        <f t="shared" si="10"/>
        <v>3.0568998861817204E-2</v>
      </c>
      <c r="W27" s="308">
        <v>11058</v>
      </c>
      <c r="X27" s="230">
        <f t="shared" si="11"/>
        <v>5.1162704618431157E-2</v>
      </c>
      <c r="Y27" s="308">
        <v>9308</v>
      </c>
      <c r="Z27" s="230">
        <f t="shared" si="12"/>
        <v>4.3065875799272672E-2</v>
      </c>
      <c r="AA27" s="308">
        <v>10949</v>
      </c>
      <c r="AB27" s="230">
        <f t="shared" si="13"/>
        <v>5.0658387851980714E-2</v>
      </c>
      <c r="AC27" s="308">
        <f t="shared" si="14"/>
        <v>20257</v>
      </c>
      <c r="AD27" s="230">
        <f t="shared" si="15"/>
        <v>9.3724263651253387E-2</v>
      </c>
      <c r="AE27" s="308">
        <v>25985</v>
      </c>
      <c r="AF27" s="230">
        <f t="shared" si="16"/>
        <v>0.12022634106619041</v>
      </c>
      <c r="AG27" s="308">
        <v>0</v>
      </c>
      <c r="AH27" s="230">
        <f t="shared" si="17"/>
        <v>0</v>
      </c>
      <c r="AI27" s="308">
        <v>27080</v>
      </c>
      <c r="AJ27" s="230">
        <f t="shared" si="18"/>
        <v>0.125292642527321</v>
      </c>
      <c r="AK27" s="308">
        <v>13404</v>
      </c>
      <c r="AL27" s="230">
        <f t="shared" si="19"/>
        <v>6.2017081995428762E-2</v>
      </c>
    </row>
    <row r="28" spans="2:38" s="73" customFormat="1" ht="14.25" customHeight="1">
      <c r="B28" s="579">
        <f>D29+7</f>
        <v>46232</v>
      </c>
      <c r="C28" s="584"/>
      <c r="D28" s="170">
        <f t="shared" si="20"/>
        <v>46224</v>
      </c>
      <c r="E28" s="170" t="s">
        <v>118</v>
      </c>
      <c r="F28" s="321">
        <f t="shared" si="0"/>
        <v>222814</v>
      </c>
      <c r="G28" s="600">
        <f t="shared" ref="G28" si="22">SUM(F28:F34)</f>
        <v>1410513</v>
      </c>
      <c r="H28" s="598"/>
      <c r="I28" s="308">
        <v>48318</v>
      </c>
      <c r="J28" s="230">
        <f t="shared" si="2"/>
        <v>0.21685351907869344</v>
      </c>
      <c r="K28" s="308">
        <v>58295</v>
      </c>
      <c r="L28" s="230">
        <f t="shared" si="3"/>
        <v>0.26163077724020933</v>
      </c>
      <c r="M28" s="308">
        <f t="shared" si="4"/>
        <v>106613</v>
      </c>
      <c r="N28" s="230">
        <f t="shared" si="5"/>
        <v>0.47848429631890277</v>
      </c>
      <c r="O28" s="308">
        <v>13004</v>
      </c>
      <c r="P28" s="230">
        <f t="shared" si="6"/>
        <v>5.8362580448266269E-2</v>
      </c>
      <c r="Q28" s="308">
        <v>0</v>
      </c>
      <c r="R28" s="230">
        <f t="shared" si="7"/>
        <v>0</v>
      </c>
      <c r="S28" s="308">
        <f t="shared" si="8"/>
        <v>13004</v>
      </c>
      <c r="T28" s="230">
        <f t="shared" si="9"/>
        <v>5.8362580448266269E-2</v>
      </c>
      <c r="U28" s="308">
        <v>5851</v>
      </c>
      <c r="V28" s="230">
        <f t="shared" si="10"/>
        <v>2.6259570763057977E-2</v>
      </c>
      <c r="W28" s="308">
        <v>9252</v>
      </c>
      <c r="X28" s="230">
        <f t="shared" si="11"/>
        <v>4.15234231242202E-2</v>
      </c>
      <c r="Y28" s="308">
        <v>8272</v>
      </c>
      <c r="Z28" s="230">
        <f t="shared" si="12"/>
        <v>3.7125135763461901E-2</v>
      </c>
      <c r="AA28" s="308">
        <v>11190</v>
      </c>
      <c r="AB28" s="230">
        <f t="shared" si="13"/>
        <v>5.0221260782536109E-2</v>
      </c>
      <c r="AC28" s="308">
        <f t="shared" si="14"/>
        <v>19462</v>
      </c>
      <c r="AD28" s="230">
        <f t="shared" si="15"/>
        <v>8.7346396545998004E-2</v>
      </c>
      <c r="AE28" s="308">
        <v>24816</v>
      </c>
      <c r="AF28" s="230">
        <f t="shared" si="16"/>
        <v>0.1113754072903857</v>
      </c>
      <c r="AG28" s="308">
        <v>0</v>
      </c>
      <c r="AH28" s="230">
        <f t="shared" si="17"/>
        <v>0</v>
      </c>
      <c r="AI28" s="308">
        <v>31165</v>
      </c>
      <c r="AJ28" s="230">
        <f t="shared" si="18"/>
        <v>0.13987002612044128</v>
      </c>
      <c r="AK28" s="308">
        <v>12651</v>
      </c>
      <c r="AL28" s="230">
        <f t="shared" si="19"/>
        <v>5.6778299388727818E-2</v>
      </c>
    </row>
    <row r="29" spans="2:38" s="73" customFormat="1" ht="14.25" customHeight="1">
      <c r="B29" s="580"/>
      <c r="C29" s="584"/>
      <c r="D29" s="170">
        <f t="shared" si="20"/>
        <v>46225</v>
      </c>
      <c r="E29" s="170" t="s">
        <v>112</v>
      </c>
      <c r="F29" s="321">
        <f t="shared" si="0"/>
        <v>209827</v>
      </c>
      <c r="G29" s="600"/>
      <c r="H29" s="598"/>
      <c r="I29" s="308">
        <v>45797</v>
      </c>
      <c r="J29" s="230">
        <f t="shared" si="2"/>
        <v>0.21826075767179628</v>
      </c>
      <c r="K29" s="308">
        <v>54979</v>
      </c>
      <c r="L29" s="230">
        <f t="shared" si="3"/>
        <v>0.26202061698446816</v>
      </c>
      <c r="M29" s="308">
        <f t="shared" si="4"/>
        <v>100776</v>
      </c>
      <c r="N29" s="230">
        <f t="shared" si="5"/>
        <v>0.48028137465626447</v>
      </c>
      <c r="O29" s="308">
        <v>11302</v>
      </c>
      <c r="P29" s="230">
        <f t="shared" si="6"/>
        <v>5.3863420818102532E-2</v>
      </c>
      <c r="Q29" s="308">
        <v>0</v>
      </c>
      <c r="R29" s="230">
        <f t="shared" si="7"/>
        <v>0</v>
      </c>
      <c r="S29" s="308">
        <f t="shared" si="8"/>
        <v>11302</v>
      </c>
      <c r="T29" s="230">
        <f t="shared" si="9"/>
        <v>5.3863420818102532E-2</v>
      </c>
      <c r="U29" s="308">
        <v>5895</v>
      </c>
      <c r="V29" s="230">
        <f t="shared" si="10"/>
        <v>2.8094573148355551E-2</v>
      </c>
      <c r="W29" s="308">
        <v>9130</v>
      </c>
      <c r="X29" s="230">
        <f t="shared" si="11"/>
        <v>4.351203610593489E-2</v>
      </c>
      <c r="Y29" s="308">
        <v>8374</v>
      </c>
      <c r="Z29" s="230">
        <f t="shared" si="12"/>
        <v>3.9909067946451125E-2</v>
      </c>
      <c r="AA29" s="308">
        <v>10593</v>
      </c>
      <c r="AB29" s="230">
        <f t="shared" si="13"/>
        <v>5.0484446710861802E-2</v>
      </c>
      <c r="AC29" s="308">
        <f t="shared" si="14"/>
        <v>18967</v>
      </c>
      <c r="AD29" s="230">
        <f t="shared" si="15"/>
        <v>9.0393514657312934E-2</v>
      </c>
      <c r="AE29" s="308">
        <v>22839</v>
      </c>
      <c r="AF29" s="230">
        <f t="shared" si="16"/>
        <v>0.10884681189742025</v>
      </c>
      <c r="AG29" s="308">
        <v>0</v>
      </c>
      <c r="AH29" s="230">
        <f t="shared" si="17"/>
        <v>0</v>
      </c>
      <c r="AI29" s="308">
        <v>28684</v>
      </c>
      <c r="AJ29" s="230">
        <f t="shared" si="18"/>
        <v>0.1367030935008364</v>
      </c>
      <c r="AK29" s="308">
        <v>12234</v>
      </c>
      <c r="AL29" s="230">
        <f t="shared" si="19"/>
        <v>5.8305175215772991E-2</v>
      </c>
    </row>
    <row r="30" spans="2:38" s="73" customFormat="1" ht="14.25" customHeight="1">
      <c r="B30" s="580"/>
      <c r="C30" s="584"/>
      <c r="D30" s="170">
        <f t="shared" si="20"/>
        <v>46226</v>
      </c>
      <c r="E30" s="170" t="s">
        <v>113</v>
      </c>
      <c r="F30" s="321">
        <f t="shared" si="0"/>
        <v>194256</v>
      </c>
      <c r="G30" s="600"/>
      <c r="H30" s="598"/>
      <c r="I30" s="308">
        <v>44198</v>
      </c>
      <c r="J30" s="230">
        <f t="shared" si="2"/>
        <v>0.227524503747632</v>
      </c>
      <c r="K30" s="308">
        <v>49203</v>
      </c>
      <c r="L30" s="230">
        <f t="shared" si="3"/>
        <v>0.25328947368421051</v>
      </c>
      <c r="M30" s="308">
        <f t="shared" si="4"/>
        <v>93401</v>
      </c>
      <c r="N30" s="230">
        <f t="shared" si="5"/>
        <v>0.48081397743184251</v>
      </c>
      <c r="O30" s="308">
        <v>10956</v>
      </c>
      <c r="P30" s="230">
        <f t="shared" si="6"/>
        <v>5.6399802322708179E-2</v>
      </c>
      <c r="Q30" s="308">
        <v>0</v>
      </c>
      <c r="R30" s="230">
        <f t="shared" si="7"/>
        <v>0</v>
      </c>
      <c r="S30" s="308">
        <f t="shared" si="8"/>
        <v>10956</v>
      </c>
      <c r="T30" s="230">
        <f t="shared" si="9"/>
        <v>5.6399802322708179E-2</v>
      </c>
      <c r="U30" s="308">
        <v>5230</v>
      </c>
      <c r="V30" s="230">
        <f t="shared" si="10"/>
        <v>2.6923235318342804E-2</v>
      </c>
      <c r="W30" s="308">
        <v>9126</v>
      </c>
      <c r="X30" s="230">
        <f t="shared" si="11"/>
        <v>4.6979243884358785E-2</v>
      </c>
      <c r="Y30" s="308">
        <v>6893</v>
      </c>
      <c r="Z30" s="230">
        <f t="shared" si="12"/>
        <v>3.548410345111605E-2</v>
      </c>
      <c r="AA30" s="308">
        <v>9006</v>
      </c>
      <c r="AB30" s="230">
        <f t="shared" si="13"/>
        <v>4.6361502347417843E-2</v>
      </c>
      <c r="AC30" s="308">
        <f t="shared" si="14"/>
        <v>15899</v>
      </c>
      <c r="AD30" s="230">
        <f t="shared" si="15"/>
        <v>8.1845605798533894E-2</v>
      </c>
      <c r="AE30" s="308">
        <v>20405</v>
      </c>
      <c r="AF30" s="230">
        <f t="shared" si="16"/>
        <v>0.10504180051066633</v>
      </c>
      <c r="AG30" s="308">
        <v>0</v>
      </c>
      <c r="AH30" s="230">
        <f t="shared" si="17"/>
        <v>0</v>
      </c>
      <c r="AI30" s="308">
        <v>27530</v>
      </c>
      <c r="AJ30" s="230">
        <f t="shared" si="18"/>
        <v>0.14172020426653489</v>
      </c>
      <c r="AK30" s="308">
        <v>11709</v>
      </c>
      <c r="AL30" s="230">
        <f t="shared" si="19"/>
        <v>6.0276130467012599E-2</v>
      </c>
    </row>
    <row r="31" spans="2:38" s="73" customFormat="1" ht="14.25" customHeight="1">
      <c r="B31" s="580"/>
      <c r="C31" s="584"/>
      <c r="D31" s="170">
        <f t="shared" si="20"/>
        <v>46227</v>
      </c>
      <c r="E31" s="170" t="s">
        <v>114</v>
      </c>
      <c r="F31" s="321">
        <f t="shared" si="0"/>
        <v>164279</v>
      </c>
      <c r="G31" s="600"/>
      <c r="H31" s="598"/>
      <c r="I31" s="308">
        <v>34188</v>
      </c>
      <c r="J31" s="230">
        <f t="shared" si="2"/>
        <v>0.20810937490488743</v>
      </c>
      <c r="K31" s="308">
        <v>44456</v>
      </c>
      <c r="L31" s="230">
        <f t="shared" si="3"/>
        <v>0.27061279895787044</v>
      </c>
      <c r="M31" s="308">
        <f t="shared" si="4"/>
        <v>78644</v>
      </c>
      <c r="N31" s="230">
        <f t="shared" si="5"/>
        <v>0.47872217386275789</v>
      </c>
      <c r="O31" s="308">
        <v>9930</v>
      </c>
      <c r="P31" s="230">
        <f t="shared" si="6"/>
        <v>6.0445948660510472E-2</v>
      </c>
      <c r="Q31" s="308">
        <v>0</v>
      </c>
      <c r="R31" s="230">
        <f t="shared" si="7"/>
        <v>0</v>
      </c>
      <c r="S31" s="308">
        <f t="shared" si="8"/>
        <v>9930</v>
      </c>
      <c r="T31" s="230">
        <f t="shared" si="9"/>
        <v>6.0445948660510472E-2</v>
      </c>
      <c r="U31" s="308">
        <v>4480</v>
      </c>
      <c r="V31" s="230">
        <f t="shared" si="10"/>
        <v>2.7270679758216204E-2</v>
      </c>
      <c r="W31" s="308">
        <v>6823</v>
      </c>
      <c r="X31" s="230">
        <f t="shared" si="11"/>
        <v>4.1533001783551154E-2</v>
      </c>
      <c r="Y31" s="308">
        <v>6446</v>
      </c>
      <c r="Z31" s="230">
        <f t="shared" si="12"/>
        <v>3.9238125384254835E-2</v>
      </c>
      <c r="AA31" s="308">
        <v>7991</v>
      </c>
      <c r="AB31" s="230">
        <f t="shared" si="13"/>
        <v>4.8642857577657524E-2</v>
      </c>
      <c r="AC31" s="308">
        <f t="shared" si="14"/>
        <v>14437</v>
      </c>
      <c r="AD31" s="230">
        <f t="shared" si="15"/>
        <v>8.7880982961912352E-2</v>
      </c>
      <c r="AE31" s="308">
        <v>16424</v>
      </c>
      <c r="AF31" s="230">
        <f t="shared" si="16"/>
        <v>9.9976259899317618E-2</v>
      </c>
      <c r="AG31" s="308">
        <v>0</v>
      </c>
      <c r="AH31" s="230">
        <f t="shared" si="17"/>
        <v>0</v>
      </c>
      <c r="AI31" s="308">
        <v>23600</v>
      </c>
      <c r="AJ31" s="230">
        <f t="shared" si="18"/>
        <v>0.14365804515488895</v>
      </c>
      <c r="AK31" s="308">
        <v>9941</v>
      </c>
      <c r="AL31" s="230">
        <f t="shared" si="19"/>
        <v>6.0512907918845379E-2</v>
      </c>
    </row>
    <row r="32" spans="2:38" s="73" customFormat="1" ht="14.25" customHeight="1">
      <c r="B32" s="580"/>
      <c r="C32" s="584"/>
      <c r="D32" s="170">
        <f t="shared" si="20"/>
        <v>46228</v>
      </c>
      <c r="E32" s="170" t="s">
        <v>115</v>
      </c>
      <c r="F32" s="321">
        <f t="shared" si="0"/>
        <v>175112</v>
      </c>
      <c r="G32" s="600"/>
      <c r="H32" s="598"/>
      <c r="I32" s="308">
        <v>33220</v>
      </c>
      <c r="J32" s="230">
        <f t="shared" si="2"/>
        <v>0.18970715884690942</v>
      </c>
      <c r="K32" s="308">
        <v>53246</v>
      </c>
      <c r="L32" s="230">
        <f t="shared" si="3"/>
        <v>0.30406825346064231</v>
      </c>
      <c r="M32" s="308">
        <f t="shared" si="4"/>
        <v>86466</v>
      </c>
      <c r="N32" s="230">
        <f t="shared" si="5"/>
        <v>0.49377541230755173</v>
      </c>
      <c r="O32" s="308">
        <v>9546</v>
      </c>
      <c r="P32" s="230">
        <f t="shared" si="6"/>
        <v>5.4513682671661567E-2</v>
      </c>
      <c r="Q32" s="308">
        <v>0</v>
      </c>
      <c r="R32" s="230">
        <f t="shared" si="7"/>
        <v>0</v>
      </c>
      <c r="S32" s="308">
        <f t="shared" si="8"/>
        <v>9546</v>
      </c>
      <c r="T32" s="230">
        <f t="shared" si="9"/>
        <v>5.4513682671661567E-2</v>
      </c>
      <c r="U32" s="308">
        <v>4733</v>
      </c>
      <c r="V32" s="230">
        <f t="shared" si="10"/>
        <v>2.7028416099410663E-2</v>
      </c>
      <c r="W32" s="308">
        <v>6781</v>
      </c>
      <c r="X32" s="230">
        <f t="shared" si="11"/>
        <v>3.8723788204120792E-2</v>
      </c>
      <c r="Y32" s="308">
        <v>6701</v>
      </c>
      <c r="Z32" s="230">
        <f t="shared" si="12"/>
        <v>3.8266937731280551E-2</v>
      </c>
      <c r="AA32" s="308">
        <v>9758</v>
      </c>
      <c r="AB32" s="230">
        <f t="shared" si="13"/>
        <v>5.5724336424688201E-2</v>
      </c>
      <c r="AC32" s="308">
        <f t="shared" si="14"/>
        <v>16459</v>
      </c>
      <c r="AD32" s="230">
        <f t="shared" si="15"/>
        <v>9.3991274155968751E-2</v>
      </c>
      <c r="AE32" s="308">
        <v>16572</v>
      </c>
      <c r="AF32" s="230">
        <f t="shared" si="16"/>
        <v>9.4636575448855592E-2</v>
      </c>
      <c r="AG32" s="308">
        <v>0</v>
      </c>
      <c r="AH32" s="230">
        <f t="shared" si="17"/>
        <v>0</v>
      </c>
      <c r="AI32" s="308">
        <v>24869</v>
      </c>
      <c r="AJ32" s="230">
        <f t="shared" si="18"/>
        <v>0.14201768011329891</v>
      </c>
      <c r="AK32" s="308">
        <v>9686</v>
      </c>
      <c r="AL32" s="230">
        <f t="shared" si="19"/>
        <v>5.5313170999131987E-2</v>
      </c>
    </row>
    <row r="33" spans="2:38" s="73" customFormat="1" ht="14.25" customHeight="1">
      <c r="B33" s="580"/>
      <c r="C33" s="584"/>
      <c r="D33" s="170">
        <f t="shared" si="20"/>
        <v>46229</v>
      </c>
      <c r="E33" s="170" t="s">
        <v>116</v>
      </c>
      <c r="F33" s="321">
        <f t="shared" si="0"/>
        <v>225956</v>
      </c>
      <c r="G33" s="600"/>
      <c r="H33" s="598"/>
      <c r="I33" s="308">
        <v>47687</v>
      </c>
      <c r="J33" s="230">
        <f t="shared" si="2"/>
        <v>0.21104551328577245</v>
      </c>
      <c r="K33" s="308">
        <v>60174</v>
      </c>
      <c r="L33" s="230">
        <f t="shared" si="3"/>
        <v>0.26630848483775604</v>
      </c>
      <c r="M33" s="308">
        <f t="shared" si="4"/>
        <v>107861</v>
      </c>
      <c r="N33" s="230">
        <f t="shared" si="5"/>
        <v>0.47735399812352847</v>
      </c>
      <c r="O33" s="308">
        <v>12518</v>
      </c>
      <c r="P33" s="230">
        <f t="shared" si="6"/>
        <v>5.5400166404078667E-2</v>
      </c>
      <c r="Q33" s="308">
        <v>0</v>
      </c>
      <c r="R33" s="230">
        <f t="shared" si="7"/>
        <v>0</v>
      </c>
      <c r="S33" s="308">
        <f t="shared" si="8"/>
        <v>12518</v>
      </c>
      <c r="T33" s="230">
        <f t="shared" si="9"/>
        <v>5.5400166404078667E-2</v>
      </c>
      <c r="U33" s="308">
        <v>5781</v>
      </c>
      <c r="V33" s="230">
        <f t="shared" si="10"/>
        <v>2.5584627095540723E-2</v>
      </c>
      <c r="W33" s="308">
        <v>9338</v>
      </c>
      <c r="X33" s="230">
        <f t="shared" si="11"/>
        <v>4.1326629963355697E-2</v>
      </c>
      <c r="Y33" s="308">
        <v>8273</v>
      </c>
      <c r="Z33" s="230">
        <f t="shared" si="12"/>
        <v>3.6613322947830554E-2</v>
      </c>
      <c r="AA33" s="308">
        <v>11559</v>
      </c>
      <c r="AB33" s="230">
        <f t="shared" si="13"/>
        <v>5.1155977269910953E-2</v>
      </c>
      <c r="AC33" s="308">
        <f t="shared" si="14"/>
        <v>19832</v>
      </c>
      <c r="AD33" s="230">
        <f t="shared" si="15"/>
        <v>8.7769300217741514E-2</v>
      </c>
      <c r="AE33" s="308">
        <v>29209</v>
      </c>
      <c r="AF33" s="230">
        <f t="shared" si="16"/>
        <v>0.12926853015631362</v>
      </c>
      <c r="AG33" s="308">
        <v>0</v>
      </c>
      <c r="AH33" s="230">
        <f t="shared" si="17"/>
        <v>0</v>
      </c>
      <c r="AI33" s="308">
        <v>29782</v>
      </c>
      <c r="AJ33" s="230">
        <f t="shared" si="18"/>
        <v>0.13180442209987786</v>
      </c>
      <c r="AK33" s="308">
        <v>11635</v>
      </c>
      <c r="AL33" s="230">
        <f t="shared" si="19"/>
        <v>5.1492325939563453E-2</v>
      </c>
    </row>
    <row r="34" spans="2:38" s="73" customFormat="1" ht="14.25" customHeight="1">
      <c r="B34" s="581"/>
      <c r="C34" s="584"/>
      <c r="D34" s="170">
        <f t="shared" si="20"/>
        <v>46230</v>
      </c>
      <c r="E34" s="170" t="s">
        <v>117</v>
      </c>
      <c r="F34" s="321">
        <f t="shared" si="0"/>
        <v>218269</v>
      </c>
      <c r="G34" s="600"/>
      <c r="H34" s="598"/>
      <c r="I34" s="308">
        <v>46768</v>
      </c>
      <c r="J34" s="230">
        <f t="shared" si="2"/>
        <v>0.21426771552533799</v>
      </c>
      <c r="K34" s="308">
        <v>59398</v>
      </c>
      <c r="L34" s="230">
        <f t="shared" si="3"/>
        <v>0.2721320938841521</v>
      </c>
      <c r="M34" s="308">
        <f t="shared" si="4"/>
        <v>106166</v>
      </c>
      <c r="N34" s="230">
        <f t="shared" si="5"/>
        <v>0.48639980940949012</v>
      </c>
      <c r="O34" s="308">
        <v>11402</v>
      </c>
      <c r="P34" s="230">
        <f t="shared" si="6"/>
        <v>5.2238293115375978E-2</v>
      </c>
      <c r="Q34" s="308">
        <v>0</v>
      </c>
      <c r="R34" s="230">
        <f t="shared" si="7"/>
        <v>0</v>
      </c>
      <c r="S34" s="308">
        <f t="shared" si="8"/>
        <v>11402</v>
      </c>
      <c r="T34" s="230">
        <f t="shared" si="9"/>
        <v>5.2238293115375978E-2</v>
      </c>
      <c r="U34" s="308">
        <v>5635</v>
      </c>
      <c r="V34" s="230">
        <f t="shared" si="10"/>
        <v>2.5816767383366395E-2</v>
      </c>
      <c r="W34" s="308">
        <v>10692</v>
      </c>
      <c r="X34" s="230">
        <f t="shared" si="11"/>
        <v>4.8985426240098225E-2</v>
      </c>
      <c r="Y34" s="308">
        <v>8156</v>
      </c>
      <c r="Z34" s="230">
        <f t="shared" si="12"/>
        <v>3.7366735541923039E-2</v>
      </c>
      <c r="AA34" s="308">
        <v>10074</v>
      </c>
      <c r="AB34" s="230">
        <f t="shared" si="13"/>
        <v>4.6154057607814214E-2</v>
      </c>
      <c r="AC34" s="308">
        <f t="shared" si="14"/>
        <v>18230</v>
      </c>
      <c r="AD34" s="230">
        <f t="shared" si="15"/>
        <v>8.3520793149737246E-2</v>
      </c>
      <c r="AE34" s="308">
        <v>26112</v>
      </c>
      <c r="AF34" s="230">
        <f t="shared" si="16"/>
        <v>0.11963219696796155</v>
      </c>
      <c r="AG34" s="308">
        <v>0</v>
      </c>
      <c r="AH34" s="230">
        <f t="shared" si="17"/>
        <v>0</v>
      </c>
      <c r="AI34" s="308">
        <v>27271</v>
      </c>
      <c r="AJ34" s="230">
        <f t="shared" si="18"/>
        <v>0.1249421585291544</v>
      </c>
      <c r="AK34" s="308">
        <v>12761</v>
      </c>
      <c r="AL34" s="230">
        <f t="shared" si="19"/>
        <v>5.8464555204816075E-2</v>
      </c>
    </row>
    <row r="35" spans="2:38" s="73" customFormat="1" ht="14.25" customHeight="1">
      <c r="B35" s="579">
        <f>D36+7</f>
        <v>46239</v>
      </c>
      <c r="C35" s="584"/>
      <c r="D35" s="170">
        <f t="shared" si="20"/>
        <v>46231</v>
      </c>
      <c r="E35" s="170" t="s">
        <v>118</v>
      </c>
      <c r="F35" s="321">
        <f t="shared" si="0"/>
        <v>213264</v>
      </c>
      <c r="G35" s="600">
        <f t="shared" ref="G35" si="23">SUM(F35:F41)</f>
        <v>1361947</v>
      </c>
      <c r="H35" s="598"/>
      <c r="I35" s="308">
        <v>45488</v>
      </c>
      <c r="J35" s="230">
        <f t="shared" si="2"/>
        <v>0.21329432065421261</v>
      </c>
      <c r="K35" s="308">
        <v>57537</v>
      </c>
      <c r="L35" s="230">
        <f t="shared" si="3"/>
        <v>0.26979237002025658</v>
      </c>
      <c r="M35" s="308">
        <f t="shared" si="4"/>
        <v>103025</v>
      </c>
      <c r="N35" s="230">
        <f t="shared" si="5"/>
        <v>0.48308669067446919</v>
      </c>
      <c r="O35" s="308">
        <v>11432</v>
      </c>
      <c r="P35" s="230">
        <f t="shared" si="6"/>
        <v>5.3604921599519843E-2</v>
      </c>
      <c r="Q35" s="308">
        <v>0</v>
      </c>
      <c r="R35" s="230">
        <f t="shared" si="7"/>
        <v>0</v>
      </c>
      <c r="S35" s="308">
        <f t="shared" si="8"/>
        <v>11432</v>
      </c>
      <c r="T35" s="230">
        <f t="shared" si="9"/>
        <v>5.3604921599519843E-2</v>
      </c>
      <c r="U35" s="308">
        <v>2424</v>
      </c>
      <c r="V35" s="230">
        <f t="shared" si="10"/>
        <v>1.1366194013054243E-2</v>
      </c>
      <c r="W35" s="308">
        <v>17095</v>
      </c>
      <c r="X35" s="230">
        <f t="shared" si="11"/>
        <v>8.0158864130842528E-2</v>
      </c>
      <c r="Y35" s="308">
        <v>7471</v>
      </c>
      <c r="Z35" s="230">
        <f t="shared" si="12"/>
        <v>3.5031697801785583E-2</v>
      </c>
      <c r="AA35" s="308">
        <v>10322</v>
      </c>
      <c r="AB35" s="230">
        <f t="shared" si="13"/>
        <v>4.8400105034136096E-2</v>
      </c>
      <c r="AC35" s="308">
        <f t="shared" si="14"/>
        <v>17793</v>
      </c>
      <c r="AD35" s="230">
        <f t="shared" si="15"/>
        <v>8.3431802835921678E-2</v>
      </c>
      <c r="AE35" s="308">
        <v>24810</v>
      </c>
      <c r="AF35" s="230">
        <f t="shared" si="16"/>
        <v>0.11633468377222597</v>
      </c>
      <c r="AG35" s="308">
        <v>0</v>
      </c>
      <c r="AH35" s="230">
        <f t="shared" si="17"/>
        <v>0</v>
      </c>
      <c r="AI35" s="308">
        <v>25278</v>
      </c>
      <c r="AJ35" s="230">
        <f t="shared" si="18"/>
        <v>0.11852914697276615</v>
      </c>
      <c r="AK35" s="308">
        <v>11407</v>
      </c>
      <c r="AL35" s="230">
        <f t="shared" si="19"/>
        <v>5.3487696001200388E-2</v>
      </c>
    </row>
    <row r="36" spans="2:38" s="73" customFormat="1" ht="14.25" customHeight="1">
      <c r="B36" s="580"/>
      <c r="C36" s="584"/>
      <c r="D36" s="170">
        <f t="shared" si="20"/>
        <v>46232</v>
      </c>
      <c r="E36" s="170" t="s">
        <v>112</v>
      </c>
      <c r="F36" s="321">
        <f t="shared" si="0"/>
        <v>201459</v>
      </c>
      <c r="G36" s="600"/>
      <c r="H36" s="598"/>
      <c r="I36" s="308">
        <v>44279</v>
      </c>
      <c r="J36" s="230">
        <f t="shared" si="2"/>
        <v>0.21979162013114331</v>
      </c>
      <c r="K36" s="308">
        <v>54467</v>
      </c>
      <c r="L36" s="230">
        <f t="shared" si="3"/>
        <v>0.27036270407378177</v>
      </c>
      <c r="M36" s="308">
        <f t="shared" si="4"/>
        <v>98746</v>
      </c>
      <c r="N36" s="230">
        <f t="shared" si="5"/>
        <v>0.49015432420492505</v>
      </c>
      <c r="O36" s="308">
        <v>11501</v>
      </c>
      <c r="P36" s="230">
        <f t="shared" si="6"/>
        <v>5.7088539107212885E-2</v>
      </c>
      <c r="Q36" s="308">
        <v>0</v>
      </c>
      <c r="R36" s="230">
        <f t="shared" si="7"/>
        <v>0</v>
      </c>
      <c r="S36" s="308">
        <f t="shared" si="8"/>
        <v>11501</v>
      </c>
      <c r="T36" s="230">
        <f t="shared" si="9"/>
        <v>5.7088539107212885E-2</v>
      </c>
      <c r="U36" s="308">
        <v>2170</v>
      </c>
      <c r="V36" s="230">
        <f t="shared" si="10"/>
        <v>1.0771422473059034E-2</v>
      </c>
      <c r="W36" s="308">
        <v>13175</v>
      </c>
      <c r="X36" s="230">
        <f t="shared" si="11"/>
        <v>6.5397922157858418E-2</v>
      </c>
      <c r="Y36" s="308">
        <v>6883</v>
      </c>
      <c r="Z36" s="230">
        <f t="shared" si="12"/>
        <v>3.4165760775145312E-2</v>
      </c>
      <c r="AA36" s="308">
        <v>10192</v>
      </c>
      <c r="AB36" s="230">
        <f t="shared" si="13"/>
        <v>5.0590939099270822E-2</v>
      </c>
      <c r="AC36" s="308">
        <f t="shared" si="14"/>
        <v>17075</v>
      </c>
      <c r="AD36" s="230">
        <f t="shared" si="15"/>
        <v>8.4756699874416128E-2</v>
      </c>
      <c r="AE36" s="308">
        <v>22675</v>
      </c>
      <c r="AF36" s="230">
        <f t="shared" si="16"/>
        <v>0.11255391915972977</v>
      </c>
      <c r="AG36" s="308">
        <v>0</v>
      </c>
      <c r="AH36" s="230">
        <f t="shared" si="17"/>
        <v>0</v>
      </c>
      <c r="AI36" s="308">
        <v>24753</v>
      </c>
      <c r="AJ36" s="230">
        <f t="shared" si="18"/>
        <v>0.12286867303024437</v>
      </c>
      <c r="AK36" s="308">
        <v>11364</v>
      </c>
      <c r="AL36" s="230">
        <f t="shared" si="19"/>
        <v>5.6408499992554317E-2</v>
      </c>
    </row>
    <row r="37" spans="2:38" s="73" customFormat="1" ht="14.25" customHeight="1">
      <c r="B37" s="580"/>
      <c r="C37" s="584"/>
      <c r="D37" s="170">
        <f t="shared" si="20"/>
        <v>46233</v>
      </c>
      <c r="E37" s="170" t="s">
        <v>113</v>
      </c>
      <c r="F37" s="321">
        <f t="shared" si="0"/>
        <v>187092</v>
      </c>
      <c r="G37" s="600"/>
      <c r="H37" s="598"/>
      <c r="I37" s="308">
        <v>41849</v>
      </c>
      <c r="J37" s="230">
        <f t="shared" si="2"/>
        <v>0.2236813973873816</v>
      </c>
      <c r="K37" s="308">
        <v>48419</v>
      </c>
      <c r="L37" s="230">
        <f t="shared" si="3"/>
        <v>0.25879781070275587</v>
      </c>
      <c r="M37" s="308">
        <f t="shared" si="4"/>
        <v>90268</v>
      </c>
      <c r="N37" s="230">
        <f t="shared" si="5"/>
        <v>0.48247920809013745</v>
      </c>
      <c r="O37" s="308">
        <v>10895</v>
      </c>
      <c r="P37" s="230">
        <f t="shared" si="6"/>
        <v>5.8233382507001906E-2</v>
      </c>
      <c r="Q37" s="308">
        <v>0</v>
      </c>
      <c r="R37" s="230">
        <f t="shared" si="7"/>
        <v>0</v>
      </c>
      <c r="S37" s="308">
        <f t="shared" si="8"/>
        <v>10895</v>
      </c>
      <c r="T37" s="230">
        <f t="shared" si="9"/>
        <v>5.8233382507001906E-2</v>
      </c>
      <c r="U37" s="308">
        <v>2184</v>
      </c>
      <c r="V37" s="230">
        <f t="shared" si="10"/>
        <v>1.1673401321275095E-2</v>
      </c>
      <c r="W37" s="308">
        <v>12625</v>
      </c>
      <c r="X37" s="230">
        <f t="shared" si="11"/>
        <v>6.748017018365296E-2</v>
      </c>
      <c r="Y37" s="308">
        <v>6417</v>
      </c>
      <c r="Z37" s="230">
        <f t="shared" si="12"/>
        <v>3.4298633827208005E-2</v>
      </c>
      <c r="AA37" s="308">
        <v>7813</v>
      </c>
      <c r="AB37" s="230">
        <f t="shared" si="13"/>
        <v>4.1760203536228169E-2</v>
      </c>
      <c r="AC37" s="308">
        <f t="shared" si="14"/>
        <v>14230</v>
      </c>
      <c r="AD37" s="230">
        <f t="shared" si="15"/>
        <v>7.6058837363436174E-2</v>
      </c>
      <c r="AE37" s="308">
        <v>20863</v>
      </c>
      <c r="AF37" s="230">
        <f t="shared" si="16"/>
        <v>0.11151198340923182</v>
      </c>
      <c r="AG37" s="308">
        <v>0</v>
      </c>
      <c r="AH37" s="230">
        <f t="shared" si="17"/>
        <v>0</v>
      </c>
      <c r="AI37" s="308">
        <v>25158</v>
      </c>
      <c r="AJ37" s="230">
        <f t="shared" si="18"/>
        <v>0.13446860368161118</v>
      </c>
      <c r="AK37" s="308">
        <v>10869</v>
      </c>
      <c r="AL37" s="230">
        <f t="shared" si="19"/>
        <v>5.8094413443653389E-2</v>
      </c>
    </row>
    <row r="38" spans="2:38" s="73" customFormat="1" ht="14.25" customHeight="1">
      <c r="B38" s="580"/>
      <c r="C38" s="585"/>
      <c r="D38" s="170">
        <f t="shared" si="20"/>
        <v>46234</v>
      </c>
      <c r="E38" s="170" t="s">
        <v>114</v>
      </c>
      <c r="F38" s="321">
        <f t="shared" si="0"/>
        <v>159659</v>
      </c>
      <c r="G38" s="600"/>
      <c r="H38" s="599"/>
      <c r="I38" s="308">
        <v>31930</v>
      </c>
      <c r="J38" s="230">
        <f t="shared" si="2"/>
        <v>0.1999887259722283</v>
      </c>
      <c r="K38" s="308">
        <v>44449</v>
      </c>
      <c r="L38" s="230">
        <f t="shared" si="3"/>
        <v>0.27839958912432122</v>
      </c>
      <c r="M38" s="308">
        <f t="shared" si="4"/>
        <v>76379</v>
      </c>
      <c r="N38" s="230">
        <f t="shared" si="5"/>
        <v>0.4783883150965495</v>
      </c>
      <c r="O38" s="308">
        <v>8693</v>
      </c>
      <c r="P38" s="230">
        <f t="shared" si="6"/>
        <v>5.4447290788492975E-2</v>
      </c>
      <c r="Q38" s="308">
        <v>0</v>
      </c>
      <c r="R38" s="230">
        <f t="shared" si="7"/>
        <v>0</v>
      </c>
      <c r="S38" s="308">
        <f t="shared" si="8"/>
        <v>8693</v>
      </c>
      <c r="T38" s="230">
        <f t="shared" si="9"/>
        <v>5.4447290788492975E-2</v>
      </c>
      <c r="U38" s="308">
        <v>1611</v>
      </c>
      <c r="V38" s="230">
        <f t="shared" si="10"/>
        <v>1.0090254855661127E-2</v>
      </c>
      <c r="W38" s="308">
        <v>9171</v>
      </c>
      <c r="X38" s="230">
        <f t="shared" si="11"/>
        <v>5.7441171496752451E-2</v>
      </c>
      <c r="Y38" s="308">
        <v>5633</v>
      </c>
      <c r="Z38" s="230">
        <f t="shared" si="12"/>
        <v>3.5281443576622676E-2</v>
      </c>
      <c r="AA38" s="308">
        <v>7457</v>
      </c>
      <c r="AB38" s="230">
        <f t="shared" si="13"/>
        <v>4.6705791718600266E-2</v>
      </c>
      <c r="AC38" s="308">
        <f t="shared" si="14"/>
        <v>13090</v>
      </c>
      <c r="AD38" s="230">
        <f t="shared" si="15"/>
        <v>8.1987235295222949E-2</v>
      </c>
      <c r="AE38" s="308">
        <v>15571</v>
      </c>
      <c r="AF38" s="230">
        <f t="shared" si="16"/>
        <v>9.7526603573866805E-2</v>
      </c>
      <c r="AG38" s="308">
        <v>0</v>
      </c>
      <c r="AH38" s="230">
        <f t="shared" si="17"/>
        <v>0</v>
      </c>
      <c r="AI38" s="308">
        <v>25690</v>
      </c>
      <c r="AJ38" s="230">
        <f t="shared" si="18"/>
        <v>0.16090542969704183</v>
      </c>
      <c r="AK38" s="308">
        <v>9454</v>
      </c>
      <c r="AL38" s="230">
        <f t="shared" si="19"/>
        <v>5.9213699196412353E-2</v>
      </c>
    </row>
    <row r="39" spans="2:38" s="73" customFormat="1" ht="14.25" customHeight="1">
      <c r="B39" s="580"/>
      <c r="C39" s="601" t="s">
        <v>707</v>
      </c>
      <c r="D39" s="170">
        <f t="shared" si="20"/>
        <v>46235</v>
      </c>
      <c r="E39" s="170" t="s">
        <v>115</v>
      </c>
      <c r="F39" s="321">
        <f t="shared" si="0"/>
        <v>170810</v>
      </c>
      <c r="G39" s="600"/>
      <c r="H39" s="95"/>
      <c r="I39" s="308">
        <v>30379</v>
      </c>
      <c r="J39" s="230">
        <f t="shared" si="2"/>
        <v>0.177852584743282</v>
      </c>
      <c r="K39" s="308">
        <v>51912</v>
      </c>
      <c r="L39" s="230">
        <f t="shared" si="3"/>
        <v>0.3039166325156607</v>
      </c>
      <c r="M39" s="308">
        <f t="shared" si="4"/>
        <v>82291</v>
      </c>
      <c r="N39" s="230">
        <f t="shared" si="5"/>
        <v>0.48176921725894267</v>
      </c>
      <c r="O39" s="308">
        <v>8393</v>
      </c>
      <c r="P39" s="230">
        <f t="shared" si="6"/>
        <v>4.9136467419940287E-2</v>
      </c>
      <c r="Q39" s="308">
        <v>0</v>
      </c>
      <c r="R39" s="230">
        <f t="shared" si="7"/>
        <v>0</v>
      </c>
      <c r="S39" s="308">
        <f t="shared" si="8"/>
        <v>8393</v>
      </c>
      <c r="T39" s="230">
        <f t="shared" si="9"/>
        <v>4.9136467419940287E-2</v>
      </c>
      <c r="U39" s="308">
        <v>1656</v>
      </c>
      <c r="V39" s="230">
        <f t="shared" si="10"/>
        <v>9.6949827293483989E-3</v>
      </c>
      <c r="W39" s="308">
        <v>10193</v>
      </c>
      <c r="X39" s="230">
        <f t="shared" si="11"/>
        <v>5.9674492125753764E-2</v>
      </c>
      <c r="Y39" s="308">
        <v>6072</v>
      </c>
      <c r="Z39" s="230">
        <f t="shared" si="12"/>
        <v>3.5548270007610794E-2</v>
      </c>
      <c r="AA39" s="308">
        <v>9679</v>
      </c>
      <c r="AB39" s="230">
        <f t="shared" si="13"/>
        <v>5.6665300626427023E-2</v>
      </c>
      <c r="AC39" s="308">
        <f t="shared" si="14"/>
        <v>15751</v>
      </c>
      <c r="AD39" s="230">
        <f t="shared" si="15"/>
        <v>9.2213570634037817E-2</v>
      </c>
      <c r="AE39" s="308">
        <v>16749</v>
      </c>
      <c r="AF39" s="230">
        <f t="shared" si="16"/>
        <v>9.8056319887594404E-2</v>
      </c>
      <c r="AG39" s="308">
        <v>0</v>
      </c>
      <c r="AH39" s="230">
        <f t="shared" si="17"/>
        <v>0</v>
      </c>
      <c r="AI39" s="308">
        <v>26285</v>
      </c>
      <c r="AJ39" s="230">
        <f t="shared" si="18"/>
        <v>0.15388443299572624</v>
      </c>
      <c r="AK39" s="308">
        <v>9492</v>
      </c>
      <c r="AL39" s="230">
        <f t="shared" si="19"/>
        <v>5.5570516948656404E-2</v>
      </c>
    </row>
    <row r="40" spans="2:38" s="73" customFormat="1" ht="14.25" customHeight="1">
      <c r="B40" s="580"/>
      <c r="C40" s="602"/>
      <c r="D40" s="170">
        <f t="shared" si="20"/>
        <v>46236</v>
      </c>
      <c r="E40" s="170" t="s">
        <v>116</v>
      </c>
      <c r="F40" s="321">
        <f t="shared" si="0"/>
        <v>216220</v>
      </c>
      <c r="G40" s="600"/>
      <c r="H40" s="95"/>
      <c r="I40" s="308">
        <v>44211</v>
      </c>
      <c r="J40" s="230">
        <f t="shared" si="2"/>
        <v>0.20447229673480713</v>
      </c>
      <c r="K40" s="308">
        <v>59625</v>
      </c>
      <c r="L40" s="230">
        <f t="shared" si="3"/>
        <v>0.27576079918601426</v>
      </c>
      <c r="M40" s="308">
        <f t="shared" si="4"/>
        <v>103836</v>
      </c>
      <c r="N40" s="230">
        <f t="shared" si="5"/>
        <v>0.48023309592082136</v>
      </c>
      <c r="O40" s="308">
        <v>11257</v>
      </c>
      <c r="P40" s="230">
        <f t="shared" si="6"/>
        <v>5.2062713902506705E-2</v>
      </c>
      <c r="Q40" s="308">
        <v>0</v>
      </c>
      <c r="R40" s="230">
        <f t="shared" si="7"/>
        <v>0</v>
      </c>
      <c r="S40" s="308">
        <f t="shared" si="8"/>
        <v>11257</v>
      </c>
      <c r="T40" s="230">
        <f t="shared" si="9"/>
        <v>5.2062713902506705E-2</v>
      </c>
      <c r="U40" s="308">
        <v>2715</v>
      </c>
      <c r="V40" s="230">
        <f t="shared" si="10"/>
        <v>1.2556655258532976E-2</v>
      </c>
      <c r="W40" s="308">
        <v>11384</v>
      </c>
      <c r="X40" s="230">
        <f t="shared" si="11"/>
        <v>5.2650078623624086E-2</v>
      </c>
      <c r="Y40" s="308">
        <v>7444</v>
      </c>
      <c r="Z40" s="230">
        <f t="shared" si="12"/>
        <v>3.4427897511793544E-2</v>
      </c>
      <c r="AA40" s="308">
        <v>11380</v>
      </c>
      <c r="AB40" s="230">
        <f t="shared" si="13"/>
        <v>5.2631578947368418E-2</v>
      </c>
      <c r="AC40" s="308">
        <f t="shared" si="14"/>
        <v>18824</v>
      </c>
      <c r="AD40" s="230">
        <f t="shared" si="15"/>
        <v>8.7059476459161969E-2</v>
      </c>
      <c r="AE40" s="308">
        <v>27748</v>
      </c>
      <c r="AF40" s="230">
        <f t="shared" si="16"/>
        <v>0.12833225418555175</v>
      </c>
      <c r="AG40" s="308">
        <v>0</v>
      </c>
      <c r="AH40" s="230">
        <f t="shared" si="17"/>
        <v>0</v>
      </c>
      <c r="AI40" s="308">
        <v>29293</v>
      </c>
      <c r="AJ40" s="230">
        <f t="shared" si="18"/>
        <v>0.13547775413930258</v>
      </c>
      <c r="AK40" s="308">
        <v>11163</v>
      </c>
      <c r="AL40" s="230">
        <f t="shared" si="19"/>
        <v>5.1627971510498569E-2</v>
      </c>
    </row>
    <row r="41" spans="2:38" s="73" customFormat="1" ht="14.25" customHeight="1">
      <c r="B41" s="581"/>
      <c r="C41" s="603"/>
      <c r="D41" s="170">
        <f t="shared" si="20"/>
        <v>46237</v>
      </c>
      <c r="E41" s="170" t="s">
        <v>117</v>
      </c>
      <c r="F41" s="321">
        <f t="shared" si="0"/>
        <v>213443</v>
      </c>
      <c r="G41" s="600"/>
      <c r="H41" s="95"/>
      <c r="I41" s="308">
        <v>43672</v>
      </c>
      <c r="J41" s="230">
        <f t="shared" si="2"/>
        <v>0.20460731905005083</v>
      </c>
      <c r="K41" s="308">
        <v>58843</v>
      </c>
      <c r="L41" s="230">
        <f t="shared" si="3"/>
        <v>0.27568484326026155</v>
      </c>
      <c r="M41" s="308">
        <f t="shared" si="4"/>
        <v>102515</v>
      </c>
      <c r="N41" s="230">
        <f t="shared" si="5"/>
        <v>0.48029216231031235</v>
      </c>
      <c r="O41" s="308">
        <v>10839</v>
      </c>
      <c r="P41" s="230">
        <f t="shared" si="6"/>
        <v>5.0781707528473642E-2</v>
      </c>
      <c r="Q41" s="308">
        <v>0</v>
      </c>
      <c r="R41" s="230">
        <f t="shared" si="7"/>
        <v>0</v>
      </c>
      <c r="S41" s="308">
        <f t="shared" si="8"/>
        <v>10839</v>
      </c>
      <c r="T41" s="230">
        <f t="shared" si="9"/>
        <v>5.0781707528473642E-2</v>
      </c>
      <c r="U41" s="308">
        <v>2369</v>
      </c>
      <c r="V41" s="230">
        <f t="shared" si="10"/>
        <v>1.1098981929601815E-2</v>
      </c>
      <c r="W41" s="308">
        <v>12791</v>
      </c>
      <c r="X41" s="230">
        <f t="shared" si="11"/>
        <v>5.9927006273337614E-2</v>
      </c>
      <c r="Y41" s="308">
        <v>7631</v>
      </c>
      <c r="Z41" s="230">
        <f t="shared" si="12"/>
        <v>3.5751933771545563E-2</v>
      </c>
      <c r="AA41" s="308">
        <v>10280</v>
      </c>
      <c r="AB41" s="230">
        <f t="shared" si="13"/>
        <v>4.8162741340779504E-2</v>
      </c>
      <c r="AC41" s="308">
        <f t="shared" si="14"/>
        <v>17911</v>
      </c>
      <c r="AD41" s="230">
        <f t="shared" si="15"/>
        <v>8.3914675112325074E-2</v>
      </c>
      <c r="AE41" s="308">
        <v>25707</v>
      </c>
      <c r="AF41" s="230">
        <f t="shared" si="16"/>
        <v>0.12043964899293956</v>
      </c>
      <c r="AG41" s="308">
        <v>0</v>
      </c>
      <c r="AH41" s="230">
        <f t="shared" si="17"/>
        <v>0</v>
      </c>
      <c r="AI41" s="308">
        <v>29105</v>
      </c>
      <c r="AJ41" s="230">
        <f t="shared" si="18"/>
        <v>0.13635959014818944</v>
      </c>
      <c r="AK41" s="308">
        <v>12206</v>
      </c>
      <c r="AL41" s="230">
        <f t="shared" si="19"/>
        <v>5.7186227704820493E-2</v>
      </c>
    </row>
  </sheetData>
  <mergeCells count="46"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F5:F6"/>
    <mergeCell ref="Q5:R5"/>
    <mergeCell ref="I3:AL3"/>
    <mergeCell ref="AI4:AJ4"/>
    <mergeCell ref="AK4:AL4"/>
    <mergeCell ref="O4:T4"/>
    <mergeCell ref="F3:H4"/>
    <mergeCell ref="I4:N4"/>
    <mergeCell ref="Y4:AD4"/>
    <mergeCell ref="O5:P5"/>
    <mergeCell ref="AI5:AJ5"/>
    <mergeCell ref="K5:L5"/>
    <mergeCell ref="S5:T5"/>
    <mergeCell ref="H5:H6"/>
    <mergeCell ref="AA5:AB5"/>
    <mergeCell ref="I5:J5"/>
    <mergeCell ref="M5:N5"/>
    <mergeCell ref="G5:G6"/>
    <mergeCell ref="B3:B6"/>
    <mergeCell ref="C3:C6"/>
    <mergeCell ref="D3:E6"/>
    <mergeCell ref="B7:B13"/>
    <mergeCell ref="G7:G13"/>
    <mergeCell ref="H8:H38"/>
    <mergeCell ref="B28:B34"/>
    <mergeCell ref="G28:G34"/>
    <mergeCell ref="B35:B41"/>
    <mergeCell ref="G35:G41"/>
    <mergeCell ref="C8:C38"/>
    <mergeCell ref="B14:B20"/>
    <mergeCell ref="G14:G20"/>
    <mergeCell ref="B21:B27"/>
    <mergeCell ref="G21:G27"/>
    <mergeCell ref="C39:C41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tabColor rgb="FFFFFFCC"/>
  </sheetPr>
  <dimension ref="A1:AX211"/>
  <sheetViews>
    <sheetView zoomScale="85" zoomScaleNormal="85" workbookViewId="0">
      <pane xSplit="13" ySplit="1" topLeftCell="N152" activePane="bottomRight" state="frozen"/>
      <selection activeCell="G19" sqref="G19:G25"/>
      <selection pane="topRight" activeCell="G19" sqref="G19:G25"/>
      <selection pane="bottomLeft" activeCell="G19" sqref="G19:G25"/>
      <selection pane="bottomRight" activeCell="H175" sqref="H175:H211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57031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7" customWidth="1"/>
    <col min="15" max="15" width="7.140625" style="177" customWidth="1" collapsed="1"/>
    <col min="16" max="16" width="7.7109375" style="177" customWidth="1"/>
    <col min="17" max="18" width="8.7109375" style="177" customWidth="1"/>
    <col min="19" max="19" width="5.42578125" style="177" customWidth="1"/>
    <col min="20" max="20" width="10.7109375" style="177" customWidth="1"/>
    <col min="21" max="21" width="7.7109375" style="178" customWidth="1"/>
    <col min="22" max="23" width="8.7109375" style="178" customWidth="1"/>
    <col min="24" max="24" width="5.42578125" style="177" customWidth="1"/>
    <col min="25" max="25" width="10.7109375" style="178" customWidth="1"/>
    <col min="26" max="26" width="7.7109375" style="178" customWidth="1"/>
    <col min="27" max="28" width="8.7109375" style="178" customWidth="1"/>
    <col min="29" max="29" width="5.42578125" style="177" customWidth="1"/>
    <col min="30" max="30" width="10.7109375" style="178" customWidth="1"/>
    <col min="31" max="31" width="7.7109375" style="178" customWidth="1"/>
    <col min="32" max="33" width="8.7109375" style="178" customWidth="1"/>
    <col min="34" max="34" width="5.42578125" style="177" customWidth="1"/>
    <col min="35" max="35" width="10.7109375" style="178" customWidth="1"/>
    <col min="36" max="36" width="7.7109375" style="178" customWidth="1"/>
    <col min="37" max="38" width="8.7109375" style="178" customWidth="1"/>
    <col min="39" max="39" width="5.42578125" style="177" customWidth="1"/>
    <col min="40" max="40" width="10.7109375" style="178" customWidth="1"/>
    <col min="41" max="41" width="7.7109375" style="178" customWidth="1"/>
    <col min="42" max="43" width="8.7109375" style="178" customWidth="1"/>
    <col min="44" max="44" width="5.42578125" style="178" customWidth="1"/>
    <col min="45" max="45" width="10.7109375" style="178" customWidth="1"/>
    <col min="46" max="46" width="7.7109375" style="178" customWidth="1"/>
    <col min="47" max="48" width="8.7109375" style="178" customWidth="1"/>
    <col min="49" max="49" width="5.42578125" style="178" customWidth="1"/>
    <col min="50" max="50" width="10.7109375" style="178" customWidth="1"/>
    <col min="51" max="16384" width="8.85546875" style="78"/>
  </cols>
  <sheetData>
    <row r="1" spans="1:50" ht="21">
      <c r="A1" s="74"/>
      <c r="B1" s="456" t="s">
        <v>720</v>
      </c>
      <c r="C1" s="174">
        <f>AVERAGE(L7,L49,L91,L133,L175)</f>
        <v>771.87393132465104</v>
      </c>
    </row>
    <row r="2" spans="1:50" ht="14.25" customHeight="1">
      <c r="B2" s="636" t="s">
        <v>708</v>
      </c>
      <c r="C2" s="636"/>
      <c r="D2" s="636"/>
      <c r="E2" s="636"/>
      <c r="F2" s="636"/>
      <c r="G2" s="636"/>
      <c r="H2" s="636"/>
      <c r="I2" s="636"/>
      <c r="J2" s="636"/>
      <c r="K2" s="636"/>
      <c r="L2" s="636"/>
      <c r="M2" s="637"/>
      <c r="N2" s="630" t="s">
        <v>363</v>
      </c>
      <c r="O2" s="630" t="s">
        <v>105</v>
      </c>
      <c r="P2" s="632">
        <v>46203</v>
      </c>
      <c r="Q2" s="633"/>
      <c r="R2" s="633"/>
      <c r="S2" s="633"/>
      <c r="T2" s="633"/>
      <c r="U2" s="634">
        <v>46204</v>
      </c>
      <c r="V2" s="635"/>
      <c r="W2" s="635"/>
      <c r="X2" s="635"/>
      <c r="Y2" s="635"/>
      <c r="Z2" s="632">
        <v>46205</v>
      </c>
      <c r="AA2" s="633"/>
      <c r="AB2" s="633"/>
      <c r="AC2" s="633"/>
      <c r="AD2" s="633"/>
      <c r="AE2" s="634">
        <v>46206</v>
      </c>
      <c r="AF2" s="635"/>
      <c r="AG2" s="635"/>
      <c r="AH2" s="635"/>
      <c r="AI2" s="635"/>
      <c r="AJ2" s="616">
        <v>46207</v>
      </c>
      <c r="AK2" s="617"/>
      <c r="AL2" s="617"/>
      <c r="AM2" s="617"/>
      <c r="AN2" s="618"/>
      <c r="AO2" s="634">
        <v>46208</v>
      </c>
      <c r="AP2" s="635"/>
      <c r="AQ2" s="635"/>
      <c r="AR2" s="635"/>
      <c r="AS2" s="635"/>
      <c r="AT2" s="616">
        <v>46209</v>
      </c>
      <c r="AU2" s="617"/>
      <c r="AV2" s="617"/>
      <c r="AW2" s="617"/>
      <c r="AX2" s="618"/>
    </row>
    <row r="3" spans="1:50" ht="14.25" customHeight="1">
      <c r="B3" s="638"/>
      <c r="C3" s="638"/>
      <c r="D3" s="638"/>
      <c r="E3" s="638"/>
      <c r="F3" s="638"/>
      <c r="G3" s="638"/>
      <c r="H3" s="638"/>
      <c r="I3" s="638"/>
      <c r="J3" s="638"/>
      <c r="K3" s="638"/>
      <c r="L3" s="638"/>
      <c r="M3" s="639"/>
      <c r="N3" s="631"/>
      <c r="O3" s="631"/>
      <c r="P3" s="619">
        <v>46196</v>
      </c>
      <c r="Q3" s="619"/>
      <c r="R3" s="619"/>
      <c r="S3" s="619"/>
      <c r="T3" s="619"/>
      <c r="U3" s="620">
        <v>46197</v>
      </c>
      <c r="V3" s="620"/>
      <c r="W3" s="620"/>
      <c r="X3" s="620"/>
      <c r="Y3" s="620"/>
      <c r="Z3" s="619">
        <v>46198</v>
      </c>
      <c r="AA3" s="619"/>
      <c r="AB3" s="619"/>
      <c r="AC3" s="619"/>
      <c r="AD3" s="619"/>
      <c r="AE3" s="620">
        <v>46199</v>
      </c>
      <c r="AF3" s="620"/>
      <c r="AG3" s="620"/>
      <c r="AH3" s="620"/>
      <c r="AI3" s="620"/>
      <c r="AJ3" s="621">
        <v>46200</v>
      </c>
      <c r="AK3" s="622"/>
      <c r="AL3" s="622"/>
      <c r="AM3" s="622"/>
      <c r="AN3" s="623"/>
      <c r="AO3" s="620">
        <v>46201</v>
      </c>
      <c r="AP3" s="620"/>
      <c r="AQ3" s="620"/>
      <c r="AR3" s="620"/>
      <c r="AS3" s="620"/>
      <c r="AT3" s="621">
        <v>46202</v>
      </c>
      <c r="AU3" s="622"/>
      <c r="AV3" s="622"/>
      <c r="AW3" s="622"/>
      <c r="AX3" s="623"/>
    </row>
    <row r="4" spans="1:50" ht="14.25" customHeight="1">
      <c r="B4" s="611" t="s">
        <v>162</v>
      </c>
      <c r="C4" s="611" t="s">
        <v>157</v>
      </c>
      <c r="D4" s="611"/>
      <c r="E4" s="611" t="s">
        <v>158</v>
      </c>
      <c r="F4" s="611"/>
      <c r="G4" s="611"/>
      <c r="H4" s="611" t="s">
        <v>163</v>
      </c>
      <c r="I4" s="615" t="s">
        <v>364</v>
      </c>
      <c r="J4" s="615"/>
      <c r="K4" s="615"/>
      <c r="L4" s="615" t="s">
        <v>163</v>
      </c>
      <c r="M4" s="615" t="s">
        <v>165</v>
      </c>
      <c r="N4" s="624"/>
      <c r="O4" s="614" t="s">
        <v>164</v>
      </c>
      <c r="P4" s="614" t="s">
        <v>160</v>
      </c>
      <c r="Q4" s="614"/>
      <c r="R4" s="614"/>
      <c r="S4" s="614"/>
      <c r="T4" s="614" t="s">
        <v>163</v>
      </c>
      <c r="U4" s="614" t="s">
        <v>160</v>
      </c>
      <c r="V4" s="614"/>
      <c r="W4" s="614"/>
      <c r="X4" s="614"/>
      <c r="Y4" s="614" t="s">
        <v>163</v>
      </c>
      <c r="Z4" s="614" t="s">
        <v>160</v>
      </c>
      <c r="AA4" s="614"/>
      <c r="AB4" s="614"/>
      <c r="AC4" s="614"/>
      <c r="AD4" s="614" t="s">
        <v>163</v>
      </c>
      <c r="AE4" s="614" t="s">
        <v>160</v>
      </c>
      <c r="AF4" s="614"/>
      <c r="AG4" s="614"/>
      <c r="AH4" s="614"/>
      <c r="AI4" s="614" t="s">
        <v>163</v>
      </c>
      <c r="AJ4" s="614" t="s">
        <v>160</v>
      </c>
      <c r="AK4" s="614"/>
      <c r="AL4" s="614"/>
      <c r="AM4" s="614"/>
      <c r="AN4" s="614" t="s">
        <v>163</v>
      </c>
      <c r="AO4" s="614" t="s">
        <v>160</v>
      </c>
      <c r="AP4" s="614"/>
      <c r="AQ4" s="614"/>
      <c r="AR4" s="614"/>
      <c r="AS4" s="614" t="s">
        <v>163</v>
      </c>
      <c r="AT4" s="614" t="s">
        <v>160</v>
      </c>
      <c r="AU4" s="614"/>
      <c r="AV4" s="614"/>
      <c r="AW4" s="614"/>
      <c r="AX4" s="614" t="s">
        <v>163</v>
      </c>
    </row>
    <row r="5" spans="1:50" ht="14.25" customHeight="1">
      <c r="B5" s="611"/>
      <c r="C5" s="611"/>
      <c r="D5" s="611"/>
      <c r="E5" s="611" t="s">
        <v>365</v>
      </c>
      <c r="F5" s="611"/>
      <c r="G5" s="611"/>
      <c r="H5" s="611"/>
      <c r="I5" s="615" t="s">
        <v>365</v>
      </c>
      <c r="J5" s="615"/>
      <c r="K5" s="615"/>
      <c r="L5" s="615"/>
      <c r="M5" s="615"/>
      <c r="N5" s="624"/>
      <c r="O5" s="614"/>
      <c r="P5" s="614" t="s">
        <v>366</v>
      </c>
      <c r="Q5" s="614"/>
      <c r="R5" s="614"/>
      <c r="S5" s="614"/>
      <c r="T5" s="614"/>
      <c r="U5" s="614" t="s">
        <v>366</v>
      </c>
      <c r="V5" s="614"/>
      <c r="W5" s="614"/>
      <c r="X5" s="614"/>
      <c r="Y5" s="614"/>
      <c r="Z5" s="614" t="s">
        <v>366</v>
      </c>
      <c r="AA5" s="614"/>
      <c r="AB5" s="614"/>
      <c r="AC5" s="614"/>
      <c r="AD5" s="614"/>
      <c r="AE5" s="614" t="s">
        <v>366</v>
      </c>
      <c r="AF5" s="614"/>
      <c r="AG5" s="614"/>
      <c r="AH5" s="614"/>
      <c r="AI5" s="614"/>
      <c r="AJ5" s="614" t="s">
        <v>366</v>
      </c>
      <c r="AK5" s="614"/>
      <c r="AL5" s="614"/>
      <c r="AM5" s="614"/>
      <c r="AN5" s="614"/>
      <c r="AO5" s="614" t="s">
        <v>366</v>
      </c>
      <c r="AP5" s="614"/>
      <c r="AQ5" s="614"/>
      <c r="AR5" s="614"/>
      <c r="AS5" s="614"/>
      <c r="AT5" s="614" t="s">
        <v>366</v>
      </c>
      <c r="AU5" s="614"/>
      <c r="AV5" s="614"/>
      <c r="AW5" s="614"/>
      <c r="AX5" s="614"/>
    </row>
    <row r="6" spans="1:50" ht="14.25" customHeight="1">
      <c r="A6" s="176"/>
      <c r="B6" s="611"/>
      <c r="C6" s="611"/>
      <c r="D6" s="611"/>
      <c r="E6" s="179" t="s">
        <v>159</v>
      </c>
      <c r="F6" s="179" t="s">
        <v>367</v>
      </c>
      <c r="G6" s="179" t="s">
        <v>161</v>
      </c>
      <c r="H6" s="611"/>
      <c r="I6" s="180" t="s">
        <v>159</v>
      </c>
      <c r="J6" s="180" t="s">
        <v>367</v>
      </c>
      <c r="K6" s="180" t="s">
        <v>161</v>
      </c>
      <c r="L6" s="615"/>
      <c r="M6" s="615"/>
      <c r="N6" s="624"/>
      <c r="O6" s="614"/>
      <c r="P6" s="181" t="s">
        <v>159</v>
      </c>
      <c r="Q6" s="181" t="s">
        <v>367</v>
      </c>
      <c r="R6" s="181" t="s">
        <v>161</v>
      </c>
      <c r="S6" s="181" t="s">
        <v>165</v>
      </c>
      <c r="T6" s="614"/>
      <c r="U6" s="181" t="s">
        <v>159</v>
      </c>
      <c r="V6" s="181" t="s">
        <v>367</v>
      </c>
      <c r="W6" s="181" t="s">
        <v>161</v>
      </c>
      <c r="X6" s="181" t="s">
        <v>165</v>
      </c>
      <c r="Y6" s="614"/>
      <c r="Z6" s="181" t="s">
        <v>159</v>
      </c>
      <c r="AA6" s="181" t="s">
        <v>367</v>
      </c>
      <c r="AB6" s="181" t="s">
        <v>161</v>
      </c>
      <c r="AC6" s="181" t="s">
        <v>165</v>
      </c>
      <c r="AD6" s="614"/>
      <c r="AE6" s="181" t="s">
        <v>159</v>
      </c>
      <c r="AF6" s="181" t="s">
        <v>367</v>
      </c>
      <c r="AG6" s="181" t="s">
        <v>161</v>
      </c>
      <c r="AH6" s="181" t="s">
        <v>165</v>
      </c>
      <c r="AI6" s="614"/>
      <c r="AJ6" s="181" t="s">
        <v>159</v>
      </c>
      <c r="AK6" s="181" t="s">
        <v>367</v>
      </c>
      <c r="AL6" s="181" t="s">
        <v>161</v>
      </c>
      <c r="AM6" s="181" t="s">
        <v>165</v>
      </c>
      <c r="AN6" s="614"/>
      <c r="AO6" s="181" t="s">
        <v>159</v>
      </c>
      <c r="AP6" s="181" t="s">
        <v>367</v>
      </c>
      <c r="AQ6" s="181" t="s">
        <v>161</v>
      </c>
      <c r="AR6" s="181" t="s">
        <v>165</v>
      </c>
      <c r="AS6" s="614"/>
      <c r="AT6" s="181" t="s">
        <v>159</v>
      </c>
      <c r="AU6" s="181" t="s">
        <v>367</v>
      </c>
      <c r="AV6" s="181" t="s">
        <v>161</v>
      </c>
      <c r="AW6" s="181" t="s">
        <v>165</v>
      </c>
      <c r="AX6" s="614"/>
    </row>
    <row r="7" spans="1:50" ht="14.25" customHeight="1">
      <c r="B7" s="611" t="s">
        <v>368</v>
      </c>
      <c r="C7" s="179">
        <v>1</v>
      </c>
      <c r="D7" s="182" t="s">
        <v>393</v>
      </c>
      <c r="E7" s="183">
        <v>4</v>
      </c>
      <c r="F7" s="179">
        <v>3300</v>
      </c>
      <c r="G7" s="184">
        <f>IFERROR(F7/E7,"")</f>
        <v>825</v>
      </c>
      <c r="H7" s="612">
        <f>AVERAGE(G7:G43)</f>
        <v>863.52564102564111</v>
      </c>
      <c r="I7" s="185">
        <f>AVERAGE(P7,U7,Z7,AE7,AJ7,AO7,AT7)</f>
        <v>4</v>
      </c>
      <c r="J7" s="185">
        <f>AVERAGE(Q7,V7,AA7,AF7,AK7,AP7,AU7)</f>
        <v>2989.7999999999997</v>
      </c>
      <c r="K7" s="186">
        <f>AVERAGE(R7,W7,AB7,AG7,AL7,AQ7,AV7)</f>
        <v>747.44999999999993</v>
      </c>
      <c r="L7" s="613">
        <f>IFERROR(AVERAGE(K7:K43),"-")</f>
        <v>771.07940156126597</v>
      </c>
      <c r="M7" s="185">
        <f>RANK(K7, K$7:$K$43)</f>
        <v>18</v>
      </c>
      <c r="N7" s="624"/>
      <c r="O7" s="614"/>
      <c r="P7" s="187">
        <v>4</v>
      </c>
      <c r="Q7" s="187">
        <v>2989.7999999999997</v>
      </c>
      <c r="R7" s="184">
        <f>IFERROR(Q7/P7,"")</f>
        <v>747.44999999999993</v>
      </c>
      <c r="S7" s="181">
        <f>RANK(R7, R$7:R$43)</f>
        <v>19</v>
      </c>
      <c r="T7" s="610">
        <f>AVERAGE(R7:R43)</f>
        <v>769.35071954636487</v>
      </c>
      <c r="U7" s="187">
        <v>4</v>
      </c>
      <c r="V7" s="187">
        <v>2989.7999999999997</v>
      </c>
      <c r="W7" s="184">
        <f t="shared" ref="W7:W42" si="0">IFERROR(V7/U7,"")</f>
        <v>747.44999999999993</v>
      </c>
      <c r="X7" s="181">
        <f>RANK(W7, W$7:W$43)</f>
        <v>19</v>
      </c>
      <c r="Y7" s="610">
        <f>AVERAGE(W7:W43)</f>
        <v>770.09658537177802</v>
      </c>
      <c r="Z7" s="187">
        <v>4</v>
      </c>
      <c r="AA7" s="187">
        <v>2989.7999999999997</v>
      </c>
      <c r="AB7" s="184">
        <f>IFERROR(AA7/Z7,"")</f>
        <v>747.44999999999993</v>
      </c>
      <c r="AC7" s="181">
        <f>RANK(AB7, AB$7:AB$43)</f>
        <v>19</v>
      </c>
      <c r="AD7" s="610">
        <f>AVERAGE(AB7:AB43)</f>
        <v>770.80625006851346</v>
      </c>
      <c r="AE7" s="187">
        <v>4</v>
      </c>
      <c r="AF7" s="187">
        <v>2989.8</v>
      </c>
      <c r="AG7" s="184">
        <f>IFERROR(AF7/AE7,"")</f>
        <v>747.45</v>
      </c>
      <c r="AH7" s="181">
        <f>RANK(AG7, AG$7:AG$43)</f>
        <v>18</v>
      </c>
      <c r="AI7" s="610">
        <f>AVERAGE(AG7:AG43)</f>
        <v>771.42304701792227</v>
      </c>
      <c r="AJ7" s="187">
        <v>4</v>
      </c>
      <c r="AK7" s="187">
        <v>2989.8</v>
      </c>
      <c r="AL7" s="184">
        <f>IFERROR(AK7/AJ7,"")</f>
        <v>747.45</v>
      </c>
      <c r="AM7" s="181">
        <f>RANK(AL7, AL$7:AL$43)</f>
        <v>18</v>
      </c>
      <c r="AN7" s="610">
        <f>AVERAGE(AL7:AL43)</f>
        <v>771.95313915315751</v>
      </c>
      <c r="AO7" s="187">
        <v>4</v>
      </c>
      <c r="AP7" s="187">
        <v>2989.7999999999997</v>
      </c>
      <c r="AQ7" s="184">
        <f>IFERROR(AP7/AO7,"")</f>
        <v>747.44999999999993</v>
      </c>
      <c r="AR7" s="181">
        <f>RANK(AQ7, AQ$7:AQ$43)</f>
        <v>19</v>
      </c>
      <c r="AS7" s="610">
        <f>AVERAGE(AQ7:AQ43)</f>
        <v>771.96687563571732</v>
      </c>
      <c r="AT7" s="187">
        <v>4</v>
      </c>
      <c r="AU7" s="187">
        <v>2989.8</v>
      </c>
      <c r="AV7" s="184">
        <f>IFERROR(AU7/AT7,"")</f>
        <v>747.45</v>
      </c>
      <c r="AW7" s="181">
        <f>RANK(AV7, AV$7:AV$43)</f>
        <v>18</v>
      </c>
      <c r="AX7" s="610">
        <f>AVERAGE(AV7:AV43)</f>
        <v>771.95919413541026</v>
      </c>
    </row>
    <row r="8" spans="1:50" ht="14.25" customHeight="1">
      <c r="B8" s="611"/>
      <c r="C8" s="179">
        <v>2</v>
      </c>
      <c r="D8" s="182" t="s">
        <v>391</v>
      </c>
      <c r="E8" s="183">
        <v>3</v>
      </c>
      <c r="F8" s="179">
        <v>3600</v>
      </c>
      <c r="G8" s="184">
        <f t="shared" ref="G8:G42" si="1">IFERROR(F8/E8,"")</f>
        <v>1200</v>
      </c>
      <c r="H8" s="612"/>
      <c r="I8" s="185">
        <f>AVERAGE(P8,U8,Z8,AE8,AJ8,AO8,AT8)</f>
        <v>3</v>
      </c>
      <c r="J8" s="185">
        <f t="shared" ref="J8:K37" si="2">AVERAGE(Q8,V8,AA8,AF8,AK8,AP8,AU8)</f>
        <v>3187.3583778654879</v>
      </c>
      <c r="K8" s="186">
        <f t="shared" si="2"/>
        <v>1062.4527926218293</v>
      </c>
      <c r="L8" s="613"/>
      <c r="M8" s="185">
        <f>RANK(K8, K$7:$K$43)</f>
        <v>8</v>
      </c>
      <c r="N8" s="624"/>
      <c r="O8" s="614"/>
      <c r="P8" s="187">
        <v>3</v>
      </c>
      <c r="Q8" s="187">
        <v>3190.0840921512017</v>
      </c>
      <c r="R8" s="184">
        <f t="shared" ref="R8:R42" si="3">IFERROR(Q8/P8,"")</f>
        <v>1063.3613640504007</v>
      </c>
      <c r="S8" s="181">
        <f t="shared" ref="S8:S42" si="4">RANK(R8, R$7:R$43)</f>
        <v>6</v>
      </c>
      <c r="T8" s="610"/>
      <c r="U8" s="187">
        <v>3</v>
      </c>
      <c r="V8" s="187">
        <v>3189.0040921512018</v>
      </c>
      <c r="W8" s="184">
        <f t="shared" si="0"/>
        <v>1063.0013640504005</v>
      </c>
      <c r="X8" s="181">
        <f t="shared" ref="X8:X42" si="5">RANK(W8, W$7:W$43)</f>
        <v>7</v>
      </c>
      <c r="Y8" s="610"/>
      <c r="Z8" s="187">
        <v>3</v>
      </c>
      <c r="AA8" s="187">
        <v>3187.9240921512023</v>
      </c>
      <c r="AB8" s="184">
        <f t="shared" ref="AB8:AB42" si="6">IFERROR(AA8/Z8,"")</f>
        <v>1062.6413640504009</v>
      </c>
      <c r="AC8" s="181">
        <f t="shared" ref="AC8:AC42" si="7">RANK(AB8, AB$7:AB$43)</f>
        <v>8</v>
      </c>
      <c r="AD8" s="610"/>
      <c r="AE8" s="187">
        <v>3</v>
      </c>
      <c r="AF8" s="187">
        <v>3186.8440921512029</v>
      </c>
      <c r="AG8" s="184">
        <f t="shared" ref="AG8:AG42" si="8">IFERROR(AF8/AE8,"")</f>
        <v>1062.281364050401</v>
      </c>
      <c r="AH8" s="181">
        <f t="shared" ref="AH8:AH42" si="9">RANK(AG8, AG$7:AG$43)</f>
        <v>8</v>
      </c>
      <c r="AI8" s="610"/>
      <c r="AJ8" s="187">
        <v>3</v>
      </c>
      <c r="AK8" s="187">
        <v>3185.7640921512025</v>
      </c>
      <c r="AL8" s="184">
        <f t="shared" ref="AL8:AL42" si="10">IFERROR(AK8/AJ8,"")</f>
        <v>1061.9213640504008</v>
      </c>
      <c r="AM8" s="181">
        <f t="shared" ref="AM8:AM42" si="11">RANK(AL8, AL$7:AL$43)</f>
        <v>9</v>
      </c>
      <c r="AN8" s="610"/>
      <c r="AO8" s="187">
        <v>3</v>
      </c>
      <c r="AP8" s="187">
        <v>3185.0440921512022</v>
      </c>
      <c r="AQ8" s="184">
        <f t="shared" ref="AQ8:AQ42" si="12">IFERROR(AP8/AO8,"")</f>
        <v>1061.6813640504008</v>
      </c>
      <c r="AR8" s="181">
        <f t="shared" ref="AR8:AR42" si="13">RANK(AQ8, AQ$7:AQ$43)</f>
        <v>9</v>
      </c>
      <c r="AS8" s="610"/>
      <c r="AT8" s="187">
        <v>3</v>
      </c>
      <c r="AU8" s="187">
        <v>3186.8440921512024</v>
      </c>
      <c r="AV8" s="184">
        <f t="shared" ref="AV8:AV42" si="14">IFERROR(AU8/AT8,"")</f>
        <v>1062.2813640504007</v>
      </c>
      <c r="AW8" s="181">
        <f t="shared" ref="AW8:AW42" si="15">RANK(AV8, AV$7:AV$43)</f>
        <v>7</v>
      </c>
      <c r="AX8" s="610"/>
    </row>
    <row r="9" spans="1:50" ht="14.25" customHeight="1">
      <c r="B9" s="611"/>
      <c r="C9" s="179">
        <v>3</v>
      </c>
      <c r="D9" s="182" t="s">
        <v>392</v>
      </c>
      <c r="E9" s="183">
        <v>5</v>
      </c>
      <c r="F9" s="179">
        <v>3600</v>
      </c>
      <c r="G9" s="184">
        <f t="shared" si="1"/>
        <v>720</v>
      </c>
      <c r="H9" s="612"/>
      <c r="I9" s="185">
        <f t="shared" ref="I9:K38" si="16">AVERAGE(P9,U9,Z9,AE9,AJ9,AO9,AT9)</f>
        <v>5</v>
      </c>
      <c r="J9" s="185">
        <f t="shared" si="2"/>
        <v>3195.3929705264777</v>
      </c>
      <c r="K9" s="186">
        <f t="shared" si="2"/>
        <v>639.07859410529545</v>
      </c>
      <c r="L9" s="613"/>
      <c r="M9" s="185">
        <f>RANK(K9, K$7:$K$43)</f>
        <v>24</v>
      </c>
      <c r="N9" s="624"/>
      <c r="O9" s="614"/>
      <c r="P9" s="187">
        <v>5</v>
      </c>
      <c r="Q9" s="187">
        <v>3194.4158276693352</v>
      </c>
      <c r="R9" s="184">
        <f t="shared" si="3"/>
        <v>638.88316553386699</v>
      </c>
      <c r="S9" s="181">
        <f t="shared" si="4"/>
        <v>24</v>
      </c>
      <c r="T9" s="610"/>
      <c r="U9" s="187">
        <v>5</v>
      </c>
      <c r="V9" s="187">
        <v>3195.135827669335</v>
      </c>
      <c r="W9" s="184">
        <f t="shared" si="0"/>
        <v>639.02716553386699</v>
      </c>
      <c r="X9" s="181">
        <f t="shared" si="5"/>
        <v>23</v>
      </c>
      <c r="Y9" s="610"/>
      <c r="Z9" s="187">
        <v>5</v>
      </c>
      <c r="AA9" s="187">
        <v>3195.8558276693348</v>
      </c>
      <c r="AB9" s="184">
        <f t="shared" si="6"/>
        <v>639.171165533867</v>
      </c>
      <c r="AC9" s="181">
        <f t="shared" si="7"/>
        <v>24</v>
      </c>
      <c r="AD9" s="610"/>
      <c r="AE9" s="187">
        <v>5</v>
      </c>
      <c r="AF9" s="187">
        <v>3196.9358276693342</v>
      </c>
      <c r="AG9" s="184">
        <f t="shared" si="8"/>
        <v>639.38716553386689</v>
      </c>
      <c r="AH9" s="181">
        <f t="shared" si="9"/>
        <v>23</v>
      </c>
      <c r="AI9" s="610"/>
      <c r="AJ9" s="187">
        <v>5</v>
      </c>
      <c r="AK9" s="187">
        <v>3195.4958276693346</v>
      </c>
      <c r="AL9" s="184">
        <f t="shared" si="10"/>
        <v>639.09916553386688</v>
      </c>
      <c r="AM9" s="181">
        <f t="shared" si="11"/>
        <v>24</v>
      </c>
      <c r="AN9" s="610"/>
      <c r="AO9" s="187">
        <v>5</v>
      </c>
      <c r="AP9" s="187">
        <v>3195.1358276693345</v>
      </c>
      <c r="AQ9" s="184">
        <f t="shared" si="12"/>
        <v>639.02716553386688</v>
      </c>
      <c r="AR9" s="181">
        <f t="shared" si="13"/>
        <v>24</v>
      </c>
      <c r="AS9" s="610"/>
      <c r="AT9" s="187">
        <v>5</v>
      </c>
      <c r="AU9" s="187">
        <v>3194.7758276693344</v>
      </c>
      <c r="AV9" s="184">
        <f t="shared" si="14"/>
        <v>638.95516553386688</v>
      </c>
      <c r="AW9" s="181">
        <f t="shared" si="15"/>
        <v>25</v>
      </c>
      <c r="AX9" s="610"/>
    </row>
    <row r="10" spans="1:50" ht="14.25" customHeight="1">
      <c r="B10" s="611"/>
      <c r="C10" s="179">
        <v>4</v>
      </c>
      <c r="D10" s="182" t="s">
        <v>229</v>
      </c>
      <c r="E10" s="183">
        <v>5</v>
      </c>
      <c r="F10" s="179">
        <v>3300</v>
      </c>
      <c r="G10" s="184">
        <f t="shared" si="1"/>
        <v>660</v>
      </c>
      <c r="H10" s="612"/>
      <c r="I10" s="185">
        <f t="shared" si="16"/>
        <v>5</v>
      </c>
      <c r="J10" s="185">
        <f t="shared" si="2"/>
        <v>2989.8</v>
      </c>
      <c r="K10" s="186">
        <f t="shared" si="2"/>
        <v>597.96</v>
      </c>
      <c r="L10" s="613"/>
      <c r="M10" s="185">
        <f>RANK(K10, K$7:$K$43)</f>
        <v>29</v>
      </c>
      <c r="N10" s="624"/>
      <c r="O10" s="614"/>
      <c r="P10" s="187">
        <v>5</v>
      </c>
      <c r="Q10" s="187">
        <v>2989.8</v>
      </c>
      <c r="R10" s="184">
        <f t="shared" si="3"/>
        <v>597.96</v>
      </c>
      <c r="S10" s="181">
        <f t="shared" si="4"/>
        <v>29</v>
      </c>
      <c r="T10" s="610"/>
      <c r="U10" s="187">
        <v>5</v>
      </c>
      <c r="V10" s="187">
        <v>2989.8</v>
      </c>
      <c r="W10" s="184">
        <f t="shared" si="0"/>
        <v>597.96</v>
      </c>
      <c r="X10" s="181">
        <f t="shared" si="5"/>
        <v>29</v>
      </c>
      <c r="Y10" s="610"/>
      <c r="Z10" s="187">
        <v>5</v>
      </c>
      <c r="AA10" s="187">
        <v>2989.8</v>
      </c>
      <c r="AB10" s="184">
        <f t="shared" si="6"/>
        <v>597.96</v>
      </c>
      <c r="AC10" s="181">
        <f t="shared" si="7"/>
        <v>29</v>
      </c>
      <c r="AD10" s="610"/>
      <c r="AE10" s="187">
        <v>5</v>
      </c>
      <c r="AF10" s="187">
        <v>2989.8000000000006</v>
      </c>
      <c r="AG10" s="184">
        <f t="shared" si="8"/>
        <v>597.96000000000015</v>
      </c>
      <c r="AH10" s="181">
        <f t="shared" si="9"/>
        <v>29</v>
      </c>
      <c r="AI10" s="610"/>
      <c r="AJ10" s="187">
        <v>5</v>
      </c>
      <c r="AK10" s="187">
        <v>2989.7999999999997</v>
      </c>
      <c r="AL10" s="184">
        <f t="shared" si="10"/>
        <v>597.95999999999992</v>
      </c>
      <c r="AM10" s="181">
        <f t="shared" si="11"/>
        <v>30</v>
      </c>
      <c r="AN10" s="610"/>
      <c r="AO10" s="187">
        <v>5</v>
      </c>
      <c r="AP10" s="187">
        <v>2989.7999999999997</v>
      </c>
      <c r="AQ10" s="184">
        <f t="shared" si="12"/>
        <v>597.95999999999992</v>
      </c>
      <c r="AR10" s="181">
        <f t="shared" si="13"/>
        <v>30</v>
      </c>
      <c r="AS10" s="610"/>
      <c r="AT10" s="187">
        <v>5</v>
      </c>
      <c r="AU10" s="187">
        <v>2989.8</v>
      </c>
      <c r="AV10" s="184">
        <f t="shared" si="14"/>
        <v>597.96</v>
      </c>
      <c r="AW10" s="181">
        <f t="shared" si="15"/>
        <v>29</v>
      </c>
      <c r="AX10" s="610"/>
    </row>
    <row r="11" spans="1:50" ht="14.25" customHeight="1">
      <c r="B11" s="611"/>
      <c r="C11" s="179">
        <v>5</v>
      </c>
      <c r="D11" s="182" t="s">
        <v>388</v>
      </c>
      <c r="E11" s="183">
        <v>3</v>
      </c>
      <c r="F11" s="179">
        <v>3600</v>
      </c>
      <c r="G11" s="184">
        <f t="shared" si="1"/>
        <v>1200</v>
      </c>
      <c r="H11" s="612"/>
      <c r="I11" s="185">
        <f t="shared" si="16"/>
        <v>3</v>
      </c>
      <c r="J11" s="185">
        <f t="shared" si="2"/>
        <v>3194.3640007317154</v>
      </c>
      <c r="K11" s="186">
        <f t="shared" si="2"/>
        <v>1064.7880002439051</v>
      </c>
      <c r="L11" s="613"/>
      <c r="M11" s="185">
        <f>RANK(K11, K$7:$K$43)</f>
        <v>3</v>
      </c>
      <c r="N11" s="624"/>
      <c r="O11" s="614"/>
      <c r="P11" s="187">
        <v>3</v>
      </c>
      <c r="Q11" s="187">
        <v>3193.4382864460008</v>
      </c>
      <c r="R11" s="184">
        <f t="shared" si="3"/>
        <v>1064.4794288153337</v>
      </c>
      <c r="S11" s="181">
        <f t="shared" si="4"/>
        <v>3</v>
      </c>
      <c r="T11" s="610"/>
      <c r="U11" s="187">
        <v>3</v>
      </c>
      <c r="V11" s="187">
        <v>3193.7982864460009</v>
      </c>
      <c r="W11" s="184">
        <f t="shared" si="0"/>
        <v>1064.5994288153336</v>
      </c>
      <c r="X11" s="181">
        <f t="shared" si="5"/>
        <v>3</v>
      </c>
      <c r="Y11" s="610"/>
      <c r="Z11" s="187">
        <v>3</v>
      </c>
      <c r="AA11" s="187">
        <v>3193.4382864460008</v>
      </c>
      <c r="AB11" s="184">
        <f t="shared" si="6"/>
        <v>1064.4794288153337</v>
      </c>
      <c r="AC11" s="181">
        <f t="shared" si="7"/>
        <v>3</v>
      </c>
      <c r="AD11" s="610"/>
      <c r="AE11" s="187">
        <v>3</v>
      </c>
      <c r="AF11" s="187">
        <v>3193.4382864460008</v>
      </c>
      <c r="AG11" s="184">
        <f t="shared" si="8"/>
        <v>1064.4794288153337</v>
      </c>
      <c r="AH11" s="181">
        <f t="shared" si="9"/>
        <v>3</v>
      </c>
      <c r="AI11" s="610"/>
      <c r="AJ11" s="187">
        <v>3</v>
      </c>
      <c r="AK11" s="187">
        <v>3194.5182864460012</v>
      </c>
      <c r="AL11" s="184">
        <f t="shared" si="10"/>
        <v>1064.8394288153338</v>
      </c>
      <c r="AM11" s="181">
        <f t="shared" si="11"/>
        <v>3</v>
      </c>
      <c r="AN11" s="610"/>
      <c r="AO11" s="187">
        <v>3</v>
      </c>
      <c r="AP11" s="187">
        <v>3195.598286446002</v>
      </c>
      <c r="AQ11" s="184">
        <f t="shared" si="12"/>
        <v>1065.1994288153339</v>
      </c>
      <c r="AR11" s="181">
        <f t="shared" si="13"/>
        <v>3</v>
      </c>
      <c r="AS11" s="610"/>
      <c r="AT11" s="187">
        <v>3</v>
      </c>
      <c r="AU11" s="187">
        <v>3196.3182864460014</v>
      </c>
      <c r="AV11" s="184">
        <f t="shared" si="14"/>
        <v>1065.4394288153337</v>
      </c>
      <c r="AW11" s="181">
        <f t="shared" si="15"/>
        <v>2</v>
      </c>
      <c r="AX11" s="610"/>
    </row>
    <row r="12" spans="1:50" ht="14.25" customHeight="1">
      <c r="B12" s="611"/>
      <c r="C12" s="179">
        <v>6</v>
      </c>
      <c r="D12" s="182" t="s">
        <v>339</v>
      </c>
      <c r="E12" s="183">
        <v>4</v>
      </c>
      <c r="F12" s="179">
        <v>3600</v>
      </c>
      <c r="G12" s="184">
        <f t="shared" si="1"/>
        <v>900</v>
      </c>
      <c r="H12" s="612"/>
      <c r="I12" s="185">
        <f t="shared" si="16"/>
        <v>4</v>
      </c>
      <c r="J12" s="185">
        <f t="shared" si="2"/>
        <v>3192.4285714285734</v>
      </c>
      <c r="K12" s="186">
        <f t="shared" si="2"/>
        <v>798.10714285714334</v>
      </c>
      <c r="L12" s="613"/>
      <c r="M12" s="185">
        <f>RANK(K12, K$7:$K$43)</f>
        <v>17</v>
      </c>
      <c r="N12" s="624"/>
      <c r="O12" s="614"/>
      <c r="P12" s="187">
        <v>4</v>
      </c>
      <c r="Q12" s="187">
        <v>3193.2000000000021</v>
      </c>
      <c r="R12" s="184">
        <f t="shared" si="3"/>
        <v>798.30000000000052</v>
      </c>
      <c r="S12" s="181">
        <f t="shared" si="4"/>
        <v>17</v>
      </c>
      <c r="T12" s="610"/>
      <c r="U12" s="187">
        <v>4</v>
      </c>
      <c r="V12" s="187">
        <v>3193.2000000000021</v>
      </c>
      <c r="W12" s="184">
        <f t="shared" si="0"/>
        <v>798.30000000000052</v>
      </c>
      <c r="X12" s="181">
        <f t="shared" si="5"/>
        <v>16</v>
      </c>
      <c r="Y12" s="610"/>
      <c r="Z12" s="187">
        <v>4</v>
      </c>
      <c r="AA12" s="187">
        <v>3192.4800000000018</v>
      </c>
      <c r="AB12" s="184">
        <f t="shared" si="6"/>
        <v>798.12000000000046</v>
      </c>
      <c r="AC12" s="181">
        <f t="shared" si="7"/>
        <v>16</v>
      </c>
      <c r="AD12" s="610"/>
      <c r="AE12" s="187">
        <v>4</v>
      </c>
      <c r="AF12" s="187">
        <v>3191.4000000000019</v>
      </c>
      <c r="AG12" s="184">
        <f t="shared" si="8"/>
        <v>797.85000000000048</v>
      </c>
      <c r="AH12" s="181">
        <f t="shared" si="9"/>
        <v>17</v>
      </c>
      <c r="AI12" s="610"/>
      <c r="AJ12" s="187">
        <v>4</v>
      </c>
      <c r="AK12" s="187">
        <v>3191.7600000000016</v>
      </c>
      <c r="AL12" s="184">
        <f t="shared" si="10"/>
        <v>797.9400000000004</v>
      </c>
      <c r="AM12" s="181">
        <f t="shared" si="11"/>
        <v>17</v>
      </c>
      <c r="AN12" s="610"/>
      <c r="AO12" s="187">
        <v>4</v>
      </c>
      <c r="AP12" s="187">
        <v>3192.8400000000011</v>
      </c>
      <c r="AQ12" s="184">
        <f t="shared" si="12"/>
        <v>798.21000000000026</v>
      </c>
      <c r="AR12" s="181">
        <f t="shared" si="13"/>
        <v>17</v>
      </c>
      <c r="AS12" s="610"/>
      <c r="AT12" s="187">
        <v>4</v>
      </c>
      <c r="AU12" s="187">
        <v>3192.1200000000013</v>
      </c>
      <c r="AV12" s="184">
        <f t="shared" si="14"/>
        <v>798.03000000000031</v>
      </c>
      <c r="AW12" s="181">
        <f t="shared" si="15"/>
        <v>17</v>
      </c>
      <c r="AX12" s="610"/>
    </row>
    <row r="13" spans="1:50" ht="14.25" customHeight="1">
      <c r="B13" s="611"/>
      <c r="C13" s="179">
        <v>7</v>
      </c>
      <c r="D13" s="182" t="s">
        <v>390</v>
      </c>
      <c r="E13" s="183">
        <v>3</v>
      </c>
      <c r="F13" s="179">
        <v>3600</v>
      </c>
      <c r="G13" s="184">
        <f t="shared" si="1"/>
        <v>1200</v>
      </c>
      <c r="H13" s="612"/>
      <c r="I13" s="185">
        <f t="shared" si="16"/>
        <v>3</v>
      </c>
      <c r="J13" s="185">
        <f t="shared" si="2"/>
        <v>3187.6544787857465</v>
      </c>
      <c r="K13" s="186">
        <f t="shared" si="2"/>
        <v>1062.5514929285823</v>
      </c>
      <c r="L13" s="613"/>
      <c r="M13" s="185">
        <f>RANK(K13, K$7:$K$43)</f>
        <v>7</v>
      </c>
      <c r="N13" s="624"/>
      <c r="O13" s="614"/>
      <c r="P13" s="187">
        <v>3</v>
      </c>
      <c r="Q13" s="187">
        <v>3186.2659073571767</v>
      </c>
      <c r="R13" s="184">
        <f t="shared" si="3"/>
        <v>1062.0886357857255</v>
      </c>
      <c r="S13" s="181">
        <f t="shared" si="4"/>
        <v>8</v>
      </c>
      <c r="T13" s="610"/>
      <c r="U13" s="187">
        <v>3</v>
      </c>
      <c r="V13" s="187">
        <v>3187.3459073571762</v>
      </c>
      <c r="W13" s="184">
        <f t="shared" si="0"/>
        <v>1062.4486357857254</v>
      </c>
      <c r="X13" s="181">
        <f t="shared" si="5"/>
        <v>8</v>
      </c>
      <c r="Y13" s="610"/>
      <c r="Z13" s="187">
        <v>3</v>
      </c>
      <c r="AA13" s="187">
        <v>3188.4259073571761</v>
      </c>
      <c r="AB13" s="184">
        <f t="shared" si="6"/>
        <v>1062.8086357857253</v>
      </c>
      <c r="AC13" s="181">
        <f t="shared" si="7"/>
        <v>7</v>
      </c>
      <c r="AD13" s="610"/>
      <c r="AE13" s="187">
        <v>3</v>
      </c>
      <c r="AF13" s="187">
        <v>3187.7059073571754</v>
      </c>
      <c r="AG13" s="184">
        <f t="shared" si="8"/>
        <v>1062.5686357857251</v>
      </c>
      <c r="AH13" s="181">
        <f t="shared" si="9"/>
        <v>7</v>
      </c>
      <c r="AI13" s="610"/>
      <c r="AJ13" s="187">
        <v>3</v>
      </c>
      <c r="AK13" s="187">
        <v>3188.7859073571749</v>
      </c>
      <c r="AL13" s="184">
        <f t="shared" si="10"/>
        <v>1062.928635785725</v>
      </c>
      <c r="AM13" s="181">
        <f t="shared" si="11"/>
        <v>6</v>
      </c>
      <c r="AN13" s="610"/>
      <c r="AO13" s="187">
        <v>3</v>
      </c>
      <c r="AP13" s="187">
        <v>3188.0659073571751</v>
      </c>
      <c r="AQ13" s="184">
        <f t="shared" si="12"/>
        <v>1062.688635785725</v>
      </c>
      <c r="AR13" s="181">
        <f t="shared" si="13"/>
        <v>6</v>
      </c>
      <c r="AS13" s="610"/>
      <c r="AT13" s="187">
        <v>3</v>
      </c>
      <c r="AU13" s="187">
        <v>3186.9859073571752</v>
      </c>
      <c r="AV13" s="184">
        <f t="shared" si="14"/>
        <v>1062.3286357857251</v>
      </c>
      <c r="AW13" s="181">
        <f t="shared" si="15"/>
        <v>6</v>
      </c>
      <c r="AX13" s="610"/>
    </row>
    <row r="14" spans="1:50" ht="14.25" customHeight="1">
      <c r="B14" s="611"/>
      <c r="C14" s="179">
        <v>8</v>
      </c>
      <c r="D14" s="182" t="s">
        <v>389</v>
      </c>
      <c r="E14" s="183">
        <v>5</v>
      </c>
      <c r="F14" s="179">
        <v>3600</v>
      </c>
      <c r="G14" s="184">
        <f t="shared" si="1"/>
        <v>720</v>
      </c>
      <c r="H14" s="612"/>
      <c r="I14" s="185">
        <f t="shared" si="16"/>
        <v>5</v>
      </c>
      <c r="J14" s="185">
        <f t="shared" si="2"/>
        <v>3191.7990248403971</v>
      </c>
      <c r="K14" s="186">
        <f t="shared" si="2"/>
        <v>638.35980496807952</v>
      </c>
      <c r="L14" s="613"/>
      <c r="M14" s="185">
        <f>RANK(K14, K$7:$K$43)</f>
        <v>27</v>
      </c>
      <c r="N14" s="624"/>
      <c r="O14" s="614"/>
      <c r="P14" s="187">
        <v>5</v>
      </c>
      <c r="Q14" s="187">
        <v>3193.4961676975386</v>
      </c>
      <c r="R14" s="184">
        <f t="shared" si="3"/>
        <v>638.69923353950776</v>
      </c>
      <c r="S14" s="181">
        <f t="shared" si="4"/>
        <v>25</v>
      </c>
      <c r="T14" s="610"/>
      <c r="U14" s="187">
        <v>5</v>
      </c>
      <c r="V14" s="187">
        <v>3193.1361676975393</v>
      </c>
      <c r="W14" s="184">
        <f t="shared" si="0"/>
        <v>638.62723353950787</v>
      </c>
      <c r="X14" s="181">
        <f t="shared" si="5"/>
        <v>25</v>
      </c>
      <c r="Y14" s="610"/>
      <c r="Z14" s="187">
        <v>5</v>
      </c>
      <c r="AA14" s="187">
        <v>3191.6961676975397</v>
      </c>
      <c r="AB14" s="184">
        <f t="shared" si="6"/>
        <v>638.33923353950797</v>
      </c>
      <c r="AC14" s="181">
        <f t="shared" si="7"/>
        <v>28</v>
      </c>
      <c r="AD14" s="610"/>
      <c r="AE14" s="187">
        <v>5</v>
      </c>
      <c r="AF14" s="187">
        <v>3190.2561676975401</v>
      </c>
      <c r="AG14" s="184">
        <f t="shared" si="8"/>
        <v>638.05123353950808</v>
      </c>
      <c r="AH14" s="181">
        <f t="shared" si="9"/>
        <v>28</v>
      </c>
      <c r="AI14" s="610"/>
      <c r="AJ14" s="187">
        <v>5</v>
      </c>
      <c r="AK14" s="187">
        <v>3191.6961676975402</v>
      </c>
      <c r="AL14" s="184">
        <f t="shared" si="10"/>
        <v>638.33923353950809</v>
      </c>
      <c r="AM14" s="181">
        <f t="shared" si="11"/>
        <v>27</v>
      </c>
      <c r="AN14" s="610"/>
      <c r="AO14" s="187">
        <v>5</v>
      </c>
      <c r="AP14" s="187">
        <v>3190.9761676975404</v>
      </c>
      <c r="AQ14" s="184">
        <f t="shared" si="12"/>
        <v>638.19523353950808</v>
      </c>
      <c r="AR14" s="181">
        <f t="shared" si="13"/>
        <v>28</v>
      </c>
      <c r="AS14" s="610"/>
      <c r="AT14" s="187">
        <v>5</v>
      </c>
      <c r="AU14" s="187">
        <v>3191.3361676975405</v>
      </c>
      <c r="AV14" s="184">
        <f t="shared" si="14"/>
        <v>638.26723353950808</v>
      </c>
      <c r="AW14" s="181">
        <f t="shared" si="15"/>
        <v>28</v>
      </c>
      <c r="AX14" s="610"/>
    </row>
    <row r="15" spans="1:50" ht="14.25" customHeight="1">
      <c r="B15" s="611"/>
      <c r="C15" s="179">
        <v>9</v>
      </c>
      <c r="D15" s="182" t="s">
        <v>387</v>
      </c>
      <c r="E15" s="183">
        <v>5</v>
      </c>
      <c r="F15" s="179">
        <v>3600</v>
      </c>
      <c r="G15" s="184">
        <f t="shared" si="1"/>
        <v>720</v>
      </c>
      <c r="H15" s="612"/>
      <c r="I15" s="185">
        <f t="shared" si="16"/>
        <v>5</v>
      </c>
      <c r="J15" s="185">
        <f t="shared" si="2"/>
        <v>3197.9721358709162</v>
      </c>
      <c r="K15" s="186">
        <f t="shared" si="2"/>
        <v>639.59442717418301</v>
      </c>
      <c r="L15" s="613"/>
      <c r="M15" s="185">
        <f>RANK(K15, K$7:$K$43)</f>
        <v>23</v>
      </c>
      <c r="N15" s="624"/>
      <c r="O15" s="614"/>
      <c r="P15" s="187">
        <v>5</v>
      </c>
      <c r="Q15" s="187">
        <v>3200.78332875462</v>
      </c>
      <c r="R15" s="184">
        <f t="shared" si="3"/>
        <v>640.15666575092405</v>
      </c>
      <c r="S15" s="181">
        <f t="shared" si="4"/>
        <v>22</v>
      </c>
      <c r="T15" s="610"/>
      <c r="U15" s="187">
        <v>5</v>
      </c>
      <c r="V15" s="187">
        <v>3202.2233287546205</v>
      </c>
      <c r="W15" s="184">
        <f t="shared" si="0"/>
        <v>640.44466575092406</v>
      </c>
      <c r="X15" s="181">
        <f t="shared" si="5"/>
        <v>21</v>
      </c>
      <c r="Y15" s="610"/>
      <c r="Z15" s="187">
        <v>5</v>
      </c>
      <c r="AA15" s="187">
        <v>3196.8476587174341</v>
      </c>
      <c r="AB15" s="184">
        <f t="shared" si="6"/>
        <v>639.36953174348685</v>
      </c>
      <c r="AC15" s="181">
        <f t="shared" si="7"/>
        <v>22</v>
      </c>
      <c r="AD15" s="610"/>
      <c r="AE15" s="187">
        <v>5</v>
      </c>
      <c r="AF15" s="187">
        <v>3196.487658717434</v>
      </c>
      <c r="AG15" s="184">
        <f t="shared" si="8"/>
        <v>639.29753174348684</v>
      </c>
      <c r="AH15" s="181">
        <f t="shared" si="9"/>
        <v>24</v>
      </c>
      <c r="AI15" s="610"/>
      <c r="AJ15" s="187">
        <v>5</v>
      </c>
      <c r="AK15" s="187">
        <v>3196.8476587174341</v>
      </c>
      <c r="AL15" s="184">
        <f t="shared" si="10"/>
        <v>639.36953174348685</v>
      </c>
      <c r="AM15" s="181">
        <f t="shared" si="11"/>
        <v>23</v>
      </c>
      <c r="AN15" s="610"/>
      <c r="AO15" s="187">
        <v>5</v>
      </c>
      <c r="AP15" s="187">
        <v>3196.8476587174337</v>
      </c>
      <c r="AQ15" s="184">
        <f t="shared" si="12"/>
        <v>639.36953174348673</v>
      </c>
      <c r="AR15" s="181">
        <f t="shared" si="13"/>
        <v>23</v>
      </c>
      <c r="AS15" s="610"/>
      <c r="AT15" s="187">
        <v>5</v>
      </c>
      <c r="AU15" s="187">
        <v>3195.7676587174337</v>
      </c>
      <c r="AV15" s="184">
        <f t="shared" si="14"/>
        <v>639.15353174348672</v>
      </c>
      <c r="AW15" s="181">
        <f t="shared" si="15"/>
        <v>23</v>
      </c>
      <c r="AX15" s="610"/>
    </row>
    <row r="16" spans="1:50" ht="14.25" customHeight="1">
      <c r="B16" s="611"/>
      <c r="C16" s="179">
        <v>10</v>
      </c>
      <c r="D16" s="182" t="s">
        <v>228</v>
      </c>
      <c r="E16" s="183">
        <v>3</v>
      </c>
      <c r="F16" s="179">
        <v>3000</v>
      </c>
      <c r="G16" s="184">
        <f t="shared" si="1"/>
        <v>1000</v>
      </c>
      <c r="H16" s="612"/>
      <c r="I16" s="185">
        <f t="shared" si="16"/>
        <v>3</v>
      </c>
      <c r="J16" s="185">
        <f t="shared" si="2"/>
        <v>2718.2064514543795</v>
      </c>
      <c r="K16" s="186">
        <f t="shared" si="2"/>
        <v>906.06881715145994</v>
      </c>
      <c r="L16" s="613"/>
      <c r="M16" s="185">
        <f>RANK(K16, K$7:$K$43)</f>
        <v>13</v>
      </c>
      <c r="N16" s="624"/>
      <c r="O16" s="614"/>
      <c r="P16" s="187">
        <v>3</v>
      </c>
      <c r="Q16" s="187">
        <v>2717.9921657400932</v>
      </c>
      <c r="R16" s="184">
        <f t="shared" si="3"/>
        <v>905.99738858003104</v>
      </c>
      <c r="S16" s="181">
        <f t="shared" si="4"/>
        <v>13</v>
      </c>
      <c r="T16" s="610"/>
      <c r="U16" s="187">
        <v>3</v>
      </c>
      <c r="V16" s="187">
        <v>2719.1921657400931</v>
      </c>
      <c r="W16" s="184">
        <f t="shared" si="0"/>
        <v>906.39738858003102</v>
      </c>
      <c r="X16" s="181">
        <f t="shared" si="5"/>
        <v>13</v>
      </c>
      <c r="Y16" s="610"/>
      <c r="Z16" s="187">
        <v>3</v>
      </c>
      <c r="AA16" s="187">
        <v>2718.8921657400938</v>
      </c>
      <c r="AB16" s="184">
        <f t="shared" si="6"/>
        <v>906.29738858003122</v>
      </c>
      <c r="AC16" s="181">
        <f t="shared" si="7"/>
        <v>13</v>
      </c>
      <c r="AD16" s="610"/>
      <c r="AE16" s="187">
        <v>3</v>
      </c>
      <c r="AF16" s="187">
        <v>2717.9921657400937</v>
      </c>
      <c r="AG16" s="184">
        <f t="shared" si="8"/>
        <v>905.99738858003127</v>
      </c>
      <c r="AH16" s="181">
        <f t="shared" si="9"/>
        <v>13</v>
      </c>
      <c r="AI16" s="610"/>
      <c r="AJ16" s="187">
        <v>3</v>
      </c>
      <c r="AK16" s="187">
        <v>2718.2921657400939</v>
      </c>
      <c r="AL16" s="184">
        <f t="shared" si="10"/>
        <v>906.09738858003129</v>
      </c>
      <c r="AM16" s="181">
        <f t="shared" si="11"/>
        <v>14</v>
      </c>
      <c r="AN16" s="610"/>
      <c r="AO16" s="187">
        <v>3</v>
      </c>
      <c r="AP16" s="187">
        <v>2717.0921657400936</v>
      </c>
      <c r="AQ16" s="184">
        <f t="shared" si="12"/>
        <v>905.6973885800312</v>
      </c>
      <c r="AR16" s="181">
        <f t="shared" si="13"/>
        <v>15</v>
      </c>
      <c r="AS16" s="610"/>
      <c r="AT16" s="187">
        <v>3</v>
      </c>
      <c r="AU16" s="187">
        <v>2717.9921657400942</v>
      </c>
      <c r="AV16" s="184">
        <f t="shared" si="14"/>
        <v>905.99738858003138</v>
      </c>
      <c r="AW16" s="181">
        <f t="shared" si="15"/>
        <v>14</v>
      </c>
      <c r="AX16" s="610"/>
    </row>
    <row r="17" spans="2:50" ht="14.25" customHeight="1">
      <c r="B17" s="611"/>
      <c r="C17" s="179">
        <v>11</v>
      </c>
      <c r="D17" s="182" t="s">
        <v>439</v>
      </c>
      <c r="E17" s="183">
        <v>12</v>
      </c>
      <c r="F17" s="179">
        <v>3600</v>
      </c>
      <c r="G17" s="184">
        <f t="shared" si="1"/>
        <v>300</v>
      </c>
      <c r="H17" s="612"/>
      <c r="I17" s="185">
        <f t="shared" si="16"/>
        <v>12</v>
      </c>
      <c r="J17" s="185">
        <f t="shared" si="2"/>
        <v>3116.6325099237552</v>
      </c>
      <c r="K17" s="186">
        <f t="shared" si="2"/>
        <v>259.71937582697961</v>
      </c>
      <c r="L17" s="613"/>
      <c r="M17" s="185">
        <f>RANK(K17, K$7:$K$43)</f>
        <v>35</v>
      </c>
      <c r="N17" s="624"/>
      <c r="O17" s="614"/>
      <c r="P17" s="187">
        <v>12</v>
      </c>
      <c r="Q17" s="187">
        <v>3114.4210813523268</v>
      </c>
      <c r="R17" s="184">
        <f t="shared" si="3"/>
        <v>259.53509011269392</v>
      </c>
      <c r="S17" s="181">
        <f t="shared" si="4"/>
        <v>34</v>
      </c>
      <c r="T17" s="610"/>
      <c r="U17" s="187">
        <v>12</v>
      </c>
      <c r="V17" s="187">
        <v>3115.8610813523269</v>
      </c>
      <c r="W17" s="184">
        <f t="shared" si="0"/>
        <v>259.65509011269393</v>
      </c>
      <c r="X17" s="181">
        <f t="shared" si="5"/>
        <v>35</v>
      </c>
      <c r="Y17" s="610"/>
      <c r="Z17" s="187">
        <v>12</v>
      </c>
      <c r="AA17" s="187">
        <v>3116.9410813523268</v>
      </c>
      <c r="AB17" s="184">
        <f t="shared" si="6"/>
        <v>259.7450901126939</v>
      </c>
      <c r="AC17" s="181">
        <f t="shared" si="7"/>
        <v>34</v>
      </c>
      <c r="AD17" s="610"/>
      <c r="AE17" s="187">
        <v>12</v>
      </c>
      <c r="AF17" s="187">
        <v>3118.7410813523265</v>
      </c>
      <c r="AG17" s="184">
        <f t="shared" si="8"/>
        <v>259.89509011269388</v>
      </c>
      <c r="AH17" s="181">
        <f t="shared" si="9"/>
        <v>34</v>
      </c>
      <c r="AI17" s="610"/>
      <c r="AJ17" s="187">
        <v>12</v>
      </c>
      <c r="AK17" s="187">
        <v>3117.6610813523266</v>
      </c>
      <c r="AL17" s="184">
        <f t="shared" si="10"/>
        <v>259.8050901126939</v>
      </c>
      <c r="AM17" s="181">
        <f t="shared" si="11"/>
        <v>34</v>
      </c>
      <c r="AN17" s="610"/>
      <c r="AO17" s="187">
        <v>12</v>
      </c>
      <c r="AP17" s="187">
        <v>3115.8610813523269</v>
      </c>
      <c r="AQ17" s="184">
        <f t="shared" si="12"/>
        <v>259.65509011269393</v>
      </c>
      <c r="AR17" s="181">
        <f t="shared" si="13"/>
        <v>35</v>
      </c>
      <c r="AS17" s="610"/>
      <c r="AT17" s="187">
        <v>12</v>
      </c>
      <c r="AU17" s="187">
        <v>3116.9410813523264</v>
      </c>
      <c r="AV17" s="184">
        <f t="shared" si="14"/>
        <v>259.74509011269384</v>
      </c>
      <c r="AW17" s="181">
        <f t="shared" si="15"/>
        <v>35</v>
      </c>
      <c r="AX17" s="610"/>
    </row>
    <row r="18" spans="2:50" ht="14.25" customHeight="1">
      <c r="B18" s="611"/>
      <c r="C18" s="179">
        <v>12</v>
      </c>
      <c r="D18" s="182" t="s">
        <v>457</v>
      </c>
      <c r="E18" s="183">
        <v>3</v>
      </c>
      <c r="F18" s="179">
        <v>3300</v>
      </c>
      <c r="G18" s="184">
        <f t="shared" si="1"/>
        <v>1100</v>
      </c>
      <c r="H18" s="612"/>
      <c r="I18" s="185">
        <f t="shared" si="16"/>
        <v>3</v>
      </c>
      <c r="J18" s="185">
        <f t="shared" si="2"/>
        <v>2988.9164391041004</v>
      </c>
      <c r="K18" s="186">
        <f t="shared" si="2"/>
        <v>996.30547970136661</v>
      </c>
      <c r="L18" s="613"/>
      <c r="M18" s="185">
        <f>RANK(K18, K$7:$K$43)</f>
        <v>11</v>
      </c>
      <c r="N18" s="624"/>
      <c r="O18" s="614"/>
      <c r="P18" s="187">
        <v>3</v>
      </c>
      <c r="Q18" s="187">
        <v>2989.8592962469575</v>
      </c>
      <c r="R18" s="184">
        <f t="shared" si="3"/>
        <v>996.61976541565252</v>
      </c>
      <c r="S18" s="181">
        <f t="shared" si="4"/>
        <v>10</v>
      </c>
      <c r="T18" s="610"/>
      <c r="U18" s="187">
        <v>3</v>
      </c>
      <c r="V18" s="187">
        <v>2989.5292962469575</v>
      </c>
      <c r="W18" s="184">
        <f t="shared" si="0"/>
        <v>996.50976541565251</v>
      </c>
      <c r="X18" s="181">
        <f t="shared" si="5"/>
        <v>11</v>
      </c>
      <c r="Y18" s="610"/>
      <c r="Z18" s="187">
        <v>3</v>
      </c>
      <c r="AA18" s="187">
        <v>2989.1992962469576</v>
      </c>
      <c r="AB18" s="184">
        <f t="shared" si="6"/>
        <v>996.3997654156525</v>
      </c>
      <c r="AC18" s="181">
        <f t="shared" si="7"/>
        <v>10</v>
      </c>
      <c r="AD18" s="610"/>
      <c r="AE18" s="187">
        <v>3</v>
      </c>
      <c r="AF18" s="187">
        <v>2987.8792962469574</v>
      </c>
      <c r="AG18" s="184">
        <f t="shared" si="8"/>
        <v>995.95976541565244</v>
      </c>
      <c r="AH18" s="181">
        <f t="shared" si="9"/>
        <v>11</v>
      </c>
      <c r="AI18" s="610"/>
      <c r="AJ18" s="187">
        <v>3</v>
      </c>
      <c r="AK18" s="187">
        <v>2988.8692962469572</v>
      </c>
      <c r="AL18" s="184">
        <f t="shared" si="10"/>
        <v>996.28976541565237</v>
      </c>
      <c r="AM18" s="181">
        <f t="shared" si="11"/>
        <v>11</v>
      </c>
      <c r="AN18" s="610"/>
      <c r="AO18" s="187">
        <v>3</v>
      </c>
      <c r="AP18" s="187">
        <v>2989.1992962469571</v>
      </c>
      <c r="AQ18" s="184">
        <f t="shared" si="12"/>
        <v>996.39976541565238</v>
      </c>
      <c r="AR18" s="181">
        <f t="shared" si="13"/>
        <v>10</v>
      </c>
      <c r="AS18" s="610"/>
      <c r="AT18" s="187">
        <v>3</v>
      </c>
      <c r="AU18" s="187">
        <v>2987.8792962469574</v>
      </c>
      <c r="AV18" s="184">
        <f t="shared" si="14"/>
        <v>995.95976541565244</v>
      </c>
      <c r="AW18" s="181">
        <f t="shared" si="15"/>
        <v>11</v>
      </c>
      <c r="AX18" s="610"/>
    </row>
    <row r="19" spans="2:50" ht="14.25" customHeight="1">
      <c r="B19" s="611"/>
      <c r="C19" s="179">
        <v>13</v>
      </c>
      <c r="D19" s="182" t="s">
        <v>538</v>
      </c>
      <c r="E19" s="183">
        <v>3</v>
      </c>
      <c r="F19" s="179">
        <v>3600</v>
      </c>
      <c r="G19" s="184">
        <f t="shared" si="1"/>
        <v>1200</v>
      </c>
      <c r="H19" s="612"/>
      <c r="I19" s="185">
        <f t="shared" si="16"/>
        <v>3</v>
      </c>
      <c r="J19" s="185">
        <f t="shared" si="2"/>
        <v>3189.6593122287936</v>
      </c>
      <c r="K19" s="186">
        <f t="shared" si="2"/>
        <v>1063.2197707429314</v>
      </c>
      <c r="L19" s="613"/>
      <c r="M19" s="185">
        <f>RANK(K19, K$7:$K$43)</f>
        <v>5</v>
      </c>
      <c r="N19" s="624"/>
      <c r="O19" s="614"/>
      <c r="P19" s="187">
        <v>3</v>
      </c>
      <c r="Q19" s="187">
        <v>3187.7888959467377</v>
      </c>
      <c r="R19" s="184">
        <f t="shared" si="3"/>
        <v>1062.5962986489126</v>
      </c>
      <c r="S19" s="181">
        <f t="shared" si="4"/>
        <v>7</v>
      </c>
      <c r="T19" s="610"/>
      <c r="U19" s="187">
        <v>3</v>
      </c>
      <c r="V19" s="187">
        <v>3189.2288959467382</v>
      </c>
      <c r="W19" s="184">
        <f t="shared" si="0"/>
        <v>1063.0762986489128</v>
      </c>
      <c r="X19" s="181">
        <f t="shared" si="5"/>
        <v>6</v>
      </c>
      <c r="Y19" s="610"/>
      <c r="Z19" s="187">
        <v>3</v>
      </c>
      <c r="AA19" s="187">
        <v>3191.8474787416162</v>
      </c>
      <c r="AB19" s="184">
        <f t="shared" si="6"/>
        <v>1063.9491595805387</v>
      </c>
      <c r="AC19" s="181">
        <f t="shared" si="7"/>
        <v>4</v>
      </c>
      <c r="AD19" s="610"/>
      <c r="AE19" s="187">
        <v>3</v>
      </c>
      <c r="AF19" s="187">
        <v>3190.7674787416158</v>
      </c>
      <c r="AG19" s="184">
        <f t="shared" si="8"/>
        <v>1063.5891595805385</v>
      </c>
      <c r="AH19" s="181">
        <f t="shared" si="9"/>
        <v>5</v>
      </c>
      <c r="AI19" s="610"/>
      <c r="AJ19" s="187">
        <v>3</v>
      </c>
      <c r="AK19" s="187">
        <v>3189.6874787416164</v>
      </c>
      <c r="AL19" s="184">
        <f t="shared" si="10"/>
        <v>1063.2291595805389</v>
      </c>
      <c r="AM19" s="181">
        <f t="shared" si="11"/>
        <v>4</v>
      </c>
      <c r="AN19" s="610"/>
      <c r="AO19" s="187">
        <v>3</v>
      </c>
      <c r="AP19" s="187">
        <v>3188.9674787416166</v>
      </c>
      <c r="AQ19" s="184">
        <f t="shared" si="12"/>
        <v>1062.9891595805389</v>
      </c>
      <c r="AR19" s="181">
        <f t="shared" si="13"/>
        <v>5</v>
      </c>
      <c r="AS19" s="610"/>
      <c r="AT19" s="187">
        <v>3</v>
      </c>
      <c r="AU19" s="187">
        <v>3189.3274787416167</v>
      </c>
      <c r="AV19" s="184">
        <f t="shared" si="14"/>
        <v>1063.109159580539</v>
      </c>
      <c r="AW19" s="181">
        <f t="shared" si="15"/>
        <v>5</v>
      </c>
      <c r="AX19" s="610"/>
    </row>
    <row r="20" spans="2:50" ht="14.25" customHeight="1">
      <c r="B20" s="611"/>
      <c r="C20" s="179">
        <v>14</v>
      </c>
      <c r="D20" s="182" t="s">
        <v>530</v>
      </c>
      <c r="E20" s="183">
        <v>5</v>
      </c>
      <c r="F20" s="179">
        <v>3600</v>
      </c>
      <c r="G20" s="184">
        <f t="shared" si="1"/>
        <v>720</v>
      </c>
      <c r="H20" s="612"/>
      <c r="I20" s="185">
        <f t="shared" si="16"/>
        <v>5</v>
      </c>
      <c r="J20" s="185">
        <f t="shared" si="2"/>
        <v>3193.0825780563705</v>
      </c>
      <c r="K20" s="186">
        <f t="shared" si="2"/>
        <v>638.61651561127405</v>
      </c>
      <c r="L20" s="613"/>
      <c r="M20" s="185">
        <f>RANK(K20, K$7:$K$43)</f>
        <v>25</v>
      </c>
      <c r="N20" s="624"/>
      <c r="O20" s="614"/>
      <c r="P20" s="187">
        <v>5</v>
      </c>
      <c r="Q20" s="187">
        <v>3194.8311494849418</v>
      </c>
      <c r="R20" s="184">
        <f t="shared" si="3"/>
        <v>638.96622989698835</v>
      </c>
      <c r="S20" s="181">
        <f t="shared" si="4"/>
        <v>23</v>
      </c>
      <c r="T20" s="610"/>
      <c r="U20" s="187">
        <v>5</v>
      </c>
      <c r="V20" s="187">
        <v>3193.031149484942</v>
      </c>
      <c r="W20" s="184">
        <f t="shared" si="0"/>
        <v>638.60622989698845</v>
      </c>
      <c r="X20" s="181">
        <f t="shared" si="5"/>
        <v>26</v>
      </c>
      <c r="Y20" s="610"/>
      <c r="Z20" s="187">
        <v>5</v>
      </c>
      <c r="AA20" s="187">
        <v>3191.9511494849421</v>
      </c>
      <c r="AB20" s="184">
        <f t="shared" si="6"/>
        <v>638.39022989698844</v>
      </c>
      <c r="AC20" s="181">
        <f t="shared" si="7"/>
        <v>26</v>
      </c>
      <c r="AD20" s="610"/>
      <c r="AE20" s="187">
        <v>5</v>
      </c>
      <c r="AF20" s="187">
        <v>3191.5911494849424</v>
      </c>
      <c r="AG20" s="184">
        <f t="shared" si="8"/>
        <v>638.31822989698844</v>
      </c>
      <c r="AH20" s="181">
        <f t="shared" si="9"/>
        <v>27</v>
      </c>
      <c r="AI20" s="610"/>
      <c r="AJ20" s="187">
        <v>5</v>
      </c>
      <c r="AK20" s="187">
        <v>3191.9511494849421</v>
      </c>
      <c r="AL20" s="184">
        <f t="shared" si="10"/>
        <v>638.39022989698844</v>
      </c>
      <c r="AM20" s="181">
        <f t="shared" si="11"/>
        <v>25</v>
      </c>
      <c r="AN20" s="610"/>
      <c r="AO20" s="187">
        <v>5</v>
      </c>
      <c r="AP20" s="187">
        <v>3193.3911494849417</v>
      </c>
      <c r="AQ20" s="184">
        <f t="shared" si="12"/>
        <v>638.67822989698834</v>
      </c>
      <c r="AR20" s="181">
        <f t="shared" si="13"/>
        <v>25</v>
      </c>
      <c r="AS20" s="610"/>
      <c r="AT20" s="187">
        <v>5</v>
      </c>
      <c r="AU20" s="187">
        <v>3194.8311494849413</v>
      </c>
      <c r="AV20" s="184">
        <f t="shared" si="14"/>
        <v>638.96622989698824</v>
      </c>
      <c r="AW20" s="181">
        <f t="shared" si="15"/>
        <v>24</v>
      </c>
      <c r="AX20" s="610"/>
    </row>
    <row r="21" spans="2:50" ht="14.25" customHeight="1">
      <c r="B21" s="611"/>
      <c r="C21" s="179">
        <v>15</v>
      </c>
      <c r="D21" s="182" t="s">
        <v>595</v>
      </c>
      <c r="E21" s="183">
        <v>3</v>
      </c>
      <c r="F21" s="179">
        <v>3600</v>
      </c>
      <c r="G21" s="184">
        <f t="shared" si="1"/>
        <v>1200</v>
      </c>
      <c r="H21" s="612"/>
      <c r="I21" s="185">
        <f t="shared" si="16"/>
        <v>3</v>
      </c>
      <c r="J21" s="185">
        <f t="shared" si="2"/>
        <v>3197.3008393122423</v>
      </c>
      <c r="K21" s="186">
        <f t="shared" si="2"/>
        <v>1065.7669464374139</v>
      </c>
      <c r="L21" s="613"/>
      <c r="M21" s="185">
        <f>RANK(K21, K$7:$K$43)</f>
        <v>1</v>
      </c>
      <c r="N21" s="624"/>
      <c r="O21" s="614"/>
      <c r="P21" s="187">
        <v>3</v>
      </c>
      <c r="Q21" s="187">
        <v>3197.1979821693844</v>
      </c>
      <c r="R21" s="184">
        <f t="shared" si="3"/>
        <v>1065.7326607231282</v>
      </c>
      <c r="S21" s="181">
        <f t="shared" si="4"/>
        <v>1</v>
      </c>
      <c r="T21" s="610"/>
      <c r="U21" s="187">
        <v>3</v>
      </c>
      <c r="V21" s="187">
        <v>3198.2779821693848</v>
      </c>
      <c r="W21" s="184">
        <f t="shared" si="0"/>
        <v>1066.0926607231283</v>
      </c>
      <c r="X21" s="181">
        <f t="shared" si="5"/>
        <v>1</v>
      </c>
      <c r="Y21" s="610"/>
      <c r="Z21" s="187">
        <v>3</v>
      </c>
      <c r="AA21" s="187">
        <v>3199.7179821693849</v>
      </c>
      <c r="AB21" s="184">
        <f t="shared" si="6"/>
        <v>1066.5726607231284</v>
      </c>
      <c r="AC21" s="181">
        <f t="shared" si="7"/>
        <v>1</v>
      </c>
      <c r="AD21" s="610"/>
      <c r="AE21" s="187">
        <v>3</v>
      </c>
      <c r="AF21" s="187">
        <v>3198.2779821693853</v>
      </c>
      <c r="AG21" s="184">
        <f t="shared" si="8"/>
        <v>1066.0926607231283</v>
      </c>
      <c r="AH21" s="181">
        <f t="shared" si="9"/>
        <v>1</v>
      </c>
      <c r="AI21" s="610"/>
      <c r="AJ21" s="187">
        <v>3</v>
      </c>
      <c r="AK21" s="187">
        <v>3196.8379821693852</v>
      </c>
      <c r="AL21" s="184">
        <f t="shared" si="10"/>
        <v>1065.6126607231283</v>
      </c>
      <c r="AM21" s="181">
        <f t="shared" si="11"/>
        <v>2</v>
      </c>
      <c r="AN21" s="610"/>
      <c r="AO21" s="187">
        <v>3</v>
      </c>
      <c r="AP21" s="187">
        <v>3195.7579821693848</v>
      </c>
      <c r="AQ21" s="184">
        <f t="shared" si="12"/>
        <v>1065.2526607231282</v>
      </c>
      <c r="AR21" s="181">
        <f t="shared" si="13"/>
        <v>2</v>
      </c>
      <c r="AS21" s="610"/>
      <c r="AT21" s="187">
        <v>3</v>
      </c>
      <c r="AU21" s="187">
        <v>3195.0379821693846</v>
      </c>
      <c r="AV21" s="184">
        <f t="shared" si="14"/>
        <v>1065.0126607231282</v>
      </c>
      <c r="AW21" s="181">
        <f t="shared" si="15"/>
        <v>3</v>
      </c>
      <c r="AX21" s="610"/>
    </row>
    <row r="22" spans="2:50" ht="14.25" customHeight="1">
      <c r="B22" s="611"/>
      <c r="C22" s="179">
        <v>16</v>
      </c>
      <c r="D22" s="182" t="s">
        <v>577</v>
      </c>
      <c r="E22" s="183">
        <v>3</v>
      </c>
      <c r="F22" s="179">
        <v>3300</v>
      </c>
      <c r="G22" s="184">
        <f t="shared" si="1"/>
        <v>1100</v>
      </c>
      <c r="H22" s="612"/>
      <c r="I22" s="185">
        <f t="shared" si="16"/>
        <v>3</v>
      </c>
      <c r="J22" s="185">
        <f t="shared" si="2"/>
        <v>2976.3645245226871</v>
      </c>
      <c r="K22" s="186">
        <f t="shared" si="2"/>
        <v>992.12150817422901</v>
      </c>
      <c r="L22" s="613"/>
      <c r="M22" s="185">
        <f>RANK(K22, K$7:$K$43)</f>
        <v>12</v>
      </c>
      <c r="N22" s="624"/>
      <c r="O22" s="614"/>
      <c r="P22" s="187">
        <v>3</v>
      </c>
      <c r="Q22" s="187">
        <v>2976.4588102369735</v>
      </c>
      <c r="R22" s="184">
        <f t="shared" si="3"/>
        <v>992.15293674565783</v>
      </c>
      <c r="S22" s="181">
        <f t="shared" si="4"/>
        <v>12</v>
      </c>
      <c r="T22" s="610"/>
      <c r="U22" s="187">
        <v>3</v>
      </c>
      <c r="V22" s="187">
        <v>2976.7888102369734</v>
      </c>
      <c r="W22" s="184">
        <f t="shared" si="0"/>
        <v>992.26293674565784</v>
      </c>
      <c r="X22" s="181">
        <f t="shared" si="5"/>
        <v>12</v>
      </c>
      <c r="Y22" s="610"/>
      <c r="Z22" s="187">
        <v>3</v>
      </c>
      <c r="AA22" s="187">
        <v>2978.1088102369731</v>
      </c>
      <c r="AB22" s="184">
        <f t="shared" si="6"/>
        <v>992.70293674565767</v>
      </c>
      <c r="AC22" s="181">
        <f t="shared" si="7"/>
        <v>12</v>
      </c>
      <c r="AD22" s="610"/>
      <c r="AE22" s="187">
        <v>3</v>
      </c>
      <c r="AF22" s="187">
        <v>2977.1188102369724</v>
      </c>
      <c r="AG22" s="184">
        <f t="shared" si="8"/>
        <v>992.37293674565751</v>
      </c>
      <c r="AH22" s="181">
        <f t="shared" si="9"/>
        <v>12</v>
      </c>
      <c r="AI22" s="610"/>
      <c r="AJ22" s="187">
        <v>3</v>
      </c>
      <c r="AK22" s="187">
        <v>2976.788810236972</v>
      </c>
      <c r="AL22" s="184">
        <f t="shared" si="10"/>
        <v>992.26293674565738</v>
      </c>
      <c r="AM22" s="181">
        <f t="shared" si="11"/>
        <v>12</v>
      </c>
      <c r="AN22" s="610"/>
      <c r="AO22" s="187">
        <v>3</v>
      </c>
      <c r="AP22" s="187">
        <v>2975.1388102369719</v>
      </c>
      <c r="AQ22" s="184">
        <f t="shared" si="12"/>
        <v>991.71293674565732</v>
      </c>
      <c r="AR22" s="181">
        <f t="shared" si="13"/>
        <v>12</v>
      </c>
      <c r="AS22" s="610"/>
      <c r="AT22" s="187">
        <v>3</v>
      </c>
      <c r="AU22" s="187">
        <v>2974.1488102369722</v>
      </c>
      <c r="AV22" s="184">
        <f t="shared" si="14"/>
        <v>991.38293674565739</v>
      </c>
      <c r="AW22" s="181">
        <f t="shared" si="15"/>
        <v>12</v>
      </c>
      <c r="AX22" s="610"/>
    </row>
    <row r="23" spans="2:50" ht="14.25" customHeight="1">
      <c r="B23" s="611"/>
      <c r="C23" s="179">
        <v>17</v>
      </c>
      <c r="D23" s="182" t="s">
        <v>400</v>
      </c>
      <c r="E23" s="183">
        <v>5</v>
      </c>
      <c r="F23" s="179">
        <v>3600</v>
      </c>
      <c r="G23" s="184">
        <f t="shared" si="1"/>
        <v>720</v>
      </c>
      <c r="H23" s="612"/>
      <c r="I23" s="185">
        <f t="shared" si="16"/>
        <v>5</v>
      </c>
      <c r="J23" s="185">
        <f t="shared" si="2"/>
        <v>3192.2736116571677</v>
      </c>
      <c r="K23" s="186">
        <f t="shared" si="2"/>
        <v>638.45472233143357</v>
      </c>
      <c r="L23" s="613"/>
      <c r="M23" s="185">
        <f>RANK(K23, K$7:$K$43)</f>
        <v>26</v>
      </c>
      <c r="N23" s="624"/>
      <c r="O23" s="614"/>
      <c r="P23" s="187">
        <v>5</v>
      </c>
      <c r="Q23" s="187">
        <v>3192.0678973714535</v>
      </c>
      <c r="R23" s="184">
        <f t="shared" si="3"/>
        <v>638.41357947429071</v>
      </c>
      <c r="S23" s="181">
        <f t="shared" si="4"/>
        <v>26</v>
      </c>
      <c r="T23" s="610"/>
      <c r="U23" s="187">
        <v>5</v>
      </c>
      <c r="V23" s="187">
        <v>3193.1478973714534</v>
      </c>
      <c r="W23" s="184">
        <f t="shared" si="0"/>
        <v>638.62957947429072</v>
      </c>
      <c r="X23" s="181">
        <f t="shared" si="5"/>
        <v>24</v>
      </c>
      <c r="Y23" s="610"/>
      <c r="Z23" s="187">
        <v>5</v>
      </c>
      <c r="AA23" s="187">
        <v>3194.2278973714533</v>
      </c>
      <c r="AB23" s="184">
        <f t="shared" si="6"/>
        <v>638.84557947429062</v>
      </c>
      <c r="AC23" s="181">
        <f t="shared" si="7"/>
        <v>25</v>
      </c>
      <c r="AD23" s="610"/>
      <c r="AE23" s="187">
        <v>5</v>
      </c>
      <c r="AF23" s="187">
        <v>3192.7878973714528</v>
      </c>
      <c r="AG23" s="184">
        <f t="shared" si="8"/>
        <v>638.55757947429061</v>
      </c>
      <c r="AH23" s="181">
        <f t="shared" si="9"/>
        <v>25</v>
      </c>
      <c r="AI23" s="610"/>
      <c r="AJ23" s="187">
        <v>5</v>
      </c>
      <c r="AK23" s="187">
        <v>3191.3478973714537</v>
      </c>
      <c r="AL23" s="184">
        <f t="shared" si="10"/>
        <v>638.26957947429071</v>
      </c>
      <c r="AM23" s="181">
        <f t="shared" si="11"/>
        <v>28</v>
      </c>
      <c r="AN23" s="610"/>
      <c r="AO23" s="187">
        <v>5</v>
      </c>
      <c r="AP23" s="187">
        <v>3190.9878973714531</v>
      </c>
      <c r="AQ23" s="184">
        <f t="shared" si="12"/>
        <v>638.19757947429059</v>
      </c>
      <c r="AR23" s="181">
        <f t="shared" si="13"/>
        <v>27</v>
      </c>
      <c r="AS23" s="610"/>
      <c r="AT23" s="187">
        <v>5</v>
      </c>
      <c r="AU23" s="187">
        <v>3191.3478973714537</v>
      </c>
      <c r="AV23" s="184">
        <f t="shared" si="14"/>
        <v>638.26957947429071</v>
      </c>
      <c r="AW23" s="181">
        <f t="shared" si="15"/>
        <v>27</v>
      </c>
      <c r="AX23" s="610"/>
    </row>
    <row r="24" spans="2:50" ht="14.25" customHeight="1">
      <c r="B24" s="611"/>
      <c r="C24" s="179">
        <v>18</v>
      </c>
      <c r="D24" s="182" t="s">
        <v>399</v>
      </c>
      <c r="E24" s="183">
        <v>3</v>
      </c>
      <c r="F24" s="179">
        <v>3600</v>
      </c>
      <c r="G24" s="184">
        <f t="shared" si="1"/>
        <v>1200</v>
      </c>
      <c r="H24" s="612"/>
      <c r="I24" s="185">
        <f t="shared" si="16"/>
        <v>3</v>
      </c>
      <c r="J24" s="185">
        <f t="shared" si="2"/>
        <v>3185.8082678776441</v>
      </c>
      <c r="K24" s="186">
        <f t="shared" si="2"/>
        <v>1061.9360892925479</v>
      </c>
      <c r="L24" s="613"/>
      <c r="M24" s="185">
        <f>RANK(K24, K$7:$K$43)</f>
        <v>9</v>
      </c>
      <c r="N24" s="624"/>
      <c r="O24" s="614"/>
      <c r="P24" s="187">
        <v>3</v>
      </c>
      <c r="Q24" s="187">
        <v>3185.4482678776444</v>
      </c>
      <c r="R24" s="184">
        <f t="shared" si="3"/>
        <v>1061.8160892925482</v>
      </c>
      <c r="S24" s="181">
        <f t="shared" si="4"/>
        <v>9</v>
      </c>
      <c r="T24" s="610"/>
      <c r="U24" s="187">
        <v>3</v>
      </c>
      <c r="V24" s="187">
        <v>3184.7282678776446</v>
      </c>
      <c r="W24" s="184">
        <f t="shared" si="0"/>
        <v>1061.5760892925482</v>
      </c>
      <c r="X24" s="181">
        <f t="shared" si="5"/>
        <v>9</v>
      </c>
      <c r="Y24" s="610"/>
      <c r="Z24" s="187">
        <v>3</v>
      </c>
      <c r="AA24" s="187">
        <v>3186.1682678776438</v>
      </c>
      <c r="AB24" s="184">
        <f t="shared" si="6"/>
        <v>1062.056089292548</v>
      </c>
      <c r="AC24" s="181">
        <f t="shared" si="7"/>
        <v>9</v>
      </c>
      <c r="AD24" s="610"/>
      <c r="AE24" s="187">
        <v>3</v>
      </c>
      <c r="AF24" s="187">
        <v>3185.448267877644</v>
      </c>
      <c r="AG24" s="184">
        <f t="shared" si="8"/>
        <v>1061.816089292548</v>
      </c>
      <c r="AH24" s="181">
        <f t="shared" si="9"/>
        <v>9</v>
      </c>
      <c r="AI24" s="610"/>
      <c r="AJ24" s="187">
        <v>3</v>
      </c>
      <c r="AK24" s="187">
        <v>3186.5282678776439</v>
      </c>
      <c r="AL24" s="184">
        <f t="shared" si="10"/>
        <v>1062.1760892925479</v>
      </c>
      <c r="AM24" s="181">
        <f t="shared" si="11"/>
        <v>8</v>
      </c>
      <c r="AN24" s="610"/>
      <c r="AO24" s="187">
        <v>3</v>
      </c>
      <c r="AP24" s="187">
        <v>3186.1682678776438</v>
      </c>
      <c r="AQ24" s="184">
        <f t="shared" si="12"/>
        <v>1062.056089292548</v>
      </c>
      <c r="AR24" s="181">
        <f t="shared" si="13"/>
        <v>8</v>
      </c>
      <c r="AS24" s="610"/>
      <c r="AT24" s="187">
        <v>3</v>
      </c>
      <c r="AU24" s="187">
        <v>3186.1682678776438</v>
      </c>
      <c r="AV24" s="184">
        <f t="shared" si="14"/>
        <v>1062.056089292548</v>
      </c>
      <c r="AW24" s="181">
        <f t="shared" si="15"/>
        <v>9</v>
      </c>
      <c r="AX24" s="610"/>
    </row>
    <row r="25" spans="2:50" ht="14.25" customHeight="1">
      <c r="B25" s="611"/>
      <c r="C25" s="179">
        <v>19</v>
      </c>
      <c r="D25" s="182" t="s">
        <v>401</v>
      </c>
      <c r="E25" s="183">
        <v>4</v>
      </c>
      <c r="F25" s="179">
        <v>3300</v>
      </c>
      <c r="G25" s="184">
        <f t="shared" si="1"/>
        <v>825</v>
      </c>
      <c r="H25" s="612"/>
      <c r="I25" s="185">
        <f t="shared" si="16"/>
        <v>4</v>
      </c>
      <c r="J25" s="185">
        <f t="shared" si="2"/>
        <v>2989.7999999999997</v>
      </c>
      <c r="K25" s="186">
        <f t="shared" si="2"/>
        <v>747.44999999999993</v>
      </c>
      <c r="L25" s="613"/>
      <c r="M25" s="185">
        <f>RANK(K25, K$7:$K$43)</f>
        <v>18</v>
      </c>
      <c r="N25" s="624"/>
      <c r="O25" s="614"/>
      <c r="P25" s="187">
        <v>4</v>
      </c>
      <c r="Q25" s="187">
        <v>2989.8</v>
      </c>
      <c r="R25" s="184">
        <f t="shared" si="3"/>
        <v>747.45</v>
      </c>
      <c r="S25" s="181">
        <f t="shared" si="4"/>
        <v>18</v>
      </c>
      <c r="T25" s="610"/>
      <c r="U25" s="187">
        <v>4</v>
      </c>
      <c r="V25" s="187">
        <v>2989.8</v>
      </c>
      <c r="W25" s="184">
        <f t="shared" si="0"/>
        <v>747.45</v>
      </c>
      <c r="X25" s="181">
        <f t="shared" si="5"/>
        <v>18</v>
      </c>
      <c r="Y25" s="610"/>
      <c r="Z25" s="187">
        <v>4</v>
      </c>
      <c r="AA25" s="187">
        <v>2989.8</v>
      </c>
      <c r="AB25" s="184">
        <f t="shared" si="6"/>
        <v>747.45</v>
      </c>
      <c r="AC25" s="181">
        <f t="shared" si="7"/>
        <v>18</v>
      </c>
      <c r="AD25" s="610"/>
      <c r="AE25" s="187">
        <v>4</v>
      </c>
      <c r="AF25" s="187">
        <v>2989.7999999999997</v>
      </c>
      <c r="AG25" s="184">
        <f t="shared" si="8"/>
        <v>747.44999999999993</v>
      </c>
      <c r="AH25" s="181">
        <f t="shared" si="9"/>
        <v>19</v>
      </c>
      <c r="AI25" s="610"/>
      <c r="AJ25" s="187">
        <v>4</v>
      </c>
      <c r="AK25" s="187">
        <v>2989.8</v>
      </c>
      <c r="AL25" s="184">
        <f t="shared" si="10"/>
        <v>747.45</v>
      </c>
      <c r="AM25" s="181">
        <f t="shared" si="11"/>
        <v>18</v>
      </c>
      <c r="AN25" s="610"/>
      <c r="AO25" s="187">
        <v>4</v>
      </c>
      <c r="AP25" s="187">
        <v>2989.8</v>
      </c>
      <c r="AQ25" s="184">
        <f t="shared" si="12"/>
        <v>747.45</v>
      </c>
      <c r="AR25" s="181">
        <f t="shared" si="13"/>
        <v>18</v>
      </c>
      <c r="AS25" s="610"/>
      <c r="AT25" s="187">
        <v>4</v>
      </c>
      <c r="AU25" s="187">
        <v>2989.8</v>
      </c>
      <c r="AV25" s="184">
        <f t="shared" si="14"/>
        <v>747.45</v>
      </c>
      <c r="AW25" s="181">
        <f t="shared" si="15"/>
        <v>18</v>
      </c>
      <c r="AX25" s="610"/>
    </row>
    <row r="26" spans="2:50" ht="14.25" customHeight="1">
      <c r="B26" s="611"/>
      <c r="C26" s="179">
        <v>20</v>
      </c>
      <c r="D26" s="182" t="s">
        <v>344</v>
      </c>
      <c r="E26" s="183">
        <v>5</v>
      </c>
      <c r="F26" s="179">
        <v>3300</v>
      </c>
      <c r="G26" s="184">
        <f t="shared" si="1"/>
        <v>660</v>
      </c>
      <c r="H26" s="612"/>
      <c r="I26" s="185">
        <f t="shared" si="16"/>
        <v>5</v>
      </c>
      <c r="J26" s="185">
        <f t="shared" si="2"/>
        <v>2989.7999999999997</v>
      </c>
      <c r="K26" s="186">
        <f t="shared" si="2"/>
        <v>597.96</v>
      </c>
      <c r="L26" s="613"/>
      <c r="M26" s="185">
        <f>RANK(K26, K$7:$K$43)</f>
        <v>29</v>
      </c>
      <c r="N26" s="624"/>
      <c r="O26" s="614"/>
      <c r="P26" s="187">
        <v>5</v>
      </c>
      <c r="Q26" s="187">
        <v>2989.8</v>
      </c>
      <c r="R26" s="184">
        <f t="shared" si="3"/>
        <v>597.96</v>
      </c>
      <c r="S26" s="181">
        <f t="shared" si="4"/>
        <v>29</v>
      </c>
      <c r="T26" s="610"/>
      <c r="U26" s="187">
        <v>5</v>
      </c>
      <c r="V26" s="187">
        <v>2989.8</v>
      </c>
      <c r="W26" s="184">
        <f t="shared" si="0"/>
        <v>597.96</v>
      </c>
      <c r="X26" s="181">
        <f t="shared" si="5"/>
        <v>29</v>
      </c>
      <c r="Y26" s="610"/>
      <c r="Z26" s="187">
        <v>5</v>
      </c>
      <c r="AA26" s="187">
        <v>2989.7999999999997</v>
      </c>
      <c r="AB26" s="184">
        <f t="shared" si="6"/>
        <v>597.95999999999992</v>
      </c>
      <c r="AC26" s="181">
        <f t="shared" si="7"/>
        <v>30</v>
      </c>
      <c r="AD26" s="610"/>
      <c r="AE26" s="187">
        <v>5</v>
      </c>
      <c r="AF26" s="187">
        <v>2989.7999999999997</v>
      </c>
      <c r="AG26" s="184">
        <f t="shared" si="8"/>
        <v>597.95999999999992</v>
      </c>
      <c r="AH26" s="181">
        <f t="shared" si="9"/>
        <v>30</v>
      </c>
      <c r="AI26" s="610"/>
      <c r="AJ26" s="187">
        <v>5</v>
      </c>
      <c r="AK26" s="187">
        <v>2989.8000000000006</v>
      </c>
      <c r="AL26" s="184">
        <f t="shared" si="10"/>
        <v>597.96000000000015</v>
      </c>
      <c r="AM26" s="181">
        <f t="shared" si="11"/>
        <v>29</v>
      </c>
      <c r="AN26" s="610"/>
      <c r="AO26" s="187">
        <v>5</v>
      </c>
      <c r="AP26" s="187">
        <v>2989.8000000000006</v>
      </c>
      <c r="AQ26" s="184">
        <f t="shared" si="12"/>
        <v>597.96000000000015</v>
      </c>
      <c r="AR26" s="181">
        <f t="shared" si="13"/>
        <v>29</v>
      </c>
      <c r="AS26" s="610"/>
      <c r="AT26" s="187">
        <v>5</v>
      </c>
      <c r="AU26" s="187">
        <v>2989.7999999999997</v>
      </c>
      <c r="AV26" s="184">
        <f t="shared" si="14"/>
        <v>597.95999999999992</v>
      </c>
      <c r="AW26" s="181">
        <f t="shared" si="15"/>
        <v>30</v>
      </c>
      <c r="AX26" s="610"/>
    </row>
    <row r="27" spans="2:50" ht="14.25" customHeight="1">
      <c r="B27" s="611"/>
      <c r="C27" s="179">
        <v>21</v>
      </c>
      <c r="D27" s="182" t="s">
        <v>395</v>
      </c>
      <c r="E27" s="183">
        <v>3</v>
      </c>
      <c r="F27" s="179">
        <v>3600</v>
      </c>
      <c r="G27" s="184">
        <f t="shared" si="1"/>
        <v>1200</v>
      </c>
      <c r="H27" s="612"/>
      <c r="I27" s="185">
        <f t="shared" si="16"/>
        <v>3</v>
      </c>
      <c r="J27" s="185">
        <f t="shared" si="2"/>
        <v>3191.1263700988529</v>
      </c>
      <c r="K27" s="186">
        <f t="shared" si="2"/>
        <v>1063.7087900329511</v>
      </c>
      <c r="L27" s="613"/>
      <c r="M27" s="185">
        <f>RANK(K27, K$7:$K$43)</f>
        <v>4</v>
      </c>
      <c r="N27" s="624"/>
      <c r="O27" s="614"/>
      <c r="P27" s="187">
        <v>3</v>
      </c>
      <c r="Q27" s="187">
        <v>3193.3377986702817</v>
      </c>
      <c r="R27" s="184">
        <f t="shared" si="3"/>
        <v>1064.4459328900939</v>
      </c>
      <c r="S27" s="181">
        <f t="shared" si="4"/>
        <v>4</v>
      </c>
      <c r="T27" s="610"/>
      <c r="U27" s="187">
        <v>3</v>
      </c>
      <c r="V27" s="187">
        <v>3192.9777986702811</v>
      </c>
      <c r="W27" s="184">
        <f t="shared" si="0"/>
        <v>1064.3259328900938</v>
      </c>
      <c r="X27" s="181">
        <f t="shared" si="5"/>
        <v>4</v>
      </c>
      <c r="Y27" s="610"/>
      <c r="Z27" s="187">
        <v>3</v>
      </c>
      <c r="AA27" s="187">
        <v>3191.1777986702814</v>
      </c>
      <c r="AB27" s="184">
        <f t="shared" si="6"/>
        <v>1063.7259328900939</v>
      </c>
      <c r="AC27" s="181">
        <f t="shared" si="7"/>
        <v>5</v>
      </c>
      <c r="AD27" s="610"/>
      <c r="AE27" s="187">
        <v>3</v>
      </c>
      <c r="AF27" s="187">
        <v>3190.8177986702822</v>
      </c>
      <c r="AG27" s="184">
        <f t="shared" si="8"/>
        <v>1063.605932890094</v>
      </c>
      <c r="AH27" s="181">
        <f t="shared" si="9"/>
        <v>4</v>
      </c>
      <c r="AI27" s="610"/>
      <c r="AJ27" s="187">
        <v>3</v>
      </c>
      <c r="AK27" s="187">
        <v>3189.3777986702826</v>
      </c>
      <c r="AL27" s="184">
        <f t="shared" si="10"/>
        <v>1063.1259328900942</v>
      </c>
      <c r="AM27" s="181">
        <f t="shared" si="11"/>
        <v>5</v>
      </c>
      <c r="AN27" s="610"/>
      <c r="AO27" s="187">
        <v>3</v>
      </c>
      <c r="AP27" s="187">
        <v>3190.4577986702825</v>
      </c>
      <c r="AQ27" s="184">
        <f t="shared" si="12"/>
        <v>1063.4859328900941</v>
      </c>
      <c r="AR27" s="181">
        <f t="shared" si="13"/>
        <v>4</v>
      </c>
      <c r="AS27" s="610"/>
      <c r="AT27" s="187">
        <v>3</v>
      </c>
      <c r="AU27" s="187">
        <v>3189.7377986702822</v>
      </c>
      <c r="AV27" s="184">
        <f t="shared" si="14"/>
        <v>1063.2459328900941</v>
      </c>
      <c r="AW27" s="181">
        <f t="shared" si="15"/>
        <v>4</v>
      </c>
      <c r="AX27" s="610"/>
    </row>
    <row r="28" spans="2:50" ht="14.25" customHeight="1">
      <c r="B28" s="611"/>
      <c r="C28" s="179">
        <v>22</v>
      </c>
      <c r="D28" s="182" t="s">
        <v>519</v>
      </c>
      <c r="E28" s="183">
        <v>4</v>
      </c>
      <c r="F28" s="179">
        <v>3600</v>
      </c>
      <c r="G28" s="184">
        <f t="shared" si="1"/>
        <v>900</v>
      </c>
      <c r="H28" s="612"/>
      <c r="I28" s="185">
        <f t="shared" si="16"/>
        <v>4</v>
      </c>
      <c r="J28" s="185">
        <f t="shared" si="2"/>
        <v>3193.4057142857127</v>
      </c>
      <c r="K28" s="186">
        <f t="shared" si="2"/>
        <v>798.35142857142819</v>
      </c>
      <c r="L28" s="613"/>
      <c r="M28" s="185">
        <f>RANK(K28, K$7:$K$43)</f>
        <v>16</v>
      </c>
      <c r="N28" s="624"/>
      <c r="O28" s="614"/>
      <c r="P28" s="187">
        <v>4</v>
      </c>
      <c r="Q28" s="187">
        <v>3193.5599999999986</v>
      </c>
      <c r="R28" s="184">
        <f t="shared" si="3"/>
        <v>798.38999999999965</v>
      </c>
      <c r="S28" s="181">
        <f t="shared" si="4"/>
        <v>16</v>
      </c>
      <c r="T28" s="610"/>
      <c r="U28" s="187">
        <v>4</v>
      </c>
      <c r="V28" s="187">
        <v>3192.1199999999981</v>
      </c>
      <c r="W28" s="184">
        <f t="shared" si="0"/>
        <v>798.02999999999952</v>
      </c>
      <c r="X28" s="181">
        <f t="shared" si="5"/>
        <v>17</v>
      </c>
      <c r="Y28" s="610"/>
      <c r="Z28" s="187">
        <v>4</v>
      </c>
      <c r="AA28" s="187">
        <v>3192.4799999999982</v>
      </c>
      <c r="AB28" s="184">
        <f t="shared" si="6"/>
        <v>798.11999999999955</v>
      </c>
      <c r="AC28" s="181">
        <f t="shared" si="7"/>
        <v>17</v>
      </c>
      <c r="AD28" s="610"/>
      <c r="AE28" s="187">
        <v>4</v>
      </c>
      <c r="AF28" s="187">
        <v>3194.2799999999988</v>
      </c>
      <c r="AG28" s="184">
        <f t="shared" si="8"/>
        <v>798.56999999999971</v>
      </c>
      <c r="AH28" s="181">
        <f t="shared" si="9"/>
        <v>16</v>
      </c>
      <c r="AI28" s="610"/>
      <c r="AJ28" s="187">
        <v>4</v>
      </c>
      <c r="AK28" s="187">
        <v>3194.2799999999988</v>
      </c>
      <c r="AL28" s="184">
        <f t="shared" si="10"/>
        <v>798.56999999999971</v>
      </c>
      <c r="AM28" s="181">
        <f t="shared" si="11"/>
        <v>16</v>
      </c>
      <c r="AN28" s="610"/>
      <c r="AO28" s="187">
        <v>4</v>
      </c>
      <c r="AP28" s="187">
        <v>3193.9199999999992</v>
      </c>
      <c r="AQ28" s="184">
        <f t="shared" si="12"/>
        <v>798.47999999999979</v>
      </c>
      <c r="AR28" s="181">
        <f t="shared" si="13"/>
        <v>16</v>
      </c>
      <c r="AS28" s="610"/>
      <c r="AT28" s="187">
        <v>4</v>
      </c>
      <c r="AU28" s="187">
        <v>3193.1999999999989</v>
      </c>
      <c r="AV28" s="184">
        <f t="shared" si="14"/>
        <v>798.29999999999973</v>
      </c>
      <c r="AW28" s="181">
        <f t="shared" si="15"/>
        <v>16</v>
      </c>
      <c r="AX28" s="610"/>
    </row>
    <row r="29" spans="2:50" ht="14.25" customHeight="1">
      <c r="B29" s="611"/>
      <c r="C29" s="179">
        <v>23</v>
      </c>
      <c r="D29" s="182" t="s">
        <v>398</v>
      </c>
      <c r="E29" s="183">
        <v>3</v>
      </c>
      <c r="F29" s="179">
        <v>3600</v>
      </c>
      <c r="G29" s="184">
        <f t="shared" si="1"/>
        <v>1200</v>
      </c>
      <c r="H29" s="612"/>
      <c r="I29" s="185">
        <f t="shared" si="16"/>
        <v>3</v>
      </c>
      <c r="J29" s="185">
        <f t="shared" si="2"/>
        <v>3196.3160598015243</v>
      </c>
      <c r="K29" s="186">
        <f t="shared" si="2"/>
        <v>1065.4386866005082</v>
      </c>
      <c r="L29" s="613"/>
      <c r="M29" s="185">
        <f>RANK(K29, K$7:$K$43)</f>
        <v>2</v>
      </c>
      <c r="N29" s="624"/>
      <c r="O29" s="614"/>
      <c r="P29" s="187">
        <v>3</v>
      </c>
      <c r="Q29" s="187">
        <v>3194.1560598015249</v>
      </c>
      <c r="R29" s="184">
        <f t="shared" si="3"/>
        <v>1064.7186866005084</v>
      </c>
      <c r="S29" s="181">
        <f t="shared" si="4"/>
        <v>2</v>
      </c>
      <c r="T29" s="610"/>
      <c r="U29" s="187">
        <v>3</v>
      </c>
      <c r="V29" s="187">
        <v>3195.2360598015248</v>
      </c>
      <c r="W29" s="184">
        <f t="shared" si="0"/>
        <v>1065.0786866005083</v>
      </c>
      <c r="X29" s="181">
        <f t="shared" si="5"/>
        <v>2</v>
      </c>
      <c r="Y29" s="610"/>
      <c r="Z29" s="187">
        <v>3</v>
      </c>
      <c r="AA29" s="187">
        <v>3195.5960598015245</v>
      </c>
      <c r="AB29" s="184">
        <f t="shared" si="6"/>
        <v>1065.1986866005082</v>
      </c>
      <c r="AC29" s="181">
        <f t="shared" si="7"/>
        <v>2</v>
      </c>
      <c r="AD29" s="610"/>
      <c r="AE29" s="187">
        <v>3</v>
      </c>
      <c r="AF29" s="187">
        <v>3196.6760598015244</v>
      </c>
      <c r="AG29" s="184">
        <f t="shared" si="8"/>
        <v>1065.5586866005081</v>
      </c>
      <c r="AH29" s="181">
        <f t="shared" si="9"/>
        <v>2</v>
      </c>
      <c r="AI29" s="610"/>
      <c r="AJ29" s="187">
        <v>3</v>
      </c>
      <c r="AK29" s="187">
        <v>3197.0360598015241</v>
      </c>
      <c r="AL29" s="184">
        <f t="shared" si="10"/>
        <v>1065.6786866005079</v>
      </c>
      <c r="AM29" s="181">
        <f t="shared" si="11"/>
        <v>1</v>
      </c>
      <c r="AN29" s="610"/>
      <c r="AO29" s="187">
        <v>3</v>
      </c>
      <c r="AP29" s="187">
        <v>3198.116059801524</v>
      </c>
      <c r="AQ29" s="184">
        <f t="shared" si="12"/>
        <v>1066.0386866005081</v>
      </c>
      <c r="AR29" s="181">
        <f t="shared" si="13"/>
        <v>1</v>
      </c>
      <c r="AS29" s="610"/>
      <c r="AT29" s="187">
        <v>3</v>
      </c>
      <c r="AU29" s="187">
        <v>3197.3960598015246</v>
      </c>
      <c r="AV29" s="184">
        <f t="shared" si="14"/>
        <v>1065.7986866005083</v>
      </c>
      <c r="AW29" s="181">
        <f t="shared" si="15"/>
        <v>1</v>
      </c>
      <c r="AX29" s="610"/>
    </row>
    <row r="30" spans="2:50" ht="14.25" customHeight="1">
      <c r="B30" s="611"/>
      <c r="C30" s="179">
        <v>24</v>
      </c>
      <c r="D30" s="182" t="s">
        <v>397</v>
      </c>
      <c r="E30" s="183">
        <v>5</v>
      </c>
      <c r="F30" s="179">
        <v>3600</v>
      </c>
      <c r="G30" s="184">
        <f t="shared" si="1"/>
        <v>720</v>
      </c>
      <c r="H30" s="612"/>
      <c r="I30" s="185">
        <f t="shared" si="16"/>
        <v>5</v>
      </c>
      <c r="J30" s="185">
        <f t="shared" si="2"/>
        <v>3198.353182000897</v>
      </c>
      <c r="K30" s="186">
        <f t="shared" si="2"/>
        <v>639.67063640017943</v>
      </c>
      <c r="L30" s="613"/>
      <c r="M30" s="185">
        <f>RANK(K30, K$7:$K$43)</f>
        <v>22</v>
      </c>
      <c r="N30" s="624"/>
      <c r="O30" s="614"/>
      <c r="P30" s="187">
        <v>5</v>
      </c>
      <c r="Q30" s="187">
        <v>3201.2903265899226</v>
      </c>
      <c r="R30" s="184">
        <f t="shared" si="3"/>
        <v>640.25806531798457</v>
      </c>
      <c r="S30" s="181">
        <f t="shared" si="4"/>
        <v>21</v>
      </c>
      <c r="T30" s="610"/>
      <c r="U30" s="187">
        <v>5</v>
      </c>
      <c r="V30" s="187">
        <v>3202.0103265899229</v>
      </c>
      <c r="W30" s="184">
        <f t="shared" si="0"/>
        <v>640.40206531798458</v>
      </c>
      <c r="X30" s="181">
        <f t="shared" si="5"/>
        <v>22</v>
      </c>
      <c r="Y30" s="610"/>
      <c r="Z30" s="187">
        <v>5</v>
      </c>
      <c r="AA30" s="187">
        <v>3196.8166460265934</v>
      </c>
      <c r="AB30" s="184">
        <f t="shared" si="6"/>
        <v>639.36332920531868</v>
      </c>
      <c r="AC30" s="181">
        <f t="shared" si="7"/>
        <v>23</v>
      </c>
      <c r="AD30" s="610"/>
      <c r="AE30" s="187">
        <v>5</v>
      </c>
      <c r="AF30" s="187">
        <v>3197.6287436999605</v>
      </c>
      <c r="AG30" s="184">
        <f t="shared" si="8"/>
        <v>639.52574873999208</v>
      </c>
      <c r="AH30" s="181">
        <f t="shared" si="9"/>
        <v>22</v>
      </c>
      <c r="AI30" s="610"/>
      <c r="AJ30" s="187">
        <v>5</v>
      </c>
      <c r="AK30" s="187">
        <v>3197.2687436999604</v>
      </c>
      <c r="AL30" s="184">
        <f t="shared" si="10"/>
        <v>639.45374873999208</v>
      </c>
      <c r="AM30" s="181">
        <f t="shared" si="11"/>
        <v>22</v>
      </c>
      <c r="AN30" s="610"/>
      <c r="AO30" s="187">
        <v>5</v>
      </c>
      <c r="AP30" s="187">
        <v>3197.2687436999604</v>
      </c>
      <c r="AQ30" s="184">
        <f t="shared" si="12"/>
        <v>639.45374873999208</v>
      </c>
      <c r="AR30" s="181">
        <f t="shared" si="13"/>
        <v>22</v>
      </c>
      <c r="AS30" s="610"/>
      <c r="AT30" s="187">
        <v>5</v>
      </c>
      <c r="AU30" s="187">
        <v>3196.18874369996</v>
      </c>
      <c r="AV30" s="184">
        <f t="shared" si="14"/>
        <v>639.23774873999196</v>
      </c>
      <c r="AW30" s="181">
        <f t="shared" si="15"/>
        <v>22</v>
      </c>
      <c r="AX30" s="610"/>
    </row>
    <row r="31" spans="2:50" ht="14.25" customHeight="1">
      <c r="B31" s="611"/>
      <c r="C31" s="179">
        <v>25</v>
      </c>
      <c r="D31" s="182" t="s">
        <v>394</v>
      </c>
      <c r="E31" s="183">
        <v>5</v>
      </c>
      <c r="F31" s="179">
        <v>3600</v>
      </c>
      <c r="G31" s="184">
        <f t="shared" si="1"/>
        <v>720</v>
      </c>
      <c r="H31" s="612"/>
      <c r="I31" s="185">
        <f t="shared" si="16"/>
        <v>5</v>
      </c>
      <c r="J31" s="185">
        <f t="shared" si="2"/>
        <v>3191.3054312284366</v>
      </c>
      <c r="K31" s="186">
        <f t="shared" si="2"/>
        <v>638.26108624568747</v>
      </c>
      <c r="L31" s="613"/>
      <c r="M31" s="185">
        <f>RANK(K31, K$7:$K$43)</f>
        <v>28</v>
      </c>
      <c r="N31" s="624"/>
      <c r="O31" s="614"/>
      <c r="P31" s="187">
        <v>5</v>
      </c>
      <c r="Q31" s="187">
        <v>3189.9682883712944</v>
      </c>
      <c r="R31" s="184">
        <f t="shared" si="3"/>
        <v>637.99365767425888</v>
      </c>
      <c r="S31" s="181">
        <f t="shared" si="4"/>
        <v>27</v>
      </c>
      <c r="T31" s="610"/>
      <c r="U31" s="187">
        <v>5</v>
      </c>
      <c r="V31" s="187">
        <v>3190.6882883712938</v>
      </c>
      <c r="W31" s="184">
        <f t="shared" si="0"/>
        <v>638.13765767425878</v>
      </c>
      <c r="X31" s="181">
        <f t="shared" si="5"/>
        <v>27</v>
      </c>
      <c r="Y31" s="610"/>
      <c r="Z31" s="187">
        <v>5</v>
      </c>
      <c r="AA31" s="187">
        <v>3191.7682883712937</v>
      </c>
      <c r="AB31" s="184">
        <f t="shared" si="6"/>
        <v>638.35365767425878</v>
      </c>
      <c r="AC31" s="181">
        <f t="shared" si="7"/>
        <v>27</v>
      </c>
      <c r="AD31" s="610"/>
      <c r="AE31" s="187">
        <v>5</v>
      </c>
      <c r="AF31" s="187">
        <v>3191.7682883712941</v>
      </c>
      <c r="AG31" s="184">
        <f t="shared" si="8"/>
        <v>638.35365767425878</v>
      </c>
      <c r="AH31" s="181">
        <f t="shared" si="9"/>
        <v>26</v>
      </c>
      <c r="AI31" s="610"/>
      <c r="AJ31" s="187">
        <v>5</v>
      </c>
      <c r="AK31" s="187">
        <v>3191.7682883712937</v>
      </c>
      <c r="AL31" s="184">
        <f t="shared" si="10"/>
        <v>638.35365767425878</v>
      </c>
      <c r="AM31" s="181">
        <f t="shared" si="11"/>
        <v>26</v>
      </c>
      <c r="AN31" s="610"/>
      <c r="AO31" s="187">
        <v>5</v>
      </c>
      <c r="AP31" s="187">
        <v>3191.7682883712937</v>
      </c>
      <c r="AQ31" s="184">
        <f t="shared" si="12"/>
        <v>638.35365767425878</v>
      </c>
      <c r="AR31" s="181">
        <f t="shared" si="13"/>
        <v>26</v>
      </c>
      <c r="AS31" s="610"/>
      <c r="AT31" s="187">
        <v>5</v>
      </c>
      <c r="AU31" s="187">
        <v>3191.4082883712945</v>
      </c>
      <c r="AV31" s="184">
        <f t="shared" si="14"/>
        <v>638.28165767425889</v>
      </c>
      <c r="AW31" s="181">
        <f t="shared" si="15"/>
        <v>26</v>
      </c>
      <c r="AX31" s="610"/>
    </row>
    <row r="32" spans="2:50" ht="14.25" customHeight="1">
      <c r="B32" s="611"/>
      <c r="C32" s="179">
        <v>26</v>
      </c>
      <c r="D32" s="182" t="s">
        <v>396</v>
      </c>
      <c r="E32" s="183">
        <v>3</v>
      </c>
      <c r="F32" s="179">
        <v>3000</v>
      </c>
      <c r="G32" s="184">
        <f t="shared" si="1"/>
        <v>1000</v>
      </c>
      <c r="H32" s="612"/>
      <c r="I32" s="185">
        <f t="shared" si="16"/>
        <v>3</v>
      </c>
      <c r="J32" s="185">
        <f t="shared" si="2"/>
        <v>2717.1231661141105</v>
      </c>
      <c r="K32" s="186">
        <f t="shared" si="2"/>
        <v>905.70772203803676</v>
      </c>
      <c r="L32" s="613"/>
      <c r="M32" s="185">
        <f>RANK(K32, K$7:$K$43)</f>
        <v>15</v>
      </c>
      <c r="N32" s="624"/>
      <c r="O32" s="614"/>
      <c r="P32" s="187">
        <v>3</v>
      </c>
      <c r="Q32" s="187">
        <v>2716.0088803998251</v>
      </c>
      <c r="R32" s="184">
        <f t="shared" si="3"/>
        <v>905.33629346660837</v>
      </c>
      <c r="S32" s="181">
        <f t="shared" si="4"/>
        <v>14</v>
      </c>
      <c r="T32" s="610"/>
      <c r="U32" s="187">
        <v>3</v>
      </c>
      <c r="V32" s="187">
        <v>2717.2088803998249</v>
      </c>
      <c r="W32" s="184">
        <f t="shared" si="0"/>
        <v>905.73629346660834</v>
      </c>
      <c r="X32" s="181">
        <f t="shared" si="5"/>
        <v>14</v>
      </c>
      <c r="Y32" s="610"/>
      <c r="Z32" s="187">
        <v>3</v>
      </c>
      <c r="AA32" s="187">
        <v>2716.9088803998247</v>
      </c>
      <c r="AB32" s="184">
        <f t="shared" si="6"/>
        <v>905.63629346660821</v>
      </c>
      <c r="AC32" s="181">
        <f t="shared" si="7"/>
        <v>14</v>
      </c>
      <c r="AD32" s="610"/>
      <c r="AE32" s="187">
        <v>3</v>
      </c>
      <c r="AF32" s="187">
        <v>2716.3088803998253</v>
      </c>
      <c r="AG32" s="184">
        <f t="shared" si="8"/>
        <v>905.43629346660839</v>
      </c>
      <c r="AH32" s="181">
        <f t="shared" si="9"/>
        <v>15</v>
      </c>
      <c r="AI32" s="610"/>
      <c r="AJ32" s="187">
        <v>3</v>
      </c>
      <c r="AK32" s="187">
        <v>2717.5088803998246</v>
      </c>
      <c r="AL32" s="184">
        <f t="shared" si="10"/>
        <v>905.83629346660825</v>
      </c>
      <c r="AM32" s="181">
        <f t="shared" si="11"/>
        <v>15</v>
      </c>
      <c r="AN32" s="610"/>
      <c r="AO32" s="187">
        <v>3</v>
      </c>
      <c r="AP32" s="187">
        <v>2717.2088803998245</v>
      </c>
      <c r="AQ32" s="184">
        <f t="shared" si="12"/>
        <v>905.73629346660812</v>
      </c>
      <c r="AR32" s="181">
        <f t="shared" si="13"/>
        <v>14</v>
      </c>
      <c r="AS32" s="610"/>
      <c r="AT32" s="187">
        <v>3</v>
      </c>
      <c r="AU32" s="187">
        <v>2718.708880399824</v>
      </c>
      <c r="AV32" s="184">
        <f t="shared" si="14"/>
        <v>906.236293466608</v>
      </c>
      <c r="AW32" s="181">
        <f t="shared" si="15"/>
        <v>13</v>
      </c>
      <c r="AX32" s="610"/>
    </row>
    <row r="33" spans="1:50" ht="14.25" customHeight="1">
      <c r="B33" s="611"/>
      <c r="C33" s="179">
        <v>27</v>
      </c>
      <c r="D33" s="182" t="s">
        <v>434</v>
      </c>
      <c r="E33" s="183">
        <v>3</v>
      </c>
      <c r="F33" s="179">
        <v>3600</v>
      </c>
      <c r="G33" s="184">
        <f t="shared" si="1"/>
        <v>1200</v>
      </c>
      <c r="H33" s="612"/>
      <c r="I33" s="185">
        <f t="shared" si="16"/>
        <v>3</v>
      </c>
      <c r="J33" s="185">
        <f t="shared" si="2"/>
        <v>3188.599642251048</v>
      </c>
      <c r="K33" s="186">
        <f t="shared" si="2"/>
        <v>1062.8665474170159</v>
      </c>
      <c r="L33" s="613"/>
      <c r="M33" s="185">
        <f>RANK(K33, K$7:$K$43)</f>
        <v>6</v>
      </c>
      <c r="N33" s="624"/>
      <c r="O33" s="614"/>
      <c r="P33" s="187">
        <v>3</v>
      </c>
      <c r="Q33" s="187">
        <v>3190.6053565367615</v>
      </c>
      <c r="R33" s="184">
        <f t="shared" si="3"/>
        <v>1063.5351188455872</v>
      </c>
      <c r="S33" s="181">
        <f t="shared" si="4"/>
        <v>5</v>
      </c>
      <c r="T33" s="610"/>
      <c r="U33" s="187">
        <v>3</v>
      </c>
      <c r="V33" s="187">
        <v>3189.525356536762</v>
      </c>
      <c r="W33" s="184">
        <f t="shared" si="0"/>
        <v>1063.1751188455873</v>
      </c>
      <c r="X33" s="181">
        <f t="shared" si="5"/>
        <v>5</v>
      </c>
      <c r="Y33" s="610"/>
      <c r="Z33" s="187">
        <v>3</v>
      </c>
      <c r="AA33" s="187">
        <v>3189.8853565367617</v>
      </c>
      <c r="AB33" s="184">
        <f t="shared" si="6"/>
        <v>1063.2951188455872</v>
      </c>
      <c r="AC33" s="181">
        <f t="shared" si="7"/>
        <v>6</v>
      </c>
      <c r="AD33" s="610"/>
      <c r="AE33" s="187">
        <v>3</v>
      </c>
      <c r="AF33" s="187">
        <v>3188.8053565367618</v>
      </c>
      <c r="AG33" s="184">
        <f t="shared" si="8"/>
        <v>1062.9351188455873</v>
      </c>
      <c r="AH33" s="181">
        <f t="shared" si="9"/>
        <v>6</v>
      </c>
      <c r="AI33" s="610"/>
      <c r="AJ33" s="187">
        <v>3</v>
      </c>
      <c r="AK33" s="187">
        <v>3187.7253565367628</v>
      </c>
      <c r="AL33" s="184">
        <f t="shared" si="10"/>
        <v>1062.5751188455877</v>
      </c>
      <c r="AM33" s="181">
        <f t="shared" si="11"/>
        <v>7</v>
      </c>
      <c r="AN33" s="610"/>
      <c r="AO33" s="187">
        <v>3</v>
      </c>
      <c r="AP33" s="187">
        <v>3187.0053565367625</v>
      </c>
      <c r="AQ33" s="184">
        <f t="shared" si="12"/>
        <v>1062.3351188455874</v>
      </c>
      <c r="AR33" s="181">
        <f t="shared" si="13"/>
        <v>7</v>
      </c>
      <c r="AS33" s="610"/>
      <c r="AT33" s="187">
        <v>3</v>
      </c>
      <c r="AU33" s="187">
        <v>3186.6453565367624</v>
      </c>
      <c r="AV33" s="184">
        <f t="shared" si="14"/>
        <v>1062.2151188455875</v>
      </c>
      <c r="AW33" s="181">
        <f t="shared" si="15"/>
        <v>8</v>
      </c>
      <c r="AX33" s="610"/>
    </row>
    <row r="34" spans="1:50" ht="14.25" customHeight="1">
      <c r="B34" s="611"/>
      <c r="C34" s="179">
        <v>28</v>
      </c>
      <c r="D34" s="182" t="s">
        <v>440</v>
      </c>
      <c r="E34" s="183">
        <v>4</v>
      </c>
      <c r="F34" s="179">
        <v>3000</v>
      </c>
      <c r="G34" s="184">
        <f t="shared" si="1"/>
        <v>750</v>
      </c>
      <c r="H34" s="612"/>
      <c r="I34" s="185">
        <f t="shared" si="16"/>
        <v>4</v>
      </c>
      <c r="J34" s="185">
        <f t="shared" si="2"/>
        <v>2710.7000901652987</v>
      </c>
      <c r="K34" s="186">
        <f t="shared" si="2"/>
        <v>677.67502254132467</v>
      </c>
      <c r="L34" s="613"/>
      <c r="M34" s="185">
        <f>RANK(K34, K$7:$K$43)</f>
        <v>20</v>
      </c>
      <c r="N34" s="624"/>
      <c r="O34" s="614"/>
      <c r="P34" s="187">
        <v>4</v>
      </c>
      <c r="Q34" s="187">
        <v>2707.2757488864636</v>
      </c>
      <c r="R34" s="184">
        <f t="shared" si="3"/>
        <v>676.8189372216159</v>
      </c>
      <c r="S34" s="181">
        <f t="shared" si="4"/>
        <v>20</v>
      </c>
      <c r="T34" s="610"/>
      <c r="U34" s="187">
        <v>4</v>
      </c>
      <c r="V34" s="187">
        <v>2707.875748886464</v>
      </c>
      <c r="W34" s="184">
        <f t="shared" si="0"/>
        <v>676.96893722161599</v>
      </c>
      <c r="X34" s="181">
        <f t="shared" si="5"/>
        <v>20</v>
      </c>
      <c r="Y34" s="610"/>
      <c r="Z34" s="187">
        <v>4</v>
      </c>
      <c r="AA34" s="187">
        <v>2710.6806526204678</v>
      </c>
      <c r="AB34" s="184">
        <f t="shared" si="6"/>
        <v>677.67016315511694</v>
      </c>
      <c r="AC34" s="181">
        <f t="shared" si="7"/>
        <v>20</v>
      </c>
      <c r="AD34" s="610"/>
      <c r="AE34" s="187">
        <v>4</v>
      </c>
      <c r="AF34" s="187">
        <v>2710.380652620468</v>
      </c>
      <c r="AG34" s="184">
        <f t="shared" si="8"/>
        <v>677.59516315511701</v>
      </c>
      <c r="AH34" s="181">
        <f t="shared" si="9"/>
        <v>20</v>
      </c>
      <c r="AI34" s="610"/>
      <c r="AJ34" s="187">
        <v>4</v>
      </c>
      <c r="AK34" s="187">
        <v>2710.6806526204682</v>
      </c>
      <c r="AL34" s="184">
        <f t="shared" si="10"/>
        <v>677.67016315511705</v>
      </c>
      <c r="AM34" s="181">
        <f t="shared" si="11"/>
        <v>21</v>
      </c>
      <c r="AN34" s="610"/>
      <c r="AO34" s="187">
        <v>4</v>
      </c>
      <c r="AP34" s="187">
        <v>2714.4535877613812</v>
      </c>
      <c r="AQ34" s="184">
        <f t="shared" si="12"/>
        <v>678.6133969403453</v>
      </c>
      <c r="AR34" s="181">
        <f t="shared" si="13"/>
        <v>21</v>
      </c>
      <c r="AS34" s="610"/>
      <c r="AT34" s="187">
        <v>4</v>
      </c>
      <c r="AU34" s="187">
        <v>2713.5535877613806</v>
      </c>
      <c r="AV34" s="184">
        <f t="shared" si="14"/>
        <v>678.38839694034516</v>
      </c>
      <c r="AW34" s="181">
        <f t="shared" si="15"/>
        <v>21</v>
      </c>
      <c r="AX34" s="610"/>
    </row>
    <row r="35" spans="1:50" ht="14.25" customHeight="1">
      <c r="B35" s="611"/>
      <c r="C35" s="179">
        <v>29</v>
      </c>
      <c r="D35" s="182" t="s">
        <v>507</v>
      </c>
      <c r="E35" s="183">
        <v>5</v>
      </c>
      <c r="F35" s="179">
        <v>3000</v>
      </c>
      <c r="G35" s="184">
        <f t="shared" si="1"/>
        <v>600</v>
      </c>
      <c r="H35" s="612"/>
      <c r="I35" s="185">
        <f t="shared" si="16"/>
        <v>5</v>
      </c>
      <c r="J35" s="185">
        <f t="shared" si="2"/>
        <v>2712.3874695745867</v>
      </c>
      <c r="K35" s="186">
        <f t="shared" si="2"/>
        <v>542.47749391491732</v>
      </c>
      <c r="L35" s="613"/>
      <c r="M35" s="185">
        <f>RANK(K35, K$7:$K$43)</f>
        <v>32</v>
      </c>
      <c r="N35" s="624"/>
      <c r="O35" s="614"/>
      <c r="P35" s="187">
        <v>5</v>
      </c>
      <c r="Q35" s="187">
        <v>2710.2286603923676</v>
      </c>
      <c r="R35" s="184">
        <f t="shared" si="3"/>
        <v>542.04573207847352</v>
      </c>
      <c r="S35" s="181">
        <f t="shared" si="4"/>
        <v>32</v>
      </c>
      <c r="T35" s="610"/>
      <c r="U35" s="187">
        <v>5</v>
      </c>
      <c r="V35" s="187">
        <v>2710.8286603923675</v>
      </c>
      <c r="W35" s="184">
        <f t="shared" si="0"/>
        <v>542.16573207847352</v>
      </c>
      <c r="X35" s="181">
        <f t="shared" si="5"/>
        <v>32</v>
      </c>
      <c r="Y35" s="610"/>
      <c r="Z35" s="187">
        <v>5</v>
      </c>
      <c r="AA35" s="187">
        <v>2712.3286603923675</v>
      </c>
      <c r="AB35" s="184">
        <f t="shared" si="6"/>
        <v>542.46573207847348</v>
      </c>
      <c r="AC35" s="181">
        <f t="shared" si="7"/>
        <v>32</v>
      </c>
      <c r="AD35" s="610"/>
      <c r="AE35" s="187">
        <v>5</v>
      </c>
      <c r="AF35" s="187">
        <v>2711.1286603923677</v>
      </c>
      <c r="AG35" s="184">
        <f t="shared" si="8"/>
        <v>542.22573207847358</v>
      </c>
      <c r="AH35" s="181">
        <f t="shared" si="9"/>
        <v>32</v>
      </c>
      <c r="AI35" s="610"/>
      <c r="AJ35" s="187">
        <v>5</v>
      </c>
      <c r="AK35" s="187">
        <v>2711.1286603923672</v>
      </c>
      <c r="AL35" s="184">
        <f t="shared" si="10"/>
        <v>542.22573207847347</v>
      </c>
      <c r="AM35" s="181">
        <f t="shared" si="11"/>
        <v>33</v>
      </c>
      <c r="AN35" s="610"/>
      <c r="AO35" s="187">
        <v>5</v>
      </c>
      <c r="AP35" s="187">
        <v>2714.0485198654724</v>
      </c>
      <c r="AQ35" s="184">
        <f t="shared" si="12"/>
        <v>542.80970397309443</v>
      </c>
      <c r="AR35" s="181">
        <f t="shared" si="13"/>
        <v>33</v>
      </c>
      <c r="AS35" s="610"/>
      <c r="AT35" s="187">
        <v>5</v>
      </c>
      <c r="AU35" s="187">
        <v>2717.0204651947952</v>
      </c>
      <c r="AV35" s="184">
        <f t="shared" si="14"/>
        <v>543.40409303895899</v>
      </c>
      <c r="AW35" s="181">
        <f t="shared" si="15"/>
        <v>32</v>
      </c>
      <c r="AX35" s="610"/>
    </row>
    <row r="36" spans="1:50" ht="14.25" customHeight="1">
      <c r="B36" s="611"/>
      <c r="C36" s="179">
        <v>30</v>
      </c>
      <c r="D36" s="182" t="s">
        <v>520</v>
      </c>
      <c r="E36" s="183">
        <v>3</v>
      </c>
      <c r="F36" s="179">
        <v>3300</v>
      </c>
      <c r="G36" s="184">
        <f t="shared" si="1"/>
        <v>1100</v>
      </c>
      <c r="H36" s="612"/>
      <c r="I36" s="185">
        <f t="shared" si="16"/>
        <v>3</v>
      </c>
      <c r="J36" s="185">
        <f t="shared" si="2"/>
        <v>2989.7564000322418</v>
      </c>
      <c r="K36" s="186">
        <f t="shared" si="2"/>
        <v>996.58546667741382</v>
      </c>
      <c r="L36" s="613"/>
      <c r="M36" s="185">
        <f>RANK(K36, K$7:$K$43)</f>
        <v>10</v>
      </c>
      <c r="N36" s="624"/>
      <c r="O36" s="614"/>
      <c r="P36" s="187">
        <v>3</v>
      </c>
      <c r="Q36" s="187">
        <v>2989.4264000322419</v>
      </c>
      <c r="R36" s="184">
        <f t="shared" si="3"/>
        <v>996.47546667741392</v>
      </c>
      <c r="S36" s="181">
        <f t="shared" si="4"/>
        <v>11</v>
      </c>
      <c r="T36" s="610"/>
      <c r="U36" s="187">
        <v>3</v>
      </c>
      <c r="V36" s="187">
        <v>2990.4164000322417</v>
      </c>
      <c r="W36" s="184">
        <f t="shared" si="0"/>
        <v>996.80546667741385</v>
      </c>
      <c r="X36" s="181">
        <f t="shared" si="5"/>
        <v>10</v>
      </c>
      <c r="Y36" s="610"/>
      <c r="Z36" s="187">
        <v>3</v>
      </c>
      <c r="AA36" s="187">
        <v>2989.0964000322415</v>
      </c>
      <c r="AB36" s="184">
        <f t="shared" si="6"/>
        <v>996.36546667741379</v>
      </c>
      <c r="AC36" s="181">
        <f t="shared" si="7"/>
        <v>11</v>
      </c>
      <c r="AD36" s="610"/>
      <c r="AE36" s="187">
        <v>3</v>
      </c>
      <c r="AF36" s="187">
        <v>2990.4164000322417</v>
      </c>
      <c r="AG36" s="184">
        <f t="shared" si="8"/>
        <v>996.80546667741385</v>
      </c>
      <c r="AH36" s="181">
        <f t="shared" si="9"/>
        <v>10</v>
      </c>
      <c r="AI36" s="610"/>
      <c r="AJ36" s="187">
        <v>3</v>
      </c>
      <c r="AK36" s="187">
        <v>2990.0864000322413</v>
      </c>
      <c r="AL36" s="184">
        <f t="shared" si="10"/>
        <v>996.69546667741372</v>
      </c>
      <c r="AM36" s="181">
        <f t="shared" si="11"/>
        <v>10</v>
      </c>
      <c r="AN36" s="610"/>
      <c r="AO36" s="187">
        <v>3</v>
      </c>
      <c r="AP36" s="187">
        <v>2989.0964000322406</v>
      </c>
      <c r="AQ36" s="184">
        <f t="shared" si="12"/>
        <v>996.36546667741356</v>
      </c>
      <c r="AR36" s="181">
        <f t="shared" si="13"/>
        <v>11</v>
      </c>
      <c r="AS36" s="610"/>
      <c r="AT36" s="187">
        <v>3</v>
      </c>
      <c r="AU36" s="187">
        <v>2989.7564000322409</v>
      </c>
      <c r="AV36" s="184">
        <f t="shared" si="14"/>
        <v>996.58546667741359</v>
      </c>
      <c r="AW36" s="181">
        <f t="shared" si="15"/>
        <v>10</v>
      </c>
      <c r="AX36" s="610"/>
    </row>
    <row r="37" spans="1:50" ht="14.25" customHeight="1">
      <c r="B37" s="611"/>
      <c r="C37" s="179">
        <v>31</v>
      </c>
      <c r="D37" s="182" t="s">
        <v>663</v>
      </c>
      <c r="E37" s="179">
        <v>6</v>
      </c>
      <c r="F37" s="179">
        <v>3600</v>
      </c>
      <c r="G37" s="184">
        <f t="shared" si="1"/>
        <v>600</v>
      </c>
      <c r="H37" s="612"/>
      <c r="I37" s="185">
        <f t="shared" si="16"/>
        <v>6</v>
      </c>
      <c r="J37" s="185">
        <f t="shared" si="2"/>
        <v>3262.3717115807426</v>
      </c>
      <c r="K37" s="186">
        <f t="shared" si="2"/>
        <v>543.72861859679051</v>
      </c>
      <c r="L37" s="613"/>
      <c r="M37" s="185">
        <f>RANK(K37, K$7:$K$43)</f>
        <v>31</v>
      </c>
      <c r="N37" s="624"/>
      <c r="O37" s="614"/>
      <c r="P37" s="187">
        <v>6</v>
      </c>
      <c r="Q37" s="187">
        <v>3261.3892396527285</v>
      </c>
      <c r="R37" s="184">
        <f t="shared" si="3"/>
        <v>543.56487327545472</v>
      </c>
      <c r="S37" s="181">
        <f t="shared" si="4"/>
        <v>31</v>
      </c>
      <c r="T37" s="610"/>
      <c r="U37" s="187">
        <v>6</v>
      </c>
      <c r="V37" s="187">
        <v>3262.8292396527281</v>
      </c>
      <c r="W37" s="184">
        <f t="shared" si="0"/>
        <v>543.80487327545472</v>
      </c>
      <c r="X37" s="181">
        <f t="shared" si="5"/>
        <v>31</v>
      </c>
      <c r="Y37" s="610"/>
      <c r="Z37" s="187">
        <v>6</v>
      </c>
      <c r="AA37" s="187">
        <v>3264.2692396527282</v>
      </c>
      <c r="AB37" s="184">
        <f t="shared" si="6"/>
        <v>544.04487327545473</v>
      </c>
      <c r="AC37" s="181">
        <f t="shared" si="7"/>
        <v>31</v>
      </c>
      <c r="AD37" s="610"/>
      <c r="AE37" s="187">
        <v>6</v>
      </c>
      <c r="AF37" s="187">
        <v>3262.8292396527286</v>
      </c>
      <c r="AG37" s="184">
        <f t="shared" si="8"/>
        <v>543.80487327545472</v>
      </c>
      <c r="AH37" s="181">
        <f t="shared" si="9"/>
        <v>31</v>
      </c>
      <c r="AI37" s="610"/>
      <c r="AJ37" s="187">
        <v>6</v>
      </c>
      <c r="AK37" s="187">
        <v>3262.0016741514282</v>
      </c>
      <c r="AL37" s="184">
        <f t="shared" si="10"/>
        <v>543.66694569190474</v>
      </c>
      <c r="AM37" s="181">
        <f t="shared" si="11"/>
        <v>31</v>
      </c>
      <c r="AN37" s="610"/>
      <c r="AO37" s="187">
        <v>6</v>
      </c>
      <c r="AP37" s="187">
        <v>3262.0016741514287</v>
      </c>
      <c r="AQ37" s="184">
        <f t="shared" si="12"/>
        <v>543.66694569190474</v>
      </c>
      <c r="AR37" s="181">
        <f t="shared" si="13"/>
        <v>31</v>
      </c>
      <c r="AS37" s="610"/>
      <c r="AT37" s="187">
        <v>6</v>
      </c>
      <c r="AU37" s="187">
        <v>3261.2816741514289</v>
      </c>
      <c r="AV37" s="184">
        <f t="shared" si="14"/>
        <v>543.54694569190485</v>
      </c>
      <c r="AW37" s="181">
        <f t="shared" si="15"/>
        <v>31</v>
      </c>
      <c r="AX37" s="610"/>
    </row>
    <row r="38" spans="1:50" ht="14.25" customHeight="1">
      <c r="B38" s="611"/>
      <c r="C38" s="179">
        <v>32</v>
      </c>
      <c r="D38" s="182" t="s">
        <v>690</v>
      </c>
      <c r="E38" s="179">
        <v>4</v>
      </c>
      <c r="F38" s="179">
        <v>3000</v>
      </c>
      <c r="G38" s="184">
        <f t="shared" si="1"/>
        <v>750</v>
      </c>
      <c r="H38" s="612"/>
      <c r="I38" s="185">
        <f t="shared" si="16"/>
        <v>4</v>
      </c>
      <c r="J38" s="185">
        <f t="shared" si="16"/>
        <v>2638.7211402004082</v>
      </c>
      <c r="K38" s="186">
        <f t="shared" si="16"/>
        <v>659.68028505010204</v>
      </c>
      <c r="L38" s="613"/>
      <c r="M38" s="185">
        <f>RANK(K38, K$7:$K$43)</f>
        <v>21</v>
      </c>
      <c r="N38" s="624"/>
      <c r="O38" s="614"/>
      <c r="P38" s="187">
        <v>4</v>
      </c>
      <c r="Q38" s="187">
        <v>2500.9380000000001</v>
      </c>
      <c r="R38" s="184">
        <f t="shared" si="3"/>
        <v>625.23450000000003</v>
      </c>
      <c r="S38" s="181">
        <f t="shared" si="4"/>
        <v>28</v>
      </c>
      <c r="T38" s="610"/>
      <c r="U38" s="187">
        <v>4</v>
      </c>
      <c r="V38" s="187">
        <v>2550.95676</v>
      </c>
      <c r="W38" s="184">
        <f t="shared" si="0"/>
        <v>637.73919000000001</v>
      </c>
      <c r="X38" s="181">
        <f t="shared" si="5"/>
        <v>28</v>
      </c>
      <c r="Y38" s="610"/>
      <c r="Z38" s="187">
        <v>4</v>
      </c>
      <c r="AA38" s="187">
        <v>2605.7520519599998</v>
      </c>
      <c r="AB38" s="184">
        <f t="shared" si="6"/>
        <v>651.43801298999995</v>
      </c>
      <c r="AC38" s="181">
        <f t="shared" si="7"/>
        <v>21</v>
      </c>
      <c r="AD38" s="610"/>
      <c r="AE38" s="187">
        <v>4</v>
      </c>
      <c r="AF38" s="187">
        <v>2660.4728450511593</v>
      </c>
      <c r="AG38" s="184">
        <f t="shared" si="8"/>
        <v>665.11821126278983</v>
      </c>
      <c r="AH38" s="181">
        <f t="shared" si="9"/>
        <v>21</v>
      </c>
      <c r="AI38" s="610"/>
      <c r="AJ38" s="187">
        <v>4</v>
      </c>
      <c r="AK38" s="187">
        <v>2716.3427747972332</v>
      </c>
      <c r="AL38" s="184">
        <f t="shared" si="10"/>
        <v>679.08569369930831</v>
      </c>
      <c r="AM38" s="181">
        <f t="shared" si="11"/>
        <v>20</v>
      </c>
      <c r="AN38" s="610"/>
      <c r="AO38" s="187">
        <v>4</v>
      </c>
      <c r="AP38" s="187">
        <v>2717.8427747972328</v>
      </c>
      <c r="AQ38" s="184">
        <f t="shared" si="12"/>
        <v>679.46069369930819</v>
      </c>
      <c r="AR38" s="181">
        <f t="shared" si="13"/>
        <v>20</v>
      </c>
      <c r="AS38" s="610"/>
      <c r="AT38" s="187">
        <v>4</v>
      </c>
      <c r="AU38" s="187">
        <v>2718.7427747972324</v>
      </c>
      <c r="AV38" s="184">
        <f t="shared" si="14"/>
        <v>679.6856936993081</v>
      </c>
      <c r="AW38" s="181">
        <f t="shared" si="15"/>
        <v>20</v>
      </c>
      <c r="AX38" s="610"/>
    </row>
    <row r="39" spans="1:50" ht="14.25" customHeight="1">
      <c r="B39" s="611"/>
      <c r="C39" s="179">
        <v>33</v>
      </c>
      <c r="D39" s="182" t="s">
        <v>691</v>
      </c>
      <c r="E39" s="179">
        <v>6</v>
      </c>
      <c r="F39" s="179">
        <v>3600</v>
      </c>
      <c r="G39" s="184">
        <f t="shared" si="1"/>
        <v>600</v>
      </c>
      <c r="H39" s="612"/>
      <c r="I39" s="185">
        <f t="shared" ref="I39:K42" si="17">AVERAGE(P39,U39,Z39,AE39,AJ39,AO39,AT39)</f>
        <v>6</v>
      </c>
      <c r="J39" s="185">
        <f t="shared" si="17"/>
        <v>3182.8012443380135</v>
      </c>
      <c r="K39" s="186">
        <f t="shared" si="17"/>
        <v>530.46687405633566</v>
      </c>
      <c r="L39" s="613"/>
      <c r="M39" s="185">
        <f>RANK(K39, K$7:$K$43)</f>
        <v>33</v>
      </c>
      <c r="N39" s="624"/>
      <c r="O39" s="614"/>
      <c r="P39" s="187">
        <v>6</v>
      </c>
      <c r="Q39" s="187">
        <v>3023.3621600000001</v>
      </c>
      <c r="R39" s="184">
        <f t="shared" si="3"/>
        <v>503.89369333333337</v>
      </c>
      <c r="S39" s="181">
        <f t="shared" si="4"/>
        <v>33</v>
      </c>
      <c r="T39" s="610"/>
      <c r="U39" s="187">
        <v>6</v>
      </c>
      <c r="V39" s="187">
        <v>3091.3478075200001</v>
      </c>
      <c r="W39" s="184">
        <f t="shared" si="0"/>
        <v>515.22463458666664</v>
      </c>
      <c r="X39" s="181">
        <f t="shared" si="5"/>
        <v>33</v>
      </c>
      <c r="Y39" s="610"/>
      <c r="Z39" s="187">
        <v>6</v>
      </c>
      <c r="AA39" s="187">
        <v>3158.9306820661918</v>
      </c>
      <c r="AB39" s="184">
        <f t="shared" si="6"/>
        <v>526.48844701103201</v>
      </c>
      <c r="AC39" s="181">
        <f t="shared" si="7"/>
        <v>33</v>
      </c>
      <c r="AD39" s="610"/>
      <c r="AE39" s="187">
        <v>6</v>
      </c>
      <c r="AF39" s="187">
        <v>3226.9032701398551</v>
      </c>
      <c r="AG39" s="184">
        <f t="shared" si="8"/>
        <v>537.81721168997581</v>
      </c>
      <c r="AH39" s="181">
        <f t="shared" si="9"/>
        <v>33</v>
      </c>
      <c r="AI39" s="610"/>
      <c r="AJ39" s="187">
        <v>6</v>
      </c>
      <c r="AK39" s="187">
        <v>3260.0482635466824</v>
      </c>
      <c r="AL39" s="184">
        <f t="shared" si="10"/>
        <v>543.34137725778044</v>
      </c>
      <c r="AM39" s="181">
        <f t="shared" si="11"/>
        <v>32</v>
      </c>
      <c r="AN39" s="610"/>
      <c r="AO39" s="187">
        <v>6</v>
      </c>
      <c r="AP39" s="187">
        <v>3260.0482635466833</v>
      </c>
      <c r="AQ39" s="184">
        <f t="shared" si="12"/>
        <v>543.34137725778055</v>
      </c>
      <c r="AR39" s="181">
        <f t="shared" si="13"/>
        <v>32</v>
      </c>
      <c r="AS39" s="610"/>
      <c r="AT39" s="187">
        <v>6</v>
      </c>
      <c r="AU39" s="187">
        <v>3258.9682635466829</v>
      </c>
      <c r="AV39" s="184">
        <f t="shared" si="14"/>
        <v>543.16137725778049</v>
      </c>
      <c r="AW39" s="181">
        <f t="shared" si="15"/>
        <v>33</v>
      </c>
      <c r="AX39" s="610"/>
    </row>
    <row r="40" spans="1:50" ht="14.25" customHeight="1">
      <c r="B40" s="611"/>
      <c r="C40" s="179">
        <v>34</v>
      </c>
      <c r="D40" s="182" t="s">
        <v>484</v>
      </c>
      <c r="E40" s="179">
        <v>13</v>
      </c>
      <c r="F40" s="179">
        <v>3600</v>
      </c>
      <c r="G40" s="184">
        <f t="shared" si="1"/>
        <v>276.92307692307691</v>
      </c>
      <c r="H40" s="612"/>
      <c r="I40" s="185">
        <f t="shared" si="17"/>
        <v>13</v>
      </c>
      <c r="J40" s="185">
        <f t="shared" si="17"/>
        <v>3259.6066255692626</v>
      </c>
      <c r="K40" s="186">
        <f t="shared" si="17"/>
        <v>250.73897119763555</v>
      </c>
      <c r="L40" s="613"/>
      <c r="M40" s="185">
        <f>RANK(K40, K$7:$K$43)</f>
        <v>36</v>
      </c>
      <c r="N40" s="624"/>
      <c r="O40" s="614"/>
      <c r="P40" s="187">
        <v>13</v>
      </c>
      <c r="Q40" s="187">
        <v>3261.3037684264045</v>
      </c>
      <c r="R40" s="184">
        <f t="shared" si="3"/>
        <v>250.86952064818496</v>
      </c>
      <c r="S40" s="181">
        <f t="shared" si="4"/>
        <v>36</v>
      </c>
      <c r="T40" s="610"/>
      <c r="U40" s="187">
        <v>13</v>
      </c>
      <c r="V40" s="187">
        <v>3259.5037684264048</v>
      </c>
      <c r="W40" s="184">
        <f t="shared" si="0"/>
        <v>250.73105910972345</v>
      </c>
      <c r="X40" s="181">
        <f t="shared" si="5"/>
        <v>36</v>
      </c>
      <c r="Y40" s="610"/>
      <c r="Z40" s="187">
        <v>13</v>
      </c>
      <c r="AA40" s="187">
        <v>3260.5837684264043</v>
      </c>
      <c r="AB40" s="184">
        <f t="shared" si="6"/>
        <v>250.81413603280032</v>
      </c>
      <c r="AC40" s="181">
        <f t="shared" si="7"/>
        <v>36</v>
      </c>
      <c r="AD40" s="610"/>
      <c r="AE40" s="187">
        <v>13</v>
      </c>
      <c r="AF40" s="187">
        <v>3260.2237684264046</v>
      </c>
      <c r="AG40" s="184">
        <f t="shared" si="8"/>
        <v>250.78644372510806</v>
      </c>
      <c r="AH40" s="181">
        <f t="shared" si="9"/>
        <v>36</v>
      </c>
      <c r="AI40" s="610"/>
      <c r="AJ40" s="187">
        <v>13</v>
      </c>
      <c r="AK40" s="187">
        <v>3258.4237684264053</v>
      </c>
      <c r="AL40" s="184">
        <f t="shared" si="10"/>
        <v>250.64798218664657</v>
      </c>
      <c r="AM40" s="181">
        <f t="shared" si="11"/>
        <v>36</v>
      </c>
      <c r="AN40" s="610"/>
      <c r="AO40" s="187">
        <v>13</v>
      </c>
      <c r="AP40" s="187">
        <v>3258.0637684264061</v>
      </c>
      <c r="AQ40" s="184">
        <f t="shared" si="12"/>
        <v>250.62028987895431</v>
      </c>
      <c r="AR40" s="181">
        <f t="shared" si="13"/>
        <v>36</v>
      </c>
      <c r="AS40" s="610"/>
      <c r="AT40" s="187">
        <v>13</v>
      </c>
      <c r="AU40" s="187">
        <v>3259.143768426406</v>
      </c>
      <c r="AV40" s="184">
        <f t="shared" si="14"/>
        <v>250.70336680203124</v>
      </c>
      <c r="AW40" s="181">
        <f t="shared" si="15"/>
        <v>36</v>
      </c>
      <c r="AX40" s="610"/>
    </row>
    <row r="41" spans="1:50" ht="14.25" customHeight="1">
      <c r="B41" s="611"/>
      <c r="C41" s="179">
        <v>35</v>
      </c>
      <c r="D41" s="182" t="s">
        <v>345</v>
      </c>
      <c r="E41" s="179">
        <v>3</v>
      </c>
      <c r="F41" s="179">
        <v>3000</v>
      </c>
      <c r="G41" s="184">
        <f t="shared" si="1"/>
        <v>1000</v>
      </c>
      <c r="H41" s="612"/>
      <c r="I41" s="185">
        <f t="shared" si="17"/>
        <v>3</v>
      </c>
      <c r="J41" s="185">
        <f t="shared" si="17"/>
        <v>2717.2536075350808</v>
      </c>
      <c r="K41" s="186">
        <f t="shared" si="17"/>
        <v>905.75120251169369</v>
      </c>
      <c r="L41" s="613"/>
      <c r="M41" s="185">
        <f>RANK(K41, K$7:$K$43)</f>
        <v>14</v>
      </c>
      <c r="N41" s="624"/>
      <c r="O41" s="614"/>
      <c r="P41" s="187">
        <v>3</v>
      </c>
      <c r="Q41" s="187">
        <v>2714.7250361065094</v>
      </c>
      <c r="R41" s="184">
        <f t="shared" si="3"/>
        <v>904.90834536883642</v>
      </c>
      <c r="S41" s="181">
        <f t="shared" si="4"/>
        <v>15</v>
      </c>
      <c r="T41" s="610"/>
      <c r="U41" s="187">
        <v>3</v>
      </c>
      <c r="V41" s="187">
        <v>2716.2250361065094</v>
      </c>
      <c r="W41" s="184">
        <f t="shared" si="0"/>
        <v>905.40834536883642</v>
      </c>
      <c r="X41" s="181">
        <f t="shared" si="5"/>
        <v>15</v>
      </c>
      <c r="Y41" s="610"/>
      <c r="Z41" s="187">
        <v>3</v>
      </c>
      <c r="AA41" s="187">
        <v>2716.8250361065093</v>
      </c>
      <c r="AB41" s="184">
        <f t="shared" si="6"/>
        <v>905.60834536883647</v>
      </c>
      <c r="AC41" s="181">
        <f t="shared" si="7"/>
        <v>15</v>
      </c>
      <c r="AD41" s="610"/>
      <c r="AE41" s="187">
        <v>3</v>
      </c>
      <c r="AF41" s="187">
        <v>2717.7250361065094</v>
      </c>
      <c r="AG41" s="184">
        <f t="shared" si="8"/>
        <v>905.90834536883642</v>
      </c>
      <c r="AH41" s="181">
        <f t="shared" si="9"/>
        <v>14</v>
      </c>
      <c r="AI41" s="610"/>
      <c r="AJ41" s="187">
        <v>3</v>
      </c>
      <c r="AK41" s="187">
        <v>2718.6250361065095</v>
      </c>
      <c r="AL41" s="184">
        <f t="shared" si="10"/>
        <v>906.20834536883649</v>
      </c>
      <c r="AM41" s="181">
        <f t="shared" si="11"/>
        <v>13</v>
      </c>
      <c r="AN41" s="610"/>
      <c r="AO41" s="187">
        <v>3</v>
      </c>
      <c r="AP41" s="187">
        <v>2718.9250361065097</v>
      </c>
      <c r="AQ41" s="184">
        <f t="shared" si="12"/>
        <v>906.30834536883651</v>
      </c>
      <c r="AR41" s="181">
        <f t="shared" si="13"/>
        <v>13</v>
      </c>
      <c r="AS41" s="610"/>
      <c r="AT41" s="187">
        <v>3</v>
      </c>
      <c r="AU41" s="187">
        <v>2717.7250361065103</v>
      </c>
      <c r="AV41" s="184">
        <f t="shared" si="14"/>
        <v>905.90834536883676</v>
      </c>
      <c r="AW41" s="181">
        <f t="shared" si="15"/>
        <v>15</v>
      </c>
      <c r="AX41" s="610"/>
    </row>
    <row r="42" spans="1:50" ht="14.25" customHeight="1">
      <c r="B42" s="611"/>
      <c r="C42" s="179">
        <v>36</v>
      </c>
      <c r="D42" s="182" t="s">
        <v>436</v>
      </c>
      <c r="E42" s="179">
        <v>12</v>
      </c>
      <c r="F42" s="179">
        <v>3600</v>
      </c>
      <c r="G42" s="184">
        <f t="shared" si="1"/>
        <v>300</v>
      </c>
      <c r="H42" s="612"/>
      <c r="I42" s="185">
        <f t="shared" si="17"/>
        <v>12</v>
      </c>
      <c r="J42" s="185">
        <f t="shared" si="17"/>
        <v>3117.4577302189086</v>
      </c>
      <c r="K42" s="186">
        <f t="shared" si="17"/>
        <v>259.78814418490907</v>
      </c>
      <c r="L42" s="613"/>
      <c r="M42" s="185">
        <f>RANK(K42, K$7:$K$43)</f>
        <v>34</v>
      </c>
      <c r="N42" s="624"/>
      <c r="O42" s="614"/>
      <c r="P42" s="187">
        <v>12</v>
      </c>
      <c r="Q42" s="187">
        <v>3114.2225748615342</v>
      </c>
      <c r="R42" s="184">
        <f t="shared" si="3"/>
        <v>259.51854790512783</v>
      </c>
      <c r="S42" s="181">
        <f t="shared" si="4"/>
        <v>35</v>
      </c>
      <c r="T42" s="610"/>
      <c r="U42" s="187">
        <v>12</v>
      </c>
      <c r="V42" s="187">
        <v>3116.022574861533</v>
      </c>
      <c r="W42" s="184">
        <f t="shared" si="0"/>
        <v>259.66854790512775</v>
      </c>
      <c r="X42" s="181">
        <f t="shared" si="5"/>
        <v>34</v>
      </c>
      <c r="Y42" s="610"/>
      <c r="Z42" s="187">
        <v>12</v>
      </c>
      <c r="AA42" s="187">
        <v>3116.7425748615333</v>
      </c>
      <c r="AB42" s="184">
        <f t="shared" si="6"/>
        <v>259.72854790512775</v>
      </c>
      <c r="AC42" s="181">
        <f t="shared" si="7"/>
        <v>35</v>
      </c>
      <c r="AD42" s="610"/>
      <c r="AE42" s="187">
        <v>12</v>
      </c>
      <c r="AF42" s="187">
        <v>3118.1825748615329</v>
      </c>
      <c r="AG42" s="184">
        <f t="shared" si="8"/>
        <v>259.84854790512776</v>
      </c>
      <c r="AH42" s="181">
        <f t="shared" si="9"/>
        <v>35</v>
      </c>
      <c r="AI42" s="610"/>
      <c r="AJ42" s="187">
        <v>12</v>
      </c>
      <c r="AK42" s="187">
        <v>3117.4512706954083</v>
      </c>
      <c r="AL42" s="184">
        <f t="shared" si="10"/>
        <v>259.78760589128404</v>
      </c>
      <c r="AM42" s="181">
        <f t="shared" si="11"/>
        <v>35</v>
      </c>
      <c r="AN42" s="610"/>
      <c r="AO42" s="187">
        <v>12</v>
      </c>
      <c r="AP42" s="187">
        <v>3118.8912706954084</v>
      </c>
      <c r="AQ42" s="184">
        <f t="shared" si="12"/>
        <v>259.90760589128405</v>
      </c>
      <c r="AR42" s="181">
        <f t="shared" si="13"/>
        <v>34</v>
      </c>
      <c r="AS42" s="610"/>
      <c r="AT42" s="187">
        <v>12</v>
      </c>
      <c r="AU42" s="187">
        <v>3120.6912706954085</v>
      </c>
      <c r="AV42" s="184">
        <f t="shared" si="14"/>
        <v>260.05760589128403</v>
      </c>
      <c r="AW42" s="181">
        <f t="shared" si="15"/>
        <v>34</v>
      </c>
      <c r="AX42" s="610"/>
    </row>
    <row r="43" spans="1:50" ht="14.25" customHeight="1">
      <c r="B43" s="611"/>
      <c r="C43" s="179">
        <v>37</v>
      </c>
      <c r="D43" s="182"/>
      <c r="E43" s="179"/>
      <c r="F43" s="179"/>
      <c r="G43" s="184"/>
      <c r="H43" s="612"/>
      <c r="I43" s="185"/>
      <c r="J43" s="185"/>
      <c r="K43" s="186"/>
      <c r="L43" s="613"/>
      <c r="M43" s="185"/>
      <c r="N43" s="624"/>
      <c r="O43" s="614"/>
      <c r="P43" s="187"/>
      <c r="Q43" s="187"/>
      <c r="R43" s="184"/>
      <c r="S43" s="181"/>
      <c r="T43" s="610"/>
      <c r="U43" s="187"/>
      <c r="V43" s="187"/>
      <c r="W43" s="184"/>
      <c r="X43" s="181"/>
      <c r="Y43" s="610"/>
      <c r="Z43" s="187"/>
      <c r="AA43" s="187"/>
      <c r="AB43" s="184"/>
      <c r="AC43" s="181"/>
      <c r="AD43" s="610"/>
      <c r="AE43" s="187"/>
      <c r="AF43" s="187"/>
      <c r="AG43" s="184"/>
      <c r="AH43" s="181"/>
      <c r="AI43" s="610"/>
      <c r="AJ43" s="187"/>
      <c r="AK43" s="187"/>
      <c r="AL43" s="184"/>
      <c r="AM43" s="181"/>
      <c r="AN43" s="610"/>
      <c r="AO43" s="187"/>
      <c r="AP43" s="187"/>
      <c r="AQ43" s="184"/>
      <c r="AR43" s="181"/>
      <c r="AS43" s="610"/>
      <c r="AT43" s="187"/>
      <c r="AU43" s="187"/>
      <c r="AV43" s="184"/>
      <c r="AW43" s="181"/>
      <c r="AX43" s="610"/>
    </row>
    <row r="44" spans="1:50" ht="14.25" customHeight="1">
      <c r="B44" s="625" t="s">
        <v>748</v>
      </c>
      <c r="C44" s="625"/>
      <c r="D44" s="625"/>
      <c r="E44" s="625"/>
      <c r="F44" s="625"/>
      <c r="G44" s="625"/>
      <c r="H44" s="625"/>
      <c r="I44" s="625"/>
      <c r="J44" s="625"/>
      <c r="K44" s="625"/>
      <c r="L44" s="625"/>
      <c r="M44" s="627"/>
      <c r="N44" s="630" t="s">
        <v>363</v>
      </c>
      <c r="O44" s="630" t="s">
        <v>105</v>
      </c>
      <c r="P44" s="632">
        <v>46210</v>
      </c>
      <c r="Q44" s="633"/>
      <c r="R44" s="633"/>
      <c r="S44" s="633"/>
      <c r="T44" s="633"/>
      <c r="U44" s="634">
        <v>46211</v>
      </c>
      <c r="V44" s="635"/>
      <c r="W44" s="635"/>
      <c r="X44" s="635"/>
      <c r="Y44" s="635"/>
      <c r="Z44" s="632">
        <v>46212</v>
      </c>
      <c r="AA44" s="633"/>
      <c r="AB44" s="633"/>
      <c r="AC44" s="633"/>
      <c r="AD44" s="633"/>
      <c r="AE44" s="634">
        <v>46213</v>
      </c>
      <c r="AF44" s="635"/>
      <c r="AG44" s="635"/>
      <c r="AH44" s="635"/>
      <c r="AI44" s="635"/>
      <c r="AJ44" s="616">
        <v>46214</v>
      </c>
      <c r="AK44" s="617"/>
      <c r="AL44" s="617"/>
      <c r="AM44" s="617"/>
      <c r="AN44" s="618"/>
      <c r="AO44" s="634">
        <v>46215</v>
      </c>
      <c r="AP44" s="635"/>
      <c r="AQ44" s="635"/>
      <c r="AR44" s="635"/>
      <c r="AS44" s="635"/>
      <c r="AT44" s="616">
        <v>46216</v>
      </c>
      <c r="AU44" s="617"/>
      <c r="AV44" s="617"/>
      <c r="AW44" s="617"/>
      <c r="AX44" s="618"/>
    </row>
    <row r="45" spans="1:50" ht="14.25" customHeight="1">
      <c r="B45" s="628"/>
      <c r="C45" s="628"/>
      <c r="D45" s="628"/>
      <c r="E45" s="628"/>
      <c r="F45" s="628"/>
      <c r="G45" s="628"/>
      <c r="H45" s="628"/>
      <c r="I45" s="628"/>
      <c r="J45" s="628"/>
      <c r="K45" s="628"/>
      <c r="L45" s="628"/>
      <c r="M45" s="629"/>
      <c r="N45" s="631"/>
      <c r="O45" s="631"/>
      <c r="P45" s="619">
        <v>46196</v>
      </c>
      <c r="Q45" s="619"/>
      <c r="R45" s="619"/>
      <c r="S45" s="619"/>
      <c r="T45" s="619"/>
      <c r="U45" s="620">
        <v>46197</v>
      </c>
      <c r="V45" s="620"/>
      <c r="W45" s="620"/>
      <c r="X45" s="620"/>
      <c r="Y45" s="620"/>
      <c r="Z45" s="619">
        <v>46198</v>
      </c>
      <c r="AA45" s="619"/>
      <c r="AB45" s="619"/>
      <c r="AC45" s="619"/>
      <c r="AD45" s="619"/>
      <c r="AE45" s="620">
        <v>46199</v>
      </c>
      <c r="AF45" s="620"/>
      <c r="AG45" s="620"/>
      <c r="AH45" s="620"/>
      <c r="AI45" s="620"/>
      <c r="AJ45" s="621">
        <v>46200</v>
      </c>
      <c r="AK45" s="622"/>
      <c r="AL45" s="622"/>
      <c r="AM45" s="622"/>
      <c r="AN45" s="623"/>
      <c r="AO45" s="620">
        <v>46201</v>
      </c>
      <c r="AP45" s="620"/>
      <c r="AQ45" s="620"/>
      <c r="AR45" s="620"/>
      <c r="AS45" s="620"/>
      <c r="AT45" s="621">
        <v>46202</v>
      </c>
      <c r="AU45" s="622"/>
      <c r="AV45" s="622"/>
      <c r="AW45" s="622"/>
      <c r="AX45" s="623"/>
    </row>
    <row r="46" spans="1:50" ht="14.25" customHeight="1">
      <c r="B46" s="611" t="s">
        <v>162</v>
      </c>
      <c r="C46" s="611" t="s">
        <v>157</v>
      </c>
      <c r="D46" s="611"/>
      <c r="E46" s="611" t="s">
        <v>158</v>
      </c>
      <c r="F46" s="611"/>
      <c r="G46" s="611"/>
      <c r="H46" s="611" t="s">
        <v>163</v>
      </c>
      <c r="I46" s="615" t="s">
        <v>364</v>
      </c>
      <c r="J46" s="615"/>
      <c r="K46" s="615"/>
      <c r="L46" s="615" t="s">
        <v>163</v>
      </c>
      <c r="M46" s="615" t="s">
        <v>165</v>
      </c>
      <c r="N46" s="624"/>
      <c r="O46" s="614" t="s">
        <v>164</v>
      </c>
      <c r="P46" s="614" t="s">
        <v>160</v>
      </c>
      <c r="Q46" s="614"/>
      <c r="R46" s="614"/>
      <c r="S46" s="614"/>
      <c r="T46" s="614" t="s">
        <v>163</v>
      </c>
      <c r="U46" s="614" t="s">
        <v>160</v>
      </c>
      <c r="V46" s="614"/>
      <c r="W46" s="614"/>
      <c r="X46" s="614"/>
      <c r="Y46" s="614" t="s">
        <v>163</v>
      </c>
      <c r="Z46" s="614" t="s">
        <v>160</v>
      </c>
      <c r="AA46" s="614"/>
      <c r="AB46" s="614"/>
      <c r="AC46" s="614"/>
      <c r="AD46" s="614" t="s">
        <v>163</v>
      </c>
      <c r="AE46" s="614" t="s">
        <v>160</v>
      </c>
      <c r="AF46" s="614"/>
      <c r="AG46" s="614"/>
      <c r="AH46" s="614"/>
      <c r="AI46" s="614" t="s">
        <v>163</v>
      </c>
      <c r="AJ46" s="614" t="s">
        <v>160</v>
      </c>
      <c r="AK46" s="614"/>
      <c r="AL46" s="614"/>
      <c r="AM46" s="614"/>
      <c r="AN46" s="614" t="s">
        <v>163</v>
      </c>
      <c r="AO46" s="614" t="s">
        <v>160</v>
      </c>
      <c r="AP46" s="614"/>
      <c r="AQ46" s="614"/>
      <c r="AR46" s="614"/>
      <c r="AS46" s="614" t="s">
        <v>163</v>
      </c>
      <c r="AT46" s="614" t="s">
        <v>160</v>
      </c>
      <c r="AU46" s="614"/>
      <c r="AV46" s="614"/>
      <c r="AW46" s="614"/>
      <c r="AX46" s="614" t="s">
        <v>163</v>
      </c>
    </row>
    <row r="47" spans="1:50" ht="14.25" customHeight="1">
      <c r="B47" s="611"/>
      <c r="C47" s="611"/>
      <c r="D47" s="611"/>
      <c r="E47" s="611" t="s">
        <v>365</v>
      </c>
      <c r="F47" s="611"/>
      <c r="G47" s="611"/>
      <c r="H47" s="611"/>
      <c r="I47" s="615" t="s">
        <v>365</v>
      </c>
      <c r="J47" s="615"/>
      <c r="K47" s="615"/>
      <c r="L47" s="615"/>
      <c r="M47" s="615"/>
      <c r="N47" s="624"/>
      <c r="O47" s="614"/>
      <c r="P47" s="614" t="s">
        <v>366</v>
      </c>
      <c r="Q47" s="614"/>
      <c r="R47" s="614"/>
      <c r="S47" s="614"/>
      <c r="T47" s="614"/>
      <c r="U47" s="614" t="s">
        <v>366</v>
      </c>
      <c r="V47" s="614"/>
      <c r="W47" s="614"/>
      <c r="X47" s="614"/>
      <c r="Y47" s="614"/>
      <c r="Z47" s="614" t="s">
        <v>366</v>
      </c>
      <c r="AA47" s="614"/>
      <c r="AB47" s="614"/>
      <c r="AC47" s="614"/>
      <c r="AD47" s="614"/>
      <c r="AE47" s="614" t="s">
        <v>366</v>
      </c>
      <c r="AF47" s="614"/>
      <c r="AG47" s="614"/>
      <c r="AH47" s="614"/>
      <c r="AI47" s="614"/>
      <c r="AJ47" s="614" t="s">
        <v>366</v>
      </c>
      <c r="AK47" s="614"/>
      <c r="AL47" s="614"/>
      <c r="AM47" s="614"/>
      <c r="AN47" s="614"/>
      <c r="AO47" s="614" t="s">
        <v>366</v>
      </c>
      <c r="AP47" s="614"/>
      <c r="AQ47" s="614"/>
      <c r="AR47" s="614"/>
      <c r="AS47" s="614"/>
      <c r="AT47" s="614" t="s">
        <v>366</v>
      </c>
      <c r="AU47" s="614"/>
      <c r="AV47" s="614"/>
      <c r="AW47" s="614"/>
      <c r="AX47" s="614"/>
    </row>
    <row r="48" spans="1:50" ht="14.25" customHeight="1">
      <c r="A48" s="176"/>
      <c r="B48" s="611"/>
      <c r="C48" s="611"/>
      <c r="D48" s="611"/>
      <c r="E48" s="179" t="s">
        <v>159</v>
      </c>
      <c r="F48" s="179" t="s">
        <v>367</v>
      </c>
      <c r="G48" s="179" t="s">
        <v>161</v>
      </c>
      <c r="H48" s="611"/>
      <c r="I48" s="180" t="s">
        <v>159</v>
      </c>
      <c r="J48" s="180" t="s">
        <v>367</v>
      </c>
      <c r="K48" s="180" t="s">
        <v>161</v>
      </c>
      <c r="L48" s="615"/>
      <c r="M48" s="615"/>
      <c r="N48" s="624"/>
      <c r="O48" s="614"/>
      <c r="P48" s="181" t="s">
        <v>159</v>
      </c>
      <c r="Q48" s="181" t="s">
        <v>367</v>
      </c>
      <c r="R48" s="181" t="s">
        <v>161</v>
      </c>
      <c r="S48" s="181" t="s">
        <v>165</v>
      </c>
      <c r="T48" s="614"/>
      <c r="U48" s="181" t="s">
        <v>159</v>
      </c>
      <c r="V48" s="181" t="s">
        <v>367</v>
      </c>
      <c r="W48" s="181" t="s">
        <v>161</v>
      </c>
      <c r="X48" s="181" t="s">
        <v>165</v>
      </c>
      <c r="Y48" s="614"/>
      <c r="Z48" s="181" t="s">
        <v>159</v>
      </c>
      <c r="AA48" s="181" t="s">
        <v>367</v>
      </c>
      <c r="AB48" s="181" t="s">
        <v>161</v>
      </c>
      <c r="AC48" s="181" t="s">
        <v>165</v>
      </c>
      <c r="AD48" s="614"/>
      <c r="AE48" s="181" t="s">
        <v>159</v>
      </c>
      <c r="AF48" s="181" t="s">
        <v>367</v>
      </c>
      <c r="AG48" s="181" t="s">
        <v>161</v>
      </c>
      <c r="AH48" s="181" t="s">
        <v>165</v>
      </c>
      <c r="AI48" s="614"/>
      <c r="AJ48" s="181" t="s">
        <v>159</v>
      </c>
      <c r="AK48" s="181" t="s">
        <v>367</v>
      </c>
      <c r="AL48" s="181" t="s">
        <v>161</v>
      </c>
      <c r="AM48" s="181" t="s">
        <v>165</v>
      </c>
      <c r="AN48" s="614"/>
      <c r="AO48" s="181" t="s">
        <v>159</v>
      </c>
      <c r="AP48" s="181" t="s">
        <v>367</v>
      </c>
      <c r="AQ48" s="181" t="s">
        <v>161</v>
      </c>
      <c r="AR48" s="181" t="s">
        <v>165</v>
      </c>
      <c r="AS48" s="614"/>
      <c r="AT48" s="181" t="s">
        <v>159</v>
      </c>
      <c r="AU48" s="181" t="s">
        <v>367</v>
      </c>
      <c r="AV48" s="181" t="s">
        <v>161</v>
      </c>
      <c r="AW48" s="181" t="s">
        <v>165</v>
      </c>
      <c r="AX48" s="614"/>
    </row>
    <row r="49" spans="2:50" ht="14.25" customHeight="1">
      <c r="B49" s="611" t="s">
        <v>368</v>
      </c>
      <c r="C49" s="179">
        <v>1</v>
      </c>
      <c r="D49" s="182" t="s">
        <v>393</v>
      </c>
      <c r="E49" s="183">
        <v>4</v>
      </c>
      <c r="F49" s="179">
        <v>3300</v>
      </c>
      <c r="G49" s="184">
        <f>IFERROR(F49/E49,"")</f>
        <v>825</v>
      </c>
      <c r="H49" s="612">
        <f>AVERAGE(G49:G85)</f>
        <v>856.76923076923083</v>
      </c>
      <c r="I49" s="185">
        <f>AVERAGE(P49,U49,Z49,AE49,AJ49,AO49,AT49)</f>
        <v>4</v>
      </c>
      <c r="J49" s="185">
        <f>AVERAGE(Q49,V49,AA49,AF49,AK49,AP49,AU49)</f>
        <v>2989.7999999999993</v>
      </c>
      <c r="K49" s="186">
        <f>AVERAGE(R49,W49,AB49,AG49,AL49,AQ49,AV49)</f>
        <v>747.44999999999982</v>
      </c>
      <c r="L49" s="613">
        <f>IFERROR(AVERAGE(K49:K85),"-")</f>
        <v>765.61007204064788</v>
      </c>
      <c r="M49" s="185">
        <f>RANK(K49, K$49:$K$85)</f>
        <v>18</v>
      </c>
      <c r="N49" s="624"/>
      <c r="O49" s="614"/>
      <c r="P49" s="187">
        <v>4</v>
      </c>
      <c r="Q49" s="187">
        <v>2989.7999999999997</v>
      </c>
      <c r="R49" s="184">
        <f>IFERROR(Q49/P49,"")</f>
        <v>747.44999999999993</v>
      </c>
      <c r="S49" s="181">
        <f>RANK(R49, R$49:R$85)</f>
        <v>18</v>
      </c>
      <c r="T49" s="610">
        <f>AVERAGE(R49:R85)</f>
        <v>765.56827656378641</v>
      </c>
      <c r="U49" s="187">
        <v>4</v>
      </c>
      <c r="V49" s="187">
        <v>2989.7999999999993</v>
      </c>
      <c r="W49" s="184">
        <f t="shared" ref="W49:W83" si="18">IFERROR(V49/U49,"")</f>
        <v>747.44999999999982</v>
      </c>
      <c r="X49" s="181">
        <f>RANK(W49, W$49:W$85)</f>
        <v>18</v>
      </c>
      <c r="Y49" s="610">
        <f>AVERAGE(W49:W85)</f>
        <v>765.53823920114905</v>
      </c>
      <c r="Z49" s="187">
        <v>4</v>
      </c>
      <c r="AA49" s="187">
        <v>2989.8</v>
      </c>
      <c r="AB49" s="184">
        <f>IFERROR(AA49/Z49,"")</f>
        <v>747.45</v>
      </c>
      <c r="AC49" s="181">
        <f>RANK(AB49, AB$49:AB$85)</f>
        <v>17</v>
      </c>
      <c r="AD49" s="610">
        <f>AVERAGE(AB49:AB85)</f>
        <v>765.60832711323678</v>
      </c>
      <c r="AE49" s="187">
        <v>4</v>
      </c>
      <c r="AF49" s="187">
        <v>2989.8</v>
      </c>
      <c r="AG49" s="184">
        <f>IFERROR(AF49/AE49,"")</f>
        <v>747.45</v>
      </c>
      <c r="AH49" s="181">
        <f>RANK(AG49, AG$49:AG$85)</f>
        <v>17</v>
      </c>
      <c r="AI49" s="610">
        <f>AVERAGE(AG49:AG85)</f>
        <v>765.6200787615885</v>
      </c>
      <c r="AJ49" s="187">
        <v>4</v>
      </c>
      <c r="AK49" s="187">
        <v>2989.7999999999997</v>
      </c>
      <c r="AL49" s="184">
        <f>IFERROR(AK49/AJ49,"")</f>
        <v>747.44999999999993</v>
      </c>
      <c r="AM49" s="181">
        <f>RANK(AL49, AL$49:AL$85)</f>
        <v>18</v>
      </c>
      <c r="AN49" s="610">
        <f>AVERAGE(AL49:AL85)</f>
        <v>765.64865204219348</v>
      </c>
      <c r="AO49" s="187">
        <v>4</v>
      </c>
      <c r="AP49" s="187">
        <v>2989.8</v>
      </c>
      <c r="AQ49" s="184">
        <f>IFERROR(AP49/AO49,"")</f>
        <v>747.45</v>
      </c>
      <c r="AR49" s="181">
        <f>RANK(AQ49, AQ$49:AQ$85)</f>
        <v>17</v>
      </c>
      <c r="AS49" s="610">
        <f>AVERAGE(AQ49:AQ85)</f>
        <v>765.61713936417073</v>
      </c>
      <c r="AT49" s="187">
        <v>4</v>
      </c>
      <c r="AU49" s="187">
        <v>2989.8</v>
      </c>
      <c r="AV49" s="184">
        <f>IFERROR(AU49/AT49,"")</f>
        <v>747.45</v>
      </c>
      <c r="AW49" s="181">
        <f>RANK(AV49, AV$49:AV$85)</f>
        <v>17</v>
      </c>
      <c r="AX49" s="610">
        <f>AVERAGE(AV49:AV85)</f>
        <v>765.66979123840929</v>
      </c>
    </row>
    <row r="50" spans="2:50" ht="14.25" customHeight="1">
      <c r="B50" s="611"/>
      <c r="C50" s="179">
        <v>2</v>
      </c>
      <c r="D50" s="182" t="s">
        <v>391</v>
      </c>
      <c r="E50" s="183">
        <v>3</v>
      </c>
      <c r="F50" s="179">
        <v>3600</v>
      </c>
      <c r="G50" s="184">
        <f t="shared" ref="G50:G83" si="19">IFERROR(F50/E50,"")</f>
        <v>1200</v>
      </c>
      <c r="H50" s="612"/>
      <c r="I50" s="185">
        <f t="shared" ref="I50:K79" si="20">AVERAGE(P50,U50,Z50,AE50,AJ50,AO50,AT50)</f>
        <v>3</v>
      </c>
      <c r="J50" s="185">
        <f t="shared" si="20"/>
        <v>3185.3526635797739</v>
      </c>
      <c r="K50" s="186">
        <f t="shared" si="20"/>
        <v>1061.784221193258</v>
      </c>
      <c r="L50" s="613"/>
      <c r="M50" s="185">
        <f>RANK(K50, K$49:$K$85)</f>
        <v>9</v>
      </c>
      <c r="N50" s="624"/>
      <c r="O50" s="614"/>
      <c r="P50" s="187">
        <v>3</v>
      </c>
      <c r="Q50" s="187">
        <v>3185.7640921512025</v>
      </c>
      <c r="R50" s="184">
        <f t="shared" ref="R50:R83" si="21">IFERROR(Q50/P50,"")</f>
        <v>1061.9213640504008</v>
      </c>
      <c r="S50" s="181">
        <f t="shared" ref="S50:S83" si="22">RANK(R50, R$49:R$85)</f>
        <v>8</v>
      </c>
      <c r="T50" s="610"/>
      <c r="U50" s="187">
        <v>3</v>
      </c>
      <c r="V50" s="187">
        <v>3185.0440921512022</v>
      </c>
      <c r="W50" s="184">
        <f t="shared" si="18"/>
        <v>1061.6813640504008</v>
      </c>
      <c r="X50" s="181">
        <f t="shared" ref="X50:X83" si="23">RANK(W50, W$49:W$85)</f>
        <v>8</v>
      </c>
      <c r="Y50" s="610"/>
      <c r="Z50" s="187">
        <v>3</v>
      </c>
      <c r="AA50" s="187">
        <v>3184.6840921512025</v>
      </c>
      <c r="AB50" s="184">
        <f t="shared" ref="AB50:AB83" si="24">IFERROR(AA50/Z50,"")</f>
        <v>1061.5613640504009</v>
      </c>
      <c r="AC50" s="181">
        <f t="shared" ref="AC50:AC83" si="25">RANK(AB50, AB$49:AB$85)</f>
        <v>9</v>
      </c>
      <c r="AD50" s="610"/>
      <c r="AE50" s="187">
        <v>3</v>
      </c>
      <c r="AF50" s="187">
        <v>3186.4840921512027</v>
      </c>
      <c r="AG50" s="184">
        <f t="shared" ref="AG50:AG83" si="26">IFERROR(AF50/AE50,"")</f>
        <v>1062.1613640504008</v>
      </c>
      <c r="AH50" s="181">
        <f t="shared" ref="AH50:AH83" si="27">RANK(AG50, AG$49:AG$85)</f>
        <v>6</v>
      </c>
      <c r="AI50" s="610"/>
      <c r="AJ50" s="187">
        <v>3</v>
      </c>
      <c r="AK50" s="187">
        <v>3185.0440921512027</v>
      </c>
      <c r="AL50" s="184">
        <f t="shared" ref="AL50:AL83" si="28">IFERROR(AK50/AJ50,"")</f>
        <v>1061.6813640504008</v>
      </c>
      <c r="AM50" s="181">
        <f t="shared" ref="AM50:AM83" si="29">RANK(AL50, AL$49:AL$85)</f>
        <v>8</v>
      </c>
      <c r="AN50" s="610"/>
      <c r="AO50" s="187">
        <v>3</v>
      </c>
      <c r="AP50" s="187">
        <v>3184.3240921512024</v>
      </c>
      <c r="AQ50" s="184">
        <f t="shared" ref="AQ50:AQ83" si="30">IFERROR(AP50/AO50,"")</f>
        <v>1061.4413640504008</v>
      </c>
      <c r="AR50" s="181">
        <f t="shared" ref="AR50:AR83" si="31">RANK(AQ50, AQ$49:AQ$85)</f>
        <v>9</v>
      </c>
      <c r="AS50" s="610"/>
      <c r="AT50" s="187">
        <v>3</v>
      </c>
      <c r="AU50" s="187">
        <v>3186.1240921512021</v>
      </c>
      <c r="AV50" s="184">
        <f t="shared" ref="AV50:AV83" si="32">IFERROR(AU50/AT50,"")</f>
        <v>1062.0413640504007</v>
      </c>
      <c r="AW50" s="181">
        <f t="shared" ref="AW50:AW83" si="33">RANK(AV50, AV$49:AV$85)</f>
        <v>9</v>
      </c>
      <c r="AX50" s="610"/>
    </row>
    <row r="51" spans="2:50" ht="14.25" customHeight="1">
      <c r="B51" s="611"/>
      <c r="C51" s="179">
        <v>3</v>
      </c>
      <c r="D51" s="182" t="s">
        <v>392</v>
      </c>
      <c r="E51" s="183">
        <v>5</v>
      </c>
      <c r="F51" s="179">
        <v>3600</v>
      </c>
      <c r="G51" s="184">
        <f t="shared" si="19"/>
        <v>720</v>
      </c>
      <c r="H51" s="612"/>
      <c r="I51" s="185">
        <f t="shared" si="20"/>
        <v>5</v>
      </c>
      <c r="J51" s="185">
        <f t="shared" si="20"/>
        <v>3195.7015419550485</v>
      </c>
      <c r="K51" s="186">
        <f t="shared" si="20"/>
        <v>639.14030839100974</v>
      </c>
      <c r="L51" s="613"/>
      <c r="M51" s="185">
        <f>RANK(K51, K$49:$K$85)</f>
        <v>24</v>
      </c>
      <c r="N51" s="624"/>
      <c r="O51" s="614"/>
      <c r="P51" s="187">
        <v>5</v>
      </c>
      <c r="Q51" s="187">
        <v>3196.2158276693344</v>
      </c>
      <c r="R51" s="184">
        <f t="shared" si="21"/>
        <v>639.24316553386689</v>
      </c>
      <c r="S51" s="181">
        <f t="shared" si="22"/>
        <v>23</v>
      </c>
      <c r="T51" s="610"/>
      <c r="U51" s="187">
        <v>5</v>
      </c>
      <c r="V51" s="187">
        <v>3194.7758276693348</v>
      </c>
      <c r="W51" s="184">
        <f t="shared" si="18"/>
        <v>638.95516553386699</v>
      </c>
      <c r="X51" s="181">
        <f t="shared" si="23"/>
        <v>24</v>
      </c>
      <c r="Y51" s="610"/>
      <c r="Z51" s="187">
        <v>5</v>
      </c>
      <c r="AA51" s="187">
        <v>3195.1358276693345</v>
      </c>
      <c r="AB51" s="184">
        <f t="shared" si="24"/>
        <v>639.02716553386688</v>
      </c>
      <c r="AC51" s="181">
        <f t="shared" si="25"/>
        <v>24</v>
      </c>
      <c r="AD51" s="610"/>
      <c r="AE51" s="187">
        <v>5</v>
      </c>
      <c r="AF51" s="187">
        <v>3194.4158276693342</v>
      </c>
      <c r="AG51" s="184">
        <f t="shared" si="26"/>
        <v>638.88316553386687</v>
      </c>
      <c r="AH51" s="181">
        <f t="shared" si="27"/>
        <v>24</v>
      </c>
      <c r="AI51" s="610"/>
      <c r="AJ51" s="187">
        <v>5</v>
      </c>
      <c r="AK51" s="187">
        <v>3196.2158276693344</v>
      </c>
      <c r="AL51" s="184">
        <f t="shared" si="28"/>
        <v>639.24316553386689</v>
      </c>
      <c r="AM51" s="181">
        <f t="shared" si="29"/>
        <v>24</v>
      </c>
      <c r="AN51" s="610"/>
      <c r="AO51" s="187">
        <v>5</v>
      </c>
      <c r="AP51" s="187">
        <v>3196.2158276693344</v>
      </c>
      <c r="AQ51" s="184">
        <f t="shared" si="30"/>
        <v>639.24316553386689</v>
      </c>
      <c r="AR51" s="181">
        <f t="shared" si="31"/>
        <v>24</v>
      </c>
      <c r="AS51" s="610"/>
      <c r="AT51" s="187">
        <v>5</v>
      </c>
      <c r="AU51" s="187">
        <v>3196.9358276693342</v>
      </c>
      <c r="AV51" s="184">
        <f t="shared" si="32"/>
        <v>639.38716553386689</v>
      </c>
      <c r="AW51" s="181">
        <f t="shared" si="33"/>
        <v>22</v>
      </c>
      <c r="AX51" s="610"/>
    </row>
    <row r="52" spans="2:50" ht="14.25" customHeight="1">
      <c r="B52" s="611"/>
      <c r="C52" s="179">
        <v>4</v>
      </c>
      <c r="D52" s="182" t="s">
        <v>229</v>
      </c>
      <c r="E52" s="183">
        <v>5</v>
      </c>
      <c r="F52" s="179">
        <v>3300</v>
      </c>
      <c r="G52" s="184">
        <f t="shared" si="19"/>
        <v>660</v>
      </c>
      <c r="H52" s="612"/>
      <c r="I52" s="185">
        <f t="shared" si="20"/>
        <v>5</v>
      </c>
      <c r="J52" s="185">
        <f t="shared" si="20"/>
        <v>2989.7999999999997</v>
      </c>
      <c r="K52" s="186">
        <f t="shared" si="20"/>
        <v>597.96</v>
      </c>
      <c r="L52" s="613"/>
      <c r="M52" s="185">
        <f>RANK(K52, K$49:$K$85)</f>
        <v>28</v>
      </c>
      <c r="N52" s="624"/>
      <c r="O52" s="614"/>
      <c r="P52" s="187">
        <v>5</v>
      </c>
      <c r="Q52" s="187">
        <v>2989.7999999999997</v>
      </c>
      <c r="R52" s="184">
        <f t="shared" si="21"/>
        <v>597.95999999999992</v>
      </c>
      <c r="S52" s="181">
        <f t="shared" si="22"/>
        <v>28</v>
      </c>
      <c r="T52" s="610"/>
      <c r="U52" s="187">
        <v>5</v>
      </c>
      <c r="V52" s="187">
        <v>2989.8</v>
      </c>
      <c r="W52" s="184">
        <f t="shared" si="18"/>
        <v>597.96</v>
      </c>
      <c r="X52" s="181">
        <f t="shared" si="23"/>
        <v>28</v>
      </c>
      <c r="Y52" s="610"/>
      <c r="Z52" s="187">
        <v>5</v>
      </c>
      <c r="AA52" s="187">
        <v>2989.7999999999997</v>
      </c>
      <c r="AB52" s="184">
        <f t="shared" si="24"/>
        <v>597.95999999999992</v>
      </c>
      <c r="AC52" s="181">
        <f t="shared" si="25"/>
        <v>29</v>
      </c>
      <c r="AD52" s="610"/>
      <c r="AE52" s="187">
        <v>5</v>
      </c>
      <c r="AF52" s="187">
        <v>2989.8</v>
      </c>
      <c r="AG52" s="184">
        <f t="shared" si="26"/>
        <v>597.96</v>
      </c>
      <c r="AH52" s="181">
        <f t="shared" si="27"/>
        <v>28</v>
      </c>
      <c r="AI52" s="610"/>
      <c r="AJ52" s="187">
        <v>5</v>
      </c>
      <c r="AK52" s="187">
        <v>2989.7999999999997</v>
      </c>
      <c r="AL52" s="184">
        <f t="shared" si="28"/>
        <v>597.95999999999992</v>
      </c>
      <c r="AM52" s="181">
        <f t="shared" si="29"/>
        <v>29</v>
      </c>
      <c r="AN52" s="610"/>
      <c r="AO52" s="187">
        <v>5</v>
      </c>
      <c r="AP52" s="187">
        <v>2989.8</v>
      </c>
      <c r="AQ52" s="184">
        <f t="shared" si="30"/>
        <v>597.96</v>
      </c>
      <c r="AR52" s="181">
        <f t="shared" si="31"/>
        <v>28</v>
      </c>
      <c r="AS52" s="610"/>
      <c r="AT52" s="187">
        <v>5</v>
      </c>
      <c r="AU52" s="187">
        <v>2989.7999999999997</v>
      </c>
      <c r="AV52" s="184">
        <f t="shared" si="32"/>
        <v>597.95999999999992</v>
      </c>
      <c r="AW52" s="181">
        <f t="shared" si="33"/>
        <v>28</v>
      </c>
      <c r="AX52" s="610"/>
    </row>
    <row r="53" spans="2:50" ht="14.25" customHeight="1">
      <c r="B53" s="611"/>
      <c r="C53" s="179">
        <v>5</v>
      </c>
      <c r="D53" s="182" t="s">
        <v>388</v>
      </c>
      <c r="E53" s="183">
        <v>3</v>
      </c>
      <c r="F53" s="179">
        <v>3600</v>
      </c>
      <c r="G53" s="184">
        <f t="shared" si="19"/>
        <v>1200</v>
      </c>
      <c r="H53" s="612"/>
      <c r="I53" s="185">
        <f t="shared" si="20"/>
        <v>3</v>
      </c>
      <c r="J53" s="185">
        <f t="shared" si="20"/>
        <v>3197.0382864459998</v>
      </c>
      <c r="K53" s="186">
        <f t="shared" si="20"/>
        <v>1065.6794288153333</v>
      </c>
      <c r="L53" s="613"/>
      <c r="M53" s="185">
        <f>RANK(K53, K$49:$K$85)</f>
        <v>2</v>
      </c>
      <c r="N53" s="624"/>
      <c r="O53" s="614"/>
      <c r="P53" s="187">
        <v>3</v>
      </c>
      <c r="Q53" s="187">
        <v>3196.3182864460005</v>
      </c>
      <c r="R53" s="184">
        <f t="shared" si="21"/>
        <v>1065.4394288153335</v>
      </c>
      <c r="S53" s="181">
        <f t="shared" si="22"/>
        <v>2</v>
      </c>
      <c r="T53" s="610"/>
      <c r="U53" s="187">
        <v>3</v>
      </c>
      <c r="V53" s="187">
        <v>3196.6782864460001</v>
      </c>
      <c r="W53" s="184">
        <f t="shared" si="18"/>
        <v>1065.5594288153334</v>
      </c>
      <c r="X53" s="181">
        <f t="shared" si="23"/>
        <v>2</v>
      </c>
      <c r="Y53" s="610"/>
      <c r="Z53" s="187">
        <v>3</v>
      </c>
      <c r="AA53" s="187">
        <v>3196.6782864460001</v>
      </c>
      <c r="AB53" s="184">
        <f t="shared" si="24"/>
        <v>1065.5594288153334</v>
      </c>
      <c r="AC53" s="181">
        <f t="shared" si="25"/>
        <v>2</v>
      </c>
      <c r="AD53" s="610"/>
      <c r="AE53" s="187">
        <v>3</v>
      </c>
      <c r="AF53" s="187">
        <v>3198.4782864459999</v>
      </c>
      <c r="AG53" s="184">
        <f t="shared" si="26"/>
        <v>1066.1594288153333</v>
      </c>
      <c r="AH53" s="181">
        <f t="shared" si="27"/>
        <v>2</v>
      </c>
      <c r="AI53" s="610"/>
      <c r="AJ53" s="187">
        <v>3</v>
      </c>
      <c r="AK53" s="187">
        <v>3197.7582864460001</v>
      </c>
      <c r="AL53" s="184">
        <f t="shared" si="28"/>
        <v>1065.9194288153333</v>
      </c>
      <c r="AM53" s="181">
        <f t="shared" si="29"/>
        <v>2</v>
      </c>
      <c r="AN53" s="610"/>
      <c r="AO53" s="187">
        <v>3</v>
      </c>
      <c r="AP53" s="187">
        <v>3196.6782864459997</v>
      </c>
      <c r="AQ53" s="184">
        <f t="shared" si="30"/>
        <v>1065.5594288153331</v>
      </c>
      <c r="AR53" s="181">
        <f t="shared" si="31"/>
        <v>2</v>
      </c>
      <c r="AS53" s="610"/>
      <c r="AT53" s="187">
        <v>3</v>
      </c>
      <c r="AU53" s="187">
        <v>3196.6782864459992</v>
      </c>
      <c r="AV53" s="184">
        <f t="shared" si="32"/>
        <v>1065.5594288153331</v>
      </c>
      <c r="AW53" s="181">
        <f t="shared" si="33"/>
        <v>2</v>
      </c>
      <c r="AX53" s="610"/>
    </row>
    <row r="54" spans="2:50" ht="14.25" customHeight="1">
      <c r="B54" s="611"/>
      <c r="C54" s="179">
        <v>6</v>
      </c>
      <c r="D54" s="182" t="s">
        <v>339</v>
      </c>
      <c r="E54" s="183">
        <v>4</v>
      </c>
      <c r="F54" s="179">
        <v>3600</v>
      </c>
      <c r="G54" s="184">
        <f t="shared" si="19"/>
        <v>900</v>
      </c>
      <c r="H54" s="612"/>
      <c r="I54" s="185">
        <f t="shared" si="20"/>
        <v>4</v>
      </c>
      <c r="J54" s="185">
        <f t="shared" si="20"/>
        <v>3192.2228571428582</v>
      </c>
      <c r="K54" s="186">
        <f t="shared" si="20"/>
        <v>798.05571428571454</v>
      </c>
      <c r="L54" s="613"/>
      <c r="M54" s="185">
        <f>RANK(K54, K$49:$K$85)</f>
        <v>15</v>
      </c>
      <c r="N54" s="624"/>
      <c r="O54" s="614"/>
      <c r="P54" s="187">
        <v>4</v>
      </c>
      <c r="Q54" s="187">
        <v>3193.5600000000013</v>
      </c>
      <c r="R54" s="184">
        <f t="shared" si="21"/>
        <v>798.39000000000033</v>
      </c>
      <c r="S54" s="181">
        <f t="shared" si="22"/>
        <v>15</v>
      </c>
      <c r="T54" s="610"/>
      <c r="U54" s="187">
        <v>4</v>
      </c>
      <c r="V54" s="187">
        <v>3192.1200000000013</v>
      </c>
      <c r="W54" s="184">
        <f t="shared" si="18"/>
        <v>798.03000000000031</v>
      </c>
      <c r="X54" s="181">
        <f t="shared" si="23"/>
        <v>15</v>
      </c>
      <c r="Y54" s="610"/>
      <c r="Z54" s="187">
        <v>4</v>
      </c>
      <c r="AA54" s="187">
        <v>3192.1200000000017</v>
      </c>
      <c r="AB54" s="184">
        <f t="shared" si="24"/>
        <v>798.03000000000043</v>
      </c>
      <c r="AC54" s="181">
        <f t="shared" si="25"/>
        <v>15</v>
      </c>
      <c r="AD54" s="610"/>
      <c r="AE54" s="187">
        <v>4</v>
      </c>
      <c r="AF54" s="187">
        <v>3193.2000000000016</v>
      </c>
      <c r="AG54" s="184">
        <f t="shared" si="26"/>
        <v>798.30000000000041</v>
      </c>
      <c r="AH54" s="181">
        <f t="shared" si="27"/>
        <v>15</v>
      </c>
      <c r="AI54" s="610"/>
      <c r="AJ54" s="187">
        <v>4</v>
      </c>
      <c r="AK54" s="187">
        <v>3192.1200000000022</v>
      </c>
      <c r="AL54" s="184">
        <f t="shared" si="28"/>
        <v>798.03000000000054</v>
      </c>
      <c r="AM54" s="181">
        <f t="shared" si="29"/>
        <v>15</v>
      </c>
      <c r="AN54" s="610"/>
      <c r="AO54" s="187">
        <v>4</v>
      </c>
      <c r="AP54" s="187">
        <v>3191.4000000000024</v>
      </c>
      <c r="AQ54" s="184">
        <f t="shared" si="30"/>
        <v>797.85000000000059</v>
      </c>
      <c r="AR54" s="181">
        <f t="shared" si="31"/>
        <v>16</v>
      </c>
      <c r="AS54" s="610"/>
      <c r="AT54" s="187">
        <v>4</v>
      </c>
      <c r="AU54" s="187">
        <v>3191.0400000000018</v>
      </c>
      <c r="AV54" s="184">
        <f t="shared" si="32"/>
        <v>797.76000000000045</v>
      </c>
      <c r="AW54" s="181">
        <f t="shared" si="33"/>
        <v>16</v>
      </c>
      <c r="AX54" s="610"/>
    </row>
    <row r="55" spans="2:50" ht="14.25" customHeight="1">
      <c r="B55" s="611"/>
      <c r="C55" s="179">
        <v>7</v>
      </c>
      <c r="D55" s="182" t="s">
        <v>390</v>
      </c>
      <c r="E55" s="183">
        <v>3</v>
      </c>
      <c r="F55" s="179">
        <v>3600</v>
      </c>
      <c r="G55" s="184">
        <f t="shared" si="19"/>
        <v>1200</v>
      </c>
      <c r="H55" s="612"/>
      <c r="I55" s="185">
        <f t="shared" si="20"/>
        <v>3</v>
      </c>
      <c r="J55" s="185">
        <f t="shared" si="20"/>
        <v>3187.0173906044906</v>
      </c>
      <c r="K55" s="186">
        <f t="shared" si="20"/>
        <v>1062.3391302014968</v>
      </c>
      <c r="L55" s="613"/>
      <c r="M55" s="185">
        <f>RANK(K55, K$49:$K$85)</f>
        <v>6</v>
      </c>
      <c r="N55" s="624"/>
      <c r="O55" s="614"/>
      <c r="P55" s="187">
        <v>3</v>
      </c>
      <c r="Q55" s="187">
        <v>3186.625907357175</v>
      </c>
      <c r="R55" s="184">
        <f t="shared" si="21"/>
        <v>1062.2086357857249</v>
      </c>
      <c r="S55" s="181">
        <f t="shared" si="22"/>
        <v>6</v>
      </c>
      <c r="T55" s="610"/>
      <c r="U55" s="187">
        <v>3</v>
      </c>
      <c r="V55" s="187">
        <v>3186.2659073571749</v>
      </c>
      <c r="W55" s="184">
        <f t="shared" si="18"/>
        <v>1062.088635785725</v>
      </c>
      <c r="X55" s="181">
        <f t="shared" si="23"/>
        <v>6</v>
      </c>
      <c r="Y55" s="610"/>
      <c r="Z55" s="187">
        <v>3</v>
      </c>
      <c r="AA55" s="187">
        <v>3185.9059073571757</v>
      </c>
      <c r="AB55" s="184">
        <f t="shared" si="24"/>
        <v>1061.9686357857252</v>
      </c>
      <c r="AC55" s="181">
        <f t="shared" si="25"/>
        <v>7</v>
      </c>
      <c r="AD55" s="610"/>
      <c r="AE55" s="187">
        <v>3</v>
      </c>
      <c r="AF55" s="187">
        <v>3184.4659073571752</v>
      </c>
      <c r="AG55" s="184">
        <f t="shared" si="26"/>
        <v>1061.4886357857251</v>
      </c>
      <c r="AH55" s="181">
        <f t="shared" si="27"/>
        <v>9</v>
      </c>
      <c r="AI55" s="610"/>
      <c r="AJ55" s="187">
        <v>3</v>
      </c>
      <c r="AK55" s="187">
        <v>3188.8593682675787</v>
      </c>
      <c r="AL55" s="184">
        <f t="shared" si="28"/>
        <v>1062.9531227558596</v>
      </c>
      <c r="AM55" s="181">
        <f t="shared" si="29"/>
        <v>6</v>
      </c>
      <c r="AN55" s="610"/>
      <c r="AO55" s="187">
        <v>3</v>
      </c>
      <c r="AP55" s="187">
        <v>3188.499368267579</v>
      </c>
      <c r="AQ55" s="184">
        <f t="shared" si="30"/>
        <v>1062.8331227558597</v>
      </c>
      <c r="AR55" s="181">
        <f t="shared" si="31"/>
        <v>6</v>
      </c>
      <c r="AS55" s="610"/>
      <c r="AT55" s="187">
        <v>3</v>
      </c>
      <c r="AU55" s="187">
        <v>3188.499368267579</v>
      </c>
      <c r="AV55" s="184">
        <f t="shared" si="32"/>
        <v>1062.8331227558597</v>
      </c>
      <c r="AW55" s="181">
        <f t="shared" si="33"/>
        <v>6</v>
      </c>
      <c r="AX55" s="610"/>
    </row>
    <row r="56" spans="2:50" ht="14.25" customHeight="1">
      <c r="B56" s="611"/>
      <c r="C56" s="179">
        <v>8</v>
      </c>
      <c r="D56" s="182" t="s">
        <v>389</v>
      </c>
      <c r="E56" s="183">
        <v>5</v>
      </c>
      <c r="F56" s="179">
        <v>3600</v>
      </c>
      <c r="G56" s="184">
        <f t="shared" si="19"/>
        <v>720</v>
      </c>
      <c r="H56" s="612"/>
      <c r="I56" s="185">
        <f t="shared" si="20"/>
        <v>5</v>
      </c>
      <c r="J56" s="185">
        <f t="shared" si="20"/>
        <v>3192.7247391261103</v>
      </c>
      <c r="K56" s="186">
        <f t="shared" si="20"/>
        <v>638.54494782522204</v>
      </c>
      <c r="L56" s="613"/>
      <c r="M56" s="185">
        <f>RANK(K56, K$49:$K$85)</f>
        <v>25</v>
      </c>
      <c r="N56" s="624"/>
      <c r="O56" s="614"/>
      <c r="P56" s="187">
        <v>5</v>
      </c>
      <c r="Q56" s="187">
        <v>3192.7761676975401</v>
      </c>
      <c r="R56" s="184">
        <f t="shared" si="21"/>
        <v>638.55523353950798</v>
      </c>
      <c r="S56" s="181">
        <f t="shared" si="22"/>
        <v>25</v>
      </c>
      <c r="T56" s="610"/>
      <c r="U56" s="187">
        <v>5</v>
      </c>
      <c r="V56" s="187">
        <v>3191.3361676975396</v>
      </c>
      <c r="W56" s="184">
        <f t="shared" si="18"/>
        <v>638.26723353950797</v>
      </c>
      <c r="X56" s="181">
        <f t="shared" si="23"/>
        <v>25</v>
      </c>
      <c r="Y56" s="610"/>
      <c r="Z56" s="187">
        <v>5</v>
      </c>
      <c r="AA56" s="187">
        <v>3192.4161676975395</v>
      </c>
      <c r="AB56" s="184">
        <f t="shared" si="24"/>
        <v>638.48323353950786</v>
      </c>
      <c r="AC56" s="181">
        <f t="shared" si="25"/>
        <v>25</v>
      </c>
      <c r="AD56" s="610"/>
      <c r="AE56" s="187">
        <v>5</v>
      </c>
      <c r="AF56" s="187">
        <v>3193.496167697539</v>
      </c>
      <c r="AG56" s="184">
        <f t="shared" si="26"/>
        <v>638.69923353950776</v>
      </c>
      <c r="AH56" s="181">
        <f t="shared" si="27"/>
        <v>25</v>
      </c>
      <c r="AI56" s="610"/>
      <c r="AJ56" s="187">
        <v>5</v>
      </c>
      <c r="AK56" s="187">
        <v>3192.4161676975391</v>
      </c>
      <c r="AL56" s="184">
        <f t="shared" si="28"/>
        <v>638.48323353950786</v>
      </c>
      <c r="AM56" s="181">
        <f t="shared" si="29"/>
        <v>25</v>
      </c>
      <c r="AN56" s="610"/>
      <c r="AO56" s="187">
        <v>5</v>
      </c>
      <c r="AP56" s="187">
        <v>3192.7761676975388</v>
      </c>
      <c r="AQ56" s="184">
        <f t="shared" si="30"/>
        <v>638.55523353950775</v>
      </c>
      <c r="AR56" s="181">
        <f t="shared" si="31"/>
        <v>25</v>
      </c>
      <c r="AS56" s="610"/>
      <c r="AT56" s="187">
        <v>5</v>
      </c>
      <c r="AU56" s="187">
        <v>3193.8561676975382</v>
      </c>
      <c r="AV56" s="184">
        <f t="shared" si="32"/>
        <v>638.77123353950765</v>
      </c>
      <c r="AW56" s="181">
        <f t="shared" si="33"/>
        <v>25</v>
      </c>
      <c r="AX56" s="610"/>
    </row>
    <row r="57" spans="2:50" ht="14.25" customHeight="1">
      <c r="B57" s="611"/>
      <c r="C57" s="179">
        <v>9</v>
      </c>
      <c r="D57" s="182" t="s">
        <v>387</v>
      </c>
      <c r="E57" s="183">
        <v>5</v>
      </c>
      <c r="F57" s="179">
        <v>3600</v>
      </c>
      <c r="G57" s="184">
        <f t="shared" si="19"/>
        <v>720</v>
      </c>
      <c r="H57" s="612"/>
      <c r="I57" s="185">
        <f t="shared" si="20"/>
        <v>5</v>
      </c>
      <c r="J57" s="185">
        <f t="shared" si="20"/>
        <v>3198.493373003148</v>
      </c>
      <c r="K57" s="186">
        <f t="shared" si="20"/>
        <v>639.69867460062949</v>
      </c>
      <c r="L57" s="613"/>
      <c r="M57" s="185">
        <f>RANK(K57, K$49:$K$85)</f>
        <v>21</v>
      </c>
      <c r="N57" s="624"/>
      <c r="O57" s="614"/>
      <c r="P57" s="187">
        <v>5</v>
      </c>
      <c r="Q57" s="187">
        <v>3196.8476587174332</v>
      </c>
      <c r="R57" s="184">
        <f t="shared" si="21"/>
        <v>639.36953174348662</v>
      </c>
      <c r="S57" s="181">
        <f t="shared" si="22"/>
        <v>22</v>
      </c>
      <c r="T57" s="610"/>
      <c r="U57" s="187">
        <v>5</v>
      </c>
      <c r="V57" s="187">
        <v>3198.6476587174329</v>
      </c>
      <c r="W57" s="184">
        <f t="shared" si="18"/>
        <v>639.72953174348663</v>
      </c>
      <c r="X57" s="181">
        <f t="shared" si="23"/>
        <v>21</v>
      </c>
      <c r="Y57" s="610"/>
      <c r="Z57" s="187">
        <v>5</v>
      </c>
      <c r="AA57" s="187">
        <v>3199.0076587174331</v>
      </c>
      <c r="AB57" s="184">
        <f t="shared" si="24"/>
        <v>639.80153174348663</v>
      </c>
      <c r="AC57" s="181">
        <f t="shared" si="25"/>
        <v>21</v>
      </c>
      <c r="AD57" s="610"/>
      <c r="AE57" s="187">
        <v>5</v>
      </c>
      <c r="AF57" s="187">
        <v>3199.0076587174335</v>
      </c>
      <c r="AG57" s="184">
        <f t="shared" si="26"/>
        <v>639.80153174348675</v>
      </c>
      <c r="AH57" s="181">
        <f t="shared" si="27"/>
        <v>21</v>
      </c>
      <c r="AI57" s="610"/>
      <c r="AJ57" s="187">
        <v>5</v>
      </c>
      <c r="AK57" s="187">
        <v>3197.5676587174339</v>
      </c>
      <c r="AL57" s="184">
        <f t="shared" si="28"/>
        <v>639.51353174348674</v>
      </c>
      <c r="AM57" s="181">
        <f t="shared" si="29"/>
        <v>22</v>
      </c>
      <c r="AN57" s="610"/>
      <c r="AO57" s="187">
        <v>5</v>
      </c>
      <c r="AP57" s="187">
        <v>3199.3676587174336</v>
      </c>
      <c r="AQ57" s="184">
        <f t="shared" si="30"/>
        <v>639.87353174348675</v>
      </c>
      <c r="AR57" s="181">
        <f t="shared" si="31"/>
        <v>21</v>
      </c>
      <c r="AS57" s="610"/>
      <c r="AT57" s="187">
        <v>5</v>
      </c>
      <c r="AU57" s="187">
        <v>3199.007658717434</v>
      </c>
      <c r="AV57" s="184">
        <f t="shared" si="32"/>
        <v>639.80153174348675</v>
      </c>
      <c r="AW57" s="181">
        <f t="shared" si="33"/>
        <v>21</v>
      </c>
      <c r="AX57" s="610"/>
    </row>
    <row r="58" spans="2:50" ht="14.25" customHeight="1">
      <c r="B58" s="611"/>
      <c r="C58" s="179">
        <v>10</v>
      </c>
      <c r="D58" s="182" t="s">
        <v>228</v>
      </c>
      <c r="E58" s="183">
        <v>3</v>
      </c>
      <c r="F58" s="179">
        <v>3000</v>
      </c>
      <c r="G58" s="184">
        <f t="shared" si="19"/>
        <v>1000</v>
      </c>
      <c r="H58" s="612"/>
      <c r="I58" s="185">
        <f t="shared" si="20"/>
        <v>3</v>
      </c>
      <c r="J58" s="185">
        <f t="shared" si="20"/>
        <v>2719.6207371686655</v>
      </c>
      <c r="K58" s="186">
        <f t="shared" si="20"/>
        <v>906.54024572288859</v>
      </c>
      <c r="L58" s="613"/>
      <c r="M58" s="185">
        <f>RANK(K58, K$49:$K$85)</f>
        <v>12</v>
      </c>
      <c r="N58" s="624"/>
      <c r="O58" s="614"/>
      <c r="P58" s="187">
        <v>3</v>
      </c>
      <c r="Q58" s="187">
        <v>2717.9921657400942</v>
      </c>
      <c r="R58" s="184">
        <f t="shared" si="21"/>
        <v>905.99738858003138</v>
      </c>
      <c r="S58" s="181">
        <f t="shared" si="22"/>
        <v>12</v>
      </c>
      <c r="T58" s="610"/>
      <c r="U58" s="187">
        <v>3</v>
      </c>
      <c r="V58" s="187">
        <v>2717.6921657400944</v>
      </c>
      <c r="W58" s="184">
        <f t="shared" si="18"/>
        <v>905.89738858003147</v>
      </c>
      <c r="X58" s="181">
        <f t="shared" si="23"/>
        <v>13</v>
      </c>
      <c r="Y58" s="610"/>
      <c r="Z58" s="187">
        <v>3</v>
      </c>
      <c r="AA58" s="187">
        <v>2718.8921657400947</v>
      </c>
      <c r="AB58" s="184">
        <f t="shared" si="24"/>
        <v>906.29738858003157</v>
      </c>
      <c r="AC58" s="181">
        <f t="shared" si="25"/>
        <v>13</v>
      </c>
      <c r="AD58" s="610"/>
      <c r="AE58" s="187">
        <v>3</v>
      </c>
      <c r="AF58" s="187">
        <v>2720.0921657400945</v>
      </c>
      <c r="AG58" s="184">
        <f t="shared" si="26"/>
        <v>906.69738858003154</v>
      </c>
      <c r="AH58" s="181">
        <f t="shared" si="27"/>
        <v>12</v>
      </c>
      <c r="AI58" s="610"/>
      <c r="AJ58" s="187">
        <v>3</v>
      </c>
      <c r="AK58" s="187">
        <v>2720.692165740094</v>
      </c>
      <c r="AL58" s="184">
        <f t="shared" si="28"/>
        <v>906.89738858003136</v>
      </c>
      <c r="AM58" s="181">
        <f t="shared" si="29"/>
        <v>12</v>
      </c>
      <c r="AN58" s="610"/>
      <c r="AO58" s="187">
        <v>3</v>
      </c>
      <c r="AP58" s="187">
        <v>2721.5921657400936</v>
      </c>
      <c r="AQ58" s="184">
        <f t="shared" si="30"/>
        <v>907.1973885800312</v>
      </c>
      <c r="AR58" s="181">
        <f t="shared" si="31"/>
        <v>12</v>
      </c>
      <c r="AS58" s="610"/>
      <c r="AT58" s="187">
        <v>3</v>
      </c>
      <c r="AU58" s="187">
        <v>2720.3921657400938</v>
      </c>
      <c r="AV58" s="184">
        <f t="shared" si="32"/>
        <v>906.79738858003122</v>
      </c>
      <c r="AW58" s="181">
        <f t="shared" si="33"/>
        <v>12</v>
      </c>
      <c r="AX58" s="610"/>
    </row>
    <row r="59" spans="2:50" ht="14.25" customHeight="1">
      <c r="B59" s="611"/>
      <c r="C59" s="179">
        <v>11</v>
      </c>
      <c r="D59" s="182" t="s">
        <v>439</v>
      </c>
      <c r="E59" s="183">
        <v>12</v>
      </c>
      <c r="F59" s="179">
        <v>3600</v>
      </c>
      <c r="G59" s="184">
        <f t="shared" si="19"/>
        <v>300</v>
      </c>
      <c r="H59" s="612"/>
      <c r="I59" s="185">
        <f t="shared" si="20"/>
        <v>12</v>
      </c>
      <c r="J59" s="185">
        <f t="shared" si="20"/>
        <v>3118.8366160509859</v>
      </c>
      <c r="K59" s="186">
        <f t="shared" si="20"/>
        <v>259.90305133758216</v>
      </c>
      <c r="L59" s="613"/>
      <c r="M59" s="185">
        <f>RANK(K59, K$49:$K$85)</f>
        <v>34</v>
      </c>
      <c r="N59" s="624"/>
      <c r="O59" s="614"/>
      <c r="P59" s="187">
        <v>12</v>
      </c>
      <c r="Q59" s="187">
        <v>3118.381081352326</v>
      </c>
      <c r="R59" s="184">
        <f t="shared" si="21"/>
        <v>259.86509011269385</v>
      </c>
      <c r="S59" s="181">
        <f t="shared" si="22"/>
        <v>34</v>
      </c>
      <c r="T59" s="610"/>
      <c r="U59" s="187">
        <v>12</v>
      </c>
      <c r="V59" s="187">
        <v>3119.1010813523267</v>
      </c>
      <c r="W59" s="184">
        <f t="shared" si="18"/>
        <v>259.92509011269391</v>
      </c>
      <c r="X59" s="181">
        <f t="shared" si="23"/>
        <v>34</v>
      </c>
      <c r="Y59" s="610"/>
      <c r="Z59" s="187">
        <v>12</v>
      </c>
      <c r="AA59" s="187">
        <v>3117.6610813523266</v>
      </c>
      <c r="AB59" s="184">
        <f t="shared" si="24"/>
        <v>259.8050901126939</v>
      </c>
      <c r="AC59" s="181">
        <f t="shared" si="25"/>
        <v>34</v>
      </c>
      <c r="AD59" s="610"/>
      <c r="AE59" s="187">
        <v>12</v>
      </c>
      <c r="AF59" s="187">
        <v>3119.4610813523268</v>
      </c>
      <c r="AG59" s="184">
        <f t="shared" si="26"/>
        <v>259.95509011269388</v>
      </c>
      <c r="AH59" s="181">
        <f t="shared" si="27"/>
        <v>34</v>
      </c>
      <c r="AI59" s="610"/>
      <c r="AJ59" s="187">
        <v>12</v>
      </c>
      <c r="AK59" s="187">
        <v>3118.7410813523265</v>
      </c>
      <c r="AL59" s="184">
        <f t="shared" si="28"/>
        <v>259.89509011269388</v>
      </c>
      <c r="AM59" s="181">
        <f t="shared" si="29"/>
        <v>34</v>
      </c>
      <c r="AN59" s="610"/>
      <c r="AO59" s="187">
        <v>12</v>
      </c>
      <c r="AP59" s="187">
        <v>3117.6610813523266</v>
      </c>
      <c r="AQ59" s="184">
        <f t="shared" si="30"/>
        <v>259.8050901126939</v>
      </c>
      <c r="AR59" s="181">
        <f t="shared" si="31"/>
        <v>34</v>
      </c>
      <c r="AS59" s="610"/>
      <c r="AT59" s="187">
        <v>12</v>
      </c>
      <c r="AU59" s="187">
        <v>3120.84982424294</v>
      </c>
      <c r="AV59" s="184">
        <f t="shared" si="32"/>
        <v>260.07081868691165</v>
      </c>
      <c r="AW59" s="181">
        <f t="shared" si="33"/>
        <v>33</v>
      </c>
      <c r="AX59" s="610"/>
    </row>
    <row r="60" spans="2:50" ht="14.25" customHeight="1">
      <c r="B60" s="611"/>
      <c r="C60" s="179">
        <v>12</v>
      </c>
      <c r="D60" s="182" t="s">
        <v>457</v>
      </c>
      <c r="E60" s="183">
        <v>3</v>
      </c>
      <c r="F60" s="179">
        <v>3300</v>
      </c>
      <c r="G60" s="184">
        <f t="shared" si="19"/>
        <v>1100</v>
      </c>
      <c r="H60" s="612"/>
      <c r="I60" s="185">
        <f t="shared" si="20"/>
        <v>3</v>
      </c>
      <c r="J60" s="185">
        <f t="shared" si="20"/>
        <v>2987.0778676755285</v>
      </c>
      <c r="K60" s="186">
        <f t="shared" si="20"/>
        <v>995.69262255850947</v>
      </c>
      <c r="L60" s="613"/>
      <c r="M60" s="185">
        <f>RANK(K60, K$49:$K$85)</f>
        <v>10</v>
      </c>
      <c r="N60" s="624"/>
      <c r="O60" s="614"/>
      <c r="P60" s="187">
        <v>3</v>
      </c>
      <c r="Q60" s="187">
        <v>2988.2092962469574</v>
      </c>
      <c r="R60" s="184">
        <f t="shared" si="21"/>
        <v>996.06976541565245</v>
      </c>
      <c r="S60" s="181">
        <f t="shared" si="22"/>
        <v>10</v>
      </c>
      <c r="T60" s="610"/>
      <c r="U60" s="187">
        <v>3</v>
      </c>
      <c r="V60" s="187">
        <v>2986.5592962469573</v>
      </c>
      <c r="W60" s="184">
        <f t="shared" si="18"/>
        <v>995.51976541565239</v>
      </c>
      <c r="X60" s="181">
        <f t="shared" si="23"/>
        <v>10</v>
      </c>
      <c r="Y60" s="610"/>
      <c r="Z60" s="187">
        <v>3</v>
      </c>
      <c r="AA60" s="187">
        <v>2988.2092962469569</v>
      </c>
      <c r="AB60" s="184">
        <f t="shared" si="24"/>
        <v>996.06976541565234</v>
      </c>
      <c r="AC60" s="181">
        <f t="shared" si="25"/>
        <v>10</v>
      </c>
      <c r="AD60" s="610"/>
      <c r="AE60" s="187">
        <v>3</v>
      </c>
      <c r="AF60" s="187">
        <v>2986.5592962469573</v>
      </c>
      <c r="AG60" s="184">
        <f t="shared" si="26"/>
        <v>995.51976541565239</v>
      </c>
      <c r="AH60" s="181">
        <f t="shared" si="27"/>
        <v>10</v>
      </c>
      <c r="AI60" s="610"/>
      <c r="AJ60" s="187">
        <v>3</v>
      </c>
      <c r="AK60" s="187">
        <v>2986.5592962469573</v>
      </c>
      <c r="AL60" s="184">
        <f t="shared" si="28"/>
        <v>995.51976541565239</v>
      </c>
      <c r="AM60" s="181">
        <f t="shared" si="29"/>
        <v>10</v>
      </c>
      <c r="AN60" s="610"/>
      <c r="AO60" s="187">
        <v>3</v>
      </c>
      <c r="AP60" s="187">
        <v>2987.2192962469571</v>
      </c>
      <c r="AQ60" s="184">
        <f t="shared" si="30"/>
        <v>995.73976541565241</v>
      </c>
      <c r="AR60" s="181">
        <f t="shared" si="31"/>
        <v>10</v>
      </c>
      <c r="AS60" s="610"/>
      <c r="AT60" s="187">
        <v>3</v>
      </c>
      <c r="AU60" s="187">
        <v>2986.2292962469573</v>
      </c>
      <c r="AV60" s="184">
        <f t="shared" si="32"/>
        <v>995.40976541565249</v>
      </c>
      <c r="AW60" s="181">
        <f t="shared" si="33"/>
        <v>10</v>
      </c>
      <c r="AX60" s="610"/>
    </row>
    <row r="61" spans="2:50" ht="14.25" customHeight="1">
      <c r="B61" s="611"/>
      <c r="C61" s="179">
        <v>13</v>
      </c>
      <c r="D61" s="182" t="s">
        <v>538</v>
      </c>
      <c r="E61" s="183">
        <v>3</v>
      </c>
      <c r="F61" s="179">
        <v>3600</v>
      </c>
      <c r="G61" s="184">
        <f t="shared" si="19"/>
        <v>1200</v>
      </c>
      <c r="H61" s="612"/>
      <c r="I61" s="185">
        <f t="shared" si="20"/>
        <v>3</v>
      </c>
      <c r="J61" s="185">
        <f t="shared" si="20"/>
        <v>3190.4589073130455</v>
      </c>
      <c r="K61" s="186">
        <f t="shared" si="20"/>
        <v>1063.4863024376821</v>
      </c>
      <c r="L61" s="613"/>
      <c r="M61" s="185">
        <f>RANK(K61, K$49:$K$85)</f>
        <v>5</v>
      </c>
      <c r="N61" s="624"/>
      <c r="O61" s="614"/>
      <c r="P61" s="187">
        <v>3</v>
      </c>
      <c r="Q61" s="187">
        <v>3190.4074787416171</v>
      </c>
      <c r="R61" s="184">
        <f t="shared" si="21"/>
        <v>1063.4691595805391</v>
      </c>
      <c r="S61" s="181">
        <f t="shared" si="22"/>
        <v>5</v>
      </c>
      <c r="T61" s="610"/>
      <c r="U61" s="187">
        <v>3</v>
      </c>
      <c r="V61" s="187">
        <v>3190.0474787416174</v>
      </c>
      <c r="W61" s="184">
        <f t="shared" si="18"/>
        <v>1063.3491595805392</v>
      </c>
      <c r="X61" s="181">
        <f t="shared" si="23"/>
        <v>5</v>
      </c>
      <c r="Y61" s="610"/>
      <c r="Z61" s="187">
        <v>3</v>
      </c>
      <c r="AA61" s="187">
        <v>3189.3274787416176</v>
      </c>
      <c r="AB61" s="184">
        <f t="shared" si="24"/>
        <v>1063.1091595805392</v>
      </c>
      <c r="AC61" s="181">
        <f t="shared" si="25"/>
        <v>5</v>
      </c>
      <c r="AD61" s="610"/>
      <c r="AE61" s="187">
        <v>3</v>
      </c>
      <c r="AF61" s="187">
        <v>3190.0474787416174</v>
      </c>
      <c r="AG61" s="184">
        <f t="shared" si="26"/>
        <v>1063.3491595805392</v>
      </c>
      <c r="AH61" s="181">
        <f t="shared" si="27"/>
        <v>5</v>
      </c>
      <c r="AI61" s="610"/>
      <c r="AJ61" s="187">
        <v>3</v>
      </c>
      <c r="AK61" s="187">
        <v>3191.1274787416173</v>
      </c>
      <c r="AL61" s="184">
        <f t="shared" si="28"/>
        <v>1063.7091595805391</v>
      </c>
      <c r="AM61" s="181">
        <f t="shared" si="29"/>
        <v>5</v>
      </c>
      <c r="AN61" s="610"/>
      <c r="AO61" s="187">
        <v>3</v>
      </c>
      <c r="AP61" s="187">
        <v>3191.487478741617</v>
      </c>
      <c r="AQ61" s="184">
        <f t="shared" si="30"/>
        <v>1063.829159580539</v>
      </c>
      <c r="AR61" s="181">
        <f t="shared" si="31"/>
        <v>5</v>
      </c>
      <c r="AS61" s="610"/>
      <c r="AT61" s="187">
        <v>3</v>
      </c>
      <c r="AU61" s="187">
        <v>3190.7674787416172</v>
      </c>
      <c r="AV61" s="184">
        <f t="shared" si="32"/>
        <v>1063.589159580539</v>
      </c>
      <c r="AW61" s="181">
        <f t="shared" si="33"/>
        <v>5</v>
      </c>
      <c r="AX61" s="610"/>
    </row>
    <row r="62" spans="2:50" ht="14.25" customHeight="1">
      <c r="B62" s="611"/>
      <c r="C62" s="179">
        <v>14</v>
      </c>
      <c r="D62" s="182" t="s">
        <v>530</v>
      </c>
      <c r="E62" s="183">
        <v>5</v>
      </c>
      <c r="F62" s="179">
        <v>3600</v>
      </c>
      <c r="G62" s="184">
        <f t="shared" si="19"/>
        <v>720</v>
      </c>
      <c r="H62" s="612"/>
      <c r="I62" s="185">
        <f t="shared" si="20"/>
        <v>5</v>
      </c>
      <c r="J62" s="185">
        <f t="shared" si="20"/>
        <v>3196.6825780563695</v>
      </c>
      <c r="K62" s="186">
        <f t="shared" si="20"/>
        <v>639.33651561127385</v>
      </c>
      <c r="L62" s="613"/>
      <c r="M62" s="185">
        <f>RANK(K62, K$49:$K$85)</f>
        <v>23</v>
      </c>
      <c r="N62" s="624"/>
      <c r="O62" s="614"/>
      <c r="P62" s="187">
        <v>5</v>
      </c>
      <c r="Q62" s="187">
        <v>3195.5511494849411</v>
      </c>
      <c r="R62" s="184">
        <f t="shared" si="21"/>
        <v>639.11022989698824</v>
      </c>
      <c r="S62" s="181">
        <f t="shared" si="22"/>
        <v>24</v>
      </c>
      <c r="T62" s="610"/>
      <c r="U62" s="187">
        <v>5</v>
      </c>
      <c r="V62" s="187">
        <v>3196.2711494849409</v>
      </c>
      <c r="W62" s="184">
        <f t="shared" si="18"/>
        <v>639.25422989698814</v>
      </c>
      <c r="X62" s="181">
        <f t="shared" si="23"/>
        <v>22</v>
      </c>
      <c r="Y62" s="610"/>
      <c r="Z62" s="187">
        <v>5</v>
      </c>
      <c r="AA62" s="187">
        <v>3197.3511494849404</v>
      </c>
      <c r="AB62" s="184">
        <f t="shared" si="24"/>
        <v>639.47022989698803</v>
      </c>
      <c r="AC62" s="181">
        <f t="shared" si="25"/>
        <v>23</v>
      </c>
      <c r="AD62" s="610"/>
      <c r="AE62" s="187">
        <v>5</v>
      </c>
      <c r="AF62" s="187">
        <v>3196.27114948494</v>
      </c>
      <c r="AG62" s="184">
        <f t="shared" si="26"/>
        <v>639.25422989698802</v>
      </c>
      <c r="AH62" s="181">
        <f t="shared" si="27"/>
        <v>23</v>
      </c>
      <c r="AI62" s="610"/>
      <c r="AJ62" s="187">
        <v>5</v>
      </c>
      <c r="AK62" s="187">
        <v>3197.7111494849405</v>
      </c>
      <c r="AL62" s="184">
        <f t="shared" si="28"/>
        <v>639.54222989698815</v>
      </c>
      <c r="AM62" s="181">
        <f t="shared" si="29"/>
        <v>21</v>
      </c>
      <c r="AN62" s="610"/>
      <c r="AO62" s="187">
        <v>5</v>
      </c>
      <c r="AP62" s="187">
        <v>3196.9911494849407</v>
      </c>
      <c r="AQ62" s="184">
        <f t="shared" si="30"/>
        <v>639.39822989698814</v>
      </c>
      <c r="AR62" s="181">
        <f t="shared" si="31"/>
        <v>23</v>
      </c>
      <c r="AS62" s="610"/>
      <c r="AT62" s="187">
        <v>5</v>
      </c>
      <c r="AU62" s="187">
        <v>3196.6311494849406</v>
      </c>
      <c r="AV62" s="184">
        <f t="shared" si="32"/>
        <v>639.32622989698814</v>
      </c>
      <c r="AW62" s="181">
        <f t="shared" si="33"/>
        <v>23</v>
      </c>
      <c r="AX62" s="610"/>
    </row>
    <row r="63" spans="2:50" ht="14.25" customHeight="1">
      <c r="B63" s="611"/>
      <c r="C63" s="179">
        <v>15</v>
      </c>
      <c r="D63" s="182" t="s">
        <v>595</v>
      </c>
      <c r="E63" s="183">
        <v>3</v>
      </c>
      <c r="F63" s="179">
        <v>3600</v>
      </c>
      <c r="G63" s="184">
        <f t="shared" si="19"/>
        <v>1200</v>
      </c>
      <c r="H63" s="612"/>
      <c r="I63" s="185">
        <f t="shared" si="20"/>
        <v>3</v>
      </c>
      <c r="J63" s="185">
        <f t="shared" si="20"/>
        <v>3194.4208393122426</v>
      </c>
      <c r="K63" s="186">
        <f t="shared" si="20"/>
        <v>1064.8069464374144</v>
      </c>
      <c r="L63" s="613"/>
      <c r="M63" s="185">
        <f>RANK(K63, K$49:$K$85)</f>
        <v>3</v>
      </c>
      <c r="N63" s="624"/>
      <c r="O63" s="614"/>
      <c r="P63" s="187">
        <v>3</v>
      </c>
      <c r="Q63" s="187">
        <v>3195.3979821693847</v>
      </c>
      <c r="R63" s="184">
        <f t="shared" si="21"/>
        <v>1065.1326607231283</v>
      </c>
      <c r="S63" s="181">
        <f t="shared" si="22"/>
        <v>3</v>
      </c>
      <c r="T63" s="610"/>
      <c r="U63" s="187">
        <v>3</v>
      </c>
      <c r="V63" s="187">
        <v>3196.8379821693852</v>
      </c>
      <c r="W63" s="184">
        <f t="shared" si="18"/>
        <v>1065.6126607231283</v>
      </c>
      <c r="X63" s="181">
        <f t="shared" si="23"/>
        <v>1</v>
      </c>
      <c r="Y63" s="610"/>
      <c r="Z63" s="187">
        <v>3</v>
      </c>
      <c r="AA63" s="187">
        <v>3195.037982169385</v>
      </c>
      <c r="AB63" s="184">
        <f t="shared" si="24"/>
        <v>1065.0126607231284</v>
      </c>
      <c r="AC63" s="181">
        <f t="shared" si="25"/>
        <v>3</v>
      </c>
      <c r="AD63" s="610"/>
      <c r="AE63" s="187">
        <v>3</v>
      </c>
      <c r="AF63" s="187">
        <v>3195.037982169385</v>
      </c>
      <c r="AG63" s="184">
        <f t="shared" si="26"/>
        <v>1065.0126607231284</v>
      </c>
      <c r="AH63" s="181">
        <f t="shared" si="27"/>
        <v>3</v>
      </c>
      <c r="AI63" s="610"/>
      <c r="AJ63" s="187">
        <v>3</v>
      </c>
      <c r="AK63" s="187">
        <v>3193.5979821693859</v>
      </c>
      <c r="AL63" s="184">
        <f t="shared" si="28"/>
        <v>1064.5326607231286</v>
      </c>
      <c r="AM63" s="181">
        <f t="shared" si="29"/>
        <v>3</v>
      </c>
      <c r="AN63" s="610"/>
      <c r="AO63" s="187">
        <v>3</v>
      </c>
      <c r="AP63" s="187">
        <v>3192.5179821693855</v>
      </c>
      <c r="AQ63" s="184">
        <f t="shared" si="30"/>
        <v>1064.1726607231285</v>
      </c>
      <c r="AR63" s="181">
        <f t="shared" si="31"/>
        <v>3</v>
      </c>
      <c r="AS63" s="610"/>
      <c r="AT63" s="187">
        <v>3</v>
      </c>
      <c r="AU63" s="187">
        <v>3192.517982169385</v>
      </c>
      <c r="AV63" s="184">
        <f t="shared" si="32"/>
        <v>1064.1726607231283</v>
      </c>
      <c r="AW63" s="181">
        <f t="shared" si="33"/>
        <v>4</v>
      </c>
      <c r="AX63" s="610"/>
    </row>
    <row r="64" spans="2:50" ht="14.25" customHeight="1">
      <c r="B64" s="611"/>
      <c r="C64" s="179">
        <v>16</v>
      </c>
      <c r="D64" s="182" t="s">
        <v>577</v>
      </c>
      <c r="E64" s="183">
        <v>3</v>
      </c>
      <c r="F64" s="179">
        <v>3300</v>
      </c>
      <c r="G64" s="184">
        <f t="shared" si="19"/>
        <v>1100</v>
      </c>
      <c r="H64" s="612"/>
      <c r="I64" s="185">
        <f t="shared" si="20"/>
        <v>3</v>
      </c>
      <c r="J64" s="185">
        <f t="shared" si="20"/>
        <v>2972.5459530941157</v>
      </c>
      <c r="K64" s="186">
        <f t="shared" si="20"/>
        <v>990.84865103137167</v>
      </c>
      <c r="L64" s="613"/>
      <c r="M64" s="185">
        <f>RANK(K64, K$49:$K$85)</f>
        <v>11</v>
      </c>
      <c r="N64" s="624"/>
      <c r="O64" s="614"/>
      <c r="P64" s="187">
        <v>3</v>
      </c>
      <c r="Q64" s="187">
        <v>2973.4888102369723</v>
      </c>
      <c r="R64" s="184">
        <f t="shared" si="21"/>
        <v>991.16293674565748</v>
      </c>
      <c r="S64" s="181">
        <f t="shared" si="22"/>
        <v>11</v>
      </c>
      <c r="T64" s="610"/>
      <c r="U64" s="187">
        <v>3</v>
      </c>
      <c r="V64" s="187">
        <v>2972.1688102369726</v>
      </c>
      <c r="W64" s="184">
        <f t="shared" si="18"/>
        <v>990.72293674565753</v>
      </c>
      <c r="X64" s="181">
        <f t="shared" si="23"/>
        <v>11</v>
      </c>
      <c r="Y64" s="610"/>
      <c r="Z64" s="187">
        <v>3</v>
      </c>
      <c r="AA64" s="187">
        <v>2973.1588102369724</v>
      </c>
      <c r="AB64" s="184">
        <f t="shared" si="24"/>
        <v>991.05293674565746</v>
      </c>
      <c r="AC64" s="181">
        <f t="shared" si="25"/>
        <v>11</v>
      </c>
      <c r="AD64" s="610"/>
      <c r="AE64" s="187">
        <v>3</v>
      </c>
      <c r="AF64" s="187">
        <v>2973.4888102369723</v>
      </c>
      <c r="AG64" s="184">
        <f t="shared" si="26"/>
        <v>991.16293674565748</v>
      </c>
      <c r="AH64" s="181">
        <f t="shared" si="27"/>
        <v>11</v>
      </c>
      <c r="AI64" s="610"/>
      <c r="AJ64" s="187">
        <v>3</v>
      </c>
      <c r="AK64" s="187">
        <v>2971.8388102369722</v>
      </c>
      <c r="AL64" s="184">
        <f t="shared" si="28"/>
        <v>990.61293674565741</v>
      </c>
      <c r="AM64" s="181">
        <f t="shared" si="29"/>
        <v>11</v>
      </c>
      <c r="AN64" s="610"/>
      <c r="AO64" s="187">
        <v>3</v>
      </c>
      <c r="AP64" s="187">
        <v>2971.5088102369727</v>
      </c>
      <c r="AQ64" s="184">
        <f t="shared" si="30"/>
        <v>990.50293674565762</v>
      </c>
      <c r="AR64" s="181">
        <f t="shared" si="31"/>
        <v>11</v>
      </c>
      <c r="AS64" s="610"/>
      <c r="AT64" s="187">
        <v>3</v>
      </c>
      <c r="AU64" s="187">
        <v>2972.1688102369726</v>
      </c>
      <c r="AV64" s="184">
        <f t="shared" si="32"/>
        <v>990.72293674565753</v>
      </c>
      <c r="AW64" s="181">
        <f t="shared" si="33"/>
        <v>11</v>
      </c>
      <c r="AX64" s="610"/>
    </row>
    <row r="65" spans="2:50" ht="14.25" customHeight="1">
      <c r="B65" s="611"/>
      <c r="C65" s="179">
        <v>17</v>
      </c>
      <c r="D65" s="182" t="s">
        <v>400</v>
      </c>
      <c r="E65" s="183">
        <v>5</v>
      </c>
      <c r="F65" s="179">
        <v>3600</v>
      </c>
      <c r="G65" s="184">
        <f t="shared" si="19"/>
        <v>720</v>
      </c>
      <c r="H65" s="612"/>
      <c r="I65" s="185">
        <f t="shared" si="20"/>
        <v>5</v>
      </c>
      <c r="J65" s="185">
        <f t="shared" si="20"/>
        <v>3190.1136116571683</v>
      </c>
      <c r="K65" s="186">
        <f t="shared" si="20"/>
        <v>638.02272233143356</v>
      </c>
      <c r="L65" s="613"/>
      <c r="M65" s="185">
        <f>RANK(K65, K$49:$K$85)</f>
        <v>27</v>
      </c>
      <c r="N65" s="624"/>
      <c r="O65" s="614"/>
      <c r="P65" s="187">
        <v>5</v>
      </c>
      <c r="Q65" s="187">
        <v>3190.2678973714537</v>
      </c>
      <c r="R65" s="184">
        <f t="shared" si="21"/>
        <v>638.0535794742907</v>
      </c>
      <c r="S65" s="181">
        <f t="shared" si="22"/>
        <v>27</v>
      </c>
      <c r="T65" s="610"/>
      <c r="U65" s="187">
        <v>5</v>
      </c>
      <c r="V65" s="187">
        <v>3190.2678973714537</v>
      </c>
      <c r="W65" s="184">
        <f t="shared" si="18"/>
        <v>638.0535794742907</v>
      </c>
      <c r="X65" s="181">
        <f t="shared" si="23"/>
        <v>27</v>
      </c>
      <c r="Y65" s="610"/>
      <c r="Z65" s="187">
        <v>5</v>
      </c>
      <c r="AA65" s="187">
        <v>3191.7078973714538</v>
      </c>
      <c r="AB65" s="184">
        <f t="shared" si="24"/>
        <v>638.34157947429071</v>
      </c>
      <c r="AC65" s="181">
        <f t="shared" si="25"/>
        <v>26</v>
      </c>
      <c r="AD65" s="610"/>
      <c r="AE65" s="187">
        <v>5</v>
      </c>
      <c r="AF65" s="187">
        <v>3191.7078973714533</v>
      </c>
      <c r="AG65" s="184">
        <f t="shared" si="26"/>
        <v>638.34157947429071</v>
      </c>
      <c r="AH65" s="181">
        <f t="shared" si="27"/>
        <v>26</v>
      </c>
      <c r="AI65" s="610"/>
      <c r="AJ65" s="187">
        <v>5</v>
      </c>
      <c r="AK65" s="187">
        <v>3190.2678973714537</v>
      </c>
      <c r="AL65" s="184">
        <f t="shared" si="28"/>
        <v>638.0535794742907</v>
      </c>
      <c r="AM65" s="181">
        <f t="shared" si="29"/>
        <v>26</v>
      </c>
      <c r="AN65" s="610"/>
      <c r="AO65" s="187">
        <v>5</v>
      </c>
      <c r="AP65" s="187">
        <v>3188.8278973714532</v>
      </c>
      <c r="AQ65" s="184">
        <f t="shared" si="30"/>
        <v>637.76557947429069</v>
      </c>
      <c r="AR65" s="181">
        <f t="shared" si="31"/>
        <v>27</v>
      </c>
      <c r="AS65" s="610"/>
      <c r="AT65" s="187">
        <v>5</v>
      </c>
      <c r="AU65" s="187">
        <v>3187.7478973714528</v>
      </c>
      <c r="AV65" s="184">
        <f t="shared" si="32"/>
        <v>637.54957947429057</v>
      </c>
      <c r="AW65" s="181">
        <f t="shared" si="33"/>
        <v>27</v>
      </c>
      <c r="AX65" s="610"/>
    </row>
    <row r="66" spans="2:50" ht="14.25" customHeight="1">
      <c r="B66" s="611"/>
      <c r="C66" s="179">
        <v>18</v>
      </c>
      <c r="D66" s="182" t="s">
        <v>399</v>
      </c>
      <c r="E66" s="183">
        <v>3</v>
      </c>
      <c r="F66" s="179">
        <v>3600</v>
      </c>
      <c r="G66" s="184">
        <f t="shared" si="19"/>
        <v>1200</v>
      </c>
      <c r="H66" s="612"/>
      <c r="I66" s="185">
        <f t="shared" si="20"/>
        <v>3</v>
      </c>
      <c r="J66" s="185">
        <f t="shared" si="20"/>
        <v>3185.6233615783035</v>
      </c>
      <c r="K66" s="186">
        <f t="shared" si="20"/>
        <v>1061.8744538594344</v>
      </c>
      <c r="L66" s="613"/>
      <c r="M66" s="185">
        <f>RANK(K66, K$49:$K$85)</f>
        <v>8</v>
      </c>
      <c r="N66" s="624"/>
      <c r="O66" s="614"/>
      <c r="P66" s="187">
        <v>3</v>
      </c>
      <c r="Q66" s="187">
        <v>3184.7282678776442</v>
      </c>
      <c r="R66" s="184">
        <f t="shared" si="21"/>
        <v>1061.576089292548</v>
      </c>
      <c r="S66" s="181">
        <f t="shared" si="22"/>
        <v>9</v>
      </c>
      <c r="T66" s="610"/>
      <c r="U66" s="187">
        <v>3</v>
      </c>
      <c r="V66" s="187">
        <v>3185.0882678776434</v>
      </c>
      <c r="W66" s="184">
        <f t="shared" si="18"/>
        <v>1061.6960892925479</v>
      </c>
      <c r="X66" s="181">
        <f t="shared" si="23"/>
        <v>7</v>
      </c>
      <c r="Y66" s="610"/>
      <c r="Z66" s="187">
        <v>3</v>
      </c>
      <c r="AA66" s="187">
        <v>3185.448267877644</v>
      </c>
      <c r="AB66" s="184">
        <f t="shared" si="24"/>
        <v>1061.816089292548</v>
      </c>
      <c r="AC66" s="181">
        <f t="shared" si="25"/>
        <v>8</v>
      </c>
      <c r="AD66" s="610"/>
      <c r="AE66" s="187">
        <v>3</v>
      </c>
      <c r="AF66" s="187">
        <v>3184.7282678776428</v>
      </c>
      <c r="AG66" s="184">
        <f t="shared" si="26"/>
        <v>1061.5760892925475</v>
      </c>
      <c r="AH66" s="181">
        <f t="shared" si="27"/>
        <v>8</v>
      </c>
      <c r="AI66" s="610"/>
      <c r="AJ66" s="187">
        <v>3</v>
      </c>
      <c r="AK66" s="187">
        <v>3184.8715826984953</v>
      </c>
      <c r="AL66" s="184">
        <f t="shared" si="28"/>
        <v>1061.6238608994984</v>
      </c>
      <c r="AM66" s="181">
        <f t="shared" si="29"/>
        <v>9</v>
      </c>
      <c r="AN66" s="610"/>
      <c r="AO66" s="187">
        <v>3</v>
      </c>
      <c r="AP66" s="187">
        <v>3186.3494384195278</v>
      </c>
      <c r="AQ66" s="184">
        <f t="shared" si="30"/>
        <v>1062.116479473176</v>
      </c>
      <c r="AR66" s="181">
        <f t="shared" si="31"/>
        <v>8</v>
      </c>
      <c r="AS66" s="610"/>
      <c r="AT66" s="187">
        <v>3</v>
      </c>
      <c r="AU66" s="187">
        <v>3188.1494384195275</v>
      </c>
      <c r="AV66" s="184">
        <f t="shared" si="32"/>
        <v>1062.7164794731759</v>
      </c>
      <c r="AW66" s="181">
        <f t="shared" si="33"/>
        <v>7</v>
      </c>
      <c r="AX66" s="610"/>
    </row>
    <row r="67" spans="2:50" ht="14.25" customHeight="1">
      <c r="B67" s="611"/>
      <c r="C67" s="179">
        <v>19</v>
      </c>
      <c r="D67" s="182" t="s">
        <v>401</v>
      </c>
      <c r="E67" s="183">
        <v>4</v>
      </c>
      <c r="F67" s="179">
        <v>3300</v>
      </c>
      <c r="G67" s="184">
        <f t="shared" si="19"/>
        <v>825</v>
      </c>
      <c r="H67" s="612"/>
      <c r="I67" s="185">
        <f t="shared" si="20"/>
        <v>4</v>
      </c>
      <c r="J67" s="185">
        <f t="shared" si="20"/>
        <v>2989.7999999999997</v>
      </c>
      <c r="K67" s="186">
        <f t="shared" si="20"/>
        <v>747.44999999999993</v>
      </c>
      <c r="L67" s="613"/>
      <c r="M67" s="185">
        <f>RANK(K67, K$49:$K$85)</f>
        <v>17</v>
      </c>
      <c r="N67" s="624"/>
      <c r="O67" s="614"/>
      <c r="P67" s="187">
        <v>4</v>
      </c>
      <c r="Q67" s="187">
        <v>2989.8</v>
      </c>
      <c r="R67" s="184">
        <f t="shared" si="21"/>
        <v>747.45</v>
      </c>
      <c r="S67" s="181">
        <f t="shared" si="22"/>
        <v>17</v>
      </c>
      <c r="T67" s="610"/>
      <c r="U67" s="187">
        <v>4</v>
      </c>
      <c r="V67" s="187">
        <v>2989.8</v>
      </c>
      <c r="W67" s="184">
        <f t="shared" si="18"/>
        <v>747.45</v>
      </c>
      <c r="X67" s="181">
        <f t="shared" si="23"/>
        <v>17</v>
      </c>
      <c r="Y67" s="610"/>
      <c r="Z67" s="187">
        <v>4</v>
      </c>
      <c r="AA67" s="187">
        <v>2989.8</v>
      </c>
      <c r="AB67" s="184">
        <f t="shared" si="24"/>
        <v>747.45</v>
      </c>
      <c r="AC67" s="181">
        <f t="shared" si="25"/>
        <v>17</v>
      </c>
      <c r="AD67" s="610"/>
      <c r="AE67" s="187">
        <v>4</v>
      </c>
      <c r="AF67" s="187">
        <v>2989.7999999999997</v>
      </c>
      <c r="AG67" s="184">
        <f t="shared" si="26"/>
        <v>747.44999999999993</v>
      </c>
      <c r="AH67" s="181">
        <f t="shared" si="27"/>
        <v>18</v>
      </c>
      <c r="AI67" s="610"/>
      <c r="AJ67" s="187">
        <v>4</v>
      </c>
      <c r="AK67" s="187">
        <v>2989.8</v>
      </c>
      <c r="AL67" s="184">
        <f t="shared" si="28"/>
        <v>747.45</v>
      </c>
      <c r="AM67" s="181">
        <f t="shared" si="29"/>
        <v>17</v>
      </c>
      <c r="AN67" s="610"/>
      <c r="AO67" s="187">
        <v>4</v>
      </c>
      <c r="AP67" s="187">
        <v>2989.8</v>
      </c>
      <c r="AQ67" s="184">
        <f t="shared" si="30"/>
        <v>747.45</v>
      </c>
      <c r="AR67" s="181">
        <f t="shared" si="31"/>
        <v>17</v>
      </c>
      <c r="AS67" s="610"/>
      <c r="AT67" s="187">
        <v>4</v>
      </c>
      <c r="AU67" s="187">
        <v>2989.7999999999997</v>
      </c>
      <c r="AV67" s="184">
        <f t="shared" si="32"/>
        <v>747.44999999999993</v>
      </c>
      <c r="AW67" s="181">
        <f t="shared" si="33"/>
        <v>18</v>
      </c>
      <c r="AX67" s="610"/>
    </row>
    <row r="68" spans="2:50" ht="14.25" customHeight="1">
      <c r="B68" s="611"/>
      <c r="C68" s="179">
        <v>20</v>
      </c>
      <c r="D68" s="182" t="s">
        <v>344</v>
      </c>
      <c r="E68" s="183">
        <v>5</v>
      </c>
      <c r="F68" s="179">
        <v>3300</v>
      </c>
      <c r="G68" s="184">
        <f t="shared" si="19"/>
        <v>660</v>
      </c>
      <c r="H68" s="612"/>
      <c r="I68" s="185">
        <f t="shared" si="20"/>
        <v>5</v>
      </c>
      <c r="J68" s="185">
        <f t="shared" si="20"/>
        <v>2989.7999999999997</v>
      </c>
      <c r="K68" s="186">
        <f t="shared" si="20"/>
        <v>597.96</v>
      </c>
      <c r="L68" s="613"/>
      <c r="M68" s="185">
        <f>RANK(K68, K$49:$K$85)</f>
        <v>28</v>
      </c>
      <c r="N68" s="624"/>
      <c r="O68" s="614"/>
      <c r="P68" s="187">
        <v>5</v>
      </c>
      <c r="Q68" s="187">
        <v>2989.7999999999997</v>
      </c>
      <c r="R68" s="184">
        <f t="shared" si="21"/>
        <v>597.95999999999992</v>
      </c>
      <c r="S68" s="181">
        <f t="shared" si="22"/>
        <v>28</v>
      </c>
      <c r="T68" s="610"/>
      <c r="U68" s="187">
        <v>5</v>
      </c>
      <c r="V68" s="187">
        <v>2989.8</v>
      </c>
      <c r="W68" s="184">
        <f t="shared" si="18"/>
        <v>597.96</v>
      </c>
      <c r="X68" s="181">
        <f t="shared" si="23"/>
        <v>28</v>
      </c>
      <c r="Y68" s="610"/>
      <c r="Z68" s="187">
        <v>5</v>
      </c>
      <c r="AA68" s="187">
        <v>2989.8</v>
      </c>
      <c r="AB68" s="184">
        <f t="shared" si="24"/>
        <v>597.96</v>
      </c>
      <c r="AC68" s="181">
        <f t="shared" si="25"/>
        <v>28</v>
      </c>
      <c r="AD68" s="610"/>
      <c r="AE68" s="187">
        <v>5</v>
      </c>
      <c r="AF68" s="187">
        <v>2989.8</v>
      </c>
      <c r="AG68" s="184">
        <f t="shared" si="26"/>
        <v>597.96</v>
      </c>
      <c r="AH68" s="181">
        <f t="shared" si="27"/>
        <v>28</v>
      </c>
      <c r="AI68" s="610"/>
      <c r="AJ68" s="187">
        <v>5</v>
      </c>
      <c r="AK68" s="187">
        <v>2989.8</v>
      </c>
      <c r="AL68" s="184">
        <f t="shared" si="28"/>
        <v>597.96</v>
      </c>
      <c r="AM68" s="181">
        <f t="shared" si="29"/>
        <v>28</v>
      </c>
      <c r="AN68" s="610"/>
      <c r="AO68" s="187">
        <v>5</v>
      </c>
      <c r="AP68" s="187">
        <v>2989.7999999999997</v>
      </c>
      <c r="AQ68" s="184">
        <f t="shared" si="30"/>
        <v>597.95999999999992</v>
      </c>
      <c r="AR68" s="181">
        <f t="shared" si="31"/>
        <v>29</v>
      </c>
      <c r="AS68" s="610"/>
      <c r="AT68" s="187">
        <v>5</v>
      </c>
      <c r="AU68" s="187">
        <v>2989.7999999999997</v>
      </c>
      <c r="AV68" s="184">
        <f t="shared" si="32"/>
        <v>597.95999999999992</v>
      </c>
      <c r="AW68" s="181">
        <f t="shared" si="33"/>
        <v>28</v>
      </c>
      <c r="AX68" s="610"/>
    </row>
    <row r="69" spans="2:50" ht="14.25" customHeight="1">
      <c r="B69" s="611"/>
      <c r="C69" s="179">
        <v>21</v>
      </c>
      <c r="D69" s="182" t="s">
        <v>395</v>
      </c>
      <c r="E69" s="183">
        <v>3</v>
      </c>
      <c r="F69" s="179">
        <v>3600</v>
      </c>
      <c r="G69" s="184">
        <f t="shared" si="19"/>
        <v>1200</v>
      </c>
      <c r="H69" s="612"/>
      <c r="I69" s="185">
        <f t="shared" si="20"/>
        <v>3</v>
      </c>
      <c r="J69" s="185">
        <f t="shared" si="20"/>
        <v>3191.6406558131393</v>
      </c>
      <c r="K69" s="186">
        <f t="shared" si="20"/>
        <v>1063.8802186043797</v>
      </c>
      <c r="L69" s="613"/>
      <c r="M69" s="185">
        <f>RANK(K69, K$49:$K$85)</f>
        <v>4</v>
      </c>
      <c r="N69" s="624"/>
      <c r="O69" s="614"/>
      <c r="P69" s="187">
        <v>3</v>
      </c>
      <c r="Q69" s="187">
        <v>3190.8177986702822</v>
      </c>
      <c r="R69" s="184">
        <f t="shared" si="21"/>
        <v>1063.605932890094</v>
      </c>
      <c r="S69" s="181">
        <f t="shared" si="22"/>
        <v>4</v>
      </c>
      <c r="T69" s="610"/>
      <c r="U69" s="187">
        <v>3</v>
      </c>
      <c r="V69" s="187">
        <v>3192.2577986702818</v>
      </c>
      <c r="W69" s="184">
        <f t="shared" si="18"/>
        <v>1064.085932890094</v>
      </c>
      <c r="X69" s="181">
        <f t="shared" si="23"/>
        <v>4</v>
      </c>
      <c r="Y69" s="610"/>
      <c r="Z69" s="187">
        <v>3</v>
      </c>
      <c r="AA69" s="187">
        <v>3190.8177986702822</v>
      </c>
      <c r="AB69" s="184">
        <f t="shared" si="24"/>
        <v>1063.605932890094</v>
      </c>
      <c r="AC69" s="181">
        <f t="shared" si="25"/>
        <v>4</v>
      </c>
      <c r="AD69" s="610"/>
      <c r="AE69" s="187">
        <v>3</v>
      </c>
      <c r="AF69" s="187">
        <v>3191.1777986702823</v>
      </c>
      <c r="AG69" s="184">
        <f t="shared" si="26"/>
        <v>1063.7259328900941</v>
      </c>
      <c r="AH69" s="181">
        <f t="shared" si="27"/>
        <v>4</v>
      </c>
      <c r="AI69" s="610"/>
      <c r="AJ69" s="187">
        <v>3</v>
      </c>
      <c r="AK69" s="187">
        <v>3191.5377986702824</v>
      </c>
      <c r="AL69" s="184">
        <f t="shared" si="28"/>
        <v>1063.8459328900942</v>
      </c>
      <c r="AM69" s="181">
        <f t="shared" si="29"/>
        <v>4</v>
      </c>
      <c r="AN69" s="610"/>
      <c r="AO69" s="187">
        <v>3</v>
      </c>
      <c r="AP69" s="187">
        <v>3192.2577986702827</v>
      </c>
      <c r="AQ69" s="184">
        <f t="shared" si="30"/>
        <v>1064.0859328900942</v>
      </c>
      <c r="AR69" s="181">
        <f t="shared" si="31"/>
        <v>4</v>
      </c>
      <c r="AS69" s="610"/>
      <c r="AT69" s="187">
        <v>3</v>
      </c>
      <c r="AU69" s="187">
        <v>3192.6177986702833</v>
      </c>
      <c r="AV69" s="184">
        <f t="shared" si="32"/>
        <v>1064.2059328900943</v>
      </c>
      <c r="AW69" s="181">
        <f t="shared" si="33"/>
        <v>3</v>
      </c>
      <c r="AX69" s="610"/>
    </row>
    <row r="70" spans="2:50" ht="14.25" customHeight="1">
      <c r="B70" s="611"/>
      <c r="C70" s="179">
        <v>22</v>
      </c>
      <c r="D70" s="182" t="s">
        <v>519</v>
      </c>
      <c r="E70" s="183">
        <v>4</v>
      </c>
      <c r="F70" s="179">
        <v>3600</v>
      </c>
      <c r="G70" s="184">
        <f t="shared" si="19"/>
        <v>900</v>
      </c>
      <c r="H70" s="612"/>
      <c r="I70" s="185">
        <f t="shared" si="20"/>
        <v>4</v>
      </c>
      <c r="J70" s="185">
        <f t="shared" si="20"/>
        <v>3192.119999999999</v>
      </c>
      <c r="K70" s="186">
        <f t="shared" si="20"/>
        <v>798.02999999999975</v>
      </c>
      <c r="L70" s="613"/>
      <c r="M70" s="185">
        <f>RANK(K70, K$49:$K$85)</f>
        <v>16</v>
      </c>
      <c r="N70" s="624"/>
      <c r="O70" s="614"/>
      <c r="P70" s="187">
        <v>4</v>
      </c>
      <c r="Q70" s="187">
        <v>3192.4799999999996</v>
      </c>
      <c r="R70" s="184">
        <f t="shared" si="21"/>
        <v>798.11999999999989</v>
      </c>
      <c r="S70" s="181">
        <f t="shared" si="22"/>
        <v>16</v>
      </c>
      <c r="T70" s="610"/>
      <c r="U70" s="187">
        <v>4</v>
      </c>
      <c r="V70" s="187">
        <v>3192.119999999999</v>
      </c>
      <c r="W70" s="184">
        <f t="shared" si="18"/>
        <v>798.02999999999975</v>
      </c>
      <c r="X70" s="181">
        <f t="shared" si="23"/>
        <v>16</v>
      </c>
      <c r="Y70" s="610"/>
      <c r="Z70" s="187">
        <v>4</v>
      </c>
      <c r="AA70" s="187">
        <v>3191.7599999999984</v>
      </c>
      <c r="AB70" s="184">
        <f t="shared" si="24"/>
        <v>797.9399999999996</v>
      </c>
      <c r="AC70" s="181">
        <f t="shared" si="25"/>
        <v>16</v>
      </c>
      <c r="AD70" s="610"/>
      <c r="AE70" s="187">
        <v>4</v>
      </c>
      <c r="AF70" s="187">
        <v>3191.7599999999984</v>
      </c>
      <c r="AG70" s="184">
        <f t="shared" si="26"/>
        <v>797.9399999999996</v>
      </c>
      <c r="AH70" s="181">
        <f t="shared" si="27"/>
        <v>16</v>
      </c>
      <c r="AI70" s="610"/>
      <c r="AJ70" s="187">
        <v>4</v>
      </c>
      <c r="AK70" s="187">
        <v>3191.7599999999984</v>
      </c>
      <c r="AL70" s="184">
        <f t="shared" si="28"/>
        <v>797.9399999999996</v>
      </c>
      <c r="AM70" s="181">
        <f t="shared" si="29"/>
        <v>16</v>
      </c>
      <c r="AN70" s="610"/>
      <c r="AO70" s="187">
        <v>4</v>
      </c>
      <c r="AP70" s="187">
        <v>3192.8399999999992</v>
      </c>
      <c r="AQ70" s="184">
        <f t="shared" si="30"/>
        <v>798.20999999999981</v>
      </c>
      <c r="AR70" s="181">
        <f t="shared" si="31"/>
        <v>15</v>
      </c>
      <c r="AS70" s="610"/>
      <c r="AT70" s="187">
        <v>4</v>
      </c>
      <c r="AU70" s="187">
        <v>3192.1199999999994</v>
      </c>
      <c r="AV70" s="184">
        <f t="shared" si="32"/>
        <v>798.02999999999986</v>
      </c>
      <c r="AW70" s="181">
        <f t="shared" si="33"/>
        <v>15</v>
      </c>
      <c r="AX70" s="610"/>
    </row>
    <row r="71" spans="2:50" ht="14.25" customHeight="1">
      <c r="B71" s="611"/>
      <c r="C71" s="179">
        <v>23</v>
      </c>
      <c r="D71" s="182" t="s">
        <v>398</v>
      </c>
      <c r="E71" s="183">
        <v>3</v>
      </c>
      <c r="F71" s="179">
        <v>3600</v>
      </c>
      <c r="G71" s="184">
        <f t="shared" si="19"/>
        <v>1200</v>
      </c>
      <c r="H71" s="612"/>
      <c r="I71" s="185">
        <f t="shared" si="20"/>
        <v>3</v>
      </c>
      <c r="J71" s="185">
        <f t="shared" si="20"/>
        <v>3199.2559230366583</v>
      </c>
      <c r="K71" s="186">
        <f t="shared" si="20"/>
        <v>1066.4186410122195</v>
      </c>
      <c r="L71" s="613"/>
      <c r="M71" s="185">
        <f>RANK(K71, K$49:$K$85)</f>
        <v>1</v>
      </c>
      <c r="N71" s="624"/>
      <c r="O71" s="614"/>
      <c r="P71" s="187">
        <v>3</v>
      </c>
      <c r="Q71" s="187">
        <v>3197.0360598015241</v>
      </c>
      <c r="R71" s="184">
        <f t="shared" si="21"/>
        <v>1065.6786866005079</v>
      </c>
      <c r="S71" s="181">
        <f t="shared" si="22"/>
        <v>1</v>
      </c>
      <c r="T71" s="610"/>
      <c r="U71" s="187">
        <v>3</v>
      </c>
      <c r="V71" s="187">
        <v>3196.6760598015239</v>
      </c>
      <c r="W71" s="184">
        <f t="shared" si="18"/>
        <v>1065.5586866005081</v>
      </c>
      <c r="X71" s="181">
        <f t="shared" si="23"/>
        <v>3</v>
      </c>
      <c r="Y71" s="610"/>
      <c r="Z71" s="187">
        <v>3</v>
      </c>
      <c r="AA71" s="187">
        <v>3198.4760598015241</v>
      </c>
      <c r="AB71" s="184">
        <f t="shared" si="24"/>
        <v>1066.158686600508</v>
      </c>
      <c r="AC71" s="181">
        <f t="shared" si="25"/>
        <v>1</v>
      </c>
      <c r="AD71" s="610"/>
      <c r="AE71" s="187">
        <v>3</v>
      </c>
      <c r="AF71" s="187">
        <v>3199.9160598015237</v>
      </c>
      <c r="AG71" s="184">
        <f t="shared" si="26"/>
        <v>1066.638686600508</v>
      </c>
      <c r="AH71" s="181">
        <f t="shared" si="27"/>
        <v>1</v>
      </c>
      <c r="AI71" s="610"/>
      <c r="AJ71" s="187">
        <v>3</v>
      </c>
      <c r="AK71" s="187">
        <v>3201.3560598015238</v>
      </c>
      <c r="AL71" s="184">
        <f t="shared" si="28"/>
        <v>1067.118686600508</v>
      </c>
      <c r="AM71" s="181">
        <f t="shared" si="29"/>
        <v>1</v>
      </c>
      <c r="AN71" s="610"/>
      <c r="AO71" s="187">
        <v>3</v>
      </c>
      <c r="AP71" s="187">
        <v>3198.6448148423783</v>
      </c>
      <c r="AQ71" s="184">
        <f t="shared" si="30"/>
        <v>1066.2149382807927</v>
      </c>
      <c r="AR71" s="181">
        <f t="shared" si="31"/>
        <v>1</v>
      </c>
      <c r="AS71" s="610"/>
      <c r="AT71" s="187">
        <v>3</v>
      </c>
      <c r="AU71" s="187">
        <v>3202.6863474066131</v>
      </c>
      <c r="AV71" s="184">
        <f t="shared" si="32"/>
        <v>1067.5621158022043</v>
      </c>
      <c r="AW71" s="181">
        <f t="shared" si="33"/>
        <v>1</v>
      </c>
      <c r="AX71" s="610"/>
    </row>
    <row r="72" spans="2:50" ht="14.25" customHeight="1">
      <c r="B72" s="611"/>
      <c r="C72" s="179">
        <v>24</v>
      </c>
      <c r="D72" s="182" t="s">
        <v>397</v>
      </c>
      <c r="E72" s="183">
        <v>5</v>
      </c>
      <c r="F72" s="179">
        <v>3600</v>
      </c>
      <c r="G72" s="184">
        <f t="shared" si="19"/>
        <v>720</v>
      </c>
      <c r="H72" s="612"/>
      <c r="I72" s="185">
        <f t="shared" si="20"/>
        <v>5</v>
      </c>
      <c r="J72" s="185">
        <f t="shared" si="20"/>
        <v>3196.9601722713887</v>
      </c>
      <c r="K72" s="186">
        <f t="shared" si="20"/>
        <v>639.39203445427768</v>
      </c>
      <c r="L72" s="613"/>
      <c r="M72" s="185">
        <f>RANK(K72, K$49:$K$85)</f>
        <v>22</v>
      </c>
      <c r="N72" s="624"/>
      <c r="O72" s="614"/>
      <c r="P72" s="187">
        <v>5</v>
      </c>
      <c r="Q72" s="187">
        <v>3197.6287436999596</v>
      </c>
      <c r="R72" s="184">
        <f t="shared" si="21"/>
        <v>639.52574873999197</v>
      </c>
      <c r="S72" s="181">
        <f t="shared" si="22"/>
        <v>21</v>
      </c>
      <c r="T72" s="610"/>
      <c r="U72" s="187">
        <v>5</v>
      </c>
      <c r="V72" s="187">
        <v>3196.18874369996</v>
      </c>
      <c r="W72" s="184">
        <f t="shared" si="18"/>
        <v>639.23774873999196</v>
      </c>
      <c r="X72" s="181">
        <f t="shared" si="23"/>
        <v>23</v>
      </c>
      <c r="Y72" s="610"/>
      <c r="Z72" s="187">
        <v>5</v>
      </c>
      <c r="AA72" s="187">
        <v>3197.6287436999596</v>
      </c>
      <c r="AB72" s="184">
        <f t="shared" si="24"/>
        <v>639.52574873999197</v>
      </c>
      <c r="AC72" s="181">
        <f t="shared" si="25"/>
        <v>22</v>
      </c>
      <c r="AD72" s="610"/>
      <c r="AE72" s="187">
        <v>5</v>
      </c>
      <c r="AF72" s="187">
        <v>3196.5487436999601</v>
      </c>
      <c r="AG72" s="184">
        <f t="shared" si="26"/>
        <v>639.30974873999207</v>
      </c>
      <c r="AH72" s="181">
        <f t="shared" si="27"/>
        <v>22</v>
      </c>
      <c r="AI72" s="610"/>
      <c r="AJ72" s="187">
        <v>5</v>
      </c>
      <c r="AK72" s="187">
        <v>3196.5487436999606</v>
      </c>
      <c r="AL72" s="184">
        <f t="shared" si="28"/>
        <v>639.30974873999207</v>
      </c>
      <c r="AM72" s="181">
        <f t="shared" si="29"/>
        <v>23</v>
      </c>
      <c r="AN72" s="610"/>
      <c r="AO72" s="187">
        <v>5</v>
      </c>
      <c r="AP72" s="187">
        <v>3197.6287436999601</v>
      </c>
      <c r="AQ72" s="184">
        <f t="shared" si="30"/>
        <v>639.52574873999197</v>
      </c>
      <c r="AR72" s="181">
        <f t="shared" si="31"/>
        <v>22</v>
      </c>
      <c r="AS72" s="610"/>
      <c r="AT72" s="187">
        <v>5</v>
      </c>
      <c r="AU72" s="187">
        <v>3196.5487436999601</v>
      </c>
      <c r="AV72" s="184">
        <f t="shared" si="32"/>
        <v>639.30974873999207</v>
      </c>
      <c r="AW72" s="181">
        <f t="shared" si="33"/>
        <v>24</v>
      </c>
      <c r="AX72" s="610"/>
    </row>
    <row r="73" spans="2:50" ht="14.25" customHeight="1">
      <c r="B73" s="611"/>
      <c r="C73" s="179">
        <v>25</v>
      </c>
      <c r="D73" s="182" t="s">
        <v>394</v>
      </c>
      <c r="E73" s="183">
        <v>5</v>
      </c>
      <c r="F73" s="179">
        <v>3600</v>
      </c>
      <c r="G73" s="184">
        <f t="shared" si="19"/>
        <v>720</v>
      </c>
      <c r="H73" s="612"/>
      <c r="I73" s="185">
        <f t="shared" si="20"/>
        <v>5</v>
      </c>
      <c r="J73" s="185">
        <f t="shared" si="20"/>
        <v>3190.3282883712955</v>
      </c>
      <c r="K73" s="186">
        <f t="shared" si="20"/>
        <v>638.06565767425889</v>
      </c>
      <c r="L73" s="613"/>
      <c r="M73" s="185">
        <f>RANK(K73, K$49:$K$85)</f>
        <v>26</v>
      </c>
      <c r="N73" s="624"/>
      <c r="O73" s="614"/>
      <c r="P73" s="187">
        <v>5</v>
      </c>
      <c r="Q73" s="187">
        <v>3191.4082883712945</v>
      </c>
      <c r="R73" s="184">
        <f t="shared" si="21"/>
        <v>638.28165767425889</v>
      </c>
      <c r="S73" s="181">
        <f t="shared" si="22"/>
        <v>26</v>
      </c>
      <c r="T73" s="610"/>
      <c r="U73" s="187">
        <v>5</v>
      </c>
      <c r="V73" s="187">
        <v>3190.6882883712951</v>
      </c>
      <c r="W73" s="184">
        <f t="shared" si="18"/>
        <v>638.137657674259</v>
      </c>
      <c r="X73" s="181">
        <f t="shared" si="23"/>
        <v>26</v>
      </c>
      <c r="Y73" s="610"/>
      <c r="Z73" s="187">
        <v>5</v>
      </c>
      <c r="AA73" s="187">
        <v>3190.3282883712955</v>
      </c>
      <c r="AB73" s="184">
        <f t="shared" si="24"/>
        <v>638.06565767425911</v>
      </c>
      <c r="AC73" s="181">
        <f t="shared" si="25"/>
        <v>27</v>
      </c>
      <c r="AD73" s="610"/>
      <c r="AE73" s="187">
        <v>5</v>
      </c>
      <c r="AF73" s="187">
        <v>3189.2482883712951</v>
      </c>
      <c r="AG73" s="184">
        <f t="shared" si="26"/>
        <v>637.84965767425899</v>
      </c>
      <c r="AH73" s="181">
        <f t="shared" si="27"/>
        <v>27</v>
      </c>
      <c r="AI73" s="610"/>
      <c r="AJ73" s="187">
        <v>5</v>
      </c>
      <c r="AK73" s="187">
        <v>3189.9682883712949</v>
      </c>
      <c r="AL73" s="184">
        <f t="shared" si="28"/>
        <v>637.993657674259</v>
      </c>
      <c r="AM73" s="181">
        <f t="shared" si="29"/>
        <v>27</v>
      </c>
      <c r="AN73" s="610"/>
      <c r="AO73" s="187">
        <v>5</v>
      </c>
      <c r="AP73" s="187">
        <v>3189.9682883712958</v>
      </c>
      <c r="AQ73" s="184">
        <f t="shared" si="30"/>
        <v>637.99365767425911</v>
      </c>
      <c r="AR73" s="181">
        <f t="shared" si="31"/>
        <v>26</v>
      </c>
      <c r="AS73" s="610"/>
      <c r="AT73" s="187">
        <v>5</v>
      </c>
      <c r="AU73" s="187">
        <v>3190.6882883712951</v>
      </c>
      <c r="AV73" s="184">
        <f t="shared" si="32"/>
        <v>638.137657674259</v>
      </c>
      <c r="AW73" s="181">
        <f t="shared" si="33"/>
        <v>26</v>
      </c>
      <c r="AX73" s="610"/>
    </row>
    <row r="74" spans="2:50" ht="14.25" customHeight="1">
      <c r="B74" s="611"/>
      <c r="C74" s="179">
        <v>26</v>
      </c>
      <c r="D74" s="182" t="s">
        <v>396</v>
      </c>
      <c r="E74" s="183">
        <v>3</v>
      </c>
      <c r="F74" s="179">
        <v>3000</v>
      </c>
      <c r="G74" s="184">
        <f t="shared" si="19"/>
        <v>1000</v>
      </c>
      <c r="H74" s="612"/>
      <c r="I74" s="185">
        <f t="shared" si="20"/>
        <v>3</v>
      </c>
      <c r="J74" s="185">
        <f t="shared" si="20"/>
        <v>2718.2374518283964</v>
      </c>
      <c r="K74" s="186">
        <f t="shared" si="20"/>
        <v>906.07915060946527</v>
      </c>
      <c r="L74" s="613"/>
      <c r="M74" s="185">
        <f>RANK(K74, K$49:$K$85)</f>
        <v>13</v>
      </c>
      <c r="N74" s="624"/>
      <c r="O74" s="614"/>
      <c r="P74" s="187">
        <v>3</v>
      </c>
      <c r="Q74" s="187">
        <v>2717.8088803998244</v>
      </c>
      <c r="R74" s="184">
        <f t="shared" si="21"/>
        <v>905.93629346660816</v>
      </c>
      <c r="S74" s="181">
        <f t="shared" si="22"/>
        <v>13</v>
      </c>
      <c r="T74" s="610"/>
      <c r="U74" s="187">
        <v>3</v>
      </c>
      <c r="V74" s="187">
        <v>2716.9088803998247</v>
      </c>
      <c r="W74" s="184">
        <f t="shared" si="18"/>
        <v>905.63629346660821</v>
      </c>
      <c r="X74" s="181">
        <f t="shared" si="23"/>
        <v>14</v>
      </c>
      <c r="Y74" s="610"/>
      <c r="Z74" s="187">
        <v>3</v>
      </c>
      <c r="AA74" s="187">
        <v>2718.1088803998246</v>
      </c>
      <c r="AB74" s="184">
        <f t="shared" si="24"/>
        <v>906.03629346660819</v>
      </c>
      <c r="AC74" s="181">
        <f t="shared" si="25"/>
        <v>14</v>
      </c>
      <c r="AD74" s="610"/>
      <c r="AE74" s="187">
        <v>3</v>
      </c>
      <c r="AF74" s="187">
        <v>2717.2088803998249</v>
      </c>
      <c r="AG74" s="184">
        <f t="shared" si="26"/>
        <v>905.73629346660834</v>
      </c>
      <c r="AH74" s="181">
        <f t="shared" si="27"/>
        <v>14</v>
      </c>
      <c r="AI74" s="610"/>
      <c r="AJ74" s="187">
        <v>3</v>
      </c>
      <c r="AK74" s="187">
        <v>2718.4088803998247</v>
      </c>
      <c r="AL74" s="184">
        <f t="shared" si="28"/>
        <v>906.13629346660821</v>
      </c>
      <c r="AM74" s="181">
        <f t="shared" si="29"/>
        <v>13</v>
      </c>
      <c r="AN74" s="610"/>
      <c r="AO74" s="187">
        <v>3</v>
      </c>
      <c r="AP74" s="187">
        <v>2719.3088803998244</v>
      </c>
      <c r="AQ74" s="184">
        <f t="shared" si="30"/>
        <v>906.43629346660816</v>
      </c>
      <c r="AR74" s="181">
        <f t="shared" si="31"/>
        <v>13</v>
      </c>
      <c r="AS74" s="610"/>
      <c r="AT74" s="187">
        <v>3</v>
      </c>
      <c r="AU74" s="187">
        <v>2719.9088803998238</v>
      </c>
      <c r="AV74" s="184">
        <f t="shared" si="32"/>
        <v>906.63629346660798</v>
      </c>
      <c r="AW74" s="181">
        <f t="shared" si="33"/>
        <v>13</v>
      </c>
      <c r="AX74" s="610"/>
    </row>
    <row r="75" spans="2:50" ht="14.25" customHeight="1">
      <c r="B75" s="611"/>
      <c r="C75" s="179">
        <v>27</v>
      </c>
      <c r="D75" s="182" t="s">
        <v>434</v>
      </c>
      <c r="E75" s="183">
        <v>3</v>
      </c>
      <c r="F75" s="179">
        <v>3600</v>
      </c>
      <c r="G75" s="184">
        <f t="shared" si="19"/>
        <v>1200</v>
      </c>
      <c r="H75" s="612"/>
      <c r="I75" s="185">
        <f t="shared" si="20"/>
        <v>3</v>
      </c>
      <c r="J75" s="185">
        <f t="shared" si="20"/>
        <v>3186.2017901564077</v>
      </c>
      <c r="K75" s="186">
        <f t="shared" si="20"/>
        <v>1062.067263385469</v>
      </c>
      <c r="L75" s="613"/>
      <c r="M75" s="185">
        <f>RANK(K75, K$49:$K$85)</f>
        <v>7</v>
      </c>
      <c r="N75" s="624"/>
      <c r="O75" s="614"/>
      <c r="P75" s="187">
        <v>3</v>
      </c>
      <c r="Q75" s="187">
        <v>3185.925356536763</v>
      </c>
      <c r="R75" s="184">
        <f t="shared" si="21"/>
        <v>1061.9751188455878</v>
      </c>
      <c r="S75" s="181">
        <f t="shared" si="22"/>
        <v>7</v>
      </c>
      <c r="T75" s="610"/>
      <c r="U75" s="187">
        <v>3</v>
      </c>
      <c r="V75" s="187">
        <v>3184.8453565367636</v>
      </c>
      <c r="W75" s="184">
        <f t="shared" si="18"/>
        <v>1061.6151188455879</v>
      </c>
      <c r="X75" s="181">
        <f t="shared" si="23"/>
        <v>9</v>
      </c>
      <c r="Y75" s="610"/>
      <c r="Z75" s="187">
        <v>3</v>
      </c>
      <c r="AA75" s="187">
        <v>3186.2853565367632</v>
      </c>
      <c r="AB75" s="184">
        <f t="shared" si="24"/>
        <v>1062.0951188455876</v>
      </c>
      <c r="AC75" s="181">
        <f t="shared" si="25"/>
        <v>6</v>
      </c>
      <c r="AD75" s="610"/>
      <c r="AE75" s="187">
        <v>3</v>
      </c>
      <c r="AF75" s="187">
        <v>3185.5653565367629</v>
      </c>
      <c r="AG75" s="184">
        <f t="shared" si="26"/>
        <v>1061.8551188455876</v>
      </c>
      <c r="AH75" s="181">
        <f t="shared" si="27"/>
        <v>7</v>
      </c>
      <c r="AI75" s="610"/>
      <c r="AJ75" s="187">
        <v>3</v>
      </c>
      <c r="AK75" s="187">
        <v>3187.2041598844153</v>
      </c>
      <c r="AL75" s="184">
        <f t="shared" si="28"/>
        <v>1062.4013866281384</v>
      </c>
      <c r="AM75" s="181">
        <f t="shared" si="29"/>
        <v>7</v>
      </c>
      <c r="AN75" s="610"/>
      <c r="AO75" s="187">
        <v>3</v>
      </c>
      <c r="AP75" s="187">
        <v>3186.6134725316933</v>
      </c>
      <c r="AQ75" s="184">
        <f t="shared" si="30"/>
        <v>1062.2044908438977</v>
      </c>
      <c r="AR75" s="181">
        <f t="shared" si="31"/>
        <v>7</v>
      </c>
      <c r="AS75" s="610"/>
      <c r="AT75" s="187">
        <v>3</v>
      </c>
      <c r="AU75" s="187">
        <v>3186.9734725316926</v>
      </c>
      <c r="AV75" s="184">
        <f t="shared" si="32"/>
        <v>1062.3244908438976</v>
      </c>
      <c r="AW75" s="181">
        <f t="shared" si="33"/>
        <v>8</v>
      </c>
      <c r="AX75" s="610"/>
    </row>
    <row r="76" spans="2:50" ht="14.25" customHeight="1">
      <c r="B76" s="611"/>
      <c r="C76" s="179">
        <v>28</v>
      </c>
      <c r="D76" s="182" t="s">
        <v>440</v>
      </c>
      <c r="E76" s="183">
        <v>4</v>
      </c>
      <c r="F76" s="179">
        <v>3000</v>
      </c>
      <c r="G76" s="184">
        <f t="shared" si="19"/>
        <v>750</v>
      </c>
      <c r="H76" s="612"/>
      <c r="I76" s="185">
        <f t="shared" si="20"/>
        <v>4</v>
      </c>
      <c r="J76" s="185">
        <f t="shared" si="20"/>
        <v>2718.1132340090921</v>
      </c>
      <c r="K76" s="186">
        <f t="shared" si="20"/>
        <v>679.52830850227303</v>
      </c>
      <c r="L76" s="613"/>
      <c r="M76" s="185">
        <f>RANK(K76, K$49:$K$85)</f>
        <v>20</v>
      </c>
      <c r="N76" s="624"/>
      <c r="O76" s="614"/>
      <c r="P76" s="187">
        <v>4</v>
      </c>
      <c r="Q76" s="187">
        <v>2715.8043717482201</v>
      </c>
      <c r="R76" s="184">
        <f t="shared" si="21"/>
        <v>678.95109293705502</v>
      </c>
      <c r="S76" s="181">
        <f t="shared" si="22"/>
        <v>20</v>
      </c>
      <c r="T76" s="610"/>
      <c r="U76" s="187">
        <v>4</v>
      </c>
      <c r="V76" s="187">
        <v>2717.3043717482201</v>
      </c>
      <c r="W76" s="184">
        <f t="shared" si="18"/>
        <v>679.32609293705502</v>
      </c>
      <c r="X76" s="181">
        <f t="shared" si="23"/>
        <v>20</v>
      </c>
      <c r="Y76" s="610"/>
      <c r="Z76" s="187">
        <v>4</v>
      </c>
      <c r="AA76" s="187">
        <v>2718.2043717482197</v>
      </c>
      <c r="AB76" s="184">
        <f t="shared" si="24"/>
        <v>679.55109293705493</v>
      </c>
      <c r="AC76" s="181">
        <f t="shared" si="25"/>
        <v>20</v>
      </c>
      <c r="AD76" s="610"/>
      <c r="AE76" s="187">
        <v>4</v>
      </c>
      <c r="AF76" s="187">
        <v>2718.5043717482199</v>
      </c>
      <c r="AG76" s="184">
        <f t="shared" si="26"/>
        <v>679.62609293705498</v>
      </c>
      <c r="AH76" s="181">
        <f t="shared" si="27"/>
        <v>20</v>
      </c>
      <c r="AI76" s="610"/>
      <c r="AJ76" s="187">
        <v>4</v>
      </c>
      <c r="AK76" s="187">
        <v>2719.40437174822</v>
      </c>
      <c r="AL76" s="184">
        <f t="shared" si="28"/>
        <v>679.851092937055</v>
      </c>
      <c r="AM76" s="181">
        <f t="shared" si="29"/>
        <v>19</v>
      </c>
      <c r="AN76" s="610"/>
      <c r="AO76" s="187">
        <v>4</v>
      </c>
      <c r="AP76" s="187">
        <v>2718.7853896612728</v>
      </c>
      <c r="AQ76" s="184">
        <f t="shared" si="30"/>
        <v>679.6963474153182</v>
      </c>
      <c r="AR76" s="181">
        <f t="shared" si="31"/>
        <v>19</v>
      </c>
      <c r="AS76" s="610"/>
      <c r="AT76" s="187">
        <v>4</v>
      </c>
      <c r="AU76" s="187">
        <v>2718.7853896612723</v>
      </c>
      <c r="AV76" s="184">
        <f t="shared" si="32"/>
        <v>679.69634741531809</v>
      </c>
      <c r="AW76" s="181">
        <f t="shared" si="33"/>
        <v>19</v>
      </c>
      <c r="AX76" s="610"/>
    </row>
    <row r="77" spans="2:50" ht="14.25" customHeight="1">
      <c r="B77" s="611"/>
      <c r="C77" s="179">
        <v>29</v>
      </c>
      <c r="D77" s="182" t="s">
        <v>507</v>
      </c>
      <c r="E77" s="183">
        <v>5</v>
      </c>
      <c r="F77" s="179">
        <v>3000</v>
      </c>
      <c r="G77" s="184">
        <f t="shared" si="19"/>
        <v>600</v>
      </c>
      <c r="H77" s="612"/>
      <c r="I77" s="185">
        <f t="shared" si="20"/>
        <v>5</v>
      </c>
      <c r="J77" s="185">
        <f t="shared" si="20"/>
        <v>2714.706179480509</v>
      </c>
      <c r="K77" s="186">
        <f t="shared" si="20"/>
        <v>542.94123589610194</v>
      </c>
      <c r="L77" s="613"/>
      <c r="M77" s="185">
        <f>RANK(K77, K$49:$K$85)</f>
        <v>32</v>
      </c>
      <c r="N77" s="624"/>
      <c r="O77" s="614"/>
      <c r="P77" s="187">
        <v>5</v>
      </c>
      <c r="Q77" s="187">
        <v>2717.0204651947952</v>
      </c>
      <c r="R77" s="184">
        <f t="shared" si="21"/>
        <v>543.40409303895899</v>
      </c>
      <c r="S77" s="181">
        <f t="shared" si="22"/>
        <v>31</v>
      </c>
      <c r="T77" s="610"/>
      <c r="U77" s="187">
        <v>5</v>
      </c>
      <c r="V77" s="187">
        <v>2715.5204651947952</v>
      </c>
      <c r="W77" s="184">
        <f t="shared" si="18"/>
        <v>543.10409303895904</v>
      </c>
      <c r="X77" s="181">
        <f t="shared" si="23"/>
        <v>32</v>
      </c>
      <c r="Y77" s="610"/>
      <c r="Z77" s="187">
        <v>5</v>
      </c>
      <c r="AA77" s="187">
        <v>2714.6204651947946</v>
      </c>
      <c r="AB77" s="184">
        <f t="shared" si="24"/>
        <v>542.92409303895897</v>
      </c>
      <c r="AC77" s="181">
        <f t="shared" si="25"/>
        <v>32</v>
      </c>
      <c r="AD77" s="610"/>
      <c r="AE77" s="187">
        <v>5</v>
      </c>
      <c r="AF77" s="187">
        <v>2713.720465194795</v>
      </c>
      <c r="AG77" s="184">
        <f t="shared" si="26"/>
        <v>542.74409303895902</v>
      </c>
      <c r="AH77" s="181">
        <f t="shared" si="27"/>
        <v>32</v>
      </c>
      <c r="AI77" s="610"/>
      <c r="AJ77" s="187">
        <v>5</v>
      </c>
      <c r="AK77" s="187">
        <v>2714.0204651947952</v>
      </c>
      <c r="AL77" s="184">
        <f t="shared" si="28"/>
        <v>542.80409303895908</v>
      </c>
      <c r="AM77" s="181">
        <f t="shared" si="29"/>
        <v>32</v>
      </c>
      <c r="AN77" s="610"/>
      <c r="AO77" s="187">
        <v>5</v>
      </c>
      <c r="AP77" s="187">
        <v>2714.3204651947954</v>
      </c>
      <c r="AQ77" s="184">
        <f t="shared" si="30"/>
        <v>542.86409303895903</v>
      </c>
      <c r="AR77" s="181">
        <f t="shared" si="31"/>
        <v>32</v>
      </c>
      <c r="AS77" s="610"/>
      <c r="AT77" s="187">
        <v>5</v>
      </c>
      <c r="AU77" s="187">
        <v>2713.7204651947955</v>
      </c>
      <c r="AV77" s="184">
        <f t="shared" si="32"/>
        <v>542.74409303895914</v>
      </c>
      <c r="AW77" s="181">
        <f t="shared" si="33"/>
        <v>32</v>
      </c>
      <c r="AX77" s="610"/>
    </row>
    <row r="78" spans="2:50" ht="14.25" customHeight="1">
      <c r="B78" s="611"/>
      <c r="C78" s="179">
        <v>30</v>
      </c>
      <c r="D78" s="182" t="s">
        <v>663</v>
      </c>
      <c r="E78" s="183">
        <v>6</v>
      </c>
      <c r="F78" s="179">
        <v>3600</v>
      </c>
      <c r="G78" s="184">
        <f t="shared" si="19"/>
        <v>600</v>
      </c>
      <c r="H78" s="612"/>
      <c r="I78" s="185">
        <f t="shared" si="20"/>
        <v>6</v>
      </c>
      <c r="J78" s="185">
        <f t="shared" si="20"/>
        <v>3261.7906528559424</v>
      </c>
      <c r="K78" s="186">
        <f t="shared" si="20"/>
        <v>543.63177547599037</v>
      </c>
      <c r="L78" s="613"/>
      <c r="M78" s="185">
        <f>RANK(K78, K$49:$K$85)</f>
        <v>30</v>
      </c>
      <c r="N78" s="624"/>
      <c r="O78" s="614"/>
      <c r="P78" s="187">
        <v>6</v>
      </c>
      <c r="Q78" s="187">
        <v>3261.2816741514289</v>
      </c>
      <c r="R78" s="184">
        <f t="shared" si="21"/>
        <v>543.54694569190485</v>
      </c>
      <c r="S78" s="181">
        <f t="shared" si="22"/>
        <v>30</v>
      </c>
      <c r="T78" s="610"/>
      <c r="U78" s="187">
        <v>6</v>
      </c>
      <c r="V78" s="187">
        <v>3261.6416741514286</v>
      </c>
      <c r="W78" s="184">
        <f t="shared" si="18"/>
        <v>543.6069456919048</v>
      </c>
      <c r="X78" s="181">
        <f t="shared" si="23"/>
        <v>30</v>
      </c>
      <c r="Y78" s="610"/>
      <c r="Z78" s="187">
        <v>6</v>
      </c>
      <c r="AA78" s="187">
        <v>3261.6416741514286</v>
      </c>
      <c r="AB78" s="184">
        <f t="shared" si="24"/>
        <v>543.6069456919048</v>
      </c>
      <c r="AC78" s="181">
        <f t="shared" si="25"/>
        <v>30</v>
      </c>
      <c r="AD78" s="610"/>
      <c r="AE78" s="187">
        <v>6</v>
      </c>
      <c r="AF78" s="187">
        <v>3263.4416741514283</v>
      </c>
      <c r="AG78" s="184">
        <f t="shared" si="26"/>
        <v>543.90694569190475</v>
      </c>
      <c r="AH78" s="181">
        <f t="shared" si="27"/>
        <v>30</v>
      </c>
      <c r="AI78" s="610"/>
      <c r="AJ78" s="187">
        <v>6</v>
      </c>
      <c r="AK78" s="187">
        <v>3262.7216741514285</v>
      </c>
      <c r="AL78" s="184">
        <f t="shared" si="28"/>
        <v>543.78694569190475</v>
      </c>
      <c r="AM78" s="181">
        <f t="shared" si="29"/>
        <v>30</v>
      </c>
      <c r="AN78" s="610"/>
      <c r="AO78" s="187">
        <v>6</v>
      </c>
      <c r="AP78" s="187">
        <v>3261.6230996172253</v>
      </c>
      <c r="AQ78" s="184">
        <f t="shared" si="30"/>
        <v>543.60384993620426</v>
      </c>
      <c r="AR78" s="181">
        <f t="shared" si="31"/>
        <v>30</v>
      </c>
      <c r="AS78" s="610"/>
      <c r="AT78" s="187">
        <v>6</v>
      </c>
      <c r="AU78" s="187">
        <v>3260.1830996172253</v>
      </c>
      <c r="AV78" s="184">
        <f t="shared" si="32"/>
        <v>543.36384993620425</v>
      </c>
      <c r="AW78" s="181">
        <f t="shared" si="33"/>
        <v>30</v>
      </c>
      <c r="AX78" s="610"/>
    </row>
    <row r="79" spans="2:50" ht="14.25" customHeight="1">
      <c r="B79" s="611"/>
      <c r="C79" s="179">
        <v>31</v>
      </c>
      <c r="D79" s="182" t="s">
        <v>690</v>
      </c>
      <c r="E79" s="179">
        <v>4</v>
      </c>
      <c r="F79" s="179">
        <v>3000</v>
      </c>
      <c r="G79" s="184">
        <f t="shared" si="19"/>
        <v>750</v>
      </c>
      <c r="H79" s="612"/>
      <c r="I79" s="185">
        <f t="shared" si="20"/>
        <v>4</v>
      </c>
      <c r="J79" s="185">
        <f t="shared" si="20"/>
        <v>2718.7856319400894</v>
      </c>
      <c r="K79" s="186">
        <f t="shared" si="20"/>
        <v>679.69640798502235</v>
      </c>
      <c r="L79" s="613"/>
      <c r="M79" s="185">
        <f>RANK(K79, K$49:$K$85)</f>
        <v>19</v>
      </c>
      <c r="N79" s="624"/>
      <c r="O79" s="614"/>
      <c r="P79" s="187">
        <v>4</v>
      </c>
      <c r="Q79" s="187">
        <v>2718.4427747972322</v>
      </c>
      <c r="R79" s="184">
        <f t="shared" si="21"/>
        <v>679.61069369930806</v>
      </c>
      <c r="S79" s="181">
        <f t="shared" si="22"/>
        <v>19</v>
      </c>
      <c r="T79" s="610"/>
      <c r="U79" s="187">
        <v>4</v>
      </c>
      <c r="V79" s="187">
        <v>2718.4427747972322</v>
      </c>
      <c r="W79" s="184">
        <f t="shared" si="18"/>
        <v>679.61069369930806</v>
      </c>
      <c r="X79" s="181">
        <f t="shared" si="23"/>
        <v>19</v>
      </c>
      <c r="Y79" s="610"/>
      <c r="Z79" s="187">
        <v>4</v>
      </c>
      <c r="AA79" s="187">
        <v>2719.3427747972323</v>
      </c>
      <c r="AB79" s="184">
        <f t="shared" si="24"/>
        <v>679.83569369930808</v>
      </c>
      <c r="AC79" s="181">
        <f t="shared" si="25"/>
        <v>19</v>
      </c>
      <c r="AD79" s="610"/>
      <c r="AE79" s="187">
        <v>4</v>
      </c>
      <c r="AF79" s="187">
        <v>2719.9427747972322</v>
      </c>
      <c r="AG79" s="184">
        <f t="shared" si="26"/>
        <v>679.98569369930806</v>
      </c>
      <c r="AH79" s="181">
        <f t="shared" si="27"/>
        <v>19</v>
      </c>
      <c r="AI79" s="610"/>
      <c r="AJ79" s="187">
        <v>4</v>
      </c>
      <c r="AK79" s="187">
        <v>2719.0427747972317</v>
      </c>
      <c r="AL79" s="184">
        <f t="shared" si="28"/>
        <v>679.76069369930792</v>
      </c>
      <c r="AM79" s="181">
        <f t="shared" si="29"/>
        <v>20</v>
      </c>
      <c r="AN79" s="610"/>
      <c r="AO79" s="187">
        <v>4</v>
      </c>
      <c r="AP79" s="187">
        <v>2718.4427747972322</v>
      </c>
      <c r="AQ79" s="184">
        <f t="shared" si="30"/>
        <v>679.61069369930806</v>
      </c>
      <c r="AR79" s="181">
        <f t="shared" si="31"/>
        <v>20</v>
      </c>
      <c r="AS79" s="610"/>
      <c r="AT79" s="187">
        <v>4</v>
      </c>
      <c r="AU79" s="187">
        <v>2717.8427747972323</v>
      </c>
      <c r="AV79" s="184">
        <f t="shared" si="32"/>
        <v>679.46069369930808</v>
      </c>
      <c r="AW79" s="181">
        <f t="shared" si="33"/>
        <v>20</v>
      </c>
      <c r="AX79" s="610"/>
    </row>
    <row r="80" spans="2:50" ht="14.25" customHeight="1">
      <c r="B80" s="611"/>
      <c r="C80" s="179">
        <v>32</v>
      </c>
      <c r="D80" s="182" t="s">
        <v>691</v>
      </c>
      <c r="E80" s="179">
        <v>6</v>
      </c>
      <c r="F80" s="179">
        <v>3600</v>
      </c>
      <c r="G80" s="184">
        <f t="shared" si="19"/>
        <v>600</v>
      </c>
      <c r="H80" s="612"/>
      <c r="I80" s="185">
        <f t="shared" ref="I80:K83" si="34">AVERAGE(P80,U80,Z80,AE80,AJ80,AO80,AT80)</f>
        <v>6</v>
      </c>
      <c r="J80" s="185">
        <f t="shared" si="34"/>
        <v>3259.7911206895401</v>
      </c>
      <c r="K80" s="186">
        <f t="shared" si="34"/>
        <v>543.29852011492335</v>
      </c>
      <c r="L80" s="613"/>
      <c r="M80" s="185">
        <f>RANK(K80, K$49:$K$85)</f>
        <v>31</v>
      </c>
      <c r="N80" s="624"/>
      <c r="O80" s="614"/>
      <c r="P80" s="187">
        <v>6</v>
      </c>
      <c r="Q80" s="187">
        <v>3259.328263546683</v>
      </c>
      <c r="R80" s="184">
        <f t="shared" si="21"/>
        <v>543.22137725778055</v>
      </c>
      <c r="S80" s="181">
        <f t="shared" si="22"/>
        <v>32</v>
      </c>
      <c r="T80" s="610"/>
      <c r="U80" s="187">
        <v>6</v>
      </c>
      <c r="V80" s="187">
        <v>3261.1282635466832</v>
      </c>
      <c r="W80" s="184">
        <f t="shared" si="18"/>
        <v>543.5213772577805</v>
      </c>
      <c r="X80" s="181">
        <f t="shared" si="23"/>
        <v>31</v>
      </c>
      <c r="Y80" s="610"/>
      <c r="Z80" s="187">
        <v>6</v>
      </c>
      <c r="AA80" s="187">
        <v>3260.7682635466836</v>
      </c>
      <c r="AB80" s="184">
        <f t="shared" si="24"/>
        <v>543.46137725778055</v>
      </c>
      <c r="AC80" s="181">
        <f t="shared" si="25"/>
        <v>31</v>
      </c>
      <c r="AD80" s="610"/>
      <c r="AE80" s="187">
        <v>6</v>
      </c>
      <c r="AF80" s="187">
        <v>3259.6882635466832</v>
      </c>
      <c r="AG80" s="184">
        <f t="shared" si="26"/>
        <v>543.28137725778049</v>
      </c>
      <c r="AH80" s="181">
        <f t="shared" si="27"/>
        <v>31</v>
      </c>
      <c r="AI80" s="610"/>
      <c r="AJ80" s="187">
        <v>6</v>
      </c>
      <c r="AK80" s="187">
        <v>3260.0482635466828</v>
      </c>
      <c r="AL80" s="184">
        <f t="shared" si="28"/>
        <v>543.34137725778044</v>
      </c>
      <c r="AM80" s="181">
        <f t="shared" si="29"/>
        <v>31</v>
      </c>
      <c r="AN80" s="610"/>
      <c r="AO80" s="187">
        <v>6</v>
      </c>
      <c r="AP80" s="187">
        <v>3258.9682635466825</v>
      </c>
      <c r="AQ80" s="184">
        <f t="shared" si="30"/>
        <v>543.16137725778037</v>
      </c>
      <c r="AR80" s="181">
        <f t="shared" si="31"/>
        <v>31</v>
      </c>
      <c r="AS80" s="610"/>
      <c r="AT80" s="187">
        <v>6</v>
      </c>
      <c r="AU80" s="187">
        <v>3258.6082635466823</v>
      </c>
      <c r="AV80" s="184">
        <f t="shared" si="32"/>
        <v>543.10137725778043</v>
      </c>
      <c r="AW80" s="181">
        <f t="shared" si="33"/>
        <v>31</v>
      </c>
      <c r="AX80" s="610"/>
    </row>
    <row r="81" spans="1:50" ht="14.25" customHeight="1">
      <c r="B81" s="611"/>
      <c r="C81" s="179">
        <v>33</v>
      </c>
      <c r="D81" s="182" t="s">
        <v>484</v>
      </c>
      <c r="E81" s="179">
        <v>13</v>
      </c>
      <c r="F81" s="179">
        <v>3600</v>
      </c>
      <c r="G81" s="184">
        <f t="shared" si="19"/>
        <v>276.92307692307691</v>
      </c>
      <c r="H81" s="612"/>
      <c r="I81" s="185">
        <f t="shared" si="34"/>
        <v>13</v>
      </c>
      <c r="J81" s="185">
        <f t="shared" si="34"/>
        <v>3260.8923398549782</v>
      </c>
      <c r="K81" s="186">
        <f t="shared" si="34"/>
        <v>250.83787229653686</v>
      </c>
      <c r="L81" s="613"/>
      <c r="M81" s="185">
        <f>RANK(K81, K$49:$K$85)</f>
        <v>35</v>
      </c>
      <c r="N81" s="624"/>
      <c r="O81" s="614"/>
      <c r="P81" s="187">
        <v>13</v>
      </c>
      <c r="Q81" s="187">
        <v>3260.9437684264062</v>
      </c>
      <c r="R81" s="184">
        <f t="shared" si="21"/>
        <v>250.84182834049278</v>
      </c>
      <c r="S81" s="181">
        <f t="shared" si="22"/>
        <v>35</v>
      </c>
      <c r="T81" s="610"/>
      <c r="U81" s="187">
        <v>13</v>
      </c>
      <c r="V81" s="187">
        <v>3261.3037684264064</v>
      </c>
      <c r="W81" s="184">
        <f t="shared" si="18"/>
        <v>250.8695206481851</v>
      </c>
      <c r="X81" s="181">
        <f t="shared" si="23"/>
        <v>35</v>
      </c>
      <c r="Y81" s="610"/>
      <c r="Z81" s="187">
        <v>13</v>
      </c>
      <c r="AA81" s="187">
        <v>3262.3837684264067</v>
      </c>
      <c r="AB81" s="184">
        <f t="shared" si="24"/>
        <v>250.95259757126206</v>
      </c>
      <c r="AC81" s="181">
        <f t="shared" si="25"/>
        <v>35</v>
      </c>
      <c r="AD81" s="610"/>
      <c r="AE81" s="187">
        <v>13</v>
      </c>
      <c r="AF81" s="187">
        <v>3262.0237684264071</v>
      </c>
      <c r="AG81" s="184">
        <f t="shared" si="26"/>
        <v>250.92490526356977</v>
      </c>
      <c r="AH81" s="181">
        <f t="shared" si="27"/>
        <v>35</v>
      </c>
      <c r="AI81" s="610"/>
      <c r="AJ81" s="187">
        <v>13</v>
      </c>
      <c r="AK81" s="187">
        <v>3260.2237684264073</v>
      </c>
      <c r="AL81" s="184">
        <f t="shared" si="28"/>
        <v>250.78644372510826</v>
      </c>
      <c r="AM81" s="181">
        <f t="shared" si="29"/>
        <v>35</v>
      </c>
      <c r="AN81" s="610"/>
      <c r="AO81" s="187">
        <v>13</v>
      </c>
      <c r="AP81" s="187">
        <v>3259.1437684264083</v>
      </c>
      <c r="AQ81" s="184">
        <f t="shared" si="30"/>
        <v>250.70336680203141</v>
      </c>
      <c r="AR81" s="181">
        <f t="shared" si="31"/>
        <v>35</v>
      </c>
      <c r="AS81" s="610"/>
      <c r="AT81" s="187">
        <v>13</v>
      </c>
      <c r="AU81" s="187">
        <v>3260.2237684264087</v>
      </c>
      <c r="AV81" s="184">
        <f t="shared" si="32"/>
        <v>250.78644372510837</v>
      </c>
      <c r="AW81" s="181">
        <f t="shared" si="33"/>
        <v>35</v>
      </c>
      <c r="AX81" s="610"/>
    </row>
    <row r="82" spans="1:50" ht="14.25" customHeight="1">
      <c r="B82" s="611"/>
      <c r="C82" s="179">
        <v>34</v>
      </c>
      <c r="D82" s="182" t="s">
        <v>345</v>
      </c>
      <c r="E82" s="179">
        <v>3</v>
      </c>
      <c r="F82" s="179">
        <v>3000</v>
      </c>
      <c r="G82" s="184">
        <f t="shared" si="19"/>
        <v>1000</v>
      </c>
      <c r="H82" s="612"/>
      <c r="I82" s="185">
        <f t="shared" si="34"/>
        <v>3</v>
      </c>
      <c r="J82" s="185">
        <f t="shared" si="34"/>
        <v>2717.548821497784</v>
      </c>
      <c r="K82" s="186">
        <f t="shared" si="34"/>
        <v>905.84960716592775</v>
      </c>
      <c r="L82" s="613"/>
      <c r="M82" s="185">
        <f>RANK(K82, K$49:$K$85)</f>
        <v>14</v>
      </c>
      <c r="N82" s="624"/>
      <c r="O82" s="614"/>
      <c r="P82" s="187">
        <v>3</v>
      </c>
      <c r="Q82" s="187">
        <v>2717.4250361065106</v>
      </c>
      <c r="R82" s="184">
        <f t="shared" si="21"/>
        <v>905.80834536883685</v>
      </c>
      <c r="S82" s="181">
        <f t="shared" si="22"/>
        <v>14</v>
      </c>
      <c r="T82" s="610"/>
      <c r="U82" s="187">
        <v>3</v>
      </c>
      <c r="V82" s="187">
        <v>2718.9250361065101</v>
      </c>
      <c r="W82" s="184">
        <f t="shared" si="18"/>
        <v>906.30834536883674</v>
      </c>
      <c r="X82" s="181">
        <f t="shared" si="23"/>
        <v>12</v>
      </c>
      <c r="Y82" s="610"/>
      <c r="Z82" s="187">
        <v>3</v>
      </c>
      <c r="AA82" s="187">
        <v>2718.9250361065097</v>
      </c>
      <c r="AB82" s="184">
        <f t="shared" si="24"/>
        <v>906.30834536883651</v>
      </c>
      <c r="AC82" s="181">
        <f t="shared" si="25"/>
        <v>12</v>
      </c>
      <c r="AD82" s="610"/>
      <c r="AE82" s="187">
        <v>3</v>
      </c>
      <c r="AF82" s="187">
        <v>2717.7250361065098</v>
      </c>
      <c r="AG82" s="184">
        <f t="shared" si="26"/>
        <v>905.90834536883665</v>
      </c>
      <c r="AH82" s="181">
        <f t="shared" si="27"/>
        <v>13</v>
      </c>
      <c r="AI82" s="610"/>
      <c r="AJ82" s="187">
        <v>3</v>
      </c>
      <c r="AK82" s="187">
        <v>2716.52503610651</v>
      </c>
      <c r="AL82" s="184">
        <f t="shared" si="28"/>
        <v>905.50834536883667</v>
      </c>
      <c r="AM82" s="181">
        <f t="shared" si="29"/>
        <v>14</v>
      </c>
      <c r="AN82" s="610"/>
      <c r="AO82" s="187">
        <v>3</v>
      </c>
      <c r="AP82" s="187">
        <v>2716.2250361065098</v>
      </c>
      <c r="AQ82" s="184">
        <f t="shared" si="30"/>
        <v>905.40834536883665</v>
      </c>
      <c r="AR82" s="181">
        <f t="shared" si="31"/>
        <v>14</v>
      </c>
      <c r="AS82" s="610"/>
      <c r="AT82" s="187">
        <v>3</v>
      </c>
      <c r="AU82" s="187">
        <v>2717.0915338454242</v>
      </c>
      <c r="AV82" s="184">
        <f t="shared" si="32"/>
        <v>905.69717794847475</v>
      </c>
      <c r="AW82" s="181">
        <f t="shared" si="33"/>
        <v>14</v>
      </c>
      <c r="AX82" s="610"/>
    </row>
    <row r="83" spans="1:50" ht="14.25" customHeight="1">
      <c r="B83" s="611"/>
      <c r="C83" s="179">
        <v>35</v>
      </c>
      <c r="D83" s="182" t="s">
        <v>436</v>
      </c>
      <c r="E83" s="179">
        <v>12</v>
      </c>
      <c r="F83" s="179">
        <v>3600</v>
      </c>
      <c r="G83" s="184">
        <f t="shared" si="19"/>
        <v>300</v>
      </c>
      <c r="H83" s="612"/>
      <c r="I83" s="185">
        <f t="shared" si="34"/>
        <v>12</v>
      </c>
      <c r="J83" s="185">
        <f t="shared" si="34"/>
        <v>3120.7426992668366</v>
      </c>
      <c r="K83" s="186">
        <f t="shared" si="34"/>
        <v>260.06189160556971</v>
      </c>
      <c r="L83" s="613"/>
      <c r="M83" s="185">
        <f>RANK(K83, K$49:$K$85)</f>
        <v>33</v>
      </c>
      <c r="N83" s="624"/>
      <c r="O83" s="614"/>
      <c r="P83" s="187">
        <v>12</v>
      </c>
      <c r="Q83" s="187">
        <v>3119.9712706954078</v>
      </c>
      <c r="R83" s="184">
        <f t="shared" si="21"/>
        <v>259.99760589128397</v>
      </c>
      <c r="S83" s="181">
        <f t="shared" si="22"/>
        <v>33</v>
      </c>
      <c r="T83" s="610"/>
      <c r="U83" s="187">
        <v>12</v>
      </c>
      <c r="V83" s="187">
        <v>3120.3312706954075</v>
      </c>
      <c r="W83" s="184">
        <f t="shared" si="18"/>
        <v>260.02760589128394</v>
      </c>
      <c r="X83" s="181">
        <f t="shared" si="23"/>
        <v>33</v>
      </c>
      <c r="Y83" s="610"/>
      <c r="Z83" s="187">
        <v>12</v>
      </c>
      <c r="AA83" s="187">
        <v>3119.9712706954074</v>
      </c>
      <c r="AB83" s="184">
        <f t="shared" si="24"/>
        <v>259.99760589128397</v>
      </c>
      <c r="AC83" s="181">
        <f t="shared" si="25"/>
        <v>33</v>
      </c>
      <c r="AD83" s="610"/>
      <c r="AE83" s="187">
        <v>12</v>
      </c>
      <c r="AF83" s="187">
        <v>3121.0512706954078</v>
      </c>
      <c r="AG83" s="184">
        <f t="shared" si="26"/>
        <v>260.087605891284</v>
      </c>
      <c r="AH83" s="181">
        <f t="shared" si="27"/>
        <v>33</v>
      </c>
      <c r="AI83" s="610"/>
      <c r="AJ83" s="187">
        <v>12</v>
      </c>
      <c r="AK83" s="187">
        <v>3121.0512706954078</v>
      </c>
      <c r="AL83" s="184">
        <f t="shared" si="28"/>
        <v>260.087605891284</v>
      </c>
      <c r="AM83" s="181">
        <f t="shared" si="29"/>
        <v>33</v>
      </c>
      <c r="AN83" s="610"/>
      <c r="AO83" s="187">
        <v>12</v>
      </c>
      <c r="AP83" s="187">
        <v>3122.1312706954077</v>
      </c>
      <c r="AQ83" s="184">
        <f t="shared" si="30"/>
        <v>260.17760589128397</v>
      </c>
      <c r="AR83" s="181">
        <f t="shared" si="31"/>
        <v>33</v>
      </c>
      <c r="AS83" s="610"/>
      <c r="AT83" s="187">
        <v>12</v>
      </c>
      <c r="AU83" s="187">
        <v>3120.6912706954081</v>
      </c>
      <c r="AV83" s="184">
        <f t="shared" si="32"/>
        <v>260.05760589128403</v>
      </c>
      <c r="AW83" s="181">
        <f t="shared" si="33"/>
        <v>34</v>
      </c>
      <c r="AX83" s="610"/>
    </row>
    <row r="84" spans="1:50" ht="14.25" customHeight="1">
      <c r="B84" s="611"/>
      <c r="C84" s="179">
        <v>36</v>
      </c>
      <c r="D84" s="182"/>
      <c r="E84" s="179"/>
      <c r="F84" s="179"/>
      <c r="G84" s="184"/>
      <c r="H84" s="612"/>
      <c r="I84" s="185"/>
      <c r="J84" s="185"/>
      <c r="K84" s="186"/>
      <c r="L84" s="613"/>
      <c r="M84" s="185"/>
      <c r="N84" s="624"/>
      <c r="O84" s="614"/>
      <c r="P84" s="187"/>
      <c r="Q84" s="187"/>
      <c r="R84" s="184"/>
      <c r="S84" s="181"/>
      <c r="T84" s="610"/>
      <c r="U84" s="187"/>
      <c r="V84" s="187"/>
      <c r="W84" s="184"/>
      <c r="X84" s="181"/>
      <c r="Y84" s="610"/>
      <c r="Z84" s="187"/>
      <c r="AA84" s="187"/>
      <c r="AB84" s="184"/>
      <c r="AC84" s="181"/>
      <c r="AD84" s="610"/>
      <c r="AE84" s="187"/>
      <c r="AF84" s="187"/>
      <c r="AG84" s="184"/>
      <c r="AH84" s="181"/>
      <c r="AI84" s="610"/>
      <c r="AJ84" s="187"/>
      <c r="AK84" s="187"/>
      <c r="AL84" s="184"/>
      <c r="AM84" s="181"/>
      <c r="AN84" s="610"/>
      <c r="AO84" s="187"/>
      <c r="AP84" s="187"/>
      <c r="AQ84" s="184"/>
      <c r="AR84" s="181"/>
      <c r="AS84" s="610"/>
      <c r="AT84" s="187"/>
      <c r="AU84" s="187"/>
      <c r="AV84" s="184"/>
      <c r="AW84" s="181"/>
      <c r="AX84" s="610"/>
    </row>
    <row r="85" spans="1:50" ht="14.25" customHeight="1">
      <c r="B85" s="611"/>
      <c r="C85" s="179">
        <v>37</v>
      </c>
      <c r="D85" s="182"/>
      <c r="E85" s="179"/>
      <c r="F85" s="179"/>
      <c r="G85" s="184"/>
      <c r="H85" s="612"/>
      <c r="I85" s="185"/>
      <c r="J85" s="185"/>
      <c r="K85" s="186"/>
      <c r="L85" s="613"/>
      <c r="M85" s="185"/>
      <c r="N85" s="624"/>
      <c r="O85" s="614"/>
      <c r="P85" s="187"/>
      <c r="Q85" s="187"/>
      <c r="R85" s="184"/>
      <c r="S85" s="181"/>
      <c r="T85" s="610"/>
      <c r="U85" s="187"/>
      <c r="V85" s="187"/>
      <c r="W85" s="184"/>
      <c r="X85" s="181"/>
      <c r="Y85" s="610"/>
      <c r="Z85" s="187"/>
      <c r="AA85" s="187"/>
      <c r="AB85" s="184"/>
      <c r="AC85" s="181"/>
      <c r="AD85" s="610"/>
      <c r="AE85" s="187"/>
      <c r="AF85" s="187"/>
      <c r="AG85" s="184"/>
      <c r="AH85" s="181"/>
      <c r="AI85" s="610"/>
      <c r="AJ85" s="187"/>
      <c r="AK85" s="187"/>
      <c r="AL85" s="184"/>
      <c r="AM85" s="181"/>
      <c r="AN85" s="610"/>
      <c r="AO85" s="187"/>
      <c r="AP85" s="187"/>
      <c r="AQ85" s="184"/>
      <c r="AR85" s="181"/>
      <c r="AS85" s="610"/>
      <c r="AT85" s="187"/>
      <c r="AU85" s="187"/>
      <c r="AV85" s="184"/>
      <c r="AW85" s="181"/>
      <c r="AX85" s="610"/>
    </row>
    <row r="86" spans="1:50" ht="14.25" customHeight="1">
      <c r="B86" s="625" t="s">
        <v>801</v>
      </c>
      <c r="C86" s="625"/>
      <c r="D86" s="625"/>
      <c r="E86" s="625"/>
      <c r="F86" s="625"/>
      <c r="G86" s="625"/>
      <c r="H86" s="625"/>
      <c r="I86" s="625"/>
      <c r="J86" s="625"/>
      <c r="K86" s="625"/>
      <c r="L86" s="625"/>
      <c r="M86" s="627"/>
      <c r="N86" s="630" t="s">
        <v>363</v>
      </c>
      <c r="O86" s="630" t="s">
        <v>105</v>
      </c>
      <c r="P86" s="632">
        <v>46217</v>
      </c>
      <c r="Q86" s="633"/>
      <c r="R86" s="633"/>
      <c r="S86" s="633"/>
      <c r="T86" s="633"/>
      <c r="U86" s="634">
        <v>46218</v>
      </c>
      <c r="V86" s="635"/>
      <c r="W86" s="635"/>
      <c r="X86" s="635"/>
      <c r="Y86" s="635"/>
      <c r="Z86" s="632">
        <v>46219</v>
      </c>
      <c r="AA86" s="633"/>
      <c r="AB86" s="633"/>
      <c r="AC86" s="633"/>
      <c r="AD86" s="633"/>
      <c r="AE86" s="634">
        <v>46220</v>
      </c>
      <c r="AF86" s="635"/>
      <c r="AG86" s="635"/>
      <c r="AH86" s="635"/>
      <c r="AI86" s="635"/>
      <c r="AJ86" s="616">
        <v>46221</v>
      </c>
      <c r="AK86" s="617"/>
      <c r="AL86" s="617"/>
      <c r="AM86" s="617"/>
      <c r="AN86" s="618"/>
      <c r="AO86" s="634">
        <v>46222</v>
      </c>
      <c r="AP86" s="635"/>
      <c r="AQ86" s="635"/>
      <c r="AR86" s="635"/>
      <c r="AS86" s="635"/>
      <c r="AT86" s="616">
        <v>46223</v>
      </c>
      <c r="AU86" s="617"/>
      <c r="AV86" s="617"/>
      <c r="AW86" s="617"/>
      <c r="AX86" s="618"/>
    </row>
    <row r="87" spans="1:50" ht="14.25" customHeight="1">
      <c r="B87" s="628"/>
      <c r="C87" s="628"/>
      <c r="D87" s="628"/>
      <c r="E87" s="628"/>
      <c r="F87" s="628"/>
      <c r="G87" s="628"/>
      <c r="H87" s="628"/>
      <c r="I87" s="628"/>
      <c r="J87" s="628"/>
      <c r="K87" s="628"/>
      <c r="L87" s="628"/>
      <c r="M87" s="629"/>
      <c r="N87" s="631"/>
      <c r="O87" s="631"/>
      <c r="P87" s="619">
        <v>46196</v>
      </c>
      <c r="Q87" s="619"/>
      <c r="R87" s="619"/>
      <c r="S87" s="619"/>
      <c r="T87" s="619"/>
      <c r="U87" s="620">
        <v>46197</v>
      </c>
      <c r="V87" s="620"/>
      <c r="W87" s="620"/>
      <c r="X87" s="620"/>
      <c r="Y87" s="620"/>
      <c r="Z87" s="619">
        <v>46198</v>
      </c>
      <c r="AA87" s="619"/>
      <c r="AB87" s="619"/>
      <c r="AC87" s="619"/>
      <c r="AD87" s="619"/>
      <c r="AE87" s="620">
        <v>46199</v>
      </c>
      <c r="AF87" s="620"/>
      <c r="AG87" s="620"/>
      <c r="AH87" s="620"/>
      <c r="AI87" s="620"/>
      <c r="AJ87" s="621">
        <v>46200</v>
      </c>
      <c r="AK87" s="622"/>
      <c r="AL87" s="622"/>
      <c r="AM87" s="622"/>
      <c r="AN87" s="623"/>
      <c r="AO87" s="620">
        <v>46201</v>
      </c>
      <c r="AP87" s="620"/>
      <c r="AQ87" s="620"/>
      <c r="AR87" s="620"/>
      <c r="AS87" s="620"/>
      <c r="AT87" s="621">
        <v>46202</v>
      </c>
      <c r="AU87" s="622"/>
      <c r="AV87" s="622"/>
      <c r="AW87" s="622"/>
      <c r="AX87" s="623"/>
    </row>
    <row r="88" spans="1:50" ht="14.25" customHeight="1">
      <c r="B88" s="611" t="s">
        <v>162</v>
      </c>
      <c r="C88" s="611" t="s">
        <v>157</v>
      </c>
      <c r="D88" s="611"/>
      <c r="E88" s="611" t="s">
        <v>158</v>
      </c>
      <c r="F88" s="611"/>
      <c r="G88" s="611"/>
      <c r="H88" s="611" t="s">
        <v>163</v>
      </c>
      <c r="I88" s="615" t="s">
        <v>364</v>
      </c>
      <c r="J88" s="615"/>
      <c r="K88" s="615"/>
      <c r="L88" s="615" t="s">
        <v>163</v>
      </c>
      <c r="M88" s="615" t="s">
        <v>165</v>
      </c>
      <c r="N88" s="624"/>
      <c r="O88" s="614" t="s">
        <v>164</v>
      </c>
      <c r="P88" s="614" t="s">
        <v>160</v>
      </c>
      <c r="Q88" s="614"/>
      <c r="R88" s="614"/>
      <c r="S88" s="614"/>
      <c r="T88" s="614" t="s">
        <v>163</v>
      </c>
      <c r="U88" s="614" t="s">
        <v>160</v>
      </c>
      <c r="V88" s="614"/>
      <c r="W88" s="614"/>
      <c r="X88" s="614"/>
      <c r="Y88" s="614" t="s">
        <v>163</v>
      </c>
      <c r="Z88" s="614" t="s">
        <v>160</v>
      </c>
      <c r="AA88" s="614"/>
      <c r="AB88" s="614"/>
      <c r="AC88" s="614"/>
      <c r="AD88" s="614" t="s">
        <v>163</v>
      </c>
      <c r="AE88" s="614" t="s">
        <v>160</v>
      </c>
      <c r="AF88" s="614"/>
      <c r="AG88" s="614"/>
      <c r="AH88" s="614"/>
      <c r="AI88" s="614" t="s">
        <v>163</v>
      </c>
      <c r="AJ88" s="614" t="s">
        <v>160</v>
      </c>
      <c r="AK88" s="614"/>
      <c r="AL88" s="614"/>
      <c r="AM88" s="614"/>
      <c r="AN88" s="614" t="s">
        <v>163</v>
      </c>
      <c r="AO88" s="614" t="s">
        <v>160</v>
      </c>
      <c r="AP88" s="614"/>
      <c r="AQ88" s="614"/>
      <c r="AR88" s="614"/>
      <c r="AS88" s="614" t="s">
        <v>163</v>
      </c>
      <c r="AT88" s="614" t="s">
        <v>160</v>
      </c>
      <c r="AU88" s="614"/>
      <c r="AV88" s="614"/>
      <c r="AW88" s="614"/>
      <c r="AX88" s="614" t="s">
        <v>163</v>
      </c>
    </row>
    <row r="89" spans="1:50" ht="14.25" customHeight="1">
      <c r="B89" s="611"/>
      <c r="C89" s="611"/>
      <c r="D89" s="611"/>
      <c r="E89" s="611" t="s">
        <v>365</v>
      </c>
      <c r="F89" s="611"/>
      <c r="G89" s="611"/>
      <c r="H89" s="611"/>
      <c r="I89" s="615" t="s">
        <v>365</v>
      </c>
      <c r="J89" s="615"/>
      <c r="K89" s="615"/>
      <c r="L89" s="615"/>
      <c r="M89" s="615"/>
      <c r="N89" s="624"/>
      <c r="O89" s="614"/>
      <c r="P89" s="614" t="s">
        <v>366</v>
      </c>
      <c r="Q89" s="614"/>
      <c r="R89" s="614"/>
      <c r="S89" s="614"/>
      <c r="T89" s="614"/>
      <c r="U89" s="614" t="s">
        <v>366</v>
      </c>
      <c r="V89" s="614"/>
      <c r="W89" s="614"/>
      <c r="X89" s="614"/>
      <c r="Y89" s="614"/>
      <c r="Z89" s="614" t="s">
        <v>366</v>
      </c>
      <c r="AA89" s="614"/>
      <c r="AB89" s="614"/>
      <c r="AC89" s="614"/>
      <c r="AD89" s="614"/>
      <c r="AE89" s="614" t="s">
        <v>366</v>
      </c>
      <c r="AF89" s="614"/>
      <c r="AG89" s="614"/>
      <c r="AH89" s="614"/>
      <c r="AI89" s="614"/>
      <c r="AJ89" s="614" t="s">
        <v>366</v>
      </c>
      <c r="AK89" s="614"/>
      <c r="AL89" s="614"/>
      <c r="AM89" s="614"/>
      <c r="AN89" s="614"/>
      <c r="AO89" s="614" t="s">
        <v>366</v>
      </c>
      <c r="AP89" s="614"/>
      <c r="AQ89" s="614"/>
      <c r="AR89" s="614"/>
      <c r="AS89" s="614"/>
      <c r="AT89" s="614" t="s">
        <v>366</v>
      </c>
      <c r="AU89" s="614"/>
      <c r="AV89" s="614"/>
      <c r="AW89" s="614"/>
      <c r="AX89" s="614"/>
    </row>
    <row r="90" spans="1:50" ht="14.25" customHeight="1">
      <c r="A90" s="176"/>
      <c r="B90" s="611"/>
      <c r="C90" s="611"/>
      <c r="D90" s="611"/>
      <c r="E90" s="179" t="s">
        <v>159</v>
      </c>
      <c r="F90" s="179" t="s">
        <v>367</v>
      </c>
      <c r="G90" s="179" t="s">
        <v>161</v>
      </c>
      <c r="H90" s="611"/>
      <c r="I90" s="180" t="s">
        <v>159</v>
      </c>
      <c r="J90" s="180" t="s">
        <v>367</v>
      </c>
      <c r="K90" s="180" t="s">
        <v>161</v>
      </c>
      <c r="L90" s="615"/>
      <c r="M90" s="615"/>
      <c r="N90" s="624"/>
      <c r="O90" s="614"/>
      <c r="P90" s="181" t="s">
        <v>159</v>
      </c>
      <c r="Q90" s="181" t="s">
        <v>367</v>
      </c>
      <c r="R90" s="181" t="s">
        <v>161</v>
      </c>
      <c r="S90" s="181" t="s">
        <v>165</v>
      </c>
      <c r="T90" s="614"/>
      <c r="U90" s="181" t="s">
        <v>159</v>
      </c>
      <c r="V90" s="181" t="s">
        <v>367</v>
      </c>
      <c r="W90" s="181" t="s">
        <v>161</v>
      </c>
      <c r="X90" s="181" t="s">
        <v>165</v>
      </c>
      <c r="Y90" s="614"/>
      <c r="Z90" s="181" t="s">
        <v>159</v>
      </c>
      <c r="AA90" s="181" t="s">
        <v>367</v>
      </c>
      <c r="AB90" s="181" t="s">
        <v>161</v>
      </c>
      <c r="AC90" s="181" t="s">
        <v>165</v>
      </c>
      <c r="AD90" s="614"/>
      <c r="AE90" s="181" t="s">
        <v>159</v>
      </c>
      <c r="AF90" s="181" t="s">
        <v>367</v>
      </c>
      <c r="AG90" s="181" t="s">
        <v>161</v>
      </c>
      <c r="AH90" s="181" t="s">
        <v>165</v>
      </c>
      <c r="AI90" s="614"/>
      <c r="AJ90" s="181" t="s">
        <v>159</v>
      </c>
      <c r="AK90" s="181" t="s">
        <v>367</v>
      </c>
      <c r="AL90" s="181" t="s">
        <v>161</v>
      </c>
      <c r="AM90" s="181" t="s">
        <v>165</v>
      </c>
      <c r="AN90" s="614"/>
      <c r="AO90" s="181" t="s">
        <v>159</v>
      </c>
      <c r="AP90" s="181" t="s">
        <v>367</v>
      </c>
      <c r="AQ90" s="181" t="s">
        <v>161</v>
      </c>
      <c r="AR90" s="181" t="s">
        <v>165</v>
      </c>
      <c r="AS90" s="614"/>
      <c r="AT90" s="181" t="s">
        <v>159</v>
      </c>
      <c r="AU90" s="181" t="s">
        <v>367</v>
      </c>
      <c r="AV90" s="181" t="s">
        <v>161</v>
      </c>
      <c r="AW90" s="181" t="s">
        <v>165</v>
      </c>
      <c r="AX90" s="614"/>
    </row>
    <row r="91" spans="1:50" ht="14.25" customHeight="1">
      <c r="B91" s="611" t="s">
        <v>368</v>
      </c>
      <c r="C91" s="179">
        <v>1</v>
      </c>
      <c r="D91" s="182" t="s">
        <v>393</v>
      </c>
      <c r="E91" s="183">
        <v>4</v>
      </c>
      <c r="F91" s="179">
        <v>3300</v>
      </c>
      <c r="G91" s="184">
        <f>IFERROR(F91/E91,"")</f>
        <v>825</v>
      </c>
      <c r="H91" s="612">
        <f>AVERAGE(G91:G127)</f>
        <v>855.88675213675219</v>
      </c>
      <c r="I91" s="185">
        <f>AVERAGE(P91,U91,Z91,AE91,AJ91,AO91,AT91)</f>
        <v>4</v>
      </c>
      <c r="J91" s="185">
        <f>AVERAGE(Q91,V91,AA91,AF91,AK91,AP91,AU91)</f>
        <v>2987.7257142857152</v>
      </c>
      <c r="K91" s="186">
        <f>AVERAGE(R91,W91,AB91,AG91,AL91,AQ91,AV91)</f>
        <v>746.9314285714288</v>
      </c>
      <c r="L91" s="613">
        <f>IFERROR(AVERAGE(K91:K127),"-")</f>
        <v>769.53148065846824</v>
      </c>
      <c r="M91" s="185">
        <f>RANK(K91, K$91:$K$127)</f>
        <v>17</v>
      </c>
      <c r="N91" s="624"/>
      <c r="O91" s="614"/>
      <c r="P91" s="187">
        <v>4</v>
      </c>
      <c r="Q91" s="187">
        <v>2989.1400000000008</v>
      </c>
      <c r="R91" s="184">
        <f>IFERROR(Q91/P91,"")</f>
        <v>747.2850000000002</v>
      </c>
      <c r="S91" s="181">
        <f>RANK(R91, R$91:R$127)</f>
        <v>17</v>
      </c>
      <c r="T91" s="610">
        <f>AVERAGE(R91:R127)</f>
        <v>763.2572586719117</v>
      </c>
      <c r="U91" s="187">
        <v>4</v>
      </c>
      <c r="V91" s="187">
        <v>2989.1400000000008</v>
      </c>
      <c r="W91" s="184">
        <f t="shared" ref="W91:W126" si="35">IFERROR(V91/U91,"")</f>
        <v>747.2850000000002</v>
      </c>
      <c r="X91" s="181">
        <f>RANK(W91, W$91:W$127)</f>
        <v>16</v>
      </c>
      <c r="Y91" s="610">
        <f>AVERAGE(W91:W127)</f>
        <v>761.27559860536633</v>
      </c>
      <c r="Z91" s="187">
        <v>4</v>
      </c>
      <c r="AA91" s="187">
        <v>2987.8200000000011</v>
      </c>
      <c r="AB91" s="184">
        <f>IFERROR(AA91/Z91,"")</f>
        <v>746.95500000000027</v>
      </c>
      <c r="AC91" s="181">
        <f>RANK(AB91, AB$91:AB$127)</f>
        <v>16</v>
      </c>
      <c r="AD91" s="610">
        <f>AVERAGE(AB91:AB127)</f>
        <v>761.63191708789384</v>
      </c>
      <c r="AE91" s="187">
        <v>4</v>
      </c>
      <c r="AF91" s="187">
        <v>2987.8200000000011</v>
      </c>
      <c r="AG91" s="184">
        <f>IFERROR(AF91/AE91,"")</f>
        <v>746.95500000000027</v>
      </c>
      <c r="AH91" s="181">
        <f>RANK(AG91, AG$91:AG$127)</f>
        <v>16</v>
      </c>
      <c r="AI91" s="610">
        <f>AVERAGE(AG91:AG127)</f>
        <v>762.05514857723574</v>
      </c>
      <c r="AJ91" s="187">
        <v>4</v>
      </c>
      <c r="AK91" s="187">
        <v>2987.8200000000011</v>
      </c>
      <c r="AL91" s="184">
        <f>IFERROR(AK91/AJ91,"")</f>
        <v>746.95500000000027</v>
      </c>
      <c r="AM91" s="181">
        <f>RANK(AL91, AL$91:AL$127)</f>
        <v>16</v>
      </c>
      <c r="AN91" s="610">
        <f>AVERAGE(AL91:AL127)</f>
        <v>762.70695204401238</v>
      </c>
      <c r="AO91" s="187">
        <v>4</v>
      </c>
      <c r="AP91" s="187">
        <v>2986.5000000000014</v>
      </c>
      <c r="AQ91" s="184">
        <f>IFERROR(AP91/AO91,"")</f>
        <v>746.62500000000034</v>
      </c>
      <c r="AR91" s="181">
        <f>RANK(AQ91, AQ$91:AQ$127)</f>
        <v>17</v>
      </c>
      <c r="AS91" s="610">
        <f>AVERAGE(AQ91:AQ127)</f>
        <v>762.66302347258386</v>
      </c>
      <c r="AT91" s="187">
        <v>4</v>
      </c>
      <c r="AU91" s="187">
        <v>2985.8400000000011</v>
      </c>
      <c r="AV91" s="184">
        <f>IFERROR(AU91/AT91,"")</f>
        <v>746.46000000000026</v>
      </c>
      <c r="AW91" s="181">
        <f>RANK(AV91, AV$91:AV$127)</f>
        <v>17</v>
      </c>
      <c r="AX91" s="610">
        <f>AVERAGE(AV91:AV127)</f>
        <v>762.81755610610765</v>
      </c>
    </row>
    <row r="92" spans="1:50" ht="14.25" customHeight="1">
      <c r="B92" s="611"/>
      <c r="C92" s="179">
        <v>2</v>
      </c>
      <c r="D92" s="182" t="s">
        <v>391</v>
      </c>
      <c r="E92" s="183">
        <v>3</v>
      </c>
      <c r="F92" s="179">
        <v>3600</v>
      </c>
      <c r="G92" s="184">
        <f t="shared" ref="G92:G126" si="36">IFERROR(F92/E92,"")</f>
        <v>1200</v>
      </c>
      <c r="H92" s="612"/>
      <c r="I92" s="185">
        <f t="shared" ref="I92:K121" si="37">AVERAGE(P92,U92,Z92,AE92,AJ92,AO92,AT92)</f>
        <v>3</v>
      </c>
      <c r="J92" s="185">
        <f t="shared" si="37"/>
        <v>3185.1369025080626</v>
      </c>
      <c r="K92" s="186">
        <f t="shared" si="37"/>
        <v>1061.7123008360209</v>
      </c>
      <c r="L92" s="613"/>
      <c r="M92" s="185">
        <f>RANK(K92, K$91:$K$127)</f>
        <v>9</v>
      </c>
      <c r="N92" s="624"/>
      <c r="O92" s="614"/>
      <c r="P92" s="187">
        <v>3</v>
      </c>
      <c r="Q92" s="187">
        <v>3186.1240921512021</v>
      </c>
      <c r="R92" s="184">
        <f t="shared" ref="R92:R126" si="38">IFERROR(Q92/P92,"")</f>
        <v>1062.0413640504007</v>
      </c>
      <c r="S92" s="181">
        <f t="shared" ref="S92:S126" si="39">RANK(R92, R$91:R$127)</f>
        <v>9</v>
      </c>
      <c r="T92" s="610"/>
      <c r="U92" s="187">
        <v>3</v>
      </c>
      <c r="V92" s="187">
        <v>3185.4040921512023</v>
      </c>
      <c r="W92" s="184">
        <f t="shared" si="35"/>
        <v>1061.8013640504007</v>
      </c>
      <c r="X92" s="181">
        <f t="shared" ref="X92:X126" si="40">RANK(W92, W$91:W$127)</f>
        <v>8</v>
      </c>
      <c r="Y92" s="610"/>
      <c r="Z92" s="187">
        <v>3</v>
      </c>
      <c r="AA92" s="187">
        <v>3185.4040921512019</v>
      </c>
      <c r="AB92" s="184">
        <f t="shared" ref="AB92:AB126" si="41">IFERROR(AA92/Z92,"")</f>
        <v>1061.8013640504007</v>
      </c>
      <c r="AC92" s="181">
        <f t="shared" ref="AC92:AC126" si="42">RANK(AB92, AB$91:AB$127)</f>
        <v>8</v>
      </c>
      <c r="AD92" s="610"/>
      <c r="AE92" s="187">
        <v>3</v>
      </c>
      <c r="AF92" s="187">
        <v>3185.0440921512022</v>
      </c>
      <c r="AG92" s="184">
        <f t="shared" ref="AG92:AG126" si="43">IFERROR(AF92/AE92,"")</f>
        <v>1061.6813640504008</v>
      </c>
      <c r="AH92" s="181">
        <f t="shared" ref="AH92:AH126" si="44">RANK(AG92, AG$91:AG$127)</f>
        <v>8</v>
      </c>
      <c r="AI92" s="610"/>
      <c r="AJ92" s="187">
        <v>3</v>
      </c>
      <c r="AK92" s="187">
        <v>3184.3240921512024</v>
      </c>
      <c r="AL92" s="184">
        <f t="shared" ref="AL92:AL126" si="45">IFERROR(AK92/AJ92,"")</f>
        <v>1061.4413640504008</v>
      </c>
      <c r="AM92" s="181">
        <f t="shared" ref="AM92:AM126" si="46">RANK(AL92, AL$91:AL$127)</f>
        <v>8</v>
      </c>
      <c r="AN92" s="610"/>
      <c r="AO92" s="187">
        <v>3</v>
      </c>
      <c r="AP92" s="187">
        <v>3182.8840921512028</v>
      </c>
      <c r="AQ92" s="184">
        <f t="shared" ref="AQ92:AQ126" si="47">IFERROR(AP92/AO92,"")</f>
        <v>1060.961364050401</v>
      </c>
      <c r="AR92" s="181">
        <f t="shared" ref="AR92:AR126" si="48">RANK(AQ92, AQ$91:AQ$127)</f>
        <v>8</v>
      </c>
      <c r="AS92" s="610"/>
      <c r="AT92" s="187">
        <v>3</v>
      </c>
      <c r="AU92" s="187">
        <v>3186.7737646492233</v>
      </c>
      <c r="AV92" s="184">
        <f t="shared" ref="AV92:AV126" si="49">IFERROR(AU92/AT92,"")</f>
        <v>1062.257921549741</v>
      </c>
      <c r="AW92" s="181">
        <f t="shared" ref="AW92:AW126" si="50">RANK(AV92, AV$91:AV$127)</f>
        <v>8</v>
      </c>
      <c r="AX92" s="610"/>
    </row>
    <row r="93" spans="1:50" ht="14.25" customHeight="1">
      <c r="B93" s="611"/>
      <c r="C93" s="179">
        <v>3</v>
      </c>
      <c r="D93" s="182" t="s">
        <v>392</v>
      </c>
      <c r="E93" s="183">
        <v>5</v>
      </c>
      <c r="F93" s="179">
        <v>3600</v>
      </c>
      <c r="G93" s="184">
        <f t="shared" si="36"/>
        <v>720</v>
      </c>
      <c r="H93" s="612"/>
      <c r="I93" s="185">
        <f t="shared" si="37"/>
        <v>5</v>
      </c>
      <c r="J93" s="185">
        <f t="shared" si="37"/>
        <v>3198.3758276693338</v>
      </c>
      <c r="K93" s="186">
        <f t="shared" si="37"/>
        <v>639.67516553386668</v>
      </c>
      <c r="L93" s="613"/>
      <c r="M93" s="185">
        <f>RANK(K93, K$91:$K$127)</f>
        <v>24</v>
      </c>
      <c r="N93" s="624"/>
      <c r="O93" s="614"/>
      <c r="P93" s="187">
        <v>5</v>
      </c>
      <c r="Q93" s="187">
        <v>3198.0158276693342</v>
      </c>
      <c r="R93" s="184">
        <f t="shared" si="38"/>
        <v>639.60316553386679</v>
      </c>
      <c r="S93" s="181">
        <f t="shared" si="39"/>
        <v>23</v>
      </c>
      <c r="T93" s="610"/>
      <c r="U93" s="187">
        <v>5</v>
      </c>
      <c r="V93" s="187">
        <v>3199.0958276693336</v>
      </c>
      <c r="W93" s="184">
        <f t="shared" si="35"/>
        <v>639.81916553386668</v>
      </c>
      <c r="X93" s="181">
        <f t="shared" si="40"/>
        <v>23</v>
      </c>
      <c r="Y93" s="610"/>
      <c r="Z93" s="187">
        <v>5</v>
      </c>
      <c r="AA93" s="187">
        <v>3198.7358276693335</v>
      </c>
      <c r="AB93" s="184">
        <f t="shared" si="41"/>
        <v>639.74716553386668</v>
      </c>
      <c r="AC93" s="181">
        <f t="shared" si="42"/>
        <v>25</v>
      </c>
      <c r="AD93" s="610"/>
      <c r="AE93" s="187">
        <v>5</v>
      </c>
      <c r="AF93" s="187">
        <v>3198.0158276693342</v>
      </c>
      <c r="AG93" s="184">
        <f t="shared" si="43"/>
        <v>639.60316553386679</v>
      </c>
      <c r="AH93" s="181">
        <f t="shared" si="44"/>
        <v>25</v>
      </c>
      <c r="AI93" s="610"/>
      <c r="AJ93" s="187">
        <v>5</v>
      </c>
      <c r="AK93" s="187">
        <v>3199.4558276693342</v>
      </c>
      <c r="AL93" s="184">
        <f t="shared" si="45"/>
        <v>639.8911655338668</v>
      </c>
      <c r="AM93" s="181">
        <f t="shared" si="46"/>
        <v>25</v>
      </c>
      <c r="AN93" s="610"/>
      <c r="AO93" s="187">
        <v>5</v>
      </c>
      <c r="AP93" s="187">
        <v>3198.0158276693337</v>
      </c>
      <c r="AQ93" s="184">
        <f t="shared" si="47"/>
        <v>639.60316553386679</v>
      </c>
      <c r="AR93" s="181">
        <f t="shared" si="48"/>
        <v>25</v>
      </c>
      <c r="AS93" s="610"/>
      <c r="AT93" s="187">
        <v>5</v>
      </c>
      <c r="AU93" s="187">
        <v>3197.2958276693339</v>
      </c>
      <c r="AV93" s="184">
        <f t="shared" si="49"/>
        <v>639.45916553386678</v>
      </c>
      <c r="AW93" s="181">
        <f t="shared" si="50"/>
        <v>26</v>
      </c>
      <c r="AX93" s="610"/>
    </row>
    <row r="94" spans="1:50" ht="14.25" customHeight="1">
      <c r="B94" s="611"/>
      <c r="C94" s="179">
        <v>4</v>
      </c>
      <c r="D94" s="182" t="s">
        <v>229</v>
      </c>
      <c r="E94" s="183">
        <v>5</v>
      </c>
      <c r="F94" s="179">
        <v>3300</v>
      </c>
      <c r="G94" s="184">
        <f t="shared" si="36"/>
        <v>660</v>
      </c>
      <c r="H94" s="612"/>
      <c r="I94" s="185">
        <f t="shared" si="37"/>
        <v>5</v>
      </c>
      <c r="J94" s="185">
        <f t="shared" si="37"/>
        <v>2986.5000000000005</v>
      </c>
      <c r="K94" s="186">
        <f t="shared" si="37"/>
        <v>597.30000000000007</v>
      </c>
      <c r="L94" s="613"/>
      <c r="M94" s="185">
        <f>RANK(K94, K$91:$K$127)</f>
        <v>32</v>
      </c>
      <c r="N94" s="624"/>
      <c r="O94" s="614"/>
      <c r="P94" s="187">
        <v>5</v>
      </c>
      <c r="Q94" s="187">
        <v>2989.14</v>
      </c>
      <c r="R94" s="184">
        <f t="shared" si="38"/>
        <v>597.82799999999997</v>
      </c>
      <c r="S94" s="181">
        <f t="shared" si="39"/>
        <v>30</v>
      </c>
      <c r="T94" s="610"/>
      <c r="U94" s="187">
        <v>5</v>
      </c>
      <c r="V94" s="187">
        <v>2987.8200000000006</v>
      </c>
      <c r="W94" s="184">
        <f t="shared" si="35"/>
        <v>597.56400000000008</v>
      </c>
      <c r="X94" s="181">
        <f t="shared" si="40"/>
        <v>31</v>
      </c>
      <c r="Y94" s="610"/>
      <c r="Z94" s="187">
        <v>5</v>
      </c>
      <c r="AA94" s="187">
        <v>2986.5000000000005</v>
      </c>
      <c r="AB94" s="184">
        <f t="shared" si="41"/>
        <v>597.30000000000007</v>
      </c>
      <c r="AC94" s="181">
        <f t="shared" si="42"/>
        <v>31</v>
      </c>
      <c r="AD94" s="610"/>
      <c r="AE94" s="187">
        <v>5</v>
      </c>
      <c r="AF94" s="187">
        <v>2985.51</v>
      </c>
      <c r="AG94" s="184">
        <f t="shared" si="43"/>
        <v>597.10200000000009</v>
      </c>
      <c r="AH94" s="181">
        <f t="shared" si="44"/>
        <v>31</v>
      </c>
      <c r="AI94" s="610"/>
      <c r="AJ94" s="187">
        <v>5</v>
      </c>
      <c r="AK94" s="187">
        <v>2985.51</v>
      </c>
      <c r="AL94" s="184">
        <f t="shared" si="45"/>
        <v>597.10200000000009</v>
      </c>
      <c r="AM94" s="181">
        <f t="shared" si="46"/>
        <v>31</v>
      </c>
      <c r="AN94" s="610"/>
      <c r="AO94" s="187">
        <v>5</v>
      </c>
      <c r="AP94" s="187">
        <v>2986.170000000001</v>
      </c>
      <c r="AQ94" s="184">
        <f t="shared" si="47"/>
        <v>597.23400000000015</v>
      </c>
      <c r="AR94" s="181">
        <f t="shared" si="48"/>
        <v>31</v>
      </c>
      <c r="AS94" s="610"/>
      <c r="AT94" s="187">
        <v>5</v>
      </c>
      <c r="AU94" s="187">
        <v>2984.8500000000008</v>
      </c>
      <c r="AV94" s="184">
        <f t="shared" si="49"/>
        <v>596.97000000000014</v>
      </c>
      <c r="AW94" s="181">
        <f t="shared" si="50"/>
        <v>31</v>
      </c>
      <c r="AX94" s="610"/>
    </row>
    <row r="95" spans="1:50" ht="14.25" customHeight="1">
      <c r="B95" s="611"/>
      <c r="C95" s="179">
        <v>5</v>
      </c>
      <c r="D95" s="182" t="s">
        <v>388</v>
      </c>
      <c r="E95" s="183">
        <v>3</v>
      </c>
      <c r="F95" s="179">
        <v>3600</v>
      </c>
      <c r="G95" s="184">
        <f t="shared" si="36"/>
        <v>1200</v>
      </c>
      <c r="H95" s="612"/>
      <c r="I95" s="185">
        <f t="shared" si="37"/>
        <v>3</v>
      </c>
      <c r="J95" s="185">
        <f t="shared" si="37"/>
        <v>3199.3525721602841</v>
      </c>
      <c r="K95" s="186">
        <f t="shared" si="37"/>
        <v>1066.4508573867613</v>
      </c>
      <c r="L95" s="613"/>
      <c r="M95" s="185">
        <f>RANK(K95, K$91:$K$127)</f>
        <v>1</v>
      </c>
      <c r="N95" s="624"/>
      <c r="O95" s="614"/>
      <c r="P95" s="187">
        <v>3</v>
      </c>
      <c r="Q95" s="187">
        <v>3197.398286445999</v>
      </c>
      <c r="R95" s="184">
        <f t="shared" si="38"/>
        <v>1065.7994288153329</v>
      </c>
      <c r="S95" s="181">
        <f t="shared" si="39"/>
        <v>2</v>
      </c>
      <c r="T95" s="610"/>
      <c r="U95" s="187">
        <v>3</v>
      </c>
      <c r="V95" s="187">
        <v>3198.8382864459991</v>
      </c>
      <c r="W95" s="184">
        <f t="shared" si="35"/>
        <v>1066.2794288153329</v>
      </c>
      <c r="X95" s="181">
        <f t="shared" si="40"/>
        <v>2</v>
      </c>
      <c r="Y95" s="610"/>
      <c r="Z95" s="187">
        <v>3</v>
      </c>
      <c r="AA95" s="187">
        <v>3199.9182864459981</v>
      </c>
      <c r="AB95" s="184">
        <f t="shared" si="41"/>
        <v>1066.6394288153326</v>
      </c>
      <c r="AC95" s="181">
        <f t="shared" si="42"/>
        <v>1</v>
      </c>
      <c r="AD95" s="610"/>
      <c r="AE95" s="187">
        <v>3</v>
      </c>
      <c r="AF95" s="187">
        <v>3200.9982864459976</v>
      </c>
      <c r="AG95" s="184">
        <f t="shared" si="43"/>
        <v>1066.9994288153325</v>
      </c>
      <c r="AH95" s="181">
        <f t="shared" si="44"/>
        <v>1</v>
      </c>
      <c r="AI95" s="610"/>
      <c r="AJ95" s="187">
        <v>3</v>
      </c>
      <c r="AK95" s="187">
        <v>3199.9182864459976</v>
      </c>
      <c r="AL95" s="184">
        <f t="shared" si="45"/>
        <v>1066.6394288153326</v>
      </c>
      <c r="AM95" s="181">
        <f t="shared" si="46"/>
        <v>1</v>
      </c>
      <c r="AN95" s="610"/>
      <c r="AO95" s="187">
        <v>3</v>
      </c>
      <c r="AP95" s="187">
        <v>3198.8382864459977</v>
      </c>
      <c r="AQ95" s="184">
        <f t="shared" si="47"/>
        <v>1066.2794288153325</v>
      </c>
      <c r="AR95" s="181">
        <f t="shared" si="48"/>
        <v>2</v>
      </c>
      <c r="AS95" s="610"/>
      <c r="AT95" s="187">
        <v>3</v>
      </c>
      <c r="AU95" s="187">
        <v>3199.5582864459975</v>
      </c>
      <c r="AV95" s="184">
        <f t="shared" si="49"/>
        <v>1066.5194288153325</v>
      </c>
      <c r="AW95" s="181">
        <f t="shared" si="50"/>
        <v>1</v>
      </c>
      <c r="AX95" s="610"/>
    </row>
    <row r="96" spans="1:50" ht="14.25" customHeight="1">
      <c r="B96" s="611"/>
      <c r="C96" s="179">
        <v>6</v>
      </c>
      <c r="D96" s="182" t="s">
        <v>339</v>
      </c>
      <c r="E96" s="183">
        <v>4</v>
      </c>
      <c r="F96" s="179">
        <v>3600</v>
      </c>
      <c r="G96" s="184">
        <f t="shared" si="36"/>
        <v>900</v>
      </c>
      <c r="H96" s="612"/>
      <c r="I96" s="185">
        <f t="shared" si="37"/>
        <v>4</v>
      </c>
      <c r="J96" s="185">
        <f t="shared" si="37"/>
        <v>3188.5912415807011</v>
      </c>
      <c r="K96" s="186">
        <f t="shared" si="37"/>
        <v>797.14781039517527</v>
      </c>
      <c r="L96" s="613"/>
      <c r="M96" s="185">
        <f>RANK(K96, K$91:$K$127)</f>
        <v>16</v>
      </c>
      <c r="N96" s="624"/>
      <c r="O96" s="614"/>
      <c r="P96" s="187">
        <v>4</v>
      </c>
      <c r="Q96" s="187">
        <v>3191.0400000000018</v>
      </c>
      <c r="R96" s="184">
        <f t="shared" si="38"/>
        <v>797.76000000000045</v>
      </c>
      <c r="S96" s="181">
        <f t="shared" si="39"/>
        <v>15</v>
      </c>
      <c r="T96" s="610"/>
      <c r="U96" s="187">
        <v>4</v>
      </c>
      <c r="V96" s="187">
        <v>3189.6000000000017</v>
      </c>
      <c r="W96" s="184">
        <f t="shared" si="35"/>
        <v>797.40000000000043</v>
      </c>
      <c r="X96" s="181">
        <f t="shared" si="40"/>
        <v>15</v>
      </c>
      <c r="Y96" s="610"/>
      <c r="Z96" s="187">
        <v>4</v>
      </c>
      <c r="AA96" s="187">
        <v>3188.5200000000013</v>
      </c>
      <c r="AB96" s="184">
        <f t="shared" si="41"/>
        <v>797.13000000000034</v>
      </c>
      <c r="AC96" s="181">
        <f t="shared" si="42"/>
        <v>15</v>
      </c>
      <c r="AD96" s="610"/>
      <c r="AE96" s="187">
        <v>4</v>
      </c>
      <c r="AF96" s="187">
        <v>3187.4400000000014</v>
      </c>
      <c r="AG96" s="184">
        <f t="shared" si="43"/>
        <v>796.86000000000035</v>
      </c>
      <c r="AH96" s="181">
        <f t="shared" si="44"/>
        <v>15</v>
      </c>
      <c r="AI96" s="610"/>
      <c r="AJ96" s="187">
        <v>4</v>
      </c>
      <c r="AK96" s="187">
        <v>3187.8000000000015</v>
      </c>
      <c r="AL96" s="184">
        <f t="shared" si="45"/>
        <v>796.95000000000039</v>
      </c>
      <c r="AM96" s="181">
        <f t="shared" si="46"/>
        <v>15</v>
      </c>
      <c r="AN96" s="610"/>
      <c r="AO96" s="187">
        <v>4</v>
      </c>
      <c r="AP96" s="187">
        <v>3187.0800000000008</v>
      </c>
      <c r="AQ96" s="184">
        <f t="shared" si="47"/>
        <v>796.77000000000021</v>
      </c>
      <c r="AR96" s="181">
        <f t="shared" si="48"/>
        <v>15</v>
      </c>
      <c r="AS96" s="610"/>
      <c r="AT96" s="187">
        <v>4</v>
      </c>
      <c r="AU96" s="187">
        <v>3188.6586910649039</v>
      </c>
      <c r="AV96" s="184">
        <f t="shared" si="49"/>
        <v>797.16467276622598</v>
      </c>
      <c r="AW96" s="181">
        <f t="shared" si="50"/>
        <v>15</v>
      </c>
      <c r="AX96" s="610"/>
    </row>
    <row r="97" spans="2:50" ht="14.25" customHeight="1">
      <c r="B97" s="611"/>
      <c r="C97" s="179">
        <v>7</v>
      </c>
      <c r="D97" s="182" t="s">
        <v>390</v>
      </c>
      <c r="E97" s="183">
        <v>3</v>
      </c>
      <c r="F97" s="179">
        <v>3600</v>
      </c>
      <c r="G97" s="184">
        <f t="shared" si="36"/>
        <v>1200</v>
      </c>
      <c r="H97" s="612"/>
      <c r="I97" s="185">
        <f t="shared" si="37"/>
        <v>3</v>
      </c>
      <c r="J97" s="185">
        <f t="shared" si="37"/>
        <v>3188.6536539818635</v>
      </c>
      <c r="K97" s="186">
        <f t="shared" si="37"/>
        <v>1062.8845513272879</v>
      </c>
      <c r="L97" s="613"/>
      <c r="M97" s="185">
        <f>RANK(K97, K$91:$K$127)</f>
        <v>6</v>
      </c>
      <c r="N97" s="624"/>
      <c r="O97" s="614"/>
      <c r="P97" s="187">
        <v>3</v>
      </c>
      <c r="Q97" s="187">
        <v>3188.4993682675786</v>
      </c>
      <c r="R97" s="184">
        <f t="shared" si="38"/>
        <v>1062.8331227558594</v>
      </c>
      <c r="S97" s="181">
        <f t="shared" si="39"/>
        <v>6</v>
      </c>
      <c r="T97" s="610"/>
      <c r="U97" s="187">
        <v>3</v>
      </c>
      <c r="V97" s="187">
        <v>3189.2193682675784</v>
      </c>
      <c r="W97" s="184">
        <f t="shared" si="35"/>
        <v>1063.0731227558595</v>
      </c>
      <c r="X97" s="181">
        <f t="shared" si="40"/>
        <v>5</v>
      </c>
      <c r="Y97" s="610"/>
      <c r="Z97" s="187">
        <v>3</v>
      </c>
      <c r="AA97" s="187">
        <v>3188.1393682675784</v>
      </c>
      <c r="AB97" s="184">
        <f t="shared" si="41"/>
        <v>1062.7131227558596</v>
      </c>
      <c r="AC97" s="181">
        <f t="shared" si="42"/>
        <v>5</v>
      </c>
      <c r="AD97" s="610"/>
      <c r="AE97" s="187">
        <v>3</v>
      </c>
      <c r="AF97" s="187">
        <v>3187.4193682675786</v>
      </c>
      <c r="AG97" s="184">
        <f t="shared" si="43"/>
        <v>1062.4731227558595</v>
      </c>
      <c r="AH97" s="181">
        <f t="shared" si="44"/>
        <v>7</v>
      </c>
      <c r="AI97" s="610"/>
      <c r="AJ97" s="187">
        <v>3</v>
      </c>
      <c r="AK97" s="187">
        <v>3188.4993682675786</v>
      </c>
      <c r="AL97" s="184">
        <f t="shared" si="45"/>
        <v>1062.8331227558594</v>
      </c>
      <c r="AM97" s="181">
        <f t="shared" si="46"/>
        <v>6</v>
      </c>
      <c r="AN97" s="610"/>
      <c r="AO97" s="187">
        <v>3</v>
      </c>
      <c r="AP97" s="187">
        <v>3190.2993682675783</v>
      </c>
      <c r="AQ97" s="184">
        <f t="shared" si="47"/>
        <v>1063.4331227558594</v>
      </c>
      <c r="AR97" s="181">
        <f t="shared" si="48"/>
        <v>3</v>
      </c>
      <c r="AS97" s="610"/>
      <c r="AT97" s="187">
        <v>3</v>
      </c>
      <c r="AU97" s="187">
        <v>3188.4993682675786</v>
      </c>
      <c r="AV97" s="184">
        <f t="shared" si="49"/>
        <v>1062.8331227558594</v>
      </c>
      <c r="AW97" s="181">
        <f t="shared" si="50"/>
        <v>6</v>
      </c>
      <c r="AX97" s="610"/>
    </row>
    <row r="98" spans="2:50" ht="14.25" customHeight="1">
      <c r="B98" s="611"/>
      <c r="C98" s="179">
        <v>8</v>
      </c>
      <c r="D98" s="182" t="s">
        <v>389</v>
      </c>
      <c r="E98" s="183">
        <v>5</v>
      </c>
      <c r="F98" s="179">
        <v>3600</v>
      </c>
      <c r="G98" s="184">
        <f t="shared" si="36"/>
        <v>720</v>
      </c>
      <c r="H98" s="612"/>
      <c r="I98" s="185">
        <f t="shared" si="37"/>
        <v>5</v>
      </c>
      <c r="J98" s="185">
        <f t="shared" si="37"/>
        <v>3193.599024840395</v>
      </c>
      <c r="K98" s="186">
        <f t="shared" si="37"/>
        <v>638.71980496807896</v>
      </c>
      <c r="L98" s="613"/>
      <c r="M98" s="185">
        <f>RANK(K98, K$91:$K$127)</f>
        <v>26</v>
      </c>
      <c r="N98" s="624"/>
      <c r="O98" s="614"/>
      <c r="P98" s="187">
        <v>5</v>
      </c>
      <c r="Q98" s="187">
        <v>3194.2161676975379</v>
      </c>
      <c r="R98" s="184">
        <f t="shared" si="38"/>
        <v>638.84323353950754</v>
      </c>
      <c r="S98" s="181">
        <f t="shared" si="39"/>
        <v>26</v>
      </c>
      <c r="T98" s="610"/>
      <c r="U98" s="187">
        <v>5</v>
      </c>
      <c r="V98" s="187">
        <v>3193.8561676975378</v>
      </c>
      <c r="W98" s="184">
        <f t="shared" si="35"/>
        <v>638.77123353950753</v>
      </c>
      <c r="X98" s="181">
        <f t="shared" si="40"/>
        <v>27</v>
      </c>
      <c r="Y98" s="610"/>
      <c r="Z98" s="187">
        <v>5</v>
      </c>
      <c r="AA98" s="187">
        <v>3193.136167697538</v>
      </c>
      <c r="AB98" s="184">
        <f t="shared" si="41"/>
        <v>638.62723353950764</v>
      </c>
      <c r="AC98" s="181">
        <f t="shared" si="42"/>
        <v>27</v>
      </c>
      <c r="AD98" s="610"/>
      <c r="AE98" s="187">
        <v>5</v>
      </c>
      <c r="AF98" s="187">
        <v>3192.7761676975383</v>
      </c>
      <c r="AG98" s="184">
        <f t="shared" si="43"/>
        <v>638.55523353950764</v>
      </c>
      <c r="AH98" s="181">
        <f t="shared" si="44"/>
        <v>27</v>
      </c>
      <c r="AI98" s="610"/>
      <c r="AJ98" s="187">
        <v>5</v>
      </c>
      <c r="AK98" s="187">
        <v>3194.2161676975384</v>
      </c>
      <c r="AL98" s="184">
        <f t="shared" si="45"/>
        <v>638.84323353950765</v>
      </c>
      <c r="AM98" s="181">
        <f t="shared" si="46"/>
        <v>27</v>
      </c>
      <c r="AN98" s="610"/>
      <c r="AO98" s="187">
        <v>5</v>
      </c>
      <c r="AP98" s="187">
        <v>3193.136167697538</v>
      </c>
      <c r="AQ98" s="184">
        <f t="shared" si="47"/>
        <v>638.62723353950764</v>
      </c>
      <c r="AR98" s="181">
        <f t="shared" si="48"/>
        <v>27</v>
      </c>
      <c r="AS98" s="610"/>
      <c r="AT98" s="187">
        <v>5</v>
      </c>
      <c r="AU98" s="187">
        <v>3193.8561676975378</v>
      </c>
      <c r="AV98" s="184">
        <f t="shared" si="49"/>
        <v>638.77123353950753</v>
      </c>
      <c r="AW98" s="181">
        <f t="shared" si="50"/>
        <v>27</v>
      </c>
      <c r="AX98" s="610"/>
    </row>
    <row r="99" spans="2:50" ht="14.25" customHeight="1">
      <c r="B99" s="611"/>
      <c r="C99" s="179">
        <v>9</v>
      </c>
      <c r="D99" s="182" t="s">
        <v>387</v>
      </c>
      <c r="E99" s="183">
        <v>5</v>
      </c>
      <c r="F99" s="179">
        <v>3600</v>
      </c>
      <c r="G99" s="184">
        <f t="shared" si="36"/>
        <v>720</v>
      </c>
      <c r="H99" s="612"/>
      <c r="I99" s="185">
        <f t="shared" si="37"/>
        <v>5</v>
      </c>
      <c r="J99" s="185">
        <f t="shared" si="37"/>
        <v>3199.2133730031487</v>
      </c>
      <c r="K99" s="186">
        <f t="shared" si="37"/>
        <v>639.84267460062972</v>
      </c>
      <c r="L99" s="613"/>
      <c r="M99" s="185">
        <f>RANK(K99, K$91:$K$127)</f>
        <v>22</v>
      </c>
      <c r="N99" s="624"/>
      <c r="O99" s="614"/>
      <c r="P99" s="187">
        <v>5</v>
      </c>
      <c r="Q99" s="187">
        <v>3199.7276587174338</v>
      </c>
      <c r="R99" s="184">
        <f t="shared" si="38"/>
        <v>639.94553174348675</v>
      </c>
      <c r="S99" s="181">
        <f t="shared" si="39"/>
        <v>22</v>
      </c>
      <c r="T99" s="610"/>
      <c r="U99" s="187">
        <v>5</v>
      </c>
      <c r="V99" s="187">
        <v>3197.927658717434</v>
      </c>
      <c r="W99" s="184">
        <f t="shared" si="35"/>
        <v>639.58553174348685</v>
      </c>
      <c r="X99" s="181">
        <f t="shared" si="40"/>
        <v>24</v>
      </c>
      <c r="Y99" s="610"/>
      <c r="Z99" s="187">
        <v>5</v>
      </c>
      <c r="AA99" s="187">
        <v>3199.0076587174344</v>
      </c>
      <c r="AB99" s="184">
        <f t="shared" si="41"/>
        <v>639.80153174348686</v>
      </c>
      <c r="AC99" s="181">
        <f t="shared" si="42"/>
        <v>24</v>
      </c>
      <c r="AD99" s="610"/>
      <c r="AE99" s="187">
        <v>5</v>
      </c>
      <c r="AF99" s="187">
        <v>3200.0876587174344</v>
      </c>
      <c r="AG99" s="184">
        <f t="shared" si="43"/>
        <v>640.01753174348687</v>
      </c>
      <c r="AH99" s="181">
        <f t="shared" si="44"/>
        <v>23</v>
      </c>
      <c r="AI99" s="610"/>
      <c r="AJ99" s="187">
        <v>5</v>
      </c>
      <c r="AK99" s="187">
        <v>3199.7276587174338</v>
      </c>
      <c r="AL99" s="184">
        <f t="shared" si="45"/>
        <v>639.94553174348675</v>
      </c>
      <c r="AM99" s="181">
        <f t="shared" si="46"/>
        <v>24</v>
      </c>
      <c r="AN99" s="610"/>
      <c r="AO99" s="187">
        <v>5</v>
      </c>
      <c r="AP99" s="187">
        <v>3198.6476587174338</v>
      </c>
      <c r="AQ99" s="184">
        <f t="shared" si="47"/>
        <v>639.72953174348675</v>
      </c>
      <c r="AR99" s="181">
        <f t="shared" si="48"/>
        <v>24</v>
      </c>
      <c r="AS99" s="610"/>
      <c r="AT99" s="187">
        <v>5</v>
      </c>
      <c r="AU99" s="187">
        <v>3199.3676587174336</v>
      </c>
      <c r="AV99" s="184">
        <f t="shared" si="49"/>
        <v>639.87353174348675</v>
      </c>
      <c r="AW99" s="181">
        <f t="shared" si="50"/>
        <v>24</v>
      </c>
      <c r="AX99" s="610"/>
    </row>
    <row r="100" spans="2:50" ht="14.25" customHeight="1">
      <c r="B100" s="611"/>
      <c r="C100" s="179">
        <v>10</v>
      </c>
      <c r="D100" s="182" t="s">
        <v>228</v>
      </c>
      <c r="E100" s="183">
        <v>3</v>
      </c>
      <c r="F100" s="179">
        <v>3000</v>
      </c>
      <c r="G100" s="184">
        <f t="shared" si="36"/>
        <v>1000</v>
      </c>
      <c r="H100" s="612"/>
      <c r="I100" s="185">
        <f t="shared" si="37"/>
        <v>3</v>
      </c>
      <c r="J100" s="185">
        <f t="shared" si="37"/>
        <v>2723.2207371686645</v>
      </c>
      <c r="K100" s="186">
        <f t="shared" si="37"/>
        <v>907.74024572288806</v>
      </c>
      <c r="L100" s="613"/>
      <c r="M100" s="185">
        <f>RANK(K100, K$91:$K$127)</f>
        <v>12</v>
      </c>
      <c r="N100" s="624"/>
      <c r="O100" s="614"/>
      <c r="P100" s="187">
        <v>3</v>
      </c>
      <c r="Q100" s="187">
        <v>2721.5921657400936</v>
      </c>
      <c r="R100" s="184">
        <f t="shared" si="38"/>
        <v>907.1973885800312</v>
      </c>
      <c r="S100" s="181">
        <f t="shared" si="39"/>
        <v>12</v>
      </c>
      <c r="T100" s="610"/>
      <c r="U100" s="187">
        <v>3</v>
      </c>
      <c r="V100" s="187">
        <v>2722.4921657400932</v>
      </c>
      <c r="W100" s="184">
        <f t="shared" si="35"/>
        <v>907.49738858003104</v>
      </c>
      <c r="X100" s="181">
        <f t="shared" si="40"/>
        <v>11</v>
      </c>
      <c r="Y100" s="610"/>
      <c r="Z100" s="187">
        <v>3</v>
      </c>
      <c r="AA100" s="187">
        <v>2722.1921657400931</v>
      </c>
      <c r="AB100" s="184">
        <f t="shared" si="41"/>
        <v>907.39738858003102</v>
      </c>
      <c r="AC100" s="181">
        <f t="shared" si="42"/>
        <v>11</v>
      </c>
      <c r="AD100" s="610"/>
      <c r="AE100" s="187">
        <v>3</v>
      </c>
      <c r="AF100" s="187">
        <v>2722.792165740093</v>
      </c>
      <c r="AG100" s="184">
        <f t="shared" si="43"/>
        <v>907.59738858003095</v>
      </c>
      <c r="AH100" s="181">
        <f t="shared" si="44"/>
        <v>11</v>
      </c>
      <c r="AI100" s="610"/>
      <c r="AJ100" s="187">
        <v>3</v>
      </c>
      <c r="AK100" s="187">
        <v>2723.3921657400924</v>
      </c>
      <c r="AL100" s="184">
        <f t="shared" si="45"/>
        <v>907.79738858003077</v>
      </c>
      <c r="AM100" s="181">
        <f t="shared" si="46"/>
        <v>11</v>
      </c>
      <c r="AN100" s="610"/>
      <c r="AO100" s="187">
        <v>3</v>
      </c>
      <c r="AP100" s="187">
        <v>2724.5921657400922</v>
      </c>
      <c r="AQ100" s="184">
        <f t="shared" si="47"/>
        <v>908.19738858003075</v>
      </c>
      <c r="AR100" s="181">
        <f t="shared" si="48"/>
        <v>11</v>
      </c>
      <c r="AS100" s="610"/>
      <c r="AT100" s="187">
        <v>3</v>
      </c>
      <c r="AU100" s="187">
        <v>2725.4921657400923</v>
      </c>
      <c r="AV100" s="184">
        <f t="shared" si="49"/>
        <v>908.49738858003082</v>
      </c>
      <c r="AW100" s="181">
        <f t="shared" si="50"/>
        <v>11</v>
      </c>
      <c r="AX100" s="610"/>
    </row>
    <row r="101" spans="2:50" ht="14.25" customHeight="1">
      <c r="B101" s="611"/>
      <c r="C101" s="179">
        <v>11</v>
      </c>
      <c r="D101" s="182" t="s">
        <v>439</v>
      </c>
      <c r="E101" s="183">
        <v>12</v>
      </c>
      <c r="F101" s="179">
        <v>3600</v>
      </c>
      <c r="G101" s="184">
        <f t="shared" si="36"/>
        <v>300</v>
      </c>
      <c r="H101" s="612"/>
      <c r="I101" s="185">
        <f t="shared" si="37"/>
        <v>12</v>
      </c>
      <c r="J101" s="185">
        <f t="shared" si="37"/>
        <v>3120.7952783942224</v>
      </c>
      <c r="K101" s="186">
        <f t="shared" si="37"/>
        <v>260.06627319951849</v>
      </c>
      <c r="L101" s="613"/>
      <c r="M101" s="185">
        <f>RANK(K101, K$91:$K$127)</f>
        <v>34</v>
      </c>
      <c r="N101" s="624"/>
      <c r="O101" s="614"/>
      <c r="P101" s="187">
        <v>12</v>
      </c>
      <c r="Q101" s="187">
        <v>3120.1298242429398</v>
      </c>
      <c r="R101" s="184">
        <f t="shared" si="38"/>
        <v>260.01081868691165</v>
      </c>
      <c r="S101" s="181">
        <f t="shared" si="39"/>
        <v>34</v>
      </c>
      <c r="T101" s="610"/>
      <c r="U101" s="187">
        <v>12</v>
      </c>
      <c r="V101" s="187">
        <v>3121.2098242429402</v>
      </c>
      <c r="W101" s="184">
        <f t="shared" si="35"/>
        <v>260.10081868691168</v>
      </c>
      <c r="X101" s="181">
        <f t="shared" si="40"/>
        <v>33</v>
      </c>
      <c r="Y101" s="610"/>
      <c r="Z101" s="187">
        <v>12</v>
      </c>
      <c r="AA101" s="187">
        <v>3121.2098242429406</v>
      </c>
      <c r="AB101" s="184">
        <f t="shared" si="41"/>
        <v>260.10081868691174</v>
      </c>
      <c r="AC101" s="181">
        <f t="shared" si="42"/>
        <v>33</v>
      </c>
      <c r="AD101" s="610"/>
      <c r="AE101" s="187">
        <v>12</v>
      </c>
      <c r="AF101" s="187">
        <v>3119.769824242941</v>
      </c>
      <c r="AG101" s="184">
        <f t="shared" si="43"/>
        <v>259.98081868691173</v>
      </c>
      <c r="AH101" s="181">
        <f t="shared" si="44"/>
        <v>33</v>
      </c>
      <c r="AI101" s="610"/>
      <c r="AJ101" s="187">
        <v>12</v>
      </c>
      <c r="AK101" s="187">
        <v>3120.8498242429414</v>
      </c>
      <c r="AL101" s="184">
        <f t="shared" si="45"/>
        <v>260.07081868691176</v>
      </c>
      <c r="AM101" s="181">
        <f t="shared" si="46"/>
        <v>33</v>
      </c>
      <c r="AN101" s="610"/>
      <c r="AO101" s="187">
        <v>12</v>
      </c>
      <c r="AP101" s="187">
        <v>3122.289824242941</v>
      </c>
      <c r="AQ101" s="184">
        <f t="shared" si="47"/>
        <v>260.19081868691177</v>
      </c>
      <c r="AR101" s="181">
        <f t="shared" si="48"/>
        <v>33</v>
      </c>
      <c r="AS101" s="610"/>
      <c r="AT101" s="187">
        <v>12</v>
      </c>
      <c r="AU101" s="187">
        <v>3120.1080033019084</v>
      </c>
      <c r="AV101" s="184">
        <f t="shared" si="49"/>
        <v>260.00900027515905</v>
      </c>
      <c r="AW101" s="181">
        <f t="shared" si="50"/>
        <v>34</v>
      </c>
      <c r="AX101" s="610"/>
    </row>
    <row r="102" spans="2:50" ht="14.25" customHeight="1">
      <c r="B102" s="611"/>
      <c r="C102" s="179">
        <v>12</v>
      </c>
      <c r="D102" s="182" t="s">
        <v>457</v>
      </c>
      <c r="E102" s="183">
        <v>3</v>
      </c>
      <c r="F102" s="179">
        <v>3300</v>
      </c>
      <c r="G102" s="184">
        <f t="shared" si="36"/>
        <v>1100</v>
      </c>
      <c r="H102" s="612"/>
      <c r="I102" s="185">
        <f t="shared" si="37"/>
        <v>3</v>
      </c>
      <c r="J102" s="185">
        <f t="shared" si="37"/>
        <v>2986.276439104101</v>
      </c>
      <c r="K102" s="186">
        <f t="shared" si="37"/>
        <v>995.42547970136673</v>
      </c>
      <c r="L102" s="613"/>
      <c r="M102" s="185">
        <f>RANK(K102, K$91:$K$127)</f>
        <v>10</v>
      </c>
      <c r="N102" s="624"/>
      <c r="O102" s="614"/>
      <c r="P102" s="187">
        <v>3</v>
      </c>
      <c r="Q102" s="187">
        <v>2987.5492962469571</v>
      </c>
      <c r="R102" s="184">
        <f t="shared" si="38"/>
        <v>995.84976541565231</v>
      </c>
      <c r="S102" s="181">
        <f t="shared" si="39"/>
        <v>10</v>
      </c>
      <c r="T102" s="610"/>
      <c r="U102" s="187">
        <v>3</v>
      </c>
      <c r="V102" s="187">
        <v>2987.2192962469571</v>
      </c>
      <c r="W102" s="184">
        <f t="shared" si="35"/>
        <v>995.73976541565241</v>
      </c>
      <c r="X102" s="181">
        <f t="shared" si="40"/>
        <v>9</v>
      </c>
      <c r="Y102" s="610"/>
      <c r="Z102" s="187">
        <v>3</v>
      </c>
      <c r="AA102" s="187">
        <v>2987.2192962469576</v>
      </c>
      <c r="AB102" s="184">
        <f t="shared" si="41"/>
        <v>995.73976541565253</v>
      </c>
      <c r="AC102" s="181">
        <f t="shared" si="42"/>
        <v>9</v>
      </c>
      <c r="AD102" s="610"/>
      <c r="AE102" s="187">
        <v>3</v>
      </c>
      <c r="AF102" s="187">
        <v>2985.8992962469579</v>
      </c>
      <c r="AG102" s="184">
        <f t="shared" si="43"/>
        <v>995.29976541565259</v>
      </c>
      <c r="AH102" s="181">
        <f t="shared" si="44"/>
        <v>9</v>
      </c>
      <c r="AI102" s="610"/>
      <c r="AJ102" s="187">
        <v>3</v>
      </c>
      <c r="AK102" s="187">
        <v>2985.2392962469585</v>
      </c>
      <c r="AL102" s="184">
        <f t="shared" si="45"/>
        <v>995.07976541565279</v>
      </c>
      <c r="AM102" s="181">
        <f t="shared" si="46"/>
        <v>9</v>
      </c>
      <c r="AN102" s="610"/>
      <c r="AO102" s="187">
        <v>3</v>
      </c>
      <c r="AP102" s="187">
        <v>2984.9092962469585</v>
      </c>
      <c r="AQ102" s="184">
        <f t="shared" si="47"/>
        <v>994.96976541565289</v>
      </c>
      <c r="AR102" s="181">
        <f t="shared" si="48"/>
        <v>9</v>
      </c>
      <c r="AS102" s="610"/>
      <c r="AT102" s="187">
        <v>3</v>
      </c>
      <c r="AU102" s="187">
        <v>2985.8992962469588</v>
      </c>
      <c r="AV102" s="184">
        <f t="shared" si="49"/>
        <v>995.29976541565293</v>
      </c>
      <c r="AW102" s="181">
        <f t="shared" si="50"/>
        <v>9</v>
      </c>
      <c r="AX102" s="610"/>
    </row>
    <row r="103" spans="2:50" ht="14.25" customHeight="1">
      <c r="B103" s="611"/>
      <c r="C103" s="179">
        <v>13</v>
      </c>
      <c r="D103" s="182" t="s">
        <v>538</v>
      </c>
      <c r="E103" s="183">
        <v>3</v>
      </c>
      <c r="F103" s="179">
        <v>3600</v>
      </c>
      <c r="G103" s="184">
        <f t="shared" si="36"/>
        <v>1200</v>
      </c>
      <c r="H103" s="612"/>
      <c r="I103" s="185">
        <f t="shared" si="37"/>
        <v>3</v>
      </c>
      <c r="J103" s="185">
        <f t="shared" si="37"/>
        <v>3192.2074787416168</v>
      </c>
      <c r="K103" s="186">
        <f t="shared" si="37"/>
        <v>1064.069159580539</v>
      </c>
      <c r="L103" s="613"/>
      <c r="M103" s="185">
        <f>RANK(K103, K$91:$K$127)</f>
        <v>3</v>
      </c>
      <c r="N103" s="624"/>
      <c r="O103" s="614"/>
      <c r="P103" s="187">
        <v>3</v>
      </c>
      <c r="Q103" s="187">
        <v>3192.2074787416168</v>
      </c>
      <c r="R103" s="184">
        <f t="shared" si="38"/>
        <v>1064.069159580539</v>
      </c>
      <c r="S103" s="181">
        <f t="shared" si="39"/>
        <v>4</v>
      </c>
      <c r="T103" s="610"/>
      <c r="U103" s="187"/>
      <c r="V103" s="187"/>
      <c r="W103" s="184"/>
      <c r="X103" s="181"/>
      <c r="Y103" s="610"/>
      <c r="Z103" s="187"/>
      <c r="AA103" s="187"/>
      <c r="AB103" s="184"/>
      <c r="AC103" s="181"/>
      <c r="AD103" s="610"/>
      <c r="AE103" s="187"/>
      <c r="AF103" s="187"/>
      <c r="AG103" s="184"/>
      <c r="AH103" s="181"/>
      <c r="AI103" s="610"/>
      <c r="AJ103" s="187"/>
      <c r="AK103" s="187"/>
      <c r="AL103" s="184"/>
      <c r="AM103" s="181"/>
      <c r="AN103" s="610"/>
      <c r="AO103" s="187"/>
      <c r="AP103" s="187"/>
      <c r="AQ103" s="184"/>
      <c r="AR103" s="181"/>
      <c r="AS103" s="610"/>
      <c r="AT103" s="187"/>
      <c r="AU103" s="187"/>
      <c r="AV103" s="184"/>
      <c r="AW103" s="181"/>
      <c r="AX103" s="610"/>
    </row>
    <row r="104" spans="2:50" ht="14.25" customHeight="1">
      <c r="B104" s="611"/>
      <c r="C104" s="179">
        <v>14</v>
      </c>
      <c r="D104" s="182" t="s">
        <v>530</v>
      </c>
      <c r="E104" s="183">
        <v>5</v>
      </c>
      <c r="F104" s="179">
        <v>3600</v>
      </c>
      <c r="G104" s="184">
        <f t="shared" si="36"/>
        <v>720</v>
      </c>
      <c r="H104" s="612"/>
      <c r="I104" s="185">
        <f t="shared" si="37"/>
        <v>5</v>
      </c>
      <c r="J104" s="185">
        <f t="shared" si="37"/>
        <v>3198.9454351992258</v>
      </c>
      <c r="K104" s="186">
        <f t="shared" si="37"/>
        <v>639.7890870398453</v>
      </c>
      <c r="L104" s="613"/>
      <c r="M104" s="185">
        <f>RANK(K104, K$91:$K$127)</f>
        <v>23</v>
      </c>
      <c r="N104" s="624"/>
      <c r="O104" s="614"/>
      <c r="P104" s="187">
        <v>5</v>
      </c>
      <c r="Q104" s="187">
        <v>3196.6311494849406</v>
      </c>
      <c r="R104" s="184">
        <f t="shared" si="38"/>
        <v>639.32622989698814</v>
      </c>
      <c r="S104" s="181">
        <f t="shared" si="39"/>
        <v>25</v>
      </c>
      <c r="T104" s="610"/>
      <c r="U104" s="187">
        <v>5</v>
      </c>
      <c r="V104" s="187">
        <v>3197.7111494849405</v>
      </c>
      <c r="W104" s="184">
        <f t="shared" si="35"/>
        <v>639.54222989698815</v>
      </c>
      <c r="X104" s="181">
        <f t="shared" si="40"/>
        <v>25</v>
      </c>
      <c r="Y104" s="610"/>
      <c r="Z104" s="187">
        <v>5</v>
      </c>
      <c r="AA104" s="187">
        <v>3199.5111494849407</v>
      </c>
      <c r="AB104" s="184">
        <f t="shared" si="41"/>
        <v>639.90222989698816</v>
      </c>
      <c r="AC104" s="181">
        <f t="shared" si="42"/>
        <v>23</v>
      </c>
      <c r="AD104" s="610"/>
      <c r="AE104" s="187">
        <v>5</v>
      </c>
      <c r="AF104" s="187">
        <v>3198.7911494849409</v>
      </c>
      <c r="AG104" s="184">
        <f t="shared" si="43"/>
        <v>639.75822989698815</v>
      </c>
      <c r="AH104" s="181">
        <f t="shared" si="44"/>
        <v>24</v>
      </c>
      <c r="AI104" s="610"/>
      <c r="AJ104" s="187">
        <v>5</v>
      </c>
      <c r="AK104" s="187">
        <v>3200.2311494849405</v>
      </c>
      <c r="AL104" s="184">
        <f t="shared" si="45"/>
        <v>640.04622989698805</v>
      </c>
      <c r="AM104" s="181">
        <f t="shared" si="46"/>
        <v>23</v>
      </c>
      <c r="AN104" s="610"/>
      <c r="AO104" s="187">
        <v>5</v>
      </c>
      <c r="AP104" s="187">
        <v>3199.5111494849402</v>
      </c>
      <c r="AQ104" s="184">
        <f t="shared" si="47"/>
        <v>639.90222989698805</v>
      </c>
      <c r="AR104" s="181">
        <f t="shared" si="48"/>
        <v>23</v>
      </c>
      <c r="AS104" s="610"/>
      <c r="AT104" s="187">
        <v>5</v>
      </c>
      <c r="AU104" s="187">
        <v>3200.2311494849396</v>
      </c>
      <c r="AV104" s="184">
        <f t="shared" si="49"/>
        <v>640.04622989698794</v>
      </c>
      <c r="AW104" s="181">
        <f t="shared" si="50"/>
        <v>23</v>
      </c>
      <c r="AX104" s="610"/>
    </row>
    <row r="105" spans="2:50" ht="14.25" customHeight="1">
      <c r="B105" s="611"/>
      <c r="C105" s="179">
        <v>15</v>
      </c>
      <c r="D105" s="182" t="s">
        <v>595</v>
      </c>
      <c r="E105" s="183">
        <v>3</v>
      </c>
      <c r="F105" s="179">
        <v>3600</v>
      </c>
      <c r="G105" s="184">
        <f t="shared" si="36"/>
        <v>1200</v>
      </c>
      <c r="H105" s="612"/>
      <c r="I105" s="185">
        <f t="shared" si="37"/>
        <v>3</v>
      </c>
      <c r="J105" s="185">
        <f t="shared" si="37"/>
        <v>3190.3579821693834</v>
      </c>
      <c r="K105" s="186">
        <f t="shared" si="37"/>
        <v>1063.452660723128</v>
      </c>
      <c r="L105" s="613"/>
      <c r="M105" s="185">
        <f>RANK(K105, K$91:$K$127)</f>
        <v>4</v>
      </c>
      <c r="N105" s="624"/>
      <c r="O105" s="614"/>
      <c r="P105" s="187">
        <v>3</v>
      </c>
      <c r="Q105" s="187">
        <v>3191.4379821693847</v>
      </c>
      <c r="R105" s="184">
        <f t="shared" si="38"/>
        <v>1063.8126607231281</v>
      </c>
      <c r="S105" s="181">
        <f t="shared" si="39"/>
        <v>5</v>
      </c>
      <c r="T105" s="610"/>
      <c r="U105" s="187">
        <v>3</v>
      </c>
      <c r="V105" s="187">
        <v>3192.157982169384</v>
      </c>
      <c r="W105" s="184">
        <f t="shared" si="35"/>
        <v>1064.0526607231279</v>
      </c>
      <c r="X105" s="181">
        <f t="shared" si="40"/>
        <v>3</v>
      </c>
      <c r="Y105" s="610"/>
      <c r="Z105" s="187">
        <v>3</v>
      </c>
      <c r="AA105" s="187">
        <v>3190.3579821693838</v>
      </c>
      <c r="AB105" s="184">
        <f t="shared" si="41"/>
        <v>1063.452660723128</v>
      </c>
      <c r="AC105" s="181">
        <f t="shared" si="42"/>
        <v>4</v>
      </c>
      <c r="AD105" s="610"/>
      <c r="AE105" s="187">
        <v>3</v>
      </c>
      <c r="AF105" s="187">
        <v>3190.3579821693838</v>
      </c>
      <c r="AG105" s="184">
        <f t="shared" si="43"/>
        <v>1063.452660723128</v>
      </c>
      <c r="AH105" s="181">
        <f t="shared" si="44"/>
        <v>4</v>
      </c>
      <c r="AI105" s="610"/>
      <c r="AJ105" s="187">
        <v>3</v>
      </c>
      <c r="AK105" s="187">
        <v>3190.717982169384</v>
      </c>
      <c r="AL105" s="184">
        <f t="shared" si="45"/>
        <v>1063.5726607231279</v>
      </c>
      <c r="AM105" s="181">
        <f t="shared" si="46"/>
        <v>3</v>
      </c>
      <c r="AN105" s="610"/>
      <c r="AO105" s="187">
        <v>3</v>
      </c>
      <c r="AP105" s="187">
        <v>3188.9179821693833</v>
      </c>
      <c r="AQ105" s="184">
        <f t="shared" si="47"/>
        <v>1062.9726607231278</v>
      </c>
      <c r="AR105" s="181">
        <f t="shared" si="48"/>
        <v>5</v>
      </c>
      <c r="AS105" s="610"/>
      <c r="AT105" s="187">
        <v>3</v>
      </c>
      <c r="AU105" s="187">
        <v>3188.5579821693827</v>
      </c>
      <c r="AV105" s="184">
        <f t="shared" si="49"/>
        <v>1062.8526607231277</v>
      </c>
      <c r="AW105" s="181">
        <f t="shared" si="50"/>
        <v>5</v>
      </c>
      <c r="AX105" s="610"/>
    </row>
    <row r="106" spans="2:50" ht="14.25" customHeight="1">
      <c r="B106" s="611"/>
      <c r="C106" s="179">
        <v>16</v>
      </c>
      <c r="D106" s="182" t="s">
        <v>577</v>
      </c>
      <c r="E106" s="183">
        <v>3</v>
      </c>
      <c r="F106" s="179">
        <v>3300</v>
      </c>
      <c r="G106" s="184">
        <f t="shared" si="36"/>
        <v>1100</v>
      </c>
      <c r="H106" s="612"/>
      <c r="I106" s="185">
        <f t="shared" si="37"/>
        <v>3</v>
      </c>
      <c r="J106" s="185">
        <f t="shared" si="37"/>
        <v>2970.7635003385631</v>
      </c>
      <c r="K106" s="186">
        <f t="shared" si="37"/>
        <v>990.25450011285443</v>
      </c>
      <c r="L106" s="613"/>
      <c r="M106" s="185">
        <f>RANK(K106, K$91:$K$127)</f>
        <v>11</v>
      </c>
      <c r="N106" s="624"/>
      <c r="O106" s="614"/>
      <c r="P106" s="187">
        <v>3</v>
      </c>
      <c r="Q106" s="187">
        <v>2971.1788102369724</v>
      </c>
      <c r="R106" s="184">
        <f t="shared" si="38"/>
        <v>990.39293674565749</v>
      </c>
      <c r="S106" s="181">
        <f t="shared" si="39"/>
        <v>11</v>
      </c>
      <c r="T106" s="610"/>
      <c r="U106" s="187">
        <v>3</v>
      </c>
      <c r="V106" s="187">
        <v>2970.8488102369724</v>
      </c>
      <c r="W106" s="184">
        <f t="shared" si="35"/>
        <v>990.28293674565748</v>
      </c>
      <c r="X106" s="181">
        <f t="shared" si="40"/>
        <v>10</v>
      </c>
      <c r="Y106" s="610"/>
      <c r="Z106" s="187">
        <v>3</v>
      </c>
      <c r="AA106" s="187">
        <v>2970.1888102369726</v>
      </c>
      <c r="AB106" s="184">
        <f t="shared" si="41"/>
        <v>990.06293674565757</v>
      </c>
      <c r="AC106" s="181">
        <f t="shared" si="42"/>
        <v>10</v>
      </c>
      <c r="AD106" s="610"/>
      <c r="AE106" s="187">
        <v>3</v>
      </c>
      <c r="AF106" s="187">
        <v>2969.5288102369727</v>
      </c>
      <c r="AG106" s="184">
        <f t="shared" si="43"/>
        <v>989.84293674565754</v>
      </c>
      <c r="AH106" s="181">
        <f t="shared" si="44"/>
        <v>10</v>
      </c>
      <c r="AI106" s="610"/>
      <c r="AJ106" s="187">
        <v>3</v>
      </c>
      <c r="AK106" s="187">
        <v>2970.7602676442398</v>
      </c>
      <c r="AL106" s="184">
        <f t="shared" si="45"/>
        <v>990.25342254807993</v>
      </c>
      <c r="AM106" s="181">
        <f t="shared" si="46"/>
        <v>10</v>
      </c>
      <c r="AN106" s="610"/>
      <c r="AO106" s="187">
        <v>3</v>
      </c>
      <c r="AP106" s="187">
        <v>2970.7602676442398</v>
      </c>
      <c r="AQ106" s="184">
        <f t="shared" si="47"/>
        <v>990.25342254807993</v>
      </c>
      <c r="AR106" s="181">
        <f t="shared" si="48"/>
        <v>10</v>
      </c>
      <c r="AS106" s="610"/>
      <c r="AT106" s="187">
        <v>3</v>
      </c>
      <c r="AU106" s="187">
        <v>2972.0787261335727</v>
      </c>
      <c r="AV106" s="184">
        <f t="shared" si="49"/>
        <v>990.69290871119085</v>
      </c>
      <c r="AW106" s="181">
        <f t="shared" si="50"/>
        <v>10</v>
      </c>
      <c r="AX106" s="610"/>
    </row>
    <row r="107" spans="2:50" ht="14.25" customHeight="1">
      <c r="B107" s="611"/>
      <c r="C107" s="179">
        <v>17</v>
      </c>
      <c r="D107" s="182" t="s">
        <v>799</v>
      </c>
      <c r="E107" s="183">
        <v>4</v>
      </c>
      <c r="F107" s="179">
        <v>3300</v>
      </c>
      <c r="G107" s="184">
        <f t="shared" si="36"/>
        <v>825</v>
      </c>
      <c r="H107" s="612"/>
      <c r="I107" s="185">
        <f t="shared" si="37"/>
        <v>4</v>
      </c>
      <c r="J107" s="185">
        <f t="shared" si="37"/>
        <v>2871.4487448003374</v>
      </c>
      <c r="K107" s="186">
        <f t="shared" si="37"/>
        <v>717.86218620008435</v>
      </c>
      <c r="L107" s="613"/>
      <c r="M107" s="185">
        <f>RANK(K107, K$91:$K$127)</f>
        <v>19</v>
      </c>
      <c r="N107" s="624"/>
      <c r="O107" s="614"/>
      <c r="P107" s="187">
        <v>4</v>
      </c>
      <c r="Q107" s="187">
        <v>2713</v>
      </c>
      <c r="R107" s="184">
        <f t="shared" si="38"/>
        <v>678.25</v>
      </c>
      <c r="S107" s="181">
        <f t="shared" si="39"/>
        <v>21</v>
      </c>
      <c r="T107" s="610"/>
      <c r="U107" s="187">
        <v>4</v>
      </c>
      <c r="V107" s="187">
        <v>2766.9233999999997</v>
      </c>
      <c r="W107" s="184">
        <f t="shared" si="35"/>
        <v>691.73084999999992</v>
      </c>
      <c r="X107" s="181">
        <f t="shared" si="40"/>
        <v>18</v>
      </c>
      <c r="Y107" s="610"/>
      <c r="Z107" s="187">
        <v>4</v>
      </c>
      <c r="AA107" s="187">
        <v>2823.3441413999994</v>
      </c>
      <c r="AB107" s="184">
        <f t="shared" si="41"/>
        <v>705.83603534999986</v>
      </c>
      <c r="AC107" s="181">
        <f t="shared" si="42"/>
        <v>18</v>
      </c>
      <c r="AD107" s="610"/>
      <c r="AE107" s="187">
        <v>4</v>
      </c>
      <c r="AF107" s="187">
        <v>2883.9820883693988</v>
      </c>
      <c r="AG107" s="184">
        <f t="shared" si="43"/>
        <v>720.99552209234969</v>
      </c>
      <c r="AH107" s="181">
        <f t="shared" si="44"/>
        <v>18</v>
      </c>
      <c r="AI107" s="610"/>
      <c r="AJ107" s="187">
        <v>4</v>
      </c>
      <c r="AK107" s="187">
        <v>2969.6438612776542</v>
      </c>
      <c r="AL107" s="184">
        <f t="shared" si="45"/>
        <v>742.41096531941355</v>
      </c>
      <c r="AM107" s="181">
        <f t="shared" si="46"/>
        <v>18</v>
      </c>
      <c r="AN107" s="610"/>
      <c r="AO107" s="187">
        <v>4</v>
      </c>
      <c r="AP107" s="187">
        <v>2970.9638612776544</v>
      </c>
      <c r="AQ107" s="184">
        <f t="shared" si="47"/>
        <v>742.74096531941359</v>
      </c>
      <c r="AR107" s="181">
        <f t="shared" si="48"/>
        <v>18</v>
      </c>
      <c r="AS107" s="610"/>
      <c r="AT107" s="187">
        <v>4</v>
      </c>
      <c r="AU107" s="187">
        <v>2972.2838612776541</v>
      </c>
      <c r="AV107" s="184">
        <f t="shared" si="49"/>
        <v>743.07096531941352</v>
      </c>
      <c r="AW107" s="181">
        <f t="shared" si="50"/>
        <v>18</v>
      </c>
      <c r="AX107" s="610"/>
    </row>
    <row r="108" spans="2:50" ht="14.25" customHeight="1">
      <c r="B108" s="611"/>
      <c r="C108" s="179">
        <v>18</v>
      </c>
      <c r="D108" s="182" t="s">
        <v>400</v>
      </c>
      <c r="E108" s="183">
        <v>5</v>
      </c>
      <c r="F108" s="179">
        <v>3600</v>
      </c>
      <c r="G108" s="184">
        <f t="shared" si="36"/>
        <v>720</v>
      </c>
      <c r="H108" s="612"/>
      <c r="I108" s="185">
        <f t="shared" si="37"/>
        <v>5</v>
      </c>
      <c r="J108" s="185">
        <f t="shared" si="37"/>
        <v>3186.0693789510374</v>
      </c>
      <c r="K108" s="186">
        <f t="shared" si="37"/>
        <v>637.21387579020745</v>
      </c>
      <c r="L108" s="613"/>
      <c r="M108" s="185">
        <f>RANK(K108, K$91:$K$127)</f>
        <v>28</v>
      </c>
      <c r="N108" s="624"/>
      <c r="O108" s="614"/>
      <c r="P108" s="187">
        <v>5</v>
      </c>
      <c r="Q108" s="187">
        <v>3188.107897371453</v>
      </c>
      <c r="R108" s="184">
        <f t="shared" si="38"/>
        <v>637.62157947429057</v>
      </c>
      <c r="S108" s="181">
        <f t="shared" si="39"/>
        <v>28</v>
      </c>
      <c r="T108" s="610"/>
      <c r="U108" s="187">
        <v>5</v>
      </c>
      <c r="V108" s="187">
        <v>3187.3878973714518</v>
      </c>
      <c r="W108" s="184">
        <f t="shared" si="35"/>
        <v>637.47757947429034</v>
      </c>
      <c r="X108" s="181">
        <f t="shared" si="40"/>
        <v>29</v>
      </c>
      <c r="Y108" s="610"/>
      <c r="Z108" s="187">
        <v>5</v>
      </c>
      <c r="AA108" s="187">
        <v>3185.5878973714521</v>
      </c>
      <c r="AB108" s="184">
        <f t="shared" si="41"/>
        <v>637.11757947429044</v>
      </c>
      <c r="AC108" s="181">
        <f t="shared" si="42"/>
        <v>29</v>
      </c>
      <c r="AD108" s="610"/>
      <c r="AE108" s="187">
        <v>5</v>
      </c>
      <c r="AF108" s="187">
        <v>3184.8678973714523</v>
      </c>
      <c r="AG108" s="184">
        <f t="shared" si="43"/>
        <v>636.97357947429043</v>
      </c>
      <c r="AH108" s="181">
        <f t="shared" si="44"/>
        <v>29</v>
      </c>
      <c r="AI108" s="610"/>
      <c r="AJ108" s="187">
        <v>5</v>
      </c>
      <c r="AK108" s="187">
        <v>3183.4278973714518</v>
      </c>
      <c r="AL108" s="184">
        <f t="shared" si="45"/>
        <v>636.68557947429031</v>
      </c>
      <c r="AM108" s="181">
        <f t="shared" si="46"/>
        <v>29</v>
      </c>
      <c r="AN108" s="610"/>
      <c r="AO108" s="187">
        <v>5</v>
      </c>
      <c r="AP108" s="187">
        <v>3184.8678973714514</v>
      </c>
      <c r="AQ108" s="184">
        <f t="shared" si="47"/>
        <v>636.97357947429032</v>
      </c>
      <c r="AR108" s="181">
        <f t="shared" si="48"/>
        <v>29</v>
      </c>
      <c r="AS108" s="610"/>
      <c r="AT108" s="187">
        <v>5</v>
      </c>
      <c r="AU108" s="187">
        <v>3188.2382684285512</v>
      </c>
      <c r="AV108" s="184">
        <f t="shared" si="49"/>
        <v>637.64765368571022</v>
      </c>
      <c r="AW108" s="181">
        <f t="shared" si="50"/>
        <v>29</v>
      </c>
      <c r="AX108" s="610"/>
    </row>
    <row r="109" spans="2:50" ht="14.25" customHeight="1">
      <c r="B109" s="611"/>
      <c r="C109" s="179">
        <v>19</v>
      </c>
      <c r="D109" s="182" t="s">
        <v>399</v>
      </c>
      <c r="E109" s="183">
        <v>3</v>
      </c>
      <c r="F109" s="179">
        <v>3600</v>
      </c>
      <c r="G109" s="184">
        <f t="shared" si="36"/>
        <v>1200</v>
      </c>
      <c r="H109" s="612"/>
      <c r="I109" s="185">
        <f t="shared" si="37"/>
        <v>3</v>
      </c>
      <c r="J109" s="185">
        <f t="shared" si="37"/>
        <v>3188.4065812766707</v>
      </c>
      <c r="K109" s="186">
        <f t="shared" si="37"/>
        <v>1062.8021937588901</v>
      </c>
      <c r="L109" s="613"/>
      <c r="M109" s="185">
        <f>RANK(K109, K$91:$K$127)</f>
        <v>7</v>
      </c>
      <c r="N109" s="624"/>
      <c r="O109" s="614"/>
      <c r="P109" s="187">
        <v>3</v>
      </c>
      <c r="Q109" s="187">
        <v>3187.7894384195279</v>
      </c>
      <c r="R109" s="184">
        <f t="shared" si="38"/>
        <v>1062.596479473176</v>
      </c>
      <c r="S109" s="181">
        <f t="shared" si="39"/>
        <v>7</v>
      </c>
      <c r="T109" s="610"/>
      <c r="U109" s="187">
        <v>3</v>
      </c>
      <c r="V109" s="187">
        <v>3186.7094384195279</v>
      </c>
      <c r="W109" s="184">
        <f t="shared" si="35"/>
        <v>1062.2364794731759</v>
      </c>
      <c r="X109" s="181">
        <f t="shared" si="40"/>
        <v>7</v>
      </c>
      <c r="Y109" s="610"/>
      <c r="Z109" s="187">
        <v>3</v>
      </c>
      <c r="AA109" s="187">
        <v>3187.0694384195276</v>
      </c>
      <c r="AB109" s="184">
        <f t="shared" si="41"/>
        <v>1062.3564794731758</v>
      </c>
      <c r="AC109" s="181">
        <f t="shared" si="42"/>
        <v>6</v>
      </c>
      <c r="AD109" s="610"/>
      <c r="AE109" s="187">
        <v>3</v>
      </c>
      <c r="AF109" s="187">
        <v>3188.8694384195278</v>
      </c>
      <c r="AG109" s="184">
        <f t="shared" si="43"/>
        <v>1062.9564794731759</v>
      </c>
      <c r="AH109" s="181">
        <f t="shared" si="44"/>
        <v>5</v>
      </c>
      <c r="AI109" s="610"/>
      <c r="AJ109" s="187">
        <v>3</v>
      </c>
      <c r="AK109" s="187">
        <v>3189.5894384195281</v>
      </c>
      <c r="AL109" s="184">
        <f t="shared" si="45"/>
        <v>1063.1964794731759</v>
      </c>
      <c r="AM109" s="181">
        <f t="shared" si="46"/>
        <v>5</v>
      </c>
      <c r="AN109" s="610"/>
      <c r="AO109" s="187">
        <v>3</v>
      </c>
      <c r="AP109" s="187">
        <v>3189.5894384195281</v>
      </c>
      <c r="AQ109" s="184">
        <f t="shared" si="47"/>
        <v>1063.1964794731759</v>
      </c>
      <c r="AR109" s="181">
        <f t="shared" si="48"/>
        <v>4</v>
      </c>
      <c r="AS109" s="610"/>
      <c r="AT109" s="187">
        <v>3</v>
      </c>
      <c r="AU109" s="187">
        <v>3189.2294384195279</v>
      </c>
      <c r="AV109" s="184">
        <f t="shared" si="49"/>
        <v>1063.0764794731761</v>
      </c>
      <c r="AW109" s="181">
        <f t="shared" si="50"/>
        <v>3</v>
      </c>
      <c r="AX109" s="610"/>
    </row>
    <row r="110" spans="2:50" ht="14.25" customHeight="1">
      <c r="B110" s="611"/>
      <c r="C110" s="179">
        <v>20</v>
      </c>
      <c r="D110" s="182" t="s">
        <v>401</v>
      </c>
      <c r="E110" s="183">
        <v>4</v>
      </c>
      <c r="F110" s="179">
        <v>3300</v>
      </c>
      <c r="G110" s="184">
        <f t="shared" si="36"/>
        <v>825</v>
      </c>
      <c r="H110" s="612"/>
      <c r="I110" s="185">
        <f t="shared" si="37"/>
        <v>4</v>
      </c>
      <c r="J110" s="185">
        <f t="shared" si="37"/>
        <v>2986.9242857142863</v>
      </c>
      <c r="K110" s="186">
        <f t="shared" si="37"/>
        <v>746.73107142857157</v>
      </c>
      <c r="L110" s="613"/>
      <c r="M110" s="185">
        <f>RANK(K110, K$91:$K$127)</f>
        <v>18</v>
      </c>
      <c r="N110" s="624"/>
      <c r="O110" s="614"/>
      <c r="P110" s="187">
        <v>4</v>
      </c>
      <c r="Q110" s="187">
        <v>2988.15</v>
      </c>
      <c r="R110" s="184">
        <f t="shared" si="38"/>
        <v>747.03750000000002</v>
      </c>
      <c r="S110" s="181">
        <f t="shared" si="39"/>
        <v>18</v>
      </c>
      <c r="T110" s="610"/>
      <c r="U110" s="187">
        <v>4</v>
      </c>
      <c r="V110" s="187">
        <v>2986.5000000000005</v>
      </c>
      <c r="W110" s="184">
        <f t="shared" si="35"/>
        <v>746.62500000000011</v>
      </c>
      <c r="X110" s="181">
        <f t="shared" si="40"/>
        <v>17</v>
      </c>
      <c r="Y110" s="610"/>
      <c r="Z110" s="187">
        <v>4</v>
      </c>
      <c r="AA110" s="187">
        <v>2986.1700000000005</v>
      </c>
      <c r="AB110" s="184">
        <f t="shared" si="41"/>
        <v>746.54250000000013</v>
      </c>
      <c r="AC110" s="181">
        <f t="shared" si="42"/>
        <v>17</v>
      </c>
      <c r="AD110" s="610"/>
      <c r="AE110" s="187">
        <v>4</v>
      </c>
      <c r="AF110" s="187">
        <v>2986.8300000000008</v>
      </c>
      <c r="AG110" s="184">
        <f t="shared" si="43"/>
        <v>746.70750000000021</v>
      </c>
      <c r="AH110" s="181">
        <f t="shared" si="44"/>
        <v>17</v>
      </c>
      <c r="AI110" s="610"/>
      <c r="AJ110" s="187">
        <v>4</v>
      </c>
      <c r="AK110" s="187">
        <v>2985.8400000000011</v>
      </c>
      <c r="AL110" s="184">
        <f t="shared" si="45"/>
        <v>746.46000000000026</v>
      </c>
      <c r="AM110" s="181">
        <f t="shared" si="46"/>
        <v>17</v>
      </c>
      <c r="AN110" s="610"/>
      <c r="AO110" s="187">
        <v>4</v>
      </c>
      <c r="AP110" s="187">
        <v>2986.8300000000008</v>
      </c>
      <c r="AQ110" s="184">
        <f t="shared" si="47"/>
        <v>746.70750000000021</v>
      </c>
      <c r="AR110" s="181">
        <f t="shared" si="48"/>
        <v>16</v>
      </c>
      <c r="AS110" s="610"/>
      <c r="AT110" s="187">
        <v>4</v>
      </c>
      <c r="AU110" s="187">
        <v>2988.150000000001</v>
      </c>
      <c r="AV110" s="184">
        <f t="shared" si="49"/>
        <v>747.03750000000025</v>
      </c>
      <c r="AW110" s="181">
        <f t="shared" si="50"/>
        <v>16</v>
      </c>
      <c r="AX110" s="610"/>
    </row>
    <row r="111" spans="2:50" ht="14.25" customHeight="1">
      <c r="B111" s="611"/>
      <c r="C111" s="179">
        <v>21</v>
      </c>
      <c r="D111" s="182" t="s">
        <v>344</v>
      </c>
      <c r="E111" s="183">
        <v>5</v>
      </c>
      <c r="F111" s="179">
        <v>3300</v>
      </c>
      <c r="G111" s="184">
        <f t="shared" si="36"/>
        <v>660</v>
      </c>
      <c r="H111" s="612"/>
      <c r="I111" s="185">
        <f t="shared" si="37"/>
        <v>5</v>
      </c>
      <c r="J111" s="185">
        <f t="shared" si="37"/>
        <v>2990.8842857142849</v>
      </c>
      <c r="K111" s="186">
        <f t="shared" si="37"/>
        <v>598.17685714285687</v>
      </c>
      <c r="L111" s="613"/>
      <c r="M111" s="185">
        <f>RANK(K111, K$91:$K$127)</f>
        <v>31</v>
      </c>
      <c r="N111" s="624"/>
      <c r="O111" s="614"/>
      <c r="P111" s="187">
        <v>5</v>
      </c>
      <c r="Q111" s="187">
        <v>2991.12</v>
      </c>
      <c r="R111" s="184">
        <f t="shared" si="38"/>
        <v>598.22399999999993</v>
      </c>
      <c r="S111" s="181">
        <f t="shared" si="39"/>
        <v>29</v>
      </c>
      <c r="T111" s="610"/>
      <c r="U111" s="187">
        <v>5</v>
      </c>
      <c r="V111" s="187">
        <v>2990.1299999999992</v>
      </c>
      <c r="W111" s="184">
        <f t="shared" si="35"/>
        <v>598.02599999999984</v>
      </c>
      <c r="X111" s="181">
        <f t="shared" si="40"/>
        <v>30</v>
      </c>
      <c r="Y111" s="610"/>
      <c r="Z111" s="187">
        <v>5</v>
      </c>
      <c r="AA111" s="187">
        <v>2991.1199999999994</v>
      </c>
      <c r="AB111" s="184">
        <f t="shared" si="41"/>
        <v>598.22399999999993</v>
      </c>
      <c r="AC111" s="181">
        <f t="shared" si="42"/>
        <v>30</v>
      </c>
      <c r="AD111" s="610"/>
      <c r="AE111" s="187">
        <v>5</v>
      </c>
      <c r="AF111" s="187">
        <v>2990.1299999999997</v>
      </c>
      <c r="AG111" s="184">
        <f t="shared" si="43"/>
        <v>598.02599999999995</v>
      </c>
      <c r="AH111" s="181">
        <f t="shared" si="44"/>
        <v>30</v>
      </c>
      <c r="AI111" s="610"/>
      <c r="AJ111" s="187">
        <v>5</v>
      </c>
      <c r="AK111" s="187">
        <v>2991.119999999999</v>
      </c>
      <c r="AL111" s="184">
        <f t="shared" si="45"/>
        <v>598.22399999999982</v>
      </c>
      <c r="AM111" s="181">
        <f t="shared" si="46"/>
        <v>30</v>
      </c>
      <c r="AN111" s="610"/>
      <c r="AO111" s="187">
        <v>5</v>
      </c>
      <c r="AP111" s="187">
        <v>2990.7899999999986</v>
      </c>
      <c r="AQ111" s="184">
        <f t="shared" si="47"/>
        <v>598.15799999999967</v>
      </c>
      <c r="AR111" s="181">
        <f t="shared" si="48"/>
        <v>30</v>
      </c>
      <c r="AS111" s="610"/>
      <c r="AT111" s="187">
        <v>5</v>
      </c>
      <c r="AU111" s="187">
        <v>2991.7799999999984</v>
      </c>
      <c r="AV111" s="184">
        <f t="shared" si="49"/>
        <v>598.35599999999965</v>
      </c>
      <c r="AW111" s="181">
        <f t="shared" si="50"/>
        <v>30</v>
      </c>
      <c r="AX111" s="610"/>
    </row>
    <row r="112" spans="2:50" ht="14.25" customHeight="1">
      <c r="B112" s="611"/>
      <c r="C112" s="179">
        <v>22</v>
      </c>
      <c r="D112" s="182" t="s">
        <v>395</v>
      </c>
      <c r="E112" s="183">
        <v>3</v>
      </c>
      <c r="F112" s="179">
        <v>3600</v>
      </c>
      <c r="G112" s="184">
        <f t="shared" si="36"/>
        <v>1200</v>
      </c>
      <c r="H112" s="612"/>
      <c r="I112" s="185">
        <f t="shared" si="37"/>
        <v>3</v>
      </c>
      <c r="J112" s="185">
        <f t="shared" si="37"/>
        <v>3190.3549415274256</v>
      </c>
      <c r="K112" s="186">
        <f t="shared" si="37"/>
        <v>1063.4516471758086</v>
      </c>
      <c r="L112" s="613"/>
      <c r="M112" s="185">
        <f>RANK(K112, K$91:$K$127)</f>
        <v>5</v>
      </c>
      <c r="N112" s="624"/>
      <c r="O112" s="614"/>
      <c r="P112" s="187">
        <v>3</v>
      </c>
      <c r="Q112" s="187">
        <v>3192.6177986702833</v>
      </c>
      <c r="R112" s="184">
        <f t="shared" si="38"/>
        <v>1064.2059328900943</v>
      </c>
      <c r="S112" s="181">
        <f t="shared" si="39"/>
        <v>3</v>
      </c>
      <c r="T112" s="610"/>
      <c r="U112" s="187">
        <v>3</v>
      </c>
      <c r="V112" s="187">
        <v>3191.897798670283</v>
      </c>
      <c r="W112" s="184">
        <f t="shared" si="35"/>
        <v>1063.9659328900943</v>
      </c>
      <c r="X112" s="181">
        <f t="shared" si="40"/>
        <v>4</v>
      </c>
      <c r="Y112" s="610"/>
      <c r="Z112" s="187">
        <v>3</v>
      </c>
      <c r="AA112" s="187">
        <v>3190.457798670283</v>
      </c>
      <c r="AB112" s="184">
        <f t="shared" si="41"/>
        <v>1063.4859328900943</v>
      </c>
      <c r="AC112" s="181">
        <f t="shared" si="42"/>
        <v>3</v>
      </c>
      <c r="AD112" s="610"/>
      <c r="AE112" s="187">
        <v>3</v>
      </c>
      <c r="AF112" s="187">
        <v>3191.5377986702824</v>
      </c>
      <c r="AG112" s="184">
        <f t="shared" si="43"/>
        <v>1063.8459328900942</v>
      </c>
      <c r="AH112" s="181">
        <f t="shared" si="44"/>
        <v>3</v>
      </c>
      <c r="AI112" s="610"/>
      <c r="AJ112" s="187">
        <v>3</v>
      </c>
      <c r="AK112" s="187">
        <v>3189.7377986702827</v>
      </c>
      <c r="AL112" s="184">
        <f t="shared" si="45"/>
        <v>1063.2459328900943</v>
      </c>
      <c r="AM112" s="181">
        <f t="shared" si="46"/>
        <v>4</v>
      </c>
      <c r="AN112" s="610"/>
      <c r="AO112" s="187">
        <v>3</v>
      </c>
      <c r="AP112" s="187">
        <v>3187.937798670283</v>
      </c>
      <c r="AQ112" s="184">
        <f t="shared" si="47"/>
        <v>1062.6459328900944</v>
      </c>
      <c r="AR112" s="181">
        <f t="shared" si="48"/>
        <v>7</v>
      </c>
      <c r="AS112" s="610"/>
      <c r="AT112" s="187">
        <v>3</v>
      </c>
      <c r="AU112" s="187">
        <v>3188.2977986702826</v>
      </c>
      <c r="AV112" s="184">
        <f t="shared" si="49"/>
        <v>1062.7659328900943</v>
      </c>
      <c r="AW112" s="181">
        <f t="shared" si="50"/>
        <v>7</v>
      </c>
      <c r="AX112" s="610"/>
    </row>
    <row r="113" spans="2:50" ht="14.25" customHeight="1">
      <c r="B113" s="611"/>
      <c r="C113" s="179">
        <v>23</v>
      </c>
      <c r="D113" s="182" t="s">
        <v>519</v>
      </c>
      <c r="E113" s="183">
        <v>4</v>
      </c>
      <c r="F113" s="179">
        <v>3600</v>
      </c>
      <c r="G113" s="184">
        <f t="shared" si="36"/>
        <v>900</v>
      </c>
      <c r="H113" s="612"/>
      <c r="I113" s="185">
        <f t="shared" si="37"/>
        <v>4</v>
      </c>
      <c r="J113" s="185">
        <f t="shared" si="37"/>
        <v>3189.4188347986078</v>
      </c>
      <c r="K113" s="186">
        <f t="shared" si="37"/>
        <v>797.35470869965195</v>
      </c>
      <c r="L113" s="613"/>
      <c r="M113" s="185">
        <f>RANK(K113, K$91:$K$127)</f>
        <v>15</v>
      </c>
      <c r="N113" s="624"/>
      <c r="O113" s="614"/>
      <c r="P113" s="187">
        <v>4</v>
      </c>
      <c r="Q113" s="187">
        <v>3190.6799999999989</v>
      </c>
      <c r="R113" s="184">
        <f t="shared" si="38"/>
        <v>797.66999999999973</v>
      </c>
      <c r="S113" s="181">
        <f t="shared" si="39"/>
        <v>16</v>
      </c>
      <c r="T113" s="610"/>
      <c r="U113" s="187">
        <v>4</v>
      </c>
      <c r="V113" s="187">
        <v>3190.3199999999988</v>
      </c>
      <c r="W113" s="184">
        <f t="shared" si="35"/>
        <v>797.5799999999997</v>
      </c>
      <c r="X113" s="181">
        <f t="shared" si="40"/>
        <v>14</v>
      </c>
      <c r="Y113" s="610"/>
      <c r="Z113" s="187">
        <v>4</v>
      </c>
      <c r="AA113" s="187">
        <v>3189.2399999999989</v>
      </c>
      <c r="AB113" s="184">
        <f t="shared" si="41"/>
        <v>797.30999999999972</v>
      </c>
      <c r="AC113" s="181">
        <f t="shared" si="42"/>
        <v>14</v>
      </c>
      <c r="AD113" s="610"/>
      <c r="AE113" s="187">
        <v>4</v>
      </c>
      <c r="AF113" s="187">
        <v>3189.2399999999989</v>
      </c>
      <c r="AG113" s="184">
        <f t="shared" si="43"/>
        <v>797.30999999999972</v>
      </c>
      <c r="AH113" s="181">
        <f t="shared" si="44"/>
        <v>14</v>
      </c>
      <c r="AI113" s="610"/>
      <c r="AJ113" s="187">
        <v>4</v>
      </c>
      <c r="AK113" s="187">
        <v>3188.1599999999989</v>
      </c>
      <c r="AL113" s="184">
        <f t="shared" si="45"/>
        <v>797.03999999999974</v>
      </c>
      <c r="AM113" s="181">
        <f t="shared" si="46"/>
        <v>14</v>
      </c>
      <c r="AN113" s="610"/>
      <c r="AO113" s="187">
        <v>4</v>
      </c>
      <c r="AP113" s="187">
        <v>3187.7999999999993</v>
      </c>
      <c r="AQ113" s="184">
        <f t="shared" si="47"/>
        <v>796.94999999999982</v>
      </c>
      <c r="AR113" s="181">
        <f t="shared" si="48"/>
        <v>14</v>
      </c>
      <c r="AS113" s="610"/>
      <c r="AT113" s="187">
        <v>4</v>
      </c>
      <c r="AU113" s="187">
        <v>3190.49184359026</v>
      </c>
      <c r="AV113" s="184">
        <f t="shared" si="49"/>
        <v>797.62296089756501</v>
      </c>
      <c r="AW113" s="181">
        <f t="shared" si="50"/>
        <v>14</v>
      </c>
      <c r="AX113" s="610"/>
    </row>
    <row r="114" spans="2:50" ht="14.25" customHeight="1">
      <c r="B114" s="611"/>
      <c r="C114" s="179">
        <v>24</v>
      </c>
      <c r="D114" s="182" t="s">
        <v>398</v>
      </c>
      <c r="E114" s="183">
        <v>3</v>
      </c>
      <c r="F114" s="179">
        <v>3600</v>
      </c>
      <c r="G114" s="184">
        <f t="shared" si="36"/>
        <v>1200</v>
      </c>
      <c r="H114" s="612"/>
      <c r="I114" s="185">
        <f t="shared" si="37"/>
        <v>3</v>
      </c>
      <c r="J114" s="185">
        <f t="shared" si="37"/>
        <v>3198.364912621214</v>
      </c>
      <c r="K114" s="186">
        <f t="shared" si="37"/>
        <v>1066.1216375404047</v>
      </c>
      <c r="L114" s="613"/>
      <c r="M114" s="185">
        <f>RANK(K114, K$91:$K$127)</f>
        <v>2</v>
      </c>
      <c r="N114" s="624"/>
      <c r="O114" s="614"/>
      <c r="P114" s="187">
        <v>3</v>
      </c>
      <c r="Q114" s="187">
        <v>3199.0967331164566</v>
      </c>
      <c r="R114" s="184">
        <f t="shared" si="38"/>
        <v>1066.3655777054855</v>
      </c>
      <c r="S114" s="181">
        <f t="shared" si="39"/>
        <v>1</v>
      </c>
      <c r="T114" s="610"/>
      <c r="U114" s="187">
        <v>3</v>
      </c>
      <c r="V114" s="187">
        <v>3198.842942538673</v>
      </c>
      <c r="W114" s="184">
        <f t="shared" si="35"/>
        <v>1066.2809808462243</v>
      </c>
      <c r="X114" s="181">
        <f t="shared" si="40"/>
        <v>1</v>
      </c>
      <c r="Y114" s="610"/>
      <c r="Z114" s="187">
        <v>3</v>
      </c>
      <c r="AA114" s="187">
        <v>3198.4829425386738</v>
      </c>
      <c r="AB114" s="184">
        <f t="shared" si="41"/>
        <v>1066.1609808462247</v>
      </c>
      <c r="AC114" s="181">
        <f t="shared" si="42"/>
        <v>2</v>
      </c>
      <c r="AD114" s="610"/>
      <c r="AE114" s="187">
        <v>3</v>
      </c>
      <c r="AF114" s="187">
        <v>3197.0429425386742</v>
      </c>
      <c r="AG114" s="184">
        <f t="shared" si="43"/>
        <v>1065.6809808462247</v>
      </c>
      <c r="AH114" s="181">
        <f t="shared" si="44"/>
        <v>2</v>
      </c>
      <c r="AI114" s="610"/>
      <c r="AJ114" s="187">
        <v>3</v>
      </c>
      <c r="AK114" s="187">
        <v>3197.4029425386739</v>
      </c>
      <c r="AL114" s="184">
        <f t="shared" si="45"/>
        <v>1065.8009808462245</v>
      </c>
      <c r="AM114" s="181">
        <f t="shared" si="46"/>
        <v>2</v>
      </c>
      <c r="AN114" s="610"/>
      <c r="AO114" s="187">
        <v>3</v>
      </c>
      <c r="AP114" s="187">
        <v>3199.2029425386731</v>
      </c>
      <c r="AQ114" s="184">
        <f t="shared" si="47"/>
        <v>1066.4009808462245</v>
      </c>
      <c r="AR114" s="181">
        <f t="shared" si="48"/>
        <v>1</v>
      </c>
      <c r="AS114" s="610"/>
      <c r="AT114" s="187">
        <v>3</v>
      </c>
      <c r="AU114" s="187">
        <v>3198.4829425386733</v>
      </c>
      <c r="AV114" s="184">
        <f t="shared" si="49"/>
        <v>1066.1609808462244</v>
      </c>
      <c r="AW114" s="181">
        <f t="shared" si="50"/>
        <v>2</v>
      </c>
      <c r="AX114" s="610"/>
    </row>
    <row r="115" spans="2:50" ht="14.25" customHeight="1">
      <c r="B115" s="611"/>
      <c r="C115" s="179">
        <v>25</v>
      </c>
      <c r="D115" s="182" t="s">
        <v>397</v>
      </c>
      <c r="E115" s="183">
        <v>5</v>
      </c>
      <c r="F115" s="179">
        <v>3600</v>
      </c>
      <c r="G115" s="184">
        <f t="shared" si="36"/>
        <v>720</v>
      </c>
      <c r="H115" s="612"/>
      <c r="I115" s="185">
        <f t="shared" si="37"/>
        <v>5</v>
      </c>
      <c r="J115" s="185">
        <f t="shared" si="37"/>
        <v>3196.8573151285314</v>
      </c>
      <c r="K115" s="186">
        <f t="shared" si="37"/>
        <v>639.37146302570636</v>
      </c>
      <c r="L115" s="613"/>
      <c r="M115" s="185">
        <f>RANK(K115, K$91:$K$127)</f>
        <v>25</v>
      </c>
      <c r="N115" s="624"/>
      <c r="O115" s="614"/>
      <c r="P115" s="187">
        <v>5</v>
      </c>
      <c r="Q115" s="187">
        <v>3197.6287436999601</v>
      </c>
      <c r="R115" s="184">
        <f t="shared" si="38"/>
        <v>639.52574873999197</v>
      </c>
      <c r="S115" s="181">
        <f t="shared" si="39"/>
        <v>24</v>
      </c>
      <c r="T115" s="610"/>
      <c r="U115" s="187">
        <v>5</v>
      </c>
      <c r="V115" s="187">
        <v>3196.5487436999601</v>
      </c>
      <c r="W115" s="184">
        <f t="shared" si="35"/>
        <v>639.30974873999207</v>
      </c>
      <c r="X115" s="181">
        <f t="shared" si="40"/>
        <v>26</v>
      </c>
      <c r="Y115" s="610"/>
      <c r="Z115" s="187">
        <v>5</v>
      </c>
      <c r="AA115" s="187">
        <v>3196.9087436999607</v>
      </c>
      <c r="AB115" s="184">
        <f t="shared" si="41"/>
        <v>639.38174873999219</v>
      </c>
      <c r="AC115" s="181">
        <f t="shared" si="42"/>
        <v>26</v>
      </c>
      <c r="AD115" s="610"/>
      <c r="AE115" s="187">
        <v>5</v>
      </c>
      <c r="AF115" s="187">
        <v>3195.1087436999605</v>
      </c>
      <c r="AG115" s="184">
        <f t="shared" si="43"/>
        <v>639.02174873999206</v>
      </c>
      <c r="AH115" s="181">
        <f t="shared" si="44"/>
        <v>26</v>
      </c>
      <c r="AI115" s="610"/>
      <c r="AJ115" s="187">
        <v>5</v>
      </c>
      <c r="AK115" s="187">
        <v>3196.9087436999598</v>
      </c>
      <c r="AL115" s="184">
        <f t="shared" si="45"/>
        <v>639.38174873999196</v>
      </c>
      <c r="AM115" s="181">
        <f t="shared" si="46"/>
        <v>26</v>
      </c>
      <c r="AN115" s="610"/>
      <c r="AO115" s="187">
        <v>5</v>
      </c>
      <c r="AP115" s="187">
        <v>3197.2687436999595</v>
      </c>
      <c r="AQ115" s="184">
        <f t="shared" si="47"/>
        <v>639.45374873999185</v>
      </c>
      <c r="AR115" s="181">
        <f t="shared" si="48"/>
        <v>26</v>
      </c>
      <c r="AS115" s="610"/>
      <c r="AT115" s="187">
        <v>5</v>
      </c>
      <c r="AU115" s="187">
        <v>3197.6287436999592</v>
      </c>
      <c r="AV115" s="184">
        <f t="shared" si="49"/>
        <v>639.52574873999185</v>
      </c>
      <c r="AW115" s="181">
        <f t="shared" si="50"/>
        <v>25</v>
      </c>
      <c r="AX115" s="610"/>
    </row>
    <row r="116" spans="2:50" ht="14.25" customHeight="1">
      <c r="B116" s="611"/>
      <c r="C116" s="179">
        <v>26</v>
      </c>
      <c r="D116" s="182" t="s">
        <v>394</v>
      </c>
      <c r="E116" s="183">
        <v>5</v>
      </c>
      <c r="F116" s="179">
        <v>3600</v>
      </c>
      <c r="G116" s="184">
        <f t="shared" si="36"/>
        <v>720</v>
      </c>
      <c r="H116" s="612"/>
      <c r="I116" s="185">
        <f t="shared" si="37"/>
        <v>5</v>
      </c>
      <c r="J116" s="185">
        <f t="shared" si="37"/>
        <v>3191.6654312284381</v>
      </c>
      <c r="K116" s="186">
        <f t="shared" si="37"/>
        <v>638.33308624568758</v>
      </c>
      <c r="L116" s="613"/>
      <c r="M116" s="185">
        <f>RANK(K116, K$91:$K$127)</f>
        <v>27</v>
      </c>
      <c r="N116" s="624"/>
      <c r="O116" s="614"/>
      <c r="P116" s="187">
        <v>5</v>
      </c>
      <c r="Q116" s="187">
        <v>3189.6082883712961</v>
      </c>
      <c r="R116" s="184">
        <f t="shared" si="38"/>
        <v>637.92165767425922</v>
      </c>
      <c r="S116" s="181">
        <f t="shared" si="39"/>
        <v>27</v>
      </c>
      <c r="T116" s="610"/>
      <c r="U116" s="187">
        <v>5</v>
      </c>
      <c r="V116" s="187">
        <v>3190.6882883712956</v>
      </c>
      <c r="W116" s="184">
        <f t="shared" si="35"/>
        <v>638.13765767425912</v>
      </c>
      <c r="X116" s="181">
        <f t="shared" si="40"/>
        <v>28</v>
      </c>
      <c r="Y116" s="610"/>
      <c r="Z116" s="187">
        <v>5</v>
      </c>
      <c r="AA116" s="187">
        <v>3192.4882883712953</v>
      </c>
      <c r="AB116" s="184">
        <f t="shared" si="41"/>
        <v>638.49765767425902</v>
      </c>
      <c r="AC116" s="181">
        <f t="shared" si="42"/>
        <v>28</v>
      </c>
      <c r="AD116" s="610"/>
      <c r="AE116" s="187">
        <v>5</v>
      </c>
      <c r="AF116" s="187">
        <v>3192.1282883712947</v>
      </c>
      <c r="AG116" s="184">
        <f t="shared" si="43"/>
        <v>638.4256576742589</v>
      </c>
      <c r="AH116" s="181">
        <f t="shared" si="44"/>
        <v>28</v>
      </c>
      <c r="AI116" s="610"/>
      <c r="AJ116" s="187">
        <v>5</v>
      </c>
      <c r="AK116" s="187">
        <v>3193.2082883712942</v>
      </c>
      <c r="AL116" s="184">
        <f t="shared" si="45"/>
        <v>638.64165767425879</v>
      </c>
      <c r="AM116" s="181">
        <f t="shared" si="46"/>
        <v>28</v>
      </c>
      <c r="AN116" s="610"/>
      <c r="AO116" s="187">
        <v>5</v>
      </c>
      <c r="AP116" s="187">
        <v>3191.7682883712941</v>
      </c>
      <c r="AQ116" s="184">
        <f t="shared" si="47"/>
        <v>638.35365767425878</v>
      </c>
      <c r="AR116" s="181">
        <f t="shared" si="48"/>
        <v>28</v>
      </c>
      <c r="AS116" s="610"/>
      <c r="AT116" s="187">
        <v>5</v>
      </c>
      <c r="AU116" s="187">
        <v>3191.7682883712941</v>
      </c>
      <c r="AV116" s="184">
        <f t="shared" si="49"/>
        <v>638.35365767425878</v>
      </c>
      <c r="AW116" s="181">
        <f t="shared" si="50"/>
        <v>28</v>
      </c>
      <c r="AX116" s="610"/>
    </row>
    <row r="117" spans="2:50" ht="14.25" customHeight="1">
      <c r="B117" s="611"/>
      <c r="C117" s="179">
        <v>27</v>
      </c>
      <c r="D117" s="182" t="s">
        <v>396</v>
      </c>
      <c r="E117" s="183">
        <v>3</v>
      </c>
      <c r="F117" s="179">
        <v>3000</v>
      </c>
      <c r="G117" s="184">
        <f t="shared" si="36"/>
        <v>1000</v>
      </c>
      <c r="H117" s="612"/>
      <c r="I117" s="185">
        <f t="shared" si="37"/>
        <v>3</v>
      </c>
      <c r="J117" s="185">
        <f t="shared" si="37"/>
        <v>2720.1660232569666</v>
      </c>
      <c r="K117" s="186">
        <f t="shared" si="37"/>
        <v>906.72200775232227</v>
      </c>
      <c r="L117" s="613"/>
      <c r="M117" s="185">
        <f>RANK(K117, K$91:$K$127)</f>
        <v>13</v>
      </c>
      <c r="N117" s="624"/>
      <c r="O117" s="614"/>
      <c r="P117" s="187">
        <v>3</v>
      </c>
      <c r="Q117" s="187">
        <v>2719.0088803998242</v>
      </c>
      <c r="R117" s="184">
        <f t="shared" si="38"/>
        <v>906.33629346660803</v>
      </c>
      <c r="S117" s="181">
        <f t="shared" si="39"/>
        <v>13</v>
      </c>
      <c r="T117" s="610"/>
      <c r="U117" s="187">
        <v>3</v>
      </c>
      <c r="V117" s="187">
        <v>2719.9088803998238</v>
      </c>
      <c r="W117" s="184">
        <f t="shared" si="35"/>
        <v>906.63629346660798</v>
      </c>
      <c r="X117" s="181">
        <f t="shared" si="40"/>
        <v>12</v>
      </c>
      <c r="Y117" s="610"/>
      <c r="Z117" s="187">
        <v>3</v>
      </c>
      <c r="AA117" s="187">
        <v>2719.9088803998238</v>
      </c>
      <c r="AB117" s="184">
        <f t="shared" si="41"/>
        <v>906.63629346660798</v>
      </c>
      <c r="AC117" s="181">
        <f t="shared" si="42"/>
        <v>12</v>
      </c>
      <c r="AD117" s="610"/>
      <c r="AE117" s="187">
        <v>3</v>
      </c>
      <c r="AF117" s="187">
        <v>2720.8088803998235</v>
      </c>
      <c r="AG117" s="184">
        <f t="shared" si="43"/>
        <v>906.93629346660782</v>
      </c>
      <c r="AH117" s="181">
        <f t="shared" si="44"/>
        <v>12</v>
      </c>
      <c r="AI117" s="610"/>
      <c r="AJ117" s="187">
        <v>3</v>
      </c>
      <c r="AK117" s="187">
        <v>2720.8088803998235</v>
      </c>
      <c r="AL117" s="184">
        <f t="shared" si="45"/>
        <v>906.93629346660782</v>
      </c>
      <c r="AM117" s="181">
        <f t="shared" si="46"/>
        <v>12</v>
      </c>
      <c r="AN117" s="610"/>
      <c r="AO117" s="187">
        <v>3</v>
      </c>
      <c r="AP117" s="187">
        <v>2720.8088803998235</v>
      </c>
      <c r="AQ117" s="184">
        <f t="shared" si="47"/>
        <v>906.93629346660782</v>
      </c>
      <c r="AR117" s="181">
        <f t="shared" si="48"/>
        <v>12</v>
      </c>
      <c r="AS117" s="610"/>
      <c r="AT117" s="187">
        <v>3</v>
      </c>
      <c r="AU117" s="187">
        <v>2719.9088803998238</v>
      </c>
      <c r="AV117" s="184">
        <f t="shared" si="49"/>
        <v>906.63629346660798</v>
      </c>
      <c r="AW117" s="181">
        <f t="shared" si="50"/>
        <v>12</v>
      </c>
      <c r="AX117" s="610"/>
    </row>
    <row r="118" spans="2:50" ht="14.25" customHeight="1">
      <c r="B118" s="611"/>
      <c r="C118" s="179">
        <v>28</v>
      </c>
      <c r="D118" s="182" t="s">
        <v>434</v>
      </c>
      <c r="E118" s="183">
        <v>3</v>
      </c>
      <c r="F118" s="179">
        <v>3600</v>
      </c>
      <c r="G118" s="184">
        <f t="shared" si="36"/>
        <v>1200</v>
      </c>
      <c r="H118" s="612"/>
      <c r="I118" s="185">
        <f t="shared" si="37"/>
        <v>3</v>
      </c>
      <c r="J118" s="185">
        <f t="shared" si="37"/>
        <v>3187.642043960263</v>
      </c>
      <c r="K118" s="186">
        <f t="shared" si="37"/>
        <v>1062.5473479867544</v>
      </c>
      <c r="L118" s="613"/>
      <c r="M118" s="185">
        <f>RANK(K118, K$91:$K$127)</f>
        <v>8</v>
      </c>
      <c r="N118" s="624"/>
      <c r="O118" s="614"/>
      <c r="P118" s="187">
        <v>3</v>
      </c>
      <c r="Q118" s="187">
        <v>3186.2534725316928</v>
      </c>
      <c r="R118" s="184">
        <f t="shared" si="38"/>
        <v>1062.0844908438976</v>
      </c>
      <c r="S118" s="181">
        <f t="shared" si="39"/>
        <v>8</v>
      </c>
      <c r="T118" s="610"/>
      <c r="U118" s="187">
        <v>3</v>
      </c>
      <c r="V118" s="187">
        <v>3187.6934725316914</v>
      </c>
      <c r="W118" s="184">
        <f t="shared" si="35"/>
        <v>1062.5644908438971</v>
      </c>
      <c r="X118" s="181">
        <f t="shared" si="40"/>
        <v>6</v>
      </c>
      <c r="Y118" s="610"/>
      <c r="Z118" s="187">
        <v>3</v>
      </c>
      <c r="AA118" s="187">
        <v>3186.9734725316912</v>
      </c>
      <c r="AB118" s="184">
        <f t="shared" si="41"/>
        <v>1062.3244908438971</v>
      </c>
      <c r="AC118" s="181">
        <f t="shared" si="42"/>
        <v>7</v>
      </c>
      <c r="AD118" s="610"/>
      <c r="AE118" s="187">
        <v>3</v>
      </c>
      <c r="AF118" s="187">
        <v>3187.6934725316914</v>
      </c>
      <c r="AG118" s="184">
        <f t="shared" si="43"/>
        <v>1062.5644908438971</v>
      </c>
      <c r="AH118" s="181">
        <f t="shared" si="44"/>
        <v>6</v>
      </c>
      <c r="AI118" s="610"/>
      <c r="AJ118" s="187">
        <v>3</v>
      </c>
      <c r="AK118" s="187">
        <v>3187.6934725316914</v>
      </c>
      <c r="AL118" s="184">
        <f t="shared" si="45"/>
        <v>1062.5644908438971</v>
      </c>
      <c r="AM118" s="181">
        <f t="shared" si="46"/>
        <v>7</v>
      </c>
      <c r="AN118" s="610"/>
      <c r="AO118" s="187">
        <v>3</v>
      </c>
      <c r="AP118" s="187">
        <v>3188.0534725316911</v>
      </c>
      <c r="AQ118" s="184">
        <f t="shared" si="47"/>
        <v>1062.684490843897</v>
      </c>
      <c r="AR118" s="181">
        <f t="shared" si="48"/>
        <v>6</v>
      </c>
      <c r="AS118" s="610"/>
      <c r="AT118" s="187">
        <v>3</v>
      </c>
      <c r="AU118" s="187">
        <v>3189.1334725316915</v>
      </c>
      <c r="AV118" s="184">
        <f t="shared" si="49"/>
        <v>1063.0444908438972</v>
      </c>
      <c r="AW118" s="181">
        <f t="shared" si="50"/>
        <v>4</v>
      </c>
      <c r="AX118" s="610"/>
    </row>
    <row r="119" spans="2:50" ht="14.25" customHeight="1">
      <c r="B119" s="611"/>
      <c r="C119" s="179">
        <v>29</v>
      </c>
      <c r="D119" s="182" t="s">
        <v>440</v>
      </c>
      <c r="E119" s="183">
        <v>4</v>
      </c>
      <c r="F119" s="179">
        <v>3000</v>
      </c>
      <c r="G119" s="184">
        <f t="shared" si="36"/>
        <v>750</v>
      </c>
      <c r="H119" s="612"/>
      <c r="I119" s="185">
        <f t="shared" si="37"/>
        <v>4</v>
      </c>
      <c r="J119" s="185">
        <f t="shared" si="37"/>
        <v>2720.0711039469857</v>
      </c>
      <c r="K119" s="186">
        <f t="shared" si="37"/>
        <v>680.01777598674641</v>
      </c>
      <c r="L119" s="613"/>
      <c r="M119" s="185">
        <f>RANK(K119, K$91:$K$127)</f>
        <v>20</v>
      </c>
      <c r="N119" s="624"/>
      <c r="O119" s="614"/>
      <c r="P119" s="187">
        <v>4</v>
      </c>
      <c r="Q119" s="187">
        <v>2719.3853896612723</v>
      </c>
      <c r="R119" s="184">
        <f t="shared" si="38"/>
        <v>679.84634741531806</v>
      </c>
      <c r="S119" s="181">
        <f t="shared" si="39"/>
        <v>19</v>
      </c>
      <c r="T119" s="610"/>
      <c r="U119" s="187">
        <v>4</v>
      </c>
      <c r="V119" s="187">
        <v>2719.9853896612717</v>
      </c>
      <c r="W119" s="184">
        <f t="shared" si="35"/>
        <v>679.99634741531793</v>
      </c>
      <c r="X119" s="181">
        <f t="shared" si="40"/>
        <v>20</v>
      </c>
      <c r="Y119" s="610"/>
      <c r="Z119" s="187">
        <v>4</v>
      </c>
      <c r="AA119" s="187">
        <v>2719.0853896612716</v>
      </c>
      <c r="AB119" s="184">
        <f t="shared" si="41"/>
        <v>679.7713474153179</v>
      </c>
      <c r="AC119" s="181">
        <f t="shared" si="42"/>
        <v>20</v>
      </c>
      <c r="AD119" s="610"/>
      <c r="AE119" s="187">
        <v>4</v>
      </c>
      <c r="AF119" s="187">
        <v>2719.9853896612717</v>
      </c>
      <c r="AG119" s="184">
        <f t="shared" si="43"/>
        <v>679.99634741531793</v>
      </c>
      <c r="AH119" s="181">
        <f t="shared" si="44"/>
        <v>20</v>
      </c>
      <c r="AI119" s="610"/>
      <c r="AJ119" s="187">
        <v>4</v>
      </c>
      <c r="AK119" s="187">
        <v>2720.5853896612712</v>
      </c>
      <c r="AL119" s="184">
        <f t="shared" si="45"/>
        <v>680.14634741531779</v>
      </c>
      <c r="AM119" s="181">
        <f t="shared" si="46"/>
        <v>19</v>
      </c>
      <c r="AN119" s="610"/>
      <c r="AO119" s="187">
        <v>4</v>
      </c>
      <c r="AP119" s="187">
        <v>2719.9853896612713</v>
      </c>
      <c r="AQ119" s="184">
        <f t="shared" si="47"/>
        <v>679.99634741531781</v>
      </c>
      <c r="AR119" s="181">
        <f t="shared" si="48"/>
        <v>19</v>
      </c>
      <c r="AS119" s="610"/>
      <c r="AT119" s="187">
        <v>4</v>
      </c>
      <c r="AU119" s="187">
        <v>2721.4853896612713</v>
      </c>
      <c r="AV119" s="184">
        <f t="shared" si="49"/>
        <v>680.37134741531781</v>
      </c>
      <c r="AW119" s="181">
        <f t="shared" si="50"/>
        <v>19</v>
      </c>
      <c r="AX119" s="610"/>
    </row>
    <row r="120" spans="2:50" ht="14.25" customHeight="1">
      <c r="B120" s="611"/>
      <c r="C120" s="179">
        <v>30</v>
      </c>
      <c r="D120" s="182" t="s">
        <v>507</v>
      </c>
      <c r="E120" s="183">
        <v>5</v>
      </c>
      <c r="F120" s="179">
        <v>3000</v>
      </c>
      <c r="G120" s="184">
        <f t="shared" si="36"/>
        <v>600</v>
      </c>
      <c r="H120" s="612"/>
      <c r="I120" s="185">
        <f t="shared" si="37"/>
        <v>5</v>
      </c>
      <c r="J120" s="185">
        <f t="shared" si="37"/>
        <v>2721.0005940949095</v>
      </c>
      <c r="K120" s="186">
        <f t="shared" si="37"/>
        <v>544.20011881898188</v>
      </c>
      <c r="L120" s="613"/>
      <c r="M120" s="185">
        <f>RANK(K120, K$91:$K$127)</f>
        <v>33</v>
      </c>
      <c r="N120" s="624"/>
      <c r="O120" s="614"/>
      <c r="P120" s="187">
        <v>5</v>
      </c>
      <c r="Q120" s="187">
        <v>2719.2005940949102</v>
      </c>
      <c r="R120" s="184">
        <f t="shared" si="38"/>
        <v>543.84011881898209</v>
      </c>
      <c r="S120" s="181">
        <f t="shared" si="39"/>
        <v>31</v>
      </c>
      <c r="T120" s="610"/>
      <c r="U120" s="187">
        <v>5</v>
      </c>
      <c r="V120" s="187">
        <v>2719.8005940949101</v>
      </c>
      <c r="W120" s="184">
        <f t="shared" si="35"/>
        <v>543.96011881898198</v>
      </c>
      <c r="X120" s="181">
        <f t="shared" si="40"/>
        <v>32</v>
      </c>
      <c r="Y120" s="610"/>
      <c r="Z120" s="187">
        <v>5</v>
      </c>
      <c r="AA120" s="187">
        <v>2720.1005940949099</v>
      </c>
      <c r="AB120" s="184">
        <f t="shared" si="41"/>
        <v>544.02011881898193</v>
      </c>
      <c r="AC120" s="181">
        <f t="shared" si="42"/>
        <v>32</v>
      </c>
      <c r="AD120" s="610"/>
      <c r="AE120" s="187">
        <v>5</v>
      </c>
      <c r="AF120" s="187">
        <v>2721.3005940949097</v>
      </c>
      <c r="AG120" s="184">
        <f t="shared" si="43"/>
        <v>544.26011881898194</v>
      </c>
      <c r="AH120" s="181">
        <f t="shared" si="44"/>
        <v>32</v>
      </c>
      <c r="AI120" s="610"/>
      <c r="AJ120" s="187">
        <v>5</v>
      </c>
      <c r="AK120" s="187">
        <v>2721.6005940949094</v>
      </c>
      <c r="AL120" s="184">
        <f t="shared" si="45"/>
        <v>544.32011881898188</v>
      </c>
      <c r="AM120" s="181">
        <f t="shared" si="46"/>
        <v>32</v>
      </c>
      <c r="AN120" s="610"/>
      <c r="AO120" s="187">
        <v>5</v>
      </c>
      <c r="AP120" s="187">
        <v>2722.8005940949092</v>
      </c>
      <c r="AQ120" s="184">
        <f t="shared" si="47"/>
        <v>544.56011881898189</v>
      </c>
      <c r="AR120" s="181">
        <f t="shared" si="48"/>
        <v>32</v>
      </c>
      <c r="AS120" s="610"/>
      <c r="AT120" s="187">
        <v>5</v>
      </c>
      <c r="AU120" s="187">
        <v>2722.2005940949098</v>
      </c>
      <c r="AV120" s="184">
        <f t="shared" si="49"/>
        <v>544.440118818982</v>
      </c>
      <c r="AW120" s="181">
        <f t="shared" si="50"/>
        <v>32</v>
      </c>
      <c r="AX120" s="610"/>
    </row>
    <row r="121" spans="2:50" ht="14.25" customHeight="1">
      <c r="B121" s="611"/>
      <c r="C121" s="179">
        <v>31</v>
      </c>
      <c r="D121" s="182" t="s">
        <v>663</v>
      </c>
      <c r="E121" s="179">
        <v>6</v>
      </c>
      <c r="F121" s="179">
        <v>3600</v>
      </c>
      <c r="G121" s="184">
        <f t="shared" si="36"/>
        <v>600</v>
      </c>
      <c r="H121" s="612"/>
      <c r="I121" s="185">
        <f t="shared" si="37"/>
        <v>5.1428571428571432</v>
      </c>
      <c r="J121" s="185">
        <f t="shared" si="37"/>
        <v>3261.7303994574918</v>
      </c>
      <c r="K121" s="186">
        <f t="shared" si="37"/>
        <v>636.81625560760688</v>
      </c>
      <c r="L121" s="613"/>
      <c r="M121" s="185">
        <f>RANK(K121, K$91:$K$127)</f>
        <v>30</v>
      </c>
      <c r="N121" s="624"/>
      <c r="O121" s="614"/>
      <c r="P121" s="187">
        <v>6</v>
      </c>
      <c r="Q121" s="187">
        <v>3261.2630996172256</v>
      </c>
      <c r="R121" s="184">
        <f t="shared" si="38"/>
        <v>543.54384993620431</v>
      </c>
      <c r="S121" s="181">
        <f t="shared" si="39"/>
        <v>32</v>
      </c>
      <c r="T121" s="610"/>
      <c r="U121" s="187">
        <v>5</v>
      </c>
      <c r="V121" s="187">
        <v>3260.9030996172255</v>
      </c>
      <c r="W121" s="184">
        <f t="shared" si="35"/>
        <v>652.18061992344508</v>
      </c>
      <c r="X121" s="181">
        <f t="shared" si="40"/>
        <v>22</v>
      </c>
      <c r="Y121" s="610"/>
      <c r="Z121" s="187">
        <v>5</v>
      </c>
      <c r="AA121" s="187">
        <v>3261.6230996172253</v>
      </c>
      <c r="AB121" s="184">
        <f t="shared" si="41"/>
        <v>652.32461992344508</v>
      </c>
      <c r="AC121" s="181">
        <f t="shared" si="42"/>
        <v>22</v>
      </c>
      <c r="AD121" s="610"/>
      <c r="AE121" s="187">
        <v>5</v>
      </c>
      <c r="AF121" s="187">
        <v>3261.6230996172253</v>
      </c>
      <c r="AG121" s="184">
        <f t="shared" si="43"/>
        <v>652.32461992344508</v>
      </c>
      <c r="AH121" s="181">
        <f t="shared" si="44"/>
        <v>22</v>
      </c>
      <c r="AI121" s="610"/>
      <c r="AJ121" s="187">
        <v>5</v>
      </c>
      <c r="AK121" s="187">
        <v>3261.2630996172256</v>
      </c>
      <c r="AL121" s="184">
        <f t="shared" si="45"/>
        <v>652.25261992344508</v>
      </c>
      <c r="AM121" s="181">
        <f t="shared" si="46"/>
        <v>22</v>
      </c>
      <c r="AN121" s="610"/>
      <c r="AO121" s="187">
        <v>5</v>
      </c>
      <c r="AP121" s="187">
        <v>3261.2630996172256</v>
      </c>
      <c r="AQ121" s="184">
        <f t="shared" si="47"/>
        <v>652.25261992344508</v>
      </c>
      <c r="AR121" s="181">
        <f t="shared" si="48"/>
        <v>22</v>
      </c>
      <c r="AS121" s="610"/>
      <c r="AT121" s="187">
        <v>5</v>
      </c>
      <c r="AU121" s="187">
        <v>3264.1741984990908</v>
      </c>
      <c r="AV121" s="184">
        <f t="shared" si="49"/>
        <v>652.83483969981819</v>
      </c>
      <c r="AW121" s="181">
        <f t="shared" si="50"/>
        <v>22</v>
      </c>
      <c r="AX121" s="610"/>
    </row>
    <row r="122" spans="2:50" ht="14.25" customHeight="1">
      <c r="B122" s="611"/>
      <c r="C122" s="179">
        <v>32</v>
      </c>
      <c r="D122" s="182" t="s">
        <v>690</v>
      </c>
      <c r="E122" s="179">
        <v>4</v>
      </c>
      <c r="F122" s="179">
        <v>3000</v>
      </c>
      <c r="G122" s="184">
        <f t="shared" si="36"/>
        <v>750</v>
      </c>
      <c r="H122" s="612"/>
      <c r="I122" s="185">
        <f t="shared" ref="I122:K126" si="51">AVERAGE(P122,U122,Z122,AE122,AJ122,AO122,AT122)</f>
        <v>4</v>
      </c>
      <c r="J122" s="185">
        <f t="shared" si="51"/>
        <v>2719.6427747972325</v>
      </c>
      <c r="K122" s="186">
        <f t="shared" si="51"/>
        <v>679.91069369930813</v>
      </c>
      <c r="L122" s="613"/>
      <c r="M122" s="185">
        <f>RANK(K122, K$91:$K$127)</f>
        <v>21</v>
      </c>
      <c r="N122" s="624"/>
      <c r="O122" s="614"/>
      <c r="P122" s="187">
        <v>4</v>
      </c>
      <c r="Q122" s="187">
        <v>2718.7427747972324</v>
      </c>
      <c r="R122" s="184">
        <f t="shared" si="38"/>
        <v>679.6856936993081</v>
      </c>
      <c r="S122" s="181">
        <f t="shared" si="39"/>
        <v>20</v>
      </c>
      <c r="T122" s="610"/>
      <c r="U122" s="187">
        <v>4</v>
      </c>
      <c r="V122" s="187">
        <v>2720.242774797232</v>
      </c>
      <c r="W122" s="184">
        <f t="shared" si="35"/>
        <v>680.06069369930799</v>
      </c>
      <c r="X122" s="181">
        <f t="shared" si="40"/>
        <v>19</v>
      </c>
      <c r="Y122" s="610"/>
      <c r="Z122" s="187">
        <v>4</v>
      </c>
      <c r="AA122" s="187">
        <v>2719.3427747972323</v>
      </c>
      <c r="AB122" s="184">
        <f t="shared" si="41"/>
        <v>679.83569369930808</v>
      </c>
      <c r="AC122" s="181">
        <f t="shared" si="42"/>
        <v>19</v>
      </c>
      <c r="AD122" s="610"/>
      <c r="AE122" s="187">
        <v>4</v>
      </c>
      <c r="AF122" s="187">
        <v>2720.242774797232</v>
      </c>
      <c r="AG122" s="184">
        <f t="shared" si="43"/>
        <v>680.06069369930799</v>
      </c>
      <c r="AH122" s="181">
        <f t="shared" si="44"/>
        <v>19</v>
      </c>
      <c r="AI122" s="610"/>
      <c r="AJ122" s="187">
        <v>4</v>
      </c>
      <c r="AK122" s="187">
        <v>2720.5427747972321</v>
      </c>
      <c r="AL122" s="184">
        <f t="shared" si="45"/>
        <v>680.13569369930804</v>
      </c>
      <c r="AM122" s="181">
        <f t="shared" si="46"/>
        <v>20</v>
      </c>
      <c r="AN122" s="610"/>
      <c r="AO122" s="187">
        <v>4</v>
      </c>
      <c r="AP122" s="187">
        <v>2719.6427747972321</v>
      </c>
      <c r="AQ122" s="184">
        <f t="shared" si="47"/>
        <v>679.91069369930801</v>
      </c>
      <c r="AR122" s="181">
        <f t="shared" si="48"/>
        <v>20</v>
      </c>
      <c r="AS122" s="610"/>
      <c r="AT122" s="187">
        <v>4</v>
      </c>
      <c r="AU122" s="187">
        <v>2718.7427747972324</v>
      </c>
      <c r="AV122" s="184">
        <f t="shared" si="49"/>
        <v>679.6856936993081</v>
      </c>
      <c r="AW122" s="181">
        <f t="shared" si="50"/>
        <v>20</v>
      </c>
      <c r="AX122" s="610"/>
    </row>
    <row r="123" spans="2:50" ht="14.25" customHeight="1">
      <c r="B123" s="611"/>
      <c r="C123" s="179">
        <v>33</v>
      </c>
      <c r="D123" s="182" t="s">
        <v>691</v>
      </c>
      <c r="E123" s="179">
        <v>6</v>
      </c>
      <c r="F123" s="179">
        <v>3600</v>
      </c>
      <c r="G123" s="184">
        <f t="shared" si="36"/>
        <v>600</v>
      </c>
      <c r="H123" s="612"/>
      <c r="I123" s="185">
        <f t="shared" si="51"/>
        <v>5.1428571428571432</v>
      </c>
      <c r="J123" s="185">
        <f t="shared" si="51"/>
        <v>3263.1339778323959</v>
      </c>
      <c r="K123" s="186">
        <f t="shared" si="51"/>
        <v>637.10447050197126</v>
      </c>
      <c r="L123" s="613"/>
      <c r="M123" s="185">
        <f>RANK(K123, K$91:$K$127)</f>
        <v>29</v>
      </c>
      <c r="N123" s="624"/>
      <c r="O123" s="614"/>
      <c r="P123" s="187">
        <v>6</v>
      </c>
      <c r="Q123" s="187">
        <v>3259.6882635466823</v>
      </c>
      <c r="R123" s="184">
        <f t="shared" si="38"/>
        <v>543.28137725778038</v>
      </c>
      <c r="S123" s="181">
        <f t="shared" si="39"/>
        <v>33</v>
      </c>
      <c r="T123" s="610"/>
      <c r="U123" s="187">
        <v>5</v>
      </c>
      <c r="V123" s="187">
        <v>3261.1282635466823</v>
      </c>
      <c r="W123" s="184">
        <f t="shared" si="35"/>
        <v>652.22565270933649</v>
      </c>
      <c r="X123" s="181">
        <f t="shared" si="40"/>
        <v>21</v>
      </c>
      <c r="Y123" s="610"/>
      <c r="Z123" s="187">
        <v>5</v>
      </c>
      <c r="AA123" s="187">
        <v>3262.9282635466816</v>
      </c>
      <c r="AB123" s="184">
        <f t="shared" si="41"/>
        <v>652.58565270933627</v>
      </c>
      <c r="AC123" s="181">
        <f t="shared" si="42"/>
        <v>21</v>
      </c>
      <c r="AD123" s="610"/>
      <c r="AE123" s="187">
        <v>5</v>
      </c>
      <c r="AF123" s="187">
        <v>3262.9282635466811</v>
      </c>
      <c r="AG123" s="184">
        <f t="shared" si="43"/>
        <v>652.58565270933627</v>
      </c>
      <c r="AH123" s="181">
        <f t="shared" si="44"/>
        <v>21</v>
      </c>
      <c r="AI123" s="610"/>
      <c r="AJ123" s="187">
        <v>5</v>
      </c>
      <c r="AK123" s="187">
        <v>3264.0082635466815</v>
      </c>
      <c r="AL123" s="184">
        <f t="shared" si="45"/>
        <v>652.80165270933628</v>
      </c>
      <c r="AM123" s="181">
        <f t="shared" si="46"/>
        <v>21</v>
      </c>
      <c r="AN123" s="610"/>
      <c r="AO123" s="187">
        <v>5</v>
      </c>
      <c r="AP123" s="187">
        <v>3265.0882635466819</v>
      </c>
      <c r="AQ123" s="184">
        <f t="shared" si="47"/>
        <v>653.0176527093364</v>
      </c>
      <c r="AR123" s="181">
        <f t="shared" si="48"/>
        <v>21</v>
      </c>
      <c r="AS123" s="610"/>
      <c r="AT123" s="187">
        <v>5</v>
      </c>
      <c r="AU123" s="187">
        <v>3266.1682635466818</v>
      </c>
      <c r="AV123" s="184">
        <f t="shared" si="49"/>
        <v>653.23365270933641</v>
      </c>
      <c r="AW123" s="181">
        <f t="shared" si="50"/>
        <v>21</v>
      </c>
      <c r="AX123" s="610"/>
    </row>
    <row r="124" spans="2:50" ht="14.25" customHeight="1">
      <c r="B124" s="611"/>
      <c r="C124" s="179">
        <v>34</v>
      </c>
      <c r="D124" s="182" t="s">
        <v>484</v>
      </c>
      <c r="E124" s="179">
        <v>13</v>
      </c>
      <c r="F124" s="179">
        <v>3600</v>
      </c>
      <c r="G124" s="184">
        <f t="shared" si="36"/>
        <v>276.92307692307691</v>
      </c>
      <c r="H124" s="612"/>
      <c r="I124" s="185">
        <f t="shared" si="51"/>
        <v>13</v>
      </c>
      <c r="J124" s="185">
        <f t="shared" si="51"/>
        <v>3261.7666255692675</v>
      </c>
      <c r="K124" s="186">
        <f t="shared" si="51"/>
        <v>250.90512504378981</v>
      </c>
      <c r="L124" s="613"/>
      <c r="M124" s="185">
        <f>RANK(K124, K$91:$K$127)</f>
        <v>36</v>
      </c>
      <c r="N124" s="624"/>
      <c r="O124" s="614"/>
      <c r="P124" s="187">
        <v>13</v>
      </c>
      <c r="Q124" s="187">
        <v>3260.5837684264093</v>
      </c>
      <c r="R124" s="184">
        <f t="shared" si="38"/>
        <v>250.81413603280072</v>
      </c>
      <c r="S124" s="181">
        <f t="shared" si="39"/>
        <v>36</v>
      </c>
      <c r="T124" s="610"/>
      <c r="U124" s="187">
        <v>13</v>
      </c>
      <c r="V124" s="187">
        <v>3260.5837684264097</v>
      </c>
      <c r="W124" s="184">
        <f t="shared" si="35"/>
        <v>250.81413603280075</v>
      </c>
      <c r="X124" s="181">
        <f t="shared" si="40"/>
        <v>35</v>
      </c>
      <c r="Y124" s="610"/>
      <c r="Z124" s="187">
        <v>13</v>
      </c>
      <c r="AA124" s="187">
        <v>3262.3837684264099</v>
      </c>
      <c r="AB124" s="184">
        <f t="shared" si="41"/>
        <v>250.95259757126229</v>
      </c>
      <c r="AC124" s="181">
        <f t="shared" si="42"/>
        <v>35</v>
      </c>
      <c r="AD124" s="610"/>
      <c r="AE124" s="187">
        <v>13</v>
      </c>
      <c r="AF124" s="187">
        <v>3261.6637684264101</v>
      </c>
      <c r="AG124" s="184">
        <f t="shared" si="43"/>
        <v>250.89721295587771</v>
      </c>
      <c r="AH124" s="181">
        <f t="shared" si="44"/>
        <v>35</v>
      </c>
      <c r="AI124" s="610"/>
      <c r="AJ124" s="187">
        <v>13</v>
      </c>
      <c r="AK124" s="187">
        <v>3262.0237684264102</v>
      </c>
      <c r="AL124" s="184">
        <f t="shared" si="45"/>
        <v>250.92490526357003</v>
      </c>
      <c r="AM124" s="181">
        <f t="shared" si="46"/>
        <v>35</v>
      </c>
      <c r="AN124" s="610"/>
      <c r="AO124" s="187">
        <v>13</v>
      </c>
      <c r="AP124" s="187">
        <v>3262.0237684264107</v>
      </c>
      <c r="AQ124" s="184">
        <f t="shared" si="47"/>
        <v>250.92490526357005</v>
      </c>
      <c r="AR124" s="181">
        <f t="shared" si="48"/>
        <v>35</v>
      </c>
      <c r="AS124" s="610"/>
      <c r="AT124" s="187">
        <v>13</v>
      </c>
      <c r="AU124" s="187">
        <v>3263.1037684264111</v>
      </c>
      <c r="AV124" s="184">
        <f t="shared" si="49"/>
        <v>251.00798218664701</v>
      </c>
      <c r="AW124" s="181">
        <f t="shared" si="50"/>
        <v>35</v>
      </c>
      <c r="AX124" s="610"/>
    </row>
    <row r="125" spans="2:50" ht="14.25" customHeight="1">
      <c r="B125" s="611"/>
      <c r="C125" s="179">
        <v>35</v>
      </c>
      <c r="D125" s="182" t="s">
        <v>345</v>
      </c>
      <c r="E125" s="179">
        <v>3</v>
      </c>
      <c r="F125" s="179">
        <v>3000</v>
      </c>
      <c r="G125" s="184">
        <f t="shared" si="36"/>
        <v>1000</v>
      </c>
      <c r="H125" s="612"/>
      <c r="I125" s="185">
        <f t="shared" si="51"/>
        <v>3</v>
      </c>
      <c r="J125" s="185">
        <f t="shared" si="51"/>
        <v>2718.3110646916716</v>
      </c>
      <c r="K125" s="186">
        <f t="shared" si="51"/>
        <v>906.10368823055728</v>
      </c>
      <c r="L125" s="613"/>
      <c r="M125" s="185">
        <f>RANK(K125, K$91:$K$127)</f>
        <v>14</v>
      </c>
      <c r="N125" s="624"/>
      <c r="O125" s="614"/>
      <c r="P125" s="187">
        <v>3</v>
      </c>
      <c r="Q125" s="187">
        <v>2717.6253504059578</v>
      </c>
      <c r="R125" s="184">
        <f t="shared" si="38"/>
        <v>905.87511680198588</v>
      </c>
      <c r="S125" s="181">
        <f t="shared" si="39"/>
        <v>14</v>
      </c>
      <c r="T125" s="610"/>
      <c r="U125" s="187">
        <v>3</v>
      </c>
      <c r="V125" s="187">
        <v>2718.2253504059572</v>
      </c>
      <c r="W125" s="184">
        <f t="shared" si="35"/>
        <v>906.0751168019857</v>
      </c>
      <c r="X125" s="181">
        <f t="shared" si="40"/>
        <v>13</v>
      </c>
      <c r="Y125" s="610"/>
      <c r="Z125" s="187">
        <v>3</v>
      </c>
      <c r="AA125" s="187">
        <v>2719.4253504059575</v>
      </c>
      <c r="AB125" s="184">
        <f t="shared" si="41"/>
        <v>906.47511680198579</v>
      </c>
      <c r="AC125" s="181">
        <f t="shared" si="42"/>
        <v>13</v>
      </c>
      <c r="AD125" s="610"/>
      <c r="AE125" s="187">
        <v>3</v>
      </c>
      <c r="AF125" s="187">
        <v>2718.8253504059576</v>
      </c>
      <c r="AG125" s="184">
        <f t="shared" si="43"/>
        <v>906.27511680198586</v>
      </c>
      <c r="AH125" s="181">
        <f t="shared" si="44"/>
        <v>13</v>
      </c>
      <c r="AI125" s="610"/>
      <c r="AJ125" s="187">
        <v>3</v>
      </c>
      <c r="AK125" s="187">
        <v>2718.8253504059585</v>
      </c>
      <c r="AL125" s="184">
        <f t="shared" si="45"/>
        <v>906.2751168019862</v>
      </c>
      <c r="AM125" s="181">
        <f t="shared" si="46"/>
        <v>13</v>
      </c>
      <c r="AN125" s="610"/>
      <c r="AO125" s="187">
        <v>3</v>
      </c>
      <c r="AP125" s="187">
        <v>2717.3253504059576</v>
      </c>
      <c r="AQ125" s="184">
        <f t="shared" si="47"/>
        <v>905.77511680198586</v>
      </c>
      <c r="AR125" s="181">
        <f t="shared" si="48"/>
        <v>13</v>
      </c>
      <c r="AS125" s="610"/>
      <c r="AT125" s="187">
        <v>3</v>
      </c>
      <c r="AU125" s="187">
        <v>2717.9253504059579</v>
      </c>
      <c r="AV125" s="184">
        <f t="shared" si="49"/>
        <v>905.97511680198602</v>
      </c>
      <c r="AW125" s="181">
        <f t="shared" si="50"/>
        <v>13</v>
      </c>
      <c r="AX125" s="610"/>
    </row>
    <row r="126" spans="2:50" ht="14.25" customHeight="1">
      <c r="B126" s="611"/>
      <c r="C126" s="179">
        <v>36</v>
      </c>
      <c r="D126" s="182" t="s">
        <v>436</v>
      </c>
      <c r="E126" s="179">
        <v>12</v>
      </c>
      <c r="F126" s="179">
        <v>3600</v>
      </c>
      <c r="G126" s="184">
        <f t="shared" si="36"/>
        <v>300</v>
      </c>
      <c r="H126" s="612"/>
      <c r="I126" s="185">
        <f t="shared" si="51"/>
        <v>12</v>
      </c>
      <c r="J126" s="185">
        <f t="shared" si="51"/>
        <v>3119.1011204348092</v>
      </c>
      <c r="K126" s="186">
        <f t="shared" si="51"/>
        <v>259.92509336956743</v>
      </c>
      <c r="L126" s="613"/>
      <c r="M126" s="185">
        <f>RANK(K126, K$91:$K$127)</f>
        <v>35</v>
      </c>
      <c r="N126" s="624"/>
      <c r="O126" s="614"/>
      <c r="P126" s="187">
        <v>12</v>
      </c>
      <c r="Q126" s="187">
        <v>3119.2512706954089</v>
      </c>
      <c r="R126" s="184">
        <f t="shared" si="38"/>
        <v>259.93760589128408</v>
      </c>
      <c r="S126" s="181">
        <f t="shared" si="39"/>
        <v>35</v>
      </c>
      <c r="T126" s="610"/>
      <c r="U126" s="187">
        <v>12</v>
      </c>
      <c r="V126" s="187">
        <v>3119.6112706954082</v>
      </c>
      <c r="W126" s="184">
        <f t="shared" si="35"/>
        <v>259.96760589128399</v>
      </c>
      <c r="X126" s="181">
        <f t="shared" si="40"/>
        <v>34</v>
      </c>
      <c r="Y126" s="610"/>
      <c r="Z126" s="187">
        <v>12</v>
      </c>
      <c r="AA126" s="187">
        <v>3118.8912706954079</v>
      </c>
      <c r="AB126" s="184">
        <f t="shared" si="41"/>
        <v>259.90760589128399</v>
      </c>
      <c r="AC126" s="181">
        <f t="shared" si="42"/>
        <v>34</v>
      </c>
      <c r="AD126" s="610"/>
      <c r="AE126" s="187">
        <v>12</v>
      </c>
      <c r="AF126" s="187">
        <v>3118.8912706954079</v>
      </c>
      <c r="AG126" s="184">
        <f t="shared" si="43"/>
        <v>259.90760589128399</v>
      </c>
      <c r="AH126" s="181">
        <f t="shared" si="44"/>
        <v>34</v>
      </c>
      <c r="AI126" s="610"/>
      <c r="AJ126" s="187">
        <v>12</v>
      </c>
      <c r="AK126" s="187">
        <v>3118.5312706954078</v>
      </c>
      <c r="AL126" s="184">
        <f t="shared" si="45"/>
        <v>259.87760589128396</v>
      </c>
      <c r="AM126" s="181">
        <f t="shared" si="46"/>
        <v>34</v>
      </c>
      <c r="AN126" s="610"/>
      <c r="AO126" s="187">
        <v>12</v>
      </c>
      <c r="AP126" s="187">
        <v>3117.8112706954075</v>
      </c>
      <c r="AQ126" s="184">
        <f t="shared" si="47"/>
        <v>259.81760589128396</v>
      </c>
      <c r="AR126" s="181">
        <f t="shared" si="48"/>
        <v>34</v>
      </c>
      <c r="AS126" s="610"/>
      <c r="AT126" s="187">
        <v>12</v>
      </c>
      <c r="AU126" s="187">
        <v>3120.7202188712145</v>
      </c>
      <c r="AV126" s="184">
        <f t="shared" si="49"/>
        <v>260.06001823926789</v>
      </c>
      <c r="AW126" s="181">
        <f t="shared" si="50"/>
        <v>33</v>
      </c>
      <c r="AX126" s="610"/>
    </row>
    <row r="127" spans="2:50" ht="14.25" customHeight="1">
      <c r="B127" s="611"/>
      <c r="C127" s="179">
        <v>37</v>
      </c>
      <c r="D127" s="182"/>
      <c r="E127" s="179"/>
      <c r="F127" s="179"/>
      <c r="G127" s="184"/>
      <c r="H127" s="612"/>
      <c r="I127" s="185"/>
      <c r="J127" s="185"/>
      <c r="K127" s="186"/>
      <c r="L127" s="613"/>
      <c r="M127" s="185"/>
      <c r="N127" s="624"/>
      <c r="O127" s="614"/>
      <c r="P127" s="187"/>
      <c r="Q127" s="187"/>
      <c r="R127" s="184"/>
      <c r="S127" s="181"/>
      <c r="T127" s="610"/>
      <c r="U127" s="187"/>
      <c r="V127" s="187"/>
      <c r="W127" s="184"/>
      <c r="X127" s="181"/>
      <c r="Y127" s="610"/>
      <c r="Z127" s="187"/>
      <c r="AA127" s="187"/>
      <c r="AB127" s="184"/>
      <c r="AC127" s="181"/>
      <c r="AD127" s="610"/>
      <c r="AE127" s="187"/>
      <c r="AF127" s="187"/>
      <c r="AG127" s="184"/>
      <c r="AH127" s="181"/>
      <c r="AI127" s="610"/>
      <c r="AJ127" s="187"/>
      <c r="AK127" s="187"/>
      <c r="AL127" s="184"/>
      <c r="AM127" s="181"/>
      <c r="AN127" s="610"/>
      <c r="AO127" s="187"/>
      <c r="AP127" s="187"/>
      <c r="AQ127" s="184"/>
      <c r="AR127" s="181"/>
      <c r="AS127" s="610"/>
      <c r="AT127" s="187"/>
      <c r="AU127" s="187"/>
      <c r="AV127" s="184"/>
      <c r="AW127" s="181"/>
      <c r="AX127" s="610"/>
    </row>
    <row r="128" spans="2:50" ht="14.25" customHeight="1">
      <c r="B128" s="625" t="s">
        <v>847</v>
      </c>
      <c r="C128" s="625"/>
      <c r="D128" s="625"/>
      <c r="E128" s="625"/>
      <c r="F128" s="625"/>
      <c r="G128" s="625"/>
      <c r="H128" s="625"/>
      <c r="I128" s="625"/>
      <c r="J128" s="625"/>
      <c r="K128" s="625"/>
      <c r="L128" s="625"/>
      <c r="M128" s="627"/>
      <c r="N128" s="630" t="s">
        <v>363</v>
      </c>
      <c r="O128" s="630" t="s">
        <v>105</v>
      </c>
      <c r="P128" s="632">
        <v>46224</v>
      </c>
      <c r="Q128" s="633"/>
      <c r="R128" s="633"/>
      <c r="S128" s="633"/>
      <c r="T128" s="633"/>
      <c r="U128" s="634">
        <v>46225</v>
      </c>
      <c r="V128" s="635"/>
      <c r="W128" s="635"/>
      <c r="X128" s="635"/>
      <c r="Y128" s="635"/>
      <c r="Z128" s="632">
        <v>46226</v>
      </c>
      <c r="AA128" s="633"/>
      <c r="AB128" s="633"/>
      <c r="AC128" s="633"/>
      <c r="AD128" s="633"/>
      <c r="AE128" s="634">
        <v>46227</v>
      </c>
      <c r="AF128" s="635"/>
      <c r="AG128" s="635"/>
      <c r="AH128" s="635"/>
      <c r="AI128" s="635"/>
      <c r="AJ128" s="616">
        <v>46228</v>
      </c>
      <c r="AK128" s="617"/>
      <c r="AL128" s="617"/>
      <c r="AM128" s="617"/>
      <c r="AN128" s="618"/>
      <c r="AO128" s="634">
        <v>46229</v>
      </c>
      <c r="AP128" s="635"/>
      <c r="AQ128" s="635"/>
      <c r="AR128" s="635"/>
      <c r="AS128" s="635"/>
      <c r="AT128" s="616">
        <v>46230</v>
      </c>
      <c r="AU128" s="617"/>
      <c r="AV128" s="617"/>
      <c r="AW128" s="617"/>
      <c r="AX128" s="618"/>
    </row>
    <row r="129" spans="1:50" ht="14.25" customHeight="1">
      <c r="B129" s="628"/>
      <c r="C129" s="628"/>
      <c r="D129" s="628"/>
      <c r="E129" s="628"/>
      <c r="F129" s="628"/>
      <c r="G129" s="628"/>
      <c r="H129" s="628"/>
      <c r="I129" s="628"/>
      <c r="J129" s="628"/>
      <c r="K129" s="628"/>
      <c r="L129" s="628"/>
      <c r="M129" s="629"/>
      <c r="N129" s="631"/>
      <c r="O129" s="631"/>
      <c r="P129" s="619">
        <v>46196</v>
      </c>
      <c r="Q129" s="619"/>
      <c r="R129" s="619"/>
      <c r="S129" s="619"/>
      <c r="T129" s="619"/>
      <c r="U129" s="620">
        <v>46197</v>
      </c>
      <c r="V129" s="620"/>
      <c r="W129" s="620"/>
      <c r="X129" s="620"/>
      <c r="Y129" s="620"/>
      <c r="Z129" s="619">
        <v>46198</v>
      </c>
      <c r="AA129" s="619"/>
      <c r="AB129" s="619"/>
      <c r="AC129" s="619"/>
      <c r="AD129" s="619"/>
      <c r="AE129" s="620">
        <v>46199</v>
      </c>
      <c r="AF129" s="620"/>
      <c r="AG129" s="620"/>
      <c r="AH129" s="620"/>
      <c r="AI129" s="620"/>
      <c r="AJ129" s="621">
        <v>46200</v>
      </c>
      <c r="AK129" s="622"/>
      <c r="AL129" s="622"/>
      <c r="AM129" s="622"/>
      <c r="AN129" s="623"/>
      <c r="AO129" s="620">
        <v>46201</v>
      </c>
      <c r="AP129" s="620"/>
      <c r="AQ129" s="620"/>
      <c r="AR129" s="620"/>
      <c r="AS129" s="620"/>
      <c r="AT129" s="621">
        <v>46202</v>
      </c>
      <c r="AU129" s="622"/>
      <c r="AV129" s="622"/>
      <c r="AW129" s="622"/>
      <c r="AX129" s="623"/>
    </row>
    <row r="130" spans="1:50" ht="14.25" customHeight="1">
      <c r="B130" s="611" t="s">
        <v>162</v>
      </c>
      <c r="C130" s="611" t="s">
        <v>157</v>
      </c>
      <c r="D130" s="611"/>
      <c r="E130" s="611" t="s">
        <v>158</v>
      </c>
      <c r="F130" s="611"/>
      <c r="G130" s="611"/>
      <c r="H130" s="611" t="s">
        <v>163</v>
      </c>
      <c r="I130" s="615" t="s">
        <v>364</v>
      </c>
      <c r="J130" s="615"/>
      <c r="K130" s="615"/>
      <c r="L130" s="615" t="s">
        <v>163</v>
      </c>
      <c r="M130" s="615" t="s">
        <v>165</v>
      </c>
      <c r="N130" s="624"/>
      <c r="O130" s="614" t="s">
        <v>164</v>
      </c>
      <c r="P130" s="614" t="s">
        <v>160</v>
      </c>
      <c r="Q130" s="614"/>
      <c r="R130" s="614"/>
      <c r="S130" s="614"/>
      <c r="T130" s="614" t="s">
        <v>163</v>
      </c>
      <c r="U130" s="614" t="s">
        <v>160</v>
      </c>
      <c r="V130" s="614"/>
      <c r="W130" s="614"/>
      <c r="X130" s="614"/>
      <c r="Y130" s="614" t="s">
        <v>163</v>
      </c>
      <c r="Z130" s="614" t="s">
        <v>160</v>
      </c>
      <c r="AA130" s="614"/>
      <c r="AB130" s="614"/>
      <c r="AC130" s="614"/>
      <c r="AD130" s="614" t="s">
        <v>163</v>
      </c>
      <c r="AE130" s="614" t="s">
        <v>160</v>
      </c>
      <c r="AF130" s="614"/>
      <c r="AG130" s="614"/>
      <c r="AH130" s="614"/>
      <c r="AI130" s="614" t="s">
        <v>163</v>
      </c>
      <c r="AJ130" s="614" t="s">
        <v>160</v>
      </c>
      <c r="AK130" s="614"/>
      <c r="AL130" s="614"/>
      <c r="AM130" s="614"/>
      <c r="AN130" s="614" t="s">
        <v>163</v>
      </c>
      <c r="AO130" s="614" t="s">
        <v>160</v>
      </c>
      <c r="AP130" s="614"/>
      <c r="AQ130" s="614"/>
      <c r="AR130" s="614"/>
      <c r="AS130" s="614" t="s">
        <v>163</v>
      </c>
      <c r="AT130" s="614" t="s">
        <v>160</v>
      </c>
      <c r="AU130" s="614"/>
      <c r="AV130" s="614"/>
      <c r="AW130" s="614"/>
      <c r="AX130" s="614" t="s">
        <v>163</v>
      </c>
    </row>
    <row r="131" spans="1:50" ht="14.25" customHeight="1">
      <c r="B131" s="611"/>
      <c r="C131" s="611"/>
      <c r="D131" s="611"/>
      <c r="E131" s="611" t="s">
        <v>365</v>
      </c>
      <c r="F131" s="611"/>
      <c r="G131" s="611"/>
      <c r="H131" s="611"/>
      <c r="I131" s="615" t="s">
        <v>365</v>
      </c>
      <c r="J131" s="615"/>
      <c r="K131" s="615"/>
      <c r="L131" s="615"/>
      <c r="M131" s="615"/>
      <c r="N131" s="624"/>
      <c r="O131" s="614"/>
      <c r="P131" s="614" t="s">
        <v>366</v>
      </c>
      <c r="Q131" s="614"/>
      <c r="R131" s="614"/>
      <c r="S131" s="614"/>
      <c r="T131" s="614"/>
      <c r="U131" s="614" t="s">
        <v>366</v>
      </c>
      <c r="V131" s="614"/>
      <c r="W131" s="614"/>
      <c r="X131" s="614"/>
      <c r="Y131" s="614"/>
      <c r="Z131" s="614" t="s">
        <v>366</v>
      </c>
      <c r="AA131" s="614"/>
      <c r="AB131" s="614"/>
      <c r="AC131" s="614"/>
      <c r="AD131" s="614"/>
      <c r="AE131" s="614" t="s">
        <v>366</v>
      </c>
      <c r="AF131" s="614"/>
      <c r="AG131" s="614"/>
      <c r="AH131" s="614"/>
      <c r="AI131" s="614"/>
      <c r="AJ131" s="614" t="s">
        <v>366</v>
      </c>
      <c r="AK131" s="614"/>
      <c r="AL131" s="614"/>
      <c r="AM131" s="614"/>
      <c r="AN131" s="614"/>
      <c r="AO131" s="614" t="s">
        <v>366</v>
      </c>
      <c r="AP131" s="614"/>
      <c r="AQ131" s="614"/>
      <c r="AR131" s="614"/>
      <c r="AS131" s="614"/>
      <c r="AT131" s="614" t="s">
        <v>366</v>
      </c>
      <c r="AU131" s="614"/>
      <c r="AV131" s="614"/>
      <c r="AW131" s="614"/>
      <c r="AX131" s="614"/>
    </row>
    <row r="132" spans="1:50" ht="14.25" customHeight="1">
      <c r="A132" s="176"/>
      <c r="B132" s="611"/>
      <c r="C132" s="611"/>
      <c r="D132" s="611"/>
      <c r="E132" s="179" t="s">
        <v>159</v>
      </c>
      <c r="F132" s="179" t="s">
        <v>367</v>
      </c>
      <c r="G132" s="179" t="s">
        <v>161</v>
      </c>
      <c r="H132" s="611"/>
      <c r="I132" s="180" t="s">
        <v>159</v>
      </c>
      <c r="J132" s="180" t="s">
        <v>367</v>
      </c>
      <c r="K132" s="180" t="s">
        <v>161</v>
      </c>
      <c r="L132" s="615"/>
      <c r="M132" s="615"/>
      <c r="N132" s="624"/>
      <c r="O132" s="614"/>
      <c r="P132" s="181" t="s">
        <v>159</v>
      </c>
      <c r="Q132" s="181" t="s">
        <v>367</v>
      </c>
      <c r="R132" s="181" t="s">
        <v>161</v>
      </c>
      <c r="S132" s="181" t="s">
        <v>165</v>
      </c>
      <c r="T132" s="614"/>
      <c r="U132" s="181" t="s">
        <v>159</v>
      </c>
      <c r="V132" s="181" t="s">
        <v>367</v>
      </c>
      <c r="W132" s="181" t="s">
        <v>161</v>
      </c>
      <c r="X132" s="181" t="s">
        <v>165</v>
      </c>
      <c r="Y132" s="614"/>
      <c r="Z132" s="181" t="s">
        <v>159</v>
      </c>
      <c r="AA132" s="181" t="s">
        <v>367</v>
      </c>
      <c r="AB132" s="181" t="s">
        <v>161</v>
      </c>
      <c r="AC132" s="181" t="s">
        <v>165</v>
      </c>
      <c r="AD132" s="614"/>
      <c r="AE132" s="181" t="s">
        <v>159</v>
      </c>
      <c r="AF132" s="181" t="s">
        <v>367</v>
      </c>
      <c r="AG132" s="181" t="s">
        <v>161</v>
      </c>
      <c r="AH132" s="181" t="s">
        <v>165</v>
      </c>
      <c r="AI132" s="614"/>
      <c r="AJ132" s="181" t="s">
        <v>159</v>
      </c>
      <c r="AK132" s="181" t="s">
        <v>367</v>
      </c>
      <c r="AL132" s="181" t="s">
        <v>161</v>
      </c>
      <c r="AM132" s="181" t="s">
        <v>165</v>
      </c>
      <c r="AN132" s="614"/>
      <c r="AO132" s="181" t="s">
        <v>159</v>
      </c>
      <c r="AP132" s="181" t="s">
        <v>367</v>
      </c>
      <c r="AQ132" s="181" t="s">
        <v>161</v>
      </c>
      <c r="AR132" s="181" t="s">
        <v>165</v>
      </c>
      <c r="AS132" s="614"/>
      <c r="AT132" s="181" t="s">
        <v>159</v>
      </c>
      <c r="AU132" s="181" t="s">
        <v>367</v>
      </c>
      <c r="AV132" s="181" t="s">
        <v>161</v>
      </c>
      <c r="AW132" s="181" t="s">
        <v>165</v>
      </c>
      <c r="AX132" s="614"/>
    </row>
    <row r="133" spans="1:50" ht="14.25" customHeight="1">
      <c r="B133" s="611" t="s">
        <v>368</v>
      </c>
      <c r="C133" s="179">
        <v>1</v>
      </c>
      <c r="D133" s="182" t="s">
        <v>393</v>
      </c>
      <c r="E133" s="183">
        <v>4</v>
      </c>
      <c r="F133" s="179">
        <v>3300</v>
      </c>
      <c r="G133" s="184">
        <f>IFERROR(F133/E133,"")</f>
        <v>825</v>
      </c>
      <c r="H133" s="612">
        <f>AVERAGE(G133:G169)</f>
        <v>865.57142857142856</v>
      </c>
      <c r="I133" s="185">
        <f>AVERAGE(P133,U133,Z133,AE133,AJ133,AO133,AT133)</f>
        <v>4</v>
      </c>
      <c r="J133" s="185">
        <f>AVERAGE(Q133,V133,AA133,AF133,AK133,AP133,AU133)</f>
        <v>2991.2220435215504</v>
      </c>
      <c r="K133" s="186">
        <f>AVERAGE(R133,W133,AB133,AG133,AL133,AQ133,AV133)</f>
        <v>747.8055108803876</v>
      </c>
      <c r="L133" s="613">
        <f>IFERROR(AVERAGE(K133:K169),"-")</f>
        <v>775.16269199566943</v>
      </c>
      <c r="M133" s="185">
        <f>RANK(K133, K$133:$K$169)</f>
        <v>17</v>
      </c>
      <c r="N133" s="624"/>
      <c r="O133" s="614"/>
      <c r="P133" s="187">
        <v>4</v>
      </c>
      <c r="Q133" s="187">
        <v>2988.9159352172042</v>
      </c>
      <c r="R133" s="184">
        <f>IFERROR(Q133/P133,"")</f>
        <v>747.22898380430104</v>
      </c>
      <c r="S133" s="181">
        <f>RANK(R133, R$133:R$169)</f>
        <v>17</v>
      </c>
      <c r="T133" s="610">
        <f>AVERAGE(R133:R169)</f>
        <v>773.34864772115509</v>
      </c>
      <c r="U133" s="187">
        <v>4</v>
      </c>
      <c r="V133" s="187">
        <v>2988.9159352172042</v>
      </c>
      <c r="W133" s="184">
        <f t="shared" ref="W133:W167" si="52">IFERROR(V133/U133,"")</f>
        <v>747.22898380430104</v>
      </c>
      <c r="X133" s="181">
        <f>RANK(W133, W$133:W$169)</f>
        <v>17</v>
      </c>
      <c r="Y133" s="610">
        <f>AVERAGE(W133:W169)</f>
        <v>773.99287117626943</v>
      </c>
      <c r="Z133" s="187">
        <v>4</v>
      </c>
      <c r="AA133" s="187">
        <v>2989.9059352172039</v>
      </c>
      <c r="AB133" s="184">
        <f>IFERROR(AA133/Z133,"")</f>
        <v>747.47648380430098</v>
      </c>
      <c r="AC133" s="181">
        <f>RANK(AB133, AB$133:AB$169)</f>
        <v>17</v>
      </c>
      <c r="AD133" s="610">
        <f>AVERAGE(AB133:AB169)</f>
        <v>774.68555534816528</v>
      </c>
      <c r="AE133" s="187">
        <v>4</v>
      </c>
      <c r="AF133" s="187">
        <v>2990.5659352172038</v>
      </c>
      <c r="AG133" s="184">
        <f>IFERROR(AF133/AE133,"")</f>
        <v>747.64148380430095</v>
      </c>
      <c r="AH133" s="181">
        <f>RANK(AG133, AG$133:AG$169)</f>
        <v>17</v>
      </c>
      <c r="AI133" s="610">
        <f>AVERAGE(AG133:AG169)</f>
        <v>775.45619552789526</v>
      </c>
      <c r="AJ133" s="187">
        <v>4</v>
      </c>
      <c r="AK133" s="187">
        <v>2991.885935217204</v>
      </c>
      <c r="AL133" s="184">
        <f>IFERROR(AK133/AJ133,"")</f>
        <v>747.97148380430099</v>
      </c>
      <c r="AM133" s="181">
        <f>RANK(AL133, AL$133:AL$169)</f>
        <v>17</v>
      </c>
      <c r="AN133" s="610">
        <f>AVERAGE(AL133:AL169)</f>
        <v>775.84045752193572</v>
      </c>
      <c r="AO133" s="187">
        <v>4</v>
      </c>
      <c r="AP133" s="187">
        <v>2993.2059352172032</v>
      </c>
      <c r="AQ133" s="184">
        <f>IFERROR(AP133/AO133,"")</f>
        <v>748.3014838043008</v>
      </c>
      <c r="AR133" s="181">
        <f>RANK(AQ133, AQ$133:AQ$169)</f>
        <v>17</v>
      </c>
      <c r="AS133" s="610">
        <f>AVERAGE(AQ133:AQ169)</f>
        <v>776.10585350309884</v>
      </c>
      <c r="AT133" s="187">
        <v>4</v>
      </c>
      <c r="AU133" s="187">
        <v>2995.1586933476324</v>
      </c>
      <c r="AV133" s="184">
        <f>IFERROR(AU133/AT133,"")</f>
        <v>748.78967333690809</v>
      </c>
      <c r="AW133" s="181">
        <f>RANK(AV133, AV$133:AV$169)</f>
        <v>17</v>
      </c>
      <c r="AX133" s="610">
        <f>AVERAGE(AV133:AV169)</f>
        <v>776.70926317116698</v>
      </c>
    </row>
    <row r="134" spans="1:50" ht="14.25" customHeight="1">
      <c r="B134" s="611"/>
      <c r="C134" s="179">
        <v>2</v>
      </c>
      <c r="D134" s="182" t="s">
        <v>391</v>
      </c>
      <c r="E134" s="183">
        <v>3</v>
      </c>
      <c r="F134" s="179">
        <v>3600</v>
      </c>
      <c r="G134" s="184">
        <f t="shared" ref="G134:G167" si="53">IFERROR(F134/E134,"")</f>
        <v>1200</v>
      </c>
      <c r="H134" s="612"/>
      <c r="I134" s="185">
        <f t="shared" ref="I134:K163" si="54">AVERAGE(P134,U134,Z134,AE134,AJ134,AO134,AT134)</f>
        <v>3</v>
      </c>
      <c r="J134" s="185">
        <f t="shared" si="54"/>
        <v>3197.9193013051313</v>
      </c>
      <c r="K134" s="186">
        <f t="shared" si="54"/>
        <v>1065.9731004350438</v>
      </c>
      <c r="L134" s="613"/>
      <c r="M134" s="185">
        <f>RANK(K134, K$133:$K$169)</f>
        <v>6</v>
      </c>
      <c r="N134" s="624"/>
      <c r="O134" s="614"/>
      <c r="P134" s="187">
        <v>3</v>
      </c>
      <c r="Q134" s="187">
        <v>3193.5480639415819</v>
      </c>
      <c r="R134" s="184">
        <f t="shared" ref="R134:R167" si="55">IFERROR(Q134/P134,"")</f>
        <v>1064.5160213138606</v>
      </c>
      <c r="S134" s="181">
        <f t="shared" ref="S134:S167" si="56">RANK(R134, R$133:R$169)</f>
        <v>6</v>
      </c>
      <c r="T134" s="610"/>
      <c r="U134" s="187">
        <v>3</v>
      </c>
      <c r="V134" s="187">
        <v>3195.5803616607582</v>
      </c>
      <c r="W134" s="184">
        <f t="shared" si="52"/>
        <v>1065.1934538869193</v>
      </c>
      <c r="X134" s="181">
        <f t="shared" ref="X134:X167" si="57">RANK(W134, W$133:W$169)</f>
        <v>5</v>
      </c>
      <c r="Y134" s="610"/>
      <c r="Z134" s="187">
        <v>3</v>
      </c>
      <c r="AA134" s="187">
        <v>3197.0203616607578</v>
      </c>
      <c r="AB134" s="184">
        <f t="shared" ref="AB134:AB167" si="58">IFERROR(AA134/Z134,"")</f>
        <v>1065.6734538869193</v>
      </c>
      <c r="AC134" s="181">
        <f t="shared" ref="AC134:AC167" si="59">RANK(AB134, AB$133:AB$169)</f>
        <v>5</v>
      </c>
      <c r="AD134" s="610"/>
      <c r="AE134" s="187">
        <v>3</v>
      </c>
      <c r="AF134" s="187">
        <v>3197.740361660758</v>
      </c>
      <c r="AG134" s="184">
        <f t="shared" ref="AG134:AG167" si="60">IFERROR(AF134/AE134,"")</f>
        <v>1065.9134538869193</v>
      </c>
      <c r="AH134" s="181">
        <f t="shared" ref="AH134:AH167" si="61">RANK(AG134, AG$133:AG$169)</f>
        <v>6</v>
      </c>
      <c r="AI134" s="610"/>
      <c r="AJ134" s="187">
        <v>3</v>
      </c>
      <c r="AK134" s="187">
        <v>3198.1003616607577</v>
      </c>
      <c r="AL134" s="184">
        <f t="shared" ref="AL134:AL167" si="62">IFERROR(AK134/AJ134,"")</f>
        <v>1066.0334538869192</v>
      </c>
      <c r="AM134" s="181">
        <f t="shared" ref="AM134:AM167" si="63">RANK(AL134, AL$133:AL$169)</f>
        <v>7</v>
      </c>
      <c r="AN134" s="610"/>
      <c r="AO134" s="187">
        <v>3</v>
      </c>
      <c r="AP134" s="187">
        <v>3199.1803616607567</v>
      </c>
      <c r="AQ134" s="184">
        <f t="shared" ref="AQ134:AQ167" si="64">IFERROR(AP134/AO134,"")</f>
        <v>1066.3934538869189</v>
      </c>
      <c r="AR134" s="181">
        <f t="shared" ref="AR134:AR167" si="65">RANK(AQ134, AQ$133:AQ$169)</f>
        <v>8</v>
      </c>
      <c r="AS134" s="610"/>
      <c r="AT134" s="187">
        <v>3</v>
      </c>
      <c r="AU134" s="187">
        <v>3204.2652368905492</v>
      </c>
      <c r="AV134" s="184">
        <f t="shared" ref="AV134:AV167" si="66">IFERROR(AU134/AT134,"")</f>
        <v>1068.0884122968498</v>
      </c>
      <c r="AW134" s="181">
        <f t="shared" ref="AW134:AW167" si="67">RANK(AV134, AV$133:AV$169)</f>
        <v>6</v>
      </c>
      <c r="AX134" s="610"/>
    </row>
    <row r="135" spans="1:50" ht="14.25" customHeight="1">
      <c r="B135" s="611"/>
      <c r="C135" s="179">
        <v>3</v>
      </c>
      <c r="D135" s="182" t="s">
        <v>392</v>
      </c>
      <c r="E135" s="183">
        <v>5</v>
      </c>
      <c r="F135" s="179">
        <v>3600</v>
      </c>
      <c r="G135" s="184">
        <f t="shared" si="53"/>
        <v>720</v>
      </c>
      <c r="H135" s="612"/>
      <c r="I135" s="185">
        <f t="shared" si="54"/>
        <v>5</v>
      </c>
      <c r="J135" s="185">
        <f t="shared" si="54"/>
        <v>3201.2558276693339</v>
      </c>
      <c r="K135" s="186">
        <f t="shared" si="54"/>
        <v>640.2511655338667</v>
      </c>
      <c r="L135" s="613"/>
      <c r="M135" s="185">
        <f>RANK(K135, K$133:$K$169)</f>
        <v>26</v>
      </c>
      <c r="N135" s="624"/>
      <c r="O135" s="614"/>
      <c r="P135" s="187">
        <v>5</v>
      </c>
      <c r="Q135" s="187">
        <v>3198.0158276693337</v>
      </c>
      <c r="R135" s="184">
        <f t="shared" si="55"/>
        <v>639.60316553386679</v>
      </c>
      <c r="S135" s="181">
        <f t="shared" si="56"/>
        <v>25</v>
      </c>
      <c r="T135" s="610"/>
      <c r="U135" s="187">
        <v>5</v>
      </c>
      <c r="V135" s="187">
        <v>3199.0958276693336</v>
      </c>
      <c r="W135" s="184">
        <f t="shared" si="52"/>
        <v>639.81916553386668</v>
      </c>
      <c r="X135" s="181">
        <f t="shared" si="57"/>
        <v>26</v>
      </c>
      <c r="Y135" s="610"/>
      <c r="Z135" s="187">
        <v>5</v>
      </c>
      <c r="AA135" s="187">
        <v>3200.1758276693345</v>
      </c>
      <c r="AB135" s="184">
        <f t="shared" si="58"/>
        <v>640.03516553386692</v>
      </c>
      <c r="AC135" s="181">
        <f t="shared" si="59"/>
        <v>26</v>
      </c>
      <c r="AD135" s="610"/>
      <c r="AE135" s="187">
        <v>5</v>
      </c>
      <c r="AF135" s="187">
        <v>3201.9758276693342</v>
      </c>
      <c r="AG135" s="184">
        <f t="shared" si="60"/>
        <v>640.39516553386682</v>
      </c>
      <c r="AH135" s="181">
        <f t="shared" si="61"/>
        <v>25</v>
      </c>
      <c r="AI135" s="610"/>
      <c r="AJ135" s="187">
        <v>5</v>
      </c>
      <c r="AK135" s="187">
        <v>3202.6958276693335</v>
      </c>
      <c r="AL135" s="184">
        <f t="shared" si="62"/>
        <v>640.53916553386671</v>
      </c>
      <c r="AM135" s="181">
        <f t="shared" si="63"/>
        <v>26</v>
      </c>
      <c r="AN135" s="610"/>
      <c r="AO135" s="187">
        <v>5</v>
      </c>
      <c r="AP135" s="187">
        <v>3203.0558276693328</v>
      </c>
      <c r="AQ135" s="184">
        <f t="shared" si="64"/>
        <v>640.6111655338666</v>
      </c>
      <c r="AR135" s="181">
        <f t="shared" si="65"/>
        <v>27</v>
      </c>
      <c r="AS135" s="610"/>
      <c r="AT135" s="187">
        <v>5</v>
      </c>
      <c r="AU135" s="187">
        <v>3203.775827669333</v>
      </c>
      <c r="AV135" s="184">
        <f t="shared" si="66"/>
        <v>640.7551655338666</v>
      </c>
      <c r="AW135" s="181">
        <f t="shared" si="67"/>
        <v>27</v>
      </c>
      <c r="AX135" s="610"/>
    </row>
    <row r="136" spans="1:50" ht="14.25" customHeight="1">
      <c r="B136" s="611"/>
      <c r="C136" s="179">
        <v>4</v>
      </c>
      <c r="D136" s="182" t="s">
        <v>229</v>
      </c>
      <c r="E136" s="183">
        <v>5</v>
      </c>
      <c r="F136" s="179">
        <v>3300</v>
      </c>
      <c r="G136" s="184">
        <f t="shared" si="53"/>
        <v>660</v>
      </c>
      <c r="H136" s="612"/>
      <c r="I136" s="185">
        <f t="shared" si="54"/>
        <v>5</v>
      </c>
      <c r="J136" s="185">
        <f t="shared" si="54"/>
        <v>2991.4216728101501</v>
      </c>
      <c r="K136" s="186">
        <f t="shared" si="54"/>
        <v>598.28433456203015</v>
      </c>
      <c r="L136" s="613"/>
      <c r="M136" s="185">
        <f>RANK(K136, K$133:$K$169)</f>
        <v>32</v>
      </c>
      <c r="N136" s="624"/>
      <c r="O136" s="614"/>
      <c r="P136" s="187">
        <v>5</v>
      </c>
      <c r="Q136" s="187">
        <v>2988.3266288839582</v>
      </c>
      <c r="R136" s="184">
        <f t="shared" si="55"/>
        <v>597.66532577679163</v>
      </c>
      <c r="S136" s="181">
        <f t="shared" si="56"/>
        <v>31</v>
      </c>
      <c r="T136" s="610"/>
      <c r="U136" s="187">
        <v>5</v>
      </c>
      <c r="V136" s="187">
        <v>2988.3266288839582</v>
      </c>
      <c r="W136" s="184">
        <f t="shared" si="52"/>
        <v>597.66532577679163</v>
      </c>
      <c r="X136" s="181">
        <f t="shared" si="57"/>
        <v>32</v>
      </c>
      <c r="Y136" s="610"/>
      <c r="Z136" s="187">
        <v>5</v>
      </c>
      <c r="AA136" s="187">
        <v>2988.9866288839576</v>
      </c>
      <c r="AB136" s="184">
        <f t="shared" si="58"/>
        <v>597.79732577679147</v>
      </c>
      <c r="AC136" s="181">
        <f t="shared" si="59"/>
        <v>32</v>
      </c>
      <c r="AD136" s="610"/>
      <c r="AE136" s="187">
        <v>5</v>
      </c>
      <c r="AF136" s="187">
        <v>2989.646628883957</v>
      </c>
      <c r="AG136" s="184">
        <f t="shared" si="60"/>
        <v>597.92932577679142</v>
      </c>
      <c r="AH136" s="181">
        <f t="shared" si="61"/>
        <v>32</v>
      </c>
      <c r="AI136" s="610"/>
      <c r="AJ136" s="187">
        <v>5</v>
      </c>
      <c r="AK136" s="187">
        <v>2990.9666288839576</v>
      </c>
      <c r="AL136" s="184">
        <f t="shared" si="62"/>
        <v>598.19332577679154</v>
      </c>
      <c r="AM136" s="181">
        <f t="shared" si="63"/>
        <v>32</v>
      </c>
      <c r="AN136" s="610"/>
      <c r="AO136" s="187">
        <v>5</v>
      </c>
      <c r="AP136" s="187">
        <v>2994.2434976656236</v>
      </c>
      <c r="AQ136" s="184">
        <f t="shared" si="64"/>
        <v>598.84869953312477</v>
      </c>
      <c r="AR136" s="181">
        <f t="shared" si="65"/>
        <v>32</v>
      </c>
      <c r="AS136" s="610"/>
      <c r="AT136" s="187">
        <v>5</v>
      </c>
      <c r="AU136" s="187">
        <v>2999.4550675856422</v>
      </c>
      <c r="AV136" s="184">
        <f t="shared" si="66"/>
        <v>599.89101351712839</v>
      </c>
      <c r="AW136" s="181">
        <f t="shared" si="67"/>
        <v>31</v>
      </c>
      <c r="AX136" s="610"/>
    </row>
    <row r="137" spans="1:50" ht="14.25" customHeight="1">
      <c r="B137" s="611"/>
      <c r="C137" s="179">
        <v>5</v>
      </c>
      <c r="D137" s="182" t="s">
        <v>388</v>
      </c>
      <c r="E137" s="183">
        <v>3</v>
      </c>
      <c r="F137" s="179">
        <v>3600</v>
      </c>
      <c r="G137" s="184">
        <f t="shared" si="53"/>
        <v>1200</v>
      </c>
      <c r="H137" s="612"/>
      <c r="I137" s="185">
        <f t="shared" si="54"/>
        <v>3</v>
      </c>
      <c r="J137" s="185">
        <f t="shared" si="54"/>
        <v>3203.8621242231102</v>
      </c>
      <c r="K137" s="186">
        <f t="shared" si="54"/>
        <v>1067.9540414077035</v>
      </c>
      <c r="L137" s="613"/>
      <c r="M137" s="185">
        <f>RANK(K137, K$133:$K$169)</f>
        <v>1</v>
      </c>
      <c r="N137" s="624"/>
      <c r="O137" s="614"/>
      <c r="P137" s="187">
        <v>3</v>
      </c>
      <c r="Q137" s="187">
        <v>3200.9982864459976</v>
      </c>
      <c r="R137" s="184">
        <f t="shared" si="55"/>
        <v>1066.9994288153325</v>
      </c>
      <c r="S137" s="181">
        <f t="shared" si="56"/>
        <v>1</v>
      </c>
      <c r="T137" s="610"/>
      <c r="U137" s="187">
        <v>3</v>
      </c>
      <c r="V137" s="187">
        <v>3202.7982864459973</v>
      </c>
      <c r="W137" s="184">
        <f t="shared" si="52"/>
        <v>1067.5994288153324</v>
      </c>
      <c r="X137" s="181">
        <f t="shared" si="57"/>
        <v>1</v>
      </c>
      <c r="Y137" s="610"/>
      <c r="Z137" s="187">
        <v>3</v>
      </c>
      <c r="AA137" s="187">
        <v>3204.2382864459973</v>
      </c>
      <c r="AB137" s="184">
        <f t="shared" si="58"/>
        <v>1068.0794288153324</v>
      </c>
      <c r="AC137" s="181">
        <f t="shared" si="59"/>
        <v>1</v>
      </c>
      <c r="AD137" s="610"/>
      <c r="AE137" s="187">
        <v>3</v>
      </c>
      <c r="AF137" s="187">
        <v>3204.598286445997</v>
      </c>
      <c r="AG137" s="184">
        <f t="shared" si="60"/>
        <v>1068.1994288153323</v>
      </c>
      <c r="AH137" s="181">
        <f t="shared" si="61"/>
        <v>1</v>
      </c>
      <c r="AI137" s="610"/>
      <c r="AJ137" s="187">
        <v>3</v>
      </c>
      <c r="AK137" s="187">
        <v>3205.6782864459969</v>
      </c>
      <c r="AL137" s="184">
        <f t="shared" si="62"/>
        <v>1068.5594288153322</v>
      </c>
      <c r="AM137" s="181">
        <f t="shared" si="63"/>
        <v>1</v>
      </c>
      <c r="AN137" s="610"/>
      <c r="AO137" s="187">
        <v>3</v>
      </c>
      <c r="AP137" s="187">
        <v>3203.821718665894</v>
      </c>
      <c r="AQ137" s="184">
        <f t="shared" si="64"/>
        <v>1067.9405728886313</v>
      </c>
      <c r="AR137" s="181">
        <f t="shared" si="65"/>
        <v>1</v>
      </c>
      <c r="AS137" s="610"/>
      <c r="AT137" s="187">
        <v>3</v>
      </c>
      <c r="AU137" s="187">
        <v>3204.9017186658939</v>
      </c>
      <c r="AV137" s="184">
        <f t="shared" si="66"/>
        <v>1068.3005728886312</v>
      </c>
      <c r="AW137" s="181">
        <f t="shared" si="67"/>
        <v>5</v>
      </c>
      <c r="AX137" s="610"/>
    </row>
    <row r="138" spans="1:50" ht="14.25" customHeight="1">
      <c r="B138" s="611"/>
      <c r="C138" s="179">
        <v>6</v>
      </c>
      <c r="D138" s="182" t="s">
        <v>339</v>
      </c>
      <c r="E138" s="183">
        <v>4</v>
      </c>
      <c r="F138" s="179">
        <v>3600</v>
      </c>
      <c r="G138" s="184">
        <f t="shared" si="53"/>
        <v>900</v>
      </c>
      <c r="H138" s="612"/>
      <c r="I138" s="185">
        <f t="shared" si="54"/>
        <v>4</v>
      </c>
      <c r="J138" s="185">
        <f t="shared" si="54"/>
        <v>3197.7306718658874</v>
      </c>
      <c r="K138" s="186">
        <f t="shared" si="54"/>
        <v>799.43266796647185</v>
      </c>
      <c r="L138" s="613"/>
      <c r="M138" s="185">
        <f>RANK(K138, K$133:$K$169)</f>
        <v>15</v>
      </c>
      <c r="N138" s="624"/>
      <c r="O138" s="614"/>
      <c r="P138" s="187">
        <v>4</v>
      </c>
      <c r="Q138" s="187">
        <v>3195.1605999704284</v>
      </c>
      <c r="R138" s="184">
        <f t="shared" si="55"/>
        <v>798.7901499926071</v>
      </c>
      <c r="S138" s="181">
        <f t="shared" si="56"/>
        <v>14</v>
      </c>
      <c r="T138" s="610"/>
      <c r="U138" s="187">
        <v>4</v>
      </c>
      <c r="V138" s="187">
        <v>3195.5205999704281</v>
      </c>
      <c r="W138" s="184">
        <f t="shared" si="52"/>
        <v>798.88014999260702</v>
      </c>
      <c r="X138" s="181">
        <f t="shared" si="57"/>
        <v>14</v>
      </c>
      <c r="Y138" s="610"/>
      <c r="Z138" s="187">
        <v>4</v>
      </c>
      <c r="AA138" s="187">
        <v>3195.5205999704281</v>
      </c>
      <c r="AB138" s="184">
        <f t="shared" si="58"/>
        <v>798.88014999260702</v>
      </c>
      <c r="AC138" s="181">
        <f t="shared" si="59"/>
        <v>15</v>
      </c>
      <c r="AD138" s="610"/>
      <c r="AE138" s="187">
        <v>4</v>
      </c>
      <c r="AF138" s="187">
        <v>3196.9605999704281</v>
      </c>
      <c r="AG138" s="184">
        <f t="shared" si="60"/>
        <v>799.24014999260703</v>
      </c>
      <c r="AH138" s="181">
        <f t="shared" si="61"/>
        <v>15</v>
      </c>
      <c r="AI138" s="610"/>
      <c r="AJ138" s="187">
        <v>4</v>
      </c>
      <c r="AK138" s="187">
        <v>3198.040599970428</v>
      </c>
      <c r="AL138" s="184">
        <f t="shared" si="62"/>
        <v>799.51014999260701</v>
      </c>
      <c r="AM138" s="181">
        <f t="shared" si="63"/>
        <v>15</v>
      </c>
      <c r="AN138" s="610"/>
      <c r="AO138" s="187">
        <v>4</v>
      </c>
      <c r="AP138" s="187">
        <v>3198.7605999704278</v>
      </c>
      <c r="AQ138" s="184">
        <f t="shared" si="64"/>
        <v>799.69014999260696</v>
      </c>
      <c r="AR138" s="181">
        <f t="shared" si="65"/>
        <v>15</v>
      </c>
      <c r="AS138" s="610"/>
      <c r="AT138" s="187">
        <v>4</v>
      </c>
      <c r="AU138" s="187">
        <v>3204.1511032386429</v>
      </c>
      <c r="AV138" s="184">
        <f t="shared" si="66"/>
        <v>801.03777580966073</v>
      </c>
      <c r="AW138" s="181">
        <f t="shared" si="67"/>
        <v>14</v>
      </c>
      <c r="AX138" s="610"/>
    </row>
    <row r="139" spans="1:50" ht="14.25" customHeight="1">
      <c r="B139" s="611"/>
      <c r="C139" s="179">
        <v>7</v>
      </c>
      <c r="D139" s="182" t="s">
        <v>390</v>
      </c>
      <c r="E139" s="183">
        <v>3</v>
      </c>
      <c r="F139" s="179">
        <v>3600</v>
      </c>
      <c r="G139" s="184">
        <f t="shared" si="53"/>
        <v>1200</v>
      </c>
      <c r="H139" s="612"/>
      <c r="I139" s="185">
        <f t="shared" si="54"/>
        <v>3</v>
      </c>
      <c r="J139" s="185">
        <f t="shared" si="54"/>
        <v>3198.9039519012726</v>
      </c>
      <c r="K139" s="186">
        <f t="shared" si="54"/>
        <v>1066.3013173004242</v>
      </c>
      <c r="L139" s="613"/>
      <c r="M139" s="185">
        <f>RANK(K139, K$133:$K$169)</f>
        <v>3</v>
      </c>
      <c r="N139" s="624"/>
      <c r="O139" s="614"/>
      <c r="P139" s="187">
        <v>3</v>
      </c>
      <c r="Q139" s="187">
        <v>3195.5143093214647</v>
      </c>
      <c r="R139" s="184">
        <f t="shared" si="55"/>
        <v>1065.1714364404882</v>
      </c>
      <c r="S139" s="181">
        <f t="shared" si="56"/>
        <v>3</v>
      </c>
      <c r="T139" s="610"/>
      <c r="U139" s="187">
        <v>3</v>
      </c>
      <c r="V139" s="187">
        <v>3196.5943093214642</v>
      </c>
      <c r="W139" s="184">
        <f t="shared" si="52"/>
        <v>1065.5314364404881</v>
      </c>
      <c r="X139" s="181">
        <f t="shared" si="57"/>
        <v>4</v>
      </c>
      <c r="Y139" s="610"/>
      <c r="Z139" s="187">
        <v>3</v>
      </c>
      <c r="AA139" s="187">
        <v>3196.5943093214646</v>
      </c>
      <c r="AB139" s="184">
        <f t="shared" si="58"/>
        <v>1065.5314364404883</v>
      </c>
      <c r="AC139" s="181">
        <f t="shared" si="59"/>
        <v>6</v>
      </c>
      <c r="AD139" s="610"/>
      <c r="AE139" s="187">
        <v>3</v>
      </c>
      <c r="AF139" s="187">
        <v>3198.0343093214647</v>
      </c>
      <c r="AG139" s="184">
        <f t="shared" si="60"/>
        <v>1066.0114364404883</v>
      </c>
      <c r="AH139" s="181">
        <f t="shared" si="61"/>
        <v>5</v>
      </c>
      <c r="AI139" s="610"/>
      <c r="AJ139" s="187">
        <v>3</v>
      </c>
      <c r="AK139" s="187">
        <v>3199.114309321465</v>
      </c>
      <c r="AL139" s="184">
        <f t="shared" si="62"/>
        <v>1066.3714364404884</v>
      </c>
      <c r="AM139" s="181">
        <f t="shared" si="63"/>
        <v>5</v>
      </c>
      <c r="AN139" s="610"/>
      <c r="AO139" s="187">
        <v>3</v>
      </c>
      <c r="AP139" s="187">
        <v>3199.8343093214648</v>
      </c>
      <c r="AQ139" s="184">
        <f t="shared" si="64"/>
        <v>1066.6114364404882</v>
      </c>
      <c r="AR139" s="181">
        <f t="shared" si="65"/>
        <v>5</v>
      </c>
      <c r="AS139" s="610"/>
      <c r="AT139" s="187">
        <v>3</v>
      </c>
      <c r="AU139" s="187">
        <v>3206.6418073801169</v>
      </c>
      <c r="AV139" s="184">
        <f t="shared" si="66"/>
        <v>1068.880602460039</v>
      </c>
      <c r="AW139" s="181">
        <f t="shared" si="67"/>
        <v>1</v>
      </c>
      <c r="AX139" s="610"/>
    </row>
    <row r="140" spans="1:50" ht="14.25" customHeight="1">
      <c r="B140" s="611"/>
      <c r="C140" s="179">
        <v>8</v>
      </c>
      <c r="D140" s="182" t="s">
        <v>389</v>
      </c>
      <c r="E140" s="183">
        <v>5</v>
      </c>
      <c r="F140" s="179">
        <v>3600</v>
      </c>
      <c r="G140" s="184">
        <f t="shared" si="53"/>
        <v>720</v>
      </c>
      <c r="H140" s="612"/>
      <c r="I140" s="185">
        <f t="shared" si="54"/>
        <v>5</v>
      </c>
      <c r="J140" s="185">
        <f t="shared" si="54"/>
        <v>3198.4314200305025</v>
      </c>
      <c r="K140" s="186">
        <f t="shared" si="54"/>
        <v>639.68628400610055</v>
      </c>
      <c r="L140" s="613"/>
      <c r="M140" s="185">
        <f>RANK(K140, K$133:$K$169)</f>
        <v>27</v>
      </c>
      <c r="N140" s="624"/>
      <c r="O140" s="614"/>
      <c r="P140" s="187">
        <v>5</v>
      </c>
      <c r="Q140" s="187">
        <v>3194.2161676975375</v>
      </c>
      <c r="R140" s="184">
        <f t="shared" si="55"/>
        <v>638.84323353950754</v>
      </c>
      <c r="S140" s="181">
        <f t="shared" si="56"/>
        <v>27</v>
      </c>
      <c r="T140" s="610"/>
      <c r="U140" s="187">
        <v>5</v>
      </c>
      <c r="V140" s="187">
        <v>3194.9361676975377</v>
      </c>
      <c r="W140" s="184">
        <f t="shared" si="52"/>
        <v>638.98723353950754</v>
      </c>
      <c r="X140" s="181">
        <f t="shared" si="57"/>
        <v>27</v>
      </c>
      <c r="Y140" s="610"/>
      <c r="Z140" s="187">
        <v>5</v>
      </c>
      <c r="AA140" s="187">
        <v>3195.6561676975375</v>
      </c>
      <c r="AB140" s="184">
        <f t="shared" si="58"/>
        <v>639.13123353950755</v>
      </c>
      <c r="AC140" s="181">
        <f t="shared" si="59"/>
        <v>29</v>
      </c>
      <c r="AD140" s="610"/>
      <c r="AE140" s="187">
        <v>5</v>
      </c>
      <c r="AF140" s="187">
        <v>3195.6561676975371</v>
      </c>
      <c r="AG140" s="184">
        <f t="shared" si="60"/>
        <v>639.13123353950743</v>
      </c>
      <c r="AH140" s="181">
        <f t="shared" si="61"/>
        <v>29</v>
      </c>
      <c r="AI140" s="610"/>
      <c r="AJ140" s="187">
        <v>5</v>
      </c>
      <c r="AK140" s="187">
        <v>3197.4561676975363</v>
      </c>
      <c r="AL140" s="184">
        <f t="shared" si="62"/>
        <v>639.49123353950722</v>
      </c>
      <c r="AM140" s="181">
        <f t="shared" si="63"/>
        <v>30</v>
      </c>
      <c r="AN140" s="610"/>
      <c r="AO140" s="187">
        <v>5</v>
      </c>
      <c r="AP140" s="187">
        <v>3205.1895508629173</v>
      </c>
      <c r="AQ140" s="184">
        <f t="shared" si="64"/>
        <v>641.03791017258345</v>
      </c>
      <c r="AR140" s="181">
        <f t="shared" si="65"/>
        <v>23</v>
      </c>
      <c r="AS140" s="610"/>
      <c r="AT140" s="187">
        <v>5</v>
      </c>
      <c r="AU140" s="187">
        <v>3205.9095508629171</v>
      </c>
      <c r="AV140" s="184">
        <f t="shared" si="66"/>
        <v>641.18191017258346</v>
      </c>
      <c r="AW140" s="181">
        <f t="shared" si="67"/>
        <v>23</v>
      </c>
      <c r="AX140" s="610"/>
    </row>
    <row r="141" spans="1:50" ht="14.25" customHeight="1">
      <c r="B141" s="611"/>
      <c r="C141" s="179">
        <v>9</v>
      </c>
      <c r="D141" s="182" t="s">
        <v>387</v>
      </c>
      <c r="E141" s="183">
        <v>5</v>
      </c>
      <c r="F141" s="179">
        <v>3600</v>
      </c>
      <c r="G141" s="184">
        <f t="shared" si="53"/>
        <v>720</v>
      </c>
      <c r="H141" s="612"/>
      <c r="I141" s="185">
        <f t="shared" si="54"/>
        <v>5</v>
      </c>
      <c r="J141" s="185">
        <f t="shared" si="54"/>
        <v>3203.7905158602912</v>
      </c>
      <c r="K141" s="186">
        <f t="shared" si="54"/>
        <v>640.75810317205821</v>
      </c>
      <c r="L141" s="613"/>
      <c r="M141" s="185">
        <f>RANK(K141, K$133:$K$169)</f>
        <v>23</v>
      </c>
      <c r="N141" s="624"/>
      <c r="O141" s="614"/>
      <c r="P141" s="187">
        <v>5</v>
      </c>
      <c r="Q141" s="187">
        <v>3200.8076587174342</v>
      </c>
      <c r="R141" s="184">
        <f t="shared" si="55"/>
        <v>640.16153174348688</v>
      </c>
      <c r="S141" s="181">
        <f t="shared" si="56"/>
        <v>24</v>
      </c>
      <c r="T141" s="610"/>
      <c r="U141" s="187">
        <v>5</v>
      </c>
      <c r="V141" s="187">
        <v>3201.8876587174345</v>
      </c>
      <c r="W141" s="184">
        <f t="shared" si="52"/>
        <v>640.37753174348688</v>
      </c>
      <c r="X141" s="181">
        <f t="shared" si="57"/>
        <v>24</v>
      </c>
      <c r="Y141" s="610"/>
      <c r="Z141" s="187">
        <v>5</v>
      </c>
      <c r="AA141" s="187">
        <v>3203.3276587174341</v>
      </c>
      <c r="AB141" s="184">
        <f t="shared" si="58"/>
        <v>640.66553174348678</v>
      </c>
      <c r="AC141" s="181">
        <f t="shared" si="59"/>
        <v>24</v>
      </c>
      <c r="AD141" s="610"/>
      <c r="AE141" s="187">
        <v>5</v>
      </c>
      <c r="AF141" s="187">
        <v>3205.1276587174339</v>
      </c>
      <c r="AG141" s="184">
        <f t="shared" si="60"/>
        <v>641.02553174348679</v>
      </c>
      <c r="AH141" s="181">
        <f t="shared" si="61"/>
        <v>23</v>
      </c>
      <c r="AI141" s="610"/>
      <c r="AJ141" s="187">
        <v>5</v>
      </c>
      <c r="AK141" s="187">
        <v>3205.1276587174339</v>
      </c>
      <c r="AL141" s="184">
        <f t="shared" si="62"/>
        <v>641.02553174348679</v>
      </c>
      <c r="AM141" s="181">
        <f t="shared" si="63"/>
        <v>23</v>
      </c>
      <c r="AN141" s="610"/>
      <c r="AO141" s="187">
        <v>5</v>
      </c>
      <c r="AP141" s="187">
        <v>3205.1276587174339</v>
      </c>
      <c r="AQ141" s="184">
        <f t="shared" si="64"/>
        <v>641.02553174348679</v>
      </c>
      <c r="AR141" s="181">
        <f t="shared" si="65"/>
        <v>24</v>
      </c>
      <c r="AS141" s="610"/>
      <c r="AT141" s="187">
        <v>5</v>
      </c>
      <c r="AU141" s="187">
        <v>3205.1276587174343</v>
      </c>
      <c r="AV141" s="184">
        <f t="shared" si="66"/>
        <v>641.02553174348691</v>
      </c>
      <c r="AW141" s="181">
        <f t="shared" si="67"/>
        <v>24</v>
      </c>
      <c r="AX141" s="610"/>
    </row>
    <row r="142" spans="1:50" ht="14.25" customHeight="1">
      <c r="B142" s="611"/>
      <c r="C142" s="179">
        <v>10</v>
      </c>
      <c r="D142" s="182" t="s">
        <v>228</v>
      </c>
      <c r="E142" s="183">
        <v>3</v>
      </c>
      <c r="F142" s="179">
        <v>3000</v>
      </c>
      <c r="G142" s="184">
        <f t="shared" si="53"/>
        <v>1000</v>
      </c>
      <c r="H142" s="612"/>
      <c r="I142" s="185">
        <f t="shared" si="54"/>
        <v>3</v>
      </c>
      <c r="J142" s="185">
        <f t="shared" si="54"/>
        <v>2729.0370878423132</v>
      </c>
      <c r="K142" s="186">
        <f t="shared" si="54"/>
        <v>909.67902928077115</v>
      </c>
      <c r="L142" s="613"/>
      <c r="M142" s="185">
        <f>RANK(K142, K$133:$K$169)</f>
        <v>11</v>
      </c>
      <c r="N142" s="624"/>
      <c r="O142" s="614"/>
      <c r="P142" s="187">
        <v>3</v>
      </c>
      <c r="Q142" s="187">
        <v>2726.6921657400922</v>
      </c>
      <c r="R142" s="184">
        <f t="shared" si="55"/>
        <v>908.89738858003068</v>
      </c>
      <c r="S142" s="181">
        <f t="shared" si="56"/>
        <v>11</v>
      </c>
      <c r="T142" s="610"/>
      <c r="U142" s="187">
        <v>3</v>
      </c>
      <c r="V142" s="187">
        <v>2727.892165740092</v>
      </c>
      <c r="W142" s="184">
        <f t="shared" si="52"/>
        <v>909.29738858003066</v>
      </c>
      <c r="X142" s="181">
        <f t="shared" si="57"/>
        <v>11</v>
      </c>
      <c r="Y142" s="610"/>
      <c r="Z142" s="187">
        <v>3</v>
      </c>
      <c r="AA142" s="187">
        <v>2728.0143513941748</v>
      </c>
      <c r="AB142" s="184">
        <f t="shared" si="58"/>
        <v>909.33811713139164</v>
      </c>
      <c r="AC142" s="181">
        <f t="shared" si="59"/>
        <v>11</v>
      </c>
      <c r="AD142" s="610"/>
      <c r="AE142" s="187">
        <v>3</v>
      </c>
      <c r="AF142" s="187">
        <v>2728.6143513941752</v>
      </c>
      <c r="AG142" s="184">
        <f t="shared" si="60"/>
        <v>909.53811713139169</v>
      </c>
      <c r="AH142" s="181">
        <f t="shared" si="61"/>
        <v>12</v>
      </c>
      <c r="AI142" s="610"/>
      <c r="AJ142" s="187">
        <v>3</v>
      </c>
      <c r="AK142" s="187">
        <v>2729.2143513941751</v>
      </c>
      <c r="AL142" s="184">
        <f t="shared" si="62"/>
        <v>909.73811713139173</v>
      </c>
      <c r="AM142" s="181">
        <f t="shared" si="63"/>
        <v>12</v>
      </c>
      <c r="AN142" s="610"/>
      <c r="AO142" s="187">
        <v>3</v>
      </c>
      <c r="AP142" s="187">
        <v>2730.8161146167427</v>
      </c>
      <c r="AQ142" s="184">
        <f t="shared" si="64"/>
        <v>910.27203820558088</v>
      </c>
      <c r="AR142" s="181">
        <f t="shared" si="65"/>
        <v>11</v>
      </c>
      <c r="AS142" s="610"/>
      <c r="AT142" s="187">
        <v>3</v>
      </c>
      <c r="AU142" s="187">
        <v>2732.0161146167425</v>
      </c>
      <c r="AV142" s="184">
        <f t="shared" si="66"/>
        <v>910.67203820558086</v>
      </c>
      <c r="AW142" s="181">
        <f t="shared" si="67"/>
        <v>12</v>
      </c>
      <c r="AX142" s="610"/>
    </row>
    <row r="143" spans="1:50" ht="14.25" customHeight="1">
      <c r="B143" s="611"/>
      <c r="C143" s="179">
        <v>11</v>
      </c>
      <c r="D143" s="182" t="s">
        <v>439</v>
      </c>
      <c r="E143" s="183">
        <v>12</v>
      </c>
      <c r="F143" s="179">
        <v>3600</v>
      </c>
      <c r="G143" s="184">
        <f t="shared" si="53"/>
        <v>300</v>
      </c>
      <c r="H143" s="612"/>
      <c r="I143" s="185">
        <f t="shared" si="54"/>
        <v>12</v>
      </c>
      <c r="J143" s="185">
        <f t="shared" si="54"/>
        <v>3120.2569241702872</v>
      </c>
      <c r="K143" s="186">
        <f t="shared" si="54"/>
        <v>260.0214103475239</v>
      </c>
      <c r="L143" s="613"/>
      <c r="M143" s="185">
        <f>RANK(K143, K$133:$K$169)</f>
        <v>35</v>
      </c>
      <c r="N143" s="624"/>
      <c r="O143" s="614"/>
      <c r="P143" s="187">
        <v>12</v>
      </c>
      <c r="Q143" s="187">
        <v>3119.7480033019083</v>
      </c>
      <c r="R143" s="184">
        <f t="shared" si="55"/>
        <v>259.97900027515902</v>
      </c>
      <c r="S143" s="181">
        <f t="shared" si="56"/>
        <v>35</v>
      </c>
      <c r="T143" s="610"/>
      <c r="U143" s="187">
        <v>12</v>
      </c>
      <c r="V143" s="187">
        <v>3121.4217443150164</v>
      </c>
      <c r="W143" s="184">
        <f t="shared" si="52"/>
        <v>260.11847869291802</v>
      </c>
      <c r="X143" s="181">
        <f t="shared" si="57"/>
        <v>34</v>
      </c>
      <c r="Y143" s="610"/>
      <c r="Z143" s="187">
        <v>12</v>
      </c>
      <c r="AA143" s="187">
        <v>3120.3417443150165</v>
      </c>
      <c r="AB143" s="184">
        <f t="shared" si="58"/>
        <v>260.02847869291804</v>
      </c>
      <c r="AC143" s="181">
        <f t="shared" si="59"/>
        <v>35</v>
      </c>
      <c r="AD143" s="610"/>
      <c r="AE143" s="187">
        <v>12</v>
      </c>
      <c r="AF143" s="187">
        <v>3121.0617443150163</v>
      </c>
      <c r="AG143" s="184">
        <f t="shared" si="60"/>
        <v>260.08847869291804</v>
      </c>
      <c r="AH143" s="181">
        <f t="shared" si="61"/>
        <v>34</v>
      </c>
      <c r="AI143" s="610"/>
      <c r="AJ143" s="187">
        <v>12</v>
      </c>
      <c r="AK143" s="187">
        <v>3119.9817443150168</v>
      </c>
      <c r="AL143" s="184">
        <f t="shared" si="62"/>
        <v>259.99847869291807</v>
      </c>
      <c r="AM143" s="181">
        <f t="shared" si="63"/>
        <v>35</v>
      </c>
      <c r="AN143" s="610"/>
      <c r="AO143" s="187">
        <v>12</v>
      </c>
      <c r="AP143" s="187">
        <v>3119.6217443150167</v>
      </c>
      <c r="AQ143" s="184">
        <f t="shared" si="64"/>
        <v>259.96847869291804</v>
      </c>
      <c r="AR143" s="181">
        <f t="shared" si="65"/>
        <v>35</v>
      </c>
      <c r="AS143" s="610"/>
      <c r="AT143" s="187">
        <v>12</v>
      </c>
      <c r="AU143" s="187">
        <v>3119.6217443150163</v>
      </c>
      <c r="AV143" s="184">
        <f t="shared" si="66"/>
        <v>259.96847869291804</v>
      </c>
      <c r="AW143" s="181">
        <f t="shared" si="67"/>
        <v>35</v>
      </c>
      <c r="AX143" s="610"/>
    </row>
    <row r="144" spans="1:50" ht="14.25" customHeight="1">
      <c r="B144" s="611"/>
      <c r="C144" s="179">
        <v>12</v>
      </c>
      <c r="D144" s="182" t="s">
        <v>457</v>
      </c>
      <c r="E144" s="183">
        <v>3</v>
      </c>
      <c r="F144" s="179">
        <v>3300</v>
      </c>
      <c r="G144" s="184">
        <f t="shared" si="53"/>
        <v>1100</v>
      </c>
      <c r="H144" s="612"/>
      <c r="I144" s="185">
        <f t="shared" si="54"/>
        <v>3</v>
      </c>
      <c r="J144" s="185">
        <f t="shared" si="54"/>
        <v>2992.7345918635538</v>
      </c>
      <c r="K144" s="186">
        <f t="shared" si="54"/>
        <v>997.57819728785125</v>
      </c>
      <c r="L144" s="613"/>
      <c r="M144" s="185">
        <f>RANK(K144, K$133:$K$169)</f>
        <v>9</v>
      </c>
      <c r="N144" s="624"/>
      <c r="O144" s="614"/>
      <c r="P144" s="187">
        <v>3</v>
      </c>
      <c r="Q144" s="187">
        <v>2990.4486165473586</v>
      </c>
      <c r="R144" s="184">
        <f t="shared" si="55"/>
        <v>996.81620551578624</v>
      </c>
      <c r="S144" s="181">
        <f t="shared" si="56"/>
        <v>9</v>
      </c>
      <c r="T144" s="610"/>
      <c r="U144" s="187">
        <v>3</v>
      </c>
      <c r="V144" s="187">
        <v>2990.7786165473585</v>
      </c>
      <c r="W144" s="184">
        <f t="shared" si="52"/>
        <v>996.92620551578614</v>
      </c>
      <c r="X144" s="181">
        <f t="shared" si="57"/>
        <v>9</v>
      </c>
      <c r="Y144" s="610"/>
      <c r="Z144" s="187">
        <v>3</v>
      </c>
      <c r="AA144" s="187">
        <v>2992.0986165473578</v>
      </c>
      <c r="AB144" s="184">
        <f t="shared" si="58"/>
        <v>997.36620551578596</v>
      </c>
      <c r="AC144" s="181">
        <f t="shared" si="59"/>
        <v>9</v>
      </c>
      <c r="AD144" s="610"/>
      <c r="AE144" s="187">
        <v>3</v>
      </c>
      <c r="AF144" s="187">
        <v>2992.4286165473577</v>
      </c>
      <c r="AG144" s="184">
        <f t="shared" si="60"/>
        <v>997.47620551578586</v>
      </c>
      <c r="AH144" s="181">
        <f t="shared" si="61"/>
        <v>9</v>
      </c>
      <c r="AI144" s="610"/>
      <c r="AJ144" s="187">
        <v>3</v>
      </c>
      <c r="AK144" s="187">
        <v>2992.7586165473576</v>
      </c>
      <c r="AL144" s="184">
        <f t="shared" si="62"/>
        <v>997.58620551578588</v>
      </c>
      <c r="AM144" s="181">
        <f t="shared" si="63"/>
        <v>9</v>
      </c>
      <c r="AN144" s="610"/>
      <c r="AO144" s="187">
        <v>3</v>
      </c>
      <c r="AP144" s="187">
        <v>2994.4086165473577</v>
      </c>
      <c r="AQ144" s="184">
        <f t="shared" si="64"/>
        <v>998.13620551578595</v>
      </c>
      <c r="AR144" s="181">
        <f t="shared" si="65"/>
        <v>9</v>
      </c>
      <c r="AS144" s="610"/>
      <c r="AT144" s="187">
        <v>3</v>
      </c>
      <c r="AU144" s="187">
        <v>2996.2204437607274</v>
      </c>
      <c r="AV144" s="184">
        <f t="shared" si="66"/>
        <v>998.74014792024252</v>
      </c>
      <c r="AW144" s="181">
        <f t="shared" si="67"/>
        <v>9</v>
      </c>
      <c r="AX144" s="610"/>
    </row>
    <row r="145" spans="2:50" ht="14.25" customHeight="1">
      <c r="B145" s="611"/>
      <c r="C145" s="179">
        <v>13</v>
      </c>
      <c r="D145" s="182" t="s">
        <v>530</v>
      </c>
      <c r="E145" s="183">
        <v>5</v>
      </c>
      <c r="F145" s="179">
        <v>3600</v>
      </c>
      <c r="G145" s="184">
        <f t="shared" si="53"/>
        <v>720</v>
      </c>
      <c r="H145" s="612"/>
      <c r="I145" s="185">
        <f t="shared" si="54"/>
        <v>5</v>
      </c>
      <c r="J145" s="185">
        <f t="shared" si="54"/>
        <v>3203.4711494849398</v>
      </c>
      <c r="K145" s="186">
        <f t="shared" si="54"/>
        <v>640.69422989698796</v>
      </c>
      <c r="L145" s="613"/>
      <c r="M145" s="185">
        <f>RANK(K145, K$133:$K$169)</f>
        <v>24</v>
      </c>
      <c r="N145" s="624"/>
      <c r="O145" s="614"/>
      <c r="P145" s="187">
        <v>5</v>
      </c>
      <c r="Q145" s="187">
        <v>3201.6711494849396</v>
      </c>
      <c r="R145" s="184">
        <f t="shared" si="55"/>
        <v>640.33422989698795</v>
      </c>
      <c r="S145" s="181">
        <f t="shared" si="56"/>
        <v>23</v>
      </c>
      <c r="T145" s="610"/>
      <c r="U145" s="187">
        <v>5</v>
      </c>
      <c r="V145" s="187">
        <v>3202.0311494849398</v>
      </c>
      <c r="W145" s="184">
        <f t="shared" si="52"/>
        <v>640.40622989698795</v>
      </c>
      <c r="X145" s="181">
        <f t="shared" si="57"/>
        <v>23</v>
      </c>
      <c r="Y145" s="610"/>
      <c r="Z145" s="187">
        <v>5</v>
      </c>
      <c r="AA145" s="187">
        <v>3203.4711494849398</v>
      </c>
      <c r="AB145" s="184">
        <f t="shared" si="58"/>
        <v>640.69422989698796</v>
      </c>
      <c r="AC145" s="181">
        <f t="shared" si="59"/>
        <v>23</v>
      </c>
      <c r="AD145" s="610"/>
      <c r="AE145" s="187">
        <v>5</v>
      </c>
      <c r="AF145" s="187">
        <v>3203.8311494849399</v>
      </c>
      <c r="AG145" s="184">
        <f t="shared" si="60"/>
        <v>640.76622989698797</v>
      </c>
      <c r="AH145" s="181">
        <f t="shared" si="61"/>
        <v>24</v>
      </c>
      <c r="AI145" s="610"/>
      <c r="AJ145" s="187">
        <v>5</v>
      </c>
      <c r="AK145" s="187">
        <v>3204.1911494849392</v>
      </c>
      <c r="AL145" s="184">
        <f t="shared" si="62"/>
        <v>640.83822989698785</v>
      </c>
      <c r="AM145" s="181">
        <f t="shared" si="63"/>
        <v>24</v>
      </c>
      <c r="AN145" s="610"/>
      <c r="AO145" s="187">
        <v>5</v>
      </c>
      <c r="AP145" s="187">
        <v>3204.5511494849397</v>
      </c>
      <c r="AQ145" s="184">
        <f t="shared" si="64"/>
        <v>640.91022989698797</v>
      </c>
      <c r="AR145" s="181">
        <f t="shared" si="65"/>
        <v>25</v>
      </c>
      <c r="AS145" s="610"/>
      <c r="AT145" s="187">
        <v>5</v>
      </c>
      <c r="AU145" s="187">
        <v>3204.5511494849402</v>
      </c>
      <c r="AV145" s="184">
        <f t="shared" si="66"/>
        <v>640.91022989698808</v>
      </c>
      <c r="AW145" s="181">
        <f t="shared" si="67"/>
        <v>26</v>
      </c>
      <c r="AX145" s="610"/>
    </row>
    <row r="146" spans="2:50" ht="14.25" customHeight="1">
      <c r="B146" s="611"/>
      <c r="C146" s="179">
        <v>14</v>
      </c>
      <c r="D146" s="182" t="s">
        <v>595</v>
      </c>
      <c r="E146" s="183">
        <v>3</v>
      </c>
      <c r="F146" s="179">
        <v>3600</v>
      </c>
      <c r="G146" s="184">
        <f t="shared" si="53"/>
        <v>1200</v>
      </c>
      <c r="H146" s="612"/>
      <c r="I146" s="185">
        <f t="shared" si="54"/>
        <v>3</v>
      </c>
      <c r="J146" s="185">
        <f t="shared" si="54"/>
        <v>3197.7232378196413</v>
      </c>
      <c r="K146" s="186">
        <f t="shared" si="54"/>
        <v>1065.9077459398804</v>
      </c>
      <c r="L146" s="613"/>
      <c r="M146" s="185">
        <f>RANK(K146, K$133:$K$169)</f>
        <v>7</v>
      </c>
      <c r="N146" s="624"/>
      <c r="O146" s="614"/>
      <c r="P146" s="187">
        <v>3</v>
      </c>
      <c r="Q146" s="187">
        <v>3192.7840511463405</v>
      </c>
      <c r="R146" s="184">
        <f t="shared" si="55"/>
        <v>1064.2613503821135</v>
      </c>
      <c r="S146" s="181">
        <f t="shared" si="56"/>
        <v>7</v>
      </c>
      <c r="T146" s="610"/>
      <c r="U146" s="187">
        <v>3</v>
      </c>
      <c r="V146" s="187">
        <v>3194.2240511463397</v>
      </c>
      <c r="W146" s="184">
        <f t="shared" si="52"/>
        <v>1064.7413503821133</v>
      </c>
      <c r="X146" s="181">
        <f t="shared" si="57"/>
        <v>7</v>
      </c>
      <c r="Y146" s="610"/>
      <c r="Z146" s="187">
        <v>3</v>
      </c>
      <c r="AA146" s="187">
        <v>3195.6640511463402</v>
      </c>
      <c r="AB146" s="184">
        <f t="shared" si="58"/>
        <v>1065.2213503821133</v>
      </c>
      <c r="AC146" s="181">
        <f t="shared" si="59"/>
        <v>8</v>
      </c>
      <c r="AD146" s="610"/>
      <c r="AE146" s="187">
        <v>3</v>
      </c>
      <c r="AF146" s="187">
        <v>3196.7440511463396</v>
      </c>
      <c r="AG146" s="184">
        <f t="shared" si="60"/>
        <v>1065.5813503821132</v>
      </c>
      <c r="AH146" s="181">
        <f t="shared" si="61"/>
        <v>8</v>
      </c>
      <c r="AI146" s="610"/>
      <c r="AJ146" s="187">
        <v>3</v>
      </c>
      <c r="AK146" s="187">
        <v>3198.1840511463402</v>
      </c>
      <c r="AL146" s="184">
        <f t="shared" si="62"/>
        <v>1066.0613503821135</v>
      </c>
      <c r="AM146" s="181">
        <f t="shared" si="63"/>
        <v>6</v>
      </c>
      <c r="AN146" s="610"/>
      <c r="AO146" s="187">
        <v>3</v>
      </c>
      <c r="AP146" s="187">
        <v>3199.9840511463394</v>
      </c>
      <c r="AQ146" s="184">
        <f t="shared" si="64"/>
        <v>1066.6613503821131</v>
      </c>
      <c r="AR146" s="181">
        <f t="shared" si="65"/>
        <v>4</v>
      </c>
      <c r="AS146" s="610"/>
      <c r="AT146" s="187">
        <v>3</v>
      </c>
      <c r="AU146" s="187">
        <v>3206.478357859452</v>
      </c>
      <c r="AV146" s="184">
        <f t="shared" si="66"/>
        <v>1068.8261192864841</v>
      </c>
      <c r="AW146" s="181">
        <f t="shared" si="67"/>
        <v>2</v>
      </c>
      <c r="AX146" s="610"/>
    </row>
    <row r="147" spans="2:50" ht="14.25" customHeight="1">
      <c r="B147" s="611"/>
      <c r="C147" s="179">
        <v>15</v>
      </c>
      <c r="D147" s="182" t="s">
        <v>577</v>
      </c>
      <c r="E147" s="183">
        <v>3</v>
      </c>
      <c r="F147" s="179">
        <v>3300</v>
      </c>
      <c r="G147" s="184">
        <f t="shared" si="53"/>
        <v>1100</v>
      </c>
      <c r="H147" s="612"/>
      <c r="I147" s="185">
        <f t="shared" si="54"/>
        <v>3</v>
      </c>
      <c r="J147" s="185">
        <f t="shared" si="54"/>
        <v>2986.6771096337156</v>
      </c>
      <c r="K147" s="186">
        <f t="shared" si="54"/>
        <v>995.559036544572</v>
      </c>
      <c r="L147" s="613"/>
      <c r="M147" s="185">
        <f>RANK(K147, K$133:$K$169)</f>
        <v>10</v>
      </c>
      <c r="N147" s="624"/>
      <c r="O147" s="614"/>
      <c r="P147" s="187">
        <v>3</v>
      </c>
      <c r="Q147" s="187">
        <v>2978.8482566575822</v>
      </c>
      <c r="R147" s="184">
        <f t="shared" si="55"/>
        <v>992.94941888586072</v>
      </c>
      <c r="S147" s="181">
        <f t="shared" si="56"/>
        <v>10</v>
      </c>
      <c r="T147" s="610"/>
      <c r="U147" s="187">
        <v>3</v>
      </c>
      <c r="V147" s="187">
        <v>2982.5734478185454</v>
      </c>
      <c r="W147" s="184">
        <f t="shared" si="52"/>
        <v>994.19114927284852</v>
      </c>
      <c r="X147" s="181">
        <f t="shared" si="57"/>
        <v>10</v>
      </c>
      <c r="Y147" s="610"/>
      <c r="Z147" s="187">
        <v>3</v>
      </c>
      <c r="AA147" s="187">
        <v>2983.2334478185458</v>
      </c>
      <c r="AB147" s="184">
        <f t="shared" si="58"/>
        <v>994.41114927284855</v>
      </c>
      <c r="AC147" s="181">
        <f t="shared" si="59"/>
        <v>10</v>
      </c>
      <c r="AD147" s="610"/>
      <c r="AE147" s="187">
        <v>3</v>
      </c>
      <c r="AF147" s="187">
        <v>2988.5799299906598</v>
      </c>
      <c r="AG147" s="184">
        <f t="shared" si="60"/>
        <v>996.19330999688657</v>
      </c>
      <c r="AH147" s="181">
        <f t="shared" si="61"/>
        <v>10</v>
      </c>
      <c r="AI147" s="610"/>
      <c r="AJ147" s="187">
        <v>3</v>
      </c>
      <c r="AK147" s="187">
        <v>2989.2399299906601</v>
      </c>
      <c r="AL147" s="184">
        <f t="shared" si="62"/>
        <v>996.41330999688671</v>
      </c>
      <c r="AM147" s="181">
        <f t="shared" si="63"/>
        <v>10</v>
      </c>
      <c r="AN147" s="610"/>
      <c r="AO147" s="187">
        <v>3</v>
      </c>
      <c r="AP147" s="187">
        <v>2990.2299299906599</v>
      </c>
      <c r="AQ147" s="184">
        <f t="shared" si="64"/>
        <v>996.74330999688664</v>
      </c>
      <c r="AR147" s="181">
        <f t="shared" si="65"/>
        <v>10</v>
      </c>
      <c r="AS147" s="610"/>
      <c r="AT147" s="187">
        <v>3</v>
      </c>
      <c r="AU147" s="187">
        <v>2994.0348251693576</v>
      </c>
      <c r="AV147" s="184">
        <f t="shared" si="66"/>
        <v>998.01160838978592</v>
      </c>
      <c r="AW147" s="181">
        <f t="shared" si="67"/>
        <v>10</v>
      </c>
      <c r="AX147" s="610"/>
    </row>
    <row r="148" spans="2:50" ht="14.25" customHeight="1">
      <c r="B148" s="611"/>
      <c r="C148" s="179">
        <v>16</v>
      </c>
      <c r="D148" s="182" t="s">
        <v>799</v>
      </c>
      <c r="E148" s="183">
        <v>4</v>
      </c>
      <c r="F148" s="179">
        <v>3300</v>
      </c>
      <c r="G148" s="184">
        <f t="shared" si="53"/>
        <v>825</v>
      </c>
      <c r="H148" s="612"/>
      <c r="I148" s="185">
        <f t="shared" si="54"/>
        <v>4</v>
      </c>
      <c r="J148" s="185">
        <f t="shared" si="54"/>
        <v>2986.8282502064512</v>
      </c>
      <c r="K148" s="186">
        <f t="shared" si="54"/>
        <v>746.70706255161281</v>
      </c>
      <c r="L148" s="613"/>
      <c r="M148" s="185">
        <f>RANK(K148, K$133:$K$169)</f>
        <v>18</v>
      </c>
      <c r="N148" s="624"/>
      <c r="O148" s="614"/>
      <c r="P148" s="187">
        <v>4</v>
      </c>
      <c r="Q148" s="187">
        <v>2979.1635152813587</v>
      </c>
      <c r="R148" s="184">
        <f t="shared" si="55"/>
        <v>744.79087882033969</v>
      </c>
      <c r="S148" s="181">
        <f t="shared" si="56"/>
        <v>18</v>
      </c>
      <c r="T148" s="610"/>
      <c r="U148" s="187">
        <v>4</v>
      </c>
      <c r="V148" s="187">
        <v>2983.0449123133358</v>
      </c>
      <c r="W148" s="184">
        <f t="shared" si="52"/>
        <v>745.76122807833394</v>
      </c>
      <c r="X148" s="181">
        <f t="shared" si="57"/>
        <v>18</v>
      </c>
      <c r="Y148" s="610"/>
      <c r="Z148" s="187">
        <v>4</v>
      </c>
      <c r="AA148" s="187">
        <v>2983.0449123133358</v>
      </c>
      <c r="AB148" s="184">
        <f t="shared" si="58"/>
        <v>745.76122807833394</v>
      </c>
      <c r="AC148" s="181">
        <f t="shared" si="59"/>
        <v>18</v>
      </c>
      <c r="AD148" s="610"/>
      <c r="AE148" s="187">
        <v>4</v>
      </c>
      <c r="AF148" s="187">
        <v>2988.3024782038628</v>
      </c>
      <c r="AG148" s="184">
        <f t="shared" si="60"/>
        <v>747.07561955096571</v>
      </c>
      <c r="AH148" s="181">
        <f t="shared" si="61"/>
        <v>18</v>
      </c>
      <c r="AI148" s="610"/>
      <c r="AJ148" s="187">
        <v>4</v>
      </c>
      <c r="AK148" s="187">
        <v>2989.622478203863</v>
      </c>
      <c r="AL148" s="184">
        <f t="shared" si="62"/>
        <v>747.40561955096575</v>
      </c>
      <c r="AM148" s="181">
        <f t="shared" si="63"/>
        <v>18</v>
      </c>
      <c r="AN148" s="610"/>
      <c r="AO148" s="187">
        <v>4</v>
      </c>
      <c r="AP148" s="187">
        <v>2989.9524782038629</v>
      </c>
      <c r="AQ148" s="184">
        <f t="shared" si="64"/>
        <v>747.48811955096573</v>
      </c>
      <c r="AR148" s="181">
        <f t="shared" si="65"/>
        <v>18</v>
      </c>
      <c r="AS148" s="610"/>
      <c r="AT148" s="187">
        <v>4</v>
      </c>
      <c r="AU148" s="187">
        <v>2994.6669769255395</v>
      </c>
      <c r="AV148" s="184">
        <f t="shared" si="66"/>
        <v>748.66674423138488</v>
      </c>
      <c r="AW148" s="181">
        <f t="shared" si="67"/>
        <v>18</v>
      </c>
      <c r="AX148" s="610"/>
    </row>
    <row r="149" spans="2:50" ht="14.25" customHeight="1">
      <c r="B149" s="611"/>
      <c r="C149" s="179">
        <v>17</v>
      </c>
      <c r="D149" s="182" t="s">
        <v>846</v>
      </c>
      <c r="E149" s="183">
        <v>5</v>
      </c>
      <c r="F149" s="179">
        <v>3600</v>
      </c>
      <c r="G149" s="184">
        <f t="shared" si="53"/>
        <v>720</v>
      </c>
      <c r="H149" s="612"/>
      <c r="I149" s="185">
        <f t="shared" si="54"/>
        <v>5</v>
      </c>
      <c r="J149" s="185">
        <f t="shared" si="54"/>
        <v>3126.2769147594809</v>
      </c>
      <c r="K149" s="186">
        <f t="shared" si="54"/>
        <v>625.25538295189619</v>
      </c>
      <c r="L149" s="613"/>
      <c r="M149" s="185">
        <f>RANK(K149, K$133:$K$169)</f>
        <v>30</v>
      </c>
      <c r="N149" s="624"/>
      <c r="O149" s="614"/>
      <c r="P149" s="187">
        <v>5</v>
      </c>
      <c r="Q149" s="187">
        <v>2969.9999999999995</v>
      </c>
      <c r="R149" s="184">
        <f t="shared" si="55"/>
        <v>593.99999999999989</v>
      </c>
      <c r="S149" s="181">
        <f t="shared" si="56"/>
        <v>32</v>
      </c>
      <c r="T149" s="610"/>
      <c r="U149" s="187">
        <v>5</v>
      </c>
      <c r="V149" s="187">
        <v>3034.7044501470159</v>
      </c>
      <c r="W149" s="184">
        <f t="shared" si="52"/>
        <v>606.94089002940314</v>
      </c>
      <c r="X149" s="181">
        <f t="shared" si="57"/>
        <v>30</v>
      </c>
      <c r="Y149" s="610"/>
      <c r="Z149" s="187">
        <v>5</v>
      </c>
      <c r="AA149" s="187">
        <v>3103.3075480502498</v>
      </c>
      <c r="AB149" s="184">
        <f t="shared" si="58"/>
        <v>620.66150961004996</v>
      </c>
      <c r="AC149" s="181">
        <f t="shared" si="59"/>
        <v>30</v>
      </c>
      <c r="AD149" s="610"/>
      <c r="AE149" s="187">
        <v>5</v>
      </c>
      <c r="AF149" s="187">
        <v>3173.0519941073553</v>
      </c>
      <c r="AG149" s="184">
        <f t="shared" si="60"/>
        <v>634.61039882147111</v>
      </c>
      <c r="AH149" s="181">
        <f t="shared" si="61"/>
        <v>30</v>
      </c>
      <c r="AI149" s="610"/>
      <c r="AJ149" s="187">
        <v>5</v>
      </c>
      <c r="AK149" s="187">
        <v>3199.2542672100749</v>
      </c>
      <c r="AL149" s="184">
        <f t="shared" si="62"/>
        <v>639.85085344201502</v>
      </c>
      <c r="AM149" s="181">
        <f t="shared" si="63"/>
        <v>27</v>
      </c>
      <c r="AN149" s="610"/>
      <c r="AO149" s="187">
        <v>5</v>
      </c>
      <c r="AP149" s="187">
        <v>3199.9742672100751</v>
      </c>
      <c r="AQ149" s="184">
        <f t="shared" si="64"/>
        <v>639.99485344201503</v>
      </c>
      <c r="AR149" s="181">
        <f t="shared" si="65"/>
        <v>29</v>
      </c>
      <c r="AS149" s="610"/>
      <c r="AT149" s="187">
        <v>5</v>
      </c>
      <c r="AU149" s="187">
        <v>3203.6458765915909</v>
      </c>
      <c r="AV149" s="184">
        <f t="shared" si="66"/>
        <v>640.7291753183182</v>
      </c>
      <c r="AW149" s="181">
        <f t="shared" si="67"/>
        <v>29</v>
      </c>
      <c r="AX149" s="610"/>
    </row>
    <row r="150" spans="2:50" ht="14.25" customHeight="1">
      <c r="B150" s="611"/>
      <c r="C150" s="179">
        <v>18</v>
      </c>
      <c r="D150" s="182" t="s">
        <v>400</v>
      </c>
      <c r="E150" s="183">
        <v>5</v>
      </c>
      <c r="F150" s="179">
        <v>3600</v>
      </c>
      <c r="G150" s="184">
        <f t="shared" si="53"/>
        <v>720</v>
      </c>
      <c r="H150" s="612"/>
      <c r="I150" s="185">
        <f t="shared" si="54"/>
        <v>5</v>
      </c>
      <c r="J150" s="185">
        <f t="shared" si="54"/>
        <v>3196.6479457539035</v>
      </c>
      <c r="K150" s="186">
        <f t="shared" si="54"/>
        <v>639.32958915078063</v>
      </c>
      <c r="L150" s="613"/>
      <c r="M150" s="185">
        <f>RANK(K150, K$133:$K$169)</f>
        <v>29</v>
      </c>
      <c r="N150" s="624"/>
      <c r="O150" s="614"/>
      <c r="P150" s="187">
        <v>5</v>
      </c>
      <c r="Q150" s="187">
        <v>3192.1149015704045</v>
      </c>
      <c r="R150" s="184">
        <f t="shared" si="55"/>
        <v>638.42298031408086</v>
      </c>
      <c r="S150" s="181">
        <f t="shared" si="56"/>
        <v>29</v>
      </c>
      <c r="T150" s="610"/>
      <c r="U150" s="187">
        <v>5</v>
      </c>
      <c r="V150" s="187">
        <v>3193.4099574121183</v>
      </c>
      <c r="W150" s="184">
        <f t="shared" si="52"/>
        <v>638.68199148242365</v>
      </c>
      <c r="X150" s="181">
        <f t="shared" si="57"/>
        <v>29</v>
      </c>
      <c r="Y150" s="610"/>
      <c r="Z150" s="187">
        <v>5</v>
      </c>
      <c r="AA150" s="187">
        <v>3195.6933905949359</v>
      </c>
      <c r="AB150" s="184">
        <f t="shared" si="58"/>
        <v>639.13867811898717</v>
      </c>
      <c r="AC150" s="181">
        <f t="shared" si="59"/>
        <v>28</v>
      </c>
      <c r="AD150" s="610"/>
      <c r="AE150" s="187">
        <v>5</v>
      </c>
      <c r="AF150" s="187">
        <v>3197.659342674966</v>
      </c>
      <c r="AG150" s="184">
        <f t="shared" si="60"/>
        <v>639.53186853499324</v>
      </c>
      <c r="AH150" s="181">
        <f t="shared" si="61"/>
        <v>28</v>
      </c>
      <c r="AI150" s="610"/>
      <c r="AJ150" s="187">
        <v>5</v>
      </c>
      <c r="AK150" s="187">
        <v>3198.3793426749662</v>
      </c>
      <c r="AL150" s="184">
        <f t="shared" si="62"/>
        <v>639.67586853499324</v>
      </c>
      <c r="AM150" s="181">
        <f t="shared" si="63"/>
        <v>28</v>
      </c>
      <c r="AN150" s="610"/>
      <c r="AO150" s="187">
        <v>5</v>
      </c>
      <c r="AP150" s="187">
        <v>3199.4593426749661</v>
      </c>
      <c r="AQ150" s="184">
        <f t="shared" si="64"/>
        <v>639.89186853499325</v>
      </c>
      <c r="AR150" s="181">
        <f t="shared" si="65"/>
        <v>30</v>
      </c>
      <c r="AS150" s="610"/>
      <c r="AT150" s="187">
        <v>5</v>
      </c>
      <c r="AU150" s="187">
        <v>3199.8193426749667</v>
      </c>
      <c r="AV150" s="184">
        <f t="shared" si="66"/>
        <v>639.96386853499337</v>
      </c>
      <c r="AW150" s="181">
        <f t="shared" si="67"/>
        <v>30</v>
      </c>
      <c r="AX150" s="610"/>
    </row>
    <row r="151" spans="2:50" ht="14.25" customHeight="1">
      <c r="B151" s="611"/>
      <c r="C151" s="179">
        <v>19</v>
      </c>
      <c r="D151" s="182" t="s">
        <v>399</v>
      </c>
      <c r="E151" s="183">
        <v>3</v>
      </c>
      <c r="F151" s="179">
        <v>3600</v>
      </c>
      <c r="G151" s="184">
        <f t="shared" si="53"/>
        <v>1200</v>
      </c>
      <c r="H151" s="612"/>
      <c r="I151" s="185">
        <f t="shared" si="54"/>
        <v>3</v>
      </c>
      <c r="J151" s="185">
        <f t="shared" si="54"/>
        <v>3198.7215002609555</v>
      </c>
      <c r="K151" s="186">
        <f t="shared" si="54"/>
        <v>1066.2405000869851</v>
      </c>
      <c r="L151" s="613"/>
      <c r="M151" s="185">
        <f>RANK(K151, K$133:$K$169)</f>
        <v>4</v>
      </c>
      <c r="N151" s="624"/>
      <c r="O151" s="614"/>
      <c r="P151" s="187">
        <v>3</v>
      </c>
      <c r="Q151" s="187">
        <v>3192.3660456536008</v>
      </c>
      <c r="R151" s="184">
        <f t="shared" si="55"/>
        <v>1064.1220152178669</v>
      </c>
      <c r="S151" s="181">
        <f t="shared" si="56"/>
        <v>8</v>
      </c>
      <c r="T151" s="610"/>
      <c r="U151" s="187">
        <v>3</v>
      </c>
      <c r="V151" s="187">
        <v>3193.8011543867669</v>
      </c>
      <c r="W151" s="184">
        <f t="shared" si="52"/>
        <v>1064.600384795589</v>
      </c>
      <c r="X151" s="181">
        <f t="shared" si="57"/>
        <v>8</v>
      </c>
      <c r="Y151" s="610"/>
      <c r="Z151" s="187">
        <v>3</v>
      </c>
      <c r="AA151" s="187">
        <v>3197.3713193210097</v>
      </c>
      <c r="AB151" s="184">
        <f t="shared" si="58"/>
        <v>1065.79043977367</v>
      </c>
      <c r="AC151" s="181">
        <f t="shared" si="59"/>
        <v>4</v>
      </c>
      <c r="AD151" s="610"/>
      <c r="AE151" s="187">
        <v>3</v>
      </c>
      <c r="AF151" s="187">
        <v>3198.8770283583654</v>
      </c>
      <c r="AG151" s="184">
        <f t="shared" si="60"/>
        <v>1066.2923427861217</v>
      </c>
      <c r="AH151" s="181">
        <f t="shared" si="61"/>
        <v>4</v>
      </c>
      <c r="AI151" s="610"/>
      <c r="AJ151" s="187">
        <v>3</v>
      </c>
      <c r="AK151" s="187">
        <v>3200.6770283583646</v>
      </c>
      <c r="AL151" s="184">
        <f t="shared" si="62"/>
        <v>1066.8923427861216</v>
      </c>
      <c r="AM151" s="181">
        <f t="shared" si="63"/>
        <v>3</v>
      </c>
      <c r="AN151" s="610"/>
      <c r="AO151" s="187">
        <v>3</v>
      </c>
      <c r="AP151" s="187">
        <v>3202.1170283583651</v>
      </c>
      <c r="AQ151" s="184">
        <f t="shared" si="64"/>
        <v>1067.3723427861216</v>
      </c>
      <c r="AR151" s="181">
        <f t="shared" si="65"/>
        <v>3</v>
      </c>
      <c r="AS151" s="610"/>
      <c r="AT151" s="187">
        <v>3</v>
      </c>
      <c r="AU151" s="187">
        <v>3205.8408973902142</v>
      </c>
      <c r="AV151" s="184">
        <f t="shared" si="66"/>
        <v>1068.6136324634047</v>
      </c>
      <c r="AW151" s="181">
        <f t="shared" si="67"/>
        <v>3</v>
      </c>
      <c r="AX151" s="610"/>
    </row>
    <row r="152" spans="2:50" ht="14.25" customHeight="1">
      <c r="B152" s="611"/>
      <c r="C152" s="179">
        <v>20</v>
      </c>
      <c r="D152" s="182" t="s">
        <v>401</v>
      </c>
      <c r="E152" s="183">
        <v>4</v>
      </c>
      <c r="F152" s="179">
        <v>3300</v>
      </c>
      <c r="G152" s="184">
        <f t="shared" si="53"/>
        <v>825</v>
      </c>
      <c r="H152" s="612"/>
      <c r="I152" s="185">
        <f t="shared" si="54"/>
        <v>4</v>
      </c>
      <c r="J152" s="185">
        <f t="shared" si="54"/>
        <v>2992.6097700274572</v>
      </c>
      <c r="K152" s="186">
        <f t="shared" si="54"/>
        <v>748.1524425068643</v>
      </c>
      <c r="L152" s="613"/>
      <c r="M152" s="185">
        <f>RANK(K152, K$133:$K$169)</f>
        <v>16</v>
      </c>
      <c r="N152" s="624"/>
      <c r="O152" s="614"/>
      <c r="P152" s="187">
        <v>4</v>
      </c>
      <c r="Q152" s="187">
        <v>2989.8</v>
      </c>
      <c r="R152" s="184">
        <f t="shared" si="55"/>
        <v>747.45</v>
      </c>
      <c r="S152" s="181">
        <f t="shared" si="56"/>
        <v>16</v>
      </c>
      <c r="T152" s="610"/>
      <c r="U152" s="187">
        <v>4</v>
      </c>
      <c r="V152" s="187">
        <v>2990.79</v>
      </c>
      <c r="W152" s="184">
        <f t="shared" si="52"/>
        <v>747.69749999999999</v>
      </c>
      <c r="X152" s="181">
        <f t="shared" si="57"/>
        <v>16</v>
      </c>
      <c r="Y152" s="610"/>
      <c r="Z152" s="187">
        <v>4</v>
      </c>
      <c r="AA152" s="187">
        <v>2991.12</v>
      </c>
      <c r="AB152" s="184">
        <f t="shared" si="58"/>
        <v>747.78</v>
      </c>
      <c r="AC152" s="181">
        <f t="shared" si="59"/>
        <v>16</v>
      </c>
      <c r="AD152" s="610"/>
      <c r="AE152" s="187">
        <v>4</v>
      </c>
      <c r="AF152" s="187">
        <v>2992.4399999999996</v>
      </c>
      <c r="AG152" s="184">
        <f t="shared" si="60"/>
        <v>748.1099999999999</v>
      </c>
      <c r="AH152" s="181">
        <f t="shared" si="61"/>
        <v>16</v>
      </c>
      <c r="AI152" s="610"/>
      <c r="AJ152" s="187">
        <v>4</v>
      </c>
      <c r="AK152" s="187">
        <v>2993.4299999999994</v>
      </c>
      <c r="AL152" s="184">
        <f t="shared" si="62"/>
        <v>748.35749999999985</v>
      </c>
      <c r="AM152" s="181">
        <f t="shared" si="63"/>
        <v>16</v>
      </c>
      <c r="AN152" s="610"/>
      <c r="AO152" s="187">
        <v>4</v>
      </c>
      <c r="AP152" s="187">
        <v>2994.4199999999992</v>
      </c>
      <c r="AQ152" s="184">
        <f t="shared" si="64"/>
        <v>748.60499999999979</v>
      </c>
      <c r="AR152" s="181">
        <f t="shared" si="65"/>
        <v>16</v>
      </c>
      <c r="AS152" s="610"/>
      <c r="AT152" s="187">
        <v>4</v>
      </c>
      <c r="AU152" s="187">
        <v>2996.2683901922019</v>
      </c>
      <c r="AV152" s="184">
        <f t="shared" si="66"/>
        <v>749.06709754805047</v>
      </c>
      <c r="AW152" s="181">
        <f t="shared" si="67"/>
        <v>16</v>
      </c>
      <c r="AX152" s="610"/>
    </row>
    <row r="153" spans="2:50" ht="14.25" customHeight="1">
      <c r="B153" s="611"/>
      <c r="C153" s="179">
        <v>21</v>
      </c>
      <c r="D153" s="182" t="s">
        <v>344</v>
      </c>
      <c r="E153" s="183">
        <v>5</v>
      </c>
      <c r="F153" s="179">
        <v>3300</v>
      </c>
      <c r="G153" s="184">
        <f t="shared" si="53"/>
        <v>660</v>
      </c>
      <c r="H153" s="612"/>
      <c r="I153" s="185">
        <f t="shared" si="54"/>
        <v>5</v>
      </c>
      <c r="J153" s="185">
        <f t="shared" si="54"/>
        <v>2994.1842857142833</v>
      </c>
      <c r="K153" s="186">
        <f t="shared" si="54"/>
        <v>598.83685714285662</v>
      </c>
      <c r="L153" s="613"/>
      <c r="M153" s="185">
        <f>RANK(K153, K$133:$K$169)</f>
        <v>31</v>
      </c>
      <c r="N153" s="624"/>
      <c r="O153" s="614"/>
      <c r="P153" s="187">
        <v>5</v>
      </c>
      <c r="Q153" s="187">
        <v>2992.4399999999978</v>
      </c>
      <c r="R153" s="184">
        <f t="shared" si="55"/>
        <v>598.4879999999996</v>
      </c>
      <c r="S153" s="181">
        <f t="shared" si="56"/>
        <v>30</v>
      </c>
      <c r="T153" s="610"/>
      <c r="U153" s="187">
        <v>5</v>
      </c>
      <c r="V153" s="187">
        <v>2992.7699999999977</v>
      </c>
      <c r="W153" s="184">
        <f t="shared" si="52"/>
        <v>598.55399999999952</v>
      </c>
      <c r="X153" s="181">
        <f t="shared" si="57"/>
        <v>31</v>
      </c>
      <c r="Y153" s="610"/>
      <c r="Z153" s="187">
        <v>5</v>
      </c>
      <c r="AA153" s="187">
        <v>2993.0999999999976</v>
      </c>
      <c r="AB153" s="184">
        <f t="shared" si="58"/>
        <v>598.61999999999955</v>
      </c>
      <c r="AC153" s="181">
        <f t="shared" si="59"/>
        <v>31</v>
      </c>
      <c r="AD153" s="610"/>
      <c r="AE153" s="187">
        <v>5</v>
      </c>
      <c r="AF153" s="187">
        <v>2994.4199999999978</v>
      </c>
      <c r="AG153" s="184">
        <f t="shared" si="60"/>
        <v>598.88399999999956</v>
      </c>
      <c r="AH153" s="181">
        <f t="shared" si="61"/>
        <v>31</v>
      </c>
      <c r="AI153" s="610"/>
      <c r="AJ153" s="187">
        <v>5</v>
      </c>
      <c r="AK153" s="187">
        <v>2994.4199999999978</v>
      </c>
      <c r="AL153" s="184">
        <f t="shared" si="62"/>
        <v>598.88399999999956</v>
      </c>
      <c r="AM153" s="181">
        <f t="shared" si="63"/>
        <v>31</v>
      </c>
      <c r="AN153" s="610"/>
      <c r="AO153" s="187">
        <v>5</v>
      </c>
      <c r="AP153" s="187">
        <v>2995.4099999999971</v>
      </c>
      <c r="AQ153" s="184">
        <f t="shared" si="64"/>
        <v>599.08199999999943</v>
      </c>
      <c r="AR153" s="181">
        <f t="shared" si="65"/>
        <v>31</v>
      </c>
      <c r="AS153" s="610"/>
      <c r="AT153" s="187">
        <v>5</v>
      </c>
      <c r="AU153" s="187">
        <v>2996.7299999999968</v>
      </c>
      <c r="AV153" s="184">
        <f t="shared" si="66"/>
        <v>599.34599999999932</v>
      </c>
      <c r="AW153" s="181">
        <f t="shared" si="67"/>
        <v>32</v>
      </c>
      <c r="AX153" s="610"/>
    </row>
    <row r="154" spans="2:50" ht="14.25" customHeight="1">
      <c r="B154" s="611"/>
      <c r="C154" s="179">
        <v>22</v>
      </c>
      <c r="D154" s="182" t="s">
        <v>395</v>
      </c>
      <c r="E154" s="183">
        <v>3</v>
      </c>
      <c r="F154" s="179">
        <v>3600</v>
      </c>
      <c r="G154" s="184">
        <f t="shared" si="53"/>
        <v>1200</v>
      </c>
      <c r="H154" s="612"/>
      <c r="I154" s="185">
        <f t="shared" si="54"/>
        <v>3</v>
      </c>
      <c r="J154" s="185">
        <f t="shared" si="54"/>
        <v>3197.3190549014621</v>
      </c>
      <c r="K154" s="186">
        <f t="shared" si="54"/>
        <v>1065.7730183004871</v>
      </c>
      <c r="L154" s="613"/>
      <c r="M154" s="185">
        <f>RANK(K154, K$133:$K$169)</f>
        <v>8</v>
      </c>
      <c r="N154" s="624"/>
      <c r="O154" s="614"/>
      <c r="P154" s="187">
        <v>3</v>
      </c>
      <c r="Q154" s="187">
        <v>3193.7335401464825</v>
      </c>
      <c r="R154" s="184">
        <f t="shared" si="55"/>
        <v>1064.5778467154942</v>
      </c>
      <c r="S154" s="181">
        <f t="shared" si="56"/>
        <v>5</v>
      </c>
      <c r="T154" s="610"/>
      <c r="U154" s="187">
        <v>3</v>
      </c>
      <c r="V154" s="187">
        <v>3194.5798013882591</v>
      </c>
      <c r="W154" s="184">
        <f t="shared" si="52"/>
        <v>1064.8599337960864</v>
      </c>
      <c r="X154" s="181">
        <f t="shared" si="57"/>
        <v>6</v>
      </c>
      <c r="Y154" s="610"/>
      <c r="Z154" s="187">
        <v>3</v>
      </c>
      <c r="AA154" s="187">
        <v>3196.0198013882591</v>
      </c>
      <c r="AB154" s="184">
        <f t="shared" si="58"/>
        <v>1065.3399337960864</v>
      </c>
      <c r="AC154" s="181">
        <f t="shared" si="59"/>
        <v>7</v>
      </c>
      <c r="AD154" s="610"/>
      <c r="AE154" s="187">
        <v>3</v>
      </c>
      <c r="AF154" s="187">
        <v>3197.4598013882587</v>
      </c>
      <c r="AG154" s="184">
        <f t="shared" si="60"/>
        <v>1065.8199337960862</v>
      </c>
      <c r="AH154" s="181">
        <f t="shared" si="61"/>
        <v>7</v>
      </c>
      <c r="AI154" s="610"/>
      <c r="AJ154" s="187">
        <v>3</v>
      </c>
      <c r="AK154" s="187">
        <v>3197.4598013882587</v>
      </c>
      <c r="AL154" s="184">
        <f t="shared" si="62"/>
        <v>1065.8199337960862</v>
      </c>
      <c r="AM154" s="181">
        <f t="shared" si="63"/>
        <v>8</v>
      </c>
      <c r="AN154" s="610"/>
      <c r="AO154" s="187">
        <v>3</v>
      </c>
      <c r="AP154" s="187">
        <v>3199.6309734251136</v>
      </c>
      <c r="AQ154" s="184">
        <f t="shared" si="64"/>
        <v>1066.5436578083711</v>
      </c>
      <c r="AR154" s="181">
        <f t="shared" si="65"/>
        <v>6</v>
      </c>
      <c r="AS154" s="610"/>
      <c r="AT154" s="187">
        <v>3</v>
      </c>
      <c r="AU154" s="187">
        <v>3202.3496651856003</v>
      </c>
      <c r="AV154" s="184">
        <f t="shared" si="66"/>
        <v>1067.4498883952001</v>
      </c>
      <c r="AW154" s="181">
        <f t="shared" si="67"/>
        <v>7</v>
      </c>
      <c r="AX154" s="610"/>
    </row>
    <row r="155" spans="2:50" ht="14.25" customHeight="1">
      <c r="B155" s="611"/>
      <c r="C155" s="179">
        <v>23</v>
      </c>
      <c r="D155" s="182" t="s">
        <v>519</v>
      </c>
      <c r="E155" s="183">
        <v>4</v>
      </c>
      <c r="F155" s="179">
        <v>3600</v>
      </c>
      <c r="G155" s="184">
        <f t="shared" si="53"/>
        <v>900</v>
      </c>
      <c r="H155" s="612"/>
      <c r="I155" s="185">
        <f t="shared" si="54"/>
        <v>4</v>
      </c>
      <c r="J155" s="185">
        <f t="shared" si="54"/>
        <v>3199.2019414573333</v>
      </c>
      <c r="K155" s="186">
        <f t="shared" si="54"/>
        <v>799.80048536433333</v>
      </c>
      <c r="L155" s="613"/>
      <c r="M155" s="185">
        <f>RANK(K155, K$133:$K$169)</f>
        <v>14</v>
      </c>
      <c r="N155" s="624"/>
      <c r="O155" s="614"/>
      <c r="P155" s="187">
        <v>4</v>
      </c>
      <c r="Q155" s="187">
        <v>3193.5270422351714</v>
      </c>
      <c r="R155" s="184">
        <f t="shared" si="55"/>
        <v>798.38176055879285</v>
      </c>
      <c r="S155" s="181">
        <f t="shared" si="56"/>
        <v>15</v>
      </c>
      <c r="T155" s="610"/>
      <c r="U155" s="187">
        <v>4</v>
      </c>
      <c r="V155" s="187">
        <v>3193.8870422351715</v>
      </c>
      <c r="W155" s="184">
        <f t="shared" si="52"/>
        <v>798.47176055879288</v>
      </c>
      <c r="X155" s="181">
        <f t="shared" si="57"/>
        <v>15</v>
      </c>
      <c r="Y155" s="610"/>
      <c r="Z155" s="187">
        <v>4</v>
      </c>
      <c r="AA155" s="187">
        <v>3198.4393817988521</v>
      </c>
      <c r="AB155" s="184">
        <f t="shared" si="58"/>
        <v>799.60984544971302</v>
      </c>
      <c r="AC155" s="181">
        <f t="shared" si="59"/>
        <v>14</v>
      </c>
      <c r="AD155" s="610"/>
      <c r="AE155" s="187">
        <v>4</v>
      </c>
      <c r="AF155" s="187">
        <v>3199.800030983034</v>
      </c>
      <c r="AG155" s="184">
        <f t="shared" si="60"/>
        <v>799.95000774575851</v>
      </c>
      <c r="AH155" s="181">
        <f t="shared" si="61"/>
        <v>14</v>
      </c>
      <c r="AI155" s="610"/>
      <c r="AJ155" s="187">
        <v>4</v>
      </c>
      <c r="AK155" s="187">
        <v>3201.6000309830342</v>
      </c>
      <c r="AL155" s="184">
        <f t="shared" si="62"/>
        <v>800.40000774575856</v>
      </c>
      <c r="AM155" s="181">
        <f t="shared" si="63"/>
        <v>14</v>
      </c>
      <c r="AN155" s="610"/>
      <c r="AO155" s="187">
        <v>4</v>
      </c>
      <c r="AP155" s="187">
        <v>3203.0400309830338</v>
      </c>
      <c r="AQ155" s="184">
        <f t="shared" si="64"/>
        <v>800.76000774575846</v>
      </c>
      <c r="AR155" s="181">
        <f t="shared" si="65"/>
        <v>14</v>
      </c>
      <c r="AS155" s="610"/>
      <c r="AT155" s="187">
        <v>4</v>
      </c>
      <c r="AU155" s="187">
        <v>3204.1200309830338</v>
      </c>
      <c r="AV155" s="184">
        <f t="shared" si="66"/>
        <v>801.03000774575844</v>
      </c>
      <c r="AW155" s="181">
        <f t="shared" si="67"/>
        <v>15</v>
      </c>
      <c r="AX155" s="610"/>
    </row>
    <row r="156" spans="2:50" ht="14.25" customHeight="1">
      <c r="B156" s="611"/>
      <c r="C156" s="179">
        <v>24</v>
      </c>
      <c r="D156" s="182" t="s">
        <v>398</v>
      </c>
      <c r="E156" s="183">
        <v>3</v>
      </c>
      <c r="F156" s="179">
        <v>3600</v>
      </c>
      <c r="G156" s="184">
        <f t="shared" si="53"/>
        <v>1200</v>
      </c>
      <c r="H156" s="612"/>
      <c r="I156" s="185">
        <f t="shared" si="54"/>
        <v>3</v>
      </c>
      <c r="J156" s="185">
        <f t="shared" si="54"/>
        <v>3202.0315139672443</v>
      </c>
      <c r="K156" s="186">
        <f t="shared" si="54"/>
        <v>1067.3438379890813</v>
      </c>
      <c r="L156" s="613"/>
      <c r="M156" s="185">
        <f>RANK(K156, K$133:$K$169)</f>
        <v>2</v>
      </c>
      <c r="N156" s="624"/>
      <c r="O156" s="614"/>
      <c r="P156" s="187">
        <v>3</v>
      </c>
      <c r="Q156" s="187">
        <v>3199.9229425386729</v>
      </c>
      <c r="R156" s="184">
        <f t="shared" si="55"/>
        <v>1066.6409808462242</v>
      </c>
      <c r="S156" s="181">
        <f t="shared" si="56"/>
        <v>2</v>
      </c>
      <c r="T156" s="610"/>
      <c r="U156" s="187">
        <v>3</v>
      </c>
      <c r="V156" s="187">
        <v>3199.9229425386729</v>
      </c>
      <c r="W156" s="184">
        <f t="shared" si="52"/>
        <v>1066.6409808462242</v>
      </c>
      <c r="X156" s="181">
        <f t="shared" si="57"/>
        <v>2</v>
      </c>
      <c r="Y156" s="610"/>
      <c r="Z156" s="187">
        <v>3</v>
      </c>
      <c r="AA156" s="187">
        <v>3200.2829425386726</v>
      </c>
      <c r="AB156" s="184">
        <f t="shared" si="58"/>
        <v>1066.7609808462241</v>
      </c>
      <c r="AC156" s="181">
        <f t="shared" si="59"/>
        <v>2</v>
      </c>
      <c r="AD156" s="610"/>
      <c r="AE156" s="187">
        <v>3</v>
      </c>
      <c r="AF156" s="187">
        <v>3202.0829425386719</v>
      </c>
      <c r="AG156" s="184">
        <f t="shared" si="60"/>
        <v>1067.360980846224</v>
      </c>
      <c r="AH156" s="181">
        <f t="shared" si="61"/>
        <v>2</v>
      </c>
      <c r="AI156" s="610"/>
      <c r="AJ156" s="187">
        <v>3</v>
      </c>
      <c r="AK156" s="187">
        <v>3203.1629425386723</v>
      </c>
      <c r="AL156" s="184">
        <f t="shared" si="62"/>
        <v>1067.7209808462242</v>
      </c>
      <c r="AM156" s="181">
        <f t="shared" si="63"/>
        <v>2</v>
      </c>
      <c r="AN156" s="610"/>
      <c r="AO156" s="187">
        <v>3</v>
      </c>
      <c r="AP156" s="187">
        <v>3203.5229425386724</v>
      </c>
      <c r="AQ156" s="184">
        <f t="shared" si="64"/>
        <v>1067.8409808462241</v>
      </c>
      <c r="AR156" s="181">
        <f t="shared" si="65"/>
        <v>2</v>
      </c>
      <c r="AS156" s="610"/>
      <c r="AT156" s="187">
        <v>3</v>
      </c>
      <c r="AU156" s="187">
        <v>3205.3229425386717</v>
      </c>
      <c r="AV156" s="184">
        <f t="shared" si="66"/>
        <v>1068.440980846224</v>
      </c>
      <c r="AW156" s="181">
        <f t="shared" si="67"/>
        <v>4</v>
      </c>
      <c r="AX156" s="610"/>
    </row>
    <row r="157" spans="2:50" ht="14.25" customHeight="1">
      <c r="B157" s="611"/>
      <c r="C157" s="179">
        <v>25</v>
      </c>
      <c r="D157" s="182" t="s">
        <v>397</v>
      </c>
      <c r="E157" s="183">
        <v>5</v>
      </c>
      <c r="F157" s="179">
        <v>3600</v>
      </c>
      <c r="G157" s="184">
        <f t="shared" si="53"/>
        <v>720</v>
      </c>
      <c r="H157" s="612"/>
      <c r="I157" s="185">
        <f t="shared" si="54"/>
        <v>5</v>
      </c>
      <c r="J157" s="185">
        <f t="shared" si="54"/>
        <v>3201.6916008428161</v>
      </c>
      <c r="K157" s="186">
        <f t="shared" si="54"/>
        <v>640.3383201685632</v>
      </c>
      <c r="L157" s="613"/>
      <c r="M157" s="185">
        <f>RANK(K157, K$133:$K$169)</f>
        <v>25</v>
      </c>
      <c r="N157" s="624"/>
      <c r="O157" s="614"/>
      <c r="P157" s="187">
        <v>5</v>
      </c>
      <c r="Q157" s="187">
        <v>3197.9887436999597</v>
      </c>
      <c r="R157" s="184">
        <f t="shared" si="55"/>
        <v>639.59774873999197</v>
      </c>
      <c r="S157" s="181">
        <f t="shared" si="56"/>
        <v>26</v>
      </c>
      <c r="T157" s="610"/>
      <c r="U157" s="187">
        <v>5</v>
      </c>
      <c r="V157" s="187">
        <v>3199.788743699959</v>
      </c>
      <c r="W157" s="184">
        <f t="shared" si="52"/>
        <v>639.95774873999176</v>
      </c>
      <c r="X157" s="181">
        <f t="shared" si="57"/>
        <v>25</v>
      </c>
      <c r="Y157" s="610"/>
      <c r="Z157" s="187">
        <v>5</v>
      </c>
      <c r="AA157" s="187">
        <v>3201.2287436999591</v>
      </c>
      <c r="AB157" s="184">
        <f t="shared" si="58"/>
        <v>640.24574873999177</v>
      </c>
      <c r="AC157" s="181">
        <f t="shared" si="59"/>
        <v>25</v>
      </c>
      <c r="AD157" s="610"/>
      <c r="AE157" s="187">
        <v>5</v>
      </c>
      <c r="AF157" s="187">
        <v>3201.5887436999587</v>
      </c>
      <c r="AG157" s="184">
        <f t="shared" si="60"/>
        <v>640.31774873999177</v>
      </c>
      <c r="AH157" s="181">
        <f t="shared" si="61"/>
        <v>26</v>
      </c>
      <c r="AI157" s="610"/>
      <c r="AJ157" s="187">
        <v>5</v>
      </c>
      <c r="AK157" s="187">
        <v>3203.0287436999588</v>
      </c>
      <c r="AL157" s="184">
        <f t="shared" si="62"/>
        <v>640.60574873999178</v>
      </c>
      <c r="AM157" s="181">
        <f t="shared" si="63"/>
        <v>25</v>
      </c>
      <c r="AN157" s="610"/>
      <c r="AO157" s="187">
        <v>5</v>
      </c>
      <c r="AP157" s="187">
        <v>3203.3887436999589</v>
      </c>
      <c r="AQ157" s="184">
        <f t="shared" si="64"/>
        <v>640.67774873999178</v>
      </c>
      <c r="AR157" s="181">
        <f t="shared" si="65"/>
        <v>26</v>
      </c>
      <c r="AS157" s="610"/>
      <c r="AT157" s="187">
        <v>5</v>
      </c>
      <c r="AU157" s="187">
        <v>3204.8287436999581</v>
      </c>
      <c r="AV157" s="184">
        <f t="shared" si="66"/>
        <v>640.96574873999157</v>
      </c>
      <c r="AW157" s="181">
        <f t="shared" si="67"/>
        <v>25</v>
      </c>
      <c r="AX157" s="610"/>
    </row>
    <row r="158" spans="2:50" ht="14.25" customHeight="1">
      <c r="B158" s="611"/>
      <c r="C158" s="179">
        <v>26</v>
      </c>
      <c r="D158" s="182" t="s">
        <v>394</v>
      </c>
      <c r="E158" s="183">
        <v>5</v>
      </c>
      <c r="F158" s="179">
        <v>3600</v>
      </c>
      <c r="G158" s="184">
        <f t="shared" si="53"/>
        <v>720</v>
      </c>
      <c r="H158" s="612"/>
      <c r="I158" s="185">
        <f t="shared" si="54"/>
        <v>5</v>
      </c>
      <c r="J158" s="185">
        <f t="shared" si="54"/>
        <v>3197.6260659902741</v>
      </c>
      <c r="K158" s="186">
        <f t="shared" si="54"/>
        <v>639.52521319805498</v>
      </c>
      <c r="L158" s="613"/>
      <c r="M158" s="185">
        <f>RANK(K158, K$133:$K$169)</f>
        <v>28</v>
      </c>
      <c r="N158" s="624"/>
      <c r="O158" s="614"/>
      <c r="P158" s="187">
        <v>5</v>
      </c>
      <c r="Q158" s="187">
        <v>3192.1282883712938</v>
      </c>
      <c r="R158" s="184">
        <f t="shared" si="55"/>
        <v>638.42565767425879</v>
      </c>
      <c r="S158" s="181">
        <f t="shared" si="56"/>
        <v>28</v>
      </c>
      <c r="T158" s="610"/>
      <c r="U158" s="187">
        <v>5</v>
      </c>
      <c r="V158" s="187">
        <v>3193.9282883712931</v>
      </c>
      <c r="W158" s="184">
        <f t="shared" si="52"/>
        <v>638.78565767425857</v>
      </c>
      <c r="X158" s="181">
        <f t="shared" si="57"/>
        <v>28</v>
      </c>
      <c r="Y158" s="610"/>
      <c r="Z158" s="187">
        <v>5</v>
      </c>
      <c r="AA158" s="187">
        <v>3196.3206631638568</v>
      </c>
      <c r="AB158" s="184">
        <f t="shared" si="58"/>
        <v>639.26413263277141</v>
      </c>
      <c r="AC158" s="181">
        <f t="shared" si="59"/>
        <v>27</v>
      </c>
      <c r="AD158" s="610"/>
      <c r="AE158" s="187">
        <v>5</v>
      </c>
      <c r="AF158" s="187">
        <v>3197.9231777718896</v>
      </c>
      <c r="AG158" s="184">
        <f t="shared" si="60"/>
        <v>639.58463555437788</v>
      </c>
      <c r="AH158" s="181">
        <f t="shared" si="61"/>
        <v>27</v>
      </c>
      <c r="AI158" s="610"/>
      <c r="AJ158" s="187">
        <v>5</v>
      </c>
      <c r="AK158" s="187">
        <v>3197.9231777718896</v>
      </c>
      <c r="AL158" s="184">
        <f t="shared" si="62"/>
        <v>639.58463555437788</v>
      </c>
      <c r="AM158" s="181">
        <f t="shared" si="63"/>
        <v>29</v>
      </c>
      <c r="AN158" s="610"/>
      <c r="AO158" s="187">
        <v>5</v>
      </c>
      <c r="AP158" s="187">
        <v>3201.485715808642</v>
      </c>
      <c r="AQ158" s="184">
        <f t="shared" si="64"/>
        <v>640.2971431617284</v>
      </c>
      <c r="AR158" s="181">
        <f t="shared" si="65"/>
        <v>28</v>
      </c>
      <c r="AS158" s="610"/>
      <c r="AT158" s="187">
        <v>5</v>
      </c>
      <c r="AU158" s="187">
        <v>3203.6731506730584</v>
      </c>
      <c r="AV158" s="184">
        <f t="shared" si="66"/>
        <v>640.73463013461173</v>
      </c>
      <c r="AW158" s="181">
        <f t="shared" si="67"/>
        <v>28</v>
      </c>
      <c r="AX158" s="610"/>
    </row>
    <row r="159" spans="2:50" ht="14.25" customHeight="1">
      <c r="B159" s="611"/>
      <c r="C159" s="179">
        <v>27</v>
      </c>
      <c r="D159" s="182" t="s">
        <v>396</v>
      </c>
      <c r="E159" s="183">
        <v>3</v>
      </c>
      <c r="F159" s="179">
        <v>3000</v>
      </c>
      <c r="G159" s="184">
        <f t="shared" si="53"/>
        <v>1000</v>
      </c>
      <c r="H159" s="612"/>
      <c r="I159" s="185">
        <f t="shared" si="54"/>
        <v>3</v>
      </c>
      <c r="J159" s="185">
        <f t="shared" si="54"/>
        <v>2726.2353979338986</v>
      </c>
      <c r="K159" s="186">
        <f t="shared" si="54"/>
        <v>908.7451326446328</v>
      </c>
      <c r="L159" s="613"/>
      <c r="M159" s="185">
        <f>RANK(K159, K$133:$K$169)</f>
        <v>13</v>
      </c>
      <c r="N159" s="624"/>
      <c r="O159" s="614"/>
      <c r="P159" s="187">
        <v>3</v>
      </c>
      <c r="Q159" s="187">
        <v>2720.5088803998242</v>
      </c>
      <c r="R159" s="184">
        <f t="shared" si="55"/>
        <v>906.83629346660803</v>
      </c>
      <c r="S159" s="181">
        <f t="shared" si="56"/>
        <v>13</v>
      </c>
      <c r="T159" s="610"/>
      <c r="U159" s="187">
        <v>3</v>
      </c>
      <c r="V159" s="187">
        <v>2720.8088803998244</v>
      </c>
      <c r="W159" s="184">
        <f t="shared" si="52"/>
        <v>906.93629346660816</v>
      </c>
      <c r="X159" s="181">
        <f t="shared" si="57"/>
        <v>13</v>
      </c>
      <c r="Y159" s="610"/>
      <c r="Z159" s="187">
        <v>3</v>
      </c>
      <c r="AA159" s="187">
        <v>2723.9040991660504</v>
      </c>
      <c r="AB159" s="184">
        <f t="shared" si="58"/>
        <v>907.96803305535013</v>
      </c>
      <c r="AC159" s="181">
        <f t="shared" si="59"/>
        <v>13</v>
      </c>
      <c r="AD159" s="610"/>
      <c r="AE159" s="187">
        <v>3</v>
      </c>
      <c r="AF159" s="187">
        <v>2726.0084514413738</v>
      </c>
      <c r="AG159" s="184">
        <f t="shared" si="60"/>
        <v>908.66948381379132</v>
      </c>
      <c r="AH159" s="181">
        <f t="shared" si="61"/>
        <v>13</v>
      </c>
      <c r="AI159" s="610"/>
      <c r="AJ159" s="187">
        <v>3</v>
      </c>
      <c r="AK159" s="187">
        <v>2729.9701546502456</v>
      </c>
      <c r="AL159" s="184">
        <f t="shared" si="62"/>
        <v>909.99005155008183</v>
      </c>
      <c r="AM159" s="181">
        <f t="shared" si="63"/>
        <v>11</v>
      </c>
      <c r="AN159" s="610"/>
      <c r="AO159" s="187">
        <v>3</v>
      </c>
      <c r="AP159" s="187">
        <v>2730.415691202767</v>
      </c>
      <c r="AQ159" s="184">
        <f t="shared" si="64"/>
        <v>910.13856373425563</v>
      </c>
      <c r="AR159" s="181">
        <f t="shared" si="65"/>
        <v>12</v>
      </c>
      <c r="AS159" s="610"/>
      <c r="AT159" s="187">
        <v>3</v>
      </c>
      <c r="AU159" s="187">
        <v>2732.0316282772046</v>
      </c>
      <c r="AV159" s="184">
        <f t="shared" si="66"/>
        <v>910.67720942573487</v>
      </c>
      <c r="AW159" s="181">
        <f t="shared" si="67"/>
        <v>11</v>
      </c>
      <c r="AX159" s="610"/>
    </row>
    <row r="160" spans="2:50" ht="14.25" customHeight="1">
      <c r="B160" s="611"/>
      <c r="C160" s="179">
        <v>28</v>
      </c>
      <c r="D160" s="182" t="s">
        <v>434</v>
      </c>
      <c r="E160" s="183">
        <v>3</v>
      </c>
      <c r="F160" s="179">
        <v>3600</v>
      </c>
      <c r="G160" s="184">
        <f t="shared" si="53"/>
        <v>1200</v>
      </c>
      <c r="H160" s="612"/>
      <c r="I160" s="185">
        <f t="shared" si="54"/>
        <v>3</v>
      </c>
      <c r="J160" s="185">
        <f t="shared" si="54"/>
        <v>3198.4515359239836</v>
      </c>
      <c r="K160" s="186">
        <f t="shared" si="54"/>
        <v>1066.1505119746612</v>
      </c>
      <c r="L160" s="613"/>
      <c r="M160" s="185">
        <f>RANK(K160, K$133:$K$169)</f>
        <v>5</v>
      </c>
      <c r="N160" s="624"/>
      <c r="O160" s="614"/>
      <c r="P160" s="187">
        <v>3</v>
      </c>
      <c r="Q160" s="187">
        <v>3194.8828810795935</v>
      </c>
      <c r="R160" s="184">
        <f t="shared" si="55"/>
        <v>1064.9609603598644</v>
      </c>
      <c r="S160" s="181">
        <f t="shared" si="56"/>
        <v>4</v>
      </c>
      <c r="T160" s="610"/>
      <c r="U160" s="187">
        <v>3</v>
      </c>
      <c r="V160" s="187">
        <v>3197.0663117313816</v>
      </c>
      <c r="W160" s="184">
        <f t="shared" si="52"/>
        <v>1065.6887705771271</v>
      </c>
      <c r="X160" s="181">
        <f t="shared" si="57"/>
        <v>3</v>
      </c>
      <c r="Y160" s="610"/>
      <c r="Z160" s="187">
        <v>3</v>
      </c>
      <c r="AA160" s="187">
        <v>3198.5063117313812</v>
      </c>
      <c r="AB160" s="184">
        <f t="shared" si="58"/>
        <v>1066.1687705771271</v>
      </c>
      <c r="AC160" s="181">
        <f t="shared" si="59"/>
        <v>3</v>
      </c>
      <c r="AD160" s="610"/>
      <c r="AE160" s="187">
        <v>3</v>
      </c>
      <c r="AF160" s="187">
        <v>3199.2263117313814</v>
      </c>
      <c r="AG160" s="184">
        <f t="shared" si="60"/>
        <v>1066.4087705771271</v>
      </c>
      <c r="AH160" s="181">
        <f t="shared" si="61"/>
        <v>3</v>
      </c>
      <c r="AI160" s="610"/>
      <c r="AJ160" s="187">
        <v>3</v>
      </c>
      <c r="AK160" s="187">
        <v>3199.2263117313823</v>
      </c>
      <c r="AL160" s="184">
        <f t="shared" si="62"/>
        <v>1066.4087705771274</v>
      </c>
      <c r="AM160" s="181">
        <f t="shared" si="63"/>
        <v>4</v>
      </c>
      <c r="AN160" s="610"/>
      <c r="AO160" s="187">
        <v>3</v>
      </c>
      <c r="AP160" s="187">
        <v>3199.586311731382</v>
      </c>
      <c r="AQ160" s="184">
        <f t="shared" si="64"/>
        <v>1066.5287705771273</v>
      </c>
      <c r="AR160" s="181">
        <f t="shared" si="65"/>
        <v>7</v>
      </c>
      <c r="AS160" s="610"/>
      <c r="AT160" s="187">
        <v>3</v>
      </c>
      <c r="AU160" s="187">
        <v>3200.6663117313819</v>
      </c>
      <c r="AV160" s="184">
        <f t="shared" si="66"/>
        <v>1066.8887705771274</v>
      </c>
      <c r="AW160" s="181">
        <f t="shared" si="67"/>
        <v>8</v>
      </c>
      <c r="AX160" s="610"/>
    </row>
    <row r="161" spans="1:50" ht="14.25" customHeight="1">
      <c r="B161" s="611"/>
      <c r="C161" s="179">
        <v>29</v>
      </c>
      <c r="D161" s="182" t="s">
        <v>440</v>
      </c>
      <c r="E161" s="183">
        <v>4</v>
      </c>
      <c r="F161" s="179">
        <v>3000</v>
      </c>
      <c r="G161" s="184">
        <f t="shared" si="53"/>
        <v>750</v>
      </c>
      <c r="H161" s="612"/>
      <c r="I161" s="185">
        <f t="shared" si="54"/>
        <v>4</v>
      </c>
      <c r="J161" s="185">
        <f t="shared" si="54"/>
        <v>2725.8529826871991</v>
      </c>
      <c r="K161" s="186">
        <f t="shared" si="54"/>
        <v>681.46324567179977</v>
      </c>
      <c r="L161" s="613"/>
      <c r="M161" s="185">
        <f>RANK(K161, K$133:$K$169)</f>
        <v>19</v>
      </c>
      <c r="N161" s="624"/>
      <c r="O161" s="614"/>
      <c r="P161" s="187">
        <v>4</v>
      </c>
      <c r="Q161" s="187">
        <v>2722.6853896612715</v>
      </c>
      <c r="R161" s="184">
        <f t="shared" si="55"/>
        <v>680.67134741531788</v>
      </c>
      <c r="S161" s="181">
        <f t="shared" si="56"/>
        <v>20</v>
      </c>
      <c r="T161" s="610"/>
      <c r="U161" s="187">
        <v>4</v>
      </c>
      <c r="V161" s="187">
        <v>2722.9853896612713</v>
      </c>
      <c r="W161" s="184">
        <f t="shared" si="52"/>
        <v>680.74634741531781</v>
      </c>
      <c r="X161" s="181">
        <f t="shared" si="57"/>
        <v>20</v>
      </c>
      <c r="Y161" s="610"/>
      <c r="Z161" s="187">
        <v>4</v>
      </c>
      <c r="AA161" s="187">
        <v>2723.2853896612714</v>
      </c>
      <c r="AB161" s="184">
        <f t="shared" si="58"/>
        <v>680.82134741531786</v>
      </c>
      <c r="AC161" s="181">
        <f t="shared" si="59"/>
        <v>20</v>
      </c>
      <c r="AD161" s="610"/>
      <c r="AE161" s="187">
        <v>4</v>
      </c>
      <c r="AF161" s="187">
        <v>2727.1786774566444</v>
      </c>
      <c r="AG161" s="184">
        <f t="shared" si="60"/>
        <v>681.79466936416111</v>
      </c>
      <c r="AH161" s="181">
        <f t="shared" si="61"/>
        <v>19</v>
      </c>
      <c r="AI161" s="610"/>
      <c r="AJ161" s="187">
        <v>4</v>
      </c>
      <c r="AK161" s="187">
        <v>2727.7786774566443</v>
      </c>
      <c r="AL161" s="184">
        <f t="shared" si="62"/>
        <v>681.94466936416109</v>
      </c>
      <c r="AM161" s="181">
        <f t="shared" si="63"/>
        <v>19</v>
      </c>
      <c r="AN161" s="610"/>
      <c r="AO161" s="187">
        <v>4</v>
      </c>
      <c r="AP161" s="187">
        <v>2728.0786774566445</v>
      </c>
      <c r="AQ161" s="184">
        <f t="shared" si="64"/>
        <v>682.01966936416113</v>
      </c>
      <c r="AR161" s="181">
        <f t="shared" si="65"/>
        <v>19</v>
      </c>
      <c r="AS161" s="610"/>
      <c r="AT161" s="187">
        <v>4</v>
      </c>
      <c r="AU161" s="187">
        <v>2728.9786774566446</v>
      </c>
      <c r="AV161" s="184">
        <f t="shared" si="66"/>
        <v>682.24466936416115</v>
      </c>
      <c r="AW161" s="181">
        <f t="shared" si="67"/>
        <v>20</v>
      </c>
      <c r="AX161" s="610"/>
    </row>
    <row r="162" spans="1:50" ht="14.25" customHeight="1">
      <c r="B162" s="611"/>
      <c r="C162" s="179">
        <v>30</v>
      </c>
      <c r="D162" s="182" t="s">
        <v>507</v>
      </c>
      <c r="E162" s="183">
        <v>5</v>
      </c>
      <c r="F162" s="179">
        <v>3000</v>
      </c>
      <c r="G162" s="184">
        <f t="shared" si="53"/>
        <v>600</v>
      </c>
      <c r="H162" s="612"/>
      <c r="I162" s="185">
        <f t="shared" si="54"/>
        <v>5</v>
      </c>
      <c r="J162" s="185">
        <f t="shared" si="54"/>
        <v>2725.5869174917507</v>
      </c>
      <c r="K162" s="186">
        <f t="shared" si="54"/>
        <v>545.11738349835014</v>
      </c>
      <c r="L162" s="613"/>
      <c r="M162" s="185">
        <f>RANK(K162, K$133:$K$169)</f>
        <v>33</v>
      </c>
      <c r="N162" s="624"/>
      <c r="O162" s="614"/>
      <c r="P162" s="187">
        <v>5</v>
      </c>
      <c r="Q162" s="187">
        <v>2722.8005940949097</v>
      </c>
      <c r="R162" s="184">
        <f t="shared" si="55"/>
        <v>544.56011881898189</v>
      </c>
      <c r="S162" s="181">
        <f t="shared" si="56"/>
        <v>33</v>
      </c>
      <c r="T162" s="610"/>
      <c r="U162" s="187">
        <v>5</v>
      </c>
      <c r="V162" s="187">
        <v>2723.100594094909</v>
      </c>
      <c r="W162" s="184">
        <f t="shared" si="52"/>
        <v>544.62011881898184</v>
      </c>
      <c r="X162" s="181">
        <f t="shared" si="57"/>
        <v>33</v>
      </c>
      <c r="Y162" s="610"/>
      <c r="Z162" s="187">
        <v>5</v>
      </c>
      <c r="AA162" s="187">
        <v>2724.000594094909</v>
      </c>
      <c r="AB162" s="184">
        <f t="shared" si="58"/>
        <v>544.80011881898179</v>
      </c>
      <c r="AC162" s="181">
        <f t="shared" si="59"/>
        <v>33</v>
      </c>
      <c r="AD162" s="610"/>
      <c r="AE162" s="187">
        <v>5</v>
      </c>
      <c r="AF162" s="187">
        <v>2725.2005940949089</v>
      </c>
      <c r="AG162" s="184">
        <f t="shared" si="60"/>
        <v>545.0401188189818</v>
      </c>
      <c r="AH162" s="181">
        <f t="shared" si="61"/>
        <v>33</v>
      </c>
      <c r="AI162" s="610"/>
      <c r="AJ162" s="187">
        <v>5</v>
      </c>
      <c r="AK162" s="187">
        <v>2726.7005940949089</v>
      </c>
      <c r="AL162" s="184">
        <f t="shared" si="62"/>
        <v>545.34011881898175</v>
      </c>
      <c r="AM162" s="181">
        <f t="shared" si="63"/>
        <v>33</v>
      </c>
      <c r="AN162" s="610"/>
      <c r="AO162" s="187">
        <v>5</v>
      </c>
      <c r="AP162" s="187">
        <v>2727.3005940949092</v>
      </c>
      <c r="AQ162" s="184">
        <f t="shared" si="64"/>
        <v>545.46011881898187</v>
      </c>
      <c r="AR162" s="181">
        <f t="shared" si="65"/>
        <v>33</v>
      </c>
      <c r="AS162" s="610"/>
      <c r="AT162" s="187">
        <v>5</v>
      </c>
      <c r="AU162" s="187">
        <v>2730.0048578727992</v>
      </c>
      <c r="AV162" s="184">
        <f t="shared" si="66"/>
        <v>546.0009715745598</v>
      </c>
      <c r="AW162" s="181">
        <f t="shared" si="67"/>
        <v>33</v>
      </c>
      <c r="AX162" s="610"/>
    </row>
    <row r="163" spans="1:50" ht="14.25" customHeight="1">
      <c r="B163" s="611"/>
      <c r="C163" s="179">
        <v>31</v>
      </c>
      <c r="D163" s="182" t="s">
        <v>663</v>
      </c>
      <c r="E163" s="179">
        <v>5</v>
      </c>
      <c r="F163" s="179">
        <v>3600</v>
      </c>
      <c r="G163" s="184">
        <f t="shared" si="53"/>
        <v>720</v>
      </c>
      <c r="H163" s="612"/>
      <c r="I163" s="185">
        <f t="shared" si="54"/>
        <v>5</v>
      </c>
      <c r="J163" s="185">
        <f t="shared" si="54"/>
        <v>3263.3513413562332</v>
      </c>
      <c r="K163" s="186">
        <f t="shared" si="54"/>
        <v>652.67026827124675</v>
      </c>
      <c r="L163" s="613"/>
      <c r="M163" s="185">
        <f>RANK(K163, K$133:$K$169)</f>
        <v>21</v>
      </c>
      <c r="N163" s="624"/>
      <c r="O163" s="614"/>
      <c r="P163" s="187">
        <v>5</v>
      </c>
      <c r="Q163" s="187">
        <v>3263.0941984990909</v>
      </c>
      <c r="R163" s="184">
        <f t="shared" si="55"/>
        <v>652.61883969981818</v>
      </c>
      <c r="S163" s="181">
        <f t="shared" si="56"/>
        <v>21</v>
      </c>
      <c r="T163" s="610"/>
      <c r="U163" s="187">
        <v>5</v>
      </c>
      <c r="V163" s="187">
        <v>3261.2941984990912</v>
      </c>
      <c r="W163" s="184">
        <f t="shared" si="52"/>
        <v>652.25883969981828</v>
      </c>
      <c r="X163" s="181">
        <f t="shared" si="57"/>
        <v>21</v>
      </c>
      <c r="Y163" s="610"/>
      <c r="Z163" s="187">
        <v>5</v>
      </c>
      <c r="AA163" s="187">
        <v>3262.3741984990907</v>
      </c>
      <c r="AB163" s="184">
        <f t="shared" si="58"/>
        <v>652.47483969981818</v>
      </c>
      <c r="AC163" s="181">
        <f t="shared" si="59"/>
        <v>21</v>
      </c>
      <c r="AD163" s="610"/>
      <c r="AE163" s="187">
        <v>5</v>
      </c>
      <c r="AF163" s="187">
        <v>3263.0941984990909</v>
      </c>
      <c r="AG163" s="184">
        <f t="shared" si="60"/>
        <v>652.61883969981818</v>
      </c>
      <c r="AH163" s="181">
        <f t="shared" si="61"/>
        <v>22</v>
      </c>
      <c r="AI163" s="610"/>
      <c r="AJ163" s="187">
        <v>5</v>
      </c>
      <c r="AK163" s="187">
        <v>3264.534198499091</v>
      </c>
      <c r="AL163" s="184">
        <f t="shared" si="62"/>
        <v>652.90683969981819</v>
      </c>
      <c r="AM163" s="181">
        <f t="shared" si="63"/>
        <v>22</v>
      </c>
      <c r="AN163" s="610"/>
      <c r="AO163" s="187">
        <v>5</v>
      </c>
      <c r="AP163" s="187">
        <v>3265.2541984990903</v>
      </c>
      <c r="AQ163" s="184">
        <f t="shared" si="64"/>
        <v>653.05083969981808</v>
      </c>
      <c r="AR163" s="181">
        <f t="shared" si="65"/>
        <v>22</v>
      </c>
      <c r="AS163" s="610"/>
      <c r="AT163" s="187">
        <v>5</v>
      </c>
      <c r="AU163" s="187">
        <v>3263.8141984990907</v>
      </c>
      <c r="AV163" s="184">
        <f t="shared" si="66"/>
        <v>652.76283969981819</v>
      </c>
      <c r="AW163" s="181">
        <f t="shared" si="67"/>
        <v>22</v>
      </c>
      <c r="AX163" s="610"/>
    </row>
    <row r="164" spans="1:50" ht="14.25" customHeight="1">
      <c r="B164" s="611"/>
      <c r="C164" s="179">
        <v>32</v>
      </c>
      <c r="D164" s="182" t="s">
        <v>690</v>
      </c>
      <c r="E164" s="179">
        <v>4</v>
      </c>
      <c r="F164" s="179">
        <v>3000</v>
      </c>
      <c r="G164" s="184">
        <f t="shared" si="53"/>
        <v>750</v>
      </c>
      <c r="H164" s="612"/>
      <c r="I164" s="185">
        <f t="shared" ref="I164:K167" si="68">AVERAGE(P164,U164,Z164,AE164,AJ164,AO164,AT164)</f>
        <v>4</v>
      </c>
      <c r="J164" s="185">
        <f t="shared" si="68"/>
        <v>2725.6982715051772</v>
      </c>
      <c r="K164" s="186">
        <f t="shared" si="68"/>
        <v>681.4245678762943</v>
      </c>
      <c r="L164" s="613"/>
      <c r="M164" s="185">
        <f>RANK(K164, K$133:$K$169)</f>
        <v>20</v>
      </c>
      <c r="N164" s="624"/>
      <c r="O164" s="614"/>
      <c r="P164" s="187">
        <v>4</v>
      </c>
      <c r="Q164" s="187">
        <v>2723.0185428602117</v>
      </c>
      <c r="R164" s="184">
        <f t="shared" si="55"/>
        <v>680.75463571505293</v>
      </c>
      <c r="S164" s="181">
        <f t="shared" si="56"/>
        <v>19</v>
      </c>
      <c r="T164" s="610"/>
      <c r="U164" s="187">
        <v>4</v>
      </c>
      <c r="V164" s="187">
        <v>2723.6185428602116</v>
      </c>
      <c r="W164" s="184">
        <f t="shared" si="52"/>
        <v>680.9046357150529</v>
      </c>
      <c r="X164" s="181">
        <f t="shared" si="57"/>
        <v>19</v>
      </c>
      <c r="Y164" s="610"/>
      <c r="Z164" s="187">
        <v>4</v>
      </c>
      <c r="AA164" s="187">
        <v>2724.818542860211</v>
      </c>
      <c r="AB164" s="184">
        <f t="shared" si="58"/>
        <v>681.20463571505275</v>
      </c>
      <c r="AC164" s="181">
        <f t="shared" si="59"/>
        <v>19</v>
      </c>
      <c r="AD164" s="610"/>
      <c r="AE164" s="187">
        <v>4</v>
      </c>
      <c r="AF164" s="187">
        <v>2725.7185428602111</v>
      </c>
      <c r="AG164" s="184">
        <f t="shared" si="60"/>
        <v>681.42963571505277</v>
      </c>
      <c r="AH164" s="181">
        <f t="shared" si="61"/>
        <v>20</v>
      </c>
      <c r="AI164" s="610"/>
      <c r="AJ164" s="187">
        <v>4</v>
      </c>
      <c r="AK164" s="187">
        <v>2726.3185428602105</v>
      </c>
      <c r="AL164" s="184">
        <f t="shared" si="62"/>
        <v>681.57963571505263</v>
      </c>
      <c r="AM164" s="181">
        <f t="shared" si="63"/>
        <v>20</v>
      </c>
      <c r="AN164" s="610"/>
      <c r="AO164" s="187">
        <v>4</v>
      </c>
      <c r="AP164" s="187">
        <v>2726.9185428602104</v>
      </c>
      <c r="AQ164" s="184">
        <f t="shared" si="64"/>
        <v>681.72963571505261</v>
      </c>
      <c r="AR164" s="181">
        <f t="shared" si="65"/>
        <v>20</v>
      </c>
      <c r="AS164" s="610"/>
      <c r="AT164" s="187">
        <v>4</v>
      </c>
      <c r="AU164" s="187">
        <v>2729.4766433749719</v>
      </c>
      <c r="AV164" s="184">
        <f t="shared" si="66"/>
        <v>682.36916084374297</v>
      </c>
      <c r="AW164" s="181">
        <f t="shared" si="67"/>
        <v>19</v>
      </c>
      <c r="AX164" s="610"/>
    </row>
    <row r="165" spans="1:50" ht="14.25" customHeight="1">
      <c r="B165" s="611"/>
      <c r="C165" s="179">
        <v>33</v>
      </c>
      <c r="D165" s="182" t="s">
        <v>691</v>
      </c>
      <c r="E165" s="179">
        <v>5</v>
      </c>
      <c r="F165" s="179">
        <v>3600</v>
      </c>
      <c r="G165" s="184">
        <f t="shared" si="53"/>
        <v>720</v>
      </c>
      <c r="H165" s="612"/>
      <c r="I165" s="185">
        <f t="shared" si="68"/>
        <v>5</v>
      </c>
      <c r="J165" s="185">
        <f t="shared" si="68"/>
        <v>3263.2327295558484</v>
      </c>
      <c r="K165" s="186">
        <f t="shared" si="68"/>
        <v>652.6465459111696</v>
      </c>
      <c r="L165" s="613"/>
      <c r="M165" s="185">
        <f>RANK(K165, K$133:$K$169)</f>
        <v>22</v>
      </c>
      <c r="N165" s="624"/>
      <c r="O165" s="614"/>
      <c r="P165" s="187">
        <v>5</v>
      </c>
      <c r="Q165" s="187">
        <v>3259.9413009844197</v>
      </c>
      <c r="R165" s="184">
        <f t="shared" si="55"/>
        <v>651.98826019688397</v>
      </c>
      <c r="S165" s="181">
        <f t="shared" si="56"/>
        <v>22</v>
      </c>
      <c r="T165" s="610"/>
      <c r="U165" s="187">
        <v>5</v>
      </c>
      <c r="V165" s="187">
        <v>3260.3013009844199</v>
      </c>
      <c r="W165" s="184">
        <f t="shared" si="52"/>
        <v>652.06026019688397</v>
      </c>
      <c r="X165" s="181">
        <f t="shared" si="57"/>
        <v>22</v>
      </c>
      <c r="Y165" s="610"/>
      <c r="Z165" s="187">
        <v>5</v>
      </c>
      <c r="AA165" s="187">
        <v>3262.1013009844196</v>
      </c>
      <c r="AB165" s="184">
        <f t="shared" si="58"/>
        <v>652.42026019688387</v>
      </c>
      <c r="AC165" s="181">
        <f t="shared" si="59"/>
        <v>22</v>
      </c>
      <c r="AD165" s="610"/>
      <c r="AE165" s="187">
        <v>5</v>
      </c>
      <c r="AF165" s="187">
        <v>3263.5413009844192</v>
      </c>
      <c r="AG165" s="184">
        <f t="shared" si="60"/>
        <v>652.70826019688388</v>
      </c>
      <c r="AH165" s="181">
        <f t="shared" si="61"/>
        <v>21</v>
      </c>
      <c r="AI165" s="610"/>
      <c r="AJ165" s="187">
        <v>5</v>
      </c>
      <c r="AK165" s="187">
        <v>3264.9813009844192</v>
      </c>
      <c r="AL165" s="184">
        <f t="shared" si="62"/>
        <v>652.9962601968839</v>
      </c>
      <c r="AM165" s="181">
        <f t="shared" si="63"/>
        <v>21</v>
      </c>
      <c r="AN165" s="610"/>
      <c r="AO165" s="187">
        <v>5</v>
      </c>
      <c r="AP165" s="187">
        <v>3265.7013009844195</v>
      </c>
      <c r="AQ165" s="184">
        <f t="shared" si="64"/>
        <v>653.1402601968839</v>
      </c>
      <c r="AR165" s="181">
        <f t="shared" si="65"/>
        <v>21</v>
      </c>
      <c r="AS165" s="610"/>
      <c r="AT165" s="187">
        <v>5</v>
      </c>
      <c r="AU165" s="187">
        <v>3266.0613009844192</v>
      </c>
      <c r="AV165" s="184">
        <f t="shared" si="66"/>
        <v>653.21226019688379</v>
      </c>
      <c r="AW165" s="181">
        <f t="shared" si="67"/>
        <v>21</v>
      </c>
      <c r="AX165" s="610"/>
    </row>
    <row r="166" spans="1:50" ht="14.25" customHeight="1">
      <c r="B166" s="611"/>
      <c r="C166" s="179">
        <v>34</v>
      </c>
      <c r="D166" s="182" t="s">
        <v>345</v>
      </c>
      <c r="E166" s="179">
        <v>3</v>
      </c>
      <c r="F166" s="179">
        <v>3000</v>
      </c>
      <c r="G166" s="184">
        <f t="shared" si="53"/>
        <v>1000</v>
      </c>
      <c r="H166" s="612"/>
      <c r="I166" s="185">
        <f t="shared" si="68"/>
        <v>3</v>
      </c>
      <c r="J166" s="185">
        <f t="shared" si="68"/>
        <v>2727.7032207244679</v>
      </c>
      <c r="K166" s="186">
        <f t="shared" si="68"/>
        <v>909.23440690815607</v>
      </c>
      <c r="L166" s="613"/>
      <c r="M166" s="185">
        <f>RANK(K166, K$133:$K$169)</f>
        <v>12</v>
      </c>
      <c r="N166" s="624"/>
      <c r="O166" s="614"/>
      <c r="P166" s="187">
        <v>3</v>
      </c>
      <c r="Q166" s="187">
        <v>2722.9123708362076</v>
      </c>
      <c r="R166" s="184">
        <f t="shared" si="55"/>
        <v>907.6374569454025</v>
      </c>
      <c r="S166" s="181">
        <f t="shared" si="56"/>
        <v>12</v>
      </c>
      <c r="T166" s="610"/>
      <c r="U166" s="187">
        <v>3</v>
      </c>
      <c r="V166" s="187">
        <v>2725.7688574958515</v>
      </c>
      <c r="W166" s="184">
        <f t="shared" si="52"/>
        <v>908.58961916528381</v>
      </c>
      <c r="X166" s="181">
        <f t="shared" si="57"/>
        <v>12</v>
      </c>
      <c r="Y166" s="610"/>
      <c r="Z166" s="187">
        <v>3</v>
      </c>
      <c r="AA166" s="187">
        <v>2726.3688574958514</v>
      </c>
      <c r="AB166" s="184">
        <f t="shared" si="58"/>
        <v>908.78961916528385</v>
      </c>
      <c r="AC166" s="181">
        <f t="shared" si="59"/>
        <v>12</v>
      </c>
      <c r="AD166" s="610"/>
      <c r="AE166" s="187">
        <v>3</v>
      </c>
      <c r="AF166" s="187">
        <v>2728.7521580830171</v>
      </c>
      <c r="AG166" s="184">
        <f t="shared" si="60"/>
        <v>909.58405269433899</v>
      </c>
      <c r="AH166" s="181">
        <f t="shared" si="61"/>
        <v>11</v>
      </c>
      <c r="AI166" s="610"/>
      <c r="AJ166" s="187">
        <v>3</v>
      </c>
      <c r="AK166" s="187">
        <v>2728.9401003867829</v>
      </c>
      <c r="AL166" s="184">
        <f t="shared" si="62"/>
        <v>909.64670012892759</v>
      </c>
      <c r="AM166" s="181">
        <f t="shared" si="63"/>
        <v>13</v>
      </c>
      <c r="AN166" s="610"/>
      <c r="AO166" s="187">
        <v>3</v>
      </c>
      <c r="AP166" s="187">
        <v>2729.840100386783</v>
      </c>
      <c r="AQ166" s="184">
        <f t="shared" si="64"/>
        <v>909.94670012892766</v>
      </c>
      <c r="AR166" s="181">
        <f t="shared" si="65"/>
        <v>13</v>
      </c>
      <c r="AS166" s="610"/>
      <c r="AT166" s="187">
        <v>3</v>
      </c>
      <c r="AU166" s="187">
        <v>2731.340100386783</v>
      </c>
      <c r="AV166" s="184">
        <f t="shared" si="66"/>
        <v>910.44670012892766</v>
      </c>
      <c r="AW166" s="181">
        <f t="shared" si="67"/>
        <v>13</v>
      </c>
      <c r="AX166" s="610"/>
    </row>
    <row r="167" spans="1:50" ht="14.25" customHeight="1">
      <c r="B167" s="611"/>
      <c r="C167" s="179">
        <v>35</v>
      </c>
      <c r="D167" s="182" t="s">
        <v>436</v>
      </c>
      <c r="E167" s="179">
        <v>12</v>
      </c>
      <c r="F167" s="179">
        <v>3600</v>
      </c>
      <c r="G167" s="184">
        <f t="shared" si="53"/>
        <v>300</v>
      </c>
      <c r="H167" s="612"/>
      <c r="I167" s="185">
        <f t="shared" si="68"/>
        <v>12</v>
      </c>
      <c r="J167" s="185">
        <f t="shared" si="68"/>
        <v>3120.6392774272272</v>
      </c>
      <c r="K167" s="186">
        <f t="shared" si="68"/>
        <v>260.05327311893558</v>
      </c>
      <c r="L167" s="613"/>
      <c r="M167" s="185">
        <f>RANK(K167, K$133:$K$169)</f>
        <v>34</v>
      </c>
      <c r="N167" s="624"/>
      <c r="O167" s="614"/>
      <c r="P167" s="187">
        <v>12</v>
      </c>
      <c r="Q167" s="187">
        <v>3120.7202188712154</v>
      </c>
      <c r="R167" s="184">
        <f t="shared" si="55"/>
        <v>260.06001823926795</v>
      </c>
      <c r="S167" s="181">
        <f t="shared" si="56"/>
        <v>34</v>
      </c>
      <c r="T167" s="610"/>
      <c r="U167" s="187">
        <v>12</v>
      </c>
      <c r="V167" s="187">
        <v>3120.3602188712152</v>
      </c>
      <c r="W167" s="184">
        <f t="shared" si="52"/>
        <v>260.03001823926792</v>
      </c>
      <c r="X167" s="181">
        <f t="shared" si="57"/>
        <v>35</v>
      </c>
      <c r="Y167" s="610"/>
      <c r="Z167" s="187">
        <v>12</v>
      </c>
      <c r="AA167" s="187">
        <v>3120.5349008496314</v>
      </c>
      <c r="AB167" s="184">
        <f t="shared" si="58"/>
        <v>260.04457507080264</v>
      </c>
      <c r="AC167" s="181">
        <f t="shared" si="59"/>
        <v>34</v>
      </c>
      <c r="AD167" s="610"/>
      <c r="AE167" s="187">
        <v>12</v>
      </c>
      <c r="AF167" s="187">
        <v>3120.5349008496319</v>
      </c>
      <c r="AG167" s="184">
        <f t="shared" si="60"/>
        <v>260.04457507080264</v>
      </c>
      <c r="AH167" s="181">
        <f t="shared" si="61"/>
        <v>35</v>
      </c>
      <c r="AI167" s="610"/>
      <c r="AJ167" s="187">
        <v>12</v>
      </c>
      <c r="AK167" s="187">
        <v>3120.8949008496315</v>
      </c>
      <c r="AL167" s="184">
        <f t="shared" si="62"/>
        <v>260.07457507080261</v>
      </c>
      <c r="AM167" s="181">
        <f t="shared" si="63"/>
        <v>34</v>
      </c>
      <c r="AN167" s="610"/>
      <c r="AO167" s="187">
        <v>12</v>
      </c>
      <c r="AP167" s="187">
        <v>3119.8149008496312</v>
      </c>
      <c r="AQ167" s="184">
        <f t="shared" si="64"/>
        <v>259.98457507080258</v>
      </c>
      <c r="AR167" s="181">
        <f t="shared" si="65"/>
        <v>34</v>
      </c>
      <c r="AS167" s="610"/>
      <c r="AT167" s="187">
        <v>12</v>
      </c>
      <c r="AU167" s="187">
        <v>3121.6149008496309</v>
      </c>
      <c r="AV167" s="184">
        <f t="shared" si="66"/>
        <v>260.13457507080255</v>
      </c>
      <c r="AW167" s="181">
        <f t="shared" si="67"/>
        <v>34</v>
      </c>
      <c r="AX167" s="610"/>
    </row>
    <row r="168" spans="1:50" ht="14.25" customHeight="1">
      <c r="B168" s="611"/>
      <c r="C168" s="179">
        <v>36</v>
      </c>
      <c r="D168" s="182"/>
      <c r="E168" s="179"/>
      <c r="F168" s="179"/>
      <c r="G168" s="184"/>
      <c r="H168" s="612"/>
      <c r="I168" s="185"/>
      <c r="J168" s="185"/>
      <c r="K168" s="186"/>
      <c r="L168" s="613"/>
      <c r="M168" s="185"/>
      <c r="N168" s="624"/>
      <c r="O168" s="614"/>
      <c r="P168" s="187"/>
      <c r="Q168" s="187"/>
      <c r="R168" s="184"/>
      <c r="S168" s="181"/>
      <c r="T168" s="610"/>
      <c r="U168" s="187"/>
      <c r="V168" s="187"/>
      <c r="W168" s="184"/>
      <c r="X168" s="181"/>
      <c r="Y168" s="610"/>
      <c r="Z168" s="187"/>
      <c r="AA168" s="187"/>
      <c r="AB168" s="184"/>
      <c r="AC168" s="181"/>
      <c r="AD168" s="610"/>
      <c r="AE168" s="187"/>
      <c r="AF168" s="187"/>
      <c r="AG168" s="184"/>
      <c r="AH168" s="181"/>
      <c r="AI168" s="610"/>
      <c r="AJ168" s="187"/>
      <c r="AK168" s="187"/>
      <c r="AL168" s="184"/>
      <c r="AM168" s="181"/>
      <c r="AN168" s="610"/>
      <c r="AO168" s="187"/>
      <c r="AP168" s="187"/>
      <c r="AQ168" s="184"/>
      <c r="AR168" s="181"/>
      <c r="AS168" s="610"/>
      <c r="AT168" s="187"/>
      <c r="AU168" s="187"/>
      <c r="AV168" s="184"/>
      <c r="AW168" s="181"/>
      <c r="AX168" s="610"/>
    </row>
    <row r="169" spans="1:50" ht="14.25" customHeight="1">
      <c r="B169" s="611"/>
      <c r="C169" s="179">
        <v>37</v>
      </c>
      <c r="D169" s="182"/>
      <c r="E169" s="179"/>
      <c r="F169" s="179"/>
      <c r="G169" s="184"/>
      <c r="H169" s="612"/>
      <c r="I169" s="185"/>
      <c r="J169" s="185"/>
      <c r="K169" s="186"/>
      <c r="L169" s="613"/>
      <c r="M169" s="185"/>
      <c r="N169" s="624"/>
      <c r="O169" s="614"/>
      <c r="P169" s="187"/>
      <c r="Q169" s="187"/>
      <c r="R169" s="184"/>
      <c r="S169" s="181"/>
      <c r="T169" s="610"/>
      <c r="U169" s="187"/>
      <c r="V169" s="187"/>
      <c r="W169" s="184"/>
      <c r="X169" s="181"/>
      <c r="Y169" s="610"/>
      <c r="Z169" s="187"/>
      <c r="AA169" s="187"/>
      <c r="AB169" s="184"/>
      <c r="AC169" s="181"/>
      <c r="AD169" s="610"/>
      <c r="AE169" s="187"/>
      <c r="AF169" s="187"/>
      <c r="AG169" s="184"/>
      <c r="AH169" s="181"/>
      <c r="AI169" s="610"/>
      <c r="AJ169" s="187"/>
      <c r="AK169" s="187"/>
      <c r="AL169" s="184"/>
      <c r="AM169" s="181"/>
      <c r="AN169" s="610"/>
      <c r="AO169" s="187"/>
      <c r="AP169" s="187"/>
      <c r="AQ169" s="184"/>
      <c r="AR169" s="181"/>
      <c r="AS169" s="610"/>
      <c r="AT169" s="187"/>
      <c r="AU169" s="187"/>
      <c r="AV169" s="184"/>
      <c r="AW169" s="181"/>
      <c r="AX169" s="610"/>
    </row>
    <row r="170" spans="1:50" ht="14.25" customHeight="1">
      <c r="B170" s="625" t="s">
        <v>877</v>
      </c>
      <c r="C170" s="626"/>
      <c r="D170" s="626"/>
      <c r="E170" s="626"/>
      <c r="F170" s="626"/>
      <c r="G170" s="626"/>
      <c r="H170" s="626"/>
      <c r="I170" s="626"/>
      <c r="J170" s="626"/>
      <c r="K170" s="626"/>
      <c r="L170" s="626"/>
      <c r="M170" s="627"/>
      <c r="N170" s="630" t="s">
        <v>363</v>
      </c>
      <c r="O170" s="630" t="s">
        <v>105</v>
      </c>
      <c r="P170" s="632">
        <v>46231</v>
      </c>
      <c r="Q170" s="633"/>
      <c r="R170" s="633"/>
      <c r="S170" s="633"/>
      <c r="T170" s="633"/>
      <c r="U170" s="634">
        <v>46232</v>
      </c>
      <c r="V170" s="635"/>
      <c r="W170" s="635"/>
      <c r="X170" s="635"/>
      <c r="Y170" s="635"/>
      <c r="Z170" s="632">
        <v>46233</v>
      </c>
      <c r="AA170" s="633"/>
      <c r="AB170" s="633"/>
      <c r="AC170" s="633"/>
      <c r="AD170" s="633"/>
      <c r="AE170" s="634">
        <v>46234</v>
      </c>
      <c r="AF170" s="635"/>
      <c r="AG170" s="635"/>
      <c r="AH170" s="635"/>
      <c r="AI170" s="635"/>
      <c r="AJ170" s="616">
        <v>46235</v>
      </c>
      <c r="AK170" s="617"/>
      <c r="AL170" s="617"/>
      <c r="AM170" s="617"/>
      <c r="AN170" s="618"/>
      <c r="AO170" s="634">
        <v>46236</v>
      </c>
      <c r="AP170" s="635"/>
      <c r="AQ170" s="635"/>
      <c r="AR170" s="635"/>
      <c r="AS170" s="635"/>
      <c r="AT170" s="616">
        <v>46237</v>
      </c>
      <c r="AU170" s="617"/>
      <c r="AV170" s="617"/>
      <c r="AW170" s="617"/>
      <c r="AX170" s="618"/>
    </row>
    <row r="171" spans="1:50" ht="14.25" customHeight="1">
      <c r="B171" s="628"/>
      <c r="C171" s="628"/>
      <c r="D171" s="628"/>
      <c r="E171" s="628"/>
      <c r="F171" s="628"/>
      <c r="G171" s="628"/>
      <c r="H171" s="628"/>
      <c r="I171" s="628"/>
      <c r="J171" s="628"/>
      <c r="K171" s="628"/>
      <c r="L171" s="628"/>
      <c r="M171" s="629"/>
      <c r="N171" s="631"/>
      <c r="O171" s="631"/>
      <c r="P171" s="619">
        <v>46196</v>
      </c>
      <c r="Q171" s="619"/>
      <c r="R171" s="619"/>
      <c r="S171" s="619"/>
      <c r="T171" s="619"/>
      <c r="U171" s="620">
        <v>46197</v>
      </c>
      <c r="V171" s="620"/>
      <c r="W171" s="620"/>
      <c r="X171" s="620"/>
      <c r="Y171" s="620"/>
      <c r="Z171" s="619">
        <v>46198</v>
      </c>
      <c r="AA171" s="619"/>
      <c r="AB171" s="619"/>
      <c r="AC171" s="619"/>
      <c r="AD171" s="619"/>
      <c r="AE171" s="620">
        <v>46199</v>
      </c>
      <c r="AF171" s="620"/>
      <c r="AG171" s="620"/>
      <c r="AH171" s="620"/>
      <c r="AI171" s="620"/>
      <c r="AJ171" s="621">
        <v>46200</v>
      </c>
      <c r="AK171" s="622"/>
      <c r="AL171" s="622"/>
      <c r="AM171" s="622"/>
      <c r="AN171" s="623"/>
      <c r="AO171" s="620">
        <v>46201</v>
      </c>
      <c r="AP171" s="620"/>
      <c r="AQ171" s="620"/>
      <c r="AR171" s="620"/>
      <c r="AS171" s="620"/>
      <c r="AT171" s="621">
        <v>46202</v>
      </c>
      <c r="AU171" s="622"/>
      <c r="AV171" s="622"/>
      <c r="AW171" s="622"/>
      <c r="AX171" s="623"/>
    </row>
    <row r="172" spans="1:50" ht="14.25" customHeight="1">
      <c r="B172" s="611" t="s">
        <v>162</v>
      </c>
      <c r="C172" s="611" t="s">
        <v>157</v>
      </c>
      <c r="D172" s="611"/>
      <c r="E172" s="611" t="s">
        <v>158</v>
      </c>
      <c r="F172" s="611"/>
      <c r="G172" s="611"/>
      <c r="H172" s="611" t="s">
        <v>163</v>
      </c>
      <c r="I172" s="615" t="s">
        <v>364</v>
      </c>
      <c r="J172" s="615"/>
      <c r="K172" s="615"/>
      <c r="L172" s="615" t="s">
        <v>163</v>
      </c>
      <c r="M172" s="615" t="s">
        <v>165</v>
      </c>
      <c r="N172" s="624"/>
      <c r="O172" s="614" t="s">
        <v>164</v>
      </c>
      <c r="P172" s="614" t="s">
        <v>160</v>
      </c>
      <c r="Q172" s="614"/>
      <c r="R172" s="614"/>
      <c r="S172" s="614"/>
      <c r="T172" s="614" t="s">
        <v>163</v>
      </c>
      <c r="U172" s="614" t="s">
        <v>160</v>
      </c>
      <c r="V172" s="614"/>
      <c r="W172" s="614"/>
      <c r="X172" s="614"/>
      <c r="Y172" s="614" t="s">
        <v>163</v>
      </c>
      <c r="Z172" s="614" t="s">
        <v>160</v>
      </c>
      <c r="AA172" s="614"/>
      <c r="AB172" s="614"/>
      <c r="AC172" s="614"/>
      <c r="AD172" s="614" t="s">
        <v>163</v>
      </c>
      <c r="AE172" s="614" t="s">
        <v>160</v>
      </c>
      <c r="AF172" s="614"/>
      <c r="AG172" s="614"/>
      <c r="AH172" s="614"/>
      <c r="AI172" s="614" t="s">
        <v>163</v>
      </c>
      <c r="AJ172" s="614" t="s">
        <v>160</v>
      </c>
      <c r="AK172" s="614"/>
      <c r="AL172" s="614"/>
      <c r="AM172" s="614"/>
      <c r="AN172" s="614" t="s">
        <v>163</v>
      </c>
      <c r="AO172" s="614" t="s">
        <v>160</v>
      </c>
      <c r="AP172" s="614"/>
      <c r="AQ172" s="614"/>
      <c r="AR172" s="614"/>
      <c r="AS172" s="614" t="s">
        <v>163</v>
      </c>
      <c r="AT172" s="614" t="s">
        <v>160</v>
      </c>
      <c r="AU172" s="614"/>
      <c r="AV172" s="614"/>
      <c r="AW172" s="614"/>
      <c r="AX172" s="614" t="s">
        <v>163</v>
      </c>
    </row>
    <row r="173" spans="1:50" ht="14.25" customHeight="1">
      <c r="B173" s="611"/>
      <c r="C173" s="611"/>
      <c r="D173" s="611"/>
      <c r="E173" s="611" t="s">
        <v>365</v>
      </c>
      <c r="F173" s="611"/>
      <c r="G173" s="611"/>
      <c r="H173" s="611"/>
      <c r="I173" s="615" t="s">
        <v>365</v>
      </c>
      <c r="J173" s="615"/>
      <c r="K173" s="615"/>
      <c r="L173" s="615"/>
      <c r="M173" s="615"/>
      <c r="N173" s="624"/>
      <c r="O173" s="614"/>
      <c r="P173" s="614" t="s">
        <v>366</v>
      </c>
      <c r="Q173" s="614"/>
      <c r="R173" s="614"/>
      <c r="S173" s="614"/>
      <c r="T173" s="614"/>
      <c r="U173" s="614" t="s">
        <v>366</v>
      </c>
      <c r="V173" s="614"/>
      <c r="W173" s="614"/>
      <c r="X173" s="614"/>
      <c r="Y173" s="614"/>
      <c r="Z173" s="614" t="s">
        <v>366</v>
      </c>
      <c r="AA173" s="614"/>
      <c r="AB173" s="614"/>
      <c r="AC173" s="614"/>
      <c r="AD173" s="614"/>
      <c r="AE173" s="614" t="s">
        <v>366</v>
      </c>
      <c r="AF173" s="614"/>
      <c r="AG173" s="614"/>
      <c r="AH173" s="614"/>
      <c r="AI173" s="614"/>
      <c r="AJ173" s="614" t="s">
        <v>366</v>
      </c>
      <c r="AK173" s="614"/>
      <c r="AL173" s="614"/>
      <c r="AM173" s="614"/>
      <c r="AN173" s="614"/>
      <c r="AO173" s="614" t="s">
        <v>366</v>
      </c>
      <c r="AP173" s="614"/>
      <c r="AQ173" s="614"/>
      <c r="AR173" s="614"/>
      <c r="AS173" s="614"/>
      <c r="AT173" s="614" t="s">
        <v>366</v>
      </c>
      <c r="AU173" s="614"/>
      <c r="AV173" s="614"/>
      <c r="AW173" s="614"/>
      <c r="AX173" s="614"/>
    </row>
    <row r="174" spans="1:50" ht="14.25" customHeight="1">
      <c r="A174" s="176"/>
      <c r="B174" s="611"/>
      <c r="C174" s="611"/>
      <c r="D174" s="611"/>
      <c r="E174" s="179" t="s">
        <v>159</v>
      </c>
      <c r="F174" s="179" t="s">
        <v>367</v>
      </c>
      <c r="G174" s="179" t="s">
        <v>161</v>
      </c>
      <c r="H174" s="611"/>
      <c r="I174" s="180" t="s">
        <v>159</v>
      </c>
      <c r="J174" s="180" t="s">
        <v>367</v>
      </c>
      <c r="K174" s="180" t="s">
        <v>161</v>
      </c>
      <c r="L174" s="615"/>
      <c r="M174" s="615"/>
      <c r="N174" s="624"/>
      <c r="O174" s="614"/>
      <c r="P174" s="181" t="s">
        <v>159</v>
      </c>
      <c r="Q174" s="181" t="s">
        <v>367</v>
      </c>
      <c r="R174" s="181" t="s">
        <v>161</v>
      </c>
      <c r="S174" s="181" t="s">
        <v>165</v>
      </c>
      <c r="T174" s="614"/>
      <c r="U174" s="181" t="s">
        <v>159</v>
      </c>
      <c r="V174" s="181" t="s">
        <v>367</v>
      </c>
      <c r="W174" s="181" t="s">
        <v>161</v>
      </c>
      <c r="X174" s="181" t="s">
        <v>165</v>
      </c>
      <c r="Y174" s="614"/>
      <c r="Z174" s="181" t="s">
        <v>159</v>
      </c>
      <c r="AA174" s="181" t="s">
        <v>367</v>
      </c>
      <c r="AB174" s="181" t="s">
        <v>161</v>
      </c>
      <c r="AC174" s="181" t="s">
        <v>165</v>
      </c>
      <c r="AD174" s="614"/>
      <c r="AE174" s="181" t="s">
        <v>159</v>
      </c>
      <c r="AF174" s="181" t="s">
        <v>367</v>
      </c>
      <c r="AG174" s="181" t="s">
        <v>161</v>
      </c>
      <c r="AH174" s="181" t="s">
        <v>165</v>
      </c>
      <c r="AI174" s="614"/>
      <c r="AJ174" s="181" t="s">
        <v>159</v>
      </c>
      <c r="AK174" s="181" t="s">
        <v>367</v>
      </c>
      <c r="AL174" s="181" t="s">
        <v>161</v>
      </c>
      <c r="AM174" s="181" t="s">
        <v>165</v>
      </c>
      <c r="AN174" s="614"/>
      <c r="AO174" s="181" t="s">
        <v>159</v>
      </c>
      <c r="AP174" s="181" t="s">
        <v>367</v>
      </c>
      <c r="AQ174" s="181" t="s">
        <v>161</v>
      </c>
      <c r="AR174" s="181" t="s">
        <v>165</v>
      </c>
      <c r="AS174" s="614"/>
      <c r="AT174" s="181" t="s">
        <v>159</v>
      </c>
      <c r="AU174" s="181" t="s">
        <v>367</v>
      </c>
      <c r="AV174" s="181" t="s">
        <v>161</v>
      </c>
      <c r="AW174" s="181" t="s">
        <v>165</v>
      </c>
      <c r="AX174" s="614"/>
    </row>
    <row r="175" spans="1:50" ht="14.25" customHeight="1">
      <c r="B175" s="611" t="s">
        <v>368</v>
      </c>
      <c r="C175" s="179">
        <v>1</v>
      </c>
      <c r="D175" s="182" t="s">
        <v>393</v>
      </c>
      <c r="E175" s="183">
        <v>4</v>
      </c>
      <c r="F175" s="179">
        <v>3300</v>
      </c>
      <c r="G175" s="184">
        <f>IFERROR(F175/E175,"")</f>
        <v>825</v>
      </c>
      <c r="H175" s="612">
        <f>AVERAGE(G175:G211)</f>
        <v>865.57142857142856</v>
      </c>
      <c r="I175" s="185">
        <f>AVERAGE(P175,U175,Z175,AE175,AJ175,AO175,AT175)</f>
        <v>4</v>
      </c>
      <c r="J175" s="185">
        <f>AVERAGE(Q175,V175,AA175,AF175,AK175,AP175,AU175)</f>
        <v>3004.0978309442535</v>
      </c>
      <c r="K175" s="186">
        <f>AVERAGE(R175,W175,AB175,AG175,AL175,AQ175,AV175)</f>
        <v>751.02445773606337</v>
      </c>
      <c r="L175" s="613">
        <f>IFERROR(AVERAGE(K175:K211),"-")</f>
        <v>777.98601036720368</v>
      </c>
      <c r="M175" s="185">
        <f>RANK(K175, K$175:$K$211)</f>
        <v>17</v>
      </c>
      <c r="N175" s="624"/>
      <c r="O175" s="614"/>
      <c r="P175" s="187">
        <v>4</v>
      </c>
      <c r="Q175" s="187">
        <v>2996.4786933476325</v>
      </c>
      <c r="R175" s="184">
        <f>IFERROR(Q175/P175,"")</f>
        <v>749.11967333690814</v>
      </c>
      <c r="S175" s="181">
        <f>RANK(R175, R$175:R$211)</f>
        <v>17</v>
      </c>
      <c r="T175" s="610">
        <f>AVERAGE(R175:R211)</f>
        <v>776.99977110784801</v>
      </c>
      <c r="U175" s="187">
        <v>4</v>
      </c>
      <c r="V175" s="187">
        <v>3003.2226331240963</v>
      </c>
      <c r="W175" s="184">
        <f t="shared" ref="W175:W209" si="69">IFERROR(V175/U175,"")</f>
        <v>750.80565828102408</v>
      </c>
      <c r="X175" s="181">
        <f>RANK(W175, W$175:W$211)</f>
        <v>16</v>
      </c>
      <c r="Y175" s="610">
        <f>AVERAGE(W175:W211)</f>
        <v>777.55571519430828</v>
      </c>
      <c r="Z175" s="187">
        <v>4</v>
      </c>
      <c r="AA175" s="187">
        <v>3003.8826331240966</v>
      </c>
      <c r="AB175" s="184">
        <f>IFERROR(AA175/Z175,"")</f>
        <v>750.97065828102416</v>
      </c>
      <c r="AC175" s="181">
        <f>RANK(AB175, AB$175:AB$211)</f>
        <v>17</v>
      </c>
      <c r="AD175" s="610">
        <f>AVERAGE(AB175:AB211)</f>
        <v>777.82493189396871</v>
      </c>
      <c r="AE175" s="187">
        <v>4</v>
      </c>
      <c r="AF175" s="187">
        <v>3005.2026331240963</v>
      </c>
      <c r="AG175" s="184">
        <f>IFERROR(AF175/AE175,"")</f>
        <v>751.30065828102408</v>
      </c>
      <c r="AH175" s="181">
        <f>RANK(AG175, AG$175:AG$211)</f>
        <v>17</v>
      </c>
      <c r="AI175" s="610">
        <f>AVERAGE(AG175:AG211)</f>
        <v>778.00507769310116</v>
      </c>
      <c r="AJ175" s="187">
        <v>4</v>
      </c>
      <c r="AK175" s="187">
        <v>3005.2026331240959</v>
      </c>
      <c r="AL175" s="184">
        <f>IFERROR(AK175/AJ175,"")</f>
        <v>751.30065828102397</v>
      </c>
      <c r="AM175" s="181">
        <f>RANK(AL175, AL$175:AL$211)</f>
        <v>17</v>
      </c>
      <c r="AN175" s="610">
        <f>AVERAGE(AL175:AL211)</f>
        <v>778.19057166560435</v>
      </c>
      <c r="AO175" s="187">
        <v>4</v>
      </c>
      <c r="AP175" s="187">
        <v>3006.1926331240957</v>
      </c>
      <c r="AQ175" s="184">
        <f>IFERROR(AP175/AO175,"")</f>
        <v>751.54815828102392</v>
      </c>
      <c r="AR175" s="181">
        <f>RANK(AQ175, AQ$175:AQ$211)</f>
        <v>17</v>
      </c>
      <c r="AS175" s="610">
        <f>AVERAGE(AQ175:AQ211)</f>
        <v>778.42546490772497</v>
      </c>
      <c r="AT175" s="187">
        <v>4</v>
      </c>
      <c r="AU175" s="187">
        <v>3008.5029576416591</v>
      </c>
      <c r="AV175" s="184">
        <f>IFERROR(AU175/AT175,"")</f>
        <v>752.12573941041478</v>
      </c>
      <c r="AW175" s="181">
        <f>RANK(AV175, AV$175:AV$211)</f>
        <v>17</v>
      </c>
      <c r="AX175" s="610">
        <f>AVERAGE(AV175:AV211)</f>
        <v>778.90054010787128</v>
      </c>
    </row>
    <row r="176" spans="1:50" ht="14.25" customHeight="1">
      <c r="B176" s="611"/>
      <c r="C176" s="179">
        <v>2</v>
      </c>
      <c r="D176" s="182" t="s">
        <v>391</v>
      </c>
      <c r="E176" s="183">
        <v>3</v>
      </c>
      <c r="F176" s="179">
        <v>3600</v>
      </c>
      <c r="G176" s="184">
        <f t="shared" ref="G176:G209" si="70">IFERROR(F176/E176,"")</f>
        <v>1200</v>
      </c>
      <c r="H176" s="612"/>
      <c r="I176" s="185">
        <f t="shared" ref="I176:K205" si="71">AVERAGE(P176,U176,Z176,AE176,AJ176,AO176,AT176)</f>
        <v>3</v>
      </c>
      <c r="J176" s="185">
        <f t="shared" si="71"/>
        <v>3207.6595226048348</v>
      </c>
      <c r="K176" s="186">
        <f t="shared" si="71"/>
        <v>1069.2198408682784</v>
      </c>
      <c r="L176" s="613"/>
      <c r="M176" s="185">
        <f>RANK(K176, K$175:$K$211)</f>
        <v>6</v>
      </c>
      <c r="N176" s="624"/>
      <c r="O176" s="614"/>
      <c r="P176" s="187">
        <v>3</v>
      </c>
      <c r="Q176" s="187">
        <v>3204.6252368905498</v>
      </c>
      <c r="R176" s="184">
        <f t="shared" ref="R176:R209" si="72">IFERROR(Q176/P176,"")</f>
        <v>1068.2084122968499</v>
      </c>
      <c r="S176" s="181">
        <f t="shared" ref="S176:S209" si="73">RANK(R176, R$175:R$211)</f>
        <v>7</v>
      </c>
      <c r="T176" s="610"/>
      <c r="U176" s="187">
        <v>3</v>
      </c>
      <c r="V176" s="187">
        <v>3205.34523689055</v>
      </c>
      <c r="W176" s="184">
        <f t="shared" si="69"/>
        <v>1068.4484122968499</v>
      </c>
      <c r="X176" s="181">
        <f t="shared" ref="X176:X209" si="74">RANK(W176, W$175:W$211)</f>
        <v>7</v>
      </c>
      <c r="Y176" s="610"/>
      <c r="Z176" s="187">
        <v>3</v>
      </c>
      <c r="AA176" s="187">
        <v>3207.1452368905493</v>
      </c>
      <c r="AB176" s="184">
        <f t="shared" ref="AB176:AB209" si="75">IFERROR(AA176/Z176,"")</f>
        <v>1069.0484122968498</v>
      </c>
      <c r="AC176" s="181">
        <f t="shared" ref="AC176:AC209" si="76">RANK(AB176, AB$175:AB$211)</f>
        <v>6</v>
      </c>
      <c r="AD176" s="610"/>
      <c r="AE176" s="187">
        <v>3</v>
      </c>
      <c r="AF176" s="187">
        <v>3207.1452368905493</v>
      </c>
      <c r="AG176" s="184">
        <f t="shared" ref="AG176:AG209" si="77">IFERROR(AF176/AE176,"")</f>
        <v>1069.0484122968498</v>
      </c>
      <c r="AH176" s="181">
        <f t="shared" ref="AH176:AH209" si="78">RANK(AG176, AG$175:AG$211)</f>
        <v>6</v>
      </c>
      <c r="AI176" s="610"/>
      <c r="AJ176" s="187">
        <v>3</v>
      </c>
      <c r="AK176" s="187">
        <v>3208.5852368905489</v>
      </c>
      <c r="AL176" s="184">
        <f t="shared" ref="AL176:AL209" si="79">IFERROR(AK176/AJ176,"")</f>
        <v>1069.5284122968496</v>
      </c>
      <c r="AM176" s="181">
        <f t="shared" ref="AM176:AM209" si="80">RANK(AL176, AL$175:AL$211)</f>
        <v>5</v>
      </c>
      <c r="AN176" s="610"/>
      <c r="AO176" s="187">
        <v>3</v>
      </c>
      <c r="AP176" s="187">
        <v>3210.025236890549</v>
      </c>
      <c r="AQ176" s="184">
        <f t="shared" ref="AQ176:AQ209" si="81">IFERROR(AP176/AO176,"")</f>
        <v>1070.0084122968497</v>
      </c>
      <c r="AR176" s="181">
        <f t="shared" ref="AR176:AR209" si="82">RANK(AQ176, AQ$175:AQ$211)</f>
        <v>5</v>
      </c>
      <c r="AS176" s="610"/>
      <c r="AT176" s="187">
        <v>3</v>
      </c>
      <c r="AU176" s="187">
        <v>3210.7452368905497</v>
      </c>
      <c r="AV176" s="184">
        <f t="shared" ref="AV176:AV209" si="83">IFERROR(AU176/AT176,"")</f>
        <v>1070.2484122968499</v>
      </c>
      <c r="AW176" s="181">
        <f t="shared" ref="AW176:AW209" si="84">RANK(AV176, AV$175:AV$211)</f>
        <v>7</v>
      </c>
      <c r="AX176" s="610"/>
    </row>
    <row r="177" spans="2:50" ht="14.25" customHeight="1">
      <c r="B177" s="611"/>
      <c r="C177" s="179">
        <v>3</v>
      </c>
      <c r="D177" s="182" t="s">
        <v>392</v>
      </c>
      <c r="E177" s="183">
        <v>5</v>
      </c>
      <c r="F177" s="179">
        <v>3600</v>
      </c>
      <c r="G177" s="184">
        <f t="shared" si="70"/>
        <v>720</v>
      </c>
      <c r="H177" s="612"/>
      <c r="I177" s="185">
        <f t="shared" si="71"/>
        <v>5</v>
      </c>
      <c r="J177" s="185">
        <f t="shared" si="71"/>
        <v>3207.7299062226934</v>
      </c>
      <c r="K177" s="186">
        <f t="shared" si="71"/>
        <v>641.54598124453878</v>
      </c>
      <c r="L177" s="613"/>
      <c r="M177" s="185">
        <f>RANK(K177, K$175:$K$211)</f>
        <v>28</v>
      </c>
      <c r="N177" s="624"/>
      <c r="O177" s="614"/>
      <c r="P177" s="187">
        <v>5</v>
      </c>
      <c r="Q177" s="187">
        <v>3205.5758276693327</v>
      </c>
      <c r="R177" s="184">
        <f t="shared" si="72"/>
        <v>641.1151655338665</v>
      </c>
      <c r="S177" s="181">
        <f t="shared" si="73"/>
        <v>24</v>
      </c>
      <c r="T177" s="610"/>
      <c r="U177" s="187">
        <v>5</v>
      </c>
      <c r="V177" s="187">
        <v>3206.6558276693327</v>
      </c>
      <c r="W177" s="184">
        <f t="shared" si="69"/>
        <v>641.33116553386651</v>
      </c>
      <c r="X177" s="181">
        <f t="shared" si="74"/>
        <v>26</v>
      </c>
      <c r="Y177" s="610"/>
      <c r="Z177" s="187">
        <v>5</v>
      </c>
      <c r="AA177" s="187">
        <v>3206.6558276693327</v>
      </c>
      <c r="AB177" s="184">
        <f t="shared" si="75"/>
        <v>641.33116553386651</v>
      </c>
      <c r="AC177" s="181">
        <f t="shared" si="76"/>
        <v>28</v>
      </c>
      <c r="AD177" s="610"/>
      <c r="AE177" s="187">
        <v>5</v>
      </c>
      <c r="AF177" s="187">
        <v>3207.0158276693328</v>
      </c>
      <c r="AG177" s="184">
        <f t="shared" si="77"/>
        <v>641.40316553386651</v>
      </c>
      <c r="AH177" s="181">
        <f t="shared" si="78"/>
        <v>28</v>
      </c>
      <c r="AI177" s="610"/>
      <c r="AJ177" s="187">
        <v>5</v>
      </c>
      <c r="AK177" s="187">
        <v>3207.3758276693325</v>
      </c>
      <c r="AL177" s="184">
        <f t="shared" si="79"/>
        <v>641.47516553386652</v>
      </c>
      <c r="AM177" s="181">
        <f t="shared" si="80"/>
        <v>29</v>
      </c>
      <c r="AN177" s="610"/>
      <c r="AO177" s="187">
        <v>5</v>
      </c>
      <c r="AP177" s="187">
        <v>3208.4558276693324</v>
      </c>
      <c r="AQ177" s="184">
        <f t="shared" si="81"/>
        <v>641.69116553386652</v>
      </c>
      <c r="AR177" s="181">
        <f t="shared" si="82"/>
        <v>29</v>
      </c>
      <c r="AS177" s="610"/>
      <c r="AT177" s="187">
        <v>5</v>
      </c>
      <c r="AU177" s="187">
        <v>3212.3743775428579</v>
      </c>
      <c r="AV177" s="184">
        <f t="shared" si="83"/>
        <v>642.47487550857159</v>
      </c>
      <c r="AW177" s="181">
        <f t="shared" si="84"/>
        <v>27</v>
      </c>
      <c r="AX177" s="610"/>
    </row>
    <row r="178" spans="2:50" ht="14.25" customHeight="1">
      <c r="B178" s="611"/>
      <c r="C178" s="179">
        <v>4</v>
      </c>
      <c r="D178" s="182" t="s">
        <v>229</v>
      </c>
      <c r="E178" s="183">
        <v>5</v>
      </c>
      <c r="F178" s="179">
        <v>3300</v>
      </c>
      <c r="G178" s="184">
        <f t="shared" si="70"/>
        <v>660</v>
      </c>
      <c r="H178" s="612"/>
      <c r="I178" s="185">
        <f t="shared" si="71"/>
        <v>5</v>
      </c>
      <c r="J178" s="185">
        <f t="shared" si="71"/>
        <v>3007.0541810350014</v>
      </c>
      <c r="K178" s="186">
        <f t="shared" si="71"/>
        <v>601.41083620700022</v>
      </c>
      <c r="L178" s="613"/>
      <c r="M178" s="185">
        <f>RANK(K178, K$175:$K$211)</f>
        <v>31</v>
      </c>
      <c r="N178" s="624"/>
      <c r="O178" s="614"/>
      <c r="P178" s="187">
        <v>5</v>
      </c>
      <c r="Q178" s="187">
        <v>2999.4550675856426</v>
      </c>
      <c r="R178" s="184">
        <f t="shared" si="72"/>
        <v>599.8910135171285</v>
      </c>
      <c r="S178" s="181">
        <f t="shared" si="73"/>
        <v>31</v>
      </c>
      <c r="T178" s="610"/>
      <c r="U178" s="187">
        <v>5</v>
      </c>
      <c r="V178" s="187">
        <v>3006.8428785148703</v>
      </c>
      <c r="W178" s="184">
        <f t="shared" si="69"/>
        <v>601.36857570297411</v>
      </c>
      <c r="X178" s="181">
        <f t="shared" si="74"/>
        <v>31</v>
      </c>
      <c r="Y178" s="610"/>
      <c r="Z178" s="187">
        <v>5</v>
      </c>
      <c r="AA178" s="187">
        <v>3006.8428785148708</v>
      </c>
      <c r="AB178" s="184">
        <f t="shared" si="75"/>
        <v>601.36857570297411</v>
      </c>
      <c r="AC178" s="181">
        <f t="shared" si="76"/>
        <v>32</v>
      </c>
      <c r="AD178" s="610"/>
      <c r="AE178" s="187">
        <v>5</v>
      </c>
      <c r="AF178" s="187">
        <v>3007.1728785148703</v>
      </c>
      <c r="AG178" s="184">
        <f t="shared" si="77"/>
        <v>601.43457570297403</v>
      </c>
      <c r="AH178" s="181">
        <f t="shared" si="78"/>
        <v>31</v>
      </c>
      <c r="AI178" s="610"/>
      <c r="AJ178" s="187">
        <v>5</v>
      </c>
      <c r="AK178" s="187">
        <v>3007.8328785148701</v>
      </c>
      <c r="AL178" s="184">
        <f t="shared" si="79"/>
        <v>601.56657570297398</v>
      </c>
      <c r="AM178" s="181">
        <f t="shared" si="80"/>
        <v>31</v>
      </c>
      <c r="AN178" s="610"/>
      <c r="AO178" s="187">
        <v>5</v>
      </c>
      <c r="AP178" s="187">
        <v>3009.4828785148693</v>
      </c>
      <c r="AQ178" s="184">
        <f t="shared" si="81"/>
        <v>601.89657570297391</v>
      </c>
      <c r="AR178" s="181">
        <f t="shared" si="82"/>
        <v>31</v>
      </c>
      <c r="AS178" s="610"/>
      <c r="AT178" s="187">
        <v>5</v>
      </c>
      <c r="AU178" s="187">
        <v>3011.749807085017</v>
      </c>
      <c r="AV178" s="184">
        <f t="shared" si="83"/>
        <v>602.34996141700344</v>
      </c>
      <c r="AW178" s="181">
        <f t="shared" si="84"/>
        <v>31</v>
      </c>
      <c r="AX178" s="610"/>
    </row>
    <row r="179" spans="2:50" ht="14.25" customHeight="1">
      <c r="B179" s="611"/>
      <c r="C179" s="179">
        <v>5</v>
      </c>
      <c r="D179" s="182" t="s">
        <v>388</v>
      </c>
      <c r="E179" s="183">
        <v>3</v>
      </c>
      <c r="F179" s="179">
        <v>3600</v>
      </c>
      <c r="G179" s="184">
        <f t="shared" si="70"/>
        <v>1200</v>
      </c>
      <c r="H179" s="612"/>
      <c r="I179" s="185">
        <f t="shared" si="71"/>
        <v>3</v>
      </c>
      <c r="J179" s="185">
        <f t="shared" si="71"/>
        <v>3207.9623703926045</v>
      </c>
      <c r="K179" s="186">
        <f t="shared" si="71"/>
        <v>1069.3207901308681</v>
      </c>
      <c r="L179" s="613"/>
      <c r="M179" s="185">
        <f>RANK(K179, K$175:$K$211)</f>
        <v>5</v>
      </c>
      <c r="N179" s="624"/>
      <c r="O179" s="614"/>
      <c r="P179" s="187">
        <v>3</v>
      </c>
      <c r="Q179" s="187">
        <v>3205.6217186658937</v>
      </c>
      <c r="R179" s="184">
        <f t="shared" si="72"/>
        <v>1068.5405728886312</v>
      </c>
      <c r="S179" s="181">
        <f t="shared" si="73"/>
        <v>6</v>
      </c>
      <c r="T179" s="610"/>
      <c r="U179" s="187">
        <v>3</v>
      </c>
      <c r="V179" s="187">
        <v>3206.7017186658936</v>
      </c>
      <c r="W179" s="184">
        <f t="shared" si="69"/>
        <v>1068.9005728886311</v>
      </c>
      <c r="X179" s="181">
        <f t="shared" si="74"/>
        <v>5</v>
      </c>
      <c r="Y179" s="610"/>
      <c r="Z179" s="187">
        <v>3</v>
      </c>
      <c r="AA179" s="187">
        <v>3207.421718665893</v>
      </c>
      <c r="AB179" s="184">
        <f t="shared" si="75"/>
        <v>1069.1405728886309</v>
      </c>
      <c r="AC179" s="181">
        <f t="shared" si="76"/>
        <v>5</v>
      </c>
      <c r="AD179" s="610"/>
      <c r="AE179" s="187">
        <v>3</v>
      </c>
      <c r="AF179" s="187">
        <v>3208.1417186658928</v>
      </c>
      <c r="AG179" s="184">
        <f t="shared" si="77"/>
        <v>1069.3805728886309</v>
      </c>
      <c r="AH179" s="181">
        <f t="shared" si="78"/>
        <v>5</v>
      </c>
      <c r="AI179" s="610"/>
      <c r="AJ179" s="187">
        <v>3</v>
      </c>
      <c r="AK179" s="187">
        <v>3208.5017186658933</v>
      </c>
      <c r="AL179" s="184">
        <f t="shared" si="79"/>
        <v>1069.500572888631</v>
      </c>
      <c r="AM179" s="181">
        <f t="shared" si="80"/>
        <v>6</v>
      </c>
      <c r="AN179" s="610"/>
      <c r="AO179" s="187">
        <v>3</v>
      </c>
      <c r="AP179" s="187">
        <v>3208.5017186658933</v>
      </c>
      <c r="AQ179" s="184">
        <f t="shared" si="81"/>
        <v>1069.500572888631</v>
      </c>
      <c r="AR179" s="181">
        <f t="shared" si="82"/>
        <v>6</v>
      </c>
      <c r="AS179" s="610"/>
      <c r="AT179" s="187">
        <v>3</v>
      </c>
      <c r="AU179" s="187">
        <v>3210.8462807528699</v>
      </c>
      <c r="AV179" s="184">
        <f t="shared" si="83"/>
        <v>1070.2820935842899</v>
      </c>
      <c r="AW179" s="181">
        <f t="shared" si="84"/>
        <v>6</v>
      </c>
      <c r="AX179" s="610"/>
    </row>
    <row r="180" spans="2:50" ht="14.25" customHeight="1">
      <c r="B180" s="611"/>
      <c r="C180" s="179">
        <v>6</v>
      </c>
      <c r="D180" s="182" t="s">
        <v>339</v>
      </c>
      <c r="E180" s="183">
        <v>4</v>
      </c>
      <c r="F180" s="179">
        <v>3600</v>
      </c>
      <c r="G180" s="184">
        <f t="shared" si="70"/>
        <v>900</v>
      </c>
      <c r="H180" s="612"/>
      <c r="I180" s="185">
        <f t="shared" si="71"/>
        <v>4</v>
      </c>
      <c r="J180" s="185">
        <f t="shared" si="71"/>
        <v>3208.059613400289</v>
      </c>
      <c r="K180" s="186">
        <f t="shared" si="71"/>
        <v>802.01490335007225</v>
      </c>
      <c r="L180" s="613"/>
      <c r="M180" s="185">
        <f>RANK(K180, K$175:$K$211)</f>
        <v>14</v>
      </c>
      <c r="N180" s="624"/>
      <c r="O180" s="614"/>
      <c r="P180" s="187">
        <v>4</v>
      </c>
      <c r="Q180" s="187">
        <v>3205.5911032386434</v>
      </c>
      <c r="R180" s="184">
        <f t="shared" si="72"/>
        <v>801.39777580966086</v>
      </c>
      <c r="S180" s="181">
        <f t="shared" si="73"/>
        <v>14</v>
      </c>
      <c r="T180" s="610"/>
      <c r="U180" s="187">
        <v>4</v>
      </c>
      <c r="V180" s="187">
        <v>3207.0311032386426</v>
      </c>
      <c r="W180" s="184">
        <f t="shared" si="69"/>
        <v>801.75777580966064</v>
      </c>
      <c r="X180" s="181">
        <f t="shared" si="74"/>
        <v>14</v>
      </c>
      <c r="Y180" s="610"/>
      <c r="Z180" s="187">
        <v>4</v>
      </c>
      <c r="AA180" s="187">
        <v>3207.3911032386427</v>
      </c>
      <c r="AB180" s="184">
        <f t="shared" si="75"/>
        <v>801.84777580966067</v>
      </c>
      <c r="AC180" s="181">
        <f t="shared" si="76"/>
        <v>14</v>
      </c>
      <c r="AD180" s="610"/>
      <c r="AE180" s="187">
        <v>4</v>
      </c>
      <c r="AF180" s="187">
        <v>3207.3911032386432</v>
      </c>
      <c r="AG180" s="184">
        <f t="shared" si="77"/>
        <v>801.84777580966079</v>
      </c>
      <c r="AH180" s="181">
        <f t="shared" si="78"/>
        <v>14</v>
      </c>
      <c r="AI180" s="610"/>
      <c r="AJ180" s="187">
        <v>4</v>
      </c>
      <c r="AK180" s="187">
        <v>3207.7511032386433</v>
      </c>
      <c r="AL180" s="184">
        <f t="shared" si="79"/>
        <v>801.93777580966082</v>
      </c>
      <c r="AM180" s="181">
        <f t="shared" si="80"/>
        <v>15</v>
      </c>
      <c r="AN180" s="610"/>
      <c r="AO180" s="187">
        <v>4</v>
      </c>
      <c r="AP180" s="187">
        <v>3208.1111032386439</v>
      </c>
      <c r="AQ180" s="184">
        <f t="shared" si="81"/>
        <v>802.02777580966097</v>
      </c>
      <c r="AR180" s="181">
        <f t="shared" si="82"/>
        <v>15</v>
      </c>
      <c r="AS180" s="610"/>
      <c r="AT180" s="187">
        <v>4</v>
      </c>
      <c r="AU180" s="187">
        <v>3213.1506743701643</v>
      </c>
      <c r="AV180" s="184">
        <f t="shared" si="83"/>
        <v>803.28766859254108</v>
      </c>
      <c r="AW180" s="181">
        <f t="shared" si="84"/>
        <v>14</v>
      </c>
      <c r="AX180" s="610"/>
    </row>
    <row r="181" spans="2:50" ht="14.25" customHeight="1">
      <c r="B181" s="611"/>
      <c r="C181" s="179">
        <v>7</v>
      </c>
      <c r="D181" s="182" t="s">
        <v>390</v>
      </c>
      <c r="E181" s="183">
        <v>3</v>
      </c>
      <c r="F181" s="179">
        <v>3600</v>
      </c>
      <c r="G181" s="184">
        <f t="shared" si="70"/>
        <v>1200</v>
      </c>
      <c r="H181" s="612"/>
      <c r="I181" s="185">
        <f t="shared" si="71"/>
        <v>3</v>
      </c>
      <c r="J181" s="185">
        <f t="shared" si="71"/>
        <v>3211.0646645229745</v>
      </c>
      <c r="K181" s="186">
        <f t="shared" si="71"/>
        <v>1070.354888174325</v>
      </c>
      <c r="L181" s="613"/>
      <c r="M181" s="185">
        <f>RANK(K181, K$175:$K$211)</f>
        <v>2</v>
      </c>
      <c r="N181" s="624"/>
      <c r="O181" s="614"/>
      <c r="P181" s="187">
        <v>3</v>
      </c>
      <c r="Q181" s="187">
        <v>3208.081807380117</v>
      </c>
      <c r="R181" s="184">
        <f t="shared" si="72"/>
        <v>1069.360602460039</v>
      </c>
      <c r="S181" s="181">
        <f t="shared" si="73"/>
        <v>2</v>
      </c>
      <c r="T181" s="610"/>
      <c r="U181" s="187">
        <v>3</v>
      </c>
      <c r="V181" s="187">
        <v>3209.8818073801172</v>
      </c>
      <c r="W181" s="184">
        <f t="shared" si="69"/>
        <v>1069.9606024600391</v>
      </c>
      <c r="X181" s="181">
        <f t="shared" si="74"/>
        <v>2</v>
      </c>
      <c r="Y181" s="610"/>
      <c r="Z181" s="187">
        <v>3</v>
      </c>
      <c r="AA181" s="187">
        <v>3211.3218073801172</v>
      </c>
      <c r="AB181" s="184">
        <f t="shared" si="75"/>
        <v>1070.4406024600391</v>
      </c>
      <c r="AC181" s="181">
        <f t="shared" si="76"/>
        <v>2</v>
      </c>
      <c r="AD181" s="610"/>
      <c r="AE181" s="187">
        <v>3</v>
      </c>
      <c r="AF181" s="187">
        <v>3211.3218073801177</v>
      </c>
      <c r="AG181" s="184">
        <f t="shared" si="77"/>
        <v>1070.4406024600391</v>
      </c>
      <c r="AH181" s="181">
        <f t="shared" si="78"/>
        <v>2</v>
      </c>
      <c r="AI181" s="610"/>
      <c r="AJ181" s="187">
        <v>3</v>
      </c>
      <c r="AK181" s="187">
        <v>3211.6818073801178</v>
      </c>
      <c r="AL181" s="184">
        <f t="shared" si="79"/>
        <v>1070.5606024600393</v>
      </c>
      <c r="AM181" s="181">
        <f t="shared" si="80"/>
        <v>2</v>
      </c>
      <c r="AN181" s="610"/>
      <c r="AO181" s="187">
        <v>3</v>
      </c>
      <c r="AP181" s="187">
        <v>3212.401807380118</v>
      </c>
      <c r="AQ181" s="184">
        <f t="shared" si="81"/>
        <v>1070.8006024600393</v>
      </c>
      <c r="AR181" s="181">
        <f t="shared" si="82"/>
        <v>2</v>
      </c>
      <c r="AS181" s="610"/>
      <c r="AT181" s="187">
        <v>3</v>
      </c>
      <c r="AU181" s="187">
        <v>3212.7618073801177</v>
      </c>
      <c r="AV181" s="184">
        <f t="shared" si="83"/>
        <v>1070.9206024600392</v>
      </c>
      <c r="AW181" s="181">
        <f t="shared" si="84"/>
        <v>4</v>
      </c>
      <c r="AX181" s="610"/>
    </row>
    <row r="182" spans="2:50" ht="14.25" customHeight="1">
      <c r="B182" s="611"/>
      <c r="C182" s="179">
        <v>8</v>
      </c>
      <c r="D182" s="182" t="s">
        <v>389</v>
      </c>
      <c r="E182" s="183">
        <v>5</v>
      </c>
      <c r="F182" s="179">
        <v>3600</v>
      </c>
      <c r="G182" s="184">
        <f t="shared" si="70"/>
        <v>720</v>
      </c>
      <c r="H182" s="612"/>
      <c r="I182" s="185">
        <f t="shared" si="71"/>
        <v>5</v>
      </c>
      <c r="J182" s="185">
        <f t="shared" si="71"/>
        <v>3210.5895508629173</v>
      </c>
      <c r="K182" s="186">
        <f t="shared" si="71"/>
        <v>642.11791017258349</v>
      </c>
      <c r="L182" s="613"/>
      <c r="M182" s="185">
        <f>RANK(K182, K$175:$K$211)</f>
        <v>23</v>
      </c>
      <c r="N182" s="624"/>
      <c r="O182" s="614"/>
      <c r="P182" s="187">
        <v>5</v>
      </c>
      <c r="Q182" s="187">
        <v>3207.3495508629176</v>
      </c>
      <c r="R182" s="184">
        <f t="shared" si="72"/>
        <v>641.46991017258347</v>
      </c>
      <c r="S182" s="181">
        <f t="shared" si="73"/>
        <v>23</v>
      </c>
      <c r="T182" s="610"/>
      <c r="U182" s="187">
        <v>5</v>
      </c>
      <c r="V182" s="187">
        <v>3208.7895508629172</v>
      </c>
      <c r="W182" s="184">
        <f t="shared" si="69"/>
        <v>641.75791017258348</v>
      </c>
      <c r="X182" s="181">
        <f t="shared" si="74"/>
        <v>23</v>
      </c>
      <c r="Y182" s="610"/>
      <c r="Z182" s="187">
        <v>5</v>
      </c>
      <c r="AA182" s="187">
        <v>3210.2295508629172</v>
      </c>
      <c r="AB182" s="184">
        <f t="shared" si="75"/>
        <v>642.04591017258349</v>
      </c>
      <c r="AC182" s="181">
        <f t="shared" si="76"/>
        <v>23</v>
      </c>
      <c r="AD182" s="610"/>
      <c r="AE182" s="187">
        <v>5</v>
      </c>
      <c r="AF182" s="187">
        <v>3210.5895508629173</v>
      </c>
      <c r="AG182" s="184">
        <f t="shared" si="77"/>
        <v>642.11791017258349</v>
      </c>
      <c r="AH182" s="181">
        <f t="shared" si="78"/>
        <v>23</v>
      </c>
      <c r="AI182" s="610"/>
      <c r="AJ182" s="187">
        <v>5</v>
      </c>
      <c r="AK182" s="187">
        <v>3210.5895508629173</v>
      </c>
      <c r="AL182" s="184">
        <f t="shared" si="79"/>
        <v>642.11791017258349</v>
      </c>
      <c r="AM182" s="181">
        <f t="shared" si="80"/>
        <v>23</v>
      </c>
      <c r="AN182" s="610"/>
      <c r="AO182" s="187">
        <v>5</v>
      </c>
      <c r="AP182" s="187">
        <v>3212.3895508629166</v>
      </c>
      <c r="AQ182" s="184">
        <f t="shared" si="81"/>
        <v>642.47791017258328</v>
      </c>
      <c r="AR182" s="181">
        <f t="shared" si="82"/>
        <v>23</v>
      </c>
      <c r="AS182" s="610"/>
      <c r="AT182" s="187">
        <v>5</v>
      </c>
      <c r="AU182" s="187">
        <v>3214.1895508629163</v>
      </c>
      <c r="AV182" s="184">
        <f t="shared" si="83"/>
        <v>642.83791017258329</v>
      </c>
      <c r="AW182" s="181">
        <f t="shared" si="84"/>
        <v>23</v>
      </c>
      <c r="AX182" s="610"/>
    </row>
    <row r="183" spans="2:50" ht="14.25" customHeight="1">
      <c r="B183" s="611"/>
      <c r="C183" s="179">
        <v>9</v>
      </c>
      <c r="D183" s="182" t="s">
        <v>387</v>
      </c>
      <c r="E183" s="183">
        <v>5</v>
      </c>
      <c r="F183" s="179">
        <v>3600</v>
      </c>
      <c r="G183" s="184">
        <f t="shared" si="70"/>
        <v>720</v>
      </c>
      <c r="H183" s="612"/>
      <c r="I183" s="185">
        <f t="shared" si="71"/>
        <v>5</v>
      </c>
      <c r="J183" s="185">
        <f t="shared" si="71"/>
        <v>3207.6637302638414</v>
      </c>
      <c r="K183" s="186">
        <f t="shared" si="71"/>
        <v>641.53274605276818</v>
      </c>
      <c r="L183" s="613"/>
      <c r="M183" s="185">
        <f>RANK(K183, K$175:$K$211)</f>
        <v>29</v>
      </c>
      <c r="N183" s="624"/>
      <c r="O183" s="614"/>
      <c r="P183" s="187">
        <v>5</v>
      </c>
      <c r="Q183" s="187">
        <v>3205.487658717434</v>
      </c>
      <c r="R183" s="184">
        <f t="shared" si="72"/>
        <v>641.0975317434868</v>
      </c>
      <c r="S183" s="181">
        <f t="shared" si="73"/>
        <v>26</v>
      </c>
      <c r="T183" s="610"/>
      <c r="U183" s="187">
        <v>5</v>
      </c>
      <c r="V183" s="187">
        <v>3206.2076587174338</v>
      </c>
      <c r="W183" s="184">
        <f t="shared" si="69"/>
        <v>641.2415317434868</v>
      </c>
      <c r="X183" s="181">
        <f t="shared" si="74"/>
        <v>27</v>
      </c>
      <c r="Y183" s="610"/>
      <c r="Z183" s="187">
        <v>5</v>
      </c>
      <c r="AA183" s="187">
        <v>3206.5676587174344</v>
      </c>
      <c r="AB183" s="184">
        <f t="shared" si="75"/>
        <v>641.31353174348692</v>
      </c>
      <c r="AC183" s="181">
        <f t="shared" si="76"/>
        <v>29</v>
      </c>
      <c r="AD183" s="610"/>
      <c r="AE183" s="187">
        <v>5</v>
      </c>
      <c r="AF183" s="187">
        <v>3206.5676587174348</v>
      </c>
      <c r="AG183" s="184">
        <f t="shared" si="77"/>
        <v>641.31353174348692</v>
      </c>
      <c r="AH183" s="181">
        <f t="shared" si="78"/>
        <v>30</v>
      </c>
      <c r="AI183" s="610"/>
      <c r="AJ183" s="187">
        <v>5</v>
      </c>
      <c r="AK183" s="187">
        <v>3207.2876587174351</v>
      </c>
      <c r="AL183" s="184">
        <f t="shared" si="79"/>
        <v>641.45753174348704</v>
      </c>
      <c r="AM183" s="181">
        <f t="shared" si="80"/>
        <v>30</v>
      </c>
      <c r="AN183" s="610"/>
      <c r="AO183" s="187">
        <v>5</v>
      </c>
      <c r="AP183" s="187">
        <v>3208.0076587174353</v>
      </c>
      <c r="AQ183" s="184">
        <f t="shared" si="81"/>
        <v>641.60153174348704</v>
      </c>
      <c r="AR183" s="181">
        <f t="shared" si="82"/>
        <v>30</v>
      </c>
      <c r="AS183" s="610"/>
      <c r="AT183" s="187">
        <v>5</v>
      </c>
      <c r="AU183" s="187">
        <v>3213.5201595422814</v>
      </c>
      <c r="AV183" s="184">
        <f t="shared" si="83"/>
        <v>642.70403190845627</v>
      </c>
      <c r="AW183" s="181">
        <f t="shared" si="84"/>
        <v>25</v>
      </c>
      <c r="AX183" s="610"/>
    </row>
    <row r="184" spans="2:50" ht="14.25" customHeight="1">
      <c r="B184" s="611"/>
      <c r="C184" s="179">
        <v>10</v>
      </c>
      <c r="D184" s="182" t="s">
        <v>228</v>
      </c>
      <c r="E184" s="183">
        <v>3</v>
      </c>
      <c r="F184" s="179">
        <v>3000</v>
      </c>
      <c r="G184" s="184">
        <f t="shared" si="70"/>
        <v>1000</v>
      </c>
      <c r="H184" s="612"/>
      <c r="I184" s="185">
        <f t="shared" si="71"/>
        <v>3</v>
      </c>
      <c r="J184" s="185">
        <f t="shared" si="71"/>
        <v>2735.1875431881708</v>
      </c>
      <c r="K184" s="186">
        <f t="shared" si="71"/>
        <v>911.72918106272334</v>
      </c>
      <c r="L184" s="613"/>
      <c r="M184" s="185">
        <f>RANK(K184, K$175:$K$211)</f>
        <v>12</v>
      </c>
      <c r="N184" s="624"/>
      <c r="O184" s="614"/>
      <c r="P184" s="187">
        <v>3</v>
      </c>
      <c r="Q184" s="187">
        <v>2733.2161146167423</v>
      </c>
      <c r="R184" s="184">
        <f t="shared" si="72"/>
        <v>911.07203820558072</v>
      </c>
      <c r="S184" s="181">
        <f t="shared" si="73"/>
        <v>11</v>
      </c>
      <c r="T184" s="610"/>
      <c r="U184" s="187">
        <v>3</v>
      </c>
      <c r="V184" s="187">
        <v>2733.516114616742</v>
      </c>
      <c r="W184" s="184">
        <f t="shared" si="69"/>
        <v>911.17203820558063</v>
      </c>
      <c r="X184" s="181">
        <f t="shared" si="74"/>
        <v>11</v>
      </c>
      <c r="Y184" s="610"/>
      <c r="Z184" s="187">
        <v>3</v>
      </c>
      <c r="AA184" s="187">
        <v>2734.4161146167421</v>
      </c>
      <c r="AB184" s="184">
        <f t="shared" si="75"/>
        <v>911.4720382055807</v>
      </c>
      <c r="AC184" s="181">
        <f t="shared" si="76"/>
        <v>12</v>
      </c>
      <c r="AD184" s="610"/>
      <c r="AE184" s="187">
        <v>3</v>
      </c>
      <c r="AF184" s="187">
        <v>2735.016114616742</v>
      </c>
      <c r="AG184" s="184">
        <f t="shared" si="77"/>
        <v>911.67203820558063</v>
      </c>
      <c r="AH184" s="181">
        <f t="shared" si="78"/>
        <v>12</v>
      </c>
      <c r="AI184" s="610"/>
      <c r="AJ184" s="187">
        <v>3</v>
      </c>
      <c r="AK184" s="187">
        <v>2735.3161146167417</v>
      </c>
      <c r="AL184" s="184">
        <f t="shared" si="79"/>
        <v>911.77203820558054</v>
      </c>
      <c r="AM184" s="181">
        <f t="shared" si="80"/>
        <v>12</v>
      </c>
      <c r="AN184" s="610"/>
      <c r="AO184" s="187">
        <v>3</v>
      </c>
      <c r="AP184" s="187">
        <v>2736.8161146167413</v>
      </c>
      <c r="AQ184" s="184">
        <f t="shared" si="81"/>
        <v>912.27203820558043</v>
      </c>
      <c r="AR184" s="181">
        <f t="shared" si="82"/>
        <v>12</v>
      </c>
      <c r="AS184" s="610"/>
      <c r="AT184" s="187">
        <v>3</v>
      </c>
      <c r="AU184" s="187">
        <v>2738.0161146167411</v>
      </c>
      <c r="AV184" s="184">
        <f t="shared" si="83"/>
        <v>912.67203820558041</v>
      </c>
      <c r="AW184" s="181">
        <f t="shared" si="84"/>
        <v>12</v>
      </c>
      <c r="AX184" s="610"/>
    </row>
    <row r="185" spans="2:50" ht="14.25" customHeight="1">
      <c r="B185" s="611"/>
      <c r="C185" s="179">
        <v>11</v>
      </c>
      <c r="D185" s="182" t="s">
        <v>439</v>
      </c>
      <c r="E185" s="183">
        <v>12</v>
      </c>
      <c r="F185" s="179">
        <v>3600</v>
      </c>
      <c r="G185" s="184">
        <f t="shared" si="70"/>
        <v>300</v>
      </c>
      <c r="H185" s="612"/>
      <c r="I185" s="185">
        <f t="shared" si="71"/>
        <v>12</v>
      </c>
      <c r="J185" s="185">
        <f t="shared" si="71"/>
        <v>3122.112601323061</v>
      </c>
      <c r="K185" s="186">
        <f t="shared" si="71"/>
        <v>260.17605011025506</v>
      </c>
      <c r="L185" s="613"/>
      <c r="M185" s="185">
        <f>RANK(K185, K$175:$K$211)</f>
        <v>34</v>
      </c>
      <c r="N185" s="624"/>
      <c r="O185" s="614"/>
      <c r="P185" s="187">
        <v>12</v>
      </c>
      <c r="Q185" s="187">
        <v>3121.0617443150168</v>
      </c>
      <c r="R185" s="184">
        <f t="shared" si="72"/>
        <v>260.08847869291804</v>
      </c>
      <c r="S185" s="181">
        <f t="shared" si="73"/>
        <v>35</v>
      </c>
      <c r="T185" s="610"/>
      <c r="U185" s="187">
        <v>12</v>
      </c>
      <c r="V185" s="187">
        <v>3122.1417443150167</v>
      </c>
      <c r="W185" s="184">
        <f t="shared" si="69"/>
        <v>260.17847869291808</v>
      </c>
      <c r="X185" s="181">
        <f t="shared" si="74"/>
        <v>34</v>
      </c>
      <c r="Y185" s="610"/>
      <c r="Z185" s="187">
        <v>12</v>
      </c>
      <c r="AA185" s="187">
        <v>3123.9417443150169</v>
      </c>
      <c r="AB185" s="184">
        <f t="shared" si="75"/>
        <v>260.32847869291805</v>
      </c>
      <c r="AC185" s="181">
        <f t="shared" si="76"/>
        <v>34</v>
      </c>
      <c r="AD185" s="610"/>
      <c r="AE185" s="187">
        <v>12</v>
      </c>
      <c r="AF185" s="187">
        <v>3121.7708540453582</v>
      </c>
      <c r="AG185" s="184">
        <f t="shared" si="77"/>
        <v>260.1475711704465</v>
      </c>
      <c r="AH185" s="181">
        <f t="shared" si="78"/>
        <v>35</v>
      </c>
      <c r="AI185" s="610"/>
      <c r="AJ185" s="187">
        <v>12</v>
      </c>
      <c r="AK185" s="187">
        <v>3122.8508540453586</v>
      </c>
      <c r="AL185" s="184">
        <f t="shared" si="79"/>
        <v>260.23757117044653</v>
      </c>
      <c r="AM185" s="181">
        <f t="shared" si="80"/>
        <v>34</v>
      </c>
      <c r="AN185" s="610"/>
      <c r="AO185" s="187">
        <v>12</v>
      </c>
      <c r="AP185" s="187">
        <v>3120.4789558549865</v>
      </c>
      <c r="AQ185" s="184">
        <f t="shared" si="81"/>
        <v>260.03991298791556</v>
      </c>
      <c r="AR185" s="181">
        <f t="shared" si="82"/>
        <v>35</v>
      </c>
      <c r="AS185" s="610"/>
      <c r="AT185" s="187">
        <v>12</v>
      </c>
      <c r="AU185" s="187">
        <v>3122.5423123706705</v>
      </c>
      <c r="AV185" s="184">
        <f t="shared" si="83"/>
        <v>260.21185936422256</v>
      </c>
      <c r="AW185" s="181">
        <f t="shared" si="84"/>
        <v>35</v>
      </c>
      <c r="AX185" s="610"/>
    </row>
    <row r="186" spans="2:50" ht="14.25" customHeight="1">
      <c r="B186" s="611"/>
      <c r="C186" s="179">
        <v>12</v>
      </c>
      <c r="D186" s="182" t="s">
        <v>457</v>
      </c>
      <c r="E186" s="183">
        <v>3</v>
      </c>
      <c r="F186" s="179">
        <v>3300</v>
      </c>
      <c r="G186" s="184">
        <f t="shared" si="70"/>
        <v>1100</v>
      </c>
      <c r="H186" s="612"/>
      <c r="I186" s="185">
        <f t="shared" si="71"/>
        <v>3</v>
      </c>
      <c r="J186" s="185">
        <f t="shared" si="71"/>
        <v>3003.3903286473283</v>
      </c>
      <c r="K186" s="186">
        <f t="shared" si="71"/>
        <v>1001.1301095491093</v>
      </c>
      <c r="L186" s="613"/>
      <c r="M186" s="185">
        <f>RANK(K186, K$175:$K$211)</f>
        <v>10</v>
      </c>
      <c r="N186" s="624"/>
      <c r="O186" s="614"/>
      <c r="P186" s="187">
        <v>3</v>
      </c>
      <c r="Q186" s="187">
        <v>2996.220443760727</v>
      </c>
      <c r="R186" s="184">
        <f t="shared" si="72"/>
        <v>998.74014792024229</v>
      </c>
      <c r="S186" s="181">
        <f t="shared" si="73"/>
        <v>9</v>
      </c>
      <c r="T186" s="610"/>
      <c r="U186" s="187">
        <v>3</v>
      </c>
      <c r="V186" s="187">
        <v>3002.3556832401646</v>
      </c>
      <c r="W186" s="184">
        <f t="shared" si="69"/>
        <v>1000.7852277467215</v>
      </c>
      <c r="X186" s="181">
        <f t="shared" si="74"/>
        <v>9</v>
      </c>
      <c r="Y186" s="610"/>
      <c r="Z186" s="187">
        <v>3</v>
      </c>
      <c r="AA186" s="187">
        <v>3003.0156832401649</v>
      </c>
      <c r="AB186" s="184">
        <f t="shared" si="75"/>
        <v>1001.0052277467216</v>
      </c>
      <c r="AC186" s="181">
        <f t="shared" si="76"/>
        <v>10</v>
      </c>
      <c r="AD186" s="610"/>
      <c r="AE186" s="187">
        <v>3</v>
      </c>
      <c r="AF186" s="187">
        <v>3003.6756832401643</v>
      </c>
      <c r="AG186" s="184">
        <f t="shared" si="77"/>
        <v>1001.2252277467214</v>
      </c>
      <c r="AH186" s="181">
        <f t="shared" si="78"/>
        <v>10</v>
      </c>
      <c r="AI186" s="610"/>
      <c r="AJ186" s="187">
        <v>3</v>
      </c>
      <c r="AK186" s="187">
        <v>3004.0056832401647</v>
      </c>
      <c r="AL186" s="184">
        <f t="shared" si="79"/>
        <v>1001.3352277467216</v>
      </c>
      <c r="AM186" s="181">
        <f t="shared" si="80"/>
        <v>10</v>
      </c>
      <c r="AN186" s="610"/>
      <c r="AO186" s="187">
        <v>3</v>
      </c>
      <c r="AP186" s="187">
        <v>3005.6556832401643</v>
      </c>
      <c r="AQ186" s="184">
        <f t="shared" si="81"/>
        <v>1001.8852277467214</v>
      </c>
      <c r="AR186" s="181">
        <f t="shared" si="82"/>
        <v>10</v>
      </c>
      <c r="AS186" s="610"/>
      <c r="AT186" s="187">
        <v>3</v>
      </c>
      <c r="AU186" s="187">
        <v>3008.8034405697481</v>
      </c>
      <c r="AV186" s="184">
        <f t="shared" si="83"/>
        <v>1002.934480189916</v>
      </c>
      <c r="AW186" s="181">
        <f t="shared" si="84"/>
        <v>10</v>
      </c>
      <c r="AX186" s="610"/>
    </row>
    <row r="187" spans="2:50" ht="14.25" customHeight="1">
      <c r="B187" s="611"/>
      <c r="C187" s="179">
        <v>13</v>
      </c>
      <c r="D187" s="182" t="s">
        <v>530</v>
      </c>
      <c r="E187" s="183">
        <v>5</v>
      </c>
      <c r="F187" s="179">
        <v>3600</v>
      </c>
      <c r="G187" s="184">
        <f t="shared" si="70"/>
        <v>720</v>
      </c>
      <c r="H187" s="612"/>
      <c r="I187" s="185">
        <f t="shared" si="71"/>
        <v>5</v>
      </c>
      <c r="J187" s="185">
        <f t="shared" si="71"/>
        <v>3208.3054351992255</v>
      </c>
      <c r="K187" s="186">
        <f t="shared" si="71"/>
        <v>641.66108703984514</v>
      </c>
      <c r="L187" s="613"/>
      <c r="M187" s="185">
        <f>RANK(K187, K$175:$K$211)</f>
        <v>26</v>
      </c>
      <c r="N187" s="624"/>
      <c r="O187" s="614"/>
      <c r="P187" s="187">
        <v>5</v>
      </c>
      <c r="Q187" s="187">
        <v>3204.5511494849411</v>
      </c>
      <c r="R187" s="184">
        <f t="shared" si="72"/>
        <v>640.9102298969882</v>
      </c>
      <c r="S187" s="181">
        <f t="shared" si="73"/>
        <v>29</v>
      </c>
      <c r="T187" s="610"/>
      <c r="U187" s="187">
        <v>5</v>
      </c>
      <c r="V187" s="187">
        <v>3205.9911494849407</v>
      </c>
      <c r="W187" s="184">
        <f t="shared" si="69"/>
        <v>641.1982298969881</v>
      </c>
      <c r="X187" s="181">
        <f t="shared" si="74"/>
        <v>28</v>
      </c>
      <c r="Y187" s="610"/>
      <c r="Z187" s="187">
        <v>5</v>
      </c>
      <c r="AA187" s="187">
        <v>3207.0711494849402</v>
      </c>
      <c r="AB187" s="184">
        <f t="shared" si="75"/>
        <v>641.41422989698799</v>
      </c>
      <c r="AC187" s="181">
        <f t="shared" si="76"/>
        <v>26</v>
      </c>
      <c r="AD187" s="610"/>
      <c r="AE187" s="187">
        <v>5</v>
      </c>
      <c r="AF187" s="187">
        <v>3208.5111494849398</v>
      </c>
      <c r="AG187" s="184">
        <f t="shared" si="77"/>
        <v>641.702229896988</v>
      </c>
      <c r="AH187" s="181">
        <f t="shared" si="78"/>
        <v>26</v>
      </c>
      <c r="AI187" s="610"/>
      <c r="AJ187" s="187">
        <v>5</v>
      </c>
      <c r="AK187" s="187">
        <v>3209.5911494849397</v>
      </c>
      <c r="AL187" s="184">
        <f t="shared" si="79"/>
        <v>641.9182298969879</v>
      </c>
      <c r="AM187" s="181">
        <f t="shared" si="80"/>
        <v>25</v>
      </c>
      <c r="AN187" s="610"/>
      <c r="AO187" s="187">
        <v>5</v>
      </c>
      <c r="AP187" s="187">
        <v>3210.6711494849396</v>
      </c>
      <c r="AQ187" s="184">
        <f t="shared" si="81"/>
        <v>642.1342298969879</v>
      </c>
      <c r="AR187" s="181">
        <f t="shared" si="82"/>
        <v>26</v>
      </c>
      <c r="AS187" s="610"/>
      <c r="AT187" s="187">
        <v>5</v>
      </c>
      <c r="AU187" s="187">
        <v>3211.7511494849391</v>
      </c>
      <c r="AV187" s="184">
        <f t="shared" si="83"/>
        <v>642.3502298969878</v>
      </c>
      <c r="AW187" s="181">
        <f t="shared" si="84"/>
        <v>28</v>
      </c>
      <c r="AX187" s="610"/>
    </row>
    <row r="188" spans="2:50" ht="14.25" customHeight="1">
      <c r="B188" s="611"/>
      <c r="C188" s="179">
        <v>14</v>
      </c>
      <c r="D188" s="182" t="s">
        <v>595</v>
      </c>
      <c r="E188" s="183">
        <v>3</v>
      </c>
      <c r="F188" s="179">
        <v>3600</v>
      </c>
      <c r="G188" s="184">
        <f t="shared" si="70"/>
        <v>1200</v>
      </c>
      <c r="H188" s="612"/>
      <c r="I188" s="185">
        <f t="shared" si="71"/>
        <v>3</v>
      </c>
      <c r="J188" s="185">
        <f t="shared" si="71"/>
        <v>3210.1812150023106</v>
      </c>
      <c r="K188" s="186">
        <f t="shared" si="71"/>
        <v>1070.0604050007701</v>
      </c>
      <c r="L188" s="613"/>
      <c r="M188" s="185">
        <f>RANK(K188, K$175:$K$211)</f>
        <v>4</v>
      </c>
      <c r="N188" s="624"/>
      <c r="O188" s="614"/>
      <c r="P188" s="187">
        <v>3</v>
      </c>
      <c r="Q188" s="187">
        <v>3207.1983578594527</v>
      </c>
      <c r="R188" s="184">
        <f t="shared" si="72"/>
        <v>1069.0661192864843</v>
      </c>
      <c r="S188" s="181">
        <f t="shared" si="73"/>
        <v>3</v>
      </c>
      <c r="T188" s="610"/>
      <c r="U188" s="187">
        <v>3</v>
      </c>
      <c r="V188" s="187">
        <v>3207.918357859453</v>
      </c>
      <c r="W188" s="184">
        <f t="shared" si="69"/>
        <v>1069.3061192864843</v>
      </c>
      <c r="X188" s="181">
        <f t="shared" si="74"/>
        <v>4</v>
      </c>
      <c r="Y188" s="610"/>
      <c r="Z188" s="187">
        <v>3</v>
      </c>
      <c r="AA188" s="187">
        <v>3209.7183578594527</v>
      </c>
      <c r="AB188" s="184">
        <f t="shared" si="75"/>
        <v>1069.9061192864842</v>
      </c>
      <c r="AC188" s="181">
        <f t="shared" si="76"/>
        <v>4</v>
      </c>
      <c r="AD188" s="610"/>
      <c r="AE188" s="187">
        <v>3</v>
      </c>
      <c r="AF188" s="187">
        <v>3210.4383578594529</v>
      </c>
      <c r="AG188" s="184">
        <f t="shared" si="77"/>
        <v>1070.1461192864842</v>
      </c>
      <c r="AH188" s="181">
        <f t="shared" si="78"/>
        <v>3</v>
      </c>
      <c r="AI188" s="610"/>
      <c r="AJ188" s="187">
        <v>3</v>
      </c>
      <c r="AK188" s="187">
        <v>3211.1583578594532</v>
      </c>
      <c r="AL188" s="184">
        <f t="shared" si="79"/>
        <v>1070.3861192864845</v>
      </c>
      <c r="AM188" s="181">
        <f t="shared" si="80"/>
        <v>3</v>
      </c>
      <c r="AN188" s="610"/>
      <c r="AO188" s="187">
        <v>3</v>
      </c>
      <c r="AP188" s="187">
        <v>3211.8783578594539</v>
      </c>
      <c r="AQ188" s="184">
        <f t="shared" si="81"/>
        <v>1070.6261192864847</v>
      </c>
      <c r="AR188" s="181">
        <f t="shared" si="82"/>
        <v>3</v>
      </c>
      <c r="AS188" s="610"/>
      <c r="AT188" s="187">
        <v>3</v>
      </c>
      <c r="AU188" s="187">
        <v>3212.9583578594538</v>
      </c>
      <c r="AV188" s="184">
        <f t="shared" si="83"/>
        <v>1070.9861192864846</v>
      </c>
      <c r="AW188" s="181">
        <f t="shared" si="84"/>
        <v>3</v>
      </c>
      <c r="AX188" s="610"/>
    </row>
    <row r="189" spans="2:50" ht="14.25" customHeight="1">
      <c r="B189" s="611"/>
      <c r="C189" s="179">
        <v>15</v>
      </c>
      <c r="D189" s="182" t="s">
        <v>577</v>
      </c>
      <c r="E189" s="183">
        <v>3</v>
      </c>
      <c r="F189" s="179">
        <v>3300</v>
      </c>
      <c r="G189" s="184">
        <f t="shared" si="70"/>
        <v>1100</v>
      </c>
      <c r="H189" s="612"/>
      <c r="I189" s="185">
        <f t="shared" si="71"/>
        <v>3</v>
      </c>
      <c r="J189" s="185">
        <f t="shared" si="71"/>
        <v>3006.6657410941298</v>
      </c>
      <c r="K189" s="186">
        <f t="shared" si="71"/>
        <v>1002.2219136980433</v>
      </c>
      <c r="L189" s="613"/>
      <c r="M189" s="185">
        <f>RANK(K189, K$175:$K$211)</f>
        <v>9</v>
      </c>
      <c r="N189" s="624"/>
      <c r="O189" s="614"/>
      <c r="P189" s="187">
        <v>3</v>
      </c>
      <c r="Q189" s="187">
        <v>2995.9529888086831</v>
      </c>
      <c r="R189" s="184">
        <f t="shared" si="72"/>
        <v>998.65099626956101</v>
      </c>
      <c r="S189" s="181">
        <f t="shared" si="73"/>
        <v>10</v>
      </c>
      <c r="T189" s="610"/>
      <c r="U189" s="187">
        <v>3</v>
      </c>
      <c r="V189" s="187">
        <v>3001.5423199072752</v>
      </c>
      <c r="W189" s="184">
        <f t="shared" si="69"/>
        <v>1000.5141066357584</v>
      </c>
      <c r="X189" s="181">
        <f t="shared" si="74"/>
        <v>10</v>
      </c>
      <c r="Y189" s="610"/>
      <c r="Z189" s="187">
        <v>3</v>
      </c>
      <c r="AA189" s="187">
        <v>3003.9861461758132</v>
      </c>
      <c r="AB189" s="184">
        <f t="shared" si="75"/>
        <v>1001.3287153919377</v>
      </c>
      <c r="AC189" s="181">
        <f t="shared" si="76"/>
        <v>9</v>
      </c>
      <c r="AD189" s="610"/>
      <c r="AE189" s="187">
        <v>3</v>
      </c>
      <c r="AF189" s="187">
        <v>3009.3971831917834</v>
      </c>
      <c r="AG189" s="184">
        <f t="shared" si="77"/>
        <v>1003.1323943972611</v>
      </c>
      <c r="AH189" s="181">
        <f t="shared" si="78"/>
        <v>9</v>
      </c>
      <c r="AI189" s="610"/>
      <c r="AJ189" s="187">
        <v>3</v>
      </c>
      <c r="AK189" s="187">
        <v>3011.0471831917839</v>
      </c>
      <c r="AL189" s="184">
        <f t="shared" si="79"/>
        <v>1003.6823943972613</v>
      </c>
      <c r="AM189" s="181">
        <f t="shared" si="80"/>
        <v>9</v>
      </c>
      <c r="AN189" s="610"/>
      <c r="AO189" s="187">
        <v>3</v>
      </c>
      <c r="AP189" s="187">
        <v>3012.3671831917845</v>
      </c>
      <c r="AQ189" s="184">
        <f t="shared" si="81"/>
        <v>1004.1223943972615</v>
      </c>
      <c r="AR189" s="181">
        <f t="shared" si="82"/>
        <v>9</v>
      </c>
      <c r="AS189" s="610"/>
      <c r="AT189" s="187">
        <v>3</v>
      </c>
      <c r="AU189" s="187">
        <v>3012.3671831917841</v>
      </c>
      <c r="AV189" s="184">
        <f t="shared" si="83"/>
        <v>1004.1223943972614</v>
      </c>
      <c r="AW189" s="181">
        <f t="shared" si="84"/>
        <v>9</v>
      </c>
      <c r="AX189" s="610"/>
    </row>
    <row r="190" spans="2:50" ht="14.25" customHeight="1">
      <c r="B190" s="611"/>
      <c r="C190" s="179">
        <v>16</v>
      </c>
      <c r="D190" s="182" t="s">
        <v>799</v>
      </c>
      <c r="E190" s="183">
        <v>4</v>
      </c>
      <c r="F190" s="179">
        <v>3300</v>
      </c>
      <c r="G190" s="184">
        <f t="shared" si="70"/>
        <v>825</v>
      </c>
      <c r="H190" s="612"/>
      <c r="I190" s="185">
        <f t="shared" si="71"/>
        <v>4</v>
      </c>
      <c r="J190" s="185">
        <f t="shared" si="71"/>
        <v>3006.5654077430131</v>
      </c>
      <c r="K190" s="186">
        <f t="shared" si="71"/>
        <v>751.64135193575328</v>
      </c>
      <c r="L190" s="613"/>
      <c r="M190" s="185">
        <f>RANK(K190, K$175:$K$211)</f>
        <v>16</v>
      </c>
      <c r="N190" s="624"/>
      <c r="O190" s="614"/>
      <c r="P190" s="187">
        <v>4</v>
      </c>
      <c r="Q190" s="187">
        <v>2995.5873407796425</v>
      </c>
      <c r="R190" s="184">
        <f t="shared" si="72"/>
        <v>748.89683519491064</v>
      </c>
      <c r="S190" s="181">
        <f t="shared" si="73"/>
        <v>18</v>
      </c>
      <c r="T190" s="610"/>
      <c r="U190" s="187">
        <v>4</v>
      </c>
      <c r="V190" s="187">
        <v>3002.5849046594872</v>
      </c>
      <c r="W190" s="184">
        <f t="shared" si="69"/>
        <v>750.64622616487179</v>
      </c>
      <c r="X190" s="181">
        <f t="shared" si="74"/>
        <v>17</v>
      </c>
      <c r="Y190" s="610"/>
      <c r="Z190" s="187">
        <v>4</v>
      </c>
      <c r="AA190" s="187">
        <v>3007.4451217523929</v>
      </c>
      <c r="AB190" s="184">
        <f t="shared" si="75"/>
        <v>751.86128043809822</v>
      </c>
      <c r="AC190" s="181">
        <f t="shared" si="76"/>
        <v>16</v>
      </c>
      <c r="AD190" s="610"/>
      <c r="AE190" s="187">
        <v>4</v>
      </c>
      <c r="AF190" s="187">
        <v>3008.1051217523927</v>
      </c>
      <c r="AG190" s="184">
        <f t="shared" si="77"/>
        <v>752.02628043809818</v>
      </c>
      <c r="AH190" s="181">
        <f t="shared" si="78"/>
        <v>16</v>
      </c>
      <c r="AI190" s="610"/>
      <c r="AJ190" s="187">
        <v>4</v>
      </c>
      <c r="AK190" s="187">
        <v>3009.4251217523929</v>
      </c>
      <c r="AL190" s="184">
        <f t="shared" si="79"/>
        <v>752.35628043809822</v>
      </c>
      <c r="AM190" s="181">
        <f t="shared" si="80"/>
        <v>16</v>
      </c>
      <c r="AN190" s="610"/>
      <c r="AO190" s="187">
        <v>4</v>
      </c>
      <c r="AP190" s="187">
        <v>3011.0751217523925</v>
      </c>
      <c r="AQ190" s="184">
        <f t="shared" si="81"/>
        <v>752.76878043809813</v>
      </c>
      <c r="AR190" s="181">
        <f t="shared" si="82"/>
        <v>16</v>
      </c>
      <c r="AS190" s="610"/>
      <c r="AT190" s="187">
        <v>4</v>
      </c>
      <c r="AU190" s="187">
        <v>3011.7351217523924</v>
      </c>
      <c r="AV190" s="184">
        <f t="shared" si="83"/>
        <v>752.9337804380981</v>
      </c>
      <c r="AW190" s="181">
        <f t="shared" si="84"/>
        <v>16</v>
      </c>
      <c r="AX190" s="610"/>
    </row>
    <row r="191" spans="2:50" ht="14.25" customHeight="1">
      <c r="B191" s="611"/>
      <c r="C191" s="179">
        <v>17</v>
      </c>
      <c r="D191" s="182" t="s">
        <v>846</v>
      </c>
      <c r="E191" s="183">
        <v>5</v>
      </c>
      <c r="F191" s="179">
        <v>3600</v>
      </c>
      <c r="G191" s="184">
        <f t="shared" si="70"/>
        <v>720</v>
      </c>
      <c r="H191" s="612"/>
      <c r="I191" s="185">
        <f t="shared" si="71"/>
        <v>5</v>
      </c>
      <c r="J191" s="185">
        <f t="shared" si="71"/>
        <v>3208.6344480201619</v>
      </c>
      <c r="K191" s="186">
        <f t="shared" si="71"/>
        <v>641.72688960403241</v>
      </c>
      <c r="L191" s="613"/>
      <c r="M191" s="185">
        <f>RANK(K191, K$175:$K$211)</f>
        <v>25</v>
      </c>
      <c r="N191" s="624"/>
      <c r="O191" s="614"/>
      <c r="P191" s="187">
        <v>5</v>
      </c>
      <c r="Q191" s="187">
        <v>3205.4458765915911</v>
      </c>
      <c r="R191" s="184">
        <f t="shared" si="72"/>
        <v>641.08917531831821</v>
      </c>
      <c r="S191" s="181">
        <f t="shared" si="73"/>
        <v>27</v>
      </c>
      <c r="T191" s="610"/>
      <c r="U191" s="187">
        <v>5</v>
      </c>
      <c r="V191" s="187">
        <v>3207.2458765915912</v>
      </c>
      <c r="W191" s="184">
        <f t="shared" si="69"/>
        <v>641.44917531831823</v>
      </c>
      <c r="X191" s="181">
        <f t="shared" si="74"/>
        <v>25</v>
      </c>
      <c r="Y191" s="610"/>
      <c r="Z191" s="187">
        <v>5</v>
      </c>
      <c r="AA191" s="187">
        <v>3207.6058765915909</v>
      </c>
      <c r="AB191" s="184">
        <f t="shared" si="75"/>
        <v>641.52117531831823</v>
      </c>
      <c r="AC191" s="181">
        <f t="shared" si="76"/>
        <v>25</v>
      </c>
      <c r="AD191" s="610"/>
      <c r="AE191" s="187">
        <v>5</v>
      </c>
      <c r="AF191" s="187">
        <v>3207.6058765915905</v>
      </c>
      <c r="AG191" s="184">
        <f t="shared" si="77"/>
        <v>641.52117531831811</v>
      </c>
      <c r="AH191" s="181">
        <f t="shared" si="78"/>
        <v>27</v>
      </c>
      <c r="AI191" s="610"/>
      <c r="AJ191" s="187">
        <v>5</v>
      </c>
      <c r="AK191" s="187">
        <v>3208.6858765915904</v>
      </c>
      <c r="AL191" s="184">
        <f t="shared" si="79"/>
        <v>641.73717531831812</v>
      </c>
      <c r="AM191" s="181">
        <f t="shared" si="80"/>
        <v>27</v>
      </c>
      <c r="AN191" s="610"/>
      <c r="AO191" s="187">
        <v>5</v>
      </c>
      <c r="AP191" s="187">
        <v>3210.8458765915902</v>
      </c>
      <c r="AQ191" s="184">
        <f t="shared" si="81"/>
        <v>642.16917531831803</v>
      </c>
      <c r="AR191" s="181">
        <f t="shared" si="82"/>
        <v>25</v>
      </c>
      <c r="AS191" s="610"/>
      <c r="AT191" s="187">
        <v>5</v>
      </c>
      <c r="AU191" s="187">
        <v>3213.0058765915905</v>
      </c>
      <c r="AV191" s="184">
        <f t="shared" si="83"/>
        <v>642.60117531831816</v>
      </c>
      <c r="AW191" s="181">
        <f t="shared" si="84"/>
        <v>26</v>
      </c>
      <c r="AX191" s="610"/>
    </row>
    <row r="192" spans="2:50" ht="14.25" customHeight="1">
      <c r="B192" s="611"/>
      <c r="C192" s="179">
        <v>18</v>
      </c>
      <c r="D192" s="182" t="s">
        <v>400</v>
      </c>
      <c r="E192" s="183">
        <v>5</v>
      </c>
      <c r="F192" s="179">
        <v>3600</v>
      </c>
      <c r="G192" s="184">
        <f t="shared" si="70"/>
        <v>720</v>
      </c>
      <c r="H192" s="612"/>
      <c r="I192" s="185">
        <f t="shared" si="71"/>
        <v>5</v>
      </c>
      <c r="J192" s="185">
        <f t="shared" si="71"/>
        <v>3209.6403738098284</v>
      </c>
      <c r="K192" s="186">
        <f t="shared" si="71"/>
        <v>641.9280747619656</v>
      </c>
      <c r="L192" s="613"/>
      <c r="M192" s="185">
        <f>RANK(K192, K$175:$K$211)</f>
        <v>24</v>
      </c>
      <c r="N192" s="624"/>
      <c r="O192" s="614"/>
      <c r="P192" s="187">
        <v>5</v>
      </c>
      <c r="Q192" s="187">
        <v>3205.0353825568527</v>
      </c>
      <c r="R192" s="184">
        <f t="shared" si="72"/>
        <v>641.00707651137054</v>
      </c>
      <c r="S192" s="181">
        <f t="shared" si="73"/>
        <v>28</v>
      </c>
      <c r="T192" s="610"/>
      <c r="U192" s="187">
        <v>5</v>
      </c>
      <c r="V192" s="187">
        <v>3207.7078723519899</v>
      </c>
      <c r="W192" s="184">
        <f t="shared" si="69"/>
        <v>641.54157447039802</v>
      </c>
      <c r="X192" s="181">
        <f t="shared" si="74"/>
        <v>24</v>
      </c>
      <c r="Y192" s="610"/>
      <c r="Z192" s="187">
        <v>5</v>
      </c>
      <c r="AA192" s="187">
        <v>3208.7878723519907</v>
      </c>
      <c r="AB192" s="184">
        <f t="shared" si="75"/>
        <v>641.75757447039814</v>
      </c>
      <c r="AC192" s="181">
        <f t="shared" si="76"/>
        <v>24</v>
      </c>
      <c r="AD192" s="610"/>
      <c r="AE192" s="187">
        <v>5</v>
      </c>
      <c r="AF192" s="187">
        <v>3209.507872351991</v>
      </c>
      <c r="AG192" s="184">
        <f t="shared" si="77"/>
        <v>641.90157447039815</v>
      </c>
      <c r="AH192" s="181">
        <f t="shared" si="78"/>
        <v>24</v>
      </c>
      <c r="AI192" s="610"/>
      <c r="AJ192" s="187">
        <v>5</v>
      </c>
      <c r="AK192" s="187">
        <v>3210.2278723519912</v>
      </c>
      <c r="AL192" s="184">
        <f t="shared" si="79"/>
        <v>642.04557447039826</v>
      </c>
      <c r="AM192" s="181">
        <f t="shared" si="80"/>
        <v>24</v>
      </c>
      <c r="AN192" s="610"/>
      <c r="AO192" s="187">
        <v>5</v>
      </c>
      <c r="AP192" s="187">
        <v>3212.0278723519905</v>
      </c>
      <c r="AQ192" s="184">
        <f t="shared" si="81"/>
        <v>642.40557447039805</v>
      </c>
      <c r="AR192" s="181">
        <f t="shared" si="82"/>
        <v>24</v>
      </c>
      <c r="AS192" s="610"/>
      <c r="AT192" s="187">
        <v>5</v>
      </c>
      <c r="AU192" s="187">
        <v>3214.1878723519903</v>
      </c>
      <c r="AV192" s="184">
        <f t="shared" si="83"/>
        <v>642.83757447039807</v>
      </c>
      <c r="AW192" s="181">
        <f t="shared" si="84"/>
        <v>24</v>
      </c>
      <c r="AX192" s="610"/>
    </row>
    <row r="193" spans="2:50" ht="14.25" customHeight="1">
      <c r="B193" s="611"/>
      <c r="C193" s="179">
        <v>19</v>
      </c>
      <c r="D193" s="182" t="s">
        <v>399</v>
      </c>
      <c r="E193" s="183">
        <v>3</v>
      </c>
      <c r="F193" s="179">
        <v>3600</v>
      </c>
      <c r="G193" s="184">
        <f t="shared" si="70"/>
        <v>1200</v>
      </c>
      <c r="H193" s="612"/>
      <c r="I193" s="185">
        <f t="shared" si="71"/>
        <v>3</v>
      </c>
      <c r="J193" s="185">
        <f t="shared" si="71"/>
        <v>3210.2740297791215</v>
      </c>
      <c r="K193" s="186">
        <f t="shared" si="71"/>
        <v>1070.0913432597072</v>
      </c>
      <c r="L193" s="613"/>
      <c r="M193" s="185">
        <f>RANK(K193, K$175:$K$211)</f>
        <v>3</v>
      </c>
      <c r="N193" s="624"/>
      <c r="O193" s="614"/>
      <c r="P193" s="187">
        <v>3</v>
      </c>
      <c r="Q193" s="187">
        <v>3208.1247664220637</v>
      </c>
      <c r="R193" s="184">
        <f t="shared" si="72"/>
        <v>1069.3749221406879</v>
      </c>
      <c r="S193" s="181">
        <f t="shared" si="73"/>
        <v>1</v>
      </c>
      <c r="T193" s="610"/>
      <c r="U193" s="187">
        <v>3</v>
      </c>
      <c r="V193" s="187">
        <v>3208.844766422063</v>
      </c>
      <c r="W193" s="184">
        <f t="shared" si="69"/>
        <v>1069.6149221406877</v>
      </c>
      <c r="X193" s="181">
        <f t="shared" si="74"/>
        <v>3</v>
      </c>
      <c r="Y193" s="610"/>
      <c r="Z193" s="187">
        <v>3</v>
      </c>
      <c r="AA193" s="187">
        <v>3209.9247664220629</v>
      </c>
      <c r="AB193" s="184">
        <f t="shared" si="75"/>
        <v>1069.9749221406876</v>
      </c>
      <c r="AC193" s="181">
        <f t="shared" si="76"/>
        <v>3</v>
      </c>
      <c r="AD193" s="610"/>
      <c r="AE193" s="187">
        <v>3</v>
      </c>
      <c r="AF193" s="187">
        <v>3210.2847664220626</v>
      </c>
      <c r="AG193" s="184">
        <f t="shared" si="77"/>
        <v>1070.0949221406875</v>
      </c>
      <c r="AH193" s="181">
        <f t="shared" si="78"/>
        <v>4</v>
      </c>
      <c r="AI193" s="610"/>
      <c r="AJ193" s="187">
        <v>3</v>
      </c>
      <c r="AK193" s="187">
        <v>3210.6447664220623</v>
      </c>
      <c r="AL193" s="184">
        <f t="shared" si="79"/>
        <v>1070.2149221406873</v>
      </c>
      <c r="AM193" s="181">
        <f t="shared" si="80"/>
        <v>4</v>
      </c>
      <c r="AN193" s="610"/>
      <c r="AO193" s="187">
        <v>3</v>
      </c>
      <c r="AP193" s="187">
        <v>3211.0047664220629</v>
      </c>
      <c r="AQ193" s="184">
        <f t="shared" si="81"/>
        <v>1070.3349221406877</v>
      </c>
      <c r="AR193" s="181">
        <f t="shared" si="82"/>
        <v>4</v>
      </c>
      <c r="AS193" s="610"/>
      <c r="AT193" s="187">
        <v>3</v>
      </c>
      <c r="AU193" s="187">
        <v>3213.0896099214742</v>
      </c>
      <c r="AV193" s="184">
        <f t="shared" si="83"/>
        <v>1071.0298699738248</v>
      </c>
      <c r="AW193" s="181">
        <f t="shared" si="84"/>
        <v>2</v>
      </c>
      <c r="AX193" s="610"/>
    </row>
    <row r="194" spans="2:50" ht="14.25" customHeight="1">
      <c r="B194" s="611"/>
      <c r="C194" s="179">
        <v>20</v>
      </c>
      <c r="D194" s="182" t="s">
        <v>401</v>
      </c>
      <c r="E194" s="183">
        <v>4</v>
      </c>
      <c r="F194" s="179">
        <v>3300</v>
      </c>
      <c r="G194" s="184">
        <f t="shared" si="70"/>
        <v>825</v>
      </c>
      <c r="H194" s="612"/>
      <c r="I194" s="185">
        <f t="shared" si="71"/>
        <v>4</v>
      </c>
      <c r="J194" s="185">
        <f t="shared" si="71"/>
        <v>3003.0954159949133</v>
      </c>
      <c r="K194" s="186">
        <f t="shared" si="71"/>
        <v>750.77385399872833</v>
      </c>
      <c r="L194" s="613"/>
      <c r="M194" s="185">
        <f>RANK(K194, K$175:$K$211)</f>
        <v>18</v>
      </c>
      <c r="N194" s="624"/>
      <c r="O194" s="614"/>
      <c r="P194" s="187">
        <v>4</v>
      </c>
      <c r="Q194" s="187">
        <v>2996.9283901922017</v>
      </c>
      <c r="R194" s="184">
        <f t="shared" si="72"/>
        <v>749.23209754805043</v>
      </c>
      <c r="S194" s="181">
        <f t="shared" si="73"/>
        <v>16</v>
      </c>
      <c r="T194" s="610"/>
      <c r="U194" s="187">
        <v>4</v>
      </c>
      <c r="V194" s="187">
        <v>3002.0402889108927</v>
      </c>
      <c r="W194" s="184">
        <f t="shared" si="69"/>
        <v>750.51007222772319</v>
      </c>
      <c r="X194" s="181">
        <f t="shared" si="74"/>
        <v>18</v>
      </c>
      <c r="Y194" s="610"/>
      <c r="Z194" s="187">
        <v>4</v>
      </c>
      <c r="AA194" s="187">
        <v>3002.3702889108922</v>
      </c>
      <c r="AB194" s="184">
        <f t="shared" si="75"/>
        <v>750.59257222772305</v>
      </c>
      <c r="AC194" s="181">
        <f t="shared" si="76"/>
        <v>18</v>
      </c>
      <c r="AD194" s="610"/>
      <c r="AE194" s="187">
        <v>4</v>
      </c>
      <c r="AF194" s="187">
        <v>3003.0302889108916</v>
      </c>
      <c r="AG194" s="184">
        <f t="shared" si="77"/>
        <v>750.7575722277229</v>
      </c>
      <c r="AH194" s="181">
        <f t="shared" si="78"/>
        <v>18</v>
      </c>
      <c r="AI194" s="610"/>
      <c r="AJ194" s="187">
        <v>4</v>
      </c>
      <c r="AK194" s="187">
        <v>3004.3502889108909</v>
      </c>
      <c r="AL194" s="184">
        <f t="shared" si="79"/>
        <v>751.08757222772272</v>
      </c>
      <c r="AM194" s="181">
        <f t="shared" si="80"/>
        <v>18</v>
      </c>
      <c r="AN194" s="610"/>
      <c r="AO194" s="187">
        <v>4</v>
      </c>
      <c r="AP194" s="187">
        <v>3004.6802889108908</v>
      </c>
      <c r="AQ194" s="184">
        <f t="shared" si="81"/>
        <v>751.1700722277227</v>
      </c>
      <c r="AR194" s="181">
        <f t="shared" si="82"/>
        <v>18</v>
      </c>
      <c r="AS194" s="610"/>
      <c r="AT194" s="187">
        <v>4</v>
      </c>
      <c r="AU194" s="187">
        <v>3008.268077217735</v>
      </c>
      <c r="AV194" s="184">
        <f t="shared" si="83"/>
        <v>752.06701930443376</v>
      </c>
      <c r="AW194" s="181">
        <f t="shared" si="84"/>
        <v>18</v>
      </c>
      <c r="AX194" s="610"/>
    </row>
    <row r="195" spans="2:50" ht="14.25" customHeight="1">
      <c r="B195" s="611"/>
      <c r="C195" s="179">
        <v>21</v>
      </c>
      <c r="D195" s="182" t="s">
        <v>344</v>
      </c>
      <c r="E195" s="183">
        <v>5</v>
      </c>
      <c r="F195" s="179">
        <v>3300</v>
      </c>
      <c r="G195" s="184">
        <f t="shared" si="70"/>
        <v>660</v>
      </c>
      <c r="H195" s="612"/>
      <c r="I195" s="185">
        <f t="shared" si="71"/>
        <v>5</v>
      </c>
      <c r="J195" s="185">
        <f t="shared" si="71"/>
        <v>3005.9186417170326</v>
      </c>
      <c r="K195" s="186">
        <f t="shared" si="71"/>
        <v>601.18372834340641</v>
      </c>
      <c r="L195" s="613"/>
      <c r="M195" s="185">
        <f>RANK(K195, K$175:$K$211)</f>
        <v>32</v>
      </c>
      <c r="N195" s="624"/>
      <c r="O195" s="614"/>
      <c r="P195" s="187">
        <v>5</v>
      </c>
      <c r="Q195" s="187">
        <v>2998.049999999997</v>
      </c>
      <c r="R195" s="184">
        <f t="shared" si="72"/>
        <v>599.60999999999945</v>
      </c>
      <c r="S195" s="181">
        <f t="shared" si="73"/>
        <v>32</v>
      </c>
      <c r="T195" s="610"/>
      <c r="U195" s="187">
        <v>5</v>
      </c>
      <c r="V195" s="187">
        <v>3006.7515103561414</v>
      </c>
      <c r="W195" s="184">
        <f t="shared" si="69"/>
        <v>601.35030207122827</v>
      </c>
      <c r="X195" s="181">
        <f t="shared" si="74"/>
        <v>32</v>
      </c>
      <c r="Y195" s="610"/>
      <c r="Z195" s="187">
        <v>5</v>
      </c>
      <c r="AA195" s="187">
        <v>3007.7415103561411</v>
      </c>
      <c r="AB195" s="184">
        <f t="shared" si="75"/>
        <v>601.54830207122825</v>
      </c>
      <c r="AC195" s="181">
        <f t="shared" si="76"/>
        <v>31</v>
      </c>
      <c r="AD195" s="610"/>
      <c r="AE195" s="187">
        <v>5</v>
      </c>
      <c r="AF195" s="187">
        <v>3006.1962323054954</v>
      </c>
      <c r="AG195" s="184">
        <f t="shared" si="77"/>
        <v>601.23924646109913</v>
      </c>
      <c r="AH195" s="181">
        <f t="shared" si="78"/>
        <v>32</v>
      </c>
      <c r="AI195" s="610"/>
      <c r="AJ195" s="187">
        <v>5</v>
      </c>
      <c r="AK195" s="187">
        <v>3006.5262323054958</v>
      </c>
      <c r="AL195" s="184">
        <f t="shared" si="79"/>
        <v>601.30524646109916</v>
      </c>
      <c r="AM195" s="181">
        <f t="shared" si="80"/>
        <v>32</v>
      </c>
      <c r="AN195" s="610"/>
      <c r="AO195" s="187">
        <v>5</v>
      </c>
      <c r="AP195" s="187">
        <v>3006.8562323054957</v>
      </c>
      <c r="AQ195" s="184">
        <f t="shared" si="81"/>
        <v>601.37124646109919</v>
      </c>
      <c r="AR195" s="181">
        <f t="shared" si="82"/>
        <v>32</v>
      </c>
      <c r="AS195" s="610"/>
      <c r="AT195" s="187">
        <v>5</v>
      </c>
      <c r="AU195" s="187">
        <v>3009.308774390463</v>
      </c>
      <c r="AV195" s="184">
        <f t="shared" si="83"/>
        <v>601.8617548780926</v>
      </c>
      <c r="AW195" s="181">
        <f t="shared" si="84"/>
        <v>32</v>
      </c>
      <c r="AX195" s="610"/>
    </row>
    <row r="196" spans="2:50" ht="14.25" customHeight="1">
      <c r="B196" s="611"/>
      <c r="C196" s="179">
        <v>22</v>
      </c>
      <c r="D196" s="182" t="s">
        <v>395</v>
      </c>
      <c r="E196" s="183">
        <v>3</v>
      </c>
      <c r="F196" s="179">
        <v>3600</v>
      </c>
      <c r="G196" s="184">
        <f t="shared" si="70"/>
        <v>1200</v>
      </c>
      <c r="H196" s="612"/>
      <c r="I196" s="185">
        <f t="shared" si="71"/>
        <v>3</v>
      </c>
      <c r="J196" s="185">
        <f t="shared" si="71"/>
        <v>3206.3649327751341</v>
      </c>
      <c r="K196" s="186">
        <f t="shared" si="71"/>
        <v>1068.7883109250449</v>
      </c>
      <c r="L196" s="613"/>
      <c r="M196" s="185">
        <f>RANK(K196, K$175:$K$211)</f>
        <v>8</v>
      </c>
      <c r="N196" s="624"/>
      <c r="O196" s="614"/>
      <c r="P196" s="187">
        <v>3</v>
      </c>
      <c r="Q196" s="187">
        <v>3202.7096651856</v>
      </c>
      <c r="R196" s="184">
        <f t="shared" si="72"/>
        <v>1067.5698883952</v>
      </c>
      <c r="S196" s="181">
        <f t="shared" si="73"/>
        <v>8</v>
      </c>
      <c r="T196" s="610"/>
      <c r="U196" s="187">
        <v>3</v>
      </c>
      <c r="V196" s="187">
        <v>3204.1496651855996</v>
      </c>
      <c r="W196" s="184">
        <f t="shared" si="69"/>
        <v>1068.0498883951998</v>
      </c>
      <c r="X196" s="181">
        <f t="shared" si="74"/>
        <v>8</v>
      </c>
      <c r="Y196" s="610"/>
      <c r="Z196" s="187">
        <v>3</v>
      </c>
      <c r="AA196" s="187">
        <v>3204.8696651855998</v>
      </c>
      <c r="AB196" s="184">
        <f t="shared" si="75"/>
        <v>1068.2898883952</v>
      </c>
      <c r="AC196" s="181">
        <f t="shared" si="76"/>
        <v>8</v>
      </c>
      <c r="AD196" s="610"/>
      <c r="AE196" s="187">
        <v>3</v>
      </c>
      <c r="AF196" s="187">
        <v>3206.3096651855994</v>
      </c>
      <c r="AG196" s="184">
        <f t="shared" si="77"/>
        <v>1068.7698883951998</v>
      </c>
      <c r="AH196" s="181">
        <f t="shared" si="78"/>
        <v>8</v>
      </c>
      <c r="AI196" s="610"/>
      <c r="AJ196" s="187">
        <v>3</v>
      </c>
      <c r="AK196" s="187">
        <v>3207.3896651856003</v>
      </c>
      <c r="AL196" s="184">
        <f t="shared" si="79"/>
        <v>1069.1298883952002</v>
      </c>
      <c r="AM196" s="181">
        <f t="shared" si="80"/>
        <v>8</v>
      </c>
      <c r="AN196" s="610"/>
      <c r="AO196" s="187">
        <v>3</v>
      </c>
      <c r="AP196" s="187">
        <v>3208.1096651856005</v>
      </c>
      <c r="AQ196" s="184">
        <f t="shared" si="81"/>
        <v>1069.3698883952002</v>
      </c>
      <c r="AR196" s="181">
        <f t="shared" si="82"/>
        <v>7</v>
      </c>
      <c r="AS196" s="610"/>
      <c r="AT196" s="187">
        <v>3</v>
      </c>
      <c r="AU196" s="187">
        <v>3211.0165383123431</v>
      </c>
      <c r="AV196" s="184">
        <f t="shared" si="83"/>
        <v>1070.3388461041143</v>
      </c>
      <c r="AW196" s="181">
        <f t="shared" si="84"/>
        <v>5</v>
      </c>
      <c r="AX196" s="610"/>
    </row>
    <row r="197" spans="2:50" ht="14.25" customHeight="1">
      <c r="B197" s="611"/>
      <c r="C197" s="179">
        <v>23</v>
      </c>
      <c r="D197" s="182" t="s">
        <v>519</v>
      </c>
      <c r="E197" s="183">
        <v>4</v>
      </c>
      <c r="F197" s="179">
        <v>3600</v>
      </c>
      <c r="G197" s="184">
        <f t="shared" si="70"/>
        <v>900</v>
      </c>
      <c r="H197" s="612"/>
      <c r="I197" s="185">
        <f t="shared" si="71"/>
        <v>4</v>
      </c>
      <c r="J197" s="185">
        <f t="shared" si="71"/>
        <v>3207.5657452687478</v>
      </c>
      <c r="K197" s="186">
        <f t="shared" si="71"/>
        <v>801.89143631718696</v>
      </c>
      <c r="L197" s="613"/>
      <c r="M197" s="185">
        <f>RANK(K197, K$175:$K$211)</f>
        <v>15</v>
      </c>
      <c r="N197" s="624"/>
      <c r="O197" s="614"/>
      <c r="P197" s="187">
        <v>4</v>
      </c>
      <c r="Q197" s="187">
        <v>3205.2000309830337</v>
      </c>
      <c r="R197" s="184">
        <f t="shared" si="72"/>
        <v>801.30000774575842</v>
      </c>
      <c r="S197" s="181">
        <f t="shared" si="73"/>
        <v>15</v>
      </c>
      <c r="T197" s="610"/>
      <c r="U197" s="187">
        <v>4</v>
      </c>
      <c r="V197" s="187">
        <v>3205.920030983033</v>
      </c>
      <c r="W197" s="184">
        <f t="shared" si="69"/>
        <v>801.48000774575826</v>
      </c>
      <c r="X197" s="181">
        <f t="shared" si="74"/>
        <v>15</v>
      </c>
      <c r="Y197" s="610"/>
      <c r="Z197" s="187">
        <v>4</v>
      </c>
      <c r="AA197" s="187">
        <v>3206.6400309830333</v>
      </c>
      <c r="AB197" s="184">
        <f t="shared" si="75"/>
        <v>801.66000774575832</v>
      </c>
      <c r="AC197" s="181">
        <f t="shared" si="76"/>
        <v>15</v>
      </c>
      <c r="AD197" s="610"/>
      <c r="AE197" s="187">
        <v>4</v>
      </c>
      <c r="AF197" s="187">
        <v>3207.360030983034</v>
      </c>
      <c r="AG197" s="184">
        <f t="shared" si="77"/>
        <v>801.8400077457585</v>
      </c>
      <c r="AH197" s="181">
        <f t="shared" si="78"/>
        <v>15</v>
      </c>
      <c r="AI197" s="610"/>
      <c r="AJ197" s="187">
        <v>4</v>
      </c>
      <c r="AK197" s="187">
        <v>3208.0800309830338</v>
      </c>
      <c r="AL197" s="184">
        <f t="shared" si="79"/>
        <v>802.02000774575845</v>
      </c>
      <c r="AM197" s="181">
        <f t="shared" si="80"/>
        <v>14</v>
      </c>
      <c r="AN197" s="610"/>
      <c r="AO197" s="187">
        <v>4</v>
      </c>
      <c r="AP197" s="187">
        <v>3209.5200309830338</v>
      </c>
      <c r="AQ197" s="184">
        <f t="shared" si="81"/>
        <v>802.38000774575846</v>
      </c>
      <c r="AR197" s="181">
        <f t="shared" si="82"/>
        <v>14</v>
      </c>
      <c r="AS197" s="610"/>
      <c r="AT197" s="187">
        <v>4</v>
      </c>
      <c r="AU197" s="187">
        <v>3210.2400309830336</v>
      </c>
      <c r="AV197" s="184">
        <f t="shared" si="83"/>
        <v>802.56000774575841</v>
      </c>
      <c r="AW197" s="181">
        <f t="shared" si="84"/>
        <v>15</v>
      </c>
      <c r="AX197" s="610"/>
    </row>
    <row r="198" spans="2:50" ht="14.25" customHeight="1">
      <c r="B198" s="611"/>
      <c r="C198" s="179">
        <v>24</v>
      </c>
      <c r="D198" s="182" t="s">
        <v>398</v>
      </c>
      <c r="E198" s="183">
        <v>3</v>
      </c>
      <c r="F198" s="179">
        <v>3600</v>
      </c>
      <c r="G198" s="184">
        <f t="shared" si="70"/>
        <v>1200</v>
      </c>
      <c r="H198" s="612"/>
      <c r="I198" s="185">
        <f t="shared" si="71"/>
        <v>3</v>
      </c>
      <c r="J198" s="185">
        <f t="shared" si="71"/>
        <v>3207.1743711100994</v>
      </c>
      <c r="K198" s="186">
        <f t="shared" si="71"/>
        <v>1069.0581237033666</v>
      </c>
      <c r="L198" s="613"/>
      <c r="M198" s="185">
        <f>RANK(K198, K$175:$K$211)</f>
        <v>7</v>
      </c>
      <c r="N198" s="624"/>
      <c r="O198" s="614"/>
      <c r="P198" s="187">
        <v>3</v>
      </c>
      <c r="Q198" s="187">
        <v>3206.0429425386715</v>
      </c>
      <c r="R198" s="184">
        <f t="shared" si="72"/>
        <v>1068.6809808462237</v>
      </c>
      <c r="S198" s="181">
        <f t="shared" si="73"/>
        <v>5</v>
      </c>
      <c r="T198" s="610"/>
      <c r="U198" s="187">
        <v>3</v>
      </c>
      <c r="V198" s="187">
        <v>3206.4029425386716</v>
      </c>
      <c r="W198" s="184">
        <f t="shared" si="69"/>
        <v>1068.8009808462239</v>
      </c>
      <c r="X198" s="181">
        <f t="shared" si="74"/>
        <v>6</v>
      </c>
      <c r="Y198" s="610"/>
      <c r="Z198" s="187">
        <v>3</v>
      </c>
      <c r="AA198" s="187">
        <v>3206.4029425386716</v>
      </c>
      <c r="AB198" s="184">
        <f t="shared" si="75"/>
        <v>1068.8009808462239</v>
      </c>
      <c r="AC198" s="181">
        <f t="shared" si="76"/>
        <v>7</v>
      </c>
      <c r="AD198" s="610"/>
      <c r="AE198" s="187">
        <v>3</v>
      </c>
      <c r="AF198" s="187">
        <v>3206.4029425386711</v>
      </c>
      <c r="AG198" s="184">
        <f t="shared" si="77"/>
        <v>1068.8009808462236</v>
      </c>
      <c r="AH198" s="181">
        <f t="shared" si="78"/>
        <v>7</v>
      </c>
      <c r="AI198" s="610"/>
      <c r="AJ198" s="187">
        <v>3</v>
      </c>
      <c r="AK198" s="187">
        <v>3207.4829425386706</v>
      </c>
      <c r="AL198" s="184">
        <f t="shared" si="79"/>
        <v>1069.1609808462235</v>
      </c>
      <c r="AM198" s="181">
        <f t="shared" si="80"/>
        <v>7</v>
      </c>
      <c r="AN198" s="610"/>
      <c r="AO198" s="187">
        <v>3</v>
      </c>
      <c r="AP198" s="187">
        <v>3207.8429425386703</v>
      </c>
      <c r="AQ198" s="184">
        <f t="shared" si="81"/>
        <v>1069.2809808462234</v>
      </c>
      <c r="AR198" s="181">
        <f t="shared" si="82"/>
        <v>8</v>
      </c>
      <c r="AS198" s="610"/>
      <c r="AT198" s="187">
        <v>3</v>
      </c>
      <c r="AU198" s="187">
        <v>3209.6429425386705</v>
      </c>
      <c r="AV198" s="184">
        <f t="shared" si="83"/>
        <v>1069.8809808462236</v>
      </c>
      <c r="AW198" s="181">
        <f t="shared" si="84"/>
        <v>8</v>
      </c>
      <c r="AX198" s="610"/>
    </row>
    <row r="199" spans="2:50" ht="14.25" customHeight="1">
      <c r="B199" s="611"/>
      <c r="C199" s="179">
        <v>25</v>
      </c>
      <c r="D199" s="182" t="s">
        <v>397</v>
      </c>
      <c r="E199" s="183">
        <v>5</v>
      </c>
      <c r="F199" s="179">
        <v>3600</v>
      </c>
      <c r="G199" s="184">
        <f t="shared" si="70"/>
        <v>720</v>
      </c>
      <c r="H199" s="612"/>
      <c r="I199" s="185">
        <f t="shared" si="71"/>
        <v>5</v>
      </c>
      <c r="J199" s="185">
        <f t="shared" si="71"/>
        <v>3208.1201722713872</v>
      </c>
      <c r="K199" s="186">
        <f t="shared" si="71"/>
        <v>641.62403445427742</v>
      </c>
      <c r="L199" s="613"/>
      <c r="M199" s="185">
        <f>RANK(K199, K$175:$K$211)</f>
        <v>27</v>
      </c>
      <c r="N199" s="624"/>
      <c r="O199" s="614"/>
      <c r="P199" s="187">
        <v>5</v>
      </c>
      <c r="Q199" s="187">
        <v>3205.5487436999574</v>
      </c>
      <c r="R199" s="184">
        <f t="shared" si="72"/>
        <v>641.10974873999146</v>
      </c>
      <c r="S199" s="181">
        <f t="shared" si="73"/>
        <v>25</v>
      </c>
      <c r="T199" s="610"/>
      <c r="U199" s="187">
        <v>5</v>
      </c>
      <c r="V199" s="187">
        <v>3205.9087436999575</v>
      </c>
      <c r="W199" s="184">
        <f t="shared" si="69"/>
        <v>641.18174873999146</v>
      </c>
      <c r="X199" s="181">
        <f t="shared" si="74"/>
        <v>29</v>
      </c>
      <c r="Y199" s="610"/>
      <c r="Z199" s="187">
        <v>5</v>
      </c>
      <c r="AA199" s="187">
        <v>3206.9887436999575</v>
      </c>
      <c r="AB199" s="184">
        <f t="shared" si="75"/>
        <v>641.39774873999147</v>
      </c>
      <c r="AC199" s="181">
        <f t="shared" si="76"/>
        <v>27</v>
      </c>
      <c r="AD199" s="610"/>
      <c r="AE199" s="187">
        <v>5</v>
      </c>
      <c r="AF199" s="187">
        <v>3208.7887436999572</v>
      </c>
      <c r="AG199" s="184">
        <f t="shared" si="77"/>
        <v>641.75774873999148</v>
      </c>
      <c r="AH199" s="181">
        <f t="shared" si="78"/>
        <v>25</v>
      </c>
      <c r="AI199" s="610"/>
      <c r="AJ199" s="187">
        <v>5</v>
      </c>
      <c r="AK199" s="187">
        <v>3208.7887436999581</v>
      </c>
      <c r="AL199" s="184">
        <f t="shared" si="79"/>
        <v>641.7577487399916</v>
      </c>
      <c r="AM199" s="181">
        <f t="shared" si="80"/>
        <v>26</v>
      </c>
      <c r="AN199" s="610"/>
      <c r="AO199" s="187">
        <v>5</v>
      </c>
      <c r="AP199" s="187">
        <v>3209.5087436999584</v>
      </c>
      <c r="AQ199" s="184">
        <f t="shared" si="81"/>
        <v>641.90174873999172</v>
      </c>
      <c r="AR199" s="181">
        <f t="shared" si="82"/>
        <v>27</v>
      </c>
      <c r="AS199" s="610"/>
      <c r="AT199" s="187">
        <v>5</v>
      </c>
      <c r="AU199" s="187">
        <v>3211.3087436999585</v>
      </c>
      <c r="AV199" s="184">
        <f t="shared" si="83"/>
        <v>642.26174873999173</v>
      </c>
      <c r="AW199" s="181">
        <f t="shared" si="84"/>
        <v>29</v>
      </c>
      <c r="AX199" s="610"/>
    </row>
    <row r="200" spans="2:50" ht="14.25" customHeight="1">
      <c r="B200" s="611"/>
      <c r="C200" s="179">
        <v>26</v>
      </c>
      <c r="D200" s="182" t="s">
        <v>394</v>
      </c>
      <c r="E200" s="183">
        <v>5</v>
      </c>
      <c r="F200" s="179">
        <v>3600</v>
      </c>
      <c r="G200" s="184">
        <f t="shared" si="70"/>
        <v>720</v>
      </c>
      <c r="H200" s="612"/>
      <c r="I200" s="185">
        <f t="shared" si="71"/>
        <v>5</v>
      </c>
      <c r="J200" s="185">
        <f t="shared" si="71"/>
        <v>3207.1702935302014</v>
      </c>
      <c r="K200" s="186">
        <f t="shared" si="71"/>
        <v>641.43405870604033</v>
      </c>
      <c r="L200" s="613"/>
      <c r="M200" s="185">
        <f>RANK(K200, K$175:$K$211)</f>
        <v>30</v>
      </c>
      <c r="N200" s="624"/>
      <c r="O200" s="614"/>
      <c r="P200" s="187">
        <v>5</v>
      </c>
      <c r="Q200" s="187">
        <v>3204.3931506730587</v>
      </c>
      <c r="R200" s="184">
        <f t="shared" si="72"/>
        <v>640.87863013461174</v>
      </c>
      <c r="S200" s="181">
        <f t="shared" si="73"/>
        <v>30</v>
      </c>
      <c r="T200" s="610"/>
      <c r="U200" s="187">
        <v>5</v>
      </c>
      <c r="V200" s="187">
        <v>3205.4731506730586</v>
      </c>
      <c r="W200" s="184">
        <f t="shared" si="69"/>
        <v>641.09463013461175</v>
      </c>
      <c r="X200" s="181">
        <f t="shared" si="74"/>
        <v>30</v>
      </c>
      <c r="Y200" s="610"/>
      <c r="Z200" s="187">
        <v>5</v>
      </c>
      <c r="AA200" s="187">
        <v>3206.553150673059</v>
      </c>
      <c r="AB200" s="184">
        <f t="shared" si="75"/>
        <v>641.31063013461176</v>
      </c>
      <c r="AC200" s="181">
        <f t="shared" si="76"/>
        <v>30</v>
      </c>
      <c r="AD200" s="610"/>
      <c r="AE200" s="187">
        <v>5</v>
      </c>
      <c r="AF200" s="187">
        <v>3206.9131506730591</v>
      </c>
      <c r="AG200" s="184">
        <f t="shared" si="77"/>
        <v>641.38263013461187</v>
      </c>
      <c r="AH200" s="181">
        <f t="shared" si="78"/>
        <v>29</v>
      </c>
      <c r="AI200" s="610"/>
      <c r="AJ200" s="187">
        <v>5</v>
      </c>
      <c r="AK200" s="187">
        <v>3207.6331506730585</v>
      </c>
      <c r="AL200" s="184">
        <f t="shared" si="79"/>
        <v>641.52663013461165</v>
      </c>
      <c r="AM200" s="181">
        <f t="shared" si="80"/>
        <v>28</v>
      </c>
      <c r="AN200" s="610"/>
      <c r="AO200" s="187">
        <v>5</v>
      </c>
      <c r="AP200" s="187">
        <v>3208.7131506730575</v>
      </c>
      <c r="AQ200" s="184">
        <f t="shared" si="81"/>
        <v>641.74263013461155</v>
      </c>
      <c r="AR200" s="181">
        <f t="shared" si="82"/>
        <v>28</v>
      </c>
      <c r="AS200" s="610"/>
      <c r="AT200" s="187">
        <v>5</v>
      </c>
      <c r="AU200" s="187">
        <v>3210.5131506730577</v>
      </c>
      <c r="AV200" s="184">
        <f t="shared" si="83"/>
        <v>642.10263013461156</v>
      </c>
      <c r="AW200" s="181">
        <f t="shared" si="84"/>
        <v>30</v>
      </c>
      <c r="AX200" s="610"/>
    </row>
    <row r="201" spans="2:50" ht="14.25" customHeight="1">
      <c r="B201" s="611"/>
      <c r="C201" s="179">
        <v>27</v>
      </c>
      <c r="D201" s="182" t="s">
        <v>396</v>
      </c>
      <c r="E201" s="183">
        <v>3</v>
      </c>
      <c r="F201" s="179">
        <v>3000</v>
      </c>
      <c r="G201" s="184">
        <f t="shared" si="70"/>
        <v>1000</v>
      </c>
      <c r="H201" s="612"/>
      <c r="I201" s="185">
        <f t="shared" si="71"/>
        <v>3</v>
      </c>
      <c r="J201" s="185">
        <f t="shared" si="71"/>
        <v>2735.8819722090002</v>
      </c>
      <c r="K201" s="186">
        <f t="shared" si="71"/>
        <v>911.9606574029998</v>
      </c>
      <c r="L201" s="613"/>
      <c r="M201" s="185">
        <f>RANK(K201, K$175:$K$211)</f>
        <v>11</v>
      </c>
      <c r="N201" s="624"/>
      <c r="O201" s="614"/>
      <c r="P201" s="187">
        <v>3</v>
      </c>
      <c r="Q201" s="187">
        <v>2731.9156912027665</v>
      </c>
      <c r="R201" s="184">
        <f t="shared" si="72"/>
        <v>910.63856373425551</v>
      </c>
      <c r="S201" s="181">
        <f t="shared" si="73"/>
        <v>13</v>
      </c>
      <c r="T201" s="610"/>
      <c r="U201" s="187">
        <v>3</v>
      </c>
      <c r="V201" s="187">
        <v>2732.2156912027667</v>
      </c>
      <c r="W201" s="184">
        <f t="shared" si="69"/>
        <v>910.73856373425554</v>
      </c>
      <c r="X201" s="181">
        <f t="shared" si="74"/>
        <v>13</v>
      </c>
      <c r="Y201" s="610"/>
      <c r="Z201" s="187">
        <v>3</v>
      </c>
      <c r="AA201" s="187">
        <v>2735.8259555789173</v>
      </c>
      <c r="AB201" s="184">
        <f t="shared" si="75"/>
        <v>911.94198519297242</v>
      </c>
      <c r="AC201" s="181">
        <f t="shared" si="76"/>
        <v>11</v>
      </c>
      <c r="AD201" s="610"/>
      <c r="AE201" s="187">
        <v>3</v>
      </c>
      <c r="AF201" s="187">
        <v>2736.4541168696373</v>
      </c>
      <c r="AG201" s="184">
        <f t="shared" si="77"/>
        <v>912.15137228987908</v>
      </c>
      <c r="AH201" s="181">
        <f t="shared" si="78"/>
        <v>11</v>
      </c>
      <c r="AI201" s="610"/>
      <c r="AJ201" s="187">
        <v>3</v>
      </c>
      <c r="AK201" s="187">
        <v>2737.6541168696372</v>
      </c>
      <c r="AL201" s="184">
        <f t="shared" si="79"/>
        <v>912.55137228987905</v>
      </c>
      <c r="AM201" s="181">
        <f t="shared" si="80"/>
        <v>11</v>
      </c>
      <c r="AN201" s="610"/>
      <c r="AO201" s="187">
        <v>3</v>
      </c>
      <c r="AP201" s="187">
        <v>2737.9541168696369</v>
      </c>
      <c r="AQ201" s="184">
        <f t="shared" si="81"/>
        <v>912.65137228987896</v>
      </c>
      <c r="AR201" s="181">
        <f t="shared" si="82"/>
        <v>11</v>
      </c>
      <c r="AS201" s="610"/>
      <c r="AT201" s="187">
        <v>3</v>
      </c>
      <c r="AU201" s="187">
        <v>2739.1541168696372</v>
      </c>
      <c r="AV201" s="184">
        <f t="shared" si="83"/>
        <v>913.05137228987905</v>
      </c>
      <c r="AW201" s="181">
        <f t="shared" si="84"/>
        <v>11</v>
      </c>
      <c r="AX201" s="610"/>
    </row>
    <row r="202" spans="2:50" ht="14.25" customHeight="1">
      <c r="B202" s="611"/>
      <c r="C202" s="179">
        <v>28</v>
      </c>
      <c r="D202" s="182" t="s">
        <v>434</v>
      </c>
      <c r="E202" s="183">
        <v>3</v>
      </c>
      <c r="F202" s="179">
        <v>3600</v>
      </c>
      <c r="G202" s="184">
        <f t="shared" si="70"/>
        <v>1200</v>
      </c>
      <c r="H202" s="612"/>
      <c r="I202" s="185">
        <f t="shared" si="71"/>
        <v>3</v>
      </c>
      <c r="J202" s="185">
        <f t="shared" si="71"/>
        <v>3212.7668521761993</v>
      </c>
      <c r="K202" s="186">
        <f t="shared" si="71"/>
        <v>1070.9222840587331</v>
      </c>
      <c r="L202" s="613"/>
      <c r="M202" s="185">
        <f>RANK(K202, K$175:$K$211)</f>
        <v>1</v>
      </c>
      <c r="N202" s="624"/>
      <c r="O202" s="614"/>
      <c r="P202" s="187">
        <v>3</v>
      </c>
      <c r="Q202" s="187">
        <v>3206.5446526664191</v>
      </c>
      <c r="R202" s="184">
        <f t="shared" si="72"/>
        <v>1068.848217555473</v>
      </c>
      <c r="S202" s="181">
        <f t="shared" si="73"/>
        <v>4</v>
      </c>
      <c r="T202" s="610"/>
      <c r="U202" s="187">
        <v>3</v>
      </c>
      <c r="V202" s="187">
        <v>3210.8038854278293</v>
      </c>
      <c r="W202" s="184">
        <f t="shared" si="69"/>
        <v>1070.2679618092764</v>
      </c>
      <c r="X202" s="181">
        <f t="shared" si="74"/>
        <v>1</v>
      </c>
      <c r="Y202" s="610"/>
      <c r="Z202" s="187">
        <v>3</v>
      </c>
      <c r="AA202" s="187">
        <v>3211.8838854278292</v>
      </c>
      <c r="AB202" s="184">
        <f t="shared" si="75"/>
        <v>1070.6279618092765</v>
      </c>
      <c r="AC202" s="181">
        <f t="shared" si="76"/>
        <v>1</v>
      </c>
      <c r="AD202" s="610"/>
      <c r="AE202" s="187">
        <v>3</v>
      </c>
      <c r="AF202" s="187">
        <v>3212.9638854278292</v>
      </c>
      <c r="AG202" s="184">
        <f t="shared" si="77"/>
        <v>1070.9879618092764</v>
      </c>
      <c r="AH202" s="181">
        <f t="shared" si="78"/>
        <v>1</v>
      </c>
      <c r="AI202" s="610"/>
      <c r="AJ202" s="187">
        <v>3</v>
      </c>
      <c r="AK202" s="187">
        <v>3214.7638854278293</v>
      </c>
      <c r="AL202" s="184">
        <f t="shared" si="79"/>
        <v>1071.5879618092765</v>
      </c>
      <c r="AM202" s="181">
        <f t="shared" si="80"/>
        <v>1</v>
      </c>
      <c r="AN202" s="610"/>
      <c r="AO202" s="187">
        <v>3</v>
      </c>
      <c r="AP202" s="187">
        <v>3215.8438854278302</v>
      </c>
      <c r="AQ202" s="184">
        <f t="shared" si="81"/>
        <v>1071.9479618092766</v>
      </c>
      <c r="AR202" s="181">
        <f t="shared" si="82"/>
        <v>1</v>
      </c>
      <c r="AS202" s="610"/>
      <c r="AT202" s="187">
        <v>3</v>
      </c>
      <c r="AU202" s="187">
        <v>3216.5638854278304</v>
      </c>
      <c r="AV202" s="184">
        <f t="shared" si="83"/>
        <v>1072.1879618092769</v>
      </c>
      <c r="AW202" s="181">
        <f t="shared" si="84"/>
        <v>1</v>
      </c>
      <c r="AX202" s="610"/>
    </row>
    <row r="203" spans="2:50" ht="14.25" customHeight="1">
      <c r="B203" s="611"/>
      <c r="C203" s="179">
        <v>29</v>
      </c>
      <c r="D203" s="182" t="s">
        <v>440</v>
      </c>
      <c r="E203" s="183">
        <v>4</v>
      </c>
      <c r="F203" s="179">
        <v>3000</v>
      </c>
      <c r="G203" s="184">
        <f t="shared" si="70"/>
        <v>750</v>
      </c>
      <c r="H203" s="612"/>
      <c r="I203" s="185">
        <f t="shared" si="71"/>
        <v>4</v>
      </c>
      <c r="J203" s="185">
        <f t="shared" si="71"/>
        <v>2732.8885682167979</v>
      </c>
      <c r="K203" s="186">
        <f t="shared" si="71"/>
        <v>683.22214205419948</v>
      </c>
      <c r="L203" s="613"/>
      <c r="M203" s="185">
        <f>RANK(K203, K$175:$K$211)</f>
        <v>19</v>
      </c>
      <c r="N203" s="624"/>
      <c r="O203" s="614"/>
      <c r="P203" s="187">
        <v>4</v>
      </c>
      <c r="Q203" s="187">
        <v>2729.8786774566447</v>
      </c>
      <c r="R203" s="184">
        <f t="shared" si="72"/>
        <v>682.46966936416118</v>
      </c>
      <c r="S203" s="181">
        <f t="shared" si="73"/>
        <v>20</v>
      </c>
      <c r="T203" s="610"/>
      <c r="U203" s="187">
        <v>4</v>
      </c>
      <c r="V203" s="187">
        <v>2730.1786774566453</v>
      </c>
      <c r="W203" s="184">
        <f t="shared" si="69"/>
        <v>682.54466936416134</v>
      </c>
      <c r="X203" s="181">
        <f t="shared" si="74"/>
        <v>20</v>
      </c>
      <c r="Y203" s="610"/>
      <c r="Z203" s="187">
        <v>4</v>
      </c>
      <c r="AA203" s="187">
        <v>2731.3786774566452</v>
      </c>
      <c r="AB203" s="184">
        <f t="shared" si="75"/>
        <v>682.84466936416129</v>
      </c>
      <c r="AC203" s="181">
        <f t="shared" si="76"/>
        <v>20</v>
      </c>
      <c r="AD203" s="610"/>
      <c r="AE203" s="187">
        <v>4</v>
      </c>
      <c r="AF203" s="187">
        <v>2731.9786774566451</v>
      </c>
      <c r="AG203" s="184">
        <f t="shared" si="77"/>
        <v>682.99466936416127</v>
      </c>
      <c r="AH203" s="181">
        <f t="shared" si="78"/>
        <v>20</v>
      </c>
      <c r="AI203" s="610"/>
      <c r="AJ203" s="187">
        <v>4</v>
      </c>
      <c r="AK203" s="187">
        <v>2733.1786774566444</v>
      </c>
      <c r="AL203" s="184">
        <f t="shared" si="79"/>
        <v>683.29466936416111</v>
      </c>
      <c r="AM203" s="181">
        <f t="shared" si="80"/>
        <v>19</v>
      </c>
      <c r="AN203" s="610"/>
      <c r="AO203" s="187">
        <v>4</v>
      </c>
      <c r="AP203" s="187">
        <v>2733.7786774566443</v>
      </c>
      <c r="AQ203" s="184">
        <f t="shared" si="81"/>
        <v>683.44466936416109</v>
      </c>
      <c r="AR203" s="181">
        <f t="shared" si="82"/>
        <v>19</v>
      </c>
      <c r="AS203" s="610"/>
      <c r="AT203" s="187">
        <v>4</v>
      </c>
      <c r="AU203" s="187">
        <v>2739.8479127777177</v>
      </c>
      <c r="AV203" s="184">
        <f t="shared" si="83"/>
        <v>684.96197819442943</v>
      </c>
      <c r="AW203" s="181">
        <f t="shared" si="84"/>
        <v>19</v>
      </c>
      <c r="AX203" s="610"/>
    </row>
    <row r="204" spans="2:50" ht="14.25" customHeight="1">
      <c r="B204" s="611"/>
      <c r="C204" s="179">
        <v>30</v>
      </c>
      <c r="D204" s="182" t="s">
        <v>507</v>
      </c>
      <c r="E204" s="183">
        <v>5</v>
      </c>
      <c r="F204" s="179">
        <v>3000</v>
      </c>
      <c r="G204" s="184">
        <f t="shared" si="70"/>
        <v>600</v>
      </c>
      <c r="H204" s="612"/>
      <c r="I204" s="185">
        <f t="shared" si="71"/>
        <v>5</v>
      </c>
      <c r="J204" s="185">
        <f t="shared" si="71"/>
        <v>2733.913026083198</v>
      </c>
      <c r="K204" s="186">
        <f t="shared" si="71"/>
        <v>546.78260521663969</v>
      </c>
      <c r="L204" s="613"/>
      <c r="M204" s="185">
        <f>RANK(K204, K$175:$K$211)</f>
        <v>33</v>
      </c>
      <c r="N204" s="624"/>
      <c r="O204" s="614"/>
      <c r="P204" s="187">
        <v>5</v>
      </c>
      <c r="Q204" s="187">
        <v>2730.6048578727991</v>
      </c>
      <c r="R204" s="184">
        <f t="shared" si="72"/>
        <v>546.1209715745598</v>
      </c>
      <c r="S204" s="181">
        <f t="shared" si="73"/>
        <v>33</v>
      </c>
      <c r="T204" s="610"/>
      <c r="U204" s="187">
        <v>5</v>
      </c>
      <c r="V204" s="187">
        <v>2733.1218367216975</v>
      </c>
      <c r="W204" s="184">
        <f t="shared" si="69"/>
        <v>546.62436734433948</v>
      </c>
      <c r="X204" s="181">
        <f t="shared" si="74"/>
        <v>33</v>
      </c>
      <c r="Y204" s="610"/>
      <c r="Z204" s="187">
        <v>5</v>
      </c>
      <c r="AA204" s="187">
        <v>2733.7218367216974</v>
      </c>
      <c r="AB204" s="184">
        <f t="shared" si="75"/>
        <v>546.74436734433948</v>
      </c>
      <c r="AC204" s="181">
        <f t="shared" si="76"/>
        <v>33</v>
      </c>
      <c r="AD204" s="610"/>
      <c r="AE204" s="187">
        <v>5</v>
      </c>
      <c r="AF204" s="187">
        <v>2734.0218367216976</v>
      </c>
      <c r="AG204" s="184">
        <f t="shared" si="77"/>
        <v>546.80436734433954</v>
      </c>
      <c r="AH204" s="181">
        <f t="shared" si="78"/>
        <v>33</v>
      </c>
      <c r="AI204" s="610"/>
      <c r="AJ204" s="187">
        <v>5</v>
      </c>
      <c r="AK204" s="187">
        <v>2734.3218367216978</v>
      </c>
      <c r="AL204" s="184">
        <f t="shared" si="79"/>
        <v>546.8643673443396</v>
      </c>
      <c r="AM204" s="181">
        <f t="shared" si="80"/>
        <v>33</v>
      </c>
      <c r="AN204" s="610"/>
      <c r="AO204" s="187">
        <v>5</v>
      </c>
      <c r="AP204" s="187">
        <v>2734.6218367216979</v>
      </c>
      <c r="AQ204" s="184">
        <f t="shared" si="81"/>
        <v>546.92436734433954</v>
      </c>
      <c r="AR204" s="181">
        <f t="shared" si="82"/>
        <v>33</v>
      </c>
      <c r="AS204" s="610"/>
      <c r="AT204" s="187">
        <v>5</v>
      </c>
      <c r="AU204" s="187">
        <v>2736.9771411010993</v>
      </c>
      <c r="AV204" s="184">
        <f t="shared" si="83"/>
        <v>547.39542822021986</v>
      </c>
      <c r="AW204" s="181">
        <f t="shared" si="84"/>
        <v>33</v>
      </c>
      <c r="AX204" s="610"/>
    </row>
    <row r="205" spans="2:50" ht="14.25" customHeight="1">
      <c r="B205" s="611"/>
      <c r="C205" s="179">
        <v>31</v>
      </c>
      <c r="D205" s="182" t="s">
        <v>663</v>
      </c>
      <c r="E205" s="179">
        <v>5</v>
      </c>
      <c r="F205" s="179">
        <v>3600</v>
      </c>
      <c r="G205" s="184">
        <f t="shared" si="70"/>
        <v>720</v>
      </c>
      <c r="H205" s="612"/>
      <c r="I205" s="185">
        <f t="shared" si="71"/>
        <v>5</v>
      </c>
      <c r="J205" s="185">
        <f t="shared" si="71"/>
        <v>3264.5341984990905</v>
      </c>
      <c r="K205" s="186">
        <f t="shared" si="71"/>
        <v>652.90683969981797</v>
      </c>
      <c r="L205" s="613"/>
      <c r="M205" s="185">
        <f>RANK(K205, K$175:$K$211)</f>
        <v>22</v>
      </c>
      <c r="N205" s="624"/>
      <c r="O205" s="614"/>
      <c r="P205" s="187">
        <v>5</v>
      </c>
      <c r="Q205" s="187">
        <v>3263.4541984990906</v>
      </c>
      <c r="R205" s="184">
        <f t="shared" si="72"/>
        <v>652.69083969981807</v>
      </c>
      <c r="S205" s="181">
        <f t="shared" si="73"/>
        <v>22</v>
      </c>
      <c r="T205" s="610"/>
      <c r="U205" s="187">
        <v>5</v>
      </c>
      <c r="V205" s="187">
        <v>3263.8141984990898</v>
      </c>
      <c r="W205" s="184">
        <f t="shared" si="69"/>
        <v>652.76283969981796</v>
      </c>
      <c r="X205" s="181">
        <f t="shared" si="74"/>
        <v>22</v>
      </c>
      <c r="Y205" s="610"/>
      <c r="Z205" s="187">
        <v>5</v>
      </c>
      <c r="AA205" s="187">
        <v>3263.4541984990901</v>
      </c>
      <c r="AB205" s="184">
        <f t="shared" si="75"/>
        <v>652.69083969981807</v>
      </c>
      <c r="AC205" s="181">
        <f t="shared" si="76"/>
        <v>22</v>
      </c>
      <c r="AD205" s="610"/>
      <c r="AE205" s="187">
        <v>5</v>
      </c>
      <c r="AF205" s="187">
        <v>3263.8141984990903</v>
      </c>
      <c r="AG205" s="184">
        <f t="shared" si="77"/>
        <v>652.76283969981807</v>
      </c>
      <c r="AH205" s="181">
        <f t="shared" si="78"/>
        <v>22</v>
      </c>
      <c r="AI205" s="610"/>
      <c r="AJ205" s="187">
        <v>5</v>
      </c>
      <c r="AK205" s="187">
        <v>3264.5341984990901</v>
      </c>
      <c r="AL205" s="184">
        <f t="shared" si="79"/>
        <v>652.90683969981797</v>
      </c>
      <c r="AM205" s="181">
        <f t="shared" si="80"/>
        <v>22</v>
      </c>
      <c r="AN205" s="610"/>
      <c r="AO205" s="187">
        <v>5</v>
      </c>
      <c r="AP205" s="187">
        <v>3265.9741984990897</v>
      </c>
      <c r="AQ205" s="184">
        <f t="shared" si="81"/>
        <v>653.19483969981798</v>
      </c>
      <c r="AR205" s="181">
        <f t="shared" si="82"/>
        <v>22</v>
      </c>
      <c r="AS205" s="610"/>
      <c r="AT205" s="187">
        <v>5</v>
      </c>
      <c r="AU205" s="187">
        <v>3266.6941984990904</v>
      </c>
      <c r="AV205" s="184">
        <f t="shared" si="83"/>
        <v>653.3388396998181</v>
      </c>
      <c r="AW205" s="181">
        <f t="shared" si="84"/>
        <v>21</v>
      </c>
      <c r="AX205" s="610"/>
    </row>
    <row r="206" spans="2:50" ht="14.25" customHeight="1">
      <c r="B206" s="611"/>
      <c r="C206" s="179">
        <v>32</v>
      </c>
      <c r="D206" s="182" t="s">
        <v>690</v>
      </c>
      <c r="E206" s="179">
        <v>4</v>
      </c>
      <c r="F206" s="179">
        <v>3000</v>
      </c>
      <c r="G206" s="184">
        <f t="shared" si="70"/>
        <v>750</v>
      </c>
      <c r="H206" s="612"/>
      <c r="I206" s="185">
        <f t="shared" ref="I206:K209" si="85">AVERAGE(P206,U206,Z206,AE206,AJ206,AO206,AT206)</f>
        <v>4</v>
      </c>
      <c r="J206" s="185">
        <f t="shared" si="85"/>
        <v>2732.4778502218714</v>
      </c>
      <c r="K206" s="186">
        <f t="shared" si="85"/>
        <v>683.11946255546786</v>
      </c>
      <c r="L206" s="613"/>
      <c r="M206" s="185">
        <f>RANK(K206, K$175:$K$211)</f>
        <v>20</v>
      </c>
      <c r="N206" s="624"/>
      <c r="O206" s="614"/>
      <c r="P206" s="187">
        <v>4</v>
      </c>
      <c r="Q206" s="187">
        <v>2730.3766433749715</v>
      </c>
      <c r="R206" s="184">
        <f t="shared" si="72"/>
        <v>682.59416084374288</v>
      </c>
      <c r="S206" s="181">
        <f t="shared" si="73"/>
        <v>19</v>
      </c>
      <c r="T206" s="610"/>
      <c r="U206" s="187">
        <v>4</v>
      </c>
      <c r="V206" s="187">
        <v>2730.9766433749714</v>
      </c>
      <c r="W206" s="184">
        <f t="shared" si="69"/>
        <v>682.74416084374286</v>
      </c>
      <c r="X206" s="181">
        <f t="shared" si="74"/>
        <v>19</v>
      </c>
      <c r="Y206" s="610"/>
      <c r="Z206" s="187">
        <v>4</v>
      </c>
      <c r="AA206" s="187">
        <v>2731.5766433749714</v>
      </c>
      <c r="AB206" s="184">
        <f t="shared" si="75"/>
        <v>682.89416084374284</v>
      </c>
      <c r="AC206" s="181">
        <f t="shared" si="76"/>
        <v>19</v>
      </c>
      <c r="AD206" s="610"/>
      <c r="AE206" s="187">
        <v>4</v>
      </c>
      <c r="AF206" s="187">
        <v>2732.1766433749713</v>
      </c>
      <c r="AG206" s="184">
        <f t="shared" si="77"/>
        <v>683.04416084374282</v>
      </c>
      <c r="AH206" s="181">
        <f t="shared" si="78"/>
        <v>19</v>
      </c>
      <c r="AI206" s="610"/>
      <c r="AJ206" s="187">
        <v>4</v>
      </c>
      <c r="AK206" s="187">
        <v>2732.7766433749716</v>
      </c>
      <c r="AL206" s="184">
        <f t="shared" si="79"/>
        <v>683.19416084374291</v>
      </c>
      <c r="AM206" s="181">
        <f t="shared" si="80"/>
        <v>20</v>
      </c>
      <c r="AN206" s="610"/>
      <c r="AO206" s="187">
        <v>4</v>
      </c>
      <c r="AP206" s="187">
        <v>2733.6766433749713</v>
      </c>
      <c r="AQ206" s="184">
        <f t="shared" si="81"/>
        <v>683.41916084374282</v>
      </c>
      <c r="AR206" s="181">
        <f t="shared" si="82"/>
        <v>20</v>
      </c>
      <c r="AS206" s="610"/>
      <c r="AT206" s="187">
        <v>4</v>
      </c>
      <c r="AU206" s="187">
        <v>2735.7850913032712</v>
      </c>
      <c r="AV206" s="184">
        <f t="shared" si="83"/>
        <v>683.9462728258178</v>
      </c>
      <c r="AW206" s="181">
        <f t="shared" si="84"/>
        <v>20</v>
      </c>
      <c r="AX206" s="610"/>
    </row>
    <row r="207" spans="2:50" ht="14.25" customHeight="1">
      <c r="B207" s="611"/>
      <c r="C207" s="179">
        <v>33</v>
      </c>
      <c r="D207" s="182" t="s">
        <v>691</v>
      </c>
      <c r="E207" s="179">
        <v>5</v>
      </c>
      <c r="F207" s="179">
        <v>3600</v>
      </c>
      <c r="G207" s="184">
        <f t="shared" si="70"/>
        <v>720</v>
      </c>
      <c r="H207" s="612"/>
      <c r="I207" s="185">
        <f t="shared" si="85"/>
        <v>5</v>
      </c>
      <c r="J207" s="185">
        <f t="shared" si="85"/>
        <v>3266.1127295558485</v>
      </c>
      <c r="K207" s="186">
        <f t="shared" si="85"/>
        <v>653.22254591116973</v>
      </c>
      <c r="L207" s="613"/>
      <c r="M207" s="185">
        <f>RANK(K207, K$175:$K$211)</f>
        <v>21</v>
      </c>
      <c r="N207" s="624"/>
      <c r="O207" s="614"/>
      <c r="P207" s="187">
        <v>5</v>
      </c>
      <c r="Q207" s="187">
        <v>3265.7013009844195</v>
      </c>
      <c r="R207" s="184">
        <f t="shared" si="72"/>
        <v>653.1402601968839</v>
      </c>
      <c r="S207" s="181">
        <f t="shared" si="73"/>
        <v>21</v>
      </c>
      <c r="T207" s="610"/>
      <c r="U207" s="187">
        <v>5</v>
      </c>
      <c r="V207" s="187">
        <v>3265.7013009844195</v>
      </c>
      <c r="W207" s="184">
        <f t="shared" si="69"/>
        <v>653.1402601968839</v>
      </c>
      <c r="X207" s="181">
        <f t="shared" si="74"/>
        <v>21</v>
      </c>
      <c r="Y207" s="610"/>
      <c r="Z207" s="187">
        <v>5</v>
      </c>
      <c r="AA207" s="187">
        <v>3265.70130098442</v>
      </c>
      <c r="AB207" s="184">
        <f t="shared" si="75"/>
        <v>653.14026019688401</v>
      </c>
      <c r="AC207" s="181">
        <f t="shared" si="76"/>
        <v>21</v>
      </c>
      <c r="AD207" s="610"/>
      <c r="AE207" s="187">
        <v>5</v>
      </c>
      <c r="AF207" s="187">
        <v>3266.7813009844199</v>
      </c>
      <c r="AG207" s="184">
        <f t="shared" si="77"/>
        <v>653.35626019688402</v>
      </c>
      <c r="AH207" s="181">
        <f t="shared" si="78"/>
        <v>21</v>
      </c>
      <c r="AI207" s="610"/>
      <c r="AJ207" s="187">
        <v>5</v>
      </c>
      <c r="AK207" s="187">
        <v>3266.7813009844208</v>
      </c>
      <c r="AL207" s="184">
        <f t="shared" si="79"/>
        <v>653.35626019688414</v>
      </c>
      <c r="AM207" s="181">
        <f t="shared" si="80"/>
        <v>21</v>
      </c>
      <c r="AN207" s="610"/>
      <c r="AO207" s="187">
        <v>5</v>
      </c>
      <c r="AP207" s="187">
        <v>3266.7813009844208</v>
      </c>
      <c r="AQ207" s="184">
        <f t="shared" si="81"/>
        <v>653.35626019688414</v>
      </c>
      <c r="AR207" s="181">
        <f t="shared" si="82"/>
        <v>21</v>
      </c>
      <c r="AS207" s="610"/>
      <c r="AT207" s="187">
        <v>5</v>
      </c>
      <c r="AU207" s="187">
        <v>3265.3413009844212</v>
      </c>
      <c r="AV207" s="184">
        <f t="shared" si="83"/>
        <v>653.06826019688424</v>
      </c>
      <c r="AW207" s="181">
        <f t="shared" si="84"/>
        <v>22</v>
      </c>
      <c r="AX207" s="610"/>
    </row>
    <row r="208" spans="2:50" ht="14.25" customHeight="1">
      <c r="B208" s="611"/>
      <c r="C208" s="179">
        <v>34</v>
      </c>
      <c r="D208" s="182" t="s">
        <v>345</v>
      </c>
      <c r="E208" s="179">
        <v>3</v>
      </c>
      <c r="F208" s="179">
        <v>3000</v>
      </c>
      <c r="G208" s="184">
        <f t="shared" si="70"/>
        <v>1000</v>
      </c>
      <c r="H208" s="612"/>
      <c r="I208" s="185">
        <f t="shared" si="85"/>
        <v>3</v>
      </c>
      <c r="J208" s="185">
        <f t="shared" si="85"/>
        <v>2734.6401003867823</v>
      </c>
      <c r="K208" s="186">
        <f t="shared" si="85"/>
        <v>911.54670012892745</v>
      </c>
      <c r="L208" s="613"/>
      <c r="M208" s="185">
        <f>RANK(K208, K$175:$K$211)</f>
        <v>13</v>
      </c>
      <c r="N208" s="624"/>
      <c r="O208" s="614"/>
      <c r="P208" s="187">
        <v>3</v>
      </c>
      <c r="Q208" s="187">
        <v>2732.5401003867828</v>
      </c>
      <c r="R208" s="184">
        <f t="shared" si="72"/>
        <v>910.84670012892764</v>
      </c>
      <c r="S208" s="181">
        <f t="shared" si="73"/>
        <v>12</v>
      </c>
      <c r="T208" s="610"/>
      <c r="U208" s="187">
        <v>3</v>
      </c>
      <c r="V208" s="187">
        <v>2733.1401003867832</v>
      </c>
      <c r="W208" s="184">
        <f t="shared" si="69"/>
        <v>911.04670012892768</v>
      </c>
      <c r="X208" s="181">
        <f t="shared" si="74"/>
        <v>12</v>
      </c>
      <c r="Y208" s="610"/>
      <c r="Z208" s="187">
        <v>3</v>
      </c>
      <c r="AA208" s="187">
        <v>2733.4401003867824</v>
      </c>
      <c r="AB208" s="184">
        <f t="shared" si="75"/>
        <v>911.14670012892748</v>
      </c>
      <c r="AC208" s="181">
        <f t="shared" si="76"/>
        <v>13</v>
      </c>
      <c r="AD208" s="610"/>
      <c r="AE208" s="187">
        <v>3</v>
      </c>
      <c r="AF208" s="187">
        <v>2734.3401003867825</v>
      </c>
      <c r="AG208" s="184">
        <f t="shared" si="77"/>
        <v>911.44670012892755</v>
      </c>
      <c r="AH208" s="181">
        <f t="shared" si="78"/>
        <v>13</v>
      </c>
      <c r="AI208" s="610"/>
      <c r="AJ208" s="187">
        <v>3</v>
      </c>
      <c r="AK208" s="187">
        <v>2735.2401003867826</v>
      </c>
      <c r="AL208" s="184">
        <f t="shared" si="79"/>
        <v>911.7467001289275</v>
      </c>
      <c r="AM208" s="181">
        <f t="shared" si="80"/>
        <v>13</v>
      </c>
      <c r="AN208" s="610"/>
      <c r="AO208" s="187">
        <v>3</v>
      </c>
      <c r="AP208" s="187">
        <v>2736.7401003867817</v>
      </c>
      <c r="AQ208" s="184">
        <f t="shared" si="81"/>
        <v>912.24670012892727</v>
      </c>
      <c r="AR208" s="181">
        <f t="shared" si="82"/>
        <v>13</v>
      </c>
      <c r="AS208" s="610"/>
      <c r="AT208" s="187">
        <v>3</v>
      </c>
      <c r="AU208" s="187">
        <v>2737.0401003867819</v>
      </c>
      <c r="AV208" s="184">
        <f t="shared" si="83"/>
        <v>912.3467001289273</v>
      </c>
      <c r="AW208" s="181">
        <f t="shared" si="84"/>
        <v>13</v>
      </c>
      <c r="AX208" s="610"/>
    </row>
    <row r="209" spans="2:50" ht="14.25" customHeight="1">
      <c r="B209" s="611"/>
      <c r="C209" s="179">
        <v>35</v>
      </c>
      <c r="D209" s="182" t="s">
        <v>436</v>
      </c>
      <c r="E209" s="179">
        <v>12</v>
      </c>
      <c r="F209" s="179">
        <v>3600</v>
      </c>
      <c r="G209" s="184">
        <f t="shared" si="70"/>
        <v>300</v>
      </c>
      <c r="H209" s="612"/>
      <c r="I209" s="185">
        <f t="shared" si="85"/>
        <v>12</v>
      </c>
      <c r="J209" s="185">
        <f t="shared" si="85"/>
        <v>3121.9778330090908</v>
      </c>
      <c r="K209" s="186">
        <f t="shared" si="85"/>
        <v>260.16481941742421</v>
      </c>
      <c r="L209" s="613"/>
      <c r="M209" s="185">
        <f>RANK(K209, K$175:$K$211)</f>
        <v>35</v>
      </c>
      <c r="N209" s="624"/>
      <c r="O209" s="614"/>
      <c r="P209" s="187">
        <v>12</v>
      </c>
      <c r="Q209" s="187">
        <v>3121.9749008496306</v>
      </c>
      <c r="R209" s="184">
        <f t="shared" si="72"/>
        <v>260.16457507080253</v>
      </c>
      <c r="S209" s="181">
        <f t="shared" si="73"/>
        <v>34</v>
      </c>
      <c r="T209" s="610"/>
      <c r="U209" s="187">
        <v>12</v>
      </c>
      <c r="V209" s="187">
        <v>3121.6149008496304</v>
      </c>
      <c r="W209" s="184">
        <f t="shared" si="69"/>
        <v>260.13457507080255</v>
      </c>
      <c r="X209" s="181">
        <f t="shared" si="74"/>
        <v>35</v>
      </c>
      <c r="Y209" s="610"/>
      <c r="Z209" s="187">
        <v>12</v>
      </c>
      <c r="AA209" s="187">
        <v>3121.9749008496301</v>
      </c>
      <c r="AB209" s="184">
        <f t="shared" si="75"/>
        <v>260.16457507080253</v>
      </c>
      <c r="AC209" s="181">
        <f t="shared" si="76"/>
        <v>35</v>
      </c>
      <c r="AD209" s="610"/>
      <c r="AE209" s="187">
        <v>12</v>
      </c>
      <c r="AF209" s="187">
        <v>3122.6949008496299</v>
      </c>
      <c r="AG209" s="184">
        <f t="shared" si="77"/>
        <v>260.22457507080247</v>
      </c>
      <c r="AH209" s="181">
        <f t="shared" si="78"/>
        <v>34</v>
      </c>
      <c r="AI209" s="610"/>
      <c r="AJ209" s="187">
        <v>12</v>
      </c>
      <c r="AK209" s="187">
        <v>3120.5863693009533</v>
      </c>
      <c r="AL209" s="184">
        <f t="shared" si="79"/>
        <v>260.04886410841277</v>
      </c>
      <c r="AM209" s="181">
        <f t="shared" si="80"/>
        <v>35</v>
      </c>
      <c r="AN209" s="610"/>
      <c r="AO209" s="187">
        <v>12</v>
      </c>
      <c r="AP209" s="187">
        <v>3122.1394291820802</v>
      </c>
      <c r="AQ209" s="184">
        <f t="shared" si="81"/>
        <v>260.17828576517337</v>
      </c>
      <c r="AR209" s="181">
        <f t="shared" si="82"/>
        <v>34</v>
      </c>
      <c r="AS209" s="610"/>
      <c r="AT209" s="187">
        <v>12</v>
      </c>
      <c r="AU209" s="187">
        <v>3122.8594291820805</v>
      </c>
      <c r="AV209" s="184">
        <f t="shared" si="83"/>
        <v>260.23828576517337</v>
      </c>
      <c r="AW209" s="181">
        <f t="shared" si="84"/>
        <v>34</v>
      </c>
      <c r="AX209" s="610"/>
    </row>
    <row r="210" spans="2:50" ht="14.25" customHeight="1">
      <c r="B210" s="611"/>
      <c r="C210" s="179">
        <v>36</v>
      </c>
      <c r="D210" s="182"/>
      <c r="E210" s="179"/>
      <c r="F210" s="179"/>
      <c r="G210" s="184"/>
      <c r="H210" s="612"/>
      <c r="I210" s="185"/>
      <c r="J210" s="185"/>
      <c r="K210" s="186"/>
      <c r="L210" s="613"/>
      <c r="M210" s="185"/>
      <c r="N210" s="624"/>
      <c r="O210" s="614"/>
      <c r="P210" s="187"/>
      <c r="Q210" s="187"/>
      <c r="R210" s="184"/>
      <c r="S210" s="181"/>
      <c r="T210" s="610"/>
      <c r="U210" s="187"/>
      <c r="V210" s="187"/>
      <c r="W210" s="184"/>
      <c r="X210" s="181"/>
      <c r="Y210" s="610"/>
      <c r="Z210" s="187"/>
      <c r="AA210" s="187"/>
      <c r="AB210" s="184"/>
      <c r="AC210" s="181"/>
      <c r="AD210" s="610"/>
      <c r="AE210" s="187"/>
      <c r="AF210" s="187"/>
      <c r="AG210" s="184"/>
      <c r="AH210" s="181"/>
      <c r="AI210" s="610"/>
      <c r="AJ210" s="187"/>
      <c r="AK210" s="187"/>
      <c r="AL210" s="184"/>
      <c r="AM210" s="181"/>
      <c r="AN210" s="610"/>
      <c r="AO210" s="187"/>
      <c r="AP210" s="187"/>
      <c r="AQ210" s="184"/>
      <c r="AR210" s="181"/>
      <c r="AS210" s="610"/>
      <c r="AT210" s="187"/>
      <c r="AU210" s="187"/>
      <c r="AV210" s="184"/>
      <c r="AW210" s="181"/>
      <c r="AX210" s="610"/>
    </row>
    <row r="211" spans="2:50" ht="14.25" customHeight="1">
      <c r="B211" s="611"/>
      <c r="C211" s="179">
        <v>37</v>
      </c>
      <c r="D211" s="182"/>
      <c r="E211" s="179"/>
      <c r="F211" s="179"/>
      <c r="G211" s="184"/>
      <c r="H211" s="612"/>
      <c r="I211" s="185"/>
      <c r="J211" s="185"/>
      <c r="K211" s="186"/>
      <c r="L211" s="613"/>
      <c r="M211" s="185"/>
      <c r="N211" s="624"/>
      <c r="O211" s="614"/>
      <c r="P211" s="187"/>
      <c r="Q211" s="187"/>
      <c r="R211" s="184"/>
      <c r="S211" s="181"/>
      <c r="T211" s="610"/>
      <c r="U211" s="187"/>
      <c r="V211" s="187"/>
      <c r="W211" s="184"/>
      <c r="X211" s="181"/>
      <c r="Y211" s="610"/>
      <c r="Z211" s="187"/>
      <c r="AA211" s="187"/>
      <c r="AB211" s="184"/>
      <c r="AC211" s="181"/>
      <c r="AD211" s="610"/>
      <c r="AE211" s="187"/>
      <c r="AF211" s="187"/>
      <c r="AG211" s="184"/>
      <c r="AH211" s="181"/>
      <c r="AI211" s="610"/>
      <c r="AJ211" s="187"/>
      <c r="AK211" s="187"/>
      <c r="AL211" s="184"/>
      <c r="AM211" s="181"/>
      <c r="AN211" s="610"/>
      <c r="AO211" s="187"/>
      <c r="AP211" s="187"/>
      <c r="AQ211" s="184"/>
      <c r="AR211" s="181"/>
      <c r="AS211" s="610"/>
      <c r="AT211" s="187"/>
      <c r="AU211" s="187"/>
      <c r="AV211" s="184"/>
      <c r="AW211" s="181"/>
      <c r="AX211" s="610"/>
    </row>
  </sheetData>
  <mergeCells count="295">
    <mergeCell ref="AX91:AX127"/>
    <mergeCell ref="B91:B127"/>
    <mergeCell ref="H91:H127"/>
    <mergeCell ref="L91:L127"/>
    <mergeCell ref="T91:T127"/>
    <mergeCell ref="Y91:Y127"/>
    <mergeCell ref="AD91:AD127"/>
    <mergeCell ref="AI91:AI127"/>
    <mergeCell ref="AN91:AN127"/>
    <mergeCell ref="AS91:AS127"/>
    <mergeCell ref="AI88:AI90"/>
    <mergeCell ref="AJ88:AM88"/>
    <mergeCell ref="AN88:AN90"/>
    <mergeCell ref="AO88:AR88"/>
    <mergeCell ref="AS88:AS90"/>
    <mergeCell ref="AT88:AW88"/>
    <mergeCell ref="AX88:AX90"/>
    <mergeCell ref="E89:G89"/>
    <mergeCell ref="I89:K89"/>
    <mergeCell ref="P89:S89"/>
    <mergeCell ref="U89:X89"/>
    <mergeCell ref="Z89:AC89"/>
    <mergeCell ref="AE89:AH89"/>
    <mergeCell ref="AJ89:AM89"/>
    <mergeCell ref="AO89:AR89"/>
    <mergeCell ref="AT89:AW89"/>
    <mergeCell ref="AT86:AX86"/>
    <mergeCell ref="P87:T87"/>
    <mergeCell ref="U87:Y87"/>
    <mergeCell ref="Z87:AD87"/>
    <mergeCell ref="AE87:AI87"/>
    <mergeCell ref="AJ87:AN87"/>
    <mergeCell ref="AO87:AS87"/>
    <mergeCell ref="AT87:AX87"/>
    <mergeCell ref="B88:B90"/>
    <mergeCell ref="C88:D90"/>
    <mergeCell ref="E88:G88"/>
    <mergeCell ref="H88:H90"/>
    <mergeCell ref="I88:K88"/>
    <mergeCell ref="L88:L90"/>
    <mergeCell ref="M88:M90"/>
    <mergeCell ref="N88:N127"/>
    <mergeCell ref="O88:O127"/>
    <mergeCell ref="P88:S88"/>
    <mergeCell ref="T88:T90"/>
    <mergeCell ref="U88:X88"/>
    <mergeCell ref="Y88:Y90"/>
    <mergeCell ref="Z88:AC88"/>
    <mergeCell ref="AD88:AD90"/>
    <mergeCell ref="AE88:AH88"/>
    <mergeCell ref="B86:M87"/>
    <mergeCell ref="N86:N87"/>
    <mergeCell ref="O86:O87"/>
    <mergeCell ref="P86:T86"/>
    <mergeCell ref="U86:Y86"/>
    <mergeCell ref="Z86:AD86"/>
    <mergeCell ref="AE86:AI86"/>
    <mergeCell ref="AJ86:AN86"/>
    <mergeCell ref="AO86:AS86"/>
    <mergeCell ref="AX49:AX85"/>
    <mergeCell ref="B49:B85"/>
    <mergeCell ref="H49:H85"/>
    <mergeCell ref="L49:L85"/>
    <mergeCell ref="T49:T85"/>
    <mergeCell ref="Y49:Y85"/>
    <mergeCell ref="N46:N85"/>
    <mergeCell ref="O46:O85"/>
    <mergeCell ref="P46:S46"/>
    <mergeCell ref="B46:B48"/>
    <mergeCell ref="C46:D48"/>
    <mergeCell ref="E46:G46"/>
    <mergeCell ref="H46:H48"/>
    <mergeCell ref="I46:K46"/>
    <mergeCell ref="AS46:AS48"/>
    <mergeCell ref="AT46:AW46"/>
    <mergeCell ref="AX46:AX48"/>
    <mergeCell ref="E47:G47"/>
    <mergeCell ref="I47:K47"/>
    <mergeCell ref="P47:S47"/>
    <mergeCell ref="AJ47:AM47"/>
    <mergeCell ref="AO47:AR47"/>
    <mergeCell ref="AT47:AW47"/>
    <mergeCell ref="AE46:AH46"/>
    <mergeCell ref="AI46:AI48"/>
    <mergeCell ref="AJ46:AM46"/>
    <mergeCell ref="AN46:AN48"/>
    <mergeCell ref="AO46:AR46"/>
    <mergeCell ref="AD49:AD85"/>
    <mergeCell ref="AI49:AI85"/>
    <mergeCell ref="AN49:AN85"/>
    <mergeCell ref="AS49:AS85"/>
    <mergeCell ref="B2:M3"/>
    <mergeCell ref="N2:N3"/>
    <mergeCell ref="O2:O3"/>
    <mergeCell ref="P2:T2"/>
    <mergeCell ref="U2:Y2"/>
    <mergeCell ref="Z2:AD2"/>
    <mergeCell ref="U47:X47"/>
    <mergeCell ref="Z47:AC47"/>
    <mergeCell ref="AE47:AH47"/>
    <mergeCell ref="B4:B6"/>
    <mergeCell ref="C4:D6"/>
    <mergeCell ref="E4:G4"/>
    <mergeCell ref="H4:H6"/>
    <mergeCell ref="AE5:AH5"/>
    <mergeCell ref="I4:K4"/>
    <mergeCell ref="T46:T48"/>
    <mergeCell ref="U46:X46"/>
    <mergeCell ref="Y46:Y48"/>
    <mergeCell ref="Z46:AC46"/>
    <mergeCell ref="AD46:AD48"/>
    <mergeCell ref="L46:L48"/>
    <mergeCell ref="M46:M48"/>
    <mergeCell ref="AX4:AX6"/>
    <mergeCell ref="B44:M45"/>
    <mergeCell ref="N44:N45"/>
    <mergeCell ref="O44:O45"/>
    <mergeCell ref="P44:T44"/>
    <mergeCell ref="U44:Y44"/>
    <mergeCell ref="P45:T45"/>
    <mergeCell ref="U45:Y45"/>
    <mergeCell ref="AE4:AH4"/>
    <mergeCell ref="Z45:AD45"/>
    <mergeCell ref="AE45:AI45"/>
    <mergeCell ref="AJ45:AN45"/>
    <mergeCell ref="AO45:AS45"/>
    <mergeCell ref="AT45:AX45"/>
    <mergeCell ref="Z44:AD44"/>
    <mergeCell ref="AE44:AI44"/>
    <mergeCell ref="AJ44:AN44"/>
    <mergeCell ref="AO44:AS44"/>
    <mergeCell ref="AT44:AX44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43"/>
    <mergeCell ref="O4:O43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X7:AX43"/>
    <mergeCell ref="B7:B43"/>
    <mergeCell ref="H7:H43"/>
    <mergeCell ref="L7:L43"/>
    <mergeCell ref="T7:T43"/>
    <mergeCell ref="Y7:Y43"/>
    <mergeCell ref="AD7:AD43"/>
    <mergeCell ref="AI7:AI43"/>
    <mergeCell ref="AN7:AN43"/>
    <mergeCell ref="AS7:AS43"/>
    <mergeCell ref="B128:M129"/>
    <mergeCell ref="N128:N129"/>
    <mergeCell ref="O128:O129"/>
    <mergeCell ref="P128:T128"/>
    <mergeCell ref="U128:Y128"/>
    <mergeCell ref="Z128:AD128"/>
    <mergeCell ref="AE128:AI128"/>
    <mergeCell ref="AJ128:AN128"/>
    <mergeCell ref="AO128:AS128"/>
    <mergeCell ref="AT128:AX128"/>
    <mergeCell ref="P129:T129"/>
    <mergeCell ref="U129:Y129"/>
    <mergeCell ref="Z129:AD129"/>
    <mergeCell ref="AE129:AI129"/>
    <mergeCell ref="AJ129:AN129"/>
    <mergeCell ref="AO129:AS129"/>
    <mergeCell ref="AT129:AX129"/>
    <mergeCell ref="B130:B132"/>
    <mergeCell ref="C130:D132"/>
    <mergeCell ref="E130:G130"/>
    <mergeCell ref="H130:H132"/>
    <mergeCell ref="I130:K130"/>
    <mergeCell ref="L130:L132"/>
    <mergeCell ref="M130:M132"/>
    <mergeCell ref="N130:N169"/>
    <mergeCell ref="O130:O169"/>
    <mergeCell ref="P130:S130"/>
    <mergeCell ref="T130:T132"/>
    <mergeCell ref="U130:X130"/>
    <mergeCell ref="Y130:Y132"/>
    <mergeCell ref="Z130:AC130"/>
    <mergeCell ref="AD130:AD132"/>
    <mergeCell ref="AE130:AH130"/>
    <mergeCell ref="AI130:AI132"/>
    <mergeCell ref="AJ130:AM130"/>
    <mergeCell ref="AN130:AN132"/>
    <mergeCell ref="AO130:AR130"/>
    <mergeCell ref="AS130:AS132"/>
    <mergeCell ref="AT130:AW130"/>
    <mergeCell ref="AX130:AX132"/>
    <mergeCell ref="E131:G131"/>
    <mergeCell ref="I131:K131"/>
    <mergeCell ref="P131:S131"/>
    <mergeCell ref="U131:X131"/>
    <mergeCell ref="Z131:AC131"/>
    <mergeCell ref="AE131:AH131"/>
    <mergeCell ref="AJ131:AM131"/>
    <mergeCell ref="AO131:AR131"/>
    <mergeCell ref="AT131:AW131"/>
    <mergeCell ref="AX133:AX169"/>
    <mergeCell ref="B133:B169"/>
    <mergeCell ref="H133:H169"/>
    <mergeCell ref="L133:L169"/>
    <mergeCell ref="T133:T169"/>
    <mergeCell ref="Y133:Y169"/>
    <mergeCell ref="AD133:AD169"/>
    <mergeCell ref="AI133:AI169"/>
    <mergeCell ref="AN133:AN169"/>
    <mergeCell ref="AS133:AS169"/>
    <mergeCell ref="B170:M171"/>
    <mergeCell ref="N170:N171"/>
    <mergeCell ref="O170:O171"/>
    <mergeCell ref="P170:T170"/>
    <mergeCell ref="U170:Y170"/>
    <mergeCell ref="Z170:AD170"/>
    <mergeCell ref="AE170:AI170"/>
    <mergeCell ref="AJ170:AN170"/>
    <mergeCell ref="AO170:AS170"/>
    <mergeCell ref="AT170:AX170"/>
    <mergeCell ref="P171:T171"/>
    <mergeCell ref="U171:Y171"/>
    <mergeCell ref="Z171:AD171"/>
    <mergeCell ref="AE171:AI171"/>
    <mergeCell ref="AJ171:AN171"/>
    <mergeCell ref="AO171:AS171"/>
    <mergeCell ref="AT171:AX171"/>
    <mergeCell ref="B172:B174"/>
    <mergeCell ref="C172:D174"/>
    <mergeCell ref="E172:G172"/>
    <mergeCell ref="H172:H174"/>
    <mergeCell ref="I172:K172"/>
    <mergeCell ref="L172:L174"/>
    <mergeCell ref="M172:M174"/>
    <mergeCell ref="N172:N211"/>
    <mergeCell ref="O172:O211"/>
    <mergeCell ref="P172:S172"/>
    <mergeCell ref="T172:T174"/>
    <mergeCell ref="U172:X172"/>
    <mergeCell ref="Y172:Y174"/>
    <mergeCell ref="Z172:AC172"/>
    <mergeCell ref="AD172:AD174"/>
    <mergeCell ref="AE172:AH172"/>
    <mergeCell ref="AI172:AI174"/>
    <mergeCell ref="AJ172:AM172"/>
    <mergeCell ref="AN172:AN174"/>
    <mergeCell ref="AO172:AR172"/>
    <mergeCell ref="AS172:AS174"/>
    <mergeCell ref="AT172:AW172"/>
    <mergeCell ref="AX172:AX174"/>
    <mergeCell ref="E173:G173"/>
    <mergeCell ref="I173:K173"/>
    <mergeCell ref="P173:S173"/>
    <mergeCell ref="U173:X173"/>
    <mergeCell ref="Z173:AC173"/>
    <mergeCell ref="AE173:AH173"/>
    <mergeCell ref="AJ173:AM173"/>
    <mergeCell ref="AO173:AR173"/>
    <mergeCell ref="AT173:AW173"/>
    <mergeCell ref="AX175:AX211"/>
    <mergeCell ref="B175:B211"/>
    <mergeCell ref="H175:H211"/>
    <mergeCell ref="L175:L211"/>
    <mergeCell ref="T175:T211"/>
    <mergeCell ref="Y175:Y211"/>
    <mergeCell ref="AD175:AD211"/>
    <mergeCell ref="AI175:AI211"/>
    <mergeCell ref="AN175:AN211"/>
    <mergeCell ref="AS175:AS21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>
    <tabColor rgb="FFFFFFCC"/>
  </sheetPr>
  <dimension ref="A1:AX101"/>
  <sheetViews>
    <sheetView zoomScaleNormal="100" workbookViewId="0">
      <pane xSplit="13" ySplit="1" topLeftCell="N74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AW87" sqref="AW87:AW90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456" t="s">
        <v>720</v>
      </c>
      <c r="C1" s="174">
        <f>AVERAGE(L7,L27,L47,L67,L87)</f>
        <v>296.14735806418179</v>
      </c>
    </row>
    <row r="2" spans="1:50" ht="14.25" customHeight="1">
      <c r="B2" s="640" t="s">
        <v>709</v>
      </c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2"/>
      <c r="N2" s="645" t="s">
        <v>363</v>
      </c>
      <c r="O2" s="630" t="s">
        <v>105</v>
      </c>
      <c r="P2" s="632">
        <v>46203</v>
      </c>
      <c r="Q2" s="633"/>
      <c r="R2" s="633"/>
      <c r="S2" s="633"/>
      <c r="T2" s="633"/>
      <c r="U2" s="634">
        <v>46204</v>
      </c>
      <c r="V2" s="635"/>
      <c r="W2" s="635"/>
      <c r="X2" s="635"/>
      <c r="Y2" s="635"/>
      <c r="Z2" s="632">
        <v>46205</v>
      </c>
      <c r="AA2" s="633"/>
      <c r="AB2" s="633"/>
      <c r="AC2" s="633"/>
      <c r="AD2" s="633"/>
      <c r="AE2" s="634">
        <v>46206</v>
      </c>
      <c r="AF2" s="635"/>
      <c r="AG2" s="635"/>
      <c r="AH2" s="635"/>
      <c r="AI2" s="635"/>
      <c r="AJ2" s="616">
        <v>46207</v>
      </c>
      <c r="AK2" s="617"/>
      <c r="AL2" s="617"/>
      <c r="AM2" s="617"/>
      <c r="AN2" s="618"/>
      <c r="AO2" s="634">
        <v>46208</v>
      </c>
      <c r="AP2" s="635"/>
      <c r="AQ2" s="635"/>
      <c r="AR2" s="635"/>
      <c r="AS2" s="635"/>
      <c r="AT2" s="616">
        <v>46209</v>
      </c>
      <c r="AU2" s="617"/>
      <c r="AV2" s="617"/>
      <c r="AW2" s="617"/>
      <c r="AX2" s="618"/>
    </row>
    <row r="3" spans="1:50" ht="14.25" customHeight="1">
      <c r="B3" s="643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4"/>
      <c r="N3" s="646"/>
      <c r="O3" s="631"/>
      <c r="P3" s="619">
        <v>46196</v>
      </c>
      <c r="Q3" s="619"/>
      <c r="R3" s="619"/>
      <c r="S3" s="619"/>
      <c r="T3" s="619"/>
      <c r="U3" s="620">
        <v>46197</v>
      </c>
      <c r="V3" s="620"/>
      <c r="W3" s="620"/>
      <c r="X3" s="620"/>
      <c r="Y3" s="620"/>
      <c r="Z3" s="619">
        <v>46198</v>
      </c>
      <c r="AA3" s="619"/>
      <c r="AB3" s="619"/>
      <c r="AC3" s="619"/>
      <c r="AD3" s="619"/>
      <c r="AE3" s="620">
        <v>46199</v>
      </c>
      <c r="AF3" s="620"/>
      <c r="AG3" s="620"/>
      <c r="AH3" s="620"/>
      <c r="AI3" s="620"/>
      <c r="AJ3" s="621">
        <v>46200</v>
      </c>
      <c r="AK3" s="622"/>
      <c r="AL3" s="622"/>
      <c r="AM3" s="622"/>
      <c r="AN3" s="623"/>
      <c r="AO3" s="620">
        <v>46201</v>
      </c>
      <c r="AP3" s="620"/>
      <c r="AQ3" s="620"/>
      <c r="AR3" s="620"/>
      <c r="AS3" s="620"/>
      <c r="AT3" s="621">
        <v>46202</v>
      </c>
      <c r="AU3" s="622"/>
      <c r="AV3" s="622"/>
      <c r="AW3" s="622"/>
      <c r="AX3" s="623"/>
    </row>
    <row r="4" spans="1:50" ht="14.25" customHeight="1">
      <c r="B4" s="611" t="s">
        <v>162</v>
      </c>
      <c r="C4" s="611" t="s">
        <v>157</v>
      </c>
      <c r="D4" s="611"/>
      <c r="E4" s="611" t="s">
        <v>158</v>
      </c>
      <c r="F4" s="611"/>
      <c r="G4" s="611"/>
      <c r="H4" s="611" t="s">
        <v>163</v>
      </c>
      <c r="I4" s="615" t="s">
        <v>364</v>
      </c>
      <c r="J4" s="615"/>
      <c r="K4" s="615"/>
      <c r="L4" s="615" t="s">
        <v>163</v>
      </c>
      <c r="M4" s="615" t="s">
        <v>165</v>
      </c>
      <c r="N4" s="611"/>
      <c r="O4" s="611" t="s">
        <v>164</v>
      </c>
      <c r="P4" s="611" t="s">
        <v>160</v>
      </c>
      <c r="Q4" s="611"/>
      <c r="R4" s="611"/>
      <c r="S4" s="611"/>
      <c r="T4" s="611" t="s">
        <v>163</v>
      </c>
      <c r="U4" s="611" t="s">
        <v>160</v>
      </c>
      <c r="V4" s="611"/>
      <c r="W4" s="611"/>
      <c r="X4" s="611"/>
      <c r="Y4" s="611" t="s">
        <v>163</v>
      </c>
      <c r="Z4" s="611" t="s">
        <v>160</v>
      </c>
      <c r="AA4" s="611"/>
      <c r="AB4" s="611"/>
      <c r="AC4" s="611"/>
      <c r="AD4" s="611" t="s">
        <v>163</v>
      </c>
      <c r="AE4" s="611" t="s">
        <v>160</v>
      </c>
      <c r="AF4" s="611"/>
      <c r="AG4" s="611"/>
      <c r="AH4" s="611"/>
      <c r="AI4" s="611" t="s">
        <v>163</v>
      </c>
      <c r="AJ4" s="611" t="s">
        <v>160</v>
      </c>
      <c r="AK4" s="611"/>
      <c r="AL4" s="611"/>
      <c r="AM4" s="611"/>
      <c r="AN4" s="611" t="s">
        <v>163</v>
      </c>
      <c r="AO4" s="611" t="s">
        <v>160</v>
      </c>
      <c r="AP4" s="611"/>
      <c r="AQ4" s="611"/>
      <c r="AR4" s="611"/>
      <c r="AS4" s="611" t="s">
        <v>163</v>
      </c>
      <c r="AT4" s="611" t="s">
        <v>160</v>
      </c>
      <c r="AU4" s="611"/>
      <c r="AV4" s="611"/>
      <c r="AW4" s="611"/>
      <c r="AX4" s="611" t="s">
        <v>163</v>
      </c>
    </row>
    <row r="5" spans="1:50" ht="14.25" customHeight="1">
      <c r="B5" s="611"/>
      <c r="C5" s="611"/>
      <c r="D5" s="611"/>
      <c r="E5" s="611" t="s">
        <v>365</v>
      </c>
      <c r="F5" s="611"/>
      <c r="G5" s="611"/>
      <c r="H5" s="611"/>
      <c r="I5" s="615" t="s">
        <v>365</v>
      </c>
      <c r="J5" s="615"/>
      <c r="K5" s="615"/>
      <c r="L5" s="615"/>
      <c r="M5" s="615"/>
      <c r="N5" s="611"/>
      <c r="O5" s="611"/>
      <c r="P5" s="611" t="s">
        <v>366</v>
      </c>
      <c r="Q5" s="611"/>
      <c r="R5" s="611"/>
      <c r="S5" s="611"/>
      <c r="T5" s="611"/>
      <c r="U5" s="611" t="s">
        <v>366</v>
      </c>
      <c r="V5" s="611"/>
      <c r="W5" s="611"/>
      <c r="X5" s="611"/>
      <c r="Y5" s="611"/>
      <c r="Z5" s="611" t="s">
        <v>366</v>
      </c>
      <c r="AA5" s="611"/>
      <c r="AB5" s="611"/>
      <c r="AC5" s="611"/>
      <c r="AD5" s="611"/>
      <c r="AE5" s="611" t="s">
        <v>366</v>
      </c>
      <c r="AF5" s="611"/>
      <c r="AG5" s="611"/>
      <c r="AH5" s="611"/>
      <c r="AI5" s="611"/>
      <c r="AJ5" s="611" t="s">
        <v>366</v>
      </c>
      <c r="AK5" s="611"/>
      <c r="AL5" s="611"/>
      <c r="AM5" s="611"/>
      <c r="AN5" s="611"/>
      <c r="AO5" s="611" t="s">
        <v>366</v>
      </c>
      <c r="AP5" s="611"/>
      <c r="AQ5" s="611"/>
      <c r="AR5" s="611"/>
      <c r="AS5" s="611"/>
      <c r="AT5" s="611" t="s">
        <v>366</v>
      </c>
      <c r="AU5" s="611"/>
      <c r="AV5" s="611"/>
      <c r="AW5" s="611"/>
      <c r="AX5" s="611"/>
    </row>
    <row r="6" spans="1:50" ht="14.25" customHeight="1">
      <c r="B6" s="611"/>
      <c r="C6" s="611"/>
      <c r="D6" s="611"/>
      <c r="E6" s="179" t="s">
        <v>159</v>
      </c>
      <c r="F6" s="179" t="s">
        <v>367</v>
      </c>
      <c r="G6" s="179" t="s">
        <v>161</v>
      </c>
      <c r="H6" s="611"/>
      <c r="I6" s="180" t="s">
        <v>159</v>
      </c>
      <c r="J6" s="180" t="s">
        <v>367</v>
      </c>
      <c r="K6" s="180" t="s">
        <v>161</v>
      </c>
      <c r="L6" s="615"/>
      <c r="M6" s="615"/>
      <c r="N6" s="611"/>
      <c r="O6" s="611"/>
      <c r="P6" s="179" t="s">
        <v>159</v>
      </c>
      <c r="Q6" s="179" t="s">
        <v>367</v>
      </c>
      <c r="R6" s="179" t="s">
        <v>161</v>
      </c>
      <c r="S6" s="181" t="s">
        <v>165</v>
      </c>
      <c r="T6" s="611"/>
      <c r="U6" s="179" t="s">
        <v>159</v>
      </c>
      <c r="V6" s="179" t="s">
        <v>367</v>
      </c>
      <c r="W6" s="179" t="s">
        <v>161</v>
      </c>
      <c r="X6" s="181" t="s">
        <v>165</v>
      </c>
      <c r="Y6" s="611"/>
      <c r="Z6" s="179" t="s">
        <v>159</v>
      </c>
      <c r="AA6" s="179" t="s">
        <v>367</v>
      </c>
      <c r="AB6" s="179" t="s">
        <v>161</v>
      </c>
      <c r="AC6" s="181" t="s">
        <v>165</v>
      </c>
      <c r="AD6" s="611"/>
      <c r="AE6" s="179" t="s">
        <v>159</v>
      </c>
      <c r="AF6" s="179" t="s">
        <v>367</v>
      </c>
      <c r="AG6" s="179" t="s">
        <v>161</v>
      </c>
      <c r="AH6" s="181" t="s">
        <v>165</v>
      </c>
      <c r="AI6" s="611"/>
      <c r="AJ6" s="179" t="s">
        <v>159</v>
      </c>
      <c r="AK6" s="179" t="s">
        <v>367</v>
      </c>
      <c r="AL6" s="179" t="s">
        <v>161</v>
      </c>
      <c r="AM6" s="181" t="s">
        <v>165</v>
      </c>
      <c r="AN6" s="611"/>
      <c r="AO6" s="179" t="s">
        <v>159</v>
      </c>
      <c r="AP6" s="179" t="s">
        <v>367</v>
      </c>
      <c r="AQ6" s="179" t="s">
        <v>161</v>
      </c>
      <c r="AR6" s="181" t="s">
        <v>165</v>
      </c>
      <c r="AS6" s="611"/>
      <c r="AT6" s="179" t="s">
        <v>159</v>
      </c>
      <c r="AU6" s="179" t="s">
        <v>367</v>
      </c>
      <c r="AV6" s="179" t="s">
        <v>161</v>
      </c>
      <c r="AW6" s="181" t="s">
        <v>165</v>
      </c>
      <c r="AX6" s="611"/>
    </row>
    <row r="7" spans="1:50" ht="14.25" customHeight="1">
      <c r="B7" s="611" t="s">
        <v>369</v>
      </c>
      <c r="C7" s="179">
        <v>1</v>
      </c>
      <c r="D7" s="182" t="s">
        <v>346</v>
      </c>
      <c r="E7" s="183">
        <v>10</v>
      </c>
      <c r="F7" s="179">
        <v>3600</v>
      </c>
      <c r="G7" s="184">
        <f>IFERROR(F7/E7,"")</f>
        <v>360</v>
      </c>
      <c r="H7" s="612">
        <f>AVERAGE(G7:G21)</f>
        <v>338.18181818181819</v>
      </c>
      <c r="I7" s="185">
        <f>AVERAGE(P7,U7,Z7,AE7,AJ7,AO7,AT7)</f>
        <v>10</v>
      </c>
      <c r="J7" s="185">
        <f>AVERAGE(Q7,V7,AA7,AF7,AK7,AP7,AU7)</f>
        <v>3214.6266940103314</v>
      </c>
      <c r="K7" s="186">
        <f>AVERAGE(R7,W7,AB7,AG7,AL7,AQ7,AV7)</f>
        <v>321.46266940103317</v>
      </c>
      <c r="L7" s="613">
        <f>IFERROR(AVERAGE(K7:K21),"-")</f>
        <v>298.7349159971597</v>
      </c>
      <c r="M7" s="185">
        <f>RANK(K7, K$7:$K$21)</f>
        <v>1</v>
      </c>
      <c r="N7" s="611"/>
      <c r="O7" s="611"/>
      <c r="P7" s="187">
        <v>10</v>
      </c>
      <c r="Q7" s="187">
        <v>3214.0095511531895</v>
      </c>
      <c r="R7" s="184">
        <f>IFERROR(Q7/P7,"")</f>
        <v>321.40095511531894</v>
      </c>
      <c r="S7" s="181">
        <f>RANK(R7, R$7:R$21)</f>
        <v>1</v>
      </c>
      <c r="T7" s="612">
        <f>AVERAGE(R7:R21)</f>
        <v>298.65610207937124</v>
      </c>
      <c r="U7" s="187">
        <v>10</v>
      </c>
      <c r="V7" s="187">
        <v>3214.7295511531888</v>
      </c>
      <c r="W7" s="184">
        <f t="shared" ref="W7:W9" si="0">IFERROR(V7/U7,"")</f>
        <v>321.47295511531888</v>
      </c>
      <c r="X7" s="181">
        <f>RANK(W7, W$7:W$21)</f>
        <v>1</v>
      </c>
      <c r="Y7" s="612">
        <f>AVERAGE(W7:W21)</f>
        <v>298.72373844300751</v>
      </c>
      <c r="Z7" s="187">
        <v>10</v>
      </c>
      <c r="AA7" s="187">
        <v>3214.0095511531886</v>
      </c>
      <c r="AB7" s="184">
        <f>IFERROR(AA7/Z7,"")</f>
        <v>321.40095511531888</v>
      </c>
      <c r="AC7" s="181">
        <f>RANK(AB7, AB$7:AB$21)</f>
        <v>1</v>
      </c>
      <c r="AD7" s="612">
        <f>AVERAGE(AB7:AB21)</f>
        <v>298.69973844300756</v>
      </c>
      <c r="AE7" s="187">
        <v>10</v>
      </c>
      <c r="AF7" s="187">
        <v>3215.089551153188</v>
      </c>
      <c r="AG7" s="184">
        <f>IFERROR(AF7/AE7,"")</f>
        <v>321.50895511531883</v>
      </c>
      <c r="AH7" s="181">
        <f>RANK(AG7, AG$7:AG$21)</f>
        <v>1</v>
      </c>
      <c r="AI7" s="612">
        <f>AVERAGE(AG7:AG21)</f>
        <v>298.77937480664383</v>
      </c>
      <c r="AJ7" s="187">
        <v>10</v>
      </c>
      <c r="AK7" s="187">
        <v>3215.089551153188</v>
      </c>
      <c r="AL7" s="184">
        <f>IFERROR(AK7/AJ7,"")</f>
        <v>321.50895511531883</v>
      </c>
      <c r="AM7" s="181">
        <f>RANK(AL7, AL$7:AL$21)</f>
        <v>1</v>
      </c>
      <c r="AN7" s="612">
        <f>AVERAGE(AL7:AL21)</f>
        <v>298.73573844300751</v>
      </c>
      <c r="AO7" s="187">
        <v>10</v>
      </c>
      <c r="AP7" s="187">
        <v>3215.4495511531882</v>
      </c>
      <c r="AQ7" s="184">
        <f>IFERROR(AP7/AO7,"")</f>
        <v>321.54495511531883</v>
      </c>
      <c r="AR7" s="181">
        <f>RANK(AQ7, AQ$7:AQ$21)</f>
        <v>1</v>
      </c>
      <c r="AS7" s="612">
        <f>AVERAGE(AQ7:AQ21)</f>
        <v>298.74773844300756</v>
      </c>
      <c r="AT7" s="187">
        <v>10</v>
      </c>
      <c r="AU7" s="187">
        <v>3214.009551153189</v>
      </c>
      <c r="AV7" s="184">
        <f>IFERROR(AU7/AT7,"")</f>
        <v>321.40095511531888</v>
      </c>
      <c r="AW7" s="181">
        <f>RANK(AV7, AV$7:AV$21)</f>
        <v>1</v>
      </c>
      <c r="AX7" s="612">
        <f>AVERAGE(AV7:AV21)</f>
        <v>298.80198132207244</v>
      </c>
    </row>
    <row r="8" spans="1:50" ht="14.25" customHeight="1">
      <c r="B8" s="611"/>
      <c r="C8" s="179">
        <v>2</v>
      </c>
      <c r="D8" s="182" t="s">
        <v>521</v>
      </c>
      <c r="E8" s="179">
        <v>11</v>
      </c>
      <c r="F8" s="179">
        <v>3600</v>
      </c>
      <c r="G8" s="184">
        <f t="shared" ref="G8:G9" si="1">IFERROR(F8/E8,"")</f>
        <v>327.27272727272725</v>
      </c>
      <c r="H8" s="612"/>
      <c r="I8" s="185">
        <f>AVERAGE(P8,U8,Z8,AE8,AJ8,AO8,AT8)</f>
        <v>11</v>
      </c>
      <c r="J8" s="185">
        <f t="shared" ref="J8:K9" si="2">AVERAGE(Q8,V8,AA8,AF8,AK8,AP8,AU8)</f>
        <v>3160.251814885316</v>
      </c>
      <c r="K8" s="186">
        <f t="shared" si="2"/>
        <v>287.29561953502878</v>
      </c>
      <c r="L8" s="613"/>
      <c r="M8" s="185">
        <f>RANK(K8, K$7:$K$21)</f>
        <v>3</v>
      </c>
      <c r="N8" s="611"/>
      <c r="O8" s="611"/>
      <c r="P8" s="187">
        <v>11</v>
      </c>
      <c r="Q8" s="187">
        <v>3159.2040984554387</v>
      </c>
      <c r="R8" s="184">
        <f t="shared" ref="R8:R9" si="3">IFERROR(Q8/P8,"")</f>
        <v>287.20037258685807</v>
      </c>
      <c r="S8" s="181">
        <f t="shared" ref="S8:S9" si="4">RANK(R8, R$7:R$21)</f>
        <v>3</v>
      </c>
      <c r="T8" s="612"/>
      <c r="U8" s="187">
        <v>11</v>
      </c>
      <c r="V8" s="187">
        <v>3160.6440984554388</v>
      </c>
      <c r="W8" s="184">
        <f t="shared" si="0"/>
        <v>287.33128167776715</v>
      </c>
      <c r="X8" s="181">
        <f t="shared" ref="X8:X9" si="5">RANK(W8, W$7:W$21)</f>
        <v>3</v>
      </c>
      <c r="Y8" s="612"/>
      <c r="Z8" s="187">
        <v>11</v>
      </c>
      <c r="AA8" s="187">
        <v>3160.6440984554383</v>
      </c>
      <c r="AB8" s="184">
        <f t="shared" ref="AB8:AB9" si="6">IFERROR(AA8/Z8,"")</f>
        <v>287.33128167776709</v>
      </c>
      <c r="AC8" s="181">
        <f t="shared" ref="AC8:AC9" si="7">RANK(AB8, AB$7:AB$21)</f>
        <v>3</v>
      </c>
      <c r="AD8" s="612"/>
      <c r="AE8" s="187">
        <v>11</v>
      </c>
      <c r="AF8" s="187">
        <v>3161.0040984554385</v>
      </c>
      <c r="AG8" s="184">
        <f t="shared" ref="AG8:AG9" si="8">IFERROR(AF8/AE8,"")</f>
        <v>287.36400895049439</v>
      </c>
      <c r="AH8" s="181">
        <f t="shared" ref="AH8:AH9" si="9">RANK(AG8, AG$7:AG$21)</f>
        <v>3</v>
      </c>
      <c r="AI8" s="612"/>
      <c r="AJ8" s="187">
        <v>11</v>
      </c>
      <c r="AK8" s="187">
        <v>3159.5640984554384</v>
      </c>
      <c r="AL8" s="184">
        <f t="shared" ref="AL8:AL9" si="10">IFERROR(AK8/AJ8,"")</f>
        <v>287.23309985958531</v>
      </c>
      <c r="AM8" s="181">
        <f t="shared" ref="AM8:AM9" si="11">RANK(AL8, AL$7:AL$21)</f>
        <v>3</v>
      </c>
      <c r="AN8" s="612"/>
      <c r="AO8" s="187">
        <v>11</v>
      </c>
      <c r="AP8" s="187">
        <v>3159.5640984554389</v>
      </c>
      <c r="AQ8" s="184">
        <f t="shared" ref="AQ8:AQ9" si="12">IFERROR(AP8/AO8,"")</f>
        <v>287.23309985958537</v>
      </c>
      <c r="AR8" s="181">
        <f t="shared" ref="AR8:AR9" si="13">RANK(AQ8, AQ$7:AQ$21)</f>
        <v>3</v>
      </c>
      <c r="AS8" s="612"/>
      <c r="AT8" s="187">
        <v>11</v>
      </c>
      <c r="AU8" s="187">
        <v>3161.1381134645817</v>
      </c>
      <c r="AV8" s="184">
        <f t="shared" ref="AV8:AV9" si="14">IFERROR(AU8/AT8,"")</f>
        <v>287.37619213314377</v>
      </c>
      <c r="AW8" s="181">
        <f t="shared" ref="AW8:AW9" si="15">RANK(AV8, AV$7:AV$21)</f>
        <v>3</v>
      </c>
      <c r="AX8" s="612"/>
    </row>
    <row r="9" spans="1:50" ht="14.25" customHeight="1">
      <c r="B9" s="611"/>
      <c r="C9" s="179">
        <v>3</v>
      </c>
      <c r="D9" s="182" t="s">
        <v>522</v>
      </c>
      <c r="E9" s="179">
        <v>11</v>
      </c>
      <c r="F9" s="179">
        <v>3600</v>
      </c>
      <c r="G9" s="184">
        <f t="shared" si="1"/>
        <v>327.27272727272725</v>
      </c>
      <c r="H9" s="612"/>
      <c r="I9" s="185">
        <f>AVERAGE(P9,U9,Z9,AE9,AJ9,AO9,AT9)</f>
        <v>11</v>
      </c>
      <c r="J9" s="185">
        <f t="shared" si="2"/>
        <v>3161.9110496095886</v>
      </c>
      <c r="K9" s="186">
        <f t="shared" si="2"/>
        <v>287.44645905541705</v>
      </c>
      <c r="L9" s="613"/>
      <c r="M9" s="185">
        <f>RANK(K9, K$7:$K$21)</f>
        <v>2</v>
      </c>
      <c r="N9" s="611"/>
      <c r="O9" s="611"/>
      <c r="P9" s="187">
        <v>11</v>
      </c>
      <c r="Q9" s="187">
        <v>3161.0367638953021</v>
      </c>
      <c r="R9" s="184">
        <f t="shared" si="3"/>
        <v>287.36697853593654</v>
      </c>
      <c r="S9" s="181">
        <f t="shared" si="4"/>
        <v>2</v>
      </c>
      <c r="T9" s="612"/>
      <c r="U9" s="187">
        <v>11</v>
      </c>
      <c r="V9" s="187">
        <v>3161.0367638953021</v>
      </c>
      <c r="W9" s="184">
        <f t="shared" si="0"/>
        <v>287.36697853593654</v>
      </c>
      <c r="X9" s="181">
        <f t="shared" si="5"/>
        <v>2</v>
      </c>
      <c r="Y9" s="612"/>
      <c r="Z9" s="187">
        <v>11</v>
      </c>
      <c r="AA9" s="187">
        <v>3161.0367638953026</v>
      </c>
      <c r="AB9" s="184">
        <f t="shared" si="6"/>
        <v>287.3669785359366</v>
      </c>
      <c r="AC9" s="181">
        <f t="shared" si="7"/>
        <v>2</v>
      </c>
      <c r="AD9" s="612"/>
      <c r="AE9" s="187">
        <v>11</v>
      </c>
      <c r="AF9" s="187">
        <v>3162.1167638953025</v>
      </c>
      <c r="AG9" s="184">
        <f t="shared" si="8"/>
        <v>287.46516035411838</v>
      </c>
      <c r="AH9" s="181">
        <f t="shared" si="9"/>
        <v>2</v>
      </c>
      <c r="AI9" s="612"/>
      <c r="AJ9" s="187">
        <v>11</v>
      </c>
      <c r="AK9" s="187">
        <v>3162.1167638953029</v>
      </c>
      <c r="AL9" s="184">
        <f t="shared" si="10"/>
        <v>287.46516035411844</v>
      </c>
      <c r="AM9" s="181">
        <f t="shared" si="11"/>
        <v>2</v>
      </c>
      <c r="AN9" s="612"/>
      <c r="AO9" s="187">
        <v>11</v>
      </c>
      <c r="AP9" s="187">
        <v>3162.1167638953029</v>
      </c>
      <c r="AQ9" s="184">
        <f t="shared" si="12"/>
        <v>287.46516035411844</v>
      </c>
      <c r="AR9" s="181">
        <f t="shared" si="13"/>
        <v>2</v>
      </c>
      <c r="AS9" s="612"/>
      <c r="AT9" s="187">
        <v>11</v>
      </c>
      <c r="AU9" s="187">
        <v>3163.9167638953031</v>
      </c>
      <c r="AV9" s="184">
        <f t="shared" si="14"/>
        <v>287.62879671775482</v>
      </c>
      <c r="AW9" s="181">
        <f t="shared" si="15"/>
        <v>2</v>
      </c>
      <c r="AX9" s="612"/>
    </row>
    <row r="10" spans="1:50" ht="14.25" customHeight="1">
      <c r="B10" s="611"/>
      <c r="C10" s="179">
        <v>4</v>
      </c>
      <c r="D10" s="182"/>
      <c r="E10" s="179"/>
      <c r="F10" s="179"/>
      <c r="G10" s="184"/>
      <c r="H10" s="612"/>
      <c r="I10" s="185"/>
      <c r="J10" s="185"/>
      <c r="K10" s="186"/>
      <c r="L10" s="613"/>
      <c r="M10" s="185"/>
      <c r="N10" s="611"/>
      <c r="O10" s="611"/>
      <c r="P10" s="187"/>
      <c r="Q10" s="187"/>
      <c r="R10" s="184"/>
      <c r="S10" s="181"/>
      <c r="T10" s="612"/>
      <c r="U10" s="187"/>
      <c r="V10" s="187"/>
      <c r="W10" s="184"/>
      <c r="X10" s="181"/>
      <c r="Y10" s="612"/>
      <c r="Z10" s="187"/>
      <c r="AA10" s="187"/>
      <c r="AB10" s="184"/>
      <c r="AC10" s="181"/>
      <c r="AD10" s="612"/>
      <c r="AE10" s="187"/>
      <c r="AF10" s="187"/>
      <c r="AG10" s="184"/>
      <c r="AH10" s="181"/>
      <c r="AI10" s="612"/>
      <c r="AJ10" s="187"/>
      <c r="AK10" s="187"/>
      <c r="AL10" s="184"/>
      <c r="AM10" s="181"/>
      <c r="AN10" s="612"/>
      <c r="AO10" s="187"/>
      <c r="AP10" s="187"/>
      <c r="AQ10" s="184"/>
      <c r="AR10" s="181"/>
      <c r="AS10" s="612"/>
      <c r="AT10" s="187"/>
      <c r="AU10" s="187"/>
      <c r="AV10" s="184"/>
      <c r="AW10" s="181"/>
      <c r="AX10" s="612"/>
    </row>
    <row r="11" spans="1:50" ht="14.25" customHeight="1">
      <c r="B11" s="611"/>
      <c r="C11" s="179">
        <v>5</v>
      </c>
      <c r="D11" s="182"/>
      <c r="E11" s="179"/>
      <c r="F11" s="179"/>
      <c r="G11" s="184"/>
      <c r="H11" s="612"/>
      <c r="I11" s="185"/>
      <c r="J11" s="185"/>
      <c r="K11" s="186"/>
      <c r="L11" s="613"/>
      <c r="M11" s="185"/>
      <c r="N11" s="611"/>
      <c r="O11" s="611"/>
      <c r="P11" s="187"/>
      <c r="Q11" s="187"/>
      <c r="R11" s="184"/>
      <c r="S11" s="181"/>
      <c r="T11" s="612"/>
      <c r="U11" s="187"/>
      <c r="V11" s="187"/>
      <c r="W11" s="184"/>
      <c r="X11" s="181"/>
      <c r="Y11" s="612"/>
      <c r="Z11" s="187"/>
      <c r="AA11" s="187"/>
      <c r="AB11" s="184"/>
      <c r="AC11" s="181"/>
      <c r="AD11" s="612"/>
      <c r="AE11" s="187"/>
      <c r="AF11" s="187"/>
      <c r="AG11" s="184"/>
      <c r="AH11" s="181"/>
      <c r="AI11" s="612"/>
      <c r="AJ11" s="187"/>
      <c r="AK11" s="187"/>
      <c r="AL11" s="184"/>
      <c r="AM11" s="181"/>
      <c r="AN11" s="612"/>
      <c r="AO11" s="187"/>
      <c r="AP11" s="187"/>
      <c r="AQ11" s="184"/>
      <c r="AR11" s="181"/>
      <c r="AS11" s="612"/>
      <c r="AT11" s="187"/>
      <c r="AU11" s="187"/>
      <c r="AV11" s="184"/>
      <c r="AW11" s="181"/>
      <c r="AX11" s="612"/>
    </row>
    <row r="12" spans="1:50" ht="14.25" customHeight="1">
      <c r="B12" s="611"/>
      <c r="C12" s="179">
        <v>6</v>
      </c>
      <c r="D12" s="182"/>
      <c r="E12" s="179"/>
      <c r="F12" s="179"/>
      <c r="G12" s="184"/>
      <c r="H12" s="612"/>
      <c r="I12" s="185"/>
      <c r="J12" s="185"/>
      <c r="K12" s="186"/>
      <c r="L12" s="613"/>
      <c r="M12" s="185"/>
      <c r="N12" s="611"/>
      <c r="O12" s="611"/>
      <c r="P12" s="187"/>
      <c r="Q12" s="187"/>
      <c r="R12" s="184"/>
      <c r="S12" s="181"/>
      <c r="T12" s="612"/>
      <c r="U12" s="187"/>
      <c r="V12" s="187"/>
      <c r="W12" s="184"/>
      <c r="X12" s="181"/>
      <c r="Y12" s="612"/>
      <c r="Z12" s="187"/>
      <c r="AA12" s="187"/>
      <c r="AB12" s="184"/>
      <c r="AC12" s="181"/>
      <c r="AD12" s="612"/>
      <c r="AE12" s="187"/>
      <c r="AF12" s="187"/>
      <c r="AG12" s="184"/>
      <c r="AH12" s="181"/>
      <c r="AI12" s="612"/>
      <c r="AJ12" s="187"/>
      <c r="AK12" s="187"/>
      <c r="AL12" s="184"/>
      <c r="AM12" s="181"/>
      <c r="AN12" s="612"/>
      <c r="AO12" s="187"/>
      <c r="AP12" s="187"/>
      <c r="AQ12" s="184"/>
      <c r="AR12" s="181"/>
      <c r="AS12" s="612"/>
      <c r="AT12" s="187"/>
      <c r="AU12" s="187"/>
      <c r="AV12" s="184"/>
      <c r="AW12" s="181"/>
      <c r="AX12" s="612"/>
    </row>
    <row r="13" spans="1:50" ht="14.25" customHeight="1">
      <c r="B13" s="611"/>
      <c r="C13" s="179">
        <v>7</v>
      </c>
      <c r="D13" s="182"/>
      <c r="E13" s="179"/>
      <c r="F13" s="179"/>
      <c r="G13" s="184"/>
      <c r="H13" s="612"/>
      <c r="I13" s="185"/>
      <c r="J13" s="185"/>
      <c r="K13" s="186"/>
      <c r="L13" s="613"/>
      <c r="M13" s="185"/>
      <c r="N13" s="611"/>
      <c r="O13" s="611"/>
      <c r="P13" s="187"/>
      <c r="Q13" s="187"/>
      <c r="R13" s="184"/>
      <c r="S13" s="181"/>
      <c r="T13" s="612"/>
      <c r="U13" s="187"/>
      <c r="V13" s="187"/>
      <c r="W13" s="184"/>
      <c r="X13" s="181"/>
      <c r="Y13" s="612"/>
      <c r="Z13" s="187"/>
      <c r="AA13" s="187"/>
      <c r="AB13" s="184"/>
      <c r="AC13" s="181"/>
      <c r="AD13" s="612"/>
      <c r="AE13" s="187"/>
      <c r="AF13" s="187"/>
      <c r="AG13" s="184"/>
      <c r="AH13" s="181"/>
      <c r="AI13" s="612"/>
      <c r="AJ13" s="187"/>
      <c r="AK13" s="187"/>
      <c r="AL13" s="184"/>
      <c r="AM13" s="181"/>
      <c r="AN13" s="612"/>
      <c r="AO13" s="187"/>
      <c r="AP13" s="187"/>
      <c r="AQ13" s="184"/>
      <c r="AR13" s="181"/>
      <c r="AS13" s="612"/>
      <c r="AT13" s="187"/>
      <c r="AU13" s="187"/>
      <c r="AV13" s="184"/>
      <c r="AW13" s="181"/>
      <c r="AX13" s="612"/>
    </row>
    <row r="14" spans="1:50" ht="14.25" customHeight="1">
      <c r="B14" s="611"/>
      <c r="C14" s="179">
        <v>8</v>
      </c>
      <c r="D14" s="182"/>
      <c r="E14" s="179"/>
      <c r="F14" s="179"/>
      <c r="G14" s="184"/>
      <c r="H14" s="612"/>
      <c r="I14" s="185"/>
      <c r="J14" s="185"/>
      <c r="K14" s="186"/>
      <c r="L14" s="613"/>
      <c r="M14" s="185"/>
      <c r="N14" s="611"/>
      <c r="O14" s="611"/>
      <c r="P14" s="187"/>
      <c r="Q14" s="187"/>
      <c r="R14" s="184"/>
      <c r="S14" s="181"/>
      <c r="T14" s="612"/>
      <c r="U14" s="187"/>
      <c r="V14" s="187"/>
      <c r="W14" s="184"/>
      <c r="X14" s="181"/>
      <c r="Y14" s="612"/>
      <c r="Z14" s="187"/>
      <c r="AA14" s="187"/>
      <c r="AB14" s="184"/>
      <c r="AC14" s="181"/>
      <c r="AD14" s="612"/>
      <c r="AE14" s="187"/>
      <c r="AF14" s="187"/>
      <c r="AG14" s="184"/>
      <c r="AH14" s="181"/>
      <c r="AI14" s="612"/>
      <c r="AJ14" s="187"/>
      <c r="AK14" s="187"/>
      <c r="AL14" s="184"/>
      <c r="AM14" s="181"/>
      <c r="AN14" s="612"/>
      <c r="AO14" s="187"/>
      <c r="AP14" s="187"/>
      <c r="AQ14" s="184"/>
      <c r="AR14" s="181"/>
      <c r="AS14" s="612"/>
      <c r="AT14" s="187"/>
      <c r="AU14" s="187"/>
      <c r="AV14" s="184"/>
      <c r="AW14" s="181"/>
      <c r="AX14" s="612"/>
    </row>
    <row r="15" spans="1:50" ht="14.25" customHeight="1">
      <c r="B15" s="611"/>
      <c r="C15" s="179">
        <v>9</v>
      </c>
      <c r="D15" s="182"/>
      <c r="E15" s="179"/>
      <c r="F15" s="179"/>
      <c r="G15" s="184"/>
      <c r="H15" s="612"/>
      <c r="I15" s="185"/>
      <c r="J15" s="185"/>
      <c r="K15" s="186"/>
      <c r="L15" s="613"/>
      <c r="M15" s="185"/>
      <c r="N15" s="611"/>
      <c r="O15" s="611"/>
      <c r="P15" s="187"/>
      <c r="Q15" s="187"/>
      <c r="R15" s="184"/>
      <c r="S15" s="181"/>
      <c r="T15" s="612"/>
      <c r="U15" s="187"/>
      <c r="V15" s="187"/>
      <c r="W15" s="184"/>
      <c r="X15" s="181"/>
      <c r="Y15" s="612"/>
      <c r="Z15" s="187"/>
      <c r="AA15" s="187"/>
      <c r="AB15" s="184"/>
      <c r="AC15" s="181"/>
      <c r="AD15" s="612"/>
      <c r="AE15" s="187"/>
      <c r="AF15" s="187"/>
      <c r="AG15" s="184"/>
      <c r="AH15" s="181"/>
      <c r="AI15" s="612"/>
      <c r="AJ15" s="187"/>
      <c r="AK15" s="187"/>
      <c r="AL15" s="184"/>
      <c r="AM15" s="181"/>
      <c r="AN15" s="612"/>
      <c r="AO15" s="187"/>
      <c r="AP15" s="187"/>
      <c r="AQ15" s="184"/>
      <c r="AR15" s="181"/>
      <c r="AS15" s="612"/>
      <c r="AT15" s="187"/>
      <c r="AU15" s="187"/>
      <c r="AV15" s="184"/>
      <c r="AW15" s="181"/>
      <c r="AX15" s="612"/>
    </row>
    <row r="16" spans="1:50" ht="14.25" customHeight="1">
      <c r="B16" s="611"/>
      <c r="C16" s="179">
        <v>10</v>
      </c>
      <c r="D16" s="182"/>
      <c r="E16" s="179"/>
      <c r="F16" s="179"/>
      <c r="G16" s="184"/>
      <c r="H16" s="612"/>
      <c r="I16" s="185"/>
      <c r="J16" s="185"/>
      <c r="K16" s="186"/>
      <c r="L16" s="613"/>
      <c r="M16" s="185"/>
      <c r="N16" s="611"/>
      <c r="O16" s="611"/>
      <c r="P16" s="187"/>
      <c r="Q16" s="187"/>
      <c r="R16" s="184"/>
      <c r="S16" s="181"/>
      <c r="T16" s="612"/>
      <c r="U16" s="187"/>
      <c r="V16" s="187"/>
      <c r="W16" s="184"/>
      <c r="X16" s="181"/>
      <c r="Y16" s="612"/>
      <c r="Z16" s="187"/>
      <c r="AA16" s="187"/>
      <c r="AB16" s="184"/>
      <c r="AC16" s="181"/>
      <c r="AD16" s="612"/>
      <c r="AE16" s="187"/>
      <c r="AF16" s="187"/>
      <c r="AG16" s="184"/>
      <c r="AH16" s="181"/>
      <c r="AI16" s="612"/>
      <c r="AJ16" s="187"/>
      <c r="AK16" s="187"/>
      <c r="AL16" s="184"/>
      <c r="AM16" s="181"/>
      <c r="AN16" s="612"/>
      <c r="AO16" s="187"/>
      <c r="AP16" s="187"/>
      <c r="AQ16" s="184"/>
      <c r="AR16" s="181"/>
      <c r="AS16" s="612"/>
      <c r="AT16" s="187"/>
      <c r="AU16" s="187"/>
      <c r="AV16" s="184"/>
      <c r="AW16" s="181"/>
      <c r="AX16" s="612"/>
    </row>
    <row r="17" spans="2:50" ht="14.25" customHeight="1">
      <c r="B17" s="611"/>
      <c r="C17" s="179">
        <v>11</v>
      </c>
      <c r="D17" s="182"/>
      <c r="E17" s="179"/>
      <c r="F17" s="179"/>
      <c r="G17" s="184"/>
      <c r="H17" s="612"/>
      <c r="I17" s="185"/>
      <c r="J17" s="185"/>
      <c r="K17" s="186"/>
      <c r="L17" s="613"/>
      <c r="M17" s="185"/>
      <c r="N17" s="611"/>
      <c r="O17" s="611"/>
      <c r="P17" s="187"/>
      <c r="Q17" s="187"/>
      <c r="R17" s="184"/>
      <c r="S17" s="181"/>
      <c r="T17" s="612"/>
      <c r="U17" s="187"/>
      <c r="V17" s="187"/>
      <c r="W17" s="184"/>
      <c r="X17" s="181"/>
      <c r="Y17" s="612"/>
      <c r="Z17" s="187"/>
      <c r="AA17" s="187"/>
      <c r="AB17" s="184"/>
      <c r="AC17" s="181"/>
      <c r="AD17" s="612"/>
      <c r="AE17" s="187"/>
      <c r="AF17" s="187"/>
      <c r="AG17" s="184"/>
      <c r="AH17" s="181"/>
      <c r="AI17" s="612"/>
      <c r="AJ17" s="187"/>
      <c r="AK17" s="187"/>
      <c r="AL17" s="184"/>
      <c r="AM17" s="181"/>
      <c r="AN17" s="612"/>
      <c r="AO17" s="187"/>
      <c r="AP17" s="187"/>
      <c r="AQ17" s="184"/>
      <c r="AR17" s="181"/>
      <c r="AS17" s="612"/>
      <c r="AT17" s="187"/>
      <c r="AU17" s="187"/>
      <c r="AV17" s="184"/>
      <c r="AW17" s="181"/>
      <c r="AX17" s="612"/>
    </row>
    <row r="18" spans="2:50" ht="14.25" customHeight="1">
      <c r="B18" s="611"/>
      <c r="C18" s="179">
        <v>12</v>
      </c>
      <c r="D18" s="182"/>
      <c r="E18" s="179"/>
      <c r="F18" s="179"/>
      <c r="G18" s="184"/>
      <c r="H18" s="612"/>
      <c r="I18" s="185"/>
      <c r="J18" s="185"/>
      <c r="K18" s="186"/>
      <c r="L18" s="613"/>
      <c r="M18" s="185"/>
      <c r="N18" s="611"/>
      <c r="O18" s="611"/>
      <c r="P18" s="187"/>
      <c r="Q18" s="187"/>
      <c r="R18" s="184"/>
      <c r="S18" s="181"/>
      <c r="T18" s="612"/>
      <c r="U18" s="187"/>
      <c r="V18" s="187"/>
      <c r="W18" s="184"/>
      <c r="X18" s="181"/>
      <c r="Y18" s="612"/>
      <c r="Z18" s="187"/>
      <c r="AA18" s="187"/>
      <c r="AB18" s="184"/>
      <c r="AC18" s="181"/>
      <c r="AD18" s="612"/>
      <c r="AE18" s="187"/>
      <c r="AF18" s="187"/>
      <c r="AG18" s="184"/>
      <c r="AH18" s="181"/>
      <c r="AI18" s="612"/>
      <c r="AJ18" s="187"/>
      <c r="AK18" s="187"/>
      <c r="AL18" s="184"/>
      <c r="AM18" s="181"/>
      <c r="AN18" s="612"/>
      <c r="AO18" s="187"/>
      <c r="AP18" s="187"/>
      <c r="AQ18" s="184"/>
      <c r="AR18" s="181"/>
      <c r="AS18" s="612"/>
      <c r="AT18" s="187"/>
      <c r="AU18" s="187"/>
      <c r="AV18" s="184"/>
      <c r="AW18" s="181"/>
      <c r="AX18" s="612"/>
    </row>
    <row r="19" spans="2:50" ht="14.25" customHeight="1">
      <c r="B19" s="611"/>
      <c r="C19" s="179">
        <v>13</v>
      </c>
      <c r="D19" s="182"/>
      <c r="E19" s="179"/>
      <c r="F19" s="179"/>
      <c r="G19" s="184"/>
      <c r="H19" s="612"/>
      <c r="I19" s="185"/>
      <c r="J19" s="185"/>
      <c r="K19" s="186"/>
      <c r="L19" s="613"/>
      <c r="M19" s="185"/>
      <c r="N19" s="611"/>
      <c r="O19" s="611"/>
      <c r="P19" s="187"/>
      <c r="Q19" s="187"/>
      <c r="R19" s="184"/>
      <c r="S19" s="181"/>
      <c r="T19" s="612"/>
      <c r="U19" s="187"/>
      <c r="V19" s="187"/>
      <c r="W19" s="184"/>
      <c r="X19" s="181"/>
      <c r="Y19" s="612"/>
      <c r="Z19" s="187"/>
      <c r="AA19" s="187"/>
      <c r="AB19" s="184"/>
      <c r="AC19" s="181"/>
      <c r="AD19" s="612"/>
      <c r="AE19" s="187"/>
      <c r="AF19" s="187"/>
      <c r="AG19" s="184"/>
      <c r="AH19" s="181"/>
      <c r="AI19" s="612"/>
      <c r="AJ19" s="187"/>
      <c r="AK19" s="187"/>
      <c r="AL19" s="184"/>
      <c r="AM19" s="181"/>
      <c r="AN19" s="612"/>
      <c r="AO19" s="187"/>
      <c r="AP19" s="187"/>
      <c r="AQ19" s="184"/>
      <c r="AR19" s="181"/>
      <c r="AS19" s="612"/>
      <c r="AT19" s="187"/>
      <c r="AU19" s="187"/>
      <c r="AV19" s="184"/>
      <c r="AW19" s="181"/>
      <c r="AX19" s="612"/>
    </row>
    <row r="20" spans="2:50" ht="14.25" customHeight="1">
      <c r="B20" s="611"/>
      <c r="C20" s="179">
        <v>14</v>
      </c>
      <c r="D20" s="182"/>
      <c r="E20" s="179"/>
      <c r="F20" s="179"/>
      <c r="G20" s="184"/>
      <c r="H20" s="612"/>
      <c r="I20" s="185"/>
      <c r="J20" s="185"/>
      <c r="K20" s="186"/>
      <c r="L20" s="613"/>
      <c r="M20" s="185"/>
      <c r="N20" s="611"/>
      <c r="O20" s="611"/>
      <c r="P20" s="187"/>
      <c r="Q20" s="187"/>
      <c r="R20" s="184"/>
      <c r="S20" s="181"/>
      <c r="T20" s="612"/>
      <c r="U20" s="187"/>
      <c r="V20" s="187"/>
      <c r="W20" s="184"/>
      <c r="X20" s="181"/>
      <c r="Y20" s="612"/>
      <c r="Z20" s="187"/>
      <c r="AA20" s="187"/>
      <c r="AB20" s="184"/>
      <c r="AC20" s="181"/>
      <c r="AD20" s="612"/>
      <c r="AE20" s="187"/>
      <c r="AF20" s="187"/>
      <c r="AG20" s="184"/>
      <c r="AH20" s="181"/>
      <c r="AI20" s="612"/>
      <c r="AJ20" s="187"/>
      <c r="AK20" s="187"/>
      <c r="AL20" s="184"/>
      <c r="AM20" s="181"/>
      <c r="AN20" s="612"/>
      <c r="AO20" s="187"/>
      <c r="AP20" s="187"/>
      <c r="AQ20" s="184"/>
      <c r="AR20" s="181"/>
      <c r="AS20" s="612"/>
      <c r="AT20" s="187"/>
      <c r="AU20" s="187"/>
      <c r="AV20" s="184"/>
      <c r="AW20" s="181"/>
      <c r="AX20" s="612"/>
    </row>
    <row r="21" spans="2:50" ht="14.25" customHeight="1">
      <c r="B21" s="611"/>
      <c r="C21" s="179">
        <v>15</v>
      </c>
      <c r="D21" s="182"/>
      <c r="E21" s="179"/>
      <c r="F21" s="179"/>
      <c r="G21" s="184"/>
      <c r="H21" s="612"/>
      <c r="I21" s="185"/>
      <c r="J21" s="185"/>
      <c r="K21" s="186"/>
      <c r="L21" s="613"/>
      <c r="M21" s="185"/>
      <c r="N21" s="611"/>
      <c r="O21" s="611"/>
      <c r="P21" s="187"/>
      <c r="Q21" s="187"/>
      <c r="R21" s="184"/>
      <c r="S21" s="181"/>
      <c r="T21" s="612"/>
      <c r="U21" s="187"/>
      <c r="V21" s="187"/>
      <c r="W21" s="184"/>
      <c r="X21" s="181"/>
      <c r="Y21" s="612"/>
      <c r="Z21" s="187"/>
      <c r="AA21" s="187"/>
      <c r="AB21" s="184"/>
      <c r="AC21" s="181"/>
      <c r="AD21" s="612"/>
      <c r="AE21" s="187"/>
      <c r="AF21" s="187"/>
      <c r="AG21" s="184"/>
      <c r="AH21" s="181"/>
      <c r="AI21" s="612"/>
      <c r="AJ21" s="187"/>
      <c r="AK21" s="187"/>
      <c r="AL21" s="184"/>
      <c r="AM21" s="181"/>
      <c r="AN21" s="612"/>
      <c r="AO21" s="187"/>
      <c r="AP21" s="187"/>
      <c r="AQ21" s="184"/>
      <c r="AR21" s="181"/>
      <c r="AS21" s="612"/>
      <c r="AT21" s="187"/>
      <c r="AU21" s="187"/>
      <c r="AV21" s="184"/>
      <c r="AW21" s="181"/>
      <c r="AX21" s="612"/>
    </row>
    <row r="22" spans="2:50" ht="14.25" customHeight="1">
      <c r="B22" s="640" t="s">
        <v>749</v>
      </c>
      <c r="C22" s="641"/>
      <c r="D22" s="641"/>
      <c r="E22" s="641"/>
      <c r="F22" s="641"/>
      <c r="G22" s="641"/>
      <c r="H22" s="641"/>
      <c r="I22" s="641"/>
      <c r="J22" s="641"/>
      <c r="K22" s="641"/>
      <c r="L22" s="641"/>
      <c r="M22" s="642"/>
      <c r="N22" s="645" t="s">
        <v>363</v>
      </c>
      <c r="O22" s="645" t="s">
        <v>105</v>
      </c>
      <c r="P22" s="632">
        <v>46210</v>
      </c>
      <c r="Q22" s="633"/>
      <c r="R22" s="633"/>
      <c r="S22" s="633"/>
      <c r="T22" s="633"/>
      <c r="U22" s="634">
        <v>46211</v>
      </c>
      <c r="V22" s="635"/>
      <c r="W22" s="635"/>
      <c r="X22" s="635"/>
      <c r="Y22" s="635"/>
      <c r="Z22" s="632">
        <v>46212</v>
      </c>
      <c r="AA22" s="633"/>
      <c r="AB22" s="633"/>
      <c r="AC22" s="633"/>
      <c r="AD22" s="633"/>
      <c r="AE22" s="634">
        <v>46213</v>
      </c>
      <c r="AF22" s="635"/>
      <c r="AG22" s="635"/>
      <c r="AH22" s="635"/>
      <c r="AI22" s="635"/>
      <c r="AJ22" s="616">
        <v>46214</v>
      </c>
      <c r="AK22" s="617"/>
      <c r="AL22" s="617"/>
      <c r="AM22" s="617"/>
      <c r="AN22" s="618"/>
      <c r="AO22" s="634">
        <v>46215</v>
      </c>
      <c r="AP22" s="635"/>
      <c r="AQ22" s="635"/>
      <c r="AR22" s="635"/>
      <c r="AS22" s="635"/>
      <c r="AT22" s="616">
        <v>46216</v>
      </c>
      <c r="AU22" s="617"/>
      <c r="AV22" s="617"/>
      <c r="AW22" s="617"/>
      <c r="AX22" s="618"/>
    </row>
    <row r="23" spans="2:50" ht="14.25" customHeight="1">
      <c r="B23" s="643"/>
      <c r="C23" s="643"/>
      <c r="D23" s="643"/>
      <c r="E23" s="643"/>
      <c r="F23" s="643"/>
      <c r="G23" s="643"/>
      <c r="H23" s="643"/>
      <c r="I23" s="643"/>
      <c r="J23" s="643"/>
      <c r="K23" s="643"/>
      <c r="L23" s="643"/>
      <c r="M23" s="644"/>
      <c r="N23" s="646"/>
      <c r="O23" s="646"/>
      <c r="P23" s="619">
        <v>46196</v>
      </c>
      <c r="Q23" s="619"/>
      <c r="R23" s="619"/>
      <c r="S23" s="619"/>
      <c r="T23" s="619"/>
      <c r="U23" s="620">
        <v>46197</v>
      </c>
      <c r="V23" s="620"/>
      <c r="W23" s="620"/>
      <c r="X23" s="620"/>
      <c r="Y23" s="620"/>
      <c r="Z23" s="619">
        <v>46198</v>
      </c>
      <c r="AA23" s="619"/>
      <c r="AB23" s="619"/>
      <c r="AC23" s="619"/>
      <c r="AD23" s="619"/>
      <c r="AE23" s="620">
        <v>46199</v>
      </c>
      <c r="AF23" s="620"/>
      <c r="AG23" s="620"/>
      <c r="AH23" s="620"/>
      <c r="AI23" s="620"/>
      <c r="AJ23" s="621">
        <v>46200</v>
      </c>
      <c r="AK23" s="622"/>
      <c r="AL23" s="622"/>
      <c r="AM23" s="622"/>
      <c r="AN23" s="623"/>
      <c r="AO23" s="620">
        <v>46201</v>
      </c>
      <c r="AP23" s="620"/>
      <c r="AQ23" s="620"/>
      <c r="AR23" s="620"/>
      <c r="AS23" s="620"/>
      <c r="AT23" s="621">
        <v>46202</v>
      </c>
      <c r="AU23" s="622"/>
      <c r="AV23" s="622"/>
      <c r="AW23" s="622"/>
      <c r="AX23" s="623"/>
    </row>
    <row r="24" spans="2:50" ht="14.25" customHeight="1">
      <c r="B24" s="611" t="s">
        <v>162</v>
      </c>
      <c r="C24" s="611" t="s">
        <v>157</v>
      </c>
      <c r="D24" s="611"/>
      <c r="E24" s="611" t="s">
        <v>158</v>
      </c>
      <c r="F24" s="611"/>
      <c r="G24" s="611"/>
      <c r="H24" s="611" t="s">
        <v>163</v>
      </c>
      <c r="I24" s="615" t="s">
        <v>364</v>
      </c>
      <c r="J24" s="615"/>
      <c r="K24" s="615"/>
      <c r="L24" s="615" t="s">
        <v>163</v>
      </c>
      <c r="M24" s="615" t="s">
        <v>165</v>
      </c>
      <c r="N24" s="611"/>
      <c r="O24" s="611" t="s">
        <v>164</v>
      </c>
      <c r="P24" s="611" t="s">
        <v>160</v>
      </c>
      <c r="Q24" s="611"/>
      <c r="R24" s="611"/>
      <c r="S24" s="611"/>
      <c r="T24" s="611" t="s">
        <v>163</v>
      </c>
      <c r="U24" s="611" t="s">
        <v>160</v>
      </c>
      <c r="V24" s="611"/>
      <c r="W24" s="611"/>
      <c r="X24" s="611"/>
      <c r="Y24" s="611" t="s">
        <v>163</v>
      </c>
      <c r="Z24" s="611" t="s">
        <v>160</v>
      </c>
      <c r="AA24" s="611"/>
      <c r="AB24" s="611"/>
      <c r="AC24" s="611"/>
      <c r="AD24" s="611" t="s">
        <v>163</v>
      </c>
      <c r="AE24" s="611" t="s">
        <v>160</v>
      </c>
      <c r="AF24" s="611"/>
      <c r="AG24" s="611"/>
      <c r="AH24" s="611"/>
      <c r="AI24" s="611" t="s">
        <v>163</v>
      </c>
      <c r="AJ24" s="611" t="s">
        <v>160</v>
      </c>
      <c r="AK24" s="611"/>
      <c r="AL24" s="611"/>
      <c r="AM24" s="611"/>
      <c r="AN24" s="611" t="s">
        <v>163</v>
      </c>
      <c r="AO24" s="611" t="s">
        <v>160</v>
      </c>
      <c r="AP24" s="611"/>
      <c r="AQ24" s="611"/>
      <c r="AR24" s="611"/>
      <c r="AS24" s="611" t="s">
        <v>163</v>
      </c>
      <c r="AT24" s="611" t="s">
        <v>160</v>
      </c>
      <c r="AU24" s="611"/>
      <c r="AV24" s="611"/>
      <c r="AW24" s="611"/>
      <c r="AX24" s="611" t="s">
        <v>163</v>
      </c>
    </row>
    <row r="25" spans="2:50" ht="14.25" customHeight="1">
      <c r="B25" s="611"/>
      <c r="C25" s="611"/>
      <c r="D25" s="611"/>
      <c r="E25" s="611" t="s">
        <v>365</v>
      </c>
      <c r="F25" s="611"/>
      <c r="G25" s="611"/>
      <c r="H25" s="611"/>
      <c r="I25" s="615" t="s">
        <v>365</v>
      </c>
      <c r="J25" s="615"/>
      <c r="K25" s="615"/>
      <c r="L25" s="615"/>
      <c r="M25" s="615"/>
      <c r="N25" s="611"/>
      <c r="O25" s="611"/>
      <c r="P25" s="611" t="s">
        <v>366</v>
      </c>
      <c r="Q25" s="611"/>
      <c r="R25" s="611"/>
      <c r="S25" s="611"/>
      <c r="T25" s="611"/>
      <c r="U25" s="611" t="s">
        <v>366</v>
      </c>
      <c r="V25" s="611"/>
      <c r="W25" s="611"/>
      <c r="X25" s="611"/>
      <c r="Y25" s="611"/>
      <c r="Z25" s="611" t="s">
        <v>366</v>
      </c>
      <c r="AA25" s="611"/>
      <c r="AB25" s="611"/>
      <c r="AC25" s="611"/>
      <c r="AD25" s="611"/>
      <c r="AE25" s="611" t="s">
        <v>366</v>
      </c>
      <c r="AF25" s="611"/>
      <c r="AG25" s="611"/>
      <c r="AH25" s="611"/>
      <c r="AI25" s="611"/>
      <c r="AJ25" s="611" t="s">
        <v>366</v>
      </c>
      <c r="AK25" s="611"/>
      <c r="AL25" s="611"/>
      <c r="AM25" s="611"/>
      <c r="AN25" s="611"/>
      <c r="AO25" s="611" t="s">
        <v>366</v>
      </c>
      <c r="AP25" s="611"/>
      <c r="AQ25" s="611"/>
      <c r="AR25" s="611"/>
      <c r="AS25" s="611"/>
      <c r="AT25" s="611" t="s">
        <v>366</v>
      </c>
      <c r="AU25" s="611"/>
      <c r="AV25" s="611"/>
      <c r="AW25" s="611"/>
      <c r="AX25" s="611"/>
    </row>
    <row r="26" spans="2:50" ht="14.25" customHeight="1">
      <c r="B26" s="611"/>
      <c r="C26" s="611"/>
      <c r="D26" s="611"/>
      <c r="E26" s="179" t="s">
        <v>159</v>
      </c>
      <c r="F26" s="179" t="s">
        <v>367</v>
      </c>
      <c r="G26" s="179" t="s">
        <v>161</v>
      </c>
      <c r="H26" s="611"/>
      <c r="I26" s="180" t="s">
        <v>159</v>
      </c>
      <c r="J26" s="180" t="s">
        <v>367</v>
      </c>
      <c r="K26" s="180" t="s">
        <v>161</v>
      </c>
      <c r="L26" s="615"/>
      <c r="M26" s="615"/>
      <c r="N26" s="611"/>
      <c r="O26" s="611"/>
      <c r="P26" s="179" t="s">
        <v>159</v>
      </c>
      <c r="Q26" s="179" t="s">
        <v>367</v>
      </c>
      <c r="R26" s="179" t="s">
        <v>161</v>
      </c>
      <c r="S26" s="181" t="s">
        <v>165</v>
      </c>
      <c r="T26" s="611"/>
      <c r="U26" s="179" t="s">
        <v>159</v>
      </c>
      <c r="V26" s="179" t="s">
        <v>367</v>
      </c>
      <c r="W26" s="179" t="s">
        <v>161</v>
      </c>
      <c r="X26" s="181" t="s">
        <v>165</v>
      </c>
      <c r="Y26" s="611"/>
      <c r="Z26" s="179" t="s">
        <v>159</v>
      </c>
      <c r="AA26" s="179" t="s">
        <v>367</v>
      </c>
      <c r="AB26" s="179" t="s">
        <v>161</v>
      </c>
      <c r="AC26" s="181" t="s">
        <v>165</v>
      </c>
      <c r="AD26" s="611"/>
      <c r="AE26" s="179" t="s">
        <v>159</v>
      </c>
      <c r="AF26" s="179" t="s">
        <v>367</v>
      </c>
      <c r="AG26" s="179" t="s">
        <v>161</v>
      </c>
      <c r="AH26" s="181" t="s">
        <v>165</v>
      </c>
      <c r="AI26" s="611"/>
      <c r="AJ26" s="179" t="s">
        <v>159</v>
      </c>
      <c r="AK26" s="179" t="s">
        <v>367</v>
      </c>
      <c r="AL26" s="179" t="s">
        <v>161</v>
      </c>
      <c r="AM26" s="181" t="s">
        <v>165</v>
      </c>
      <c r="AN26" s="611"/>
      <c r="AO26" s="179" t="s">
        <v>159</v>
      </c>
      <c r="AP26" s="179" t="s">
        <v>367</v>
      </c>
      <c r="AQ26" s="179" t="s">
        <v>161</v>
      </c>
      <c r="AR26" s="181" t="s">
        <v>165</v>
      </c>
      <c r="AS26" s="611"/>
      <c r="AT26" s="179" t="s">
        <v>159</v>
      </c>
      <c r="AU26" s="179" t="s">
        <v>367</v>
      </c>
      <c r="AV26" s="179" t="s">
        <v>161</v>
      </c>
      <c r="AW26" s="181" t="s">
        <v>165</v>
      </c>
      <c r="AX26" s="611"/>
    </row>
    <row r="27" spans="2:50" ht="14.25" customHeight="1">
      <c r="B27" s="611" t="s">
        <v>369</v>
      </c>
      <c r="C27" s="179">
        <v>1</v>
      </c>
      <c r="D27" s="182" t="s">
        <v>346</v>
      </c>
      <c r="E27" s="183">
        <v>10</v>
      </c>
      <c r="F27" s="179">
        <v>3600</v>
      </c>
      <c r="G27" s="184">
        <f t="shared" ref="G27:G29" si="16">IFERROR(F27/E27,"")</f>
        <v>360</v>
      </c>
      <c r="H27" s="612">
        <f>AVERAGE(G27:G41)</f>
        <v>338.18181818181819</v>
      </c>
      <c r="I27" s="185">
        <f>AVERAGE(P27,U27,Z27,AE27,AJ27,AO27,AT27)</f>
        <v>10</v>
      </c>
      <c r="J27" s="185">
        <f>AVERAGE(Q27,V27,AA27,AF27,AK27,AP27,AU27)</f>
        <v>3216.015265438903</v>
      </c>
      <c r="K27" s="186">
        <f>AVERAGE(R27,W27,AB27,AG27,AL27,AQ27,AV27)</f>
        <v>321.60152654389032</v>
      </c>
      <c r="L27" s="613">
        <f>IFERROR(AVERAGE(K27:K41),"-")</f>
        <v>298.97235939929243</v>
      </c>
      <c r="M27" s="185">
        <f>RANK(K27, K$27:$K$41)</f>
        <v>1</v>
      </c>
      <c r="N27" s="611"/>
      <c r="O27" s="611"/>
      <c r="P27" s="187">
        <v>10</v>
      </c>
      <c r="Q27" s="187">
        <v>3213.2895511531888</v>
      </c>
      <c r="R27" s="184">
        <f>IFERROR(Q27/P27,"")</f>
        <v>321.32895511531888</v>
      </c>
      <c r="S27" s="181">
        <f>RANK(R27, R$27:R$41)</f>
        <v>1</v>
      </c>
      <c r="T27" s="612">
        <f>AVERAGE(R27:R41)</f>
        <v>298.8652540493452</v>
      </c>
      <c r="U27" s="187">
        <v>10</v>
      </c>
      <c r="V27" s="187">
        <v>3213.2895511531888</v>
      </c>
      <c r="W27" s="184">
        <f t="shared" ref="W27:W29" si="17">IFERROR(V27/U27,"")</f>
        <v>321.32895511531888</v>
      </c>
      <c r="X27" s="181">
        <f>RANK(W27, W$27:W$41)</f>
        <v>1</v>
      </c>
      <c r="Y27" s="612">
        <f>AVERAGE(W27:W41)</f>
        <v>298.83252677661795</v>
      </c>
      <c r="Z27" s="187">
        <v>10</v>
      </c>
      <c r="AA27" s="187">
        <v>3214.7295511531888</v>
      </c>
      <c r="AB27" s="184">
        <f>IFERROR(AA27/Z27,"")</f>
        <v>321.47295511531888</v>
      </c>
      <c r="AC27" s="181">
        <f>RANK(AB27, AB$27:AB$41)</f>
        <v>1</v>
      </c>
      <c r="AD27" s="612">
        <f>AVERAGE(AB27:AB41)</f>
        <v>298.94598132207256</v>
      </c>
      <c r="AE27" s="187">
        <v>10</v>
      </c>
      <c r="AF27" s="187">
        <v>3216.1695511531884</v>
      </c>
      <c r="AG27" s="184">
        <f>IFERROR(AF27/AE27,"")</f>
        <v>321.61695511531883</v>
      </c>
      <c r="AH27" s="181">
        <f>RANK(AG27, AG$27:AG$41)</f>
        <v>1</v>
      </c>
      <c r="AI27" s="612">
        <f>AVERAGE(AG27:AG41)</f>
        <v>299.06528235000678</v>
      </c>
      <c r="AJ27" s="187">
        <v>10</v>
      </c>
      <c r="AK27" s="187">
        <v>3217.6095511531885</v>
      </c>
      <c r="AL27" s="184">
        <f>IFERROR(AK27/AJ27,"")</f>
        <v>321.76095511531884</v>
      </c>
      <c r="AM27" s="181">
        <f>RANK(AL27, AL$27:AL$41)</f>
        <v>1</v>
      </c>
      <c r="AN27" s="612">
        <f>AVERAGE(AL27:AL41)</f>
        <v>299.09283417281046</v>
      </c>
      <c r="AO27" s="187">
        <v>10</v>
      </c>
      <c r="AP27" s="187">
        <v>3217.6095511531889</v>
      </c>
      <c r="AQ27" s="184">
        <f>IFERROR(AP27/AO27,"")</f>
        <v>321.76095511531889</v>
      </c>
      <c r="AR27" s="181">
        <f>RANK(AQ27, AQ$27:AQ$41)</f>
        <v>1</v>
      </c>
      <c r="AS27" s="612">
        <f>AVERAGE(AQ27:AQ41)</f>
        <v>299.02252906549398</v>
      </c>
      <c r="AT27" s="187">
        <v>10</v>
      </c>
      <c r="AU27" s="187">
        <v>3219.4095511531887</v>
      </c>
      <c r="AV27" s="184">
        <f>IFERROR(AU27/AT27,"")</f>
        <v>321.94095511531884</v>
      </c>
      <c r="AW27" s="181">
        <f>RANK(AV27, AV$27:AV$41)</f>
        <v>1</v>
      </c>
      <c r="AX27" s="612">
        <f>AVERAGE(AV27:AV41)</f>
        <v>298.98210805869957</v>
      </c>
    </row>
    <row r="28" spans="2:50" ht="14.25" customHeight="1">
      <c r="B28" s="611"/>
      <c r="C28" s="179">
        <v>2</v>
      </c>
      <c r="D28" s="182" t="s">
        <v>521</v>
      </c>
      <c r="E28" s="179">
        <v>11</v>
      </c>
      <c r="F28" s="179">
        <v>3600</v>
      </c>
      <c r="G28" s="184">
        <f t="shared" si="16"/>
        <v>327.27272727272725</v>
      </c>
      <c r="H28" s="612"/>
      <c r="I28" s="185">
        <f t="shared" ref="I28:K29" si="18">AVERAGE(P28,U28,Z28,AE28,AJ28,AO28,AT28)</f>
        <v>11</v>
      </c>
      <c r="J28" s="185">
        <f t="shared" si="18"/>
        <v>3163.7063411407507</v>
      </c>
      <c r="K28" s="186">
        <f t="shared" si="18"/>
        <v>287.60966737643196</v>
      </c>
      <c r="L28" s="613"/>
      <c r="M28" s="185">
        <f>RANK(K28, K$27:$K$41)</f>
        <v>3</v>
      </c>
      <c r="N28" s="611"/>
      <c r="O28" s="611"/>
      <c r="P28" s="187">
        <v>11</v>
      </c>
      <c r="Q28" s="187">
        <v>3162.5781134645813</v>
      </c>
      <c r="R28" s="184">
        <f t="shared" ref="R28:R29" si="19">IFERROR(Q28/P28,"")</f>
        <v>287.50710122405286</v>
      </c>
      <c r="S28" s="181">
        <f t="shared" ref="S28:S29" si="20">RANK(R28, R$27:R$41)</f>
        <v>3</v>
      </c>
      <c r="T28" s="612"/>
      <c r="U28" s="187">
        <v>11</v>
      </c>
      <c r="V28" s="187">
        <v>3161.8581134645819</v>
      </c>
      <c r="W28" s="184">
        <f t="shared" si="17"/>
        <v>287.44164667859837</v>
      </c>
      <c r="X28" s="181">
        <f t="shared" ref="X28:X29" si="21">RANK(W28, W$27:W$41)</f>
        <v>3</v>
      </c>
      <c r="Y28" s="612"/>
      <c r="Z28" s="187">
        <v>11</v>
      </c>
      <c r="AA28" s="187">
        <v>3163.2981134645825</v>
      </c>
      <c r="AB28" s="184">
        <f t="shared" ref="AB28:AB29" si="22">IFERROR(AA28/Z28,"")</f>
        <v>287.57255576950752</v>
      </c>
      <c r="AC28" s="181">
        <f t="shared" ref="AC28:AC29" si="23">RANK(AB28, AB$27:AB$41)</f>
        <v>3</v>
      </c>
      <c r="AD28" s="612"/>
      <c r="AE28" s="187">
        <v>11</v>
      </c>
      <c r="AF28" s="187">
        <v>3165.6510473864128</v>
      </c>
      <c r="AG28" s="184">
        <f t="shared" ref="AG28:AG29" si="24">IFERROR(AF28/AE28,"")</f>
        <v>287.78645885331025</v>
      </c>
      <c r="AH28" s="181">
        <f t="shared" ref="AH28:AH29" si="25">RANK(AG28, AG$27:AG$41)</f>
        <v>3</v>
      </c>
      <c r="AI28" s="612"/>
      <c r="AJ28" s="187">
        <v>11</v>
      </c>
      <c r="AK28" s="187">
        <v>3164.8109644764381</v>
      </c>
      <c r="AL28" s="184">
        <f t="shared" ref="AL28:AL29" si="26">IFERROR(AK28/AJ28,"")</f>
        <v>287.71008767967618</v>
      </c>
      <c r="AM28" s="181">
        <f t="shared" ref="AM28:AM29" si="27">RANK(AL28, AL$27:AL$41)</f>
        <v>3</v>
      </c>
      <c r="AN28" s="612"/>
      <c r="AO28" s="187">
        <v>11</v>
      </c>
      <c r="AP28" s="187">
        <v>3165.1709644764383</v>
      </c>
      <c r="AQ28" s="184">
        <f t="shared" ref="AQ28:AQ29" si="28">IFERROR(AP28/AO28,"")</f>
        <v>287.74281495240348</v>
      </c>
      <c r="AR28" s="181">
        <f t="shared" ref="AR28:AR29" si="29">RANK(AQ28, AQ$27:AQ$41)</f>
        <v>2</v>
      </c>
      <c r="AS28" s="612"/>
      <c r="AT28" s="187">
        <v>11</v>
      </c>
      <c r="AU28" s="187">
        <v>3162.5770712522226</v>
      </c>
      <c r="AV28" s="184">
        <f t="shared" ref="AV28:AV29" si="30">IFERROR(AU28/AT28,"")</f>
        <v>287.50700647747476</v>
      </c>
      <c r="AW28" s="181">
        <f t="shared" ref="AW28:AW29" si="31">RANK(AV28, AV$27:AV$41)</f>
        <v>2</v>
      </c>
      <c r="AX28" s="612"/>
    </row>
    <row r="29" spans="2:50" ht="14.25" customHeight="1">
      <c r="B29" s="611"/>
      <c r="C29" s="179">
        <v>3</v>
      </c>
      <c r="D29" s="182" t="s">
        <v>522</v>
      </c>
      <c r="E29" s="179">
        <v>11</v>
      </c>
      <c r="F29" s="179">
        <v>3600</v>
      </c>
      <c r="G29" s="184">
        <f t="shared" si="16"/>
        <v>327.27272727272725</v>
      </c>
      <c r="H29" s="612"/>
      <c r="I29" s="185">
        <f t="shared" si="18"/>
        <v>11</v>
      </c>
      <c r="J29" s="185">
        <f t="shared" si="18"/>
        <v>3164.7647270531038</v>
      </c>
      <c r="K29" s="186">
        <f t="shared" si="18"/>
        <v>287.7058842775549</v>
      </c>
      <c r="L29" s="613"/>
      <c r="M29" s="185">
        <f>RANK(K29, K$27:$K$41)</f>
        <v>2</v>
      </c>
      <c r="N29" s="611"/>
      <c r="O29" s="611"/>
      <c r="P29" s="187">
        <v>11</v>
      </c>
      <c r="Q29" s="187">
        <v>3165.3567638953032</v>
      </c>
      <c r="R29" s="184">
        <f t="shared" si="19"/>
        <v>287.75970580866391</v>
      </c>
      <c r="S29" s="181">
        <f t="shared" si="20"/>
        <v>2</v>
      </c>
      <c r="T29" s="612"/>
      <c r="U29" s="187">
        <v>11</v>
      </c>
      <c r="V29" s="187">
        <v>3164.9967638953035</v>
      </c>
      <c r="W29" s="184">
        <f t="shared" si="17"/>
        <v>287.72697853593667</v>
      </c>
      <c r="X29" s="181">
        <f t="shared" si="21"/>
        <v>2</v>
      </c>
      <c r="Y29" s="612"/>
      <c r="Z29" s="187">
        <v>11</v>
      </c>
      <c r="AA29" s="187">
        <v>3165.7167638953033</v>
      </c>
      <c r="AB29" s="184">
        <f t="shared" si="22"/>
        <v>287.79243308139121</v>
      </c>
      <c r="AC29" s="181">
        <f t="shared" si="23"/>
        <v>2</v>
      </c>
      <c r="AD29" s="612"/>
      <c r="AE29" s="187">
        <v>11</v>
      </c>
      <c r="AF29" s="187">
        <v>3165.7167638953038</v>
      </c>
      <c r="AG29" s="184">
        <f t="shared" si="24"/>
        <v>287.79243308139127</v>
      </c>
      <c r="AH29" s="181">
        <f t="shared" si="25"/>
        <v>2</v>
      </c>
      <c r="AI29" s="612"/>
      <c r="AJ29" s="187">
        <v>11</v>
      </c>
      <c r="AK29" s="187">
        <v>3165.8820569578006</v>
      </c>
      <c r="AL29" s="184">
        <f t="shared" si="26"/>
        <v>287.80745972343641</v>
      </c>
      <c r="AM29" s="181">
        <f t="shared" si="27"/>
        <v>2</v>
      </c>
      <c r="AN29" s="612"/>
      <c r="AO29" s="187">
        <v>11</v>
      </c>
      <c r="AP29" s="187">
        <v>3163.2019884163569</v>
      </c>
      <c r="AQ29" s="184">
        <f t="shared" si="28"/>
        <v>287.56381712875969</v>
      </c>
      <c r="AR29" s="181">
        <f t="shared" si="29"/>
        <v>3</v>
      </c>
      <c r="AS29" s="612"/>
      <c r="AT29" s="187">
        <v>11</v>
      </c>
      <c r="AU29" s="187">
        <v>3162.4819884163567</v>
      </c>
      <c r="AV29" s="184">
        <f t="shared" si="30"/>
        <v>287.49836258330515</v>
      </c>
      <c r="AW29" s="181">
        <f t="shared" si="31"/>
        <v>3</v>
      </c>
      <c r="AX29" s="612"/>
    </row>
    <row r="30" spans="2:50" ht="14.25" customHeight="1">
      <c r="B30" s="611"/>
      <c r="C30" s="179">
        <v>4</v>
      </c>
      <c r="D30" s="182"/>
      <c r="E30" s="179"/>
      <c r="F30" s="179"/>
      <c r="G30" s="184"/>
      <c r="H30" s="612"/>
      <c r="I30" s="185"/>
      <c r="J30" s="185"/>
      <c r="K30" s="186"/>
      <c r="L30" s="613"/>
      <c r="M30" s="185"/>
      <c r="N30" s="611"/>
      <c r="O30" s="611"/>
      <c r="P30" s="187"/>
      <c r="Q30" s="187"/>
      <c r="R30" s="184"/>
      <c r="S30" s="181"/>
      <c r="T30" s="612"/>
      <c r="U30" s="187"/>
      <c r="V30" s="187"/>
      <c r="W30" s="184"/>
      <c r="X30" s="181"/>
      <c r="Y30" s="612"/>
      <c r="Z30" s="187"/>
      <c r="AA30" s="187"/>
      <c r="AB30" s="184"/>
      <c r="AC30" s="181"/>
      <c r="AD30" s="612"/>
      <c r="AE30" s="187"/>
      <c r="AF30" s="187"/>
      <c r="AG30" s="184"/>
      <c r="AH30" s="181"/>
      <c r="AI30" s="612"/>
      <c r="AJ30" s="187"/>
      <c r="AK30" s="187"/>
      <c r="AL30" s="184"/>
      <c r="AM30" s="181"/>
      <c r="AN30" s="612"/>
      <c r="AO30" s="187"/>
      <c r="AP30" s="187"/>
      <c r="AQ30" s="184"/>
      <c r="AR30" s="181"/>
      <c r="AS30" s="612"/>
      <c r="AT30" s="187"/>
      <c r="AU30" s="187"/>
      <c r="AV30" s="184"/>
      <c r="AW30" s="181"/>
      <c r="AX30" s="612"/>
    </row>
    <row r="31" spans="2:50" ht="14.25" customHeight="1">
      <c r="B31" s="611"/>
      <c r="C31" s="179">
        <v>5</v>
      </c>
      <c r="D31" s="182"/>
      <c r="E31" s="179"/>
      <c r="F31" s="179"/>
      <c r="G31" s="184"/>
      <c r="H31" s="612"/>
      <c r="I31" s="185"/>
      <c r="J31" s="185"/>
      <c r="K31" s="186"/>
      <c r="L31" s="613"/>
      <c r="M31" s="185"/>
      <c r="N31" s="611"/>
      <c r="O31" s="611"/>
      <c r="P31" s="187"/>
      <c r="Q31" s="187"/>
      <c r="R31" s="184"/>
      <c r="S31" s="181"/>
      <c r="T31" s="612"/>
      <c r="U31" s="187"/>
      <c r="V31" s="187"/>
      <c r="W31" s="184"/>
      <c r="X31" s="181"/>
      <c r="Y31" s="612"/>
      <c r="Z31" s="187"/>
      <c r="AA31" s="187"/>
      <c r="AB31" s="184"/>
      <c r="AC31" s="181"/>
      <c r="AD31" s="612"/>
      <c r="AE31" s="187"/>
      <c r="AF31" s="187"/>
      <c r="AG31" s="184"/>
      <c r="AH31" s="181"/>
      <c r="AI31" s="612"/>
      <c r="AJ31" s="187"/>
      <c r="AK31" s="187"/>
      <c r="AL31" s="184"/>
      <c r="AM31" s="181"/>
      <c r="AN31" s="612"/>
      <c r="AO31" s="187"/>
      <c r="AP31" s="187"/>
      <c r="AQ31" s="184"/>
      <c r="AR31" s="181"/>
      <c r="AS31" s="612"/>
      <c r="AT31" s="187"/>
      <c r="AU31" s="187"/>
      <c r="AV31" s="184"/>
      <c r="AW31" s="181"/>
      <c r="AX31" s="612"/>
    </row>
    <row r="32" spans="2:50" ht="14.25" customHeight="1">
      <c r="B32" s="611"/>
      <c r="C32" s="179">
        <v>6</v>
      </c>
      <c r="D32" s="182"/>
      <c r="E32" s="179"/>
      <c r="F32" s="179"/>
      <c r="G32" s="184"/>
      <c r="H32" s="612"/>
      <c r="I32" s="185"/>
      <c r="J32" s="185"/>
      <c r="K32" s="186"/>
      <c r="L32" s="613"/>
      <c r="M32" s="185"/>
      <c r="N32" s="611"/>
      <c r="O32" s="611"/>
      <c r="P32" s="187"/>
      <c r="Q32" s="187"/>
      <c r="R32" s="184"/>
      <c r="S32" s="181"/>
      <c r="T32" s="612"/>
      <c r="U32" s="187"/>
      <c r="V32" s="187"/>
      <c r="W32" s="184"/>
      <c r="X32" s="181"/>
      <c r="Y32" s="612"/>
      <c r="Z32" s="187"/>
      <c r="AA32" s="187"/>
      <c r="AB32" s="184"/>
      <c r="AC32" s="181"/>
      <c r="AD32" s="612"/>
      <c r="AE32" s="187"/>
      <c r="AF32" s="187"/>
      <c r="AG32" s="184"/>
      <c r="AH32" s="181"/>
      <c r="AI32" s="612"/>
      <c r="AJ32" s="187"/>
      <c r="AK32" s="187"/>
      <c r="AL32" s="184"/>
      <c r="AM32" s="181"/>
      <c r="AN32" s="612"/>
      <c r="AO32" s="187"/>
      <c r="AP32" s="187"/>
      <c r="AQ32" s="184"/>
      <c r="AR32" s="181"/>
      <c r="AS32" s="612"/>
      <c r="AT32" s="187"/>
      <c r="AU32" s="187"/>
      <c r="AV32" s="184"/>
      <c r="AW32" s="181"/>
      <c r="AX32" s="612"/>
    </row>
    <row r="33" spans="2:50" ht="14.25" customHeight="1">
      <c r="B33" s="611"/>
      <c r="C33" s="179">
        <v>7</v>
      </c>
      <c r="D33" s="182"/>
      <c r="E33" s="179"/>
      <c r="F33" s="179"/>
      <c r="G33" s="184"/>
      <c r="H33" s="612"/>
      <c r="I33" s="185"/>
      <c r="J33" s="185"/>
      <c r="K33" s="186"/>
      <c r="L33" s="613"/>
      <c r="M33" s="185"/>
      <c r="N33" s="611"/>
      <c r="O33" s="611"/>
      <c r="P33" s="187"/>
      <c r="Q33" s="187"/>
      <c r="R33" s="184"/>
      <c r="S33" s="181"/>
      <c r="T33" s="612"/>
      <c r="U33" s="187"/>
      <c r="V33" s="187"/>
      <c r="W33" s="184"/>
      <c r="X33" s="181"/>
      <c r="Y33" s="612"/>
      <c r="Z33" s="187"/>
      <c r="AA33" s="187"/>
      <c r="AB33" s="184"/>
      <c r="AC33" s="181"/>
      <c r="AD33" s="612"/>
      <c r="AE33" s="187"/>
      <c r="AF33" s="187"/>
      <c r="AG33" s="184"/>
      <c r="AH33" s="181"/>
      <c r="AI33" s="612"/>
      <c r="AJ33" s="187"/>
      <c r="AK33" s="187"/>
      <c r="AL33" s="184"/>
      <c r="AM33" s="181"/>
      <c r="AN33" s="612"/>
      <c r="AO33" s="187"/>
      <c r="AP33" s="187"/>
      <c r="AQ33" s="184"/>
      <c r="AR33" s="181"/>
      <c r="AS33" s="612"/>
      <c r="AT33" s="187"/>
      <c r="AU33" s="187"/>
      <c r="AV33" s="184"/>
      <c r="AW33" s="181"/>
      <c r="AX33" s="612"/>
    </row>
    <row r="34" spans="2:50" ht="14.25" customHeight="1">
      <c r="B34" s="611"/>
      <c r="C34" s="179">
        <v>8</v>
      </c>
      <c r="D34" s="182"/>
      <c r="E34" s="179"/>
      <c r="F34" s="179"/>
      <c r="G34" s="184"/>
      <c r="H34" s="612"/>
      <c r="I34" s="185"/>
      <c r="J34" s="185"/>
      <c r="K34" s="186"/>
      <c r="L34" s="613"/>
      <c r="M34" s="185"/>
      <c r="N34" s="611"/>
      <c r="O34" s="611"/>
      <c r="P34" s="187"/>
      <c r="Q34" s="187"/>
      <c r="R34" s="184"/>
      <c r="S34" s="181"/>
      <c r="T34" s="612"/>
      <c r="U34" s="187"/>
      <c r="V34" s="187"/>
      <c r="W34" s="184"/>
      <c r="X34" s="181"/>
      <c r="Y34" s="612"/>
      <c r="Z34" s="187"/>
      <c r="AA34" s="187"/>
      <c r="AB34" s="184"/>
      <c r="AC34" s="181"/>
      <c r="AD34" s="612"/>
      <c r="AE34" s="187"/>
      <c r="AF34" s="187"/>
      <c r="AG34" s="184"/>
      <c r="AH34" s="181"/>
      <c r="AI34" s="612"/>
      <c r="AJ34" s="187"/>
      <c r="AK34" s="187"/>
      <c r="AL34" s="184"/>
      <c r="AM34" s="181"/>
      <c r="AN34" s="612"/>
      <c r="AO34" s="187"/>
      <c r="AP34" s="187"/>
      <c r="AQ34" s="184"/>
      <c r="AR34" s="181"/>
      <c r="AS34" s="612"/>
      <c r="AT34" s="187"/>
      <c r="AU34" s="187"/>
      <c r="AV34" s="184"/>
      <c r="AW34" s="181"/>
      <c r="AX34" s="612"/>
    </row>
    <row r="35" spans="2:50" ht="14.25" customHeight="1">
      <c r="B35" s="611"/>
      <c r="C35" s="179">
        <v>9</v>
      </c>
      <c r="D35" s="182"/>
      <c r="E35" s="179"/>
      <c r="F35" s="179"/>
      <c r="G35" s="184"/>
      <c r="H35" s="612"/>
      <c r="I35" s="185"/>
      <c r="J35" s="185"/>
      <c r="K35" s="186"/>
      <c r="L35" s="613"/>
      <c r="M35" s="185"/>
      <c r="N35" s="611"/>
      <c r="O35" s="611"/>
      <c r="P35" s="187"/>
      <c r="Q35" s="187"/>
      <c r="R35" s="184"/>
      <c r="S35" s="181"/>
      <c r="T35" s="612"/>
      <c r="U35" s="187"/>
      <c r="V35" s="187"/>
      <c r="W35" s="184"/>
      <c r="X35" s="181"/>
      <c r="Y35" s="612"/>
      <c r="Z35" s="187"/>
      <c r="AA35" s="187"/>
      <c r="AB35" s="184"/>
      <c r="AC35" s="181"/>
      <c r="AD35" s="612"/>
      <c r="AE35" s="187"/>
      <c r="AF35" s="187"/>
      <c r="AG35" s="184"/>
      <c r="AH35" s="181"/>
      <c r="AI35" s="612"/>
      <c r="AJ35" s="187"/>
      <c r="AK35" s="187"/>
      <c r="AL35" s="184"/>
      <c r="AM35" s="181"/>
      <c r="AN35" s="612"/>
      <c r="AO35" s="187"/>
      <c r="AP35" s="187"/>
      <c r="AQ35" s="184"/>
      <c r="AR35" s="181"/>
      <c r="AS35" s="612"/>
      <c r="AT35" s="187"/>
      <c r="AU35" s="187"/>
      <c r="AV35" s="184"/>
      <c r="AW35" s="181"/>
      <c r="AX35" s="612"/>
    </row>
    <row r="36" spans="2:50" ht="14.25" customHeight="1">
      <c r="B36" s="611"/>
      <c r="C36" s="179">
        <v>10</v>
      </c>
      <c r="D36" s="182"/>
      <c r="E36" s="179"/>
      <c r="F36" s="179"/>
      <c r="G36" s="184"/>
      <c r="H36" s="612"/>
      <c r="I36" s="185"/>
      <c r="J36" s="185"/>
      <c r="K36" s="186"/>
      <c r="L36" s="613"/>
      <c r="M36" s="185"/>
      <c r="N36" s="611"/>
      <c r="O36" s="611"/>
      <c r="P36" s="187"/>
      <c r="Q36" s="187"/>
      <c r="R36" s="184"/>
      <c r="S36" s="181"/>
      <c r="T36" s="612"/>
      <c r="U36" s="187"/>
      <c r="V36" s="187"/>
      <c r="W36" s="184"/>
      <c r="X36" s="181"/>
      <c r="Y36" s="612"/>
      <c r="Z36" s="187"/>
      <c r="AA36" s="187"/>
      <c r="AB36" s="184"/>
      <c r="AC36" s="181"/>
      <c r="AD36" s="612"/>
      <c r="AE36" s="187"/>
      <c r="AF36" s="187"/>
      <c r="AG36" s="184"/>
      <c r="AH36" s="181"/>
      <c r="AI36" s="612"/>
      <c r="AJ36" s="187"/>
      <c r="AK36" s="187"/>
      <c r="AL36" s="184"/>
      <c r="AM36" s="181"/>
      <c r="AN36" s="612"/>
      <c r="AO36" s="187"/>
      <c r="AP36" s="187"/>
      <c r="AQ36" s="184"/>
      <c r="AR36" s="181"/>
      <c r="AS36" s="612"/>
      <c r="AT36" s="187"/>
      <c r="AU36" s="187"/>
      <c r="AV36" s="184"/>
      <c r="AW36" s="181"/>
      <c r="AX36" s="612"/>
    </row>
    <row r="37" spans="2:50" ht="14.25" customHeight="1">
      <c r="B37" s="611"/>
      <c r="C37" s="179">
        <v>11</v>
      </c>
      <c r="D37" s="182"/>
      <c r="E37" s="179"/>
      <c r="F37" s="179"/>
      <c r="G37" s="184"/>
      <c r="H37" s="612"/>
      <c r="I37" s="185"/>
      <c r="J37" s="185"/>
      <c r="K37" s="186"/>
      <c r="L37" s="613"/>
      <c r="M37" s="185"/>
      <c r="N37" s="611"/>
      <c r="O37" s="611"/>
      <c r="P37" s="187"/>
      <c r="Q37" s="187"/>
      <c r="R37" s="184"/>
      <c r="S37" s="181"/>
      <c r="T37" s="612"/>
      <c r="U37" s="187"/>
      <c r="V37" s="187"/>
      <c r="W37" s="184"/>
      <c r="X37" s="181"/>
      <c r="Y37" s="612"/>
      <c r="Z37" s="187"/>
      <c r="AA37" s="187"/>
      <c r="AB37" s="184"/>
      <c r="AC37" s="181"/>
      <c r="AD37" s="612"/>
      <c r="AE37" s="187"/>
      <c r="AF37" s="187"/>
      <c r="AG37" s="184"/>
      <c r="AH37" s="181"/>
      <c r="AI37" s="612"/>
      <c r="AJ37" s="187"/>
      <c r="AK37" s="187"/>
      <c r="AL37" s="184"/>
      <c r="AM37" s="181"/>
      <c r="AN37" s="612"/>
      <c r="AO37" s="187"/>
      <c r="AP37" s="187"/>
      <c r="AQ37" s="184"/>
      <c r="AR37" s="181"/>
      <c r="AS37" s="612"/>
      <c r="AT37" s="187"/>
      <c r="AU37" s="187"/>
      <c r="AV37" s="184"/>
      <c r="AW37" s="181"/>
      <c r="AX37" s="612"/>
    </row>
    <row r="38" spans="2:50" ht="14.25" customHeight="1">
      <c r="B38" s="611"/>
      <c r="C38" s="179">
        <v>12</v>
      </c>
      <c r="D38" s="182"/>
      <c r="E38" s="179"/>
      <c r="F38" s="179"/>
      <c r="G38" s="184"/>
      <c r="H38" s="612"/>
      <c r="I38" s="185"/>
      <c r="J38" s="185"/>
      <c r="K38" s="186"/>
      <c r="L38" s="613"/>
      <c r="M38" s="185"/>
      <c r="N38" s="611"/>
      <c r="O38" s="611"/>
      <c r="P38" s="187"/>
      <c r="Q38" s="187"/>
      <c r="R38" s="184"/>
      <c r="S38" s="181"/>
      <c r="T38" s="612"/>
      <c r="U38" s="187"/>
      <c r="V38" s="187"/>
      <c r="W38" s="184"/>
      <c r="X38" s="181"/>
      <c r="Y38" s="612"/>
      <c r="Z38" s="187"/>
      <c r="AA38" s="187"/>
      <c r="AB38" s="184"/>
      <c r="AC38" s="181"/>
      <c r="AD38" s="612"/>
      <c r="AE38" s="187"/>
      <c r="AF38" s="187"/>
      <c r="AG38" s="184"/>
      <c r="AH38" s="181"/>
      <c r="AI38" s="612"/>
      <c r="AJ38" s="187"/>
      <c r="AK38" s="187"/>
      <c r="AL38" s="184"/>
      <c r="AM38" s="181"/>
      <c r="AN38" s="612"/>
      <c r="AO38" s="187"/>
      <c r="AP38" s="187"/>
      <c r="AQ38" s="184"/>
      <c r="AR38" s="181"/>
      <c r="AS38" s="612"/>
      <c r="AT38" s="187"/>
      <c r="AU38" s="187"/>
      <c r="AV38" s="184"/>
      <c r="AW38" s="181"/>
      <c r="AX38" s="612"/>
    </row>
    <row r="39" spans="2:50" ht="14.25" customHeight="1">
      <c r="B39" s="611"/>
      <c r="C39" s="179">
        <v>13</v>
      </c>
      <c r="D39" s="182"/>
      <c r="E39" s="179"/>
      <c r="F39" s="179"/>
      <c r="G39" s="184"/>
      <c r="H39" s="612"/>
      <c r="I39" s="185"/>
      <c r="J39" s="185"/>
      <c r="K39" s="186"/>
      <c r="L39" s="613"/>
      <c r="M39" s="185"/>
      <c r="N39" s="611"/>
      <c r="O39" s="611"/>
      <c r="P39" s="187"/>
      <c r="Q39" s="187"/>
      <c r="R39" s="184"/>
      <c r="S39" s="181"/>
      <c r="T39" s="612"/>
      <c r="U39" s="187"/>
      <c r="V39" s="187"/>
      <c r="W39" s="184"/>
      <c r="X39" s="181"/>
      <c r="Y39" s="612"/>
      <c r="Z39" s="187"/>
      <c r="AA39" s="187"/>
      <c r="AB39" s="184"/>
      <c r="AC39" s="181"/>
      <c r="AD39" s="612"/>
      <c r="AE39" s="187"/>
      <c r="AF39" s="187"/>
      <c r="AG39" s="184"/>
      <c r="AH39" s="181"/>
      <c r="AI39" s="612"/>
      <c r="AJ39" s="187"/>
      <c r="AK39" s="187"/>
      <c r="AL39" s="184"/>
      <c r="AM39" s="181"/>
      <c r="AN39" s="612"/>
      <c r="AO39" s="187"/>
      <c r="AP39" s="187"/>
      <c r="AQ39" s="184"/>
      <c r="AR39" s="181"/>
      <c r="AS39" s="612"/>
      <c r="AT39" s="187"/>
      <c r="AU39" s="187"/>
      <c r="AV39" s="184"/>
      <c r="AW39" s="181"/>
      <c r="AX39" s="612"/>
    </row>
    <row r="40" spans="2:50" ht="14.25" customHeight="1">
      <c r="B40" s="611"/>
      <c r="C40" s="179">
        <v>14</v>
      </c>
      <c r="D40" s="182"/>
      <c r="E40" s="179"/>
      <c r="F40" s="179"/>
      <c r="G40" s="184"/>
      <c r="H40" s="612"/>
      <c r="I40" s="185"/>
      <c r="J40" s="185"/>
      <c r="K40" s="186"/>
      <c r="L40" s="613"/>
      <c r="M40" s="185"/>
      <c r="N40" s="611"/>
      <c r="O40" s="611"/>
      <c r="P40" s="187"/>
      <c r="Q40" s="187"/>
      <c r="R40" s="184"/>
      <c r="S40" s="181"/>
      <c r="T40" s="612"/>
      <c r="U40" s="187"/>
      <c r="V40" s="187"/>
      <c r="W40" s="184"/>
      <c r="X40" s="181"/>
      <c r="Y40" s="612"/>
      <c r="Z40" s="187"/>
      <c r="AA40" s="187"/>
      <c r="AB40" s="184"/>
      <c r="AC40" s="181"/>
      <c r="AD40" s="612"/>
      <c r="AE40" s="187"/>
      <c r="AF40" s="187"/>
      <c r="AG40" s="184"/>
      <c r="AH40" s="181"/>
      <c r="AI40" s="612"/>
      <c r="AJ40" s="187"/>
      <c r="AK40" s="187"/>
      <c r="AL40" s="184"/>
      <c r="AM40" s="181"/>
      <c r="AN40" s="612"/>
      <c r="AO40" s="187"/>
      <c r="AP40" s="187"/>
      <c r="AQ40" s="184"/>
      <c r="AR40" s="181"/>
      <c r="AS40" s="612"/>
      <c r="AT40" s="187"/>
      <c r="AU40" s="187"/>
      <c r="AV40" s="184"/>
      <c r="AW40" s="181"/>
      <c r="AX40" s="612"/>
    </row>
    <row r="41" spans="2:50" ht="14.25" customHeight="1">
      <c r="B41" s="611"/>
      <c r="C41" s="179">
        <v>15</v>
      </c>
      <c r="D41" s="182"/>
      <c r="E41" s="179"/>
      <c r="F41" s="179"/>
      <c r="G41" s="184"/>
      <c r="H41" s="612"/>
      <c r="I41" s="185"/>
      <c r="J41" s="185"/>
      <c r="K41" s="186"/>
      <c r="L41" s="613"/>
      <c r="M41" s="185"/>
      <c r="N41" s="611"/>
      <c r="O41" s="611"/>
      <c r="P41" s="187"/>
      <c r="Q41" s="187"/>
      <c r="R41" s="184"/>
      <c r="S41" s="181"/>
      <c r="T41" s="612"/>
      <c r="U41" s="187"/>
      <c r="V41" s="187"/>
      <c r="W41" s="184"/>
      <c r="X41" s="181"/>
      <c r="Y41" s="612"/>
      <c r="Z41" s="187"/>
      <c r="AA41" s="187"/>
      <c r="AB41" s="184"/>
      <c r="AC41" s="181"/>
      <c r="AD41" s="612"/>
      <c r="AE41" s="187"/>
      <c r="AF41" s="187"/>
      <c r="AG41" s="184"/>
      <c r="AH41" s="181"/>
      <c r="AI41" s="612"/>
      <c r="AJ41" s="187"/>
      <c r="AK41" s="187"/>
      <c r="AL41" s="184"/>
      <c r="AM41" s="181"/>
      <c r="AN41" s="612"/>
      <c r="AO41" s="187"/>
      <c r="AP41" s="187"/>
      <c r="AQ41" s="184"/>
      <c r="AR41" s="181"/>
      <c r="AS41" s="612"/>
      <c r="AT41" s="187"/>
      <c r="AU41" s="187"/>
      <c r="AV41" s="184"/>
      <c r="AW41" s="181"/>
      <c r="AX41" s="612"/>
    </row>
    <row r="42" spans="2:50" ht="14.25" customHeight="1">
      <c r="B42" s="640" t="s">
        <v>800</v>
      </c>
      <c r="C42" s="640"/>
      <c r="D42" s="640"/>
      <c r="E42" s="640"/>
      <c r="F42" s="640"/>
      <c r="G42" s="640"/>
      <c r="H42" s="640"/>
      <c r="I42" s="640"/>
      <c r="J42" s="640"/>
      <c r="K42" s="640"/>
      <c r="L42" s="640"/>
      <c r="M42" s="647"/>
      <c r="N42" s="645" t="s">
        <v>363</v>
      </c>
      <c r="O42" s="645" t="s">
        <v>105</v>
      </c>
      <c r="P42" s="632">
        <v>46217</v>
      </c>
      <c r="Q42" s="633"/>
      <c r="R42" s="633"/>
      <c r="S42" s="633"/>
      <c r="T42" s="633"/>
      <c r="U42" s="634">
        <v>46218</v>
      </c>
      <c r="V42" s="635"/>
      <c r="W42" s="635"/>
      <c r="X42" s="635"/>
      <c r="Y42" s="635"/>
      <c r="Z42" s="632">
        <v>46219</v>
      </c>
      <c r="AA42" s="633"/>
      <c r="AB42" s="633"/>
      <c r="AC42" s="633"/>
      <c r="AD42" s="633"/>
      <c r="AE42" s="634">
        <v>46220</v>
      </c>
      <c r="AF42" s="635"/>
      <c r="AG42" s="635"/>
      <c r="AH42" s="635"/>
      <c r="AI42" s="635"/>
      <c r="AJ42" s="616">
        <v>46221</v>
      </c>
      <c r="AK42" s="617"/>
      <c r="AL42" s="617"/>
      <c r="AM42" s="617"/>
      <c r="AN42" s="618"/>
      <c r="AO42" s="634">
        <v>46222</v>
      </c>
      <c r="AP42" s="635"/>
      <c r="AQ42" s="635"/>
      <c r="AR42" s="635"/>
      <c r="AS42" s="635"/>
      <c r="AT42" s="616">
        <v>46223</v>
      </c>
      <c r="AU42" s="617"/>
      <c r="AV42" s="617"/>
      <c r="AW42" s="617"/>
      <c r="AX42" s="618"/>
    </row>
    <row r="43" spans="2:50" ht="14.25" customHeight="1">
      <c r="B43" s="648"/>
      <c r="C43" s="648"/>
      <c r="D43" s="648"/>
      <c r="E43" s="648"/>
      <c r="F43" s="648"/>
      <c r="G43" s="648"/>
      <c r="H43" s="648"/>
      <c r="I43" s="648"/>
      <c r="J43" s="648"/>
      <c r="K43" s="648"/>
      <c r="L43" s="648"/>
      <c r="M43" s="649"/>
      <c r="N43" s="646"/>
      <c r="O43" s="646"/>
      <c r="P43" s="619">
        <v>46196</v>
      </c>
      <c r="Q43" s="619"/>
      <c r="R43" s="619"/>
      <c r="S43" s="619"/>
      <c r="T43" s="619"/>
      <c r="U43" s="620">
        <v>46197</v>
      </c>
      <c r="V43" s="620"/>
      <c r="W43" s="620"/>
      <c r="X43" s="620"/>
      <c r="Y43" s="620"/>
      <c r="Z43" s="619">
        <v>46198</v>
      </c>
      <c r="AA43" s="619"/>
      <c r="AB43" s="619"/>
      <c r="AC43" s="619"/>
      <c r="AD43" s="619"/>
      <c r="AE43" s="620">
        <v>46199</v>
      </c>
      <c r="AF43" s="620"/>
      <c r="AG43" s="620"/>
      <c r="AH43" s="620"/>
      <c r="AI43" s="620"/>
      <c r="AJ43" s="621">
        <v>46200</v>
      </c>
      <c r="AK43" s="622"/>
      <c r="AL43" s="622"/>
      <c r="AM43" s="622"/>
      <c r="AN43" s="623"/>
      <c r="AO43" s="620">
        <v>46201</v>
      </c>
      <c r="AP43" s="620"/>
      <c r="AQ43" s="620"/>
      <c r="AR43" s="620"/>
      <c r="AS43" s="620"/>
      <c r="AT43" s="621">
        <v>46202</v>
      </c>
      <c r="AU43" s="622"/>
      <c r="AV43" s="622"/>
      <c r="AW43" s="622"/>
      <c r="AX43" s="623"/>
    </row>
    <row r="44" spans="2:50" ht="14.25" customHeight="1">
      <c r="B44" s="611" t="s">
        <v>162</v>
      </c>
      <c r="C44" s="611" t="s">
        <v>157</v>
      </c>
      <c r="D44" s="611"/>
      <c r="E44" s="611" t="s">
        <v>158</v>
      </c>
      <c r="F44" s="611"/>
      <c r="G44" s="611"/>
      <c r="H44" s="611" t="s">
        <v>163</v>
      </c>
      <c r="I44" s="615" t="s">
        <v>364</v>
      </c>
      <c r="J44" s="615"/>
      <c r="K44" s="615"/>
      <c r="L44" s="615" t="s">
        <v>163</v>
      </c>
      <c r="M44" s="615" t="s">
        <v>165</v>
      </c>
      <c r="N44" s="611"/>
      <c r="O44" s="611" t="s">
        <v>164</v>
      </c>
      <c r="P44" s="611" t="s">
        <v>160</v>
      </c>
      <c r="Q44" s="611"/>
      <c r="R44" s="611"/>
      <c r="S44" s="611"/>
      <c r="T44" s="611" t="s">
        <v>163</v>
      </c>
      <c r="U44" s="611" t="s">
        <v>160</v>
      </c>
      <c r="V44" s="611"/>
      <c r="W44" s="611"/>
      <c r="X44" s="611"/>
      <c r="Y44" s="611" t="s">
        <v>163</v>
      </c>
      <c r="Z44" s="611" t="s">
        <v>160</v>
      </c>
      <c r="AA44" s="611"/>
      <c r="AB44" s="611"/>
      <c r="AC44" s="611"/>
      <c r="AD44" s="611" t="s">
        <v>163</v>
      </c>
      <c r="AE44" s="611" t="s">
        <v>160</v>
      </c>
      <c r="AF44" s="611"/>
      <c r="AG44" s="611"/>
      <c r="AH44" s="611"/>
      <c r="AI44" s="611" t="s">
        <v>163</v>
      </c>
      <c r="AJ44" s="611" t="s">
        <v>160</v>
      </c>
      <c r="AK44" s="611"/>
      <c r="AL44" s="611"/>
      <c r="AM44" s="611"/>
      <c r="AN44" s="611" t="s">
        <v>163</v>
      </c>
      <c r="AO44" s="611" t="s">
        <v>160</v>
      </c>
      <c r="AP44" s="611"/>
      <c r="AQ44" s="611"/>
      <c r="AR44" s="611"/>
      <c r="AS44" s="611" t="s">
        <v>163</v>
      </c>
      <c r="AT44" s="611" t="s">
        <v>160</v>
      </c>
      <c r="AU44" s="611"/>
      <c r="AV44" s="611"/>
      <c r="AW44" s="611"/>
      <c r="AX44" s="611" t="s">
        <v>163</v>
      </c>
    </row>
    <row r="45" spans="2:50" ht="14.25" customHeight="1">
      <c r="B45" s="611"/>
      <c r="C45" s="611"/>
      <c r="D45" s="611"/>
      <c r="E45" s="611" t="s">
        <v>365</v>
      </c>
      <c r="F45" s="611"/>
      <c r="G45" s="611"/>
      <c r="H45" s="611"/>
      <c r="I45" s="615" t="s">
        <v>365</v>
      </c>
      <c r="J45" s="615"/>
      <c r="K45" s="615"/>
      <c r="L45" s="615"/>
      <c r="M45" s="615"/>
      <c r="N45" s="611"/>
      <c r="O45" s="611"/>
      <c r="P45" s="611" t="s">
        <v>366</v>
      </c>
      <c r="Q45" s="611"/>
      <c r="R45" s="611"/>
      <c r="S45" s="611"/>
      <c r="T45" s="611"/>
      <c r="U45" s="611" t="s">
        <v>366</v>
      </c>
      <c r="V45" s="611"/>
      <c r="W45" s="611"/>
      <c r="X45" s="611"/>
      <c r="Y45" s="611"/>
      <c r="Z45" s="611" t="s">
        <v>366</v>
      </c>
      <c r="AA45" s="611"/>
      <c r="AB45" s="611"/>
      <c r="AC45" s="611"/>
      <c r="AD45" s="611"/>
      <c r="AE45" s="611" t="s">
        <v>366</v>
      </c>
      <c r="AF45" s="611"/>
      <c r="AG45" s="611"/>
      <c r="AH45" s="611"/>
      <c r="AI45" s="611"/>
      <c r="AJ45" s="611" t="s">
        <v>366</v>
      </c>
      <c r="AK45" s="611"/>
      <c r="AL45" s="611"/>
      <c r="AM45" s="611"/>
      <c r="AN45" s="611"/>
      <c r="AO45" s="611" t="s">
        <v>366</v>
      </c>
      <c r="AP45" s="611"/>
      <c r="AQ45" s="611"/>
      <c r="AR45" s="611"/>
      <c r="AS45" s="611"/>
      <c r="AT45" s="611" t="s">
        <v>366</v>
      </c>
      <c r="AU45" s="611"/>
      <c r="AV45" s="611"/>
      <c r="AW45" s="611"/>
      <c r="AX45" s="611"/>
    </row>
    <row r="46" spans="2:50" ht="14.25" customHeight="1">
      <c r="B46" s="611"/>
      <c r="C46" s="611"/>
      <c r="D46" s="611"/>
      <c r="E46" s="179" t="s">
        <v>159</v>
      </c>
      <c r="F46" s="179" t="s">
        <v>367</v>
      </c>
      <c r="G46" s="179" t="s">
        <v>161</v>
      </c>
      <c r="H46" s="611"/>
      <c r="I46" s="180" t="s">
        <v>159</v>
      </c>
      <c r="J46" s="180" t="s">
        <v>367</v>
      </c>
      <c r="K46" s="180" t="s">
        <v>161</v>
      </c>
      <c r="L46" s="615"/>
      <c r="M46" s="615"/>
      <c r="N46" s="611"/>
      <c r="O46" s="611"/>
      <c r="P46" s="179" t="s">
        <v>159</v>
      </c>
      <c r="Q46" s="179" t="s">
        <v>367</v>
      </c>
      <c r="R46" s="179" t="s">
        <v>161</v>
      </c>
      <c r="S46" s="181" t="s">
        <v>165</v>
      </c>
      <c r="T46" s="611"/>
      <c r="U46" s="179" t="s">
        <v>159</v>
      </c>
      <c r="V46" s="179" t="s">
        <v>367</v>
      </c>
      <c r="W46" s="179" t="s">
        <v>161</v>
      </c>
      <c r="X46" s="181" t="s">
        <v>165</v>
      </c>
      <c r="Y46" s="611"/>
      <c r="Z46" s="179" t="s">
        <v>159</v>
      </c>
      <c r="AA46" s="179" t="s">
        <v>367</v>
      </c>
      <c r="AB46" s="179" t="s">
        <v>161</v>
      </c>
      <c r="AC46" s="181" t="s">
        <v>165</v>
      </c>
      <c r="AD46" s="611"/>
      <c r="AE46" s="179" t="s">
        <v>159</v>
      </c>
      <c r="AF46" s="179" t="s">
        <v>367</v>
      </c>
      <c r="AG46" s="179" t="s">
        <v>161</v>
      </c>
      <c r="AH46" s="181" t="s">
        <v>165</v>
      </c>
      <c r="AI46" s="611"/>
      <c r="AJ46" s="179" t="s">
        <v>159</v>
      </c>
      <c r="AK46" s="179" t="s">
        <v>367</v>
      </c>
      <c r="AL46" s="179" t="s">
        <v>161</v>
      </c>
      <c r="AM46" s="181" t="s">
        <v>165</v>
      </c>
      <c r="AN46" s="611"/>
      <c r="AO46" s="179" t="s">
        <v>159</v>
      </c>
      <c r="AP46" s="179" t="s">
        <v>367</v>
      </c>
      <c r="AQ46" s="179" t="s">
        <v>161</v>
      </c>
      <c r="AR46" s="181" t="s">
        <v>165</v>
      </c>
      <c r="AS46" s="611"/>
      <c r="AT46" s="179" t="s">
        <v>159</v>
      </c>
      <c r="AU46" s="179" t="s">
        <v>367</v>
      </c>
      <c r="AV46" s="179" t="s">
        <v>161</v>
      </c>
      <c r="AW46" s="181" t="s">
        <v>165</v>
      </c>
      <c r="AX46" s="611"/>
    </row>
    <row r="47" spans="2:50" ht="14.25" customHeight="1">
      <c r="B47" s="611" t="s">
        <v>369</v>
      </c>
      <c r="C47" s="179">
        <v>1</v>
      </c>
      <c r="D47" s="182" t="s">
        <v>346</v>
      </c>
      <c r="E47" s="183">
        <v>10</v>
      </c>
      <c r="F47" s="179">
        <v>3600</v>
      </c>
      <c r="G47" s="184">
        <f t="shared" ref="G47:G49" si="32">IFERROR(F47/E47,"")</f>
        <v>360</v>
      </c>
      <c r="H47" s="612">
        <f>AVERAGE(G47:G61)</f>
        <v>338.18181818181819</v>
      </c>
      <c r="I47" s="185">
        <f>AVERAGE(P47,U47,Z47,AE47,AJ47,AO47,AT47)</f>
        <v>10</v>
      </c>
      <c r="J47" s="185">
        <f>AVERAGE(Q47,V47,AA47,AF47,AK47,AP47,AU47)</f>
        <v>3216.8381225817602</v>
      </c>
      <c r="K47" s="186">
        <f>AVERAGE(R47,W47,AB47,AG47,AL47,AQ47,AV47)</f>
        <v>321.68381225817592</v>
      </c>
      <c r="L47" s="613">
        <f>IFERROR(AVERAGE(K47:K61),"-")</f>
        <v>298.89111946735642</v>
      </c>
      <c r="M47" s="185">
        <f>RANK(K47, K$47:$K$61)</f>
        <v>1</v>
      </c>
      <c r="N47" s="611"/>
      <c r="O47" s="611"/>
      <c r="P47" s="187">
        <v>10</v>
      </c>
      <c r="Q47" s="187">
        <v>3217.9695511531886</v>
      </c>
      <c r="R47" s="184">
        <f>IFERROR(Q47/P47,"")</f>
        <v>321.79695511531884</v>
      </c>
      <c r="S47" s="181">
        <f>RANK(R47, R$47:R$61)</f>
        <v>1</v>
      </c>
      <c r="T47" s="612">
        <f>AVERAGE(R47:R61)</f>
        <v>299.01047169506325</v>
      </c>
      <c r="U47" s="187">
        <v>10</v>
      </c>
      <c r="V47" s="187">
        <v>3218.3295511531883</v>
      </c>
      <c r="W47" s="184">
        <f t="shared" ref="W47:W49" si="33">IFERROR(V47/U47,"")</f>
        <v>321.83295511531884</v>
      </c>
      <c r="X47" s="181">
        <f>RANK(W47, W$47:W$61)</f>
        <v>1</v>
      </c>
      <c r="Y47" s="612">
        <f>AVERAGE(W47:W61)</f>
        <v>298.95701714960865</v>
      </c>
      <c r="Z47" s="187">
        <v>10</v>
      </c>
      <c r="AA47" s="187">
        <v>3217.609551153188</v>
      </c>
      <c r="AB47" s="184">
        <f>IFERROR(AA47/Z47,"")</f>
        <v>321.76095511531878</v>
      </c>
      <c r="AC47" s="181">
        <f>RANK(AB47, AB$47:AB$61)</f>
        <v>1</v>
      </c>
      <c r="AD47" s="612">
        <f>AVERAGE(AB47:AB61)</f>
        <v>298.86350445894158</v>
      </c>
      <c r="AE47" s="187">
        <v>10</v>
      </c>
      <c r="AF47" s="187">
        <v>3217.2495511531883</v>
      </c>
      <c r="AG47" s="184">
        <f>IFERROR(AF47/AE47,"")</f>
        <v>321.72495511531883</v>
      </c>
      <c r="AH47" s="181">
        <f>RANK(AG47, AG$47:AG$61)</f>
        <v>1</v>
      </c>
      <c r="AI47" s="612">
        <f>AVERAGE(AG47:AG61)</f>
        <v>298.86241354985071</v>
      </c>
      <c r="AJ47" s="187">
        <v>10</v>
      </c>
      <c r="AK47" s="187">
        <v>3216.1695511531884</v>
      </c>
      <c r="AL47" s="184">
        <f>IFERROR(AK47/AJ47,"")</f>
        <v>321.61695511531883</v>
      </c>
      <c r="AM47" s="181">
        <f>RANK(AL47, AL$47:AL$61)</f>
        <v>1</v>
      </c>
      <c r="AN47" s="612">
        <f>AVERAGE(AL47:AL61)</f>
        <v>298.91368627712342</v>
      </c>
      <c r="AO47" s="187">
        <v>10</v>
      </c>
      <c r="AP47" s="187">
        <v>3215.8095511531883</v>
      </c>
      <c r="AQ47" s="184">
        <f>IFERROR(AP47/AO47,"")</f>
        <v>321.58095511531883</v>
      </c>
      <c r="AR47" s="181">
        <f>RANK(AQ47, AQ$47:AQ$61)</f>
        <v>1</v>
      </c>
      <c r="AS47" s="612">
        <f>AVERAGE(AQ47:AQ61)</f>
        <v>298.91259536803256</v>
      </c>
      <c r="AT47" s="187">
        <v>10</v>
      </c>
      <c r="AU47" s="187">
        <v>3214.7295511531884</v>
      </c>
      <c r="AV47" s="184">
        <f>IFERROR(AU47/AT47,"")</f>
        <v>321.47295511531883</v>
      </c>
      <c r="AW47" s="181">
        <f>RANK(AV47, AV$47:AV$61)</f>
        <v>1</v>
      </c>
      <c r="AX47" s="612">
        <f>AVERAGE(AV47:AV61)</f>
        <v>298.71814777287483</v>
      </c>
    </row>
    <row r="48" spans="2:50" ht="14.25" customHeight="1">
      <c r="B48" s="611"/>
      <c r="C48" s="179">
        <v>2</v>
      </c>
      <c r="D48" s="182" t="s">
        <v>521</v>
      </c>
      <c r="E48" s="179">
        <v>11</v>
      </c>
      <c r="F48" s="179">
        <v>3600</v>
      </c>
      <c r="G48" s="184">
        <f t="shared" si="32"/>
        <v>327.27272727272725</v>
      </c>
      <c r="H48" s="612"/>
      <c r="I48" s="185">
        <f t="shared" ref="I48:K49" si="34">AVERAGE(P48,U48,Z48,AE48,AJ48,AO48,AT48)</f>
        <v>11</v>
      </c>
      <c r="J48" s="185">
        <f t="shared" si="34"/>
        <v>3162.4030191664701</v>
      </c>
      <c r="K48" s="186">
        <f t="shared" si="34"/>
        <v>287.49118356058818</v>
      </c>
      <c r="L48" s="613"/>
      <c r="M48" s="185">
        <f>RANK(K48, K$47:$K$61)</f>
        <v>3</v>
      </c>
      <c r="N48" s="611"/>
      <c r="O48" s="611"/>
      <c r="P48" s="187">
        <v>11</v>
      </c>
      <c r="Q48" s="187">
        <v>3163.2970712522224</v>
      </c>
      <c r="R48" s="184">
        <f t="shared" ref="R48:R49" si="35">IFERROR(Q48/P48,"")</f>
        <v>287.5724610229293</v>
      </c>
      <c r="S48" s="181">
        <f t="shared" ref="S48:S49" si="36">RANK(R48, R$47:R$61)</f>
        <v>3</v>
      </c>
      <c r="T48" s="612"/>
      <c r="U48" s="187">
        <v>11</v>
      </c>
      <c r="V48" s="187">
        <v>3161.8570712522228</v>
      </c>
      <c r="W48" s="184">
        <f t="shared" si="33"/>
        <v>287.44155193202027</v>
      </c>
      <c r="X48" s="181">
        <f t="shared" ref="X48:X49" si="37">RANK(W48, W$47:W$61)</f>
        <v>3</v>
      </c>
      <c r="Y48" s="612"/>
      <c r="Z48" s="187">
        <v>11</v>
      </c>
      <c r="AA48" s="187">
        <v>3161.0031524602082</v>
      </c>
      <c r="AB48" s="184">
        <f t="shared" ref="AB48:AB49" si="38">IFERROR(AA48/Z48,"")</f>
        <v>287.36392295092804</v>
      </c>
      <c r="AC48" s="181">
        <f t="shared" ref="AC48:AC49" si="39">RANK(AB48, AB$47:AB$61)</f>
        <v>3</v>
      </c>
      <c r="AD48" s="612"/>
      <c r="AE48" s="187">
        <v>11</v>
      </c>
      <c r="AF48" s="187">
        <v>3161.7231524602089</v>
      </c>
      <c r="AG48" s="184">
        <f t="shared" ref="AG48:AG49" si="40">IFERROR(AF48/AE48,"")</f>
        <v>287.42937749638264</v>
      </c>
      <c r="AH48" s="181">
        <f t="shared" ref="AH48:AH49" si="41">RANK(AG48, AG$47:AG$61)</f>
        <v>3</v>
      </c>
      <c r="AI48" s="612"/>
      <c r="AJ48" s="187">
        <v>11</v>
      </c>
      <c r="AK48" s="187">
        <v>3163.5231524602091</v>
      </c>
      <c r="AL48" s="184">
        <f t="shared" ref="AL48:AL49" si="42">IFERROR(AK48/AJ48,"")</f>
        <v>287.59301386001903</v>
      </c>
      <c r="AM48" s="181">
        <f t="shared" ref="AM48:AM49" si="43">RANK(AL48, AL$47:AL$61)</f>
        <v>2</v>
      </c>
      <c r="AN48" s="612"/>
      <c r="AO48" s="187">
        <v>11</v>
      </c>
      <c r="AP48" s="187">
        <v>3164.96315246021</v>
      </c>
      <c r="AQ48" s="184">
        <f t="shared" ref="AQ48:AQ49" si="44">IFERROR(AP48/AO48,"")</f>
        <v>287.72392295092817</v>
      </c>
      <c r="AR48" s="181">
        <f t="shared" ref="AR48:AR49" si="45">RANK(AQ48, AQ$47:AQ$61)</f>
        <v>2</v>
      </c>
      <c r="AS48" s="612"/>
      <c r="AT48" s="187">
        <v>11</v>
      </c>
      <c r="AU48" s="187">
        <v>3160.4543818200063</v>
      </c>
      <c r="AV48" s="184">
        <f t="shared" ref="AV48:AV49" si="46">IFERROR(AU48/AT48,"")</f>
        <v>287.31403471090965</v>
      </c>
      <c r="AW48" s="181">
        <f t="shared" ref="AW48:AW49" si="47">RANK(AV48, AV$47:AV$61)</f>
        <v>3</v>
      </c>
      <c r="AX48" s="612"/>
    </row>
    <row r="49" spans="2:50" ht="14.25" customHeight="1">
      <c r="B49" s="611"/>
      <c r="C49" s="179">
        <v>3</v>
      </c>
      <c r="D49" s="182" t="s">
        <v>522</v>
      </c>
      <c r="E49" s="179">
        <v>11</v>
      </c>
      <c r="F49" s="179">
        <v>3600</v>
      </c>
      <c r="G49" s="184">
        <f t="shared" si="32"/>
        <v>327.27272727272725</v>
      </c>
      <c r="H49" s="612"/>
      <c r="I49" s="185">
        <f t="shared" si="34"/>
        <v>11</v>
      </c>
      <c r="J49" s="185">
        <f t="shared" si="34"/>
        <v>3162.4819884163567</v>
      </c>
      <c r="K49" s="186">
        <f t="shared" si="34"/>
        <v>287.49836258330521</v>
      </c>
      <c r="L49" s="613"/>
      <c r="M49" s="185">
        <f>RANK(K49, K$47:$K$61)</f>
        <v>2</v>
      </c>
      <c r="N49" s="611"/>
      <c r="O49" s="611"/>
      <c r="P49" s="187">
        <v>11</v>
      </c>
      <c r="Q49" s="187">
        <v>3164.2819884163564</v>
      </c>
      <c r="R49" s="184">
        <f t="shared" si="35"/>
        <v>287.66199894694148</v>
      </c>
      <c r="S49" s="181">
        <f t="shared" si="36"/>
        <v>2</v>
      </c>
      <c r="T49" s="612"/>
      <c r="U49" s="187">
        <v>11</v>
      </c>
      <c r="V49" s="187">
        <v>3163.5619884163566</v>
      </c>
      <c r="W49" s="184">
        <f t="shared" si="33"/>
        <v>287.59654440148694</v>
      </c>
      <c r="X49" s="181">
        <f t="shared" si="37"/>
        <v>2</v>
      </c>
      <c r="Y49" s="612"/>
      <c r="Z49" s="187">
        <v>11</v>
      </c>
      <c r="AA49" s="187">
        <v>3162.1219884163561</v>
      </c>
      <c r="AB49" s="184">
        <f t="shared" si="38"/>
        <v>287.46563531057785</v>
      </c>
      <c r="AC49" s="181">
        <f t="shared" si="39"/>
        <v>2</v>
      </c>
      <c r="AD49" s="612"/>
      <c r="AE49" s="187">
        <v>11</v>
      </c>
      <c r="AF49" s="187">
        <v>3161.7619884163569</v>
      </c>
      <c r="AG49" s="184">
        <f t="shared" si="40"/>
        <v>287.43290803785061</v>
      </c>
      <c r="AH49" s="181">
        <f t="shared" si="41"/>
        <v>2</v>
      </c>
      <c r="AI49" s="612"/>
      <c r="AJ49" s="187">
        <v>11</v>
      </c>
      <c r="AK49" s="187">
        <v>3162.8419884163568</v>
      </c>
      <c r="AL49" s="184">
        <f t="shared" si="42"/>
        <v>287.53108985603245</v>
      </c>
      <c r="AM49" s="181">
        <f t="shared" si="43"/>
        <v>3</v>
      </c>
      <c r="AN49" s="612"/>
      <c r="AO49" s="187">
        <v>11</v>
      </c>
      <c r="AP49" s="187">
        <v>3161.7619884163573</v>
      </c>
      <c r="AQ49" s="184">
        <f t="shared" si="44"/>
        <v>287.43290803785067</v>
      </c>
      <c r="AR49" s="181">
        <f t="shared" si="45"/>
        <v>3</v>
      </c>
      <c r="AS49" s="612"/>
      <c r="AT49" s="187">
        <v>11</v>
      </c>
      <c r="AU49" s="187">
        <v>3161.0419884163571</v>
      </c>
      <c r="AV49" s="184">
        <f t="shared" si="46"/>
        <v>287.36745349239612</v>
      </c>
      <c r="AW49" s="181">
        <f t="shared" si="47"/>
        <v>2</v>
      </c>
      <c r="AX49" s="612"/>
    </row>
    <row r="50" spans="2:50" ht="14.25" customHeight="1">
      <c r="B50" s="611"/>
      <c r="C50" s="179">
        <v>4</v>
      </c>
      <c r="D50" s="182"/>
      <c r="E50" s="179"/>
      <c r="F50" s="179"/>
      <c r="G50" s="184"/>
      <c r="H50" s="612"/>
      <c r="I50" s="185"/>
      <c r="J50" s="185"/>
      <c r="K50" s="186"/>
      <c r="L50" s="613"/>
      <c r="M50" s="185"/>
      <c r="N50" s="611"/>
      <c r="O50" s="611"/>
      <c r="P50" s="187"/>
      <c r="Q50" s="187"/>
      <c r="R50" s="184"/>
      <c r="S50" s="181"/>
      <c r="T50" s="612"/>
      <c r="U50" s="187"/>
      <c r="V50" s="187"/>
      <c r="W50" s="184"/>
      <c r="X50" s="181"/>
      <c r="Y50" s="612"/>
      <c r="Z50" s="187"/>
      <c r="AA50" s="187"/>
      <c r="AB50" s="184"/>
      <c r="AC50" s="181"/>
      <c r="AD50" s="612"/>
      <c r="AE50" s="187"/>
      <c r="AF50" s="187"/>
      <c r="AG50" s="184"/>
      <c r="AH50" s="181"/>
      <c r="AI50" s="612"/>
      <c r="AJ50" s="187"/>
      <c r="AK50" s="187"/>
      <c r="AL50" s="184"/>
      <c r="AM50" s="181"/>
      <c r="AN50" s="612"/>
      <c r="AO50" s="187"/>
      <c r="AP50" s="187"/>
      <c r="AQ50" s="184"/>
      <c r="AR50" s="181"/>
      <c r="AS50" s="612"/>
      <c r="AT50" s="187"/>
      <c r="AU50" s="187"/>
      <c r="AV50" s="184"/>
      <c r="AW50" s="181"/>
      <c r="AX50" s="612"/>
    </row>
    <row r="51" spans="2:50" ht="14.25" customHeight="1">
      <c r="B51" s="611"/>
      <c r="C51" s="179">
        <v>5</v>
      </c>
      <c r="D51" s="182"/>
      <c r="E51" s="179"/>
      <c r="F51" s="179"/>
      <c r="G51" s="184"/>
      <c r="H51" s="612"/>
      <c r="I51" s="185"/>
      <c r="J51" s="185"/>
      <c r="K51" s="186"/>
      <c r="L51" s="613"/>
      <c r="M51" s="185"/>
      <c r="N51" s="611"/>
      <c r="O51" s="611"/>
      <c r="P51" s="187"/>
      <c r="Q51" s="187"/>
      <c r="R51" s="184"/>
      <c r="S51" s="181"/>
      <c r="T51" s="612"/>
      <c r="U51" s="187"/>
      <c r="V51" s="187"/>
      <c r="W51" s="184"/>
      <c r="X51" s="181"/>
      <c r="Y51" s="612"/>
      <c r="Z51" s="187"/>
      <c r="AA51" s="187"/>
      <c r="AB51" s="184"/>
      <c r="AC51" s="181"/>
      <c r="AD51" s="612"/>
      <c r="AE51" s="187"/>
      <c r="AF51" s="187"/>
      <c r="AG51" s="184"/>
      <c r="AH51" s="181"/>
      <c r="AI51" s="612"/>
      <c r="AJ51" s="187"/>
      <c r="AK51" s="187"/>
      <c r="AL51" s="184"/>
      <c r="AM51" s="181"/>
      <c r="AN51" s="612"/>
      <c r="AO51" s="187"/>
      <c r="AP51" s="187"/>
      <c r="AQ51" s="184"/>
      <c r="AR51" s="181"/>
      <c r="AS51" s="612"/>
      <c r="AT51" s="187"/>
      <c r="AU51" s="187"/>
      <c r="AV51" s="184"/>
      <c r="AW51" s="181"/>
      <c r="AX51" s="612"/>
    </row>
    <row r="52" spans="2:50" ht="14.25" customHeight="1">
      <c r="B52" s="611"/>
      <c r="C52" s="179">
        <v>6</v>
      </c>
      <c r="D52" s="182"/>
      <c r="E52" s="179"/>
      <c r="F52" s="179"/>
      <c r="G52" s="184"/>
      <c r="H52" s="612"/>
      <c r="I52" s="185"/>
      <c r="J52" s="185"/>
      <c r="K52" s="186"/>
      <c r="L52" s="613"/>
      <c r="M52" s="185"/>
      <c r="N52" s="611"/>
      <c r="O52" s="611"/>
      <c r="P52" s="187"/>
      <c r="Q52" s="187"/>
      <c r="R52" s="184"/>
      <c r="S52" s="181"/>
      <c r="T52" s="612"/>
      <c r="U52" s="187"/>
      <c r="V52" s="187"/>
      <c r="W52" s="184"/>
      <c r="X52" s="181"/>
      <c r="Y52" s="612"/>
      <c r="Z52" s="187"/>
      <c r="AA52" s="187"/>
      <c r="AB52" s="184"/>
      <c r="AC52" s="181"/>
      <c r="AD52" s="612"/>
      <c r="AE52" s="187"/>
      <c r="AF52" s="187"/>
      <c r="AG52" s="184"/>
      <c r="AH52" s="181"/>
      <c r="AI52" s="612"/>
      <c r="AJ52" s="187"/>
      <c r="AK52" s="187"/>
      <c r="AL52" s="184"/>
      <c r="AM52" s="181"/>
      <c r="AN52" s="612"/>
      <c r="AO52" s="187"/>
      <c r="AP52" s="187"/>
      <c r="AQ52" s="184"/>
      <c r="AR52" s="181"/>
      <c r="AS52" s="612"/>
      <c r="AT52" s="187"/>
      <c r="AU52" s="187"/>
      <c r="AV52" s="184"/>
      <c r="AW52" s="181"/>
      <c r="AX52" s="612"/>
    </row>
    <row r="53" spans="2:50" ht="14.25" customHeight="1">
      <c r="B53" s="611"/>
      <c r="C53" s="179">
        <v>7</v>
      </c>
      <c r="D53" s="182"/>
      <c r="E53" s="179"/>
      <c r="F53" s="179"/>
      <c r="G53" s="184"/>
      <c r="H53" s="612"/>
      <c r="I53" s="185"/>
      <c r="J53" s="185"/>
      <c r="K53" s="186"/>
      <c r="L53" s="613"/>
      <c r="M53" s="185"/>
      <c r="N53" s="611"/>
      <c r="O53" s="611"/>
      <c r="P53" s="187"/>
      <c r="Q53" s="187"/>
      <c r="R53" s="184"/>
      <c r="S53" s="181"/>
      <c r="T53" s="612"/>
      <c r="U53" s="187"/>
      <c r="V53" s="187"/>
      <c r="W53" s="184"/>
      <c r="X53" s="181"/>
      <c r="Y53" s="612"/>
      <c r="Z53" s="187"/>
      <c r="AA53" s="187"/>
      <c r="AB53" s="184"/>
      <c r="AC53" s="181"/>
      <c r="AD53" s="612"/>
      <c r="AE53" s="187"/>
      <c r="AF53" s="187"/>
      <c r="AG53" s="184"/>
      <c r="AH53" s="181"/>
      <c r="AI53" s="612"/>
      <c r="AJ53" s="187"/>
      <c r="AK53" s="187"/>
      <c r="AL53" s="184"/>
      <c r="AM53" s="181"/>
      <c r="AN53" s="612"/>
      <c r="AO53" s="187"/>
      <c r="AP53" s="187"/>
      <c r="AQ53" s="184"/>
      <c r="AR53" s="181"/>
      <c r="AS53" s="612"/>
      <c r="AT53" s="187"/>
      <c r="AU53" s="187"/>
      <c r="AV53" s="184"/>
      <c r="AW53" s="181"/>
      <c r="AX53" s="612"/>
    </row>
    <row r="54" spans="2:50" ht="14.25" customHeight="1">
      <c r="B54" s="611"/>
      <c r="C54" s="179">
        <v>8</v>
      </c>
      <c r="D54" s="182"/>
      <c r="E54" s="179"/>
      <c r="F54" s="179"/>
      <c r="G54" s="184"/>
      <c r="H54" s="612"/>
      <c r="I54" s="185"/>
      <c r="J54" s="185"/>
      <c r="K54" s="186"/>
      <c r="L54" s="613"/>
      <c r="M54" s="185"/>
      <c r="N54" s="611"/>
      <c r="O54" s="611"/>
      <c r="P54" s="187"/>
      <c r="Q54" s="187"/>
      <c r="R54" s="184"/>
      <c r="S54" s="181"/>
      <c r="T54" s="612"/>
      <c r="U54" s="187"/>
      <c r="V54" s="187"/>
      <c r="W54" s="184"/>
      <c r="X54" s="181"/>
      <c r="Y54" s="612"/>
      <c r="Z54" s="187"/>
      <c r="AA54" s="187"/>
      <c r="AB54" s="184"/>
      <c r="AC54" s="181"/>
      <c r="AD54" s="612"/>
      <c r="AE54" s="187"/>
      <c r="AF54" s="187"/>
      <c r="AG54" s="184"/>
      <c r="AH54" s="181"/>
      <c r="AI54" s="612"/>
      <c r="AJ54" s="187"/>
      <c r="AK54" s="187"/>
      <c r="AL54" s="184"/>
      <c r="AM54" s="181"/>
      <c r="AN54" s="612"/>
      <c r="AO54" s="187"/>
      <c r="AP54" s="187"/>
      <c r="AQ54" s="184"/>
      <c r="AR54" s="181"/>
      <c r="AS54" s="612"/>
      <c r="AT54" s="187"/>
      <c r="AU54" s="187"/>
      <c r="AV54" s="184"/>
      <c r="AW54" s="181"/>
      <c r="AX54" s="612"/>
    </row>
    <row r="55" spans="2:50" ht="14.25" customHeight="1">
      <c r="B55" s="611"/>
      <c r="C55" s="179">
        <v>9</v>
      </c>
      <c r="D55" s="182"/>
      <c r="E55" s="179"/>
      <c r="F55" s="179"/>
      <c r="G55" s="184"/>
      <c r="H55" s="612"/>
      <c r="I55" s="185"/>
      <c r="J55" s="185"/>
      <c r="K55" s="186"/>
      <c r="L55" s="613"/>
      <c r="M55" s="185"/>
      <c r="N55" s="611"/>
      <c r="O55" s="611"/>
      <c r="P55" s="187"/>
      <c r="Q55" s="187"/>
      <c r="R55" s="184"/>
      <c r="S55" s="181"/>
      <c r="T55" s="612"/>
      <c r="U55" s="187"/>
      <c r="V55" s="187"/>
      <c r="W55" s="184"/>
      <c r="X55" s="181"/>
      <c r="Y55" s="612"/>
      <c r="Z55" s="187"/>
      <c r="AA55" s="187"/>
      <c r="AB55" s="184"/>
      <c r="AC55" s="181"/>
      <c r="AD55" s="612"/>
      <c r="AE55" s="187"/>
      <c r="AF55" s="187"/>
      <c r="AG55" s="184"/>
      <c r="AH55" s="181"/>
      <c r="AI55" s="612"/>
      <c r="AJ55" s="187"/>
      <c r="AK55" s="187"/>
      <c r="AL55" s="184"/>
      <c r="AM55" s="181"/>
      <c r="AN55" s="612"/>
      <c r="AO55" s="187"/>
      <c r="AP55" s="187"/>
      <c r="AQ55" s="184"/>
      <c r="AR55" s="181"/>
      <c r="AS55" s="612"/>
      <c r="AT55" s="187"/>
      <c r="AU55" s="187"/>
      <c r="AV55" s="184"/>
      <c r="AW55" s="181"/>
      <c r="AX55" s="612"/>
    </row>
    <row r="56" spans="2:50" ht="14.25" customHeight="1">
      <c r="B56" s="611"/>
      <c r="C56" s="179">
        <v>10</v>
      </c>
      <c r="D56" s="182"/>
      <c r="E56" s="179"/>
      <c r="F56" s="179"/>
      <c r="G56" s="184"/>
      <c r="H56" s="612"/>
      <c r="I56" s="185"/>
      <c r="J56" s="185"/>
      <c r="K56" s="186"/>
      <c r="L56" s="613"/>
      <c r="M56" s="185"/>
      <c r="N56" s="611"/>
      <c r="O56" s="611"/>
      <c r="P56" s="187"/>
      <c r="Q56" s="187"/>
      <c r="R56" s="184"/>
      <c r="S56" s="181"/>
      <c r="T56" s="612"/>
      <c r="U56" s="187"/>
      <c r="V56" s="187"/>
      <c r="W56" s="184"/>
      <c r="X56" s="181"/>
      <c r="Y56" s="612"/>
      <c r="Z56" s="187"/>
      <c r="AA56" s="187"/>
      <c r="AB56" s="184"/>
      <c r="AC56" s="181"/>
      <c r="AD56" s="612"/>
      <c r="AE56" s="187"/>
      <c r="AF56" s="187"/>
      <c r="AG56" s="184"/>
      <c r="AH56" s="181"/>
      <c r="AI56" s="612"/>
      <c r="AJ56" s="187"/>
      <c r="AK56" s="187"/>
      <c r="AL56" s="184"/>
      <c r="AM56" s="181"/>
      <c r="AN56" s="612"/>
      <c r="AO56" s="187"/>
      <c r="AP56" s="187"/>
      <c r="AQ56" s="184"/>
      <c r="AR56" s="181"/>
      <c r="AS56" s="612"/>
      <c r="AT56" s="187"/>
      <c r="AU56" s="187"/>
      <c r="AV56" s="184"/>
      <c r="AW56" s="181"/>
      <c r="AX56" s="612"/>
    </row>
    <row r="57" spans="2:50" ht="14.25" customHeight="1">
      <c r="B57" s="611"/>
      <c r="C57" s="179">
        <v>11</v>
      </c>
      <c r="D57" s="182"/>
      <c r="E57" s="179"/>
      <c r="F57" s="179"/>
      <c r="G57" s="184"/>
      <c r="H57" s="612"/>
      <c r="I57" s="185"/>
      <c r="J57" s="185"/>
      <c r="K57" s="186"/>
      <c r="L57" s="613"/>
      <c r="M57" s="185"/>
      <c r="N57" s="611"/>
      <c r="O57" s="611"/>
      <c r="P57" s="187"/>
      <c r="Q57" s="187"/>
      <c r="R57" s="184"/>
      <c r="S57" s="181"/>
      <c r="T57" s="612"/>
      <c r="U57" s="187"/>
      <c r="V57" s="187"/>
      <c r="W57" s="184"/>
      <c r="X57" s="181"/>
      <c r="Y57" s="612"/>
      <c r="Z57" s="187"/>
      <c r="AA57" s="187"/>
      <c r="AB57" s="184"/>
      <c r="AC57" s="181"/>
      <c r="AD57" s="612"/>
      <c r="AE57" s="187"/>
      <c r="AF57" s="187"/>
      <c r="AG57" s="184"/>
      <c r="AH57" s="181"/>
      <c r="AI57" s="612"/>
      <c r="AJ57" s="187"/>
      <c r="AK57" s="187"/>
      <c r="AL57" s="184"/>
      <c r="AM57" s="181"/>
      <c r="AN57" s="612"/>
      <c r="AO57" s="187"/>
      <c r="AP57" s="187"/>
      <c r="AQ57" s="184"/>
      <c r="AR57" s="181"/>
      <c r="AS57" s="612"/>
      <c r="AT57" s="187"/>
      <c r="AU57" s="187"/>
      <c r="AV57" s="184"/>
      <c r="AW57" s="181"/>
      <c r="AX57" s="612"/>
    </row>
    <row r="58" spans="2:50" ht="14.25" customHeight="1">
      <c r="B58" s="611"/>
      <c r="C58" s="179">
        <v>12</v>
      </c>
      <c r="D58" s="182"/>
      <c r="E58" s="179"/>
      <c r="F58" s="179"/>
      <c r="G58" s="184"/>
      <c r="H58" s="612"/>
      <c r="I58" s="185"/>
      <c r="J58" s="185"/>
      <c r="K58" s="186"/>
      <c r="L58" s="613"/>
      <c r="M58" s="185"/>
      <c r="N58" s="611"/>
      <c r="O58" s="611"/>
      <c r="P58" s="187"/>
      <c r="Q58" s="187"/>
      <c r="R58" s="184"/>
      <c r="S58" s="181"/>
      <c r="T58" s="612"/>
      <c r="U58" s="187"/>
      <c r="V58" s="187"/>
      <c r="W58" s="184"/>
      <c r="X58" s="181"/>
      <c r="Y58" s="612"/>
      <c r="Z58" s="187"/>
      <c r="AA58" s="187"/>
      <c r="AB58" s="184"/>
      <c r="AC58" s="181"/>
      <c r="AD58" s="612"/>
      <c r="AE58" s="187"/>
      <c r="AF58" s="187"/>
      <c r="AG58" s="184"/>
      <c r="AH58" s="181"/>
      <c r="AI58" s="612"/>
      <c r="AJ58" s="187"/>
      <c r="AK58" s="187"/>
      <c r="AL58" s="184"/>
      <c r="AM58" s="181"/>
      <c r="AN58" s="612"/>
      <c r="AO58" s="187"/>
      <c r="AP58" s="187"/>
      <c r="AQ58" s="184"/>
      <c r="AR58" s="181"/>
      <c r="AS58" s="612"/>
      <c r="AT58" s="187"/>
      <c r="AU58" s="187"/>
      <c r="AV58" s="184"/>
      <c r="AW58" s="181"/>
      <c r="AX58" s="612"/>
    </row>
    <row r="59" spans="2:50" ht="14.25" customHeight="1">
      <c r="B59" s="611"/>
      <c r="C59" s="179">
        <v>13</v>
      </c>
      <c r="D59" s="182"/>
      <c r="E59" s="179"/>
      <c r="F59" s="179"/>
      <c r="G59" s="184"/>
      <c r="H59" s="612"/>
      <c r="I59" s="185"/>
      <c r="J59" s="185"/>
      <c r="K59" s="186"/>
      <c r="L59" s="613"/>
      <c r="M59" s="185"/>
      <c r="N59" s="611"/>
      <c r="O59" s="611"/>
      <c r="P59" s="187"/>
      <c r="Q59" s="187"/>
      <c r="R59" s="184"/>
      <c r="S59" s="181"/>
      <c r="T59" s="612"/>
      <c r="U59" s="187"/>
      <c r="V59" s="187"/>
      <c r="W59" s="184"/>
      <c r="X59" s="181"/>
      <c r="Y59" s="612"/>
      <c r="Z59" s="187"/>
      <c r="AA59" s="187"/>
      <c r="AB59" s="184"/>
      <c r="AC59" s="181"/>
      <c r="AD59" s="612"/>
      <c r="AE59" s="187"/>
      <c r="AF59" s="187"/>
      <c r="AG59" s="184"/>
      <c r="AH59" s="181"/>
      <c r="AI59" s="612"/>
      <c r="AJ59" s="187"/>
      <c r="AK59" s="187"/>
      <c r="AL59" s="184"/>
      <c r="AM59" s="181"/>
      <c r="AN59" s="612"/>
      <c r="AO59" s="187"/>
      <c r="AP59" s="187"/>
      <c r="AQ59" s="184"/>
      <c r="AR59" s="181"/>
      <c r="AS59" s="612"/>
      <c r="AT59" s="187"/>
      <c r="AU59" s="187"/>
      <c r="AV59" s="184"/>
      <c r="AW59" s="181"/>
      <c r="AX59" s="612"/>
    </row>
    <row r="60" spans="2:50" ht="14.25" customHeight="1">
      <c r="B60" s="611"/>
      <c r="C60" s="179">
        <v>14</v>
      </c>
      <c r="D60" s="182"/>
      <c r="E60" s="179"/>
      <c r="F60" s="179"/>
      <c r="G60" s="184"/>
      <c r="H60" s="612"/>
      <c r="I60" s="185"/>
      <c r="J60" s="185"/>
      <c r="K60" s="186"/>
      <c r="L60" s="613"/>
      <c r="M60" s="185"/>
      <c r="N60" s="611"/>
      <c r="O60" s="611"/>
      <c r="P60" s="187"/>
      <c r="Q60" s="187"/>
      <c r="R60" s="184"/>
      <c r="S60" s="181"/>
      <c r="T60" s="612"/>
      <c r="U60" s="187"/>
      <c r="V60" s="187"/>
      <c r="W60" s="184"/>
      <c r="X60" s="181"/>
      <c r="Y60" s="612"/>
      <c r="Z60" s="187"/>
      <c r="AA60" s="187"/>
      <c r="AB60" s="184"/>
      <c r="AC60" s="181"/>
      <c r="AD60" s="612"/>
      <c r="AE60" s="187"/>
      <c r="AF60" s="187"/>
      <c r="AG60" s="184"/>
      <c r="AH60" s="181"/>
      <c r="AI60" s="612"/>
      <c r="AJ60" s="187"/>
      <c r="AK60" s="187"/>
      <c r="AL60" s="184"/>
      <c r="AM60" s="181"/>
      <c r="AN60" s="612"/>
      <c r="AO60" s="187"/>
      <c r="AP60" s="187"/>
      <c r="AQ60" s="184"/>
      <c r="AR60" s="181"/>
      <c r="AS60" s="612"/>
      <c r="AT60" s="187"/>
      <c r="AU60" s="187"/>
      <c r="AV60" s="184"/>
      <c r="AW60" s="181"/>
      <c r="AX60" s="612"/>
    </row>
    <row r="61" spans="2:50" ht="14.25" customHeight="1">
      <c r="B61" s="611"/>
      <c r="C61" s="179">
        <v>15</v>
      </c>
      <c r="D61" s="182"/>
      <c r="E61" s="179"/>
      <c r="F61" s="179"/>
      <c r="G61" s="184"/>
      <c r="H61" s="612"/>
      <c r="I61" s="185"/>
      <c r="J61" s="185"/>
      <c r="K61" s="186"/>
      <c r="L61" s="613"/>
      <c r="M61" s="185"/>
      <c r="N61" s="611"/>
      <c r="O61" s="611"/>
      <c r="P61" s="187"/>
      <c r="Q61" s="187"/>
      <c r="R61" s="184"/>
      <c r="S61" s="181"/>
      <c r="T61" s="612"/>
      <c r="U61" s="187"/>
      <c r="V61" s="187"/>
      <c r="W61" s="184"/>
      <c r="X61" s="181"/>
      <c r="Y61" s="612"/>
      <c r="Z61" s="187"/>
      <c r="AA61" s="187"/>
      <c r="AB61" s="184"/>
      <c r="AC61" s="181"/>
      <c r="AD61" s="612"/>
      <c r="AE61" s="187"/>
      <c r="AF61" s="187"/>
      <c r="AG61" s="184"/>
      <c r="AH61" s="181"/>
      <c r="AI61" s="612"/>
      <c r="AJ61" s="187"/>
      <c r="AK61" s="187"/>
      <c r="AL61" s="184"/>
      <c r="AM61" s="181"/>
      <c r="AN61" s="612"/>
      <c r="AO61" s="187"/>
      <c r="AP61" s="187"/>
      <c r="AQ61" s="184"/>
      <c r="AR61" s="181"/>
      <c r="AS61" s="612"/>
      <c r="AT61" s="187"/>
      <c r="AU61" s="187"/>
      <c r="AV61" s="184"/>
      <c r="AW61" s="181"/>
      <c r="AX61" s="612"/>
    </row>
    <row r="62" spans="2:50" ht="14.25" customHeight="1">
      <c r="B62" s="640" t="s">
        <v>848</v>
      </c>
      <c r="C62" s="641"/>
      <c r="D62" s="641"/>
      <c r="E62" s="641"/>
      <c r="F62" s="641"/>
      <c r="G62" s="641"/>
      <c r="H62" s="641"/>
      <c r="I62" s="641"/>
      <c r="J62" s="641"/>
      <c r="K62" s="641"/>
      <c r="L62" s="641"/>
      <c r="M62" s="642"/>
      <c r="N62" s="645" t="s">
        <v>363</v>
      </c>
      <c r="O62" s="645" t="s">
        <v>105</v>
      </c>
      <c r="P62" s="632">
        <v>46224</v>
      </c>
      <c r="Q62" s="633"/>
      <c r="R62" s="633"/>
      <c r="S62" s="633"/>
      <c r="T62" s="633"/>
      <c r="U62" s="634">
        <v>46225</v>
      </c>
      <c r="V62" s="635"/>
      <c r="W62" s="635"/>
      <c r="X62" s="635"/>
      <c r="Y62" s="635"/>
      <c r="Z62" s="632">
        <v>46226</v>
      </c>
      <c r="AA62" s="633"/>
      <c r="AB62" s="633"/>
      <c r="AC62" s="633"/>
      <c r="AD62" s="633"/>
      <c r="AE62" s="634">
        <v>46227</v>
      </c>
      <c r="AF62" s="635"/>
      <c r="AG62" s="635"/>
      <c r="AH62" s="635"/>
      <c r="AI62" s="635"/>
      <c r="AJ62" s="616">
        <v>46228</v>
      </c>
      <c r="AK62" s="617"/>
      <c r="AL62" s="617"/>
      <c r="AM62" s="617"/>
      <c r="AN62" s="618"/>
      <c r="AO62" s="634">
        <v>46229</v>
      </c>
      <c r="AP62" s="635"/>
      <c r="AQ62" s="635"/>
      <c r="AR62" s="635"/>
      <c r="AS62" s="635"/>
      <c r="AT62" s="616">
        <v>46230</v>
      </c>
      <c r="AU62" s="617"/>
      <c r="AV62" s="617"/>
      <c r="AW62" s="617"/>
      <c r="AX62" s="618"/>
    </row>
    <row r="63" spans="2:50" ht="14.25" customHeight="1">
      <c r="B63" s="643"/>
      <c r="C63" s="643"/>
      <c r="D63" s="643"/>
      <c r="E63" s="643"/>
      <c r="F63" s="643"/>
      <c r="G63" s="643"/>
      <c r="H63" s="643"/>
      <c r="I63" s="643"/>
      <c r="J63" s="643"/>
      <c r="K63" s="643"/>
      <c r="L63" s="643"/>
      <c r="M63" s="644"/>
      <c r="N63" s="646"/>
      <c r="O63" s="646"/>
      <c r="P63" s="619">
        <v>46196</v>
      </c>
      <c r="Q63" s="619"/>
      <c r="R63" s="619"/>
      <c r="S63" s="619"/>
      <c r="T63" s="619"/>
      <c r="U63" s="620">
        <v>46197</v>
      </c>
      <c r="V63" s="620"/>
      <c r="W63" s="620"/>
      <c r="X63" s="620"/>
      <c r="Y63" s="620"/>
      <c r="Z63" s="619">
        <v>46198</v>
      </c>
      <c r="AA63" s="619"/>
      <c r="AB63" s="619"/>
      <c r="AC63" s="619"/>
      <c r="AD63" s="619"/>
      <c r="AE63" s="620">
        <v>46199</v>
      </c>
      <c r="AF63" s="620"/>
      <c r="AG63" s="620"/>
      <c r="AH63" s="620"/>
      <c r="AI63" s="620"/>
      <c r="AJ63" s="621">
        <v>46200</v>
      </c>
      <c r="AK63" s="622"/>
      <c r="AL63" s="622"/>
      <c r="AM63" s="622"/>
      <c r="AN63" s="623"/>
      <c r="AO63" s="620">
        <v>46201</v>
      </c>
      <c r="AP63" s="620"/>
      <c r="AQ63" s="620"/>
      <c r="AR63" s="620"/>
      <c r="AS63" s="620"/>
      <c r="AT63" s="621">
        <v>46202</v>
      </c>
      <c r="AU63" s="622"/>
      <c r="AV63" s="622"/>
      <c r="AW63" s="622"/>
      <c r="AX63" s="623"/>
    </row>
    <row r="64" spans="2:50" ht="14.25" customHeight="1">
      <c r="B64" s="611" t="s">
        <v>162</v>
      </c>
      <c r="C64" s="611" t="s">
        <v>157</v>
      </c>
      <c r="D64" s="611"/>
      <c r="E64" s="611" t="s">
        <v>158</v>
      </c>
      <c r="F64" s="611"/>
      <c r="G64" s="611"/>
      <c r="H64" s="611" t="s">
        <v>163</v>
      </c>
      <c r="I64" s="615" t="s">
        <v>364</v>
      </c>
      <c r="J64" s="615"/>
      <c r="K64" s="615"/>
      <c r="L64" s="615" t="s">
        <v>163</v>
      </c>
      <c r="M64" s="615" t="s">
        <v>165</v>
      </c>
      <c r="N64" s="611"/>
      <c r="O64" s="611" t="s">
        <v>164</v>
      </c>
      <c r="P64" s="611" t="s">
        <v>160</v>
      </c>
      <c r="Q64" s="611"/>
      <c r="R64" s="611"/>
      <c r="S64" s="611"/>
      <c r="T64" s="611" t="s">
        <v>163</v>
      </c>
      <c r="U64" s="611" t="s">
        <v>160</v>
      </c>
      <c r="V64" s="611"/>
      <c r="W64" s="611"/>
      <c r="X64" s="611"/>
      <c r="Y64" s="611" t="s">
        <v>163</v>
      </c>
      <c r="Z64" s="611" t="s">
        <v>160</v>
      </c>
      <c r="AA64" s="611"/>
      <c r="AB64" s="611"/>
      <c r="AC64" s="611"/>
      <c r="AD64" s="611" t="s">
        <v>163</v>
      </c>
      <c r="AE64" s="611" t="s">
        <v>160</v>
      </c>
      <c r="AF64" s="611"/>
      <c r="AG64" s="611"/>
      <c r="AH64" s="611"/>
      <c r="AI64" s="611" t="s">
        <v>163</v>
      </c>
      <c r="AJ64" s="611" t="s">
        <v>160</v>
      </c>
      <c r="AK64" s="611"/>
      <c r="AL64" s="611"/>
      <c r="AM64" s="611"/>
      <c r="AN64" s="611" t="s">
        <v>163</v>
      </c>
      <c r="AO64" s="611" t="s">
        <v>160</v>
      </c>
      <c r="AP64" s="611"/>
      <c r="AQ64" s="611"/>
      <c r="AR64" s="611"/>
      <c r="AS64" s="611" t="s">
        <v>163</v>
      </c>
      <c r="AT64" s="611" t="s">
        <v>160</v>
      </c>
      <c r="AU64" s="611"/>
      <c r="AV64" s="611"/>
      <c r="AW64" s="611"/>
      <c r="AX64" s="611" t="s">
        <v>163</v>
      </c>
    </row>
    <row r="65" spans="2:50" ht="14.25" customHeight="1">
      <c r="B65" s="611"/>
      <c r="C65" s="611"/>
      <c r="D65" s="611"/>
      <c r="E65" s="611" t="s">
        <v>365</v>
      </c>
      <c r="F65" s="611"/>
      <c r="G65" s="611"/>
      <c r="H65" s="611"/>
      <c r="I65" s="615" t="s">
        <v>365</v>
      </c>
      <c r="J65" s="615"/>
      <c r="K65" s="615"/>
      <c r="L65" s="615"/>
      <c r="M65" s="615"/>
      <c r="N65" s="611"/>
      <c r="O65" s="611"/>
      <c r="P65" s="611" t="s">
        <v>366</v>
      </c>
      <c r="Q65" s="611"/>
      <c r="R65" s="611"/>
      <c r="S65" s="611"/>
      <c r="T65" s="611"/>
      <c r="U65" s="611" t="s">
        <v>366</v>
      </c>
      <c r="V65" s="611"/>
      <c r="W65" s="611"/>
      <c r="X65" s="611"/>
      <c r="Y65" s="611"/>
      <c r="Z65" s="611" t="s">
        <v>366</v>
      </c>
      <c r="AA65" s="611"/>
      <c r="AB65" s="611"/>
      <c r="AC65" s="611"/>
      <c r="AD65" s="611"/>
      <c r="AE65" s="611" t="s">
        <v>366</v>
      </c>
      <c r="AF65" s="611"/>
      <c r="AG65" s="611"/>
      <c r="AH65" s="611"/>
      <c r="AI65" s="611"/>
      <c r="AJ65" s="611" t="s">
        <v>366</v>
      </c>
      <c r="AK65" s="611"/>
      <c r="AL65" s="611"/>
      <c r="AM65" s="611"/>
      <c r="AN65" s="611"/>
      <c r="AO65" s="611" t="s">
        <v>366</v>
      </c>
      <c r="AP65" s="611"/>
      <c r="AQ65" s="611"/>
      <c r="AR65" s="611"/>
      <c r="AS65" s="611"/>
      <c r="AT65" s="611" t="s">
        <v>366</v>
      </c>
      <c r="AU65" s="611"/>
      <c r="AV65" s="611"/>
      <c r="AW65" s="611"/>
      <c r="AX65" s="611"/>
    </row>
    <row r="66" spans="2:50" ht="14.25" customHeight="1">
      <c r="B66" s="611"/>
      <c r="C66" s="611"/>
      <c r="D66" s="611"/>
      <c r="E66" s="179" t="s">
        <v>159</v>
      </c>
      <c r="F66" s="179" t="s">
        <v>367</v>
      </c>
      <c r="G66" s="179" t="s">
        <v>161</v>
      </c>
      <c r="H66" s="611"/>
      <c r="I66" s="180" t="s">
        <v>159</v>
      </c>
      <c r="J66" s="180" t="s">
        <v>367</v>
      </c>
      <c r="K66" s="180" t="s">
        <v>161</v>
      </c>
      <c r="L66" s="615"/>
      <c r="M66" s="615"/>
      <c r="N66" s="611"/>
      <c r="O66" s="611"/>
      <c r="P66" s="179" t="s">
        <v>159</v>
      </c>
      <c r="Q66" s="179" t="s">
        <v>367</v>
      </c>
      <c r="R66" s="179" t="s">
        <v>161</v>
      </c>
      <c r="S66" s="181" t="s">
        <v>165</v>
      </c>
      <c r="T66" s="611"/>
      <c r="U66" s="179" t="s">
        <v>159</v>
      </c>
      <c r="V66" s="179" t="s">
        <v>367</v>
      </c>
      <c r="W66" s="179" t="s">
        <v>161</v>
      </c>
      <c r="X66" s="181" t="s">
        <v>165</v>
      </c>
      <c r="Y66" s="611"/>
      <c r="Z66" s="179" t="s">
        <v>159</v>
      </c>
      <c r="AA66" s="179" t="s">
        <v>367</v>
      </c>
      <c r="AB66" s="179" t="s">
        <v>161</v>
      </c>
      <c r="AC66" s="181" t="s">
        <v>165</v>
      </c>
      <c r="AD66" s="611"/>
      <c r="AE66" s="179" t="s">
        <v>159</v>
      </c>
      <c r="AF66" s="179" t="s">
        <v>367</v>
      </c>
      <c r="AG66" s="179" t="s">
        <v>161</v>
      </c>
      <c r="AH66" s="181" t="s">
        <v>165</v>
      </c>
      <c r="AI66" s="611"/>
      <c r="AJ66" s="179" t="s">
        <v>159</v>
      </c>
      <c r="AK66" s="179" t="s">
        <v>367</v>
      </c>
      <c r="AL66" s="179" t="s">
        <v>161</v>
      </c>
      <c r="AM66" s="181" t="s">
        <v>165</v>
      </c>
      <c r="AN66" s="611"/>
      <c r="AO66" s="179" t="s">
        <v>159</v>
      </c>
      <c r="AP66" s="179" t="s">
        <v>367</v>
      </c>
      <c r="AQ66" s="179" t="s">
        <v>161</v>
      </c>
      <c r="AR66" s="181" t="s">
        <v>165</v>
      </c>
      <c r="AS66" s="611"/>
      <c r="AT66" s="179" t="s">
        <v>159</v>
      </c>
      <c r="AU66" s="179" t="s">
        <v>367</v>
      </c>
      <c r="AV66" s="179" t="s">
        <v>161</v>
      </c>
      <c r="AW66" s="181" t="s">
        <v>165</v>
      </c>
      <c r="AX66" s="611"/>
    </row>
    <row r="67" spans="2:50" ht="14.25" customHeight="1">
      <c r="B67" s="611" t="s">
        <v>369</v>
      </c>
      <c r="C67" s="179">
        <v>1</v>
      </c>
      <c r="D67" s="182" t="s">
        <v>346</v>
      </c>
      <c r="E67" s="183">
        <v>10</v>
      </c>
      <c r="F67" s="179">
        <v>3600</v>
      </c>
      <c r="G67" s="184">
        <f t="shared" ref="G67:G70" si="48">IFERROR(F67/E67,"")</f>
        <v>360</v>
      </c>
      <c r="H67" s="612">
        <f>AVERAGE(G67:G81)</f>
        <v>328.63636363636363</v>
      </c>
      <c r="I67" s="185">
        <f>AVERAGE(P67,U67,Z67,AE67,AJ67,AO67,AT67)</f>
        <v>10</v>
      </c>
      <c r="J67" s="185">
        <f>AVERAGE(Q67,V67,AA67,AF67,AK67,AP67,AU67)</f>
        <v>3217.9181225817588</v>
      </c>
      <c r="K67" s="186">
        <f>AVERAGE(R67,W67,AB67,AG67,AL67,AQ67,AV67)</f>
        <v>321.79181225817587</v>
      </c>
      <c r="L67" s="613">
        <f>IFERROR(AVERAGE(K67:K81),"-")</f>
        <v>288.41668194301246</v>
      </c>
      <c r="M67" s="185">
        <f>RANK(K67, K$67:$K$81)</f>
        <v>1</v>
      </c>
      <c r="N67" s="611"/>
      <c r="O67" s="611"/>
      <c r="P67" s="187">
        <v>10</v>
      </c>
      <c r="Q67" s="187">
        <v>3216.5295511531885</v>
      </c>
      <c r="R67" s="184">
        <f>IFERROR(Q67/P67,"")</f>
        <v>321.65295511531883</v>
      </c>
      <c r="S67" s="181">
        <f>RANK(R67, R$67:R$81)</f>
        <v>1</v>
      </c>
      <c r="T67" s="612">
        <f>AVERAGE(R67:R81)</f>
        <v>285.52635595100742</v>
      </c>
      <c r="U67" s="187">
        <v>10</v>
      </c>
      <c r="V67" s="187">
        <v>3218.3295511531878</v>
      </c>
      <c r="W67" s="184">
        <f t="shared" ref="W67:W70" si="49">IFERROR(V67/U67,"")</f>
        <v>321.83295511531878</v>
      </c>
      <c r="X67" s="181">
        <f>RANK(W67, W$67:W$81)</f>
        <v>1</v>
      </c>
      <c r="Y67" s="612">
        <f>AVERAGE(W67:W81)</f>
        <v>286.7264108534344</v>
      </c>
      <c r="Z67" s="187">
        <v>10</v>
      </c>
      <c r="AA67" s="187">
        <v>3219.7695511531874</v>
      </c>
      <c r="AB67" s="184">
        <f>IFERROR(AA67/Z67,"")</f>
        <v>321.97695511531873</v>
      </c>
      <c r="AC67" s="181">
        <f>RANK(AB67, AB$67:AB$81)</f>
        <v>1</v>
      </c>
      <c r="AD67" s="612">
        <f>AVERAGE(AB67:AB81)</f>
        <v>288.08436309553053</v>
      </c>
      <c r="AE67" s="187">
        <v>10</v>
      </c>
      <c r="AF67" s="187">
        <v>3218.3295511531869</v>
      </c>
      <c r="AG67" s="184">
        <f>IFERROR(AF67/AE67,"")</f>
        <v>321.83295511531867</v>
      </c>
      <c r="AH67" s="181">
        <f>RANK(AG67, AG$67:AG$81)</f>
        <v>1</v>
      </c>
      <c r="AI67" s="612">
        <f>AVERAGE(AG67:AG81)</f>
        <v>289.29451352032379</v>
      </c>
      <c r="AJ67" s="187">
        <v>10</v>
      </c>
      <c r="AK67" s="187">
        <v>3217.249551153187</v>
      </c>
      <c r="AL67" s="184">
        <f>IFERROR(AK67/AJ67,"")</f>
        <v>321.72495511531872</v>
      </c>
      <c r="AM67" s="181">
        <f>RANK(AL67, AL$67:AL$81)</f>
        <v>1</v>
      </c>
      <c r="AN67" s="612">
        <f>AVERAGE(AL67:AL81)</f>
        <v>289.75093733299082</v>
      </c>
      <c r="AO67" s="187">
        <v>10</v>
      </c>
      <c r="AP67" s="187">
        <v>3217.2495511531865</v>
      </c>
      <c r="AQ67" s="184">
        <f>IFERROR(AP67/AO67,"")</f>
        <v>321.72495511531866</v>
      </c>
      <c r="AR67" s="181">
        <f>RANK(AQ67, AQ$67:AQ$81)</f>
        <v>1</v>
      </c>
      <c r="AS67" s="612">
        <f>AVERAGE(AQ67:AQ81)</f>
        <v>289.7366191511727</v>
      </c>
      <c r="AT67" s="187">
        <v>10</v>
      </c>
      <c r="AU67" s="187">
        <v>3217.9695511531863</v>
      </c>
      <c r="AV67" s="184">
        <f>IFERROR(AU67/AT67,"")</f>
        <v>321.79695511531861</v>
      </c>
      <c r="AW67" s="181">
        <f>RANK(AV67, AV$67:AV$81)</f>
        <v>1</v>
      </c>
      <c r="AX67" s="612">
        <f>AVERAGE(AV67:AV81)</f>
        <v>289.79757369662718</v>
      </c>
    </row>
    <row r="68" spans="2:50" ht="14.25" customHeight="1">
      <c r="B68" s="611"/>
      <c r="C68" s="179">
        <v>2</v>
      </c>
      <c r="D68" s="182" t="s">
        <v>521</v>
      </c>
      <c r="E68" s="179">
        <v>11</v>
      </c>
      <c r="F68" s="179">
        <v>3600</v>
      </c>
      <c r="G68" s="184">
        <f t="shared" si="48"/>
        <v>327.27272727272725</v>
      </c>
      <c r="H68" s="612"/>
      <c r="I68" s="185">
        <f t="shared" ref="I68:K70" si="50">AVERAGE(P68,U68,Z68,AE68,AJ68,AO68,AT68)</f>
        <v>11</v>
      </c>
      <c r="J68" s="185">
        <f t="shared" si="50"/>
        <v>3158.7572389628654</v>
      </c>
      <c r="K68" s="186">
        <f t="shared" si="50"/>
        <v>287.1597489966241</v>
      </c>
      <c r="L68" s="613"/>
      <c r="M68" s="185">
        <f>RANK(K68, K$67:$K$81)</f>
        <v>2</v>
      </c>
      <c r="N68" s="611"/>
      <c r="O68" s="611"/>
      <c r="P68" s="187">
        <v>11</v>
      </c>
      <c r="Q68" s="187">
        <v>3160.0943818200067</v>
      </c>
      <c r="R68" s="184">
        <f t="shared" ref="R68:R70" si="51">IFERROR(Q68/P68,"")</f>
        <v>287.28130743818241</v>
      </c>
      <c r="S68" s="181">
        <f t="shared" ref="S68:S70" si="52">RANK(R68, R$67:R$81)</f>
        <v>3</v>
      </c>
      <c r="T68" s="612"/>
      <c r="U68" s="187">
        <v>11</v>
      </c>
      <c r="V68" s="187">
        <v>3158.2943818200069</v>
      </c>
      <c r="W68" s="184">
        <f t="shared" si="49"/>
        <v>287.11767107454608</v>
      </c>
      <c r="X68" s="181">
        <f t="shared" ref="X68:X70" si="53">RANK(W68, W$67:W$81)</f>
        <v>3</v>
      </c>
      <c r="Y68" s="612"/>
      <c r="Z68" s="187">
        <v>11</v>
      </c>
      <c r="AA68" s="187">
        <v>3158.6543818200071</v>
      </c>
      <c r="AB68" s="184">
        <f t="shared" ref="AB68:AB70" si="54">IFERROR(AA68/Z68,"")</f>
        <v>287.15039834727338</v>
      </c>
      <c r="AC68" s="181">
        <f t="shared" ref="AC68:AC70" si="55">RANK(AB68, AB$67:AB$81)</f>
        <v>2</v>
      </c>
      <c r="AD68" s="612"/>
      <c r="AE68" s="187">
        <v>11</v>
      </c>
      <c r="AF68" s="187">
        <v>3157.2143818200084</v>
      </c>
      <c r="AG68" s="184">
        <f t="shared" ref="AG68:AG70" si="56">IFERROR(AF68/AE68,"")</f>
        <v>287.01948925636441</v>
      </c>
      <c r="AH68" s="181">
        <f t="shared" ref="AH68:AH70" si="57">RANK(AG68, AG$67:AG$81)</f>
        <v>2</v>
      </c>
      <c r="AI68" s="612"/>
      <c r="AJ68" s="187">
        <v>11</v>
      </c>
      <c r="AK68" s="187">
        <v>3157.9343818200086</v>
      </c>
      <c r="AL68" s="184">
        <f t="shared" ref="AL68:AL70" si="58">IFERROR(AK68/AJ68,"")</f>
        <v>287.08494380181895</v>
      </c>
      <c r="AM68" s="181">
        <f t="shared" ref="AM68:AM70" si="59">RANK(AL68, AL$67:AL$81)</f>
        <v>2</v>
      </c>
      <c r="AN68" s="612"/>
      <c r="AO68" s="187">
        <v>11</v>
      </c>
      <c r="AP68" s="187">
        <v>3158.6543818200093</v>
      </c>
      <c r="AQ68" s="184">
        <f t="shared" ref="AQ68:AQ70" si="60">IFERROR(AP68/AO68,"")</f>
        <v>287.15039834727355</v>
      </c>
      <c r="AR68" s="181">
        <f t="shared" ref="AR68:AR70" si="61">RANK(AQ68, AQ$67:AQ$81)</f>
        <v>2</v>
      </c>
      <c r="AS68" s="612"/>
      <c r="AT68" s="187">
        <v>11</v>
      </c>
      <c r="AU68" s="187">
        <v>3160.4543818200086</v>
      </c>
      <c r="AV68" s="184">
        <f t="shared" ref="AV68:AV70" si="62">IFERROR(AU68/AT68,"")</f>
        <v>287.31403471090988</v>
      </c>
      <c r="AW68" s="181">
        <f t="shared" ref="AW68:AW70" si="63">RANK(AV68, AV$67:AV$81)</f>
        <v>2</v>
      </c>
      <c r="AX68" s="612"/>
    </row>
    <row r="69" spans="2:50" ht="14.25" customHeight="1">
      <c r="B69" s="611"/>
      <c r="C69" s="179">
        <v>3</v>
      </c>
      <c r="D69" s="182" t="s">
        <v>522</v>
      </c>
      <c r="E69" s="179">
        <v>11</v>
      </c>
      <c r="F69" s="179">
        <v>3600</v>
      </c>
      <c r="G69" s="184">
        <f t="shared" si="48"/>
        <v>327.27272727272725</v>
      </c>
      <c r="H69" s="612"/>
      <c r="I69" s="185">
        <f t="shared" si="50"/>
        <v>11</v>
      </c>
      <c r="J69" s="185">
        <f t="shared" si="50"/>
        <v>3158.2950576412036</v>
      </c>
      <c r="K69" s="186">
        <f t="shared" si="50"/>
        <v>287.11773251283665</v>
      </c>
      <c r="L69" s="613"/>
      <c r="M69" s="185">
        <f>RANK(K69, K$67:$K$81)</f>
        <v>3</v>
      </c>
      <c r="N69" s="611"/>
      <c r="O69" s="611"/>
      <c r="P69" s="187">
        <v>11</v>
      </c>
      <c r="Q69" s="187">
        <v>3161.7619884163569</v>
      </c>
      <c r="R69" s="184">
        <f t="shared" si="51"/>
        <v>287.43290803785061</v>
      </c>
      <c r="S69" s="181">
        <f t="shared" si="52"/>
        <v>2</v>
      </c>
      <c r="T69" s="612"/>
      <c r="U69" s="187">
        <v>11</v>
      </c>
      <c r="V69" s="187">
        <v>3160.3219884163573</v>
      </c>
      <c r="W69" s="184">
        <f t="shared" si="49"/>
        <v>287.30199894694158</v>
      </c>
      <c r="X69" s="181">
        <f t="shared" si="53"/>
        <v>2</v>
      </c>
      <c r="Y69" s="612"/>
      <c r="Z69" s="187">
        <v>11</v>
      </c>
      <c r="AA69" s="187">
        <v>3158.270153569676</v>
      </c>
      <c r="AB69" s="184">
        <f t="shared" si="54"/>
        <v>287.1154685063342</v>
      </c>
      <c r="AC69" s="181">
        <f t="shared" si="55"/>
        <v>3</v>
      </c>
      <c r="AD69" s="612"/>
      <c r="AE69" s="187">
        <v>11</v>
      </c>
      <c r="AF69" s="187">
        <v>3157.1901535696766</v>
      </c>
      <c r="AG69" s="184">
        <f t="shared" si="56"/>
        <v>287.01728668815241</v>
      </c>
      <c r="AH69" s="181">
        <f t="shared" si="57"/>
        <v>3</v>
      </c>
      <c r="AI69" s="612"/>
      <c r="AJ69" s="187">
        <v>11</v>
      </c>
      <c r="AK69" s="187">
        <v>3156.7203731721188</v>
      </c>
      <c r="AL69" s="184">
        <f t="shared" si="58"/>
        <v>286.97457937928351</v>
      </c>
      <c r="AM69" s="181">
        <f t="shared" si="59"/>
        <v>3</v>
      </c>
      <c r="AN69" s="612"/>
      <c r="AO69" s="187">
        <v>11</v>
      </c>
      <c r="AP69" s="187">
        <v>3156.36037317212</v>
      </c>
      <c r="AQ69" s="184">
        <f t="shared" si="60"/>
        <v>286.94185210655638</v>
      </c>
      <c r="AR69" s="181">
        <f t="shared" si="61"/>
        <v>3</v>
      </c>
      <c r="AS69" s="612"/>
      <c r="AT69" s="187">
        <v>11</v>
      </c>
      <c r="AU69" s="187">
        <v>3157.44037317212</v>
      </c>
      <c r="AV69" s="184">
        <f t="shared" si="62"/>
        <v>287.04003392473817</v>
      </c>
      <c r="AW69" s="181">
        <f t="shared" si="63"/>
        <v>3</v>
      </c>
      <c r="AX69" s="612"/>
    </row>
    <row r="70" spans="2:50" ht="14.25" customHeight="1">
      <c r="B70" s="611"/>
      <c r="C70" s="179">
        <v>4</v>
      </c>
      <c r="D70" s="182" t="s">
        <v>849</v>
      </c>
      <c r="E70" s="179">
        <v>12</v>
      </c>
      <c r="F70" s="179">
        <v>3600</v>
      </c>
      <c r="G70" s="184">
        <f t="shared" si="48"/>
        <v>300</v>
      </c>
      <c r="H70" s="612"/>
      <c r="I70" s="185">
        <f t="shared" si="50"/>
        <v>12</v>
      </c>
      <c r="J70" s="185">
        <f t="shared" si="50"/>
        <v>3091.1692080529565</v>
      </c>
      <c r="K70" s="186">
        <f t="shared" si="50"/>
        <v>257.597434004413</v>
      </c>
      <c r="L70" s="613"/>
      <c r="M70" s="185">
        <f>RANK(K70, K$67:$K$81)</f>
        <v>4</v>
      </c>
      <c r="N70" s="611"/>
      <c r="O70" s="611"/>
      <c r="P70" s="187">
        <v>12</v>
      </c>
      <c r="Q70" s="187">
        <v>2948.8590385521334</v>
      </c>
      <c r="R70" s="184">
        <f t="shared" si="51"/>
        <v>245.73825321267779</v>
      </c>
      <c r="S70" s="181">
        <f t="shared" si="52"/>
        <v>4</v>
      </c>
      <c r="T70" s="612"/>
      <c r="U70" s="187">
        <v>12</v>
      </c>
      <c r="V70" s="187">
        <v>3007.8362193231756</v>
      </c>
      <c r="W70" s="184">
        <f t="shared" si="49"/>
        <v>250.65301827693131</v>
      </c>
      <c r="X70" s="181">
        <f t="shared" si="53"/>
        <v>4</v>
      </c>
      <c r="Y70" s="612"/>
      <c r="Z70" s="187">
        <v>12</v>
      </c>
      <c r="AA70" s="187">
        <v>3073.1355649583502</v>
      </c>
      <c r="AB70" s="184">
        <f t="shared" si="54"/>
        <v>256.09463041319583</v>
      </c>
      <c r="AC70" s="181">
        <f t="shared" si="55"/>
        <v>4</v>
      </c>
      <c r="AD70" s="612"/>
      <c r="AE70" s="187">
        <v>12</v>
      </c>
      <c r="AF70" s="187">
        <v>3135.6998762575167</v>
      </c>
      <c r="AG70" s="184">
        <f t="shared" si="56"/>
        <v>261.30832302145973</v>
      </c>
      <c r="AH70" s="181">
        <f t="shared" si="57"/>
        <v>4</v>
      </c>
      <c r="AI70" s="612"/>
      <c r="AJ70" s="187">
        <v>12</v>
      </c>
      <c r="AK70" s="187">
        <v>3158.6312524265063</v>
      </c>
      <c r="AL70" s="184">
        <f t="shared" si="58"/>
        <v>263.21927103554219</v>
      </c>
      <c r="AM70" s="181">
        <f t="shared" si="59"/>
        <v>4</v>
      </c>
      <c r="AN70" s="612"/>
      <c r="AO70" s="187">
        <v>12</v>
      </c>
      <c r="AP70" s="187">
        <v>3157.5512524265059</v>
      </c>
      <c r="AQ70" s="184">
        <f t="shared" si="60"/>
        <v>263.12927103554216</v>
      </c>
      <c r="AR70" s="181">
        <f t="shared" si="61"/>
        <v>4</v>
      </c>
      <c r="AS70" s="612"/>
      <c r="AT70" s="187">
        <v>12</v>
      </c>
      <c r="AU70" s="187">
        <v>3156.471252426506</v>
      </c>
      <c r="AV70" s="184">
        <f t="shared" si="62"/>
        <v>263.03927103554219</v>
      </c>
      <c r="AW70" s="181">
        <f t="shared" si="63"/>
        <v>4</v>
      </c>
      <c r="AX70" s="612"/>
    </row>
    <row r="71" spans="2:50" ht="14.25" customHeight="1">
      <c r="B71" s="611"/>
      <c r="C71" s="179">
        <v>5</v>
      </c>
      <c r="D71" s="182"/>
      <c r="E71" s="179"/>
      <c r="F71" s="179"/>
      <c r="G71" s="184"/>
      <c r="H71" s="612"/>
      <c r="I71" s="185"/>
      <c r="J71" s="185"/>
      <c r="K71" s="186"/>
      <c r="L71" s="613"/>
      <c r="M71" s="185"/>
      <c r="N71" s="611"/>
      <c r="O71" s="611"/>
      <c r="P71" s="187"/>
      <c r="Q71" s="187"/>
      <c r="R71" s="184"/>
      <c r="S71" s="181"/>
      <c r="T71" s="612"/>
      <c r="U71" s="187"/>
      <c r="V71" s="187"/>
      <c r="W71" s="184"/>
      <c r="X71" s="181"/>
      <c r="Y71" s="612"/>
      <c r="Z71" s="187"/>
      <c r="AA71" s="187"/>
      <c r="AB71" s="184"/>
      <c r="AC71" s="181"/>
      <c r="AD71" s="612"/>
      <c r="AE71" s="187"/>
      <c r="AF71" s="187"/>
      <c r="AG71" s="184"/>
      <c r="AH71" s="181"/>
      <c r="AI71" s="612"/>
      <c r="AJ71" s="187"/>
      <c r="AK71" s="187"/>
      <c r="AL71" s="184"/>
      <c r="AM71" s="181"/>
      <c r="AN71" s="612"/>
      <c r="AO71" s="187"/>
      <c r="AP71" s="187"/>
      <c r="AQ71" s="184"/>
      <c r="AR71" s="181"/>
      <c r="AS71" s="612"/>
      <c r="AT71" s="187"/>
      <c r="AU71" s="187"/>
      <c r="AV71" s="184"/>
      <c r="AW71" s="181"/>
      <c r="AX71" s="612"/>
    </row>
    <row r="72" spans="2:50" ht="14.25" customHeight="1">
      <c r="B72" s="611"/>
      <c r="C72" s="179">
        <v>6</v>
      </c>
      <c r="D72" s="182"/>
      <c r="E72" s="179"/>
      <c r="F72" s="179"/>
      <c r="G72" s="184"/>
      <c r="H72" s="612"/>
      <c r="I72" s="185"/>
      <c r="J72" s="185"/>
      <c r="K72" s="186"/>
      <c r="L72" s="613"/>
      <c r="M72" s="185"/>
      <c r="N72" s="611"/>
      <c r="O72" s="611"/>
      <c r="P72" s="187"/>
      <c r="Q72" s="187"/>
      <c r="R72" s="184"/>
      <c r="S72" s="181"/>
      <c r="T72" s="612"/>
      <c r="U72" s="187"/>
      <c r="V72" s="187"/>
      <c r="W72" s="184"/>
      <c r="X72" s="181"/>
      <c r="Y72" s="612"/>
      <c r="Z72" s="187"/>
      <c r="AA72" s="187"/>
      <c r="AB72" s="184"/>
      <c r="AC72" s="181"/>
      <c r="AD72" s="612"/>
      <c r="AE72" s="187"/>
      <c r="AF72" s="187"/>
      <c r="AG72" s="184"/>
      <c r="AH72" s="181"/>
      <c r="AI72" s="612"/>
      <c r="AJ72" s="187"/>
      <c r="AK72" s="187"/>
      <c r="AL72" s="184"/>
      <c r="AM72" s="181"/>
      <c r="AN72" s="612"/>
      <c r="AO72" s="187"/>
      <c r="AP72" s="187"/>
      <c r="AQ72" s="184"/>
      <c r="AR72" s="181"/>
      <c r="AS72" s="612"/>
      <c r="AT72" s="187"/>
      <c r="AU72" s="187"/>
      <c r="AV72" s="184"/>
      <c r="AW72" s="181"/>
      <c r="AX72" s="612"/>
    </row>
    <row r="73" spans="2:50" ht="14.25" customHeight="1">
      <c r="B73" s="611"/>
      <c r="C73" s="179">
        <v>7</v>
      </c>
      <c r="D73" s="182"/>
      <c r="E73" s="179"/>
      <c r="F73" s="179"/>
      <c r="G73" s="184"/>
      <c r="H73" s="612"/>
      <c r="I73" s="185"/>
      <c r="J73" s="185"/>
      <c r="K73" s="186"/>
      <c r="L73" s="613"/>
      <c r="M73" s="185"/>
      <c r="N73" s="611"/>
      <c r="O73" s="611"/>
      <c r="P73" s="187"/>
      <c r="Q73" s="187"/>
      <c r="R73" s="184"/>
      <c r="S73" s="181"/>
      <c r="T73" s="612"/>
      <c r="U73" s="187"/>
      <c r="V73" s="187"/>
      <c r="W73" s="184"/>
      <c r="X73" s="181"/>
      <c r="Y73" s="612"/>
      <c r="Z73" s="187"/>
      <c r="AA73" s="187"/>
      <c r="AB73" s="184"/>
      <c r="AC73" s="181"/>
      <c r="AD73" s="612"/>
      <c r="AE73" s="187"/>
      <c r="AF73" s="187"/>
      <c r="AG73" s="184"/>
      <c r="AH73" s="181"/>
      <c r="AI73" s="612"/>
      <c r="AJ73" s="187"/>
      <c r="AK73" s="187"/>
      <c r="AL73" s="184"/>
      <c r="AM73" s="181"/>
      <c r="AN73" s="612"/>
      <c r="AO73" s="187"/>
      <c r="AP73" s="187"/>
      <c r="AQ73" s="184"/>
      <c r="AR73" s="181"/>
      <c r="AS73" s="612"/>
      <c r="AT73" s="187"/>
      <c r="AU73" s="187"/>
      <c r="AV73" s="184"/>
      <c r="AW73" s="181"/>
      <c r="AX73" s="612"/>
    </row>
    <row r="74" spans="2:50" ht="14.25" customHeight="1">
      <c r="B74" s="611"/>
      <c r="C74" s="179">
        <v>8</v>
      </c>
      <c r="D74" s="182"/>
      <c r="E74" s="179"/>
      <c r="F74" s="179"/>
      <c r="G74" s="184"/>
      <c r="H74" s="612"/>
      <c r="I74" s="185"/>
      <c r="J74" s="185"/>
      <c r="K74" s="186"/>
      <c r="L74" s="613"/>
      <c r="M74" s="185"/>
      <c r="N74" s="611"/>
      <c r="O74" s="611"/>
      <c r="P74" s="187"/>
      <c r="Q74" s="187"/>
      <c r="R74" s="184"/>
      <c r="S74" s="181"/>
      <c r="T74" s="612"/>
      <c r="U74" s="187"/>
      <c r="V74" s="187"/>
      <c r="W74" s="184"/>
      <c r="X74" s="181"/>
      <c r="Y74" s="612"/>
      <c r="Z74" s="187"/>
      <c r="AA74" s="187"/>
      <c r="AB74" s="184"/>
      <c r="AC74" s="181"/>
      <c r="AD74" s="612"/>
      <c r="AE74" s="187"/>
      <c r="AF74" s="187"/>
      <c r="AG74" s="184"/>
      <c r="AH74" s="181"/>
      <c r="AI74" s="612"/>
      <c r="AJ74" s="187"/>
      <c r="AK74" s="187"/>
      <c r="AL74" s="184"/>
      <c r="AM74" s="181"/>
      <c r="AN74" s="612"/>
      <c r="AO74" s="187"/>
      <c r="AP74" s="187"/>
      <c r="AQ74" s="184"/>
      <c r="AR74" s="181"/>
      <c r="AS74" s="612"/>
      <c r="AT74" s="187"/>
      <c r="AU74" s="187"/>
      <c r="AV74" s="184"/>
      <c r="AW74" s="181"/>
      <c r="AX74" s="612"/>
    </row>
    <row r="75" spans="2:50" ht="14.25" customHeight="1">
      <c r="B75" s="611"/>
      <c r="C75" s="179">
        <v>9</v>
      </c>
      <c r="D75" s="182"/>
      <c r="E75" s="179"/>
      <c r="F75" s="179"/>
      <c r="G75" s="184"/>
      <c r="H75" s="612"/>
      <c r="I75" s="185"/>
      <c r="J75" s="185"/>
      <c r="K75" s="186"/>
      <c r="L75" s="613"/>
      <c r="M75" s="185"/>
      <c r="N75" s="611"/>
      <c r="O75" s="611"/>
      <c r="P75" s="187"/>
      <c r="Q75" s="187"/>
      <c r="R75" s="184"/>
      <c r="S75" s="181"/>
      <c r="T75" s="612"/>
      <c r="U75" s="187"/>
      <c r="V75" s="187"/>
      <c r="W75" s="184"/>
      <c r="X75" s="181"/>
      <c r="Y75" s="612"/>
      <c r="Z75" s="187"/>
      <c r="AA75" s="187"/>
      <c r="AB75" s="184"/>
      <c r="AC75" s="181"/>
      <c r="AD75" s="612"/>
      <c r="AE75" s="187"/>
      <c r="AF75" s="187"/>
      <c r="AG75" s="184"/>
      <c r="AH75" s="181"/>
      <c r="AI75" s="612"/>
      <c r="AJ75" s="187"/>
      <c r="AK75" s="187"/>
      <c r="AL75" s="184"/>
      <c r="AM75" s="181"/>
      <c r="AN75" s="612"/>
      <c r="AO75" s="187"/>
      <c r="AP75" s="187"/>
      <c r="AQ75" s="184"/>
      <c r="AR75" s="181"/>
      <c r="AS75" s="612"/>
      <c r="AT75" s="187"/>
      <c r="AU75" s="187"/>
      <c r="AV75" s="184"/>
      <c r="AW75" s="181"/>
      <c r="AX75" s="612"/>
    </row>
    <row r="76" spans="2:50" ht="14.25" customHeight="1">
      <c r="B76" s="611"/>
      <c r="C76" s="179">
        <v>10</v>
      </c>
      <c r="D76" s="182"/>
      <c r="E76" s="179"/>
      <c r="F76" s="179"/>
      <c r="G76" s="184"/>
      <c r="H76" s="612"/>
      <c r="I76" s="185"/>
      <c r="J76" s="185"/>
      <c r="K76" s="186"/>
      <c r="L76" s="613"/>
      <c r="M76" s="185"/>
      <c r="N76" s="611"/>
      <c r="O76" s="611"/>
      <c r="P76" s="187"/>
      <c r="Q76" s="187"/>
      <c r="R76" s="184"/>
      <c r="S76" s="181"/>
      <c r="T76" s="612"/>
      <c r="U76" s="187"/>
      <c r="V76" s="187"/>
      <c r="W76" s="184"/>
      <c r="X76" s="181"/>
      <c r="Y76" s="612"/>
      <c r="Z76" s="187"/>
      <c r="AA76" s="187"/>
      <c r="AB76" s="184"/>
      <c r="AC76" s="181"/>
      <c r="AD76" s="612"/>
      <c r="AE76" s="187"/>
      <c r="AF76" s="187"/>
      <c r="AG76" s="184"/>
      <c r="AH76" s="181"/>
      <c r="AI76" s="612"/>
      <c r="AJ76" s="187"/>
      <c r="AK76" s="187"/>
      <c r="AL76" s="184"/>
      <c r="AM76" s="181"/>
      <c r="AN76" s="612"/>
      <c r="AO76" s="187"/>
      <c r="AP76" s="187"/>
      <c r="AQ76" s="184"/>
      <c r="AR76" s="181"/>
      <c r="AS76" s="612"/>
      <c r="AT76" s="187"/>
      <c r="AU76" s="187"/>
      <c r="AV76" s="184"/>
      <c r="AW76" s="181"/>
      <c r="AX76" s="612"/>
    </row>
    <row r="77" spans="2:50" ht="14.25" customHeight="1">
      <c r="B77" s="611"/>
      <c r="C77" s="179">
        <v>11</v>
      </c>
      <c r="D77" s="182"/>
      <c r="E77" s="179"/>
      <c r="F77" s="179"/>
      <c r="G77" s="184"/>
      <c r="H77" s="612"/>
      <c r="I77" s="185"/>
      <c r="J77" s="185"/>
      <c r="K77" s="186"/>
      <c r="L77" s="613"/>
      <c r="M77" s="185"/>
      <c r="N77" s="611"/>
      <c r="O77" s="611"/>
      <c r="P77" s="187"/>
      <c r="Q77" s="187"/>
      <c r="R77" s="184"/>
      <c r="S77" s="181"/>
      <c r="T77" s="612"/>
      <c r="U77" s="187"/>
      <c r="V77" s="187"/>
      <c r="W77" s="184"/>
      <c r="X77" s="181"/>
      <c r="Y77" s="612"/>
      <c r="Z77" s="187"/>
      <c r="AA77" s="187"/>
      <c r="AB77" s="184"/>
      <c r="AC77" s="181"/>
      <c r="AD77" s="612"/>
      <c r="AE77" s="187"/>
      <c r="AF77" s="187"/>
      <c r="AG77" s="184"/>
      <c r="AH77" s="181"/>
      <c r="AI77" s="612"/>
      <c r="AJ77" s="187"/>
      <c r="AK77" s="187"/>
      <c r="AL77" s="184"/>
      <c r="AM77" s="181"/>
      <c r="AN77" s="612"/>
      <c r="AO77" s="187"/>
      <c r="AP77" s="187"/>
      <c r="AQ77" s="184"/>
      <c r="AR77" s="181"/>
      <c r="AS77" s="612"/>
      <c r="AT77" s="187"/>
      <c r="AU77" s="187"/>
      <c r="AV77" s="184"/>
      <c r="AW77" s="181"/>
      <c r="AX77" s="612"/>
    </row>
    <row r="78" spans="2:50" ht="14.25" customHeight="1">
      <c r="B78" s="611"/>
      <c r="C78" s="179">
        <v>12</v>
      </c>
      <c r="D78" s="182"/>
      <c r="E78" s="179"/>
      <c r="F78" s="179"/>
      <c r="G78" s="184"/>
      <c r="H78" s="612"/>
      <c r="I78" s="185"/>
      <c r="J78" s="185"/>
      <c r="K78" s="186"/>
      <c r="L78" s="613"/>
      <c r="M78" s="185"/>
      <c r="N78" s="611"/>
      <c r="O78" s="611"/>
      <c r="P78" s="187"/>
      <c r="Q78" s="187"/>
      <c r="R78" s="184"/>
      <c r="S78" s="181"/>
      <c r="T78" s="612"/>
      <c r="U78" s="187"/>
      <c r="V78" s="187"/>
      <c r="W78" s="184"/>
      <c r="X78" s="181"/>
      <c r="Y78" s="612"/>
      <c r="Z78" s="187"/>
      <c r="AA78" s="187"/>
      <c r="AB78" s="184"/>
      <c r="AC78" s="181"/>
      <c r="AD78" s="612"/>
      <c r="AE78" s="187"/>
      <c r="AF78" s="187"/>
      <c r="AG78" s="184"/>
      <c r="AH78" s="181"/>
      <c r="AI78" s="612"/>
      <c r="AJ78" s="187"/>
      <c r="AK78" s="187"/>
      <c r="AL78" s="184"/>
      <c r="AM78" s="181"/>
      <c r="AN78" s="612"/>
      <c r="AO78" s="187"/>
      <c r="AP78" s="187"/>
      <c r="AQ78" s="184"/>
      <c r="AR78" s="181"/>
      <c r="AS78" s="612"/>
      <c r="AT78" s="187"/>
      <c r="AU78" s="187"/>
      <c r="AV78" s="184"/>
      <c r="AW78" s="181"/>
      <c r="AX78" s="612"/>
    </row>
    <row r="79" spans="2:50" ht="14.25" customHeight="1">
      <c r="B79" s="611"/>
      <c r="C79" s="179">
        <v>13</v>
      </c>
      <c r="D79" s="182"/>
      <c r="E79" s="179"/>
      <c r="F79" s="179"/>
      <c r="G79" s="184"/>
      <c r="H79" s="612"/>
      <c r="I79" s="185"/>
      <c r="J79" s="185"/>
      <c r="K79" s="186"/>
      <c r="L79" s="613"/>
      <c r="M79" s="185"/>
      <c r="N79" s="611"/>
      <c r="O79" s="611"/>
      <c r="P79" s="187"/>
      <c r="Q79" s="187"/>
      <c r="R79" s="184"/>
      <c r="S79" s="181"/>
      <c r="T79" s="612"/>
      <c r="U79" s="187"/>
      <c r="V79" s="187"/>
      <c r="W79" s="184"/>
      <c r="X79" s="181"/>
      <c r="Y79" s="612"/>
      <c r="Z79" s="187"/>
      <c r="AA79" s="187"/>
      <c r="AB79" s="184"/>
      <c r="AC79" s="181"/>
      <c r="AD79" s="612"/>
      <c r="AE79" s="187"/>
      <c r="AF79" s="187"/>
      <c r="AG79" s="184"/>
      <c r="AH79" s="181"/>
      <c r="AI79" s="612"/>
      <c r="AJ79" s="187"/>
      <c r="AK79" s="187"/>
      <c r="AL79" s="184"/>
      <c r="AM79" s="181"/>
      <c r="AN79" s="612"/>
      <c r="AO79" s="187"/>
      <c r="AP79" s="187"/>
      <c r="AQ79" s="184"/>
      <c r="AR79" s="181"/>
      <c r="AS79" s="612"/>
      <c r="AT79" s="187"/>
      <c r="AU79" s="187"/>
      <c r="AV79" s="184"/>
      <c r="AW79" s="181"/>
      <c r="AX79" s="612"/>
    </row>
    <row r="80" spans="2:50" ht="14.25" customHeight="1">
      <c r="B80" s="611"/>
      <c r="C80" s="179">
        <v>14</v>
      </c>
      <c r="D80" s="182"/>
      <c r="E80" s="179"/>
      <c r="F80" s="179"/>
      <c r="G80" s="184"/>
      <c r="H80" s="612"/>
      <c r="I80" s="185"/>
      <c r="J80" s="185"/>
      <c r="K80" s="186"/>
      <c r="L80" s="613"/>
      <c r="M80" s="185"/>
      <c r="N80" s="611"/>
      <c r="O80" s="611"/>
      <c r="P80" s="187"/>
      <c r="Q80" s="187"/>
      <c r="R80" s="184"/>
      <c r="S80" s="181"/>
      <c r="T80" s="612"/>
      <c r="U80" s="187"/>
      <c r="V80" s="187"/>
      <c r="W80" s="184"/>
      <c r="X80" s="181"/>
      <c r="Y80" s="612"/>
      <c r="Z80" s="187"/>
      <c r="AA80" s="187"/>
      <c r="AB80" s="184"/>
      <c r="AC80" s="181"/>
      <c r="AD80" s="612"/>
      <c r="AE80" s="187"/>
      <c r="AF80" s="187"/>
      <c r="AG80" s="184"/>
      <c r="AH80" s="181"/>
      <c r="AI80" s="612"/>
      <c r="AJ80" s="187"/>
      <c r="AK80" s="187"/>
      <c r="AL80" s="184"/>
      <c r="AM80" s="181"/>
      <c r="AN80" s="612"/>
      <c r="AO80" s="187"/>
      <c r="AP80" s="187"/>
      <c r="AQ80" s="184"/>
      <c r="AR80" s="181"/>
      <c r="AS80" s="612"/>
      <c r="AT80" s="187"/>
      <c r="AU80" s="187"/>
      <c r="AV80" s="184"/>
      <c r="AW80" s="181"/>
      <c r="AX80" s="612"/>
    </row>
    <row r="81" spans="2:50" ht="14.25" customHeight="1">
      <c r="B81" s="611"/>
      <c r="C81" s="179">
        <v>15</v>
      </c>
      <c r="D81" s="182"/>
      <c r="E81" s="179"/>
      <c r="F81" s="179"/>
      <c r="G81" s="184"/>
      <c r="H81" s="612"/>
      <c r="I81" s="185"/>
      <c r="J81" s="185"/>
      <c r="K81" s="186"/>
      <c r="L81" s="613"/>
      <c r="M81" s="185"/>
      <c r="N81" s="611"/>
      <c r="O81" s="611"/>
      <c r="P81" s="187"/>
      <c r="Q81" s="187"/>
      <c r="R81" s="184"/>
      <c r="S81" s="181"/>
      <c r="T81" s="612"/>
      <c r="U81" s="187"/>
      <c r="V81" s="187"/>
      <c r="W81" s="184"/>
      <c r="X81" s="181"/>
      <c r="Y81" s="612"/>
      <c r="Z81" s="187"/>
      <c r="AA81" s="187"/>
      <c r="AB81" s="184"/>
      <c r="AC81" s="181"/>
      <c r="AD81" s="612"/>
      <c r="AE81" s="187"/>
      <c r="AF81" s="187"/>
      <c r="AG81" s="184"/>
      <c r="AH81" s="181"/>
      <c r="AI81" s="612"/>
      <c r="AJ81" s="187"/>
      <c r="AK81" s="187"/>
      <c r="AL81" s="184"/>
      <c r="AM81" s="181"/>
      <c r="AN81" s="612"/>
      <c r="AO81" s="187"/>
      <c r="AP81" s="187"/>
      <c r="AQ81" s="184"/>
      <c r="AR81" s="181"/>
      <c r="AS81" s="612"/>
      <c r="AT81" s="187"/>
      <c r="AU81" s="187"/>
      <c r="AV81" s="184"/>
      <c r="AW81" s="181"/>
      <c r="AX81" s="612"/>
    </row>
    <row r="82" spans="2:50" ht="14.25" customHeight="1">
      <c r="B82" s="640" t="s">
        <v>878</v>
      </c>
      <c r="C82" s="641"/>
      <c r="D82" s="641"/>
      <c r="E82" s="641"/>
      <c r="F82" s="641"/>
      <c r="G82" s="641"/>
      <c r="H82" s="641"/>
      <c r="I82" s="641"/>
      <c r="J82" s="641"/>
      <c r="K82" s="641"/>
      <c r="L82" s="641"/>
      <c r="M82" s="642"/>
      <c r="N82" s="645" t="s">
        <v>363</v>
      </c>
      <c r="O82" s="645" t="s">
        <v>105</v>
      </c>
      <c r="P82" s="632">
        <v>46231</v>
      </c>
      <c r="Q82" s="633"/>
      <c r="R82" s="633"/>
      <c r="S82" s="633"/>
      <c r="T82" s="633"/>
      <c r="U82" s="634">
        <v>46232</v>
      </c>
      <c r="V82" s="635"/>
      <c r="W82" s="635"/>
      <c r="X82" s="635"/>
      <c r="Y82" s="635"/>
      <c r="Z82" s="632">
        <v>46233</v>
      </c>
      <c r="AA82" s="633"/>
      <c r="AB82" s="633"/>
      <c r="AC82" s="633"/>
      <c r="AD82" s="633"/>
      <c r="AE82" s="634">
        <v>46234</v>
      </c>
      <c r="AF82" s="635"/>
      <c r="AG82" s="635"/>
      <c r="AH82" s="635"/>
      <c r="AI82" s="635"/>
      <c r="AJ82" s="616">
        <v>46235</v>
      </c>
      <c r="AK82" s="617"/>
      <c r="AL82" s="617"/>
      <c r="AM82" s="617"/>
      <c r="AN82" s="618"/>
      <c r="AO82" s="634">
        <v>46236</v>
      </c>
      <c r="AP82" s="635"/>
      <c r="AQ82" s="635"/>
      <c r="AR82" s="635"/>
      <c r="AS82" s="635"/>
      <c r="AT82" s="616">
        <v>46237</v>
      </c>
      <c r="AU82" s="617"/>
      <c r="AV82" s="617"/>
      <c r="AW82" s="617"/>
      <c r="AX82" s="618"/>
    </row>
    <row r="83" spans="2:50" ht="14.25" customHeight="1">
      <c r="B83" s="643"/>
      <c r="C83" s="643"/>
      <c r="D83" s="643"/>
      <c r="E83" s="643"/>
      <c r="F83" s="643"/>
      <c r="G83" s="643"/>
      <c r="H83" s="643"/>
      <c r="I83" s="643"/>
      <c r="J83" s="643"/>
      <c r="K83" s="643"/>
      <c r="L83" s="643"/>
      <c r="M83" s="644"/>
      <c r="N83" s="646"/>
      <c r="O83" s="646"/>
      <c r="P83" s="619">
        <v>46196</v>
      </c>
      <c r="Q83" s="619"/>
      <c r="R83" s="619"/>
      <c r="S83" s="619"/>
      <c r="T83" s="619"/>
      <c r="U83" s="620">
        <v>46197</v>
      </c>
      <c r="V83" s="620"/>
      <c r="W83" s="620"/>
      <c r="X83" s="620"/>
      <c r="Y83" s="620"/>
      <c r="Z83" s="619">
        <v>46198</v>
      </c>
      <c r="AA83" s="619"/>
      <c r="AB83" s="619"/>
      <c r="AC83" s="619"/>
      <c r="AD83" s="619"/>
      <c r="AE83" s="620">
        <v>46199</v>
      </c>
      <c r="AF83" s="620"/>
      <c r="AG83" s="620"/>
      <c r="AH83" s="620"/>
      <c r="AI83" s="620"/>
      <c r="AJ83" s="621">
        <v>46200</v>
      </c>
      <c r="AK83" s="622"/>
      <c r="AL83" s="622"/>
      <c r="AM83" s="622"/>
      <c r="AN83" s="623"/>
      <c r="AO83" s="620">
        <v>46201</v>
      </c>
      <c r="AP83" s="620"/>
      <c r="AQ83" s="620"/>
      <c r="AR83" s="620"/>
      <c r="AS83" s="620"/>
      <c r="AT83" s="621">
        <v>46202</v>
      </c>
      <c r="AU83" s="622"/>
      <c r="AV83" s="622"/>
      <c r="AW83" s="622"/>
      <c r="AX83" s="623"/>
    </row>
    <row r="84" spans="2:50" ht="14.25" customHeight="1">
      <c r="B84" s="611" t="s">
        <v>162</v>
      </c>
      <c r="C84" s="611" t="s">
        <v>157</v>
      </c>
      <c r="D84" s="611"/>
      <c r="E84" s="611" t="s">
        <v>158</v>
      </c>
      <c r="F84" s="611"/>
      <c r="G84" s="611"/>
      <c r="H84" s="611" t="s">
        <v>163</v>
      </c>
      <c r="I84" s="615" t="s">
        <v>364</v>
      </c>
      <c r="J84" s="615"/>
      <c r="K84" s="615"/>
      <c r="L84" s="615" t="s">
        <v>163</v>
      </c>
      <c r="M84" s="615" t="s">
        <v>165</v>
      </c>
      <c r="N84" s="611"/>
      <c r="O84" s="611" t="s">
        <v>164</v>
      </c>
      <c r="P84" s="611" t="s">
        <v>160</v>
      </c>
      <c r="Q84" s="611"/>
      <c r="R84" s="611"/>
      <c r="S84" s="611"/>
      <c r="T84" s="611" t="s">
        <v>163</v>
      </c>
      <c r="U84" s="611" t="s">
        <v>160</v>
      </c>
      <c r="V84" s="611"/>
      <c r="W84" s="611"/>
      <c r="X84" s="611"/>
      <c r="Y84" s="611" t="s">
        <v>163</v>
      </c>
      <c r="Z84" s="611" t="s">
        <v>160</v>
      </c>
      <c r="AA84" s="611"/>
      <c r="AB84" s="611"/>
      <c r="AC84" s="611"/>
      <c r="AD84" s="611" t="s">
        <v>163</v>
      </c>
      <c r="AE84" s="611" t="s">
        <v>160</v>
      </c>
      <c r="AF84" s="611"/>
      <c r="AG84" s="611"/>
      <c r="AH84" s="611"/>
      <c r="AI84" s="611" t="s">
        <v>163</v>
      </c>
      <c r="AJ84" s="611" t="s">
        <v>160</v>
      </c>
      <c r="AK84" s="611"/>
      <c r="AL84" s="611"/>
      <c r="AM84" s="611"/>
      <c r="AN84" s="611" t="s">
        <v>163</v>
      </c>
      <c r="AO84" s="611" t="s">
        <v>160</v>
      </c>
      <c r="AP84" s="611"/>
      <c r="AQ84" s="611"/>
      <c r="AR84" s="611"/>
      <c r="AS84" s="611" t="s">
        <v>163</v>
      </c>
      <c r="AT84" s="611" t="s">
        <v>160</v>
      </c>
      <c r="AU84" s="611"/>
      <c r="AV84" s="611"/>
      <c r="AW84" s="611"/>
      <c r="AX84" s="611" t="s">
        <v>163</v>
      </c>
    </row>
    <row r="85" spans="2:50" ht="14.25" customHeight="1">
      <c r="B85" s="611"/>
      <c r="C85" s="611"/>
      <c r="D85" s="611"/>
      <c r="E85" s="611" t="s">
        <v>365</v>
      </c>
      <c r="F85" s="611"/>
      <c r="G85" s="611"/>
      <c r="H85" s="611"/>
      <c r="I85" s="615" t="s">
        <v>365</v>
      </c>
      <c r="J85" s="615"/>
      <c r="K85" s="615"/>
      <c r="L85" s="615"/>
      <c r="M85" s="615"/>
      <c r="N85" s="611"/>
      <c r="O85" s="611"/>
      <c r="P85" s="611" t="s">
        <v>366</v>
      </c>
      <c r="Q85" s="611"/>
      <c r="R85" s="611"/>
      <c r="S85" s="611"/>
      <c r="T85" s="611"/>
      <c r="U85" s="611" t="s">
        <v>366</v>
      </c>
      <c r="V85" s="611"/>
      <c r="W85" s="611"/>
      <c r="X85" s="611"/>
      <c r="Y85" s="611"/>
      <c r="Z85" s="611" t="s">
        <v>366</v>
      </c>
      <c r="AA85" s="611"/>
      <c r="AB85" s="611"/>
      <c r="AC85" s="611"/>
      <c r="AD85" s="611"/>
      <c r="AE85" s="611" t="s">
        <v>366</v>
      </c>
      <c r="AF85" s="611"/>
      <c r="AG85" s="611"/>
      <c r="AH85" s="611"/>
      <c r="AI85" s="611"/>
      <c r="AJ85" s="611" t="s">
        <v>366</v>
      </c>
      <c r="AK85" s="611"/>
      <c r="AL85" s="611"/>
      <c r="AM85" s="611"/>
      <c r="AN85" s="611"/>
      <c r="AO85" s="611" t="s">
        <v>366</v>
      </c>
      <c r="AP85" s="611"/>
      <c r="AQ85" s="611"/>
      <c r="AR85" s="611"/>
      <c r="AS85" s="611"/>
      <c r="AT85" s="611" t="s">
        <v>366</v>
      </c>
      <c r="AU85" s="611"/>
      <c r="AV85" s="611"/>
      <c r="AW85" s="611"/>
      <c r="AX85" s="611"/>
    </row>
    <row r="86" spans="2:50" ht="14.25" customHeight="1">
      <c r="B86" s="611"/>
      <c r="C86" s="611"/>
      <c r="D86" s="611"/>
      <c r="E86" s="179" t="s">
        <v>159</v>
      </c>
      <c r="F86" s="179" t="s">
        <v>367</v>
      </c>
      <c r="G86" s="179" t="s">
        <v>161</v>
      </c>
      <c r="H86" s="611"/>
      <c r="I86" s="180" t="s">
        <v>159</v>
      </c>
      <c r="J86" s="180" t="s">
        <v>367</v>
      </c>
      <c r="K86" s="180" t="s">
        <v>161</v>
      </c>
      <c r="L86" s="615"/>
      <c r="M86" s="615"/>
      <c r="N86" s="611"/>
      <c r="O86" s="611"/>
      <c r="P86" s="179" t="s">
        <v>159</v>
      </c>
      <c r="Q86" s="179" t="s">
        <v>367</v>
      </c>
      <c r="R86" s="179" t="s">
        <v>161</v>
      </c>
      <c r="S86" s="181" t="s">
        <v>165</v>
      </c>
      <c r="T86" s="611"/>
      <c r="U86" s="179" t="s">
        <v>159</v>
      </c>
      <c r="V86" s="179" t="s">
        <v>367</v>
      </c>
      <c r="W86" s="179" t="s">
        <v>161</v>
      </c>
      <c r="X86" s="181" t="s">
        <v>165</v>
      </c>
      <c r="Y86" s="611"/>
      <c r="Z86" s="179" t="s">
        <v>159</v>
      </c>
      <c r="AA86" s="179" t="s">
        <v>367</v>
      </c>
      <c r="AB86" s="179" t="s">
        <v>161</v>
      </c>
      <c r="AC86" s="181" t="s">
        <v>165</v>
      </c>
      <c r="AD86" s="611"/>
      <c r="AE86" s="179" t="s">
        <v>159</v>
      </c>
      <c r="AF86" s="179" t="s">
        <v>367</v>
      </c>
      <c r="AG86" s="179" t="s">
        <v>161</v>
      </c>
      <c r="AH86" s="181" t="s">
        <v>165</v>
      </c>
      <c r="AI86" s="611"/>
      <c r="AJ86" s="179" t="s">
        <v>159</v>
      </c>
      <c r="AK86" s="179" t="s">
        <v>367</v>
      </c>
      <c r="AL86" s="179" t="s">
        <v>161</v>
      </c>
      <c r="AM86" s="181" t="s">
        <v>165</v>
      </c>
      <c r="AN86" s="611"/>
      <c r="AO86" s="179" t="s">
        <v>159</v>
      </c>
      <c r="AP86" s="179" t="s">
        <v>367</v>
      </c>
      <c r="AQ86" s="179" t="s">
        <v>161</v>
      </c>
      <c r="AR86" s="181" t="s">
        <v>165</v>
      </c>
      <c r="AS86" s="611"/>
      <c r="AT86" s="179" t="s">
        <v>159</v>
      </c>
      <c r="AU86" s="179" t="s">
        <v>367</v>
      </c>
      <c r="AV86" s="179" t="s">
        <v>161</v>
      </c>
      <c r="AW86" s="181" t="s">
        <v>165</v>
      </c>
      <c r="AX86" s="611"/>
    </row>
    <row r="87" spans="2:50" ht="14.25" customHeight="1">
      <c r="B87" s="611" t="s">
        <v>369</v>
      </c>
      <c r="C87" s="179">
        <v>1</v>
      </c>
      <c r="D87" s="182" t="s">
        <v>346</v>
      </c>
      <c r="E87" s="183">
        <v>10</v>
      </c>
      <c r="F87" s="179">
        <v>3600</v>
      </c>
      <c r="G87" s="184">
        <f t="shared" ref="G87:G90" si="64">IFERROR(F87/E87,"")</f>
        <v>360</v>
      </c>
      <c r="H87" s="612">
        <f>AVERAGE(G87:G101)</f>
        <v>335.45454545454544</v>
      </c>
      <c r="I87" s="185">
        <f>AVERAGE(P87,U87,Z87,AE87,AJ87,AO87,AT87)</f>
        <v>10</v>
      </c>
      <c r="J87" s="185">
        <f>AVERAGE(Q87,V87,AA87,AF87,AK87,AP87,AU87)</f>
        <v>3217.1466940103287</v>
      </c>
      <c r="K87" s="186">
        <f>AVERAGE(R87,W87,AB87,AG87,AL87,AQ87,AV87)</f>
        <v>321.71466940103295</v>
      </c>
      <c r="L87" s="613">
        <f>IFERROR(AVERAGE(K87:K101),"-")</f>
        <v>295.72171351408798</v>
      </c>
      <c r="M87" s="185">
        <f>RANK(K87, K$87:$K$101)</f>
        <v>1</v>
      </c>
      <c r="N87" s="611"/>
      <c r="O87" s="611"/>
      <c r="P87" s="187">
        <v>10</v>
      </c>
      <c r="Q87" s="187">
        <v>3217.2495511531861</v>
      </c>
      <c r="R87" s="184">
        <f>IFERROR(Q87/P87,"")</f>
        <v>321.72495511531861</v>
      </c>
      <c r="S87" s="181">
        <f>RANK(R87, R$87:R$101)</f>
        <v>1</v>
      </c>
      <c r="T87" s="612">
        <f>AVERAGE(R87:R101)</f>
        <v>295.75474708584306</v>
      </c>
      <c r="U87" s="187">
        <v>10</v>
      </c>
      <c r="V87" s="187">
        <v>3216.5295511531867</v>
      </c>
      <c r="W87" s="184">
        <f t="shared" ref="W87:W90" si="65">IFERROR(V87/U87,"")</f>
        <v>321.65295511531866</v>
      </c>
      <c r="X87" s="181">
        <f>RANK(W87, W$87:W$101)</f>
        <v>1</v>
      </c>
      <c r="Y87" s="612">
        <f>AVERAGE(W87:W101)</f>
        <v>295.72856526766128</v>
      </c>
      <c r="Z87" s="187">
        <v>10</v>
      </c>
      <c r="AA87" s="187">
        <v>3216.5295511531863</v>
      </c>
      <c r="AB87" s="184">
        <f>IFERROR(AA87/Z87,"")</f>
        <v>321.6529551153186</v>
      </c>
      <c r="AC87" s="181">
        <f>RANK(AB87, AB$87:AB$101)</f>
        <v>1</v>
      </c>
      <c r="AD87" s="612">
        <f>AVERAGE(AB87:AB101)</f>
        <v>295.68428190356769</v>
      </c>
      <c r="AE87" s="187">
        <v>10</v>
      </c>
      <c r="AF87" s="187">
        <v>3217.6095511531857</v>
      </c>
      <c r="AG87" s="184">
        <f>IFERROR(AF87/AE87,"")</f>
        <v>321.76095511531855</v>
      </c>
      <c r="AH87" s="181">
        <f>RANK(AG87, AG$87:AG$101)</f>
        <v>1</v>
      </c>
      <c r="AI87" s="612">
        <f>AVERAGE(AG87:AG101)</f>
        <v>295.74400917629504</v>
      </c>
      <c r="AJ87" s="187">
        <v>10</v>
      </c>
      <c r="AK87" s="187">
        <v>3216.5295511531858</v>
      </c>
      <c r="AL87" s="184">
        <f>IFERROR(AK87/AJ87,"")</f>
        <v>321.6529551153186</v>
      </c>
      <c r="AM87" s="181">
        <f>RANK(AL87, AL$87:AL$101)</f>
        <v>1</v>
      </c>
      <c r="AN87" s="612">
        <f>AVERAGE(AL87:AL101)</f>
        <v>295.676100085386</v>
      </c>
      <c r="AO87" s="187">
        <v>10</v>
      </c>
      <c r="AP87" s="187">
        <v>3217.9695511531859</v>
      </c>
      <c r="AQ87" s="184">
        <f>IFERROR(AP87/AO87,"")</f>
        <v>321.79695511531861</v>
      </c>
      <c r="AR87" s="181">
        <f>RANK(AQ87, AQ$87:AQ$101)</f>
        <v>1</v>
      </c>
      <c r="AS87" s="612">
        <f>AVERAGE(AQ87:AQ101)</f>
        <v>295.68755463084057</v>
      </c>
      <c r="AT87" s="187">
        <v>10</v>
      </c>
      <c r="AU87" s="187">
        <v>3217.6095511531857</v>
      </c>
      <c r="AV87" s="184">
        <f>IFERROR(AU87/AT87,"")</f>
        <v>321.76095511531855</v>
      </c>
      <c r="AW87" s="181">
        <f>RANK(AV87, AV$87:AV$101)</f>
        <v>1</v>
      </c>
      <c r="AX87" s="612">
        <f>AVERAGE(AV87:AV101)</f>
        <v>295.77673644902234</v>
      </c>
    </row>
    <row r="88" spans="2:50" ht="14.25" customHeight="1">
      <c r="B88" s="611"/>
      <c r="C88" s="179">
        <v>2</v>
      </c>
      <c r="D88" s="182" t="s">
        <v>521</v>
      </c>
      <c r="E88" s="179">
        <v>11</v>
      </c>
      <c r="F88" s="179">
        <v>3600</v>
      </c>
      <c r="G88" s="184">
        <f t="shared" si="64"/>
        <v>327.27272727272725</v>
      </c>
      <c r="H88" s="612"/>
      <c r="I88" s="185">
        <f t="shared" ref="I88:K90" si="66">AVERAGE(P88,U88,Z88,AE88,AJ88,AO88,AT88)</f>
        <v>11</v>
      </c>
      <c r="J88" s="185">
        <f t="shared" si="66"/>
        <v>3156.928454195679</v>
      </c>
      <c r="K88" s="186">
        <f t="shared" si="66"/>
        <v>286.99349583597075</v>
      </c>
      <c r="L88" s="613"/>
      <c r="M88" s="185">
        <f>RANK(K88, K$87:$K$101)</f>
        <v>4</v>
      </c>
      <c r="N88" s="611"/>
      <c r="O88" s="611"/>
      <c r="P88" s="187">
        <v>11</v>
      </c>
      <c r="Q88" s="187">
        <v>3157.8027399099628</v>
      </c>
      <c r="R88" s="184">
        <f t="shared" ref="R88:R90" si="67">IFERROR(Q88/P88,"")</f>
        <v>287.07297635545115</v>
      </c>
      <c r="S88" s="181">
        <f t="shared" ref="S88:S90" si="68">RANK(R88, R$87:R$101)</f>
        <v>4</v>
      </c>
      <c r="T88" s="612"/>
      <c r="U88" s="187">
        <v>11</v>
      </c>
      <c r="V88" s="187">
        <v>3157.4427399099627</v>
      </c>
      <c r="W88" s="184">
        <f t="shared" si="65"/>
        <v>287.0402490827239</v>
      </c>
      <c r="X88" s="181">
        <f t="shared" ref="X88:X90" si="69">RANK(W88, W$87:W$101)</f>
        <v>4</v>
      </c>
      <c r="Y88" s="612"/>
      <c r="Z88" s="187">
        <v>11</v>
      </c>
      <c r="AA88" s="187">
        <v>3156.0027399099636</v>
      </c>
      <c r="AB88" s="184">
        <f t="shared" ref="AB88:AB90" si="70">IFERROR(AA88/Z88,"")</f>
        <v>286.90933999181487</v>
      </c>
      <c r="AC88" s="181">
        <f t="shared" ref="AC88:AC90" si="71">RANK(AB88, AB$87:AB$101)</f>
        <v>4</v>
      </c>
      <c r="AD88" s="612"/>
      <c r="AE88" s="187">
        <v>11</v>
      </c>
      <c r="AF88" s="187">
        <v>3157.0827399099644</v>
      </c>
      <c r="AG88" s="184">
        <f t="shared" ref="AG88:AG90" si="72">IFERROR(AF88/AE88,"")</f>
        <v>287.00752180999677</v>
      </c>
      <c r="AH88" s="181">
        <f t="shared" ref="AH88:AH90" si="73">RANK(AG88, AG$87:AG$101)</f>
        <v>4</v>
      </c>
      <c r="AI88" s="612"/>
      <c r="AJ88" s="187">
        <v>11</v>
      </c>
      <c r="AK88" s="187">
        <v>3155.6427399099653</v>
      </c>
      <c r="AL88" s="184">
        <f t="shared" ref="AL88:AL90" si="74">IFERROR(AK88/AJ88,"")</f>
        <v>286.87661271908775</v>
      </c>
      <c r="AM88" s="181">
        <f t="shared" ref="AM88:AM90" si="75">RANK(AL88, AL$87:AL$101)</f>
        <v>4</v>
      </c>
      <c r="AN88" s="612"/>
      <c r="AO88" s="187">
        <v>11</v>
      </c>
      <c r="AP88" s="187">
        <v>3156.3627399099655</v>
      </c>
      <c r="AQ88" s="184">
        <f t="shared" ref="AQ88:AQ90" si="76">IFERROR(AP88/AO88,"")</f>
        <v>286.94206726454235</v>
      </c>
      <c r="AR88" s="181">
        <f t="shared" ref="AR88:AR90" si="77">RANK(AQ88, AQ$87:AQ$101)</f>
        <v>3</v>
      </c>
      <c r="AS88" s="612"/>
      <c r="AT88" s="187">
        <v>11</v>
      </c>
      <c r="AU88" s="187">
        <v>3158.1627399099657</v>
      </c>
      <c r="AV88" s="184">
        <f t="shared" ref="AV88:AV90" si="78">IFERROR(AU88/AT88,"")</f>
        <v>287.10570362817867</v>
      </c>
      <c r="AW88" s="181">
        <f t="shared" ref="AW88:AW90" si="79">RANK(AV88, AV$87:AV$101)</f>
        <v>3</v>
      </c>
      <c r="AX88" s="612"/>
    </row>
    <row r="89" spans="2:50" ht="14.25" customHeight="1">
      <c r="B89" s="611"/>
      <c r="C89" s="179">
        <v>3</v>
      </c>
      <c r="D89" s="182" t="s">
        <v>522</v>
      </c>
      <c r="E89" s="179">
        <v>11</v>
      </c>
      <c r="F89" s="179">
        <v>3600</v>
      </c>
      <c r="G89" s="184">
        <f t="shared" si="64"/>
        <v>327.27272727272725</v>
      </c>
      <c r="H89" s="612"/>
      <c r="I89" s="185">
        <f t="shared" si="66"/>
        <v>11</v>
      </c>
      <c r="J89" s="185">
        <f t="shared" si="66"/>
        <v>3157.7971817291823</v>
      </c>
      <c r="K89" s="186">
        <f t="shared" si="66"/>
        <v>287.07247106628927</v>
      </c>
      <c r="L89" s="613"/>
      <c r="M89" s="185">
        <f>RANK(K89, K$87:$K$101)</f>
        <v>3</v>
      </c>
      <c r="N89" s="611"/>
      <c r="O89" s="611"/>
      <c r="P89" s="187">
        <v>11</v>
      </c>
      <c r="Q89" s="187">
        <v>3158.5203731721199</v>
      </c>
      <c r="R89" s="184">
        <f t="shared" si="67"/>
        <v>287.13821574292001</v>
      </c>
      <c r="S89" s="181">
        <f t="shared" si="68"/>
        <v>2</v>
      </c>
      <c r="T89" s="612"/>
      <c r="U89" s="187">
        <v>11</v>
      </c>
      <c r="V89" s="187">
        <v>3158.1603731721202</v>
      </c>
      <c r="W89" s="184">
        <f t="shared" si="65"/>
        <v>287.10548847019277</v>
      </c>
      <c r="X89" s="181">
        <f t="shared" si="69"/>
        <v>3</v>
      </c>
      <c r="Y89" s="612"/>
      <c r="Z89" s="187">
        <v>11</v>
      </c>
      <c r="AA89" s="187">
        <v>3158.7319051520058</v>
      </c>
      <c r="AB89" s="184">
        <f t="shared" si="70"/>
        <v>287.15744592290963</v>
      </c>
      <c r="AC89" s="181">
        <f t="shared" si="71"/>
        <v>2</v>
      </c>
      <c r="AD89" s="612"/>
      <c r="AE89" s="187">
        <v>11</v>
      </c>
      <c r="AF89" s="187">
        <v>3157.6519051520067</v>
      </c>
      <c r="AG89" s="184">
        <f t="shared" si="72"/>
        <v>287.0592641047279</v>
      </c>
      <c r="AH89" s="181">
        <f t="shared" si="73"/>
        <v>3</v>
      </c>
      <c r="AI89" s="612"/>
      <c r="AJ89" s="187">
        <v>11</v>
      </c>
      <c r="AK89" s="187">
        <v>3157.6519051520072</v>
      </c>
      <c r="AL89" s="184">
        <f t="shared" si="74"/>
        <v>287.0592641047279</v>
      </c>
      <c r="AM89" s="181">
        <f t="shared" si="75"/>
        <v>3</v>
      </c>
      <c r="AN89" s="612"/>
      <c r="AO89" s="187">
        <v>11</v>
      </c>
      <c r="AP89" s="187">
        <v>3156.2119051520071</v>
      </c>
      <c r="AQ89" s="184">
        <f t="shared" si="76"/>
        <v>286.92835501381882</v>
      </c>
      <c r="AR89" s="181">
        <f t="shared" si="77"/>
        <v>4</v>
      </c>
      <c r="AS89" s="612"/>
      <c r="AT89" s="187">
        <v>11</v>
      </c>
      <c r="AU89" s="187">
        <v>3157.6519051520072</v>
      </c>
      <c r="AV89" s="184">
        <f t="shared" si="78"/>
        <v>287.0592641047279</v>
      </c>
      <c r="AW89" s="181">
        <f t="shared" si="79"/>
        <v>4</v>
      </c>
      <c r="AX89" s="612"/>
    </row>
    <row r="90" spans="2:50" ht="14.25" customHeight="1">
      <c r="B90" s="611"/>
      <c r="C90" s="179">
        <v>4</v>
      </c>
      <c r="D90" s="182" t="s">
        <v>849</v>
      </c>
      <c r="E90" s="179">
        <v>11</v>
      </c>
      <c r="F90" s="179">
        <v>3600</v>
      </c>
      <c r="G90" s="184">
        <f t="shared" si="64"/>
        <v>327.27272727272725</v>
      </c>
      <c r="H90" s="612"/>
      <c r="I90" s="185">
        <f t="shared" si="66"/>
        <v>11</v>
      </c>
      <c r="J90" s="185">
        <f t="shared" si="66"/>
        <v>3158.1683952836493</v>
      </c>
      <c r="K90" s="186">
        <f t="shared" si="66"/>
        <v>287.10621775305901</v>
      </c>
      <c r="L90" s="613"/>
      <c r="M90" s="185">
        <f>RANK(K90, K$87:$K$101)</f>
        <v>2</v>
      </c>
      <c r="N90" s="611"/>
      <c r="O90" s="611"/>
      <c r="P90" s="187">
        <v>11</v>
      </c>
      <c r="Q90" s="187">
        <v>3157.9112524265061</v>
      </c>
      <c r="R90" s="184">
        <f t="shared" si="67"/>
        <v>287.08284112968238</v>
      </c>
      <c r="S90" s="181">
        <f t="shared" si="68"/>
        <v>3</v>
      </c>
      <c r="T90" s="612"/>
      <c r="U90" s="187">
        <v>11</v>
      </c>
      <c r="V90" s="187">
        <v>3158.2712524265062</v>
      </c>
      <c r="W90" s="184">
        <f t="shared" si="65"/>
        <v>287.11556840240968</v>
      </c>
      <c r="X90" s="181">
        <f t="shared" si="69"/>
        <v>2</v>
      </c>
      <c r="Y90" s="612"/>
      <c r="Z90" s="187">
        <v>11</v>
      </c>
      <c r="AA90" s="187">
        <v>3157.1912524265067</v>
      </c>
      <c r="AB90" s="184">
        <f t="shared" si="70"/>
        <v>287.01738658422789</v>
      </c>
      <c r="AC90" s="181">
        <f t="shared" si="71"/>
        <v>3</v>
      </c>
      <c r="AD90" s="612"/>
      <c r="AE90" s="187">
        <v>11</v>
      </c>
      <c r="AF90" s="187">
        <v>3158.6312524265063</v>
      </c>
      <c r="AG90" s="184">
        <f t="shared" si="72"/>
        <v>287.14829567513692</v>
      </c>
      <c r="AH90" s="181">
        <f t="shared" si="73"/>
        <v>2</v>
      </c>
      <c r="AI90" s="612"/>
      <c r="AJ90" s="187">
        <v>11</v>
      </c>
      <c r="AK90" s="187">
        <v>3158.2712524265062</v>
      </c>
      <c r="AL90" s="184">
        <f t="shared" si="74"/>
        <v>287.11556840240968</v>
      </c>
      <c r="AM90" s="181">
        <f t="shared" si="75"/>
        <v>2</v>
      </c>
      <c r="AN90" s="612"/>
      <c r="AO90" s="187">
        <v>11</v>
      </c>
      <c r="AP90" s="187">
        <v>3157.9112524265074</v>
      </c>
      <c r="AQ90" s="184">
        <f t="shared" si="76"/>
        <v>287.08284112968249</v>
      </c>
      <c r="AR90" s="181">
        <f t="shared" si="77"/>
        <v>2</v>
      </c>
      <c r="AS90" s="612"/>
      <c r="AT90" s="187">
        <v>11</v>
      </c>
      <c r="AU90" s="187">
        <v>3158.9912524265069</v>
      </c>
      <c r="AV90" s="184">
        <f t="shared" si="78"/>
        <v>287.18102294786428</v>
      </c>
      <c r="AW90" s="181">
        <f t="shared" si="79"/>
        <v>2</v>
      </c>
      <c r="AX90" s="612"/>
    </row>
    <row r="91" spans="2:50" ht="14.25" customHeight="1">
      <c r="B91" s="611"/>
      <c r="C91" s="179">
        <v>5</v>
      </c>
      <c r="D91" s="182"/>
      <c r="E91" s="179"/>
      <c r="F91" s="179"/>
      <c r="G91" s="184"/>
      <c r="H91" s="612"/>
      <c r="I91" s="185"/>
      <c r="J91" s="185"/>
      <c r="K91" s="186"/>
      <c r="L91" s="613"/>
      <c r="M91" s="185"/>
      <c r="N91" s="611"/>
      <c r="O91" s="611"/>
      <c r="P91" s="187"/>
      <c r="Q91" s="187"/>
      <c r="R91" s="184"/>
      <c r="S91" s="181"/>
      <c r="T91" s="612"/>
      <c r="U91" s="187"/>
      <c r="V91" s="187"/>
      <c r="W91" s="184"/>
      <c r="X91" s="181"/>
      <c r="Y91" s="612"/>
      <c r="Z91" s="187"/>
      <c r="AA91" s="187"/>
      <c r="AB91" s="184"/>
      <c r="AC91" s="181"/>
      <c r="AD91" s="612"/>
      <c r="AE91" s="187"/>
      <c r="AF91" s="187"/>
      <c r="AG91" s="184"/>
      <c r="AH91" s="181"/>
      <c r="AI91" s="612"/>
      <c r="AJ91" s="187"/>
      <c r="AK91" s="187"/>
      <c r="AL91" s="184"/>
      <c r="AM91" s="181"/>
      <c r="AN91" s="612"/>
      <c r="AO91" s="187"/>
      <c r="AP91" s="187"/>
      <c r="AQ91" s="184"/>
      <c r="AR91" s="181"/>
      <c r="AS91" s="612"/>
      <c r="AT91" s="187"/>
      <c r="AU91" s="187"/>
      <c r="AV91" s="184"/>
      <c r="AW91" s="181"/>
      <c r="AX91" s="612"/>
    </row>
    <row r="92" spans="2:50" ht="14.25" customHeight="1">
      <c r="B92" s="611"/>
      <c r="C92" s="179">
        <v>6</v>
      </c>
      <c r="D92" s="182"/>
      <c r="E92" s="179"/>
      <c r="F92" s="179"/>
      <c r="G92" s="184"/>
      <c r="H92" s="612"/>
      <c r="I92" s="185"/>
      <c r="J92" s="185"/>
      <c r="K92" s="186"/>
      <c r="L92" s="613"/>
      <c r="M92" s="185"/>
      <c r="N92" s="611"/>
      <c r="O92" s="611"/>
      <c r="P92" s="187"/>
      <c r="Q92" s="187"/>
      <c r="R92" s="184"/>
      <c r="S92" s="181"/>
      <c r="T92" s="612"/>
      <c r="U92" s="187"/>
      <c r="V92" s="187"/>
      <c r="W92" s="184"/>
      <c r="X92" s="181"/>
      <c r="Y92" s="612"/>
      <c r="Z92" s="187"/>
      <c r="AA92" s="187"/>
      <c r="AB92" s="184"/>
      <c r="AC92" s="181"/>
      <c r="AD92" s="612"/>
      <c r="AE92" s="187"/>
      <c r="AF92" s="187"/>
      <c r="AG92" s="184"/>
      <c r="AH92" s="181"/>
      <c r="AI92" s="612"/>
      <c r="AJ92" s="187"/>
      <c r="AK92" s="187"/>
      <c r="AL92" s="184"/>
      <c r="AM92" s="181"/>
      <c r="AN92" s="612"/>
      <c r="AO92" s="187"/>
      <c r="AP92" s="187"/>
      <c r="AQ92" s="184"/>
      <c r="AR92" s="181"/>
      <c r="AS92" s="612"/>
      <c r="AT92" s="187"/>
      <c r="AU92" s="187"/>
      <c r="AV92" s="184"/>
      <c r="AW92" s="181"/>
      <c r="AX92" s="612"/>
    </row>
    <row r="93" spans="2:50" ht="14.25" customHeight="1">
      <c r="B93" s="611"/>
      <c r="C93" s="179">
        <v>7</v>
      </c>
      <c r="D93" s="182"/>
      <c r="E93" s="179"/>
      <c r="F93" s="179"/>
      <c r="G93" s="184"/>
      <c r="H93" s="612"/>
      <c r="I93" s="185"/>
      <c r="J93" s="185"/>
      <c r="K93" s="186"/>
      <c r="L93" s="613"/>
      <c r="M93" s="185"/>
      <c r="N93" s="611"/>
      <c r="O93" s="611"/>
      <c r="P93" s="187"/>
      <c r="Q93" s="187"/>
      <c r="R93" s="184"/>
      <c r="S93" s="181"/>
      <c r="T93" s="612"/>
      <c r="U93" s="187"/>
      <c r="V93" s="187"/>
      <c r="W93" s="184"/>
      <c r="X93" s="181"/>
      <c r="Y93" s="612"/>
      <c r="Z93" s="187"/>
      <c r="AA93" s="187"/>
      <c r="AB93" s="184"/>
      <c r="AC93" s="181"/>
      <c r="AD93" s="612"/>
      <c r="AE93" s="187"/>
      <c r="AF93" s="187"/>
      <c r="AG93" s="184"/>
      <c r="AH93" s="181"/>
      <c r="AI93" s="612"/>
      <c r="AJ93" s="187"/>
      <c r="AK93" s="187"/>
      <c r="AL93" s="184"/>
      <c r="AM93" s="181"/>
      <c r="AN93" s="612"/>
      <c r="AO93" s="187"/>
      <c r="AP93" s="187"/>
      <c r="AQ93" s="184"/>
      <c r="AR93" s="181"/>
      <c r="AS93" s="612"/>
      <c r="AT93" s="187"/>
      <c r="AU93" s="187"/>
      <c r="AV93" s="184"/>
      <c r="AW93" s="181"/>
      <c r="AX93" s="612"/>
    </row>
    <row r="94" spans="2:50" ht="14.25" customHeight="1">
      <c r="B94" s="611"/>
      <c r="C94" s="179">
        <v>8</v>
      </c>
      <c r="D94" s="182"/>
      <c r="E94" s="179"/>
      <c r="F94" s="179"/>
      <c r="G94" s="184"/>
      <c r="H94" s="612"/>
      <c r="I94" s="185"/>
      <c r="J94" s="185"/>
      <c r="K94" s="186"/>
      <c r="L94" s="613"/>
      <c r="M94" s="185"/>
      <c r="N94" s="611"/>
      <c r="O94" s="611"/>
      <c r="P94" s="187"/>
      <c r="Q94" s="187"/>
      <c r="R94" s="184"/>
      <c r="S94" s="181"/>
      <c r="T94" s="612"/>
      <c r="U94" s="187"/>
      <c r="V94" s="187"/>
      <c r="W94" s="184"/>
      <c r="X94" s="181"/>
      <c r="Y94" s="612"/>
      <c r="Z94" s="187"/>
      <c r="AA94" s="187"/>
      <c r="AB94" s="184"/>
      <c r="AC94" s="181"/>
      <c r="AD94" s="612"/>
      <c r="AE94" s="187"/>
      <c r="AF94" s="187"/>
      <c r="AG94" s="184"/>
      <c r="AH94" s="181"/>
      <c r="AI94" s="612"/>
      <c r="AJ94" s="187"/>
      <c r="AK94" s="187"/>
      <c r="AL94" s="184"/>
      <c r="AM94" s="181"/>
      <c r="AN94" s="612"/>
      <c r="AO94" s="187"/>
      <c r="AP94" s="187"/>
      <c r="AQ94" s="184"/>
      <c r="AR94" s="181"/>
      <c r="AS94" s="612"/>
      <c r="AT94" s="187"/>
      <c r="AU94" s="187"/>
      <c r="AV94" s="184"/>
      <c r="AW94" s="181"/>
      <c r="AX94" s="612"/>
    </row>
    <row r="95" spans="2:50" ht="14.25" customHeight="1">
      <c r="B95" s="611"/>
      <c r="C95" s="179">
        <v>9</v>
      </c>
      <c r="D95" s="182"/>
      <c r="E95" s="179"/>
      <c r="F95" s="179"/>
      <c r="G95" s="184"/>
      <c r="H95" s="612"/>
      <c r="I95" s="185"/>
      <c r="J95" s="185"/>
      <c r="K95" s="186"/>
      <c r="L95" s="613"/>
      <c r="M95" s="185"/>
      <c r="N95" s="611"/>
      <c r="O95" s="611"/>
      <c r="P95" s="187"/>
      <c r="Q95" s="187"/>
      <c r="R95" s="184"/>
      <c r="S95" s="181"/>
      <c r="T95" s="612"/>
      <c r="U95" s="187"/>
      <c r="V95" s="187"/>
      <c r="W95" s="184"/>
      <c r="X95" s="181"/>
      <c r="Y95" s="612"/>
      <c r="Z95" s="187"/>
      <c r="AA95" s="187"/>
      <c r="AB95" s="184"/>
      <c r="AC95" s="181"/>
      <c r="AD95" s="612"/>
      <c r="AE95" s="187"/>
      <c r="AF95" s="187"/>
      <c r="AG95" s="184"/>
      <c r="AH95" s="181"/>
      <c r="AI95" s="612"/>
      <c r="AJ95" s="187"/>
      <c r="AK95" s="187"/>
      <c r="AL95" s="184"/>
      <c r="AM95" s="181"/>
      <c r="AN95" s="612"/>
      <c r="AO95" s="187"/>
      <c r="AP95" s="187"/>
      <c r="AQ95" s="184"/>
      <c r="AR95" s="181"/>
      <c r="AS95" s="612"/>
      <c r="AT95" s="187"/>
      <c r="AU95" s="187"/>
      <c r="AV95" s="184"/>
      <c r="AW95" s="181"/>
      <c r="AX95" s="612"/>
    </row>
    <row r="96" spans="2:50" ht="14.25" customHeight="1">
      <c r="B96" s="611"/>
      <c r="C96" s="179">
        <v>10</v>
      </c>
      <c r="D96" s="182"/>
      <c r="E96" s="179"/>
      <c r="F96" s="179"/>
      <c r="G96" s="184"/>
      <c r="H96" s="612"/>
      <c r="I96" s="185"/>
      <c r="J96" s="185"/>
      <c r="K96" s="186"/>
      <c r="L96" s="613"/>
      <c r="M96" s="185"/>
      <c r="N96" s="611"/>
      <c r="O96" s="611"/>
      <c r="P96" s="187"/>
      <c r="Q96" s="187"/>
      <c r="R96" s="184"/>
      <c r="S96" s="181"/>
      <c r="T96" s="612"/>
      <c r="U96" s="187"/>
      <c r="V96" s="187"/>
      <c r="W96" s="184"/>
      <c r="X96" s="181"/>
      <c r="Y96" s="612"/>
      <c r="Z96" s="187"/>
      <c r="AA96" s="187"/>
      <c r="AB96" s="184"/>
      <c r="AC96" s="181"/>
      <c r="AD96" s="612"/>
      <c r="AE96" s="187"/>
      <c r="AF96" s="187"/>
      <c r="AG96" s="184"/>
      <c r="AH96" s="181"/>
      <c r="AI96" s="612"/>
      <c r="AJ96" s="187"/>
      <c r="AK96" s="187"/>
      <c r="AL96" s="184"/>
      <c r="AM96" s="181"/>
      <c r="AN96" s="612"/>
      <c r="AO96" s="187"/>
      <c r="AP96" s="187"/>
      <c r="AQ96" s="184"/>
      <c r="AR96" s="181"/>
      <c r="AS96" s="612"/>
      <c r="AT96" s="187"/>
      <c r="AU96" s="187"/>
      <c r="AV96" s="184"/>
      <c r="AW96" s="181"/>
      <c r="AX96" s="612"/>
    </row>
    <row r="97" spans="2:50" ht="14.25" customHeight="1">
      <c r="B97" s="611"/>
      <c r="C97" s="179">
        <v>11</v>
      </c>
      <c r="D97" s="182"/>
      <c r="E97" s="179"/>
      <c r="F97" s="179"/>
      <c r="G97" s="184"/>
      <c r="H97" s="612"/>
      <c r="I97" s="185"/>
      <c r="J97" s="185"/>
      <c r="K97" s="186"/>
      <c r="L97" s="613"/>
      <c r="M97" s="185"/>
      <c r="N97" s="611"/>
      <c r="O97" s="611"/>
      <c r="P97" s="187"/>
      <c r="Q97" s="187"/>
      <c r="R97" s="184"/>
      <c r="S97" s="181"/>
      <c r="T97" s="612"/>
      <c r="U97" s="187"/>
      <c r="V97" s="187"/>
      <c r="W97" s="184"/>
      <c r="X97" s="181"/>
      <c r="Y97" s="612"/>
      <c r="Z97" s="187"/>
      <c r="AA97" s="187"/>
      <c r="AB97" s="184"/>
      <c r="AC97" s="181"/>
      <c r="AD97" s="612"/>
      <c r="AE97" s="187"/>
      <c r="AF97" s="187"/>
      <c r="AG97" s="184"/>
      <c r="AH97" s="181"/>
      <c r="AI97" s="612"/>
      <c r="AJ97" s="187"/>
      <c r="AK97" s="187"/>
      <c r="AL97" s="184"/>
      <c r="AM97" s="181"/>
      <c r="AN97" s="612"/>
      <c r="AO97" s="187"/>
      <c r="AP97" s="187"/>
      <c r="AQ97" s="184"/>
      <c r="AR97" s="181"/>
      <c r="AS97" s="612"/>
      <c r="AT97" s="187"/>
      <c r="AU97" s="187"/>
      <c r="AV97" s="184"/>
      <c r="AW97" s="181"/>
      <c r="AX97" s="612"/>
    </row>
    <row r="98" spans="2:50" ht="14.25" customHeight="1">
      <c r="B98" s="611"/>
      <c r="C98" s="179">
        <v>12</v>
      </c>
      <c r="D98" s="182"/>
      <c r="E98" s="179"/>
      <c r="F98" s="179"/>
      <c r="G98" s="184"/>
      <c r="H98" s="612"/>
      <c r="I98" s="185"/>
      <c r="J98" s="185"/>
      <c r="K98" s="186"/>
      <c r="L98" s="613"/>
      <c r="M98" s="185"/>
      <c r="N98" s="611"/>
      <c r="O98" s="611"/>
      <c r="P98" s="187"/>
      <c r="Q98" s="187"/>
      <c r="R98" s="184"/>
      <c r="S98" s="181"/>
      <c r="T98" s="612"/>
      <c r="U98" s="187"/>
      <c r="V98" s="187"/>
      <c r="W98" s="184"/>
      <c r="X98" s="181"/>
      <c r="Y98" s="612"/>
      <c r="Z98" s="187"/>
      <c r="AA98" s="187"/>
      <c r="AB98" s="184"/>
      <c r="AC98" s="181"/>
      <c r="AD98" s="612"/>
      <c r="AE98" s="187"/>
      <c r="AF98" s="187"/>
      <c r="AG98" s="184"/>
      <c r="AH98" s="181"/>
      <c r="AI98" s="612"/>
      <c r="AJ98" s="187"/>
      <c r="AK98" s="187"/>
      <c r="AL98" s="184"/>
      <c r="AM98" s="181"/>
      <c r="AN98" s="612"/>
      <c r="AO98" s="187"/>
      <c r="AP98" s="187"/>
      <c r="AQ98" s="184"/>
      <c r="AR98" s="181"/>
      <c r="AS98" s="612"/>
      <c r="AT98" s="187"/>
      <c r="AU98" s="187"/>
      <c r="AV98" s="184"/>
      <c r="AW98" s="181"/>
      <c r="AX98" s="612"/>
    </row>
    <row r="99" spans="2:50" ht="14.25" customHeight="1">
      <c r="B99" s="611"/>
      <c r="C99" s="179">
        <v>13</v>
      </c>
      <c r="D99" s="182"/>
      <c r="E99" s="179"/>
      <c r="F99" s="179"/>
      <c r="G99" s="184"/>
      <c r="H99" s="612"/>
      <c r="I99" s="185"/>
      <c r="J99" s="185"/>
      <c r="K99" s="186"/>
      <c r="L99" s="613"/>
      <c r="M99" s="185"/>
      <c r="N99" s="611"/>
      <c r="O99" s="611"/>
      <c r="P99" s="187"/>
      <c r="Q99" s="187"/>
      <c r="R99" s="184"/>
      <c r="S99" s="181"/>
      <c r="T99" s="612"/>
      <c r="U99" s="187"/>
      <c r="V99" s="187"/>
      <c r="W99" s="184"/>
      <c r="X99" s="181"/>
      <c r="Y99" s="612"/>
      <c r="Z99" s="187"/>
      <c r="AA99" s="187"/>
      <c r="AB99" s="184"/>
      <c r="AC99" s="181"/>
      <c r="AD99" s="612"/>
      <c r="AE99" s="187"/>
      <c r="AF99" s="187"/>
      <c r="AG99" s="184"/>
      <c r="AH99" s="181"/>
      <c r="AI99" s="612"/>
      <c r="AJ99" s="187"/>
      <c r="AK99" s="187"/>
      <c r="AL99" s="184"/>
      <c r="AM99" s="181"/>
      <c r="AN99" s="612"/>
      <c r="AO99" s="187"/>
      <c r="AP99" s="187"/>
      <c r="AQ99" s="184"/>
      <c r="AR99" s="181"/>
      <c r="AS99" s="612"/>
      <c r="AT99" s="187"/>
      <c r="AU99" s="187"/>
      <c r="AV99" s="184"/>
      <c r="AW99" s="181"/>
      <c r="AX99" s="612"/>
    </row>
    <row r="100" spans="2:50" ht="14.25" customHeight="1">
      <c r="B100" s="611"/>
      <c r="C100" s="179">
        <v>14</v>
      </c>
      <c r="D100" s="182"/>
      <c r="E100" s="179"/>
      <c r="F100" s="179"/>
      <c r="G100" s="184"/>
      <c r="H100" s="612"/>
      <c r="I100" s="185"/>
      <c r="J100" s="185"/>
      <c r="K100" s="186"/>
      <c r="L100" s="613"/>
      <c r="M100" s="185"/>
      <c r="N100" s="611"/>
      <c r="O100" s="611"/>
      <c r="P100" s="187"/>
      <c r="Q100" s="187"/>
      <c r="R100" s="184"/>
      <c r="S100" s="181"/>
      <c r="T100" s="612"/>
      <c r="U100" s="187"/>
      <c r="V100" s="187"/>
      <c r="W100" s="184"/>
      <c r="X100" s="181"/>
      <c r="Y100" s="612"/>
      <c r="Z100" s="187"/>
      <c r="AA100" s="187"/>
      <c r="AB100" s="184"/>
      <c r="AC100" s="181"/>
      <c r="AD100" s="612"/>
      <c r="AE100" s="187"/>
      <c r="AF100" s="187"/>
      <c r="AG100" s="184"/>
      <c r="AH100" s="181"/>
      <c r="AI100" s="612"/>
      <c r="AJ100" s="187"/>
      <c r="AK100" s="187"/>
      <c r="AL100" s="184"/>
      <c r="AM100" s="181"/>
      <c r="AN100" s="612"/>
      <c r="AO100" s="187"/>
      <c r="AP100" s="187"/>
      <c r="AQ100" s="184"/>
      <c r="AR100" s="181"/>
      <c r="AS100" s="612"/>
      <c r="AT100" s="187"/>
      <c r="AU100" s="187"/>
      <c r="AV100" s="184"/>
      <c r="AW100" s="181"/>
      <c r="AX100" s="612"/>
    </row>
    <row r="101" spans="2:50" ht="14.25" customHeight="1">
      <c r="B101" s="611"/>
      <c r="C101" s="179">
        <v>15</v>
      </c>
      <c r="D101" s="182"/>
      <c r="E101" s="179"/>
      <c r="F101" s="179"/>
      <c r="G101" s="184"/>
      <c r="H101" s="612"/>
      <c r="I101" s="185"/>
      <c r="J101" s="185"/>
      <c r="K101" s="186"/>
      <c r="L101" s="613"/>
      <c r="M101" s="185"/>
      <c r="N101" s="611"/>
      <c r="O101" s="611"/>
      <c r="P101" s="187"/>
      <c r="Q101" s="187"/>
      <c r="R101" s="184"/>
      <c r="S101" s="181"/>
      <c r="T101" s="612"/>
      <c r="U101" s="187"/>
      <c r="V101" s="187"/>
      <c r="W101" s="184"/>
      <c r="X101" s="181"/>
      <c r="Y101" s="612"/>
      <c r="Z101" s="187"/>
      <c r="AA101" s="187"/>
      <c r="AB101" s="184"/>
      <c r="AC101" s="181"/>
      <c r="AD101" s="612"/>
      <c r="AE101" s="187"/>
      <c r="AF101" s="187"/>
      <c r="AG101" s="184"/>
      <c r="AH101" s="181"/>
      <c r="AI101" s="612"/>
      <c r="AJ101" s="187"/>
      <c r="AK101" s="187"/>
      <c r="AL101" s="184"/>
      <c r="AM101" s="181"/>
      <c r="AN101" s="612"/>
      <c r="AO101" s="187"/>
      <c r="AP101" s="187"/>
      <c r="AQ101" s="184"/>
      <c r="AR101" s="181"/>
      <c r="AS101" s="612"/>
      <c r="AT101" s="187"/>
      <c r="AU101" s="187"/>
      <c r="AV101" s="184"/>
      <c r="AW101" s="181"/>
      <c r="AX101" s="612"/>
    </row>
  </sheetData>
  <mergeCells count="295">
    <mergeCell ref="AI47:AI61"/>
    <mergeCell ref="B44:B46"/>
    <mergeCell ref="C44:D46"/>
    <mergeCell ref="E44:G44"/>
    <mergeCell ref="H44:H46"/>
    <mergeCell ref="I44:K44"/>
    <mergeCell ref="L44:L46"/>
    <mergeCell ref="AJ45:AM45"/>
    <mergeCell ref="AO45:AR45"/>
    <mergeCell ref="E45:G45"/>
    <mergeCell ref="I45:K45"/>
    <mergeCell ref="P45:S45"/>
    <mergeCell ref="U45:X45"/>
    <mergeCell ref="Z45:AC45"/>
    <mergeCell ref="AE45:AH45"/>
    <mergeCell ref="B47:B61"/>
    <mergeCell ref="N44:N61"/>
    <mergeCell ref="O44:O61"/>
    <mergeCell ref="H47:H61"/>
    <mergeCell ref="L47:L61"/>
    <mergeCell ref="T47:T61"/>
    <mergeCell ref="Y47:Y61"/>
    <mergeCell ref="AD47:AD61"/>
    <mergeCell ref="AT43:AX43"/>
    <mergeCell ref="AT45:AW45"/>
    <mergeCell ref="M44:M46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AX27:AX41"/>
    <mergeCell ref="AD27:AD41"/>
    <mergeCell ref="AI27:AI41"/>
    <mergeCell ref="AN27:AN41"/>
    <mergeCell ref="AS27:AS41"/>
    <mergeCell ref="AN47:AN61"/>
    <mergeCell ref="AS47:AS61"/>
    <mergeCell ref="AX47:AX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tabColor rgb="FFFFFFCC"/>
  </sheetPr>
  <dimension ref="A1:AX101"/>
  <sheetViews>
    <sheetView zoomScaleNormal="100" workbookViewId="0">
      <pane xSplit="13" ySplit="1" topLeftCell="AI77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AR87" sqref="AR87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456" t="s">
        <v>720</v>
      </c>
      <c r="C1" s="174">
        <f>AVERAGE(L7,L27,L47,L67,L87)</f>
        <v>117.05022912035081</v>
      </c>
    </row>
    <row r="2" spans="1:50" ht="14.25" customHeight="1">
      <c r="B2" s="640" t="s">
        <v>709</v>
      </c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2"/>
      <c r="N2" s="645" t="s">
        <v>363</v>
      </c>
      <c r="O2" s="630" t="s">
        <v>105</v>
      </c>
      <c r="P2" s="632">
        <v>46203</v>
      </c>
      <c r="Q2" s="633"/>
      <c r="R2" s="633"/>
      <c r="S2" s="633"/>
      <c r="T2" s="633"/>
      <c r="U2" s="634">
        <v>46204</v>
      </c>
      <c r="V2" s="635"/>
      <c r="W2" s="635"/>
      <c r="X2" s="635"/>
      <c r="Y2" s="635"/>
      <c r="Z2" s="632">
        <v>46205</v>
      </c>
      <c r="AA2" s="633"/>
      <c r="AB2" s="633"/>
      <c r="AC2" s="633"/>
      <c r="AD2" s="633"/>
      <c r="AE2" s="634">
        <v>46206</v>
      </c>
      <c r="AF2" s="635"/>
      <c r="AG2" s="635"/>
      <c r="AH2" s="635"/>
      <c r="AI2" s="635"/>
      <c r="AJ2" s="616">
        <v>46207</v>
      </c>
      <c r="AK2" s="617"/>
      <c r="AL2" s="617"/>
      <c r="AM2" s="617"/>
      <c r="AN2" s="618"/>
      <c r="AO2" s="634">
        <v>46208</v>
      </c>
      <c r="AP2" s="635"/>
      <c r="AQ2" s="635"/>
      <c r="AR2" s="635"/>
      <c r="AS2" s="635"/>
      <c r="AT2" s="616">
        <v>46209</v>
      </c>
      <c r="AU2" s="617"/>
      <c r="AV2" s="617"/>
      <c r="AW2" s="617"/>
      <c r="AX2" s="618"/>
    </row>
    <row r="3" spans="1:50" ht="14.25" customHeight="1">
      <c r="B3" s="643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4"/>
      <c r="N3" s="646"/>
      <c r="O3" s="631"/>
      <c r="P3" s="619">
        <v>46196</v>
      </c>
      <c r="Q3" s="619"/>
      <c r="R3" s="619"/>
      <c r="S3" s="619"/>
      <c r="T3" s="619"/>
      <c r="U3" s="620">
        <v>46197</v>
      </c>
      <c r="V3" s="620"/>
      <c r="W3" s="620"/>
      <c r="X3" s="620"/>
      <c r="Y3" s="620"/>
      <c r="Z3" s="619">
        <v>46198</v>
      </c>
      <c r="AA3" s="619"/>
      <c r="AB3" s="619"/>
      <c r="AC3" s="619"/>
      <c r="AD3" s="619"/>
      <c r="AE3" s="620">
        <v>46199</v>
      </c>
      <c r="AF3" s="620"/>
      <c r="AG3" s="620"/>
      <c r="AH3" s="620"/>
      <c r="AI3" s="620"/>
      <c r="AJ3" s="621">
        <v>46200</v>
      </c>
      <c r="AK3" s="622"/>
      <c r="AL3" s="622"/>
      <c r="AM3" s="622"/>
      <c r="AN3" s="623"/>
      <c r="AO3" s="620">
        <v>46201</v>
      </c>
      <c r="AP3" s="620"/>
      <c r="AQ3" s="620"/>
      <c r="AR3" s="620"/>
      <c r="AS3" s="620"/>
      <c r="AT3" s="621">
        <v>46202</v>
      </c>
      <c r="AU3" s="622"/>
      <c r="AV3" s="622"/>
      <c r="AW3" s="622"/>
      <c r="AX3" s="623"/>
    </row>
    <row r="4" spans="1:50" ht="14.25" customHeight="1">
      <c r="B4" s="611" t="s">
        <v>162</v>
      </c>
      <c r="C4" s="611" t="s">
        <v>157</v>
      </c>
      <c r="D4" s="611"/>
      <c r="E4" s="611" t="s">
        <v>158</v>
      </c>
      <c r="F4" s="611"/>
      <c r="G4" s="611"/>
      <c r="H4" s="611" t="s">
        <v>163</v>
      </c>
      <c r="I4" s="615" t="s">
        <v>364</v>
      </c>
      <c r="J4" s="615"/>
      <c r="K4" s="615"/>
      <c r="L4" s="615" t="s">
        <v>163</v>
      </c>
      <c r="M4" s="615" t="s">
        <v>165</v>
      </c>
      <c r="N4" s="611"/>
      <c r="O4" s="611" t="s">
        <v>164</v>
      </c>
      <c r="P4" s="611" t="s">
        <v>160</v>
      </c>
      <c r="Q4" s="611"/>
      <c r="R4" s="611"/>
      <c r="S4" s="611"/>
      <c r="T4" s="611" t="s">
        <v>163</v>
      </c>
      <c r="U4" s="611" t="s">
        <v>160</v>
      </c>
      <c r="V4" s="611"/>
      <c r="W4" s="611"/>
      <c r="X4" s="611"/>
      <c r="Y4" s="611" t="s">
        <v>163</v>
      </c>
      <c r="Z4" s="611" t="s">
        <v>160</v>
      </c>
      <c r="AA4" s="611"/>
      <c r="AB4" s="611"/>
      <c r="AC4" s="611"/>
      <c r="AD4" s="611" t="s">
        <v>163</v>
      </c>
      <c r="AE4" s="611" t="s">
        <v>160</v>
      </c>
      <c r="AF4" s="611"/>
      <c r="AG4" s="611"/>
      <c r="AH4" s="611"/>
      <c r="AI4" s="611" t="s">
        <v>163</v>
      </c>
      <c r="AJ4" s="611" t="s">
        <v>160</v>
      </c>
      <c r="AK4" s="611"/>
      <c r="AL4" s="611"/>
      <c r="AM4" s="611"/>
      <c r="AN4" s="611" t="s">
        <v>163</v>
      </c>
      <c r="AO4" s="611" t="s">
        <v>160</v>
      </c>
      <c r="AP4" s="611"/>
      <c r="AQ4" s="611"/>
      <c r="AR4" s="611"/>
      <c r="AS4" s="611" t="s">
        <v>163</v>
      </c>
      <c r="AT4" s="611" t="s">
        <v>160</v>
      </c>
      <c r="AU4" s="611"/>
      <c r="AV4" s="611"/>
      <c r="AW4" s="611"/>
      <c r="AX4" s="611" t="s">
        <v>163</v>
      </c>
    </row>
    <row r="5" spans="1:50" ht="14.25" customHeight="1">
      <c r="B5" s="611"/>
      <c r="C5" s="611"/>
      <c r="D5" s="611"/>
      <c r="E5" s="611" t="s">
        <v>365</v>
      </c>
      <c r="F5" s="611"/>
      <c r="G5" s="611"/>
      <c r="H5" s="611"/>
      <c r="I5" s="615" t="s">
        <v>365</v>
      </c>
      <c r="J5" s="615"/>
      <c r="K5" s="615"/>
      <c r="L5" s="615"/>
      <c r="M5" s="615"/>
      <c r="N5" s="611"/>
      <c r="O5" s="611"/>
      <c r="P5" s="611" t="s">
        <v>366</v>
      </c>
      <c r="Q5" s="611"/>
      <c r="R5" s="611"/>
      <c r="S5" s="611"/>
      <c r="T5" s="611"/>
      <c r="U5" s="611" t="s">
        <v>366</v>
      </c>
      <c r="V5" s="611"/>
      <c r="W5" s="611"/>
      <c r="X5" s="611"/>
      <c r="Y5" s="611"/>
      <c r="Z5" s="611" t="s">
        <v>366</v>
      </c>
      <c r="AA5" s="611"/>
      <c r="AB5" s="611"/>
      <c r="AC5" s="611"/>
      <c r="AD5" s="611"/>
      <c r="AE5" s="611" t="s">
        <v>366</v>
      </c>
      <c r="AF5" s="611"/>
      <c r="AG5" s="611"/>
      <c r="AH5" s="611"/>
      <c r="AI5" s="611"/>
      <c r="AJ5" s="611" t="s">
        <v>366</v>
      </c>
      <c r="AK5" s="611"/>
      <c r="AL5" s="611"/>
      <c r="AM5" s="611"/>
      <c r="AN5" s="611"/>
      <c r="AO5" s="611" t="s">
        <v>366</v>
      </c>
      <c r="AP5" s="611"/>
      <c r="AQ5" s="611"/>
      <c r="AR5" s="611"/>
      <c r="AS5" s="611"/>
      <c r="AT5" s="611" t="s">
        <v>366</v>
      </c>
      <c r="AU5" s="611"/>
      <c r="AV5" s="611"/>
      <c r="AW5" s="611"/>
      <c r="AX5" s="611"/>
    </row>
    <row r="6" spans="1:50" ht="14.25" customHeight="1">
      <c r="B6" s="611"/>
      <c r="C6" s="611"/>
      <c r="D6" s="611"/>
      <c r="E6" s="179" t="s">
        <v>159</v>
      </c>
      <c r="F6" s="179" t="s">
        <v>367</v>
      </c>
      <c r="G6" s="179" t="s">
        <v>161</v>
      </c>
      <c r="H6" s="611"/>
      <c r="I6" s="180" t="s">
        <v>159</v>
      </c>
      <c r="J6" s="180" t="s">
        <v>367</v>
      </c>
      <c r="K6" s="180" t="s">
        <v>161</v>
      </c>
      <c r="L6" s="615"/>
      <c r="M6" s="615"/>
      <c r="N6" s="611"/>
      <c r="O6" s="611"/>
      <c r="P6" s="179" t="s">
        <v>159</v>
      </c>
      <c r="Q6" s="179" t="s">
        <v>367</v>
      </c>
      <c r="R6" s="179" t="s">
        <v>161</v>
      </c>
      <c r="S6" s="181" t="s">
        <v>165</v>
      </c>
      <c r="T6" s="611"/>
      <c r="U6" s="179" t="s">
        <v>159</v>
      </c>
      <c r="V6" s="179" t="s">
        <v>367</v>
      </c>
      <c r="W6" s="179" t="s">
        <v>161</v>
      </c>
      <c r="X6" s="181" t="s">
        <v>165</v>
      </c>
      <c r="Y6" s="611"/>
      <c r="Z6" s="179" t="s">
        <v>159</v>
      </c>
      <c r="AA6" s="179" t="s">
        <v>367</v>
      </c>
      <c r="AB6" s="179" t="s">
        <v>161</v>
      </c>
      <c r="AC6" s="181" t="s">
        <v>165</v>
      </c>
      <c r="AD6" s="611"/>
      <c r="AE6" s="179" t="s">
        <v>159</v>
      </c>
      <c r="AF6" s="179" t="s">
        <v>367</v>
      </c>
      <c r="AG6" s="179" t="s">
        <v>161</v>
      </c>
      <c r="AH6" s="181" t="s">
        <v>165</v>
      </c>
      <c r="AI6" s="611"/>
      <c r="AJ6" s="179" t="s">
        <v>159</v>
      </c>
      <c r="AK6" s="179" t="s">
        <v>367</v>
      </c>
      <c r="AL6" s="179" t="s">
        <v>161</v>
      </c>
      <c r="AM6" s="181" t="s">
        <v>165</v>
      </c>
      <c r="AN6" s="611"/>
      <c r="AO6" s="179" t="s">
        <v>159</v>
      </c>
      <c r="AP6" s="179" t="s">
        <v>367</v>
      </c>
      <c r="AQ6" s="179" t="s">
        <v>161</v>
      </c>
      <c r="AR6" s="181" t="s">
        <v>165</v>
      </c>
      <c r="AS6" s="611"/>
      <c r="AT6" s="179" t="s">
        <v>159</v>
      </c>
      <c r="AU6" s="179" t="s">
        <v>367</v>
      </c>
      <c r="AV6" s="179" t="s">
        <v>161</v>
      </c>
      <c r="AW6" s="181" t="s">
        <v>165</v>
      </c>
      <c r="AX6" s="611"/>
    </row>
    <row r="7" spans="1:50" ht="14.25" customHeight="1">
      <c r="B7" s="650" t="s">
        <v>425</v>
      </c>
      <c r="C7" s="179">
        <v>1</v>
      </c>
      <c r="D7" s="182" t="s">
        <v>347</v>
      </c>
      <c r="E7" s="183">
        <v>21</v>
      </c>
      <c r="F7" s="179">
        <v>2790</v>
      </c>
      <c r="G7" s="184">
        <f>IFERROR(F7/E7,"")</f>
        <v>132.85714285714286</v>
      </c>
      <c r="H7" s="612">
        <f>AVERAGE(G7:G21)</f>
        <v>132.85714285714286</v>
      </c>
      <c r="I7" s="185">
        <f>AVERAGE(P7,U7,Z7,AE7,AJ7,AO7,AT7)</f>
        <v>22</v>
      </c>
      <c r="J7" s="185">
        <f>AVERAGE(Q7,V7,AA7,AF7,AK7,AP7,AU7)</f>
        <v>2626.6346153846148</v>
      </c>
      <c r="K7" s="186">
        <f>AVERAGE(R7,W7,AB7,AG7,AL7,AQ7,AV7)</f>
        <v>119.39248251748248</v>
      </c>
      <c r="L7" s="613">
        <f>IFERROR(AVERAGE(K7:K21),"-")</f>
        <v>119.39248251748248</v>
      </c>
      <c r="M7" s="185">
        <f>RANK(K7, K$7:$K$21)</f>
        <v>1</v>
      </c>
      <c r="N7" s="611"/>
      <c r="O7" s="611"/>
      <c r="P7" s="187">
        <v>22</v>
      </c>
      <c r="Q7" s="187">
        <v>2626.6346153846152</v>
      </c>
      <c r="R7" s="184">
        <f>IFERROR(Q7/P7,"")</f>
        <v>119.39248251748251</v>
      </c>
      <c r="S7" s="181">
        <f>RANK(R7, R$7:R$21)</f>
        <v>1</v>
      </c>
      <c r="T7" s="612">
        <f>AVERAGE(R7:R21)</f>
        <v>119.39248251748251</v>
      </c>
      <c r="U7" s="187">
        <v>22</v>
      </c>
      <c r="V7" s="187">
        <v>2626.6346153846152</v>
      </c>
      <c r="W7" s="184">
        <f t="shared" ref="W7" si="0">IFERROR(V7/U7,"")</f>
        <v>119.39248251748251</v>
      </c>
      <c r="X7" s="181">
        <f>RANK(W7, W$7:W$21)</f>
        <v>1</v>
      </c>
      <c r="Y7" s="612">
        <f>AVERAGE(W7:W21)</f>
        <v>119.39248251748251</v>
      </c>
      <c r="Z7" s="187">
        <v>22</v>
      </c>
      <c r="AA7" s="187">
        <v>2626.6346153846152</v>
      </c>
      <c r="AB7" s="184">
        <f>IFERROR(AA7/Z7,"")</f>
        <v>119.39248251748251</v>
      </c>
      <c r="AC7" s="181">
        <f>RANK(AB7, AB$7:AB$21)</f>
        <v>1</v>
      </c>
      <c r="AD7" s="612">
        <f>AVERAGE(AB7:AB21)</f>
        <v>119.39248251748251</v>
      </c>
      <c r="AE7" s="187">
        <v>22</v>
      </c>
      <c r="AF7" s="187">
        <v>2626.6346153846152</v>
      </c>
      <c r="AG7" s="184">
        <f>IFERROR(AF7/AE7,"")</f>
        <v>119.39248251748251</v>
      </c>
      <c r="AH7" s="181">
        <f>RANK(AG7, AG$7:AG$21)</f>
        <v>1</v>
      </c>
      <c r="AI7" s="612">
        <f>AVERAGE(AG7:AG21)</f>
        <v>119.39248251748251</v>
      </c>
      <c r="AJ7" s="187">
        <v>22</v>
      </c>
      <c r="AK7" s="187">
        <v>2626.6346153846152</v>
      </c>
      <c r="AL7" s="184">
        <f>IFERROR(AK7/AJ7,"")</f>
        <v>119.39248251748251</v>
      </c>
      <c r="AM7" s="181">
        <f>RANK(AL7, AL$7:AL$21)</f>
        <v>1</v>
      </c>
      <c r="AN7" s="612">
        <f>AVERAGE(AL7:AL21)</f>
        <v>119.39248251748251</v>
      </c>
      <c r="AO7" s="187">
        <v>22</v>
      </c>
      <c r="AP7" s="187">
        <v>2626.6346153846152</v>
      </c>
      <c r="AQ7" s="184">
        <f>IFERROR(AP7/AO7,"")</f>
        <v>119.39248251748251</v>
      </c>
      <c r="AR7" s="181">
        <f>RANK(AQ7, AQ$7:AQ$21)</f>
        <v>1</v>
      </c>
      <c r="AS7" s="612">
        <f>AVERAGE(AQ7:AQ21)</f>
        <v>119.39248251748251</v>
      </c>
      <c r="AT7" s="187">
        <v>22</v>
      </c>
      <c r="AU7" s="187">
        <v>2626.6346153846152</v>
      </c>
      <c r="AV7" s="184">
        <f>IFERROR(AU7/AT7,"")</f>
        <v>119.39248251748251</v>
      </c>
      <c r="AW7" s="181">
        <f>RANK(AV7, AV$7:AV$21)</f>
        <v>1</v>
      </c>
      <c r="AX7" s="612">
        <f>AVERAGE(AV7:AV21)</f>
        <v>119.39248251748251</v>
      </c>
    </row>
    <row r="8" spans="1:50" ht="14.25" customHeight="1">
      <c r="B8" s="611"/>
      <c r="C8" s="179">
        <v>2</v>
      </c>
      <c r="D8" s="182"/>
      <c r="E8" s="179"/>
      <c r="F8" s="179"/>
      <c r="G8" s="184"/>
      <c r="H8" s="612"/>
      <c r="I8" s="185"/>
      <c r="J8" s="185"/>
      <c r="K8" s="186"/>
      <c r="L8" s="613"/>
      <c r="M8" s="185"/>
      <c r="N8" s="611"/>
      <c r="O8" s="611"/>
      <c r="P8" s="187"/>
      <c r="Q8" s="187"/>
      <c r="R8" s="184"/>
      <c r="S8" s="181"/>
      <c r="T8" s="612"/>
      <c r="U8" s="187"/>
      <c r="V8" s="187"/>
      <c r="W8" s="184"/>
      <c r="X8" s="181"/>
      <c r="Y8" s="612"/>
      <c r="Z8" s="187"/>
      <c r="AA8" s="187"/>
      <c r="AB8" s="184"/>
      <c r="AC8" s="181"/>
      <c r="AD8" s="612"/>
      <c r="AE8" s="187"/>
      <c r="AF8" s="187"/>
      <c r="AG8" s="184"/>
      <c r="AH8" s="181"/>
      <c r="AI8" s="612"/>
      <c r="AJ8" s="187"/>
      <c r="AK8" s="187"/>
      <c r="AL8" s="184"/>
      <c r="AM8" s="181"/>
      <c r="AN8" s="612"/>
      <c r="AO8" s="187"/>
      <c r="AP8" s="187"/>
      <c r="AQ8" s="184"/>
      <c r="AR8" s="181"/>
      <c r="AS8" s="612"/>
      <c r="AT8" s="187"/>
      <c r="AU8" s="187"/>
      <c r="AV8" s="184"/>
      <c r="AW8" s="181"/>
      <c r="AX8" s="612"/>
    </row>
    <row r="9" spans="1:50" ht="14.25" customHeight="1">
      <c r="B9" s="611"/>
      <c r="C9" s="179">
        <v>3</v>
      </c>
      <c r="D9" s="182"/>
      <c r="E9" s="179"/>
      <c r="F9" s="179"/>
      <c r="G9" s="184"/>
      <c r="H9" s="612"/>
      <c r="I9" s="185"/>
      <c r="J9" s="185"/>
      <c r="K9" s="186"/>
      <c r="L9" s="613"/>
      <c r="M9" s="185"/>
      <c r="N9" s="611"/>
      <c r="O9" s="611"/>
      <c r="P9" s="187"/>
      <c r="Q9" s="187"/>
      <c r="R9" s="184"/>
      <c r="S9" s="181"/>
      <c r="T9" s="612"/>
      <c r="U9" s="187"/>
      <c r="V9" s="187"/>
      <c r="W9" s="184"/>
      <c r="X9" s="181"/>
      <c r="Y9" s="612"/>
      <c r="Z9" s="187"/>
      <c r="AA9" s="187"/>
      <c r="AB9" s="184"/>
      <c r="AC9" s="181"/>
      <c r="AD9" s="612"/>
      <c r="AE9" s="187"/>
      <c r="AF9" s="187"/>
      <c r="AG9" s="184"/>
      <c r="AH9" s="181"/>
      <c r="AI9" s="612"/>
      <c r="AJ9" s="187"/>
      <c r="AK9" s="187"/>
      <c r="AL9" s="184"/>
      <c r="AM9" s="181"/>
      <c r="AN9" s="612"/>
      <c r="AO9" s="187"/>
      <c r="AP9" s="187"/>
      <c r="AQ9" s="184"/>
      <c r="AR9" s="181"/>
      <c r="AS9" s="612"/>
      <c r="AT9" s="187"/>
      <c r="AU9" s="187"/>
      <c r="AV9" s="184"/>
      <c r="AW9" s="181"/>
      <c r="AX9" s="612"/>
    </row>
    <row r="10" spans="1:50" ht="14.25" customHeight="1">
      <c r="B10" s="611"/>
      <c r="C10" s="179">
        <v>4</v>
      </c>
      <c r="D10" s="182"/>
      <c r="E10" s="179"/>
      <c r="F10" s="179"/>
      <c r="G10" s="184"/>
      <c r="H10" s="612"/>
      <c r="I10" s="185"/>
      <c r="J10" s="185"/>
      <c r="K10" s="186"/>
      <c r="L10" s="613"/>
      <c r="M10" s="185"/>
      <c r="N10" s="611"/>
      <c r="O10" s="611"/>
      <c r="P10" s="187"/>
      <c r="Q10" s="187"/>
      <c r="R10" s="184"/>
      <c r="S10" s="181"/>
      <c r="T10" s="612"/>
      <c r="U10" s="187"/>
      <c r="V10" s="187"/>
      <c r="W10" s="184"/>
      <c r="X10" s="181"/>
      <c r="Y10" s="612"/>
      <c r="Z10" s="187"/>
      <c r="AA10" s="187"/>
      <c r="AB10" s="184"/>
      <c r="AC10" s="181"/>
      <c r="AD10" s="612"/>
      <c r="AE10" s="187"/>
      <c r="AF10" s="187"/>
      <c r="AG10" s="184"/>
      <c r="AH10" s="181"/>
      <c r="AI10" s="612"/>
      <c r="AJ10" s="187"/>
      <c r="AK10" s="187"/>
      <c r="AL10" s="184"/>
      <c r="AM10" s="181"/>
      <c r="AN10" s="612"/>
      <c r="AO10" s="187"/>
      <c r="AP10" s="187"/>
      <c r="AQ10" s="184"/>
      <c r="AR10" s="181"/>
      <c r="AS10" s="612"/>
      <c r="AT10" s="187"/>
      <c r="AU10" s="187"/>
      <c r="AV10" s="184"/>
      <c r="AW10" s="181"/>
      <c r="AX10" s="612"/>
    </row>
    <row r="11" spans="1:50" ht="14.25" customHeight="1">
      <c r="B11" s="611"/>
      <c r="C11" s="179">
        <v>5</v>
      </c>
      <c r="D11" s="182"/>
      <c r="E11" s="179"/>
      <c r="F11" s="179"/>
      <c r="G11" s="184"/>
      <c r="H11" s="612"/>
      <c r="I11" s="185"/>
      <c r="J11" s="185"/>
      <c r="K11" s="186"/>
      <c r="L11" s="613"/>
      <c r="M11" s="185"/>
      <c r="N11" s="611"/>
      <c r="O11" s="611"/>
      <c r="P11" s="187"/>
      <c r="Q11" s="187"/>
      <c r="R11" s="184"/>
      <c r="S11" s="181"/>
      <c r="T11" s="612"/>
      <c r="U11" s="187"/>
      <c r="V11" s="187"/>
      <c r="W11" s="184"/>
      <c r="X11" s="181"/>
      <c r="Y11" s="612"/>
      <c r="Z11" s="187"/>
      <c r="AA11" s="187"/>
      <c r="AB11" s="184"/>
      <c r="AC11" s="181"/>
      <c r="AD11" s="612"/>
      <c r="AE11" s="187"/>
      <c r="AF11" s="187"/>
      <c r="AG11" s="184"/>
      <c r="AH11" s="181"/>
      <c r="AI11" s="612"/>
      <c r="AJ11" s="187"/>
      <c r="AK11" s="187"/>
      <c r="AL11" s="184"/>
      <c r="AM11" s="181"/>
      <c r="AN11" s="612"/>
      <c r="AO11" s="187"/>
      <c r="AP11" s="187"/>
      <c r="AQ11" s="184"/>
      <c r="AR11" s="181"/>
      <c r="AS11" s="612"/>
      <c r="AT11" s="187"/>
      <c r="AU11" s="187"/>
      <c r="AV11" s="184"/>
      <c r="AW11" s="181"/>
      <c r="AX11" s="612"/>
    </row>
    <row r="12" spans="1:50" ht="14.25" customHeight="1">
      <c r="B12" s="611"/>
      <c r="C12" s="179">
        <v>6</v>
      </c>
      <c r="D12" s="182"/>
      <c r="E12" s="179"/>
      <c r="F12" s="179"/>
      <c r="G12" s="184"/>
      <c r="H12" s="612"/>
      <c r="I12" s="185"/>
      <c r="J12" s="185"/>
      <c r="K12" s="186"/>
      <c r="L12" s="613"/>
      <c r="M12" s="185"/>
      <c r="N12" s="611"/>
      <c r="O12" s="611"/>
      <c r="P12" s="187"/>
      <c r="Q12" s="187"/>
      <c r="R12" s="184"/>
      <c r="S12" s="181"/>
      <c r="T12" s="612"/>
      <c r="U12" s="187"/>
      <c r="V12" s="187"/>
      <c r="W12" s="184"/>
      <c r="X12" s="181"/>
      <c r="Y12" s="612"/>
      <c r="Z12" s="187"/>
      <c r="AA12" s="187"/>
      <c r="AB12" s="184"/>
      <c r="AC12" s="181"/>
      <c r="AD12" s="612"/>
      <c r="AE12" s="187"/>
      <c r="AF12" s="187"/>
      <c r="AG12" s="184"/>
      <c r="AH12" s="181"/>
      <c r="AI12" s="612"/>
      <c r="AJ12" s="187"/>
      <c r="AK12" s="187"/>
      <c r="AL12" s="184"/>
      <c r="AM12" s="181"/>
      <c r="AN12" s="612"/>
      <c r="AO12" s="187"/>
      <c r="AP12" s="187"/>
      <c r="AQ12" s="184"/>
      <c r="AR12" s="181"/>
      <c r="AS12" s="612"/>
      <c r="AT12" s="187"/>
      <c r="AU12" s="187"/>
      <c r="AV12" s="184"/>
      <c r="AW12" s="181"/>
      <c r="AX12" s="612"/>
    </row>
    <row r="13" spans="1:50" ht="14.25" customHeight="1">
      <c r="B13" s="611"/>
      <c r="C13" s="179">
        <v>7</v>
      </c>
      <c r="D13" s="182"/>
      <c r="E13" s="179"/>
      <c r="F13" s="179"/>
      <c r="G13" s="184"/>
      <c r="H13" s="612"/>
      <c r="I13" s="185"/>
      <c r="J13" s="185"/>
      <c r="K13" s="186"/>
      <c r="L13" s="613"/>
      <c r="M13" s="185"/>
      <c r="N13" s="611"/>
      <c r="O13" s="611"/>
      <c r="P13" s="187"/>
      <c r="Q13" s="187"/>
      <c r="R13" s="184"/>
      <c r="S13" s="181"/>
      <c r="T13" s="612"/>
      <c r="U13" s="187"/>
      <c r="V13" s="187"/>
      <c r="W13" s="184"/>
      <c r="X13" s="181"/>
      <c r="Y13" s="612"/>
      <c r="Z13" s="187"/>
      <c r="AA13" s="187"/>
      <c r="AB13" s="184"/>
      <c r="AC13" s="181"/>
      <c r="AD13" s="612"/>
      <c r="AE13" s="187"/>
      <c r="AF13" s="187"/>
      <c r="AG13" s="184"/>
      <c r="AH13" s="181"/>
      <c r="AI13" s="612"/>
      <c r="AJ13" s="187"/>
      <c r="AK13" s="187"/>
      <c r="AL13" s="184"/>
      <c r="AM13" s="181"/>
      <c r="AN13" s="612"/>
      <c r="AO13" s="187"/>
      <c r="AP13" s="187"/>
      <c r="AQ13" s="184"/>
      <c r="AR13" s="181"/>
      <c r="AS13" s="612"/>
      <c r="AT13" s="187"/>
      <c r="AU13" s="187"/>
      <c r="AV13" s="184"/>
      <c r="AW13" s="181"/>
      <c r="AX13" s="612"/>
    </row>
    <row r="14" spans="1:50" ht="14.25" customHeight="1">
      <c r="B14" s="611"/>
      <c r="C14" s="179">
        <v>8</v>
      </c>
      <c r="D14" s="182"/>
      <c r="E14" s="179"/>
      <c r="F14" s="179"/>
      <c r="G14" s="184"/>
      <c r="H14" s="612"/>
      <c r="I14" s="185"/>
      <c r="J14" s="185"/>
      <c r="K14" s="186"/>
      <c r="L14" s="613"/>
      <c r="M14" s="185"/>
      <c r="N14" s="611"/>
      <c r="O14" s="611"/>
      <c r="P14" s="187"/>
      <c r="Q14" s="187"/>
      <c r="R14" s="184"/>
      <c r="S14" s="181"/>
      <c r="T14" s="612"/>
      <c r="U14" s="187"/>
      <c r="V14" s="187"/>
      <c r="W14" s="184"/>
      <c r="X14" s="181"/>
      <c r="Y14" s="612"/>
      <c r="Z14" s="187"/>
      <c r="AA14" s="187"/>
      <c r="AB14" s="184"/>
      <c r="AC14" s="181"/>
      <c r="AD14" s="612"/>
      <c r="AE14" s="187"/>
      <c r="AF14" s="187"/>
      <c r="AG14" s="184"/>
      <c r="AH14" s="181"/>
      <c r="AI14" s="612"/>
      <c r="AJ14" s="187"/>
      <c r="AK14" s="187"/>
      <c r="AL14" s="184"/>
      <c r="AM14" s="181"/>
      <c r="AN14" s="612"/>
      <c r="AO14" s="187"/>
      <c r="AP14" s="187"/>
      <c r="AQ14" s="184"/>
      <c r="AR14" s="181"/>
      <c r="AS14" s="612"/>
      <c r="AT14" s="187"/>
      <c r="AU14" s="187"/>
      <c r="AV14" s="184"/>
      <c r="AW14" s="181"/>
      <c r="AX14" s="612"/>
    </row>
    <row r="15" spans="1:50" ht="14.25" customHeight="1">
      <c r="B15" s="611"/>
      <c r="C15" s="179">
        <v>9</v>
      </c>
      <c r="D15" s="182"/>
      <c r="E15" s="179"/>
      <c r="F15" s="179"/>
      <c r="G15" s="184"/>
      <c r="H15" s="612"/>
      <c r="I15" s="185"/>
      <c r="J15" s="185"/>
      <c r="K15" s="186"/>
      <c r="L15" s="613"/>
      <c r="M15" s="185"/>
      <c r="N15" s="611"/>
      <c r="O15" s="611"/>
      <c r="P15" s="187"/>
      <c r="Q15" s="187"/>
      <c r="R15" s="184"/>
      <c r="S15" s="181"/>
      <c r="T15" s="612"/>
      <c r="U15" s="187"/>
      <c r="V15" s="187"/>
      <c r="W15" s="184"/>
      <c r="X15" s="181"/>
      <c r="Y15" s="612"/>
      <c r="Z15" s="187"/>
      <c r="AA15" s="187"/>
      <c r="AB15" s="184"/>
      <c r="AC15" s="181"/>
      <c r="AD15" s="612"/>
      <c r="AE15" s="187"/>
      <c r="AF15" s="187"/>
      <c r="AG15" s="184"/>
      <c r="AH15" s="181"/>
      <c r="AI15" s="612"/>
      <c r="AJ15" s="187"/>
      <c r="AK15" s="187"/>
      <c r="AL15" s="184"/>
      <c r="AM15" s="181"/>
      <c r="AN15" s="612"/>
      <c r="AO15" s="187"/>
      <c r="AP15" s="187"/>
      <c r="AQ15" s="184"/>
      <c r="AR15" s="181"/>
      <c r="AS15" s="612"/>
      <c r="AT15" s="187"/>
      <c r="AU15" s="187"/>
      <c r="AV15" s="184"/>
      <c r="AW15" s="181"/>
      <c r="AX15" s="612"/>
    </row>
    <row r="16" spans="1:50" ht="14.25" customHeight="1">
      <c r="B16" s="611"/>
      <c r="C16" s="179">
        <v>10</v>
      </c>
      <c r="D16" s="182"/>
      <c r="E16" s="179"/>
      <c r="F16" s="179"/>
      <c r="G16" s="184"/>
      <c r="H16" s="612"/>
      <c r="I16" s="185"/>
      <c r="J16" s="185"/>
      <c r="K16" s="186"/>
      <c r="L16" s="613"/>
      <c r="M16" s="185"/>
      <c r="N16" s="611"/>
      <c r="O16" s="611"/>
      <c r="P16" s="187"/>
      <c r="Q16" s="187"/>
      <c r="R16" s="184"/>
      <c r="S16" s="181"/>
      <c r="T16" s="612"/>
      <c r="U16" s="187"/>
      <c r="V16" s="187"/>
      <c r="W16" s="184"/>
      <c r="X16" s="181"/>
      <c r="Y16" s="612"/>
      <c r="Z16" s="187"/>
      <c r="AA16" s="187"/>
      <c r="AB16" s="184"/>
      <c r="AC16" s="181"/>
      <c r="AD16" s="612"/>
      <c r="AE16" s="187"/>
      <c r="AF16" s="187"/>
      <c r="AG16" s="184"/>
      <c r="AH16" s="181"/>
      <c r="AI16" s="612"/>
      <c r="AJ16" s="187"/>
      <c r="AK16" s="187"/>
      <c r="AL16" s="184"/>
      <c r="AM16" s="181"/>
      <c r="AN16" s="612"/>
      <c r="AO16" s="187"/>
      <c r="AP16" s="187"/>
      <c r="AQ16" s="184"/>
      <c r="AR16" s="181"/>
      <c r="AS16" s="612"/>
      <c r="AT16" s="187"/>
      <c r="AU16" s="187"/>
      <c r="AV16" s="184"/>
      <c r="AW16" s="181"/>
      <c r="AX16" s="612"/>
    </row>
    <row r="17" spans="2:50" ht="14.25" customHeight="1">
      <c r="B17" s="611"/>
      <c r="C17" s="179">
        <v>11</v>
      </c>
      <c r="D17" s="182"/>
      <c r="E17" s="179"/>
      <c r="F17" s="179"/>
      <c r="G17" s="184"/>
      <c r="H17" s="612"/>
      <c r="I17" s="185"/>
      <c r="J17" s="185"/>
      <c r="K17" s="186"/>
      <c r="L17" s="613"/>
      <c r="M17" s="185"/>
      <c r="N17" s="611"/>
      <c r="O17" s="611"/>
      <c r="P17" s="187"/>
      <c r="Q17" s="187"/>
      <c r="R17" s="184"/>
      <c r="S17" s="181"/>
      <c r="T17" s="612"/>
      <c r="U17" s="187"/>
      <c r="V17" s="187"/>
      <c r="W17" s="184"/>
      <c r="X17" s="181"/>
      <c r="Y17" s="612"/>
      <c r="Z17" s="187"/>
      <c r="AA17" s="187"/>
      <c r="AB17" s="184"/>
      <c r="AC17" s="181"/>
      <c r="AD17" s="612"/>
      <c r="AE17" s="187"/>
      <c r="AF17" s="187"/>
      <c r="AG17" s="184"/>
      <c r="AH17" s="181"/>
      <c r="AI17" s="612"/>
      <c r="AJ17" s="187"/>
      <c r="AK17" s="187"/>
      <c r="AL17" s="184"/>
      <c r="AM17" s="181"/>
      <c r="AN17" s="612"/>
      <c r="AO17" s="187"/>
      <c r="AP17" s="187"/>
      <c r="AQ17" s="184"/>
      <c r="AR17" s="181"/>
      <c r="AS17" s="612"/>
      <c r="AT17" s="187"/>
      <c r="AU17" s="187"/>
      <c r="AV17" s="184"/>
      <c r="AW17" s="181"/>
      <c r="AX17" s="612"/>
    </row>
    <row r="18" spans="2:50" ht="14.25" customHeight="1">
      <c r="B18" s="611"/>
      <c r="C18" s="179">
        <v>12</v>
      </c>
      <c r="D18" s="182"/>
      <c r="E18" s="179"/>
      <c r="F18" s="179"/>
      <c r="G18" s="184"/>
      <c r="H18" s="612"/>
      <c r="I18" s="185"/>
      <c r="J18" s="185"/>
      <c r="K18" s="186"/>
      <c r="L18" s="613"/>
      <c r="M18" s="185"/>
      <c r="N18" s="611"/>
      <c r="O18" s="611"/>
      <c r="P18" s="187"/>
      <c r="Q18" s="187"/>
      <c r="R18" s="184"/>
      <c r="S18" s="181"/>
      <c r="T18" s="612"/>
      <c r="U18" s="187"/>
      <c r="V18" s="187"/>
      <c r="W18" s="184"/>
      <c r="X18" s="181"/>
      <c r="Y18" s="612"/>
      <c r="Z18" s="187"/>
      <c r="AA18" s="187"/>
      <c r="AB18" s="184"/>
      <c r="AC18" s="181"/>
      <c r="AD18" s="612"/>
      <c r="AE18" s="187"/>
      <c r="AF18" s="187"/>
      <c r="AG18" s="184"/>
      <c r="AH18" s="181"/>
      <c r="AI18" s="612"/>
      <c r="AJ18" s="187"/>
      <c r="AK18" s="187"/>
      <c r="AL18" s="184"/>
      <c r="AM18" s="181"/>
      <c r="AN18" s="612"/>
      <c r="AO18" s="187"/>
      <c r="AP18" s="187"/>
      <c r="AQ18" s="184"/>
      <c r="AR18" s="181"/>
      <c r="AS18" s="612"/>
      <c r="AT18" s="187"/>
      <c r="AU18" s="187"/>
      <c r="AV18" s="184"/>
      <c r="AW18" s="181"/>
      <c r="AX18" s="612"/>
    </row>
    <row r="19" spans="2:50" ht="14.25" customHeight="1">
      <c r="B19" s="611"/>
      <c r="C19" s="179">
        <v>13</v>
      </c>
      <c r="D19" s="182"/>
      <c r="E19" s="179"/>
      <c r="F19" s="179"/>
      <c r="G19" s="184"/>
      <c r="H19" s="612"/>
      <c r="I19" s="185"/>
      <c r="J19" s="185"/>
      <c r="K19" s="186"/>
      <c r="L19" s="613"/>
      <c r="M19" s="185"/>
      <c r="N19" s="611"/>
      <c r="O19" s="611"/>
      <c r="P19" s="187"/>
      <c r="Q19" s="187"/>
      <c r="R19" s="184"/>
      <c r="S19" s="181"/>
      <c r="T19" s="612"/>
      <c r="U19" s="187"/>
      <c r="V19" s="187"/>
      <c r="W19" s="184"/>
      <c r="X19" s="181"/>
      <c r="Y19" s="612"/>
      <c r="Z19" s="187"/>
      <c r="AA19" s="187"/>
      <c r="AB19" s="184"/>
      <c r="AC19" s="181"/>
      <c r="AD19" s="612"/>
      <c r="AE19" s="187"/>
      <c r="AF19" s="187"/>
      <c r="AG19" s="184"/>
      <c r="AH19" s="181"/>
      <c r="AI19" s="612"/>
      <c r="AJ19" s="187"/>
      <c r="AK19" s="187"/>
      <c r="AL19" s="184"/>
      <c r="AM19" s="181"/>
      <c r="AN19" s="612"/>
      <c r="AO19" s="187"/>
      <c r="AP19" s="187"/>
      <c r="AQ19" s="184"/>
      <c r="AR19" s="181"/>
      <c r="AS19" s="612"/>
      <c r="AT19" s="187"/>
      <c r="AU19" s="187"/>
      <c r="AV19" s="184"/>
      <c r="AW19" s="181"/>
      <c r="AX19" s="612"/>
    </row>
    <row r="20" spans="2:50" ht="14.25" customHeight="1">
      <c r="B20" s="611"/>
      <c r="C20" s="179">
        <v>14</v>
      </c>
      <c r="D20" s="182"/>
      <c r="E20" s="179"/>
      <c r="F20" s="179"/>
      <c r="G20" s="184"/>
      <c r="H20" s="612"/>
      <c r="I20" s="185"/>
      <c r="J20" s="185"/>
      <c r="K20" s="186"/>
      <c r="L20" s="613"/>
      <c r="M20" s="185"/>
      <c r="N20" s="611"/>
      <c r="O20" s="611"/>
      <c r="P20" s="187"/>
      <c r="Q20" s="187"/>
      <c r="R20" s="184"/>
      <c r="S20" s="181"/>
      <c r="T20" s="612"/>
      <c r="U20" s="187"/>
      <c r="V20" s="187"/>
      <c r="W20" s="184"/>
      <c r="X20" s="181"/>
      <c r="Y20" s="612"/>
      <c r="Z20" s="187"/>
      <c r="AA20" s="187"/>
      <c r="AB20" s="184"/>
      <c r="AC20" s="181"/>
      <c r="AD20" s="612"/>
      <c r="AE20" s="187"/>
      <c r="AF20" s="187"/>
      <c r="AG20" s="184"/>
      <c r="AH20" s="181"/>
      <c r="AI20" s="612"/>
      <c r="AJ20" s="187"/>
      <c r="AK20" s="187"/>
      <c r="AL20" s="184"/>
      <c r="AM20" s="181"/>
      <c r="AN20" s="612"/>
      <c r="AO20" s="187"/>
      <c r="AP20" s="187"/>
      <c r="AQ20" s="184"/>
      <c r="AR20" s="181"/>
      <c r="AS20" s="612"/>
      <c r="AT20" s="187"/>
      <c r="AU20" s="187"/>
      <c r="AV20" s="184"/>
      <c r="AW20" s="181"/>
      <c r="AX20" s="612"/>
    </row>
    <row r="21" spans="2:50" ht="14.25" customHeight="1">
      <c r="B21" s="611"/>
      <c r="C21" s="179">
        <v>15</v>
      </c>
      <c r="D21" s="182"/>
      <c r="E21" s="179"/>
      <c r="F21" s="179"/>
      <c r="G21" s="184"/>
      <c r="H21" s="612"/>
      <c r="I21" s="185"/>
      <c r="J21" s="185"/>
      <c r="K21" s="186"/>
      <c r="L21" s="613"/>
      <c r="M21" s="185"/>
      <c r="N21" s="611"/>
      <c r="O21" s="611"/>
      <c r="P21" s="187"/>
      <c r="Q21" s="187"/>
      <c r="R21" s="184"/>
      <c r="S21" s="181"/>
      <c r="T21" s="612"/>
      <c r="U21" s="187"/>
      <c r="V21" s="187"/>
      <c r="W21" s="184"/>
      <c r="X21" s="181"/>
      <c r="Y21" s="612"/>
      <c r="Z21" s="187"/>
      <c r="AA21" s="187"/>
      <c r="AB21" s="184"/>
      <c r="AC21" s="181"/>
      <c r="AD21" s="612"/>
      <c r="AE21" s="187"/>
      <c r="AF21" s="187"/>
      <c r="AG21" s="184"/>
      <c r="AH21" s="181"/>
      <c r="AI21" s="612"/>
      <c r="AJ21" s="187"/>
      <c r="AK21" s="187"/>
      <c r="AL21" s="184"/>
      <c r="AM21" s="181"/>
      <c r="AN21" s="612"/>
      <c r="AO21" s="187"/>
      <c r="AP21" s="187"/>
      <c r="AQ21" s="184"/>
      <c r="AR21" s="181"/>
      <c r="AS21" s="612"/>
      <c r="AT21" s="187"/>
      <c r="AU21" s="187"/>
      <c r="AV21" s="184"/>
      <c r="AW21" s="181"/>
      <c r="AX21" s="612"/>
    </row>
    <row r="22" spans="2:50" ht="14.25" customHeight="1">
      <c r="B22" s="640" t="s">
        <v>749</v>
      </c>
      <c r="C22" s="641"/>
      <c r="D22" s="641"/>
      <c r="E22" s="641"/>
      <c r="F22" s="641"/>
      <c r="G22" s="641"/>
      <c r="H22" s="641"/>
      <c r="I22" s="641"/>
      <c r="J22" s="641"/>
      <c r="K22" s="641"/>
      <c r="L22" s="641"/>
      <c r="M22" s="642"/>
      <c r="N22" s="645" t="s">
        <v>363</v>
      </c>
      <c r="O22" s="645" t="s">
        <v>105</v>
      </c>
      <c r="P22" s="632">
        <v>46210</v>
      </c>
      <c r="Q22" s="633"/>
      <c r="R22" s="633"/>
      <c r="S22" s="633"/>
      <c r="T22" s="633"/>
      <c r="U22" s="634">
        <v>46211</v>
      </c>
      <c r="V22" s="635"/>
      <c r="W22" s="635"/>
      <c r="X22" s="635"/>
      <c r="Y22" s="635"/>
      <c r="Z22" s="632">
        <v>46212</v>
      </c>
      <c r="AA22" s="633"/>
      <c r="AB22" s="633"/>
      <c r="AC22" s="633"/>
      <c r="AD22" s="633"/>
      <c r="AE22" s="634">
        <v>46213</v>
      </c>
      <c r="AF22" s="635"/>
      <c r="AG22" s="635"/>
      <c r="AH22" s="635"/>
      <c r="AI22" s="635"/>
      <c r="AJ22" s="616">
        <v>46214</v>
      </c>
      <c r="AK22" s="617"/>
      <c r="AL22" s="617"/>
      <c r="AM22" s="617"/>
      <c r="AN22" s="618"/>
      <c r="AO22" s="634">
        <v>46215</v>
      </c>
      <c r="AP22" s="635"/>
      <c r="AQ22" s="635"/>
      <c r="AR22" s="635"/>
      <c r="AS22" s="635"/>
      <c r="AT22" s="616">
        <v>46216</v>
      </c>
      <c r="AU22" s="617"/>
      <c r="AV22" s="617"/>
      <c r="AW22" s="617"/>
      <c r="AX22" s="618"/>
    </row>
    <row r="23" spans="2:50" ht="14.25" customHeight="1">
      <c r="B23" s="643"/>
      <c r="C23" s="643"/>
      <c r="D23" s="643"/>
      <c r="E23" s="643"/>
      <c r="F23" s="643"/>
      <c r="G23" s="643"/>
      <c r="H23" s="643"/>
      <c r="I23" s="643"/>
      <c r="J23" s="643"/>
      <c r="K23" s="643"/>
      <c r="L23" s="643"/>
      <c r="M23" s="644"/>
      <c r="N23" s="646"/>
      <c r="O23" s="646"/>
      <c r="P23" s="619">
        <v>46196</v>
      </c>
      <c r="Q23" s="619"/>
      <c r="R23" s="619"/>
      <c r="S23" s="619"/>
      <c r="T23" s="619"/>
      <c r="U23" s="620">
        <v>46197</v>
      </c>
      <c r="V23" s="620"/>
      <c r="W23" s="620"/>
      <c r="X23" s="620"/>
      <c r="Y23" s="620"/>
      <c r="Z23" s="619">
        <v>46198</v>
      </c>
      <c r="AA23" s="619"/>
      <c r="AB23" s="619"/>
      <c r="AC23" s="619"/>
      <c r="AD23" s="619"/>
      <c r="AE23" s="620">
        <v>46199</v>
      </c>
      <c r="AF23" s="620"/>
      <c r="AG23" s="620"/>
      <c r="AH23" s="620"/>
      <c r="AI23" s="620"/>
      <c r="AJ23" s="621">
        <v>46200</v>
      </c>
      <c r="AK23" s="622"/>
      <c r="AL23" s="622"/>
      <c r="AM23" s="622"/>
      <c r="AN23" s="623"/>
      <c r="AO23" s="620">
        <v>46201</v>
      </c>
      <c r="AP23" s="620"/>
      <c r="AQ23" s="620"/>
      <c r="AR23" s="620"/>
      <c r="AS23" s="620"/>
      <c r="AT23" s="621">
        <v>46202</v>
      </c>
      <c r="AU23" s="622"/>
      <c r="AV23" s="622"/>
      <c r="AW23" s="622"/>
      <c r="AX23" s="623"/>
    </row>
    <row r="24" spans="2:50" ht="14.25" customHeight="1">
      <c r="B24" s="611" t="s">
        <v>162</v>
      </c>
      <c r="C24" s="611" t="s">
        <v>157</v>
      </c>
      <c r="D24" s="611"/>
      <c r="E24" s="611" t="s">
        <v>158</v>
      </c>
      <c r="F24" s="611"/>
      <c r="G24" s="611"/>
      <c r="H24" s="611" t="s">
        <v>163</v>
      </c>
      <c r="I24" s="615" t="s">
        <v>364</v>
      </c>
      <c r="J24" s="615"/>
      <c r="K24" s="615"/>
      <c r="L24" s="615" t="s">
        <v>163</v>
      </c>
      <c r="M24" s="615" t="s">
        <v>165</v>
      </c>
      <c r="N24" s="611"/>
      <c r="O24" s="611" t="s">
        <v>164</v>
      </c>
      <c r="P24" s="611" t="s">
        <v>160</v>
      </c>
      <c r="Q24" s="611"/>
      <c r="R24" s="611"/>
      <c r="S24" s="611"/>
      <c r="T24" s="611" t="s">
        <v>163</v>
      </c>
      <c r="U24" s="611" t="s">
        <v>160</v>
      </c>
      <c r="V24" s="611"/>
      <c r="W24" s="611"/>
      <c r="X24" s="611"/>
      <c r="Y24" s="611" t="s">
        <v>163</v>
      </c>
      <c r="Z24" s="611" t="s">
        <v>160</v>
      </c>
      <c r="AA24" s="611"/>
      <c r="AB24" s="611"/>
      <c r="AC24" s="611"/>
      <c r="AD24" s="611" t="s">
        <v>163</v>
      </c>
      <c r="AE24" s="611" t="s">
        <v>160</v>
      </c>
      <c r="AF24" s="611"/>
      <c r="AG24" s="611"/>
      <c r="AH24" s="611"/>
      <c r="AI24" s="611" t="s">
        <v>163</v>
      </c>
      <c r="AJ24" s="611" t="s">
        <v>160</v>
      </c>
      <c r="AK24" s="611"/>
      <c r="AL24" s="611"/>
      <c r="AM24" s="611"/>
      <c r="AN24" s="611" t="s">
        <v>163</v>
      </c>
      <c r="AO24" s="611" t="s">
        <v>160</v>
      </c>
      <c r="AP24" s="611"/>
      <c r="AQ24" s="611"/>
      <c r="AR24" s="611"/>
      <c r="AS24" s="611" t="s">
        <v>163</v>
      </c>
      <c r="AT24" s="611" t="s">
        <v>160</v>
      </c>
      <c r="AU24" s="611"/>
      <c r="AV24" s="611"/>
      <c r="AW24" s="611"/>
      <c r="AX24" s="611" t="s">
        <v>163</v>
      </c>
    </row>
    <row r="25" spans="2:50" ht="14.25" customHeight="1">
      <c r="B25" s="611"/>
      <c r="C25" s="611"/>
      <c r="D25" s="611"/>
      <c r="E25" s="611" t="s">
        <v>365</v>
      </c>
      <c r="F25" s="611"/>
      <c r="G25" s="611"/>
      <c r="H25" s="611"/>
      <c r="I25" s="615" t="s">
        <v>365</v>
      </c>
      <c r="J25" s="615"/>
      <c r="K25" s="615"/>
      <c r="L25" s="615"/>
      <c r="M25" s="615"/>
      <c r="N25" s="611"/>
      <c r="O25" s="611"/>
      <c r="P25" s="611" t="s">
        <v>366</v>
      </c>
      <c r="Q25" s="611"/>
      <c r="R25" s="611"/>
      <c r="S25" s="611"/>
      <c r="T25" s="611"/>
      <c r="U25" s="611" t="s">
        <v>366</v>
      </c>
      <c r="V25" s="611"/>
      <c r="W25" s="611"/>
      <c r="X25" s="611"/>
      <c r="Y25" s="611"/>
      <c r="Z25" s="611" t="s">
        <v>366</v>
      </c>
      <c r="AA25" s="611"/>
      <c r="AB25" s="611"/>
      <c r="AC25" s="611"/>
      <c r="AD25" s="611"/>
      <c r="AE25" s="611" t="s">
        <v>366</v>
      </c>
      <c r="AF25" s="611"/>
      <c r="AG25" s="611"/>
      <c r="AH25" s="611"/>
      <c r="AI25" s="611"/>
      <c r="AJ25" s="611" t="s">
        <v>366</v>
      </c>
      <c r="AK25" s="611"/>
      <c r="AL25" s="611"/>
      <c r="AM25" s="611"/>
      <c r="AN25" s="611"/>
      <c r="AO25" s="611" t="s">
        <v>366</v>
      </c>
      <c r="AP25" s="611"/>
      <c r="AQ25" s="611"/>
      <c r="AR25" s="611"/>
      <c r="AS25" s="611"/>
      <c r="AT25" s="611" t="s">
        <v>366</v>
      </c>
      <c r="AU25" s="611"/>
      <c r="AV25" s="611"/>
      <c r="AW25" s="611"/>
      <c r="AX25" s="611"/>
    </row>
    <row r="26" spans="2:50" ht="14.25" customHeight="1">
      <c r="B26" s="611"/>
      <c r="C26" s="611"/>
      <c r="D26" s="611"/>
      <c r="E26" s="179" t="s">
        <v>159</v>
      </c>
      <c r="F26" s="179" t="s">
        <v>367</v>
      </c>
      <c r="G26" s="179" t="s">
        <v>161</v>
      </c>
      <c r="H26" s="611"/>
      <c r="I26" s="180" t="s">
        <v>159</v>
      </c>
      <c r="J26" s="180" t="s">
        <v>367</v>
      </c>
      <c r="K26" s="180" t="s">
        <v>161</v>
      </c>
      <c r="L26" s="615"/>
      <c r="M26" s="615"/>
      <c r="N26" s="611"/>
      <c r="O26" s="611"/>
      <c r="P26" s="179" t="s">
        <v>159</v>
      </c>
      <c r="Q26" s="179" t="s">
        <v>367</v>
      </c>
      <c r="R26" s="179" t="s">
        <v>161</v>
      </c>
      <c r="S26" s="181" t="s">
        <v>165</v>
      </c>
      <c r="T26" s="611"/>
      <c r="U26" s="179" t="s">
        <v>159</v>
      </c>
      <c r="V26" s="179" t="s">
        <v>367</v>
      </c>
      <c r="W26" s="179" t="s">
        <v>161</v>
      </c>
      <c r="X26" s="181" t="s">
        <v>165</v>
      </c>
      <c r="Y26" s="611"/>
      <c r="Z26" s="179" t="s">
        <v>159</v>
      </c>
      <c r="AA26" s="179" t="s">
        <v>367</v>
      </c>
      <c r="AB26" s="179" t="s">
        <v>161</v>
      </c>
      <c r="AC26" s="181" t="s">
        <v>165</v>
      </c>
      <c r="AD26" s="611"/>
      <c r="AE26" s="179" t="s">
        <v>159</v>
      </c>
      <c r="AF26" s="179" t="s">
        <v>367</v>
      </c>
      <c r="AG26" s="179" t="s">
        <v>161</v>
      </c>
      <c r="AH26" s="181" t="s">
        <v>165</v>
      </c>
      <c r="AI26" s="611"/>
      <c r="AJ26" s="179" t="s">
        <v>159</v>
      </c>
      <c r="AK26" s="179" t="s">
        <v>367</v>
      </c>
      <c r="AL26" s="179" t="s">
        <v>161</v>
      </c>
      <c r="AM26" s="181" t="s">
        <v>165</v>
      </c>
      <c r="AN26" s="611"/>
      <c r="AO26" s="179" t="s">
        <v>159</v>
      </c>
      <c r="AP26" s="179" t="s">
        <v>367</v>
      </c>
      <c r="AQ26" s="179" t="s">
        <v>161</v>
      </c>
      <c r="AR26" s="181" t="s">
        <v>165</v>
      </c>
      <c r="AS26" s="611"/>
      <c r="AT26" s="179" t="s">
        <v>159</v>
      </c>
      <c r="AU26" s="179" t="s">
        <v>367</v>
      </c>
      <c r="AV26" s="179" t="s">
        <v>161</v>
      </c>
      <c r="AW26" s="181" t="s">
        <v>165</v>
      </c>
      <c r="AX26" s="611"/>
    </row>
    <row r="27" spans="2:50" ht="14.25" customHeight="1">
      <c r="B27" s="650" t="s">
        <v>425</v>
      </c>
      <c r="C27" s="179">
        <v>1</v>
      </c>
      <c r="D27" s="182" t="s">
        <v>347</v>
      </c>
      <c r="E27" s="183">
        <v>21</v>
      </c>
      <c r="F27" s="179">
        <v>2790</v>
      </c>
      <c r="G27" s="184">
        <f t="shared" ref="G27:G28" si="1">IFERROR(F27/E27,"")</f>
        <v>132.85714285714286</v>
      </c>
      <c r="H27" s="612">
        <f>AVERAGE(G27:G41)</f>
        <v>132.85714285714286</v>
      </c>
      <c r="I27" s="185">
        <f>AVERAGE(P27,U27,Z27,AE27,AJ27,AO27,AT27)</f>
        <v>23</v>
      </c>
      <c r="J27" s="185">
        <f>AVERAGE(Q27,V27,AA27,AF27,AK27,AP27,AU27)</f>
        <v>2786.9038461538466</v>
      </c>
      <c r="K27" s="186">
        <f>AVERAGE(R27,W27,AB27,AG27,AL27,AQ27,AV27)</f>
        <v>121.16973244147157</v>
      </c>
      <c r="L27" s="613">
        <f>IFERROR(AVERAGE(K27:K41),"-")</f>
        <v>113.38841138750922</v>
      </c>
      <c r="M27" s="185">
        <f>RANK(K27, K$27:$K$41)</f>
        <v>1</v>
      </c>
      <c r="N27" s="611"/>
      <c r="O27" s="611"/>
      <c r="P27" s="187">
        <v>23</v>
      </c>
      <c r="Q27" s="187">
        <v>2786.9038461538466</v>
      </c>
      <c r="R27" s="184">
        <f>IFERROR(Q27/P27,"")</f>
        <v>121.1697324414716</v>
      </c>
      <c r="S27" s="181">
        <f>RANK(R27, R$27:R$41)</f>
        <v>1</v>
      </c>
      <c r="T27" s="612">
        <f>AVERAGE(R27:R41)</f>
        <v>109.05801333612041</v>
      </c>
      <c r="U27" s="187">
        <v>23</v>
      </c>
      <c r="V27" s="187">
        <v>2786.9038461538457</v>
      </c>
      <c r="W27" s="184">
        <f t="shared" ref="W27:W28" si="2">IFERROR(V27/U27,"")</f>
        <v>121.16973244147155</v>
      </c>
      <c r="X27" s="181">
        <f>RANK(W27, W$27:W$41)</f>
        <v>1</v>
      </c>
      <c r="Y27" s="612">
        <f>AVERAGE(W27:W41)</f>
        <v>110.02337924156912</v>
      </c>
      <c r="Z27" s="187">
        <v>23</v>
      </c>
      <c r="AA27" s="187">
        <v>2786.9038461538462</v>
      </c>
      <c r="AB27" s="184">
        <f>IFERROR(AA27/Z27,"")</f>
        <v>121.16973244147157</v>
      </c>
      <c r="AC27" s="181">
        <f>RANK(AB27, AB$27:AB$41)</f>
        <v>1</v>
      </c>
      <c r="AD27" s="612">
        <f>AVERAGE(AB27:AB41)</f>
        <v>111.01040768708194</v>
      </c>
      <c r="AE27" s="187">
        <v>23</v>
      </c>
      <c r="AF27" s="187">
        <v>2786.9038461538462</v>
      </c>
      <c r="AG27" s="184">
        <f>IFERROR(AF27/AE27,"")</f>
        <v>121.16973244147157</v>
      </c>
      <c r="AH27" s="181">
        <f>RANK(AG27, AG$27:AG$41)</f>
        <v>1</v>
      </c>
      <c r="AI27" s="612">
        <f>AVERAGE(AG27:AG41)</f>
        <v>113.93995067418385</v>
      </c>
      <c r="AJ27" s="187">
        <v>23</v>
      </c>
      <c r="AK27" s="187">
        <v>2786.9038461538466</v>
      </c>
      <c r="AL27" s="184">
        <f>IFERROR(AK27/AJ27,"")</f>
        <v>121.1697324414716</v>
      </c>
      <c r="AM27" s="181">
        <f>RANK(AL27, AL$27:AL$41)</f>
        <v>1</v>
      </c>
      <c r="AN27" s="612">
        <f>AVERAGE(AL27:AL41)</f>
        <v>116.39866905941042</v>
      </c>
      <c r="AO27" s="187">
        <v>23</v>
      </c>
      <c r="AP27" s="187">
        <v>2786.9038461538462</v>
      </c>
      <c r="AQ27" s="184">
        <f>IFERROR(AP27/AO27,"")</f>
        <v>121.16973244147157</v>
      </c>
      <c r="AR27" s="181">
        <f>RANK(AQ27, AQ$27:AQ$41)</f>
        <v>1</v>
      </c>
      <c r="AS27" s="612">
        <f>AVERAGE(AQ27:AQ41)</f>
        <v>116.24904803891761</v>
      </c>
      <c r="AT27" s="187">
        <v>23</v>
      </c>
      <c r="AU27" s="187">
        <v>2786.9038461538462</v>
      </c>
      <c r="AV27" s="184">
        <f>IFERROR(AU27/AT27,"")</f>
        <v>121.16973244147157</v>
      </c>
      <c r="AW27" s="181">
        <f>RANK(AV27, AV$27:AV$41)</f>
        <v>1</v>
      </c>
      <c r="AX27" s="612">
        <f>AVERAGE(AV27:AV41)</f>
        <v>117.03941167528123</v>
      </c>
    </row>
    <row r="28" spans="2:50" ht="14.25" customHeight="1">
      <c r="B28" s="611"/>
      <c r="C28" s="179">
        <v>2</v>
      </c>
      <c r="D28" s="182" t="s">
        <v>750</v>
      </c>
      <c r="E28" s="179">
        <v>21</v>
      </c>
      <c r="F28" s="179">
        <v>2790</v>
      </c>
      <c r="G28" s="184">
        <f t="shared" si="1"/>
        <v>132.85714285714286</v>
      </c>
      <c r="H28" s="612"/>
      <c r="I28" s="185">
        <f t="shared" ref="I28:K28" si="3">AVERAGE(P28,U28,Z28,AE28,AJ28,AO28,AT28)</f>
        <v>23.571428571428573</v>
      </c>
      <c r="J28" s="185">
        <f t="shared" si="3"/>
        <v>2484.3517944536766</v>
      </c>
      <c r="K28" s="186">
        <f t="shared" si="3"/>
        <v>105.60709033354688</v>
      </c>
      <c r="L28" s="613"/>
      <c r="M28" s="185">
        <f>RANK(K28, K$27:$K$41)</f>
        <v>2</v>
      </c>
      <c r="N28" s="611"/>
      <c r="O28" s="611"/>
      <c r="P28" s="187">
        <v>25</v>
      </c>
      <c r="Q28" s="187">
        <v>2423.6573557692309</v>
      </c>
      <c r="R28" s="184">
        <f t="shared" ref="R28" si="4">IFERROR(Q28/P28,"")</f>
        <v>96.94629423076924</v>
      </c>
      <c r="S28" s="181">
        <f>RANK(R28, R$27:R$41)</f>
        <v>2</v>
      </c>
      <c r="T28" s="612"/>
      <c r="U28" s="187">
        <v>24</v>
      </c>
      <c r="V28" s="187">
        <v>2373.0486250000004</v>
      </c>
      <c r="W28" s="184">
        <f t="shared" si="2"/>
        <v>98.877026041666682</v>
      </c>
      <c r="X28" s="181">
        <f>RANK(W28, W$27:W$41)</f>
        <v>2</v>
      </c>
      <c r="Y28" s="612"/>
      <c r="Z28" s="187">
        <v>24</v>
      </c>
      <c r="AA28" s="187">
        <v>2420.425990384615</v>
      </c>
      <c r="AB28" s="184">
        <f t="shared" ref="AB28" si="5">IFERROR(AA28/Z28,"")</f>
        <v>100.85108293269229</v>
      </c>
      <c r="AC28" s="181">
        <f>RANK(AB28, AB$27:AB$41)</f>
        <v>2</v>
      </c>
      <c r="AD28" s="612"/>
      <c r="AE28" s="187">
        <v>24</v>
      </c>
      <c r="AF28" s="187">
        <v>2561.0440537655068</v>
      </c>
      <c r="AG28" s="184">
        <f t="shared" ref="AG28" si="6">IFERROR(AF28/AE28,"")</f>
        <v>106.71016890689612</v>
      </c>
      <c r="AH28" s="181">
        <f>RANK(AG28, AG$27:AG$41)</f>
        <v>2</v>
      </c>
      <c r="AI28" s="612"/>
      <c r="AJ28" s="187">
        <v>24</v>
      </c>
      <c r="AK28" s="187">
        <v>2679.0625362563819</v>
      </c>
      <c r="AL28" s="184">
        <f t="shared" ref="AL28" si="7">IFERROR(AK28/AJ28,"")</f>
        <v>111.62760567734925</v>
      </c>
      <c r="AM28" s="181">
        <f>RANK(AL28, AL$27:AL$41)</f>
        <v>2</v>
      </c>
      <c r="AN28" s="612"/>
      <c r="AO28" s="187">
        <v>22</v>
      </c>
      <c r="AP28" s="187">
        <v>2449.2240000000002</v>
      </c>
      <c r="AQ28" s="184">
        <f t="shared" ref="AQ28" si="8">IFERROR(AP28/AO28,"")</f>
        <v>111.32836363636365</v>
      </c>
      <c r="AR28" s="181">
        <f>RANK(AQ28, AQ$27:AQ$41)</f>
        <v>2</v>
      </c>
      <c r="AS28" s="612"/>
      <c r="AT28" s="187">
        <v>22</v>
      </c>
      <c r="AU28" s="187">
        <v>2484</v>
      </c>
      <c r="AV28" s="184">
        <f t="shared" ref="AV28" si="9">IFERROR(AU28/AT28,"")</f>
        <v>112.90909090909091</v>
      </c>
      <c r="AW28" s="181">
        <f>RANK(AV28, AV$27:AV$41)</f>
        <v>2</v>
      </c>
      <c r="AX28" s="612"/>
    </row>
    <row r="29" spans="2:50" ht="14.25" customHeight="1">
      <c r="B29" s="611"/>
      <c r="C29" s="179">
        <v>3</v>
      </c>
      <c r="D29" s="182"/>
      <c r="E29" s="179"/>
      <c r="F29" s="179"/>
      <c r="G29" s="184"/>
      <c r="H29" s="612"/>
      <c r="I29" s="185"/>
      <c r="J29" s="185"/>
      <c r="K29" s="186"/>
      <c r="L29" s="613"/>
      <c r="M29" s="185"/>
      <c r="N29" s="611"/>
      <c r="O29" s="611"/>
      <c r="P29" s="187"/>
      <c r="Q29" s="187"/>
      <c r="R29" s="184"/>
      <c r="S29" s="181"/>
      <c r="T29" s="612"/>
      <c r="U29" s="187"/>
      <c r="V29" s="187"/>
      <c r="W29" s="184"/>
      <c r="X29" s="181"/>
      <c r="Y29" s="612"/>
      <c r="Z29" s="187"/>
      <c r="AA29" s="187"/>
      <c r="AB29" s="184"/>
      <c r="AC29" s="181"/>
      <c r="AD29" s="612"/>
      <c r="AE29" s="187"/>
      <c r="AF29" s="187"/>
      <c r="AG29" s="184"/>
      <c r="AH29" s="181"/>
      <c r="AI29" s="612"/>
      <c r="AJ29" s="187"/>
      <c r="AK29" s="187"/>
      <c r="AL29" s="184"/>
      <c r="AM29" s="181"/>
      <c r="AN29" s="612"/>
      <c r="AO29" s="187"/>
      <c r="AP29" s="187"/>
      <c r="AQ29" s="184"/>
      <c r="AR29" s="181"/>
      <c r="AS29" s="612"/>
      <c r="AT29" s="187"/>
      <c r="AU29" s="187"/>
      <c r="AV29" s="184"/>
      <c r="AW29" s="181"/>
      <c r="AX29" s="612"/>
    </row>
    <row r="30" spans="2:50" ht="14.25" customHeight="1">
      <c r="B30" s="611"/>
      <c r="C30" s="179">
        <v>4</v>
      </c>
      <c r="D30" s="182"/>
      <c r="E30" s="179"/>
      <c r="F30" s="179"/>
      <c r="G30" s="184"/>
      <c r="H30" s="612"/>
      <c r="I30" s="185"/>
      <c r="J30" s="185"/>
      <c r="K30" s="186"/>
      <c r="L30" s="613"/>
      <c r="M30" s="185"/>
      <c r="N30" s="611"/>
      <c r="O30" s="611"/>
      <c r="P30" s="187"/>
      <c r="Q30" s="187"/>
      <c r="R30" s="184"/>
      <c r="S30" s="181"/>
      <c r="T30" s="612"/>
      <c r="U30" s="187"/>
      <c r="V30" s="187"/>
      <c r="W30" s="184"/>
      <c r="X30" s="181"/>
      <c r="Y30" s="612"/>
      <c r="Z30" s="187"/>
      <c r="AA30" s="187"/>
      <c r="AB30" s="184"/>
      <c r="AC30" s="181"/>
      <c r="AD30" s="612"/>
      <c r="AE30" s="187"/>
      <c r="AF30" s="187"/>
      <c r="AG30" s="184"/>
      <c r="AH30" s="181"/>
      <c r="AI30" s="612"/>
      <c r="AJ30" s="187"/>
      <c r="AK30" s="187"/>
      <c r="AL30" s="184"/>
      <c r="AM30" s="181"/>
      <c r="AN30" s="612"/>
      <c r="AO30" s="187"/>
      <c r="AP30" s="187"/>
      <c r="AQ30" s="184"/>
      <c r="AR30" s="181"/>
      <c r="AS30" s="612"/>
      <c r="AT30" s="187"/>
      <c r="AU30" s="187"/>
      <c r="AV30" s="184"/>
      <c r="AW30" s="181"/>
      <c r="AX30" s="612"/>
    </row>
    <row r="31" spans="2:50" ht="14.25" customHeight="1">
      <c r="B31" s="611"/>
      <c r="C31" s="179">
        <v>5</v>
      </c>
      <c r="D31" s="182"/>
      <c r="E31" s="179"/>
      <c r="F31" s="179"/>
      <c r="G31" s="184"/>
      <c r="H31" s="612"/>
      <c r="I31" s="185"/>
      <c r="J31" s="185"/>
      <c r="K31" s="186"/>
      <c r="L31" s="613"/>
      <c r="M31" s="185"/>
      <c r="N31" s="611"/>
      <c r="O31" s="611"/>
      <c r="P31" s="187"/>
      <c r="Q31" s="187"/>
      <c r="R31" s="184"/>
      <c r="S31" s="181"/>
      <c r="T31" s="612"/>
      <c r="U31" s="187"/>
      <c r="V31" s="187"/>
      <c r="W31" s="184"/>
      <c r="X31" s="181"/>
      <c r="Y31" s="612"/>
      <c r="Z31" s="187"/>
      <c r="AA31" s="187"/>
      <c r="AB31" s="184"/>
      <c r="AC31" s="181"/>
      <c r="AD31" s="612"/>
      <c r="AE31" s="187"/>
      <c r="AF31" s="187"/>
      <c r="AG31" s="184"/>
      <c r="AH31" s="181"/>
      <c r="AI31" s="612"/>
      <c r="AJ31" s="187"/>
      <c r="AK31" s="187"/>
      <c r="AL31" s="184"/>
      <c r="AM31" s="181"/>
      <c r="AN31" s="612"/>
      <c r="AO31" s="187"/>
      <c r="AP31" s="187"/>
      <c r="AQ31" s="184"/>
      <c r="AR31" s="181"/>
      <c r="AS31" s="612"/>
      <c r="AT31" s="187"/>
      <c r="AU31" s="187"/>
      <c r="AV31" s="184"/>
      <c r="AW31" s="181"/>
      <c r="AX31" s="612"/>
    </row>
    <row r="32" spans="2:50" ht="14.25" customHeight="1">
      <c r="B32" s="611"/>
      <c r="C32" s="179">
        <v>6</v>
      </c>
      <c r="D32" s="182"/>
      <c r="E32" s="179"/>
      <c r="F32" s="179"/>
      <c r="G32" s="184"/>
      <c r="H32" s="612"/>
      <c r="I32" s="185"/>
      <c r="J32" s="185"/>
      <c r="K32" s="186"/>
      <c r="L32" s="613"/>
      <c r="M32" s="185"/>
      <c r="N32" s="611"/>
      <c r="O32" s="611"/>
      <c r="P32" s="187"/>
      <c r="Q32" s="187"/>
      <c r="R32" s="184"/>
      <c r="S32" s="181"/>
      <c r="T32" s="612"/>
      <c r="U32" s="187"/>
      <c r="V32" s="187"/>
      <c r="W32" s="184"/>
      <c r="X32" s="181"/>
      <c r="Y32" s="612"/>
      <c r="Z32" s="187"/>
      <c r="AA32" s="187"/>
      <c r="AB32" s="184"/>
      <c r="AC32" s="181"/>
      <c r="AD32" s="612"/>
      <c r="AE32" s="187"/>
      <c r="AF32" s="187"/>
      <c r="AG32" s="184"/>
      <c r="AH32" s="181"/>
      <c r="AI32" s="612"/>
      <c r="AJ32" s="187"/>
      <c r="AK32" s="187"/>
      <c r="AL32" s="184"/>
      <c r="AM32" s="181"/>
      <c r="AN32" s="612"/>
      <c r="AO32" s="187"/>
      <c r="AP32" s="187"/>
      <c r="AQ32" s="184"/>
      <c r="AR32" s="181"/>
      <c r="AS32" s="612"/>
      <c r="AT32" s="187"/>
      <c r="AU32" s="187"/>
      <c r="AV32" s="184"/>
      <c r="AW32" s="181"/>
      <c r="AX32" s="612"/>
    </row>
    <row r="33" spans="2:50" ht="14.25" customHeight="1">
      <c r="B33" s="611"/>
      <c r="C33" s="179">
        <v>7</v>
      </c>
      <c r="D33" s="182"/>
      <c r="E33" s="179"/>
      <c r="F33" s="179"/>
      <c r="G33" s="184"/>
      <c r="H33" s="612"/>
      <c r="I33" s="185"/>
      <c r="J33" s="185"/>
      <c r="K33" s="186"/>
      <c r="L33" s="613"/>
      <c r="M33" s="185"/>
      <c r="N33" s="611"/>
      <c r="O33" s="611"/>
      <c r="P33" s="187"/>
      <c r="Q33" s="187"/>
      <c r="R33" s="184"/>
      <c r="S33" s="181"/>
      <c r="T33" s="612"/>
      <c r="U33" s="187"/>
      <c r="V33" s="187"/>
      <c r="W33" s="184"/>
      <c r="X33" s="181"/>
      <c r="Y33" s="612"/>
      <c r="Z33" s="187"/>
      <c r="AA33" s="187"/>
      <c r="AB33" s="184"/>
      <c r="AC33" s="181"/>
      <c r="AD33" s="612"/>
      <c r="AE33" s="187"/>
      <c r="AF33" s="187"/>
      <c r="AG33" s="184"/>
      <c r="AH33" s="181"/>
      <c r="AI33" s="612"/>
      <c r="AJ33" s="187"/>
      <c r="AK33" s="187"/>
      <c r="AL33" s="184"/>
      <c r="AM33" s="181"/>
      <c r="AN33" s="612"/>
      <c r="AO33" s="187"/>
      <c r="AP33" s="187"/>
      <c r="AQ33" s="184"/>
      <c r="AR33" s="181"/>
      <c r="AS33" s="612"/>
      <c r="AT33" s="187"/>
      <c r="AU33" s="187"/>
      <c r="AV33" s="184"/>
      <c r="AW33" s="181"/>
      <c r="AX33" s="612"/>
    </row>
    <row r="34" spans="2:50" ht="14.25" customHeight="1">
      <c r="B34" s="611"/>
      <c r="C34" s="179">
        <v>8</v>
      </c>
      <c r="D34" s="182"/>
      <c r="E34" s="179"/>
      <c r="F34" s="179"/>
      <c r="G34" s="184"/>
      <c r="H34" s="612"/>
      <c r="I34" s="185"/>
      <c r="J34" s="185"/>
      <c r="K34" s="186"/>
      <c r="L34" s="613"/>
      <c r="M34" s="185"/>
      <c r="N34" s="611"/>
      <c r="O34" s="611"/>
      <c r="P34" s="187"/>
      <c r="Q34" s="187"/>
      <c r="R34" s="184"/>
      <c r="S34" s="181"/>
      <c r="T34" s="612"/>
      <c r="U34" s="187"/>
      <c r="V34" s="187"/>
      <c r="W34" s="184"/>
      <c r="X34" s="181"/>
      <c r="Y34" s="612"/>
      <c r="Z34" s="187"/>
      <c r="AA34" s="187"/>
      <c r="AB34" s="184"/>
      <c r="AC34" s="181"/>
      <c r="AD34" s="612"/>
      <c r="AE34" s="187"/>
      <c r="AF34" s="187"/>
      <c r="AG34" s="184"/>
      <c r="AH34" s="181"/>
      <c r="AI34" s="612"/>
      <c r="AJ34" s="187"/>
      <c r="AK34" s="187"/>
      <c r="AL34" s="184"/>
      <c r="AM34" s="181"/>
      <c r="AN34" s="612"/>
      <c r="AO34" s="187"/>
      <c r="AP34" s="187"/>
      <c r="AQ34" s="184"/>
      <c r="AR34" s="181"/>
      <c r="AS34" s="612"/>
      <c r="AT34" s="187"/>
      <c r="AU34" s="187"/>
      <c r="AV34" s="184"/>
      <c r="AW34" s="181"/>
      <c r="AX34" s="612"/>
    </row>
    <row r="35" spans="2:50" ht="14.25" customHeight="1">
      <c r="B35" s="611"/>
      <c r="C35" s="179">
        <v>9</v>
      </c>
      <c r="D35" s="182"/>
      <c r="E35" s="179"/>
      <c r="F35" s="179"/>
      <c r="G35" s="184"/>
      <c r="H35" s="612"/>
      <c r="I35" s="185"/>
      <c r="J35" s="185"/>
      <c r="K35" s="186"/>
      <c r="L35" s="613"/>
      <c r="M35" s="185"/>
      <c r="N35" s="611"/>
      <c r="O35" s="611"/>
      <c r="P35" s="187"/>
      <c r="Q35" s="187"/>
      <c r="R35" s="184"/>
      <c r="S35" s="181"/>
      <c r="T35" s="612"/>
      <c r="U35" s="187"/>
      <c r="V35" s="187"/>
      <c r="W35" s="184"/>
      <c r="X35" s="181"/>
      <c r="Y35" s="612"/>
      <c r="Z35" s="187"/>
      <c r="AA35" s="187"/>
      <c r="AB35" s="184"/>
      <c r="AC35" s="181"/>
      <c r="AD35" s="612"/>
      <c r="AE35" s="187"/>
      <c r="AF35" s="187"/>
      <c r="AG35" s="184"/>
      <c r="AH35" s="181"/>
      <c r="AI35" s="612"/>
      <c r="AJ35" s="187"/>
      <c r="AK35" s="187"/>
      <c r="AL35" s="184"/>
      <c r="AM35" s="181"/>
      <c r="AN35" s="612"/>
      <c r="AO35" s="187"/>
      <c r="AP35" s="187"/>
      <c r="AQ35" s="184"/>
      <c r="AR35" s="181"/>
      <c r="AS35" s="612"/>
      <c r="AT35" s="187"/>
      <c r="AU35" s="187"/>
      <c r="AV35" s="184"/>
      <c r="AW35" s="181"/>
      <c r="AX35" s="612"/>
    </row>
    <row r="36" spans="2:50" ht="14.25" customHeight="1">
      <c r="B36" s="611"/>
      <c r="C36" s="179">
        <v>10</v>
      </c>
      <c r="D36" s="182"/>
      <c r="E36" s="179"/>
      <c r="F36" s="179"/>
      <c r="G36" s="184"/>
      <c r="H36" s="612"/>
      <c r="I36" s="185"/>
      <c r="J36" s="185"/>
      <c r="K36" s="186"/>
      <c r="L36" s="613"/>
      <c r="M36" s="185"/>
      <c r="N36" s="611"/>
      <c r="O36" s="611"/>
      <c r="P36" s="187"/>
      <c r="Q36" s="187"/>
      <c r="R36" s="184"/>
      <c r="S36" s="181"/>
      <c r="T36" s="612"/>
      <c r="U36" s="187"/>
      <c r="V36" s="187"/>
      <c r="W36" s="184"/>
      <c r="X36" s="181"/>
      <c r="Y36" s="612"/>
      <c r="Z36" s="187"/>
      <c r="AA36" s="187"/>
      <c r="AB36" s="184"/>
      <c r="AC36" s="181"/>
      <c r="AD36" s="612"/>
      <c r="AE36" s="187"/>
      <c r="AF36" s="187"/>
      <c r="AG36" s="184"/>
      <c r="AH36" s="181"/>
      <c r="AI36" s="612"/>
      <c r="AJ36" s="187"/>
      <c r="AK36" s="187"/>
      <c r="AL36" s="184"/>
      <c r="AM36" s="181"/>
      <c r="AN36" s="612"/>
      <c r="AO36" s="187"/>
      <c r="AP36" s="187"/>
      <c r="AQ36" s="184"/>
      <c r="AR36" s="181"/>
      <c r="AS36" s="612"/>
      <c r="AT36" s="187"/>
      <c r="AU36" s="187"/>
      <c r="AV36" s="184"/>
      <c r="AW36" s="181"/>
      <c r="AX36" s="612"/>
    </row>
    <row r="37" spans="2:50" ht="14.25" customHeight="1">
      <c r="B37" s="611"/>
      <c r="C37" s="179">
        <v>11</v>
      </c>
      <c r="D37" s="182"/>
      <c r="E37" s="179"/>
      <c r="F37" s="179"/>
      <c r="G37" s="184"/>
      <c r="H37" s="612"/>
      <c r="I37" s="185"/>
      <c r="J37" s="185"/>
      <c r="K37" s="186"/>
      <c r="L37" s="613"/>
      <c r="M37" s="185"/>
      <c r="N37" s="611"/>
      <c r="O37" s="611"/>
      <c r="P37" s="187"/>
      <c r="Q37" s="187"/>
      <c r="R37" s="184"/>
      <c r="S37" s="181"/>
      <c r="T37" s="612"/>
      <c r="U37" s="187"/>
      <c r="V37" s="187"/>
      <c r="W37" s="184"/>
      <c r="X37" s="181"/>
      <c r="Y37" s="612"/>
      <c r="Z37" s="187"/>
      <c r="AA37" s="187"/>
      <c r="AB37" s="184"/>
      <c r="AC37" s="181"/>
      <c r="AD37" s="612"/>
      <c r="AE37" s="187"/>
      <c r="AF37" s="187"/>
      <c r="AG37" s="184"/>
      <c r="AH37" s="181"/>
      <c r="AI37" s="612"/>
      <c r="AJ37" s="187"/>
      <c r="AK37" s="187"/>
      <c r="AL37" s="184"/>
      <c r="AM37" s="181"/>
      <c r="AN37" s="612"/>
      <c r="AO37" s="187"/>
      <c r="AP37" s="187"/>
      <c r="AQ37" s="184"/>
      <c r="AR37" s="181"/>
      <c r="AS37" s="612"/>
      <c r="AT37" s="187"/>
      <c r="AU37" s="187"/>
      <c r="AV37" s="184"/>
      <c r="AW37" s="181"/>
      <c r="AX37" s="612"/>
    </row>
    <row r="38" spans="2:50" ht="14.25" customHeight="1">
      <c r="B38" s="611"/>
      <c r="C38" s="179">
        <v>12</v>
      </c>
      <c r="D38" s="182"/>
      <c r="E38" s="179"/>
      <c r="F38" s="179"/>
      <c r="G38" s="184"/>
      <c r="H38" s="612"/>
      <c r="I38" s="185"/>
      <c r="J38" s="185"/>
      <c r="K38" s="186"/>
      <c r="L38" s="613"/>
      <c r="M38" s="185"/>
      <c r="N38" s="611"/>
      <c r="O38" s="611"/>
      <c r="P38" s="187"/>
      <c r="Q38" s="187"/>
      <c r="R38" s="184"/>
      <c r="S38" s="181"/>
      <c r="T38" s="612"/>
      <c r="U38" s="187"/>
      <c r="V38" s="187"/>
      <c r="W38" s="184"/>
      <c r="X38" s="181"/>
      <c r="Y38" s="612"/>
      <c r="Z38" s="187"/>
      <c r="AA38" s="187"/>
      <c r="AB38" s="184"/>
      <c r="AC38" s="181"/>
      <c r="AD38" s="612"/>
      <c r="AE38" s="187"/>
      <c r="AF38" s="187"/>
      <c r="AG38" s="184"/>
      <c r="AH38" s="181"/>
      <c r="AI38" s="612"/>
      <c r="AJ38" s="187"/>
      <c r="AK38" s="187"/>
      <c r="AL38" s="184"/>
      <c r="AM38" s="181"/>
      <c r="AN38" s="612"/>
      <c r="AO38" s="187"/>
      <c r="AP38" s="187"/>
      <c r="AQ38" s="184"/>
      <c r="AR38" s="181"/>
      <c r="AS38" s="612"/>
      <c r="AT38" s="187"/>
      <c r="AU38" s="187"/>
      <c r="AV38" s="184"/>
      <c r="AW38" s="181"/>
      <c r="AX38" s="612"/>
    </row>
    <row r="39" spans="2:50" ht="14.25" customHeight="1">
      <c r="B39" s="611"/>
      <c r="C39" s="179">
        <v>13</v>
      </c>
      <c r="D39" s="182"/>
      <c r="E39" s="179"/>
      <c r="F39" s="179"/>
      <c r="G39" s="184"/>
      <c r="H39" s="612"/>
      <c r="I39" s="185"/>
      <c r="J39" s="185"/>
      <c r="K39" s="186"/>
      <c r="L39" s="613"/>
      <c r="M39" s="185"/>
      <c r="N39" s="611"/>
      <c r="O39" s="611"/>
      <c r="P39" s="187"/>
      <c r="Q39" s="187"/>
      <c r="R39" s="184"/>
      <c r="S39" s="181"/>
      <c r="T39" s="612"/>
      <c r="U39" s="187"/>
      <c r="V39" s="187"/>
      <c r="W39" s="184"/>
      <c r="X39" s="181"/>
      <c r="Y39" s="612"/>
      <c r="Z39" s="187"/>
      <c r="AA39" s="187"/>
      <c r="AB39" s="184"/>
      <c r="AC39" s="181"/>
      <c r="AD39" s="612"/>
      <c r="AE39" s="187"/>
      <c r="AF39" s="187"/>
      <c r="AG39" s="184"/>
      <c r="AH39" s="181"/>
      <c r="AI39" s="612"/>
      <c r="AJ39" s="187"/>
      <c r="AK39" s="187"/>
      <c r="AL39" s="184"/>
      <c r="AM39" s="181"/>
      <c r="AN39" s="612"/>
      <c r="AO39" s="187"/>
      <c r="AP39" s="187"/>
      <c r="AQ39" s="184"/>
      <c r="AR39" s="181"/>
      <c r="AS39" s="612"/>
      <c r="AT39" s="187"/>
      <c r="AU39" s="187"/>
      <c r="AV39" s="184"/>
      <c r="AW39" s="181"/>
      <c r="AX39" s="612"/>
    </row>
    <row r="40" spans="2:50" ht="14.25" customHeight="1">
      <c r="B40" s="611"/>
      <c r="C40" s="179">
        <v>14</v>
      </c>
      <c r="D40" s="182"/>
      <c r="E40" s="179"/>
      <c r="F40" s="179"/>
      <c r="G40" s="184"/>
      <c r="H40" s="612"/>
      <c r="I40" s="185"/>
      <c r="J40" s="185"/>
      <c r="K40" s="186"/>
      <c r="L40" s="613"/>
      <c r="M40" s="185"/>
      <c r="N40" s="611"/>
      <c r="O40" s="611"/>
      <c r="P40" s="187"/>
      <c r="Q40" s="187"/>
      <c r="R40" s="184"/>
      <c r="S40" s="181"/>
      <c r="T40" s="612"/>
      <c r="U40" s="187"/>
      <c r="V40" s="187"/>
      <c r="W40" s="184"/>
      <c r="X40" s="181"/>
      <c r="Y40" s="612"/>
      <c r="Z40" s="187"/>
      <c r="AA40" s="187"/>
      <c r="AB40" s="184"/>
      <c r="AC40" s="181"/>
      <c r="AD40" s="612"/>
      <c r="AE40" s="187"/>
      <c r="AF40" s="187"/>
      <c r="AG40" s="184"/>
      <c r="AH40" s="181"/>
      <c r="AI40" s="612"/>
      <c r="AJ40" s="187"/>
      <c r="AK40" s="187"/>
      <c r="AL40" s="184"/>
      <c r="AM40" s="181"/>
      <c r="AN40" s="612"/>
      <c r="AO40" s="187"/>
      <c r="AP40" s="187"/>
      <c r="AQ40" s="184"/>
      <c r="AR40" s="181"/>
      <c r="AS40" s="612"/>
      <c r="AT40" s="187"/>
      <c r="AU40" s="187"/>
      <c r="AV40" s="184"/>
      <c r="AW40" s="181"/>
      <c r="AX40" s="612"/>
    </row>
    <row r="41" spans="2:50" ht="14.25" customHeight="1">
      <c r="B41" s="611"/>
      <c r="C41" s="179">
        <v>15</v>
      </c>
      <c r="D41" s="182"/>
      <c r="E41" s="179"/>
      <c r="F41" s="179"/>
      <c r="G41" s="184"/>
      <c r="H41" s="612"/>
      <c r="I41" s="185"/>
      <c r="J41" s="185"/>
      <c r="K41" s="186"/>
      <c r="L41" s="613"/>
      <c r="M41" s="185"/>
      <c r="N41" s="611"/>
      <c r="O41" s="611"/>
      <c r="P41" s="187"/>
      <c r="Q41" s="187"/>
      <c r="R41" s="184"/>
      <c r="S41" s="181"/>
      <c r="T41" s="612"/>
      <c r="U41" s="187"/>
      <c r="V41" s="187"/>
      <c r="W41" s="184"/>
      <c r="X41" s="181"/>
      <c r="Y41" s="612"/>
      <c r="Z41" s="187"/>
      <c r="AA41" s="187"/>
      <c r="AB41" s="184"/>
      <c r="AC41" s="181"/>
      <c r="AD41" s="612"/>
      <c r="AE41" s="187"/>
      <c r="AF41" s="187"/>
      <c r="AG41" s="184"/>
      <c r="AH41" s="181"/>
      <c r="AI41" s="612"/>
      <c r="AJ41" s="187"/>
      <c r="AK41" s="187"/>
      <c r="AL41" s="184"/>
      <c r="AM41" s="181"/>
      <c r="AN41" s="612"/>
      <c r="AO41" s="187"/>
      <c r="AP41" s="187"/>
      <c r="AQ41" s="184"/>
      <c r="AR41" s="181"/>
      <c r="AS41" s="612"/>
      <c r="AT41" s="187"/>
      <c r="AU41" s="187"/>
      <c r="AV41" s="184"/>
      <c r="AW41" s="181"/>
      <c r="AX41" s="612"/>
    </row>
    <row r="42" spans="2:50" ht="14.25" customHeight="1">
      <c r="B42" s="640" t="s">
        <v>800</v>
      </c>
      <c r="C42" s="641"/>
      <c r="D42" s="641"/>
      <c r="E42" s="641"/>
      <c r="F42" s="641"/>
      <c r="G42" s="641"/>
      <c r="H42" s="641"/>
      <c r="I42" s="641"/>
      <c r="J42" s="641"/>
      <c r="K42" s="641"/>
      <c r="L42" s="641"/>
      <c r="M42" s="642"/>
      <c r="N42" s="645" t="s">
        <v>363</v>
      </c>
      <c r="O42" s="645" t="s">
        <v>105</v>
      </c>
      <c r="P42" s="632">
        <v>46217</v>
      </c>
      <c r="Q42" s="633"/>
      <c r="R42" s="633"/>
      <c r="S42" s="633"/>
      <c r="T42" s="633"/>
      <c r="U42" s="634">
        <v>46218</v>
      </c>
      <c r="V42" s="635"/>
      <c r="W42" s="635"/>
      <c r="X42" s="635"/>
      <c r="Y42" s="635"/>
      <c r="Z42" s="632">
        <v>46219</v>
      </c>
      <c r="AA42" s="633"/>
      <c r="AB42" s="633"/>
      <c r="AC42" s="633"/>
      <c r="AD42" s="633"/>
      <c r="AE42" s="634">
        <v>46220</v>
      </c>
      <c r="AF42" s="635"/>
      <c r="AG42" s="635"/>
      <c r="AH42" s="635"/>
      <c r="AI42" s="635"/>
      <c r="AJ42" s="616">
        <v>46221</v>
      </c>
      <c r="AK42" s="617"/>
      <c r="AL42" s="617"/>
      <c r="AM42" s="617"/>
      <c r="AN42" s="618"/>
      <c r="AO42" s="634">
        <v>46222</v>
      </c>
      <c r="AP42" s="635"/>
      <c r="AQ42" s="635"/>
      <c r="AR42" s="635"/>
      <c r="AS42" s="635"/>
      <c r="AT42" s="616">
        <v>46223</v>
      </c>
      <c r="AU42" s="617"/>
      <c r="AV42" s="617"/>
      <c r="AW42" s="617"/>
      <c r="AX42" s="618"/>
    </row>
    <row r="43" spans="2:50" ht="14.25" customHeight="1"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4"/>
      <c r="N43" s="646"/>
      <c r="O43" s="646"/>
      <c r="P43" s="619">
        <v>46196</v>
      </c>
      <c r="Q43" s="619"/>
      <c r="R43" s="619"/>
      <c r="S43" s="619"/>
      <c r="T43" s="619"/>
      <c r="U43" s="620">
        <v>46197</v>
      </c>
      <c r="V43" s="620"/>
      <c r="W43" s="620"/>
      <c r="X43" s="620"/>
      <c r="Y43" s="620"/>
      <c r="Z43" s="619">
        <v>46198</v>
      </c>
      <c r="AA43" s="619"/>
      <c r="AB43" s="619"/>
      <c r="AC43" s="619"/>
      <c r="AD43" s="619"/>
      <c r="AE43" s="620">
        <v>46199</v>
      </c>
      <c r="AF43" s="620"/>
      <c r="AG43" s="620"/>
      <c r="AH43" s="620"/>
      <c r="AI43" s="620"/>
      <c r="AJ43" s="621">
        <v>46200</v>
      </c>
      <c r="AK43" s="622"/>
      <c r="AL43" s="622"/>
      <c r="AM43" s="622"/>
      <c r="AN43" s="623"/>
      <c r="AO43" s="620">
        <v>46201</v>
      </c>
      <c r="AP43" s="620"/>
      <c r="AQ43" s="620"/>
      <c r="AR43" s="620"/>
      <c r="AS43" s="620"/>
      <c r="AT43" s="621">
        <v>46202</v>
      </c>
      <c r="AU43" s="622"/>
      <c r="AV43" s="622"/>
      <c r="AW43" s="622"/>
      <c r="AX43" s="623"/>
    </row>
    <row r="44" spans="2:50" ht="14.25" customHeight="1">
      <c r="B44" s="611" t="s">
        <v>162</v>
      </c>
      <c r="C44" s="611" t="s">
        <v>157</v>
      </c>
      <c r="D44" s="611"/>
      <c r="E44" s="611" t="s">
        <v>158</v>
      </c>
      <c r="F44" s="611"/>
      <c r="G44" s="611"/>
      <c r="H44" s="611" t="s">
        <v>163</v>
      </c>
      <c r="I44" s="615" t="s">
        <v>364</v>
      </c>
      <c r="J44" s="615"/>
      <c r="K44" s="615"/>
      <c r="L44" s="615" t="s">
        <v>163</v>
      </c>
      <c r="M44" s="615" t="s">
        <v>165</v>
      </c>
      <c r="N44" s="611"/>
      <c r="O44" s="611" t="s">
        <v>164</v>
      </c>
      <c r="P44" s="611" t="s">
        <v>160</v>
      </c>
      <c r="Q44" s="611"/>
      <c r="R44" s="611"/>
      <c r="S44" s="611"/>
      <c r="T44" s="611" t="s">
        <v>163</v>
      </c>
      <c r="U44" s="611" t="s">
        <v>160</v>
      </c>
      <c r="V44" s="611"/>
      <c r="W44" s="611"/>
      <c r="X44" s="611"/>
      <c r="Y44" s="611" t="s">
        <v>163</v>
      </c>
      <c r="Z44" s="611" t="s">
        <v>160</v>
      </c>
      <c r="AA44" s="611"/>
      <c r="AB44" s="611"/>
      <c r="AC44" s="611"/>
      <c r="AD44" s="611" t="s">
        <v>163</v>
      </c>
      <c r="AE44" s="611" t="s">
        <v>160</v>
      </c>
      <c r="AF44" s="611"/>
      <c r="AG44" s="611"/>
      <c r="AH44" s="611"/>
      <c r="AI44" s="611" t="s">
        <v>163</v>
      </c>
      <c r="AJ44" s="611" t="s">
        <v>160</v>
      </c>
      <c r="AK44" s="611"/>
      <c r="AL44" s="611"/>
      <c r="AM44" s="611"/>
      <c r="AN44" s="611" t="s">
        <v>163</v>
      </c>
      <c r="AO44" s="611" t="s">
        <v>160</v>
      </c>
      <c r="AP44" s="611"/>
      <c r="AQ44" s="611"/>
      <c r="AR44" s="611"/>
      <c r="AS44" s="611" t="s">
        <v>163</v>
      </c>
      <c r="AT44" s="611" t="s">
        <v>160</v>
      </c>
      <c r="AU44" s="611"/>
      <c r="AV44" s="611"/>
      <c r="AW44" s="611"/>
      <c r="AX44" s="611" t="s">
        <v>163</v>
      </c>
    </row>
    <row r="45" spans="2:50" ht="14.25" customHeight="1">
      <c r="B45" s="611"/>
      <c r="C45" s="611"/>
      <c r="D45" s="611"/>
      <c r="E45" s="611" t="s">
        <v>365</v>
      </c>
      <c r="F45" s="611"/>
      <c r="G45" s="611"/>
      <c r="H45" s="611"/>
      <c r="I45" s="615" t="s">
        <v>365</v>
      </c>
      <c r="J45" s="615"/>
      <c r="K45" s="615"/>
      <c r="L45" s="615"/>
      <c r="M45" s="615"/>
      <c r="N45" s="611"/>
      <c r="O45" s="611"/>
      <c r="P45" s="611" t="s">
        <v>366</v>
      </c>
      <c r="Q45" s="611"/>
      <c r="R45" s="611"/>
      <c r="S45" s="611"/>
      <c r="T45" s="611"/>
      <c r="U45" s="611" t="s">
        <v>366</v>
      </c>
      <c r="V45" s="611"/>
      <c r="W45" s="611"/>
      <c r="X45" s="611"/>
      <c r="Y45" s="611"/>
      <c r="Z45" s="611" t="s">
        <v>366</v>
      </c>
      <c r="AA45" s="611"/>
      <c r="AB45" s="611"/>
      <c r="AC45" s="611"/>
      <c r="AD45" s="611"/>
      <c r="AE45" s="611" t="s">
        <v>366</v>
      </c>
      <c r="AF45" s="611"/>
      <c r="AG45" s="611"/>
      <c r="AH45" s="611"/>
      <c r="AI45" s="611"/>
      <c r="AJ45" s="611" t="s">
        <v>366</v>
      </c>
      <c r="AK45" s="611"/>
      <c r="AL45" s="611"/>
      <c r="AM45" s="611"/>
      <c r="AN45" s="611"/>
      <c r="AO45" s="611" t="s">
        <v>366</v>
      </c>
      <c r="AP45" s="611"/>
      <c r="AQ45" s="611"/>
      <c r="AR45" s="611"/>
      <c r="AS45" s="611"/>
      <c r="AT45" s="611" t="s">
        <v>366</v>
      </c>
      <c r="AU45" s="611"/>
      <c r="AV45" s="611"/>
      <c r="AW45" s="611"/>
      <c r="AX45" s="611"/>
    </row>
    <row r="46" spans="2:50" ht="14.25" customHeight="1">
      <c r="B46" s="611"/>
      <c r="C46" s="611"/>
      <c r="D46" s="611"/>
      <c r="E46" s="179" t="s">
        <v>159</v>
      </c>
      <c r="F46" s="179" t="s">
        <v>367</v>
      </c>
      <c r="G46" s="179" t="s">
        <v>161</v>
      </c>
      <c r="H46" s="611"/>
      <c r="I46" s="180" t="s">
        <v>159</v>
      </c>
      <c r="J46" s="180" t="s">
        <v>367</v>
      </c>
      <c r="K46" s="180" t="s">
        <v>161</v>
      </c>
      <c r="L46" s="615"/>
      <c r="M46" s="615"/>
      <c r="N46" s="611"/>
      <c r="O46" s="611"/>
      <c r="P46" s="179" t="s">
        <v>159</v>
      </c>
      <c r="Q46" s="179" t="s">
        <v>367</v>
      </c>
      <c r="R46" s="179" t="s">
        <v>161</v>
      </c>
      <c r="S46" s="181" t="s">
        <v>165</v>
      </c>
      <c r="T46" s="611"/>
      <c r="U46" s="179" t="s">
        <v>159</v>
      </c>
      <c r="V46" s="179" t="s">
        <v>367</v>
      </c>
      <c r="W46" s="179" t="s">
        <v>161</v>
      </c>
      <c r="X46" s="181" t="s">
        <v>165</v>
      </c>
      <c r="Y46" s="611"/>
      <c r="Z46" s="179" t="s">
        <v>159</v>
      </c>
      <c r="AA46" s="179" t="s">
        <v>367</v>
      </c>
      <c r="AB46" s="179" t="s">
        <v>161</v>
      </c>
      <c r="AC46" s="181" t="s">
        <v>165</v>
      </c>
      <c r="AD46" s="611"/>
      <c r="AE46" s="179" t="s">
        <v>159</v>
      </c>
      <c r="AF46" s="179" t="s">
        <v>367</v>
      </c>
      <c r="AG46" s="179" t="s">
        <v>161</v>
      </c>
      <c r="AH46" s="181" t="s">
        <v>165</v>
      </c>
      <c r="AI46" s="611"/>
      <c r="AJ46" s="179" t="s">
        <v>159</v>
      </c>
      <c r="AK46" s="179" t="s">
        <v>367</v>
      </c>
      <c r="AL46" s="179" t="s">
        <v>161</v>
      </c>
      <c r="AM46" s="181" t="s">
        <v>165</v>
      </c>
      <c r="AN46" s="611"/>
      <c r="AO46" s="179" t="s">
        <v>159</v>
      </c>
      <c r="AP46" s="179" t="s">
        <v>367</v>
      </c>
      <c r="AQ46" s="179" t="s">
        <v>161</v>
      </c>
      <c r="AR46" s="181" t="s">
        <v>165</v>
      </c>
      <c r="AS46" s="611"/>
      <c r="AT46" s="179" t="s">
        <v>159</v>
      </c>
      <c r="AU46" s="179" t="s">
        <v>367</v>
      </c>
      <c r="AV46" s="179" t="s">
        <v>161</v>
      </c>
      <c r="AW46" s="181" t="s">
        <v>165</v>
      </c>
      <c r="AX46" s="611"/>
    </row>
    <row r="47" spans="2:50" ht="14.25" customHeight="1">
      <c r="B47" s="650" t="s">
        <v>425</v>
      </c>
      <c r="C47" s="179">
        <v>1</v>
      </c>
      <c r="D47" s="182" t="s">
        <v>347</v>
      </c>
      <c r="E47" s="183">
        <v>21</v>
      </c>
      <c r="F47" s="179">
        <v>2790</v>
      </c>
      <c r="G47" s="184">
        <f t="shared" ref="G47:G48" si="10">IFERROR(F47/E47,"")</f>
        <v>132.85714285714286</v>
      </c>
      <c r="H47" s="612">
        <f>AVERAGE(G47:G61)</f>
        <v>132.85714285714286</v>
      </c>
      <c r="I47" s="185">
        <f>AVERAGE(P47,U47,Z47,AE47,AJ47,AO47,AT47)</f>
        <v>21.571428571428573</v>
      </c>
      <c r="J47" s="185">
        <f>AVERAGE(Q47,V47,AA47,AF47,AK47,AP47,AU47)</f>
        <v>2568.1236263736259</v>
      </c>
      <c r="K47" s="186">
        <f>AVERAGE(R47,W47,AB47,AG47,AL47,AQ47,AV47)</f>
        <v>119.01864595032293</v>
      </c>
      <c r="L47" s="613">
        <f>IFERROR(AVERAGE(K47:K61),"-")</f>
        <v>115.96780199614047</v>
      </c>
      <c r="M47" s="185">
        <f>RANK(K47, K$47:$K$61)</f>
        <v>1</v>
      </c>
      <c r="N47" s="611"/>
      <c r="O47" s="611"/>
      <c r="P47" s="187">
        <v>23</v>
      </c>
      <c r="Q47" s="187">
        <v>2786.9038461538466</v>
      </c>
      <c r="R47" s="184">
        <f>IFERROR(Q47/P47,"")</f>
        <v>121.1697324414716</v>
      </c>
      <c r="S47" s="181">
        <f>RANK(R47, R$47:R$61)</f>
        <v>1</v>
      </c>
      <c r="T47" s="612">
        <f>AVERAGE(R47:R61)</f>
        <v>117.0433452417148</v>
      </c>
      <c r="U47" s="187">
        <v>21</v>
      </c>
      <c r="V47" s="187">
        <v>2484.1730769230762</v>
      </c>
      <c r="W47" s="184">
        <f t="shared" ref="W47:W48" si="11">IFERROR(V47/U47,"")</f>
        <v>118.29395604395602</v>
      </c>
      <c r="X47" s="181">
        <f>RANK(W47, W$47:W$61)</f>
        <v>1</v>
      </c>
      <c r="Y47" s="612">
        <f>AVERAGE(W47:W61)</f>
        <v>115.60545704295703</v>
      </c>
      <c r="Z47" s="187">
        <v>21</v>
      </c>
      <c r="AA47" s="187">
        <v>2484.1730769230762</v>
      </c>
      <c r="AB47" s="184">
        <f>IFERROR(AA47/Z47,"")</f>
        <v>118.29395604395602</v>
      </c>
      <c r="AC47" s="181">
        <f>RANK(AB47, AB$47:AB$61)</f>
        <v>1</v>
      </c>
      <c r="AD47" s="612">
        <f>AVERAGE(AB47:AB61)</f>
        <v>115.60545704295701</v>
      </c>
      <c r="AE47" s="187">
        <v>21</v>
      </c>
      <c r="AF47" s="187">
        <v>2484.1730769230762</v>
      </c>
      <c r="AG47" s="184">
        <f>IFERROR(AF47/AE47,"")</f>
        <v>118.29395604395602</v>
      </c>
      <c r="AH47" s="181">
        <f>RANK(AG47, AG$47:AG$61)</f>
        <v>1</v>
      </c>
      <c r="AI47" s="612">
        <f>AVERAGE(AG47:AG61)</f>
        <v>115.60545704295701</v>
      </c>
      <c r="AJ47" s="187">
        <v>21</v>
      </c>
      <c r="AK47" s="187">
        <v>2484.1730769230767</v>
      </c>
      <c r="AL47" s="184">
        <f>IFERROR(AK47/AJ47,"")</f>
        <v>118.29395604395603</v>
      </c>
      <c r="AM47" s="181">
        <f>RANK(AL47, AL$47:AL$61)</f>
        <v>1</v>
      </c>
      <c r="AN47" s="612">
        <f>AVERAGE(AL47:AL61)</f>
        <v>115.60545704295703</v>
      </c>
      <c r="AO47" s="187">
        <v>22</v>
      </c>
      <c r="AP47" s="187">
        <v>2626.6346153846152</v>
      </c>
      <c r="AQ47" s="184">
        <f>IFERROR(AP47/AO47,"")</f>
        <v>119.39248251748251</v>
      </c>
      <c r="AR47" s="181">
        <f>RANK(AQ47, AQ$47:AQ$61)</f>
        <v>1</v>
      </c>
      <c r="AS47" s="612">
        <f>AVERAGE(AQ47:AQ61)</f>
        <v>116.15472027972027</v>
      </c>
      <c r="AT47" s="187">
        <v>22</v>
      </c>
      <c r="AU47" s="187">
        <v>2626.6346153846152</v>
      </c>
      <c r="AV47" s="184">
        <f>IFERROR(AU47/AT47,"")</f>
        <v>119.39248251748251</v>
      </c>
      <c r="AW47" s="181">
        <f>RANK(AV47, AV$47:AV$61)</f>
        <v>1</v>
      </c>
      <c r="AX47" s="612">
        <f>AVERAGE(AV47:AV61)</f>
        <v>116.15472027972027</v>
      </c>
    </row>
    <row r="48" spans="2:50" ht="14.25" customHeight="1">
      <c r="B48" s="611"/>
      <c r="C48" s="179">
        <v>2</v>
      </c>
      <c r="D48" s="182" t="s">
        <v>750</v>
      </c>
      <c r="E48" s="179">
        <v>21</v>
      </c>
      <c r="F48" s="179">
        <v>2790</v>
      </c>
      <c r="G48" s="184">
        <f t="shared" si="10"/>
        <v>132.85714285714286</v>
      </c>
      <c r="H48" s="612"/>
      <c r="I48" s="185">
        <f t="shared" ref="I48:K48" si="12">AVERAGE(P48,U48,Z48,AE48,AJ48,AO48,AT48)</f>
        <v>22</v>
      </c>
      <c r="J48" s="185">
        <f t="shared" si="12"/>
        <v>2484.1730769230758</v>
      </c>
      <c r="K48" s="186">
        <f t="shared" si="12"/>
        <v>112.916958041958</v>
      </c>
      <c r="L48" s="613"/>
      <c r="M48" s="185">
        <f>RANK(K48, K$47:$K$61)</f>
        <v>2</v>
      </c>
      <c r="N48" s="611"/>
      <c r="O48" s="611"/>
      <c r="P48" s="187">
        <v>22</v>
      </c>
      <c r="Q48" s="187">
        <v>2484.1730769230762</v>
      </c>
      <c r="R48" s="184">
        <f t="shared" ref="R48" si="13">IFERROR(Q48/P48,"")</f>
        <v>112.91695804195801</v>
      </c>
      <c r="S48" s="181">
        <f>RANK(R48, R$47:R$61)</f>
        <v>2</v>
      </c>
      <c r="T48" s="612"/>
      <c r="U48" s="187">
        <v>22</v>
      </c>
      <c r="V48" s="187">
        <v>2484.1730769230767</v>
      </c>
      <c r="W48" s="184">
        <f t="shared" si="11"/>
        <v>112.91695804195803</v>
      </c>
      <c r="X48" s="181">
        <f>RANK(W48, W$47:W$61)</f>
        <v>2</v>
      </c>
      <c r="Y48" s="612"/>
      <c r="Z48" s="187">
        <v>22</v>
      </c>
      <c r="AA48" s="187">
        <v>2484.1730769230762</v>
      </c>
      <c r="AB48" s="184">
        <f t="shared" ref="AB48" si="14">IFERROR(AA48/Z48,"")</f>
        <v>112.91695804195801</v>
      </c>
      <c r="AC48" s="181">
        <f>RANK(AB48, AB$47:AB$61)</f>
        <v>2</v>
      </c>
      <c r="AD48" s="612"/>
      <c r="AE48" s="187">
        <v>22</v>
      </c>
      <c r="AF48" s="187">
        <v>2484.1730769230762</v>
      </c>
      <c r="AG48" s="184">
        <f t="shared" ref="AG48" si="15">IFERROR(AF48/AE48,"")</f>
        <v>112.91695804195801</v>
      </c>
      <c r="AH48" s="181">
        <f>RANK(AG48, AG$47:AG$61)</f>
        <v>2</v>
      </c>
      <c r="AI48" s="612"/>
      <c r="AJ48" s="187">
        <v>22</v>
      </c>
      <c r="AK48" s="187">
        <v>2484.1730769230762</v>
      </c>
      <c r="AL48" s="184">
        <f t="shared" ref="AL48" si="16">IFERROR(AK48/AJ48,"")</f>
        <v>112.91695804195801</v>
      </c>
      <c r="AM48" s="181">
        <f>RANK(AL48, AL$47:AL$61)</f>
        <v>2</v>
      </c>
      <c r="AN48" s="612"/>
      <c r="AO48" s="187">
        <v>22</v>
      </c>
      <c r="AP48" s="187">
        <v>2484.1730769230762</v>
      </c>
      <c r="AQ48" s="184">
        <f t="shared" ref="AQ48" si="17">IFERROR(AP48/AO48,"")</f>
        <v>112.91695804195801</v>
      </c>
      <c r="AR48" s="181">
        <f>RANK(AQ48, AQ$47:AQ$61)</f>
        <v>2</v>
      </c>
      <c r="AS48" s="612"/>
      <c r="AT48" s="187">
        <v>22</v>
      </c>
      <c r="AU48" s="187">
        <v>2484.1730769230762</v>
      </c>
      <c r="AV48" s="184">
        <f t="shared" ref="AV48" si="18">IFERROR(AU48/AT48,"")</f>
        <v>112.91695804195801</v>
      </c>
      <c r="AW48" s="181">
        <f>RANK(AV48, AV$47:AV$61)</f>
        <v>2</v>
      </c>
      <c r="AX48" s="612"/>
    </row>
    <row r="49" spans="2:50" ht="14.25" customHeight="1">
      <c r="B49" s="611"/>
      <c r="C49" s="179">
        <v>3</v>
      </c>
      <c r="D49" s="182"/>
      <c r="E49" s="179"/>
      <c r="F49" s="179"/>
      <c r="G49" s="184"/>
      <c r="H49" s="612"/>
      <c r="I49" s="185"/>
      <c r="J49" s="185"/>
      <c r="K49" s="186"/>
      <c r="L49" s="613"/>
      <c r="M49" s="185"/>
      <c r="N49" s="611"/>
      <c r="O49" s="611"/>
      <c r="P49" s="187"/>
      <c r="Q49" s="187"/>
      <c r="R49" s="184"/>
      <c r="S49" s="181"/>
      <c r="T49" s="612"/>
      <c r="U49" s="187"/>
      <c r="V49" s="187"/>
      <c r="W49" s="184"/>
      <c r="X49" s="181"/>
      <c r="Y49" s="612"/>
      <c r="Z49" s="187"/>
      <c r="AA49" s="187"/>
      <c r="AB49" s="184"/>
      <c r="AC49" s="181"/>
      <c r="AD49" s="612"/>
      <c r="AE49" s="187"/>
      <c r="AF49" s="187"/>
      <c r="AG49" s="184"/>
      <c r="AH49" s="181"/>
      <c r="AI49" s="612"/>
      <c r="AJ49" s="187"/>
      <c r="AK49" s="187"/>
      <c r="AL49" s="184"/>
      <c r="AM49" s="181"/>
      <c r="AN49" s="612"/>
      <c r="AO49" s="187"/>
      <c r="AP49" s="187"/>
      <c r="AQ49" s="184"/>
      <c r="AR49" s="181"/>
      <c r="AS49" s="612"/>
      <c r="AT49" s="187"/>
      <c r="AU49" s="187"/>
      <c r="AV49" s="184"/>
      <c r="AW49" s="181"/>
      <c r="AX49" s="612"/>
    </row>
    <row r="50" spans="2:50" ht="14.25" customHeight="1">
      <c r="B50" s="611"/>
      <c r="C50" s="179">
        <v>4</v>
      </c>
      <c r="D50" s="182"/>
      <c r="E50" s="179"/>
      <c r="F50" s="179"/>
      <c r="G50" s="184"/>
      <c r="H50" s="612"/>
      <c r="I50" s="185"/>
      <c r="J50" s="185"/>
      <c r="K50" s="186"/>
      <c r="L50" s="613"/>
      <c r="M50" s="185"/>
      <c r="N50" s="611"/>
      <c r="O50" s="611"/>
      <c r="P50" s="187"/>
      <c r="Q50" s="187"/>
      <c r="R50" s="184"/>
      <c r="S50" s="181"/>
      <c r="T50" s="612"/>
      <c r="U50" s="187"/>
      <c r="V50" s="187"/>
      <c r="W50" s="184"/>
      <c r="X50" s="181"/>
      <c r="Y50" s="612"/>
      <c r="Z50" s="187"/>
      <c r="AA50" s="187"/>
      <c r="AB50" s="184"/>
      <c r="AC50" s="181"/>
      <c r="AD50" s="612"/>
      <c r="AE50" s="187"/>
      <c r="AF50" s="187"/>
      <c r="AG50" s="184"/>
      <c r="AH50" s="181"/>
      <c r="AI50" s="612"/>
      <c r="AJ50" s="187"/>
      <c r="AK50" s="187"/>
      <c r="AL50" s="184"/>
      <c r="AM50" s="181"/>
      <c r="AN50" s="612"/>
      <c r="AO50" s="187"/>
      <c r="AP50" s="187"/>
      <c r="AQ50" s="184"/>
      <c r="AR50" s="181"/>
      <c r="AS50" s="612"/>
      <c r="AT50" s="187"/>
      <c r="AU50" s="187"/>
      <c r="AV50" s="184"/>
      <c r="AW50" s="181"/>
      <c r="AX50" s="612"/>
    </row>
    <row r="51" spans="2:50" ht="14.25" customHeight="1">
      <c r="B51" s="611"/>
      <c r="C51" s="179">
        <v>5</v>
      </c>
      <c r="D51" s="182"/>
      <c r="E51" s="179"/>
      <c r="F51" s="179"/>
      <c r="G51" s="184"/>
      <c r="H51" s="612"/>
      <c r="I51" s="185"/>
      <c r="J51" s="185"/>
      <c r="K51" s="186"/>
      <c r="L51" s="613"/>
      <c r="M51" s="185"/>
      <c r="N51" s="611"/>
      <c r="O51" s="611"/>
      <c r="P51" s="187"/>
      <c r="Q51" s="187"/>
      <c r="R51" s="184"/>
      <c r="S51" s="181"/>
      <c r="T51" s="612"/>
      <c r="U51" s="187"/>
      <c r="V51" s="187"/>
      <c r="W51" s="184"/>
      <c r="X51" s="181"/>
      <c r="Y51" s="612"/>
      <c r="Z51" s="187"/>
      <c r="AA51" s="187"/>
      <c r="AB51" s="184"/>
      <c r="AC51" s="181"/>
      <c r="AD51" s="612"/>
      <c r="AE51" s="187"/>
      <c r="AF51" s="187"/>
      <c r="AG51" s="184"/>
      <c r="AH51" s="181"/>
      <c r="AI51" s="612"/>
      <c r="AJ51" s="187"/>
      <c r="AK51" s="187"/>
      <c r="AL51" s="184"/>
      <c r="AM51" s="181"/>
      <c r="AN51" s="612"/>
      <c r="AO51" s="187"/>
      <c r="AP51" s="187"/>
      <c r="AQ51" s="184"/>
      <c r="AR51" s="181"/>
      <c r="AS51" s="612"/>
      <c r="AT51" s="187"/>
      <c r="AU51" s="187"/>
      <c r="AV51" s="184"/>
      <c r="AW51" s="181"/>
      <c r="AX51" s="612"/>
    </row>
    <row r="52" spans="2:50" ht="14.25" customHeight="1">
      <c r="B52" s="611"/>
      <c r="C52" s="179">
        <v>6</v>
      </c>
      <c r="D52" s="182"/>
      <c r="E52" s="179"/>
      <c r="F52" s="179"/>
      <c r="G52" s="184"/>
      <c r="H52" s="612"/>
      <c r="I52" s="185"/>
      <c r="J52" s="185"/>
      <c r="K52" s="186"/>
      <c r="L52" s="613"/>
      <c r="M52" s="185"/>
      <c r="N52" s="611"/>
      <c r="O52" s="611"/>
      <c r="P52" s="187"/>
      <c r="Q52" s="187"/>
      <c r="R52" s="184"/>
      <c r="S52" s="181"/>
      <c r="T52" s="612"/>
      <c r="U52" s="187"/>
      <c r="V52" s="187"/>
      <c r="W52" s="184"/>
      <c r="X52" s="181"/>
      <c r="Y52" s="612"/>
      <c r="Z52" s="187"/>
      <c r="AA52" s="187"/>
      <c r="AB52" s="184"/>
      <c r="AC52" s="181"/>
      <c r="AD52" s="612"/>
      <c r="AE52" s="187"/>
      <c r="AF52" s="187"/>
      <c r="AG52" s="184"/>
      <c r="AH52" s="181"/>
      <c r="AI52" s="612"/>
      <c r="AJ52" s="187"/>
      <c r="AK52" s="187"/>
      <c r="AL52" s="184"/>
      <c r="AM52" s="181"/>
      <c r="AN52" s="612"/>
      <c r="AO52" s="187"/>
      <c r="AP52" s="187"/>
      <c r="AQ52" s="184"/>
      <c r="AR52" s="181"/>
      <c r="AS52" s="612"/>
      <c r="AT52" s="187"/>
      <c r="AU52" s="187"/>
      <c r="AV52" s="184"/>
      <c r="AW52" s="181"/>
      <c r="AX52" s="612"/>
    </row>
    <row r="53" spans="2:50" ht="14.25" customHeight="1">
      <c r="B53" s="611"/>
      <c r="C53" s="179">
        <v>7</v>
      </c>
      <c r="D53" s="182"/>
      <c r="E53" s="179"/>
      <c r="F53" s="179"/>
      <c r="G53" s="184"/>
      <c r="H53" s="612"/>
      <c r="I53" s="185"/>
      <c r="J53" s="185"/>
      <c r="K53" s="186"/>
      <c r="L53" s="613"/>
      <c r="M53" s="185"/>
      <c r="N53" s="611"/>
      <c r="O53" s="611"/>
      <c r="P53" s="187"/>
      <c r="Q53" s="187"/>
      <c r="R53" s="184"/>
      <c r="S53" s="181"/>
      <c r="T53" s="612"/>
      <c r="U53" s="187"/>
      <c r="V53" s="187"/>
      <c r="W53" s="184"/>
      <c r="X53" s="181"/>
      <c r="Y53" s="612"/>
      <c r="Z53" s="187"/>
      <c r="AA53" s="187"/>
      <c r="AB53" s="184"/>
      <c r="AC53" s="181"/>
      <c r="AD53" s="612"/>
      <c r="AE53" s="187"/>
      <c r="AF53" s="187"/>
      <c r="AG53" s="184"/>
      <c r="AH53" s="181"/>
      <c r="AI53" s="612"/>
      <c r="AJ53" s="187"/>
      <c r="AK53" s="187"/>
      <c r="AL53" s="184"/>
      <c r="AM53" s="181"/>
      <c r="AN53" s="612"/>
      <c r="AO53" s="187"/>
      <c r="AP53" s="187"/>
      <c r="AQ53" s="184"/>
      <c r="AR53" s="181"/>
      <c r="AS53" s="612"/>
      <c r="AT53" s="187"/>
      <c r="AU53" s="187"/>
      <c r="AV53" s="184"/>
      <c r="AW53" s="181"/>
      <c r="AX53" s="612"/>
    </row>
    <row r="54" spans="2:50" ht="14.25" customHeight="1">
      <c r="B54" s="611"/>
      <c r="C54" s="179">
        <v>8</v>
      </c>
      <c r="D54" s="182"/>
      <c r="E54" s="179"/>
      <c r="F54" s="179"/>
      <c r="G54" s="184"/>
      <c r="H54" s="612"/>
      <c r="I54" s="185"/>
      <c r="J54" s="185"/>
      <c r="K54" s="186"/>
      <c r="L54" s="613"/>
      <c r="M54" s="185"/>
      <c r="N54" s="611"/>
      <c r="O54" s="611"/>
      <c r="P54" s="187"/>
      <c r="Q54" s="187"/>
      <c r="R54" s="184"/>
      <c r="S54" s="181"/>
      <c r="T54" s="612"/>
      <c r="U54" s="187"/>
      <c r="V54" s="187"/>
      <c r="W54" s="184"/>
      <c r="X54" s="181"/>
      <c r="Y54" s="612"/>
      <c r="Z54" s="187"/>
      <c r="AA54" s="187"/>
      <c r="AB54" s="184"/>
      <c r="AC54" s="181"/>
      <c r="AD54" s="612"/>
      <c r="AE54" s="187"/>
      <c r="AF54" s="187"/>
      <c r="AG54" s="184"/>
      <c r="AH54" s="181"/>
      <c r="AI54" s="612"/>
      <c r="AJ54" s="187"/>
      <c r="AK54" s="187"/>
      <c r="AL54" s="184"/>
      <c r="AM54" s="181"/>
      <c r="AN54" s="612"/>
      <c r="AO54" s="187"/>
      <c r="AP54" s="187"/>
      <c r="AQ54" s="184"/>
      <c r="AR54" s="181"/>
      <c r="AS54" s="612"/>
      <c r="AT54" s="187"/>
      <c r="AU54" s="187"/>
      <c r="AV54" s="184"/>
      <c r="AW54" s="181"/>
      <c r="AX54" s="612"/>
    </row>
    <row r="55" spans="2:50" ht="14.25" customHeight="1">
      <c r="B55" s="611"/>
      <c r="C55" s="179">
        <v>9</v>
      </c>
      <c r="D55" s="182"/>
      <c r="E55" s="179"/>
      <c r="F55" s="179"/>
      <c r="G55" s="184"/>
      <c r="H55" s="612"/>
      <c r="I55" s="185"/>
      <c r="J55" s="185"/>
      <c r="K55" s="186"/>
      <c r="L55" s="613"/>
      <c r="M55" s="185"/>
      <c r="N55" s="611"/>
      <c r="O55" s="611"/>
      <c r="P55" s="187"/>
      <c r="Q55" s="187"/>
      <c r="R55" s="184"/>
      <c r="S55" s="181"/>
      <c r="T55" s="612"/>
      <c r="U55" s="187"/>
      <c r="V55" s="187"/>
      <c r="W55" s="184"/>
      <c r="X55" s="181"/>
      <c r="Y55" s="612"/>
      <c r="Z55" s="187"/>
      <c r="AA55" s="187"/>
      <c r="AB55" s="184"/>
      <c r="AC55" s="181"/>
      <c r="AD55" s="612"/>
      <c r="AE55" s="187"/>
      <c r="AF55" s="187"/>
      <c r="AG55" s="184"/>
      <c r="AH55" s="181"/>
      <c r="AI55" s="612"/>
      <c r="AJ55" s="187"/>
      <c r="AK55" s="187"/>
      <c r="AL55" s="184"/>
      <c r="AM55" s="181"/>
      <c r="AN55" s="612"/>
      <c r="AO55" s="187"/>
      <c r="AP55" s="187"/>
      <c r="AQ55" s="184"/>
      <c r="AR55" s="181"/>
      <c r="AS55" s="612"/>
      <c r="AT55" s="187"/>
      <c r="AU55" s="187"/>
      <c r="AV55" s="184"/>
      <c r="AW55" s="181"/>
      <c r="AX55" s="612"/>
    </row>
    <row r="56" spans="2:50" ht="14.25" customHeight="1">
      <c r="B56" s="611"/>
      <c r="C56" s="179">
        <v>10</v>
      </c>
      <c r="D56" s="182"/>
      <c r="E56" s="179"/>
      <c r="F56" s="179"/>
      <c r="G56" s="184"/>
      <c r="H56" s="612"/>
      <c r="I56" s="185"/>
      <c r="J56" s="185"/>
      <c r="K56" s="186"/>
      <c r="L56" s="613"/>
      <c r="M56" s="185"/>
      <c r="N56" s="611"/>
      <c r="O56" s="611"/>
      <c r="P56" s="187"/>
      <c r="Q56" s="187"/>
      <c r="R56" s="184"/>
      <c r="S56" s="181"/>
      <c r="T56" s="612"/>
      <c r="U56" s="187"/>
      <c r="V56" s="187"/>
      <c r="W56" s="184"/>
      <c r="X56" s="181"/>
      <c r="Y56" s="612"/>
      <c r="Z56" s="187"/>
      <c r="AA56" s="187"/>
      <c r="AB56" s="184"/>
      <c r="AC56" s="181"/>
      <c r="AD56" s="612"/>
      <c r="AE56" s="187"/>
      <c r="AF56" s="187"/>
      <c r="AG56" s="184"/>
      <c r="AH56" s="181"/>
      <c r="AI56" s="612"/>
      <c r="AJ56" s="187"/>
      <c r="AK56" s="187"/>
      <c r="AL56" s="184"/>
      <c r="AM56" s="181"/>
      <c r="AN56" s="612"/>
      <c r="AO56" s="187"/>
      <c r="AP56" s="187"/>
      <c r="AQ56" s="184"/>
      <c r="AR56" s="181"/>
      <c r="AS56" s="612"/>
      <c r="AT56" s="187"/>
      <c r="AU56" s="187"/>
      <c r="AV56" s="184"/>
      <c r="AW56" s="181"/>
      <c r="AX56" s="612"/>
    </row>
    <row r="57" spans="2:50" ht="14.25" customHeight="1">
      <c r="B57" s="611"/>
      <c r="C57" s="179">
        <v>11</v>
      </c>
      <c r="D57" s="182"/>
      <c r="E57" s="179"/>
      <c r="F57" s="179"/>
      <c r="G57" s="184"/>
      <c r="H57" s="612"/>
      <c r="I57" s="185"/>
      <c r="J57" s="185"/>
      <c r="K57" s="186"/>
      <c r="L57" s="613"/>
      <c r="M57" s="185"/>
      <c r="N57" s="611"/>
      <c r="O57" s="611"/>
      <c r="P57" s="187"/>
      <c r="Q57" s="187"/>
      <c r="R57" s="184"/>
      <c r="S57" s="181"/>
      <c r="T57" s="612"/>
      <c r="U57" s="187"/>
      <c r="V57" s="187"/>
      <c r="W57" s="184"/>
      <c r="X57" s="181"/>
      <c r="Y57" s="612"/>
      <c r="Z57" s="187"/>
      <c r="AA57" s="187"/>
      <c r="AB57" s="184"/>
      <c r="AC57" s="181"/>
      <c r="AD57" s="612"/>
      <c r="AE57" s="187"/>
      <c r="AF57" s="187"/>
      <c r="AG57" s="184"/>
      <c r="AH57" s="181"/>
      <c r="AI57" s="612"/>
      <c r="AJ57" s="187"/>
      <c r="AK57" s="187"/>
      <c r="AL57" s="184"/>
      <c r="AM57" s="181"/>
      <c r="AN57" s="612"/>
      <c r="AO57" s="187"/>
      <c r="AP57" s="187"/>
      <c r="AQ57" s="184"/>
      <c r="AR57" s="181"/>
      <c r="AS57" s="612"/>
      <c r="AT57" s="187"/>
      <c r="AU57" s="187"/>
      <c r="AV57" s="184"/>
      <c r="AW57" s="181"/>
      <c r="AX57" s="612"/>
    </row>
    <row r="58" spans="2:50" ht="14.25" customHeight="1">
      <c r="B58" s="611"/>
      <c r="C58" s="179">
        <v>12</v>
      </c>
      <c r="D58" s="182"/>
      <c r="E58" s="179"/>
      <c r="F58" s="179"/>
      <c r="G58" s="184"/>
      <c r="H58" s="612"/>
      <c r="I58" s="185"/>
      <c r="J58" s="185"/>
      <c r="K58" s="186"/>
      <c r="L58" s="613"/>
      <c r="M58" s="185"/>
      <c r="N58" s="611"/>
      <c r="O58" s="611"/>
      <c r="P58" s="187"/>
      <c r="Q58" s="187"/>
      <c r="R58" s="184"/>
      <c r="S58" s="181"/>
      <c r="T58" s="612"/>
      <c r="U58" s="187"/>
      <c r="V58" s="187"/>
      <c r="W58" s="184"/>
      <c r="X58" s="181"/>
      <c r="Y58" s="612"/>
      <c r="Z58" s="187"/>
      <c r="AA58" s="187"/>
      <c r="AB58" s="184"/>
      <c r="AC58" s="181"/>
      <c r="AD58" s="612"/>
      <c r="AE58" s="187"/>
      <c r="AF58" s="187"/>
      <c r="AG58" s="184"/>
      <c r="AH58" s="181"/>
      <c r="AI58" s="612"/>
      <c r="AJ58" s="187"/>
      <c r="AK58" s="187"/>
      <c r="AL58" s="184"/>
      <c r="AM58" s="181"/>
      <c r="AN58" s="612"/>
      <c r="AO58" s="187"/>
      <c r="AP58" s="187"/>
      <c r="AQ58" s="184"/>
      <c r="AR58" s="181"/>
      <c r="AS58" s="612"/>
      <c r="AT58" s="187"/>
      <c r="AU58" s="187"/>
      <c r="AV58" s="184"/>
      <c r="AW58" s="181"/>
      <c r="AX58" s="612"/>
    </row>
    <row r="59" spans="2:50" ht="14.25" customHeight="1">
      <c r="B59" s="611"/>
      <c r="C59" s="179">
        <v>13</v>
      </c>
      <c r="D59" s="182"/>
      <c r="E59" s="179"/>
      <c r="F59" s="179"/>
      <c r="G59" s="184"/>
      <c r="H59" s="612"/>
      <c r="I59" s="185"/>
      <c r="J59" s="185"/>
      <c r="K59" s="186"/>
      <c r="L59" s="613"/>
      <c r="M59" s="185"/>
      <c r="N59" s="611"/>
      <c r="O59" s="611"/>
      <c r="P59" s="187"/>
      <c r="Q59" s="187"/>
      <c r="R59" s="184"/>
      <c r="S59" s="181"/>
      <c r="T59" s="612"/>
      <c r="U59" s="187"/>
      <c r="V59" s="187"/>
      <c r="W59" s="184"/>
      <c r="X59" s="181"/>
      <c r="Y59" s="612"/>
      <c r="Z59" s="187"/>
      <c r="AA59" s="187"/>
      <c r="AB59" s="184"/>
      <c r="AC59" s="181"/>
      <c r="AD59" s="612"/>
      <c r="AE59" s="187"/>
      <c r="AF59" s="187"/>
      <c r="AG59" s="184"/>
      <c r="AH59" s="181"/>
      <c r="AI59" s="612"/>
      <c r="AJ59" s="187"/>
      <c r="AK59" s="187"/>
      <c r="AL59" s="184"/>
      <c r="AM59" s="181"/>
      <c r="AN59" s="612"/>
      <c r="AO59" s="187"/>
      <c r="AP59" s="187"/>
      <c r="AQ59" s="184"/>
      <c r="AR59" s="181"/>
      <c r="AS59" s="612"/>
      <c r="AT59" s="187"/>
      <c r="AU59" s="187"/>
      <c r="AV59" s="184"/>
      <c r="AW59" s="181"/>
      <c r="AX59" s="612"/>
    </row>
    <row r="60" spans="2:50" ht="14.25" customHeight="1">
      <c r="B60" s="611"/>
      <c r="C60" s="179">
        <v>14</v>
      </c>
      <c r="D60" s="182"/>
      <c r="E60" s="179"/>
      <c r="F60" s="179"/>
      <c r="G60" s="184"/>
      <c r="H60" s="612"/>
      <c r="I60" s="185"/>
      <c r="J60" s="185"/>
      <c r="K60" s="186"/>
      <c r="L60" s="613"/>
      <c r="M60" s="185"/>
      <c r="N60" s="611"/>
      <c r="O60" s="611"/>
      <c r="P60" s="187"/>
      <c r="Q60" s="187"/>
      <c r="R60" s="184"/>
      <c r="S60" s="181"/>
      <c r="T60" s="612"/>
      <c r="U60" s="187"/>
      <c r="V60" s="187"/>
      <c r="W60" s="184"/>
      <c r="X60" s="181"/>
      <c r="Y60" s="612"/>
      <c r="Z60" s="187"/>
      <c r="AA60" s="187"/>
      <c r="AB60" s="184"/>
      <c r="AC60" s="181"/>
      <c r="AD60" s="612"/>
      <c r="AE60" s="187"/>
      <c r="AF60" s="187"/>
      <c r="AG60" s="184"/>
      <c r="AH60" s="181"/>
      <c r="AI60" s="612"/>
      <c r="AJ60" s="187"/>
      <c r="AK60" s="187"/>
      <c r="AL60" s="184"/>
      <c r="AM60" s="181"/>
      <c r="AN60" s="612"/>
      <c r="AO60" s="187"/>
      <c r="AP60" s="187"/>
      <c r="AQ60" s="184"/>
      <c r="AR60" s="181"/>
      <c r="AS60" s="612"/>
      <c r="AT60" s="187"/>
      <c r="AU60" s="187"/>
      <c r="AV60" s="184"/>
      <c r="AW60" s="181"/>
      <c r="AX60" s="612"/>
    </row>
    <row r="61" spans="2:50" ht="14.25" customHeight="1">
      <c r="B61" s="611"/>
      <c r="C61" s="179">
        <v>15</v>
      </c>
      <c r="D61" s="182"/>
      <c r="E61" s="179"/>
      <c r="F61" s="179"/>
      <c r="G61" s="184"/>
      <c r="H61" s="612"/>
      <c r="I61" s="185"/>
      <c r="J61" s="185"/>
      <c r="K61" s="186"/>
      <c r="L61" s="613"/>
      <c r="M61" s="185"/>
      <c r="N61" s="611"/>
      <c r="O61" s="611"/>
      <c r="P61" s="187"/>
      <c r="Q61" s="187"/>
      <c r="R61" s="184"/>
      <c r="S61" s="181"/>
      <c r="T61" s="612"/>
      <c r="U61" s="187"/>
      <c r="V61" s="187"/>
      <c r="W61" s="184"/>
      <c r="X61" s="181"/>
      <c r="Y61" s="612"/>
      <c r="Z61" s="187"/>
      <c r="AA61" s="187"/>
      <c r="AB61" s="184"/>
      <c r="AC61" s="181"/>
      <c r="AD61" s="612"/>
      <c r="AE61" s="187"/>
      <c r="AF61" s="187"/>
      <c r="AG61" s="184"/>
      <c r="AH61" s="181"/>
      <c r="AI61" s="612"/>
      <c r="AJ61" s="187"/>
      <c r="AK61" s="187"/>
      <c r="AL61" s="184"/>
      <c r="AM61" s="181"/>
      <c r="AN61" s="612"/>
      <c r="AO61" s="187"/>
      <c r="AP61" s="187"/>
      <c r="AQ61" s="184"/>
      <c r="AR61" s="181"/>
      <c r="AS61" s="612"/>
      <c r="AT61" s="187"/>
      <c r="AU61" s="187"/>
      <c r="AV61" s="184"/>
      <c r="AW61" s="181"/>
      <c r="AX61" s="612"/>
    </row>
    <row r="62" spans="2:50" ht="14.25" customHeight="1">
      <c r="B62" s="640" t="s">
        <v>848</v>
      </c>
      <c r="C62" s="641"/>
      <c r="D62" s="641"/>
      <c r="E62" s="641"/>
      <c r="F62" s="641"/>
      <c r="G62" s="641"/>
      <c r="H62" s="641"/>
      <c r="I62" s="641"/>
      <c r="J62" s="641"/>
      <c r="K62" s="641"/>
      <c r="L62" s="641"/>
      <c r="M62" s="642"/>
      <c r="N62" s="645" t="s">
        <v>363</v>
      </c>
      <c r="O62" s="645" t="s">
        <v>105</v>
      </c>
      <c r="P62" s="632">
        <v>46224</v>
      </c>
      <c r="Q62" s="633"/>
      <c r="R62" s="633"/>
      <c r="S62" s="633"/>
      <c r="T62" s="633"/>
      <c r="U62" s="634">
        <v>46225</v>
      </c>
      <c r="V62" s="635"/>
      <c r="W62" s="635"/>
      <c r="X62" s="635"/>
      <c r="Y62" s="635"/>
      <c r="Z62" s="632">
        <v>46226</v>
      </c>
      <c r="AA62" s="633"/>
      <c r="AB62" s="633"/>
      <c r="AC62" s="633"/>
      <c r="AD62" s="633"/>
      <c r="AE62" s="634">
        <v>46227</v>
      </c>
      <c r="AF62" s="635"/>
      <c r="AG62" s="635"/>
      <c r="AH62" s="635"/>
      <c r="AI62" s="635"/>
      <c r="AJ62" s="616">
        <v>46228</v>
      </c>
      <c r="AK62" s="617"/>
      <c r="AL62" s="617"/>
      <c r="AM62" s="617"/>
      <c r="AN62" s="618"/>
      <c r="AO62" s="634">
        <v>46229</v>
      </c>
      <c r="AP62" s="635"/>
      <c r="AQ62" s="635"/>
      <c r="AR62" s="635"/>
      <c r="AS62" s="635"/>
      <c r="AT62" s="616">
        <v>46230</v>
      </c>
      <c r="AU62" s="617"/>
      <c r="AV62" s="617"/>
      <c r="AW62" s="617"/>
      <c r="AX62" s="618"/>
    </row>
    <row r="63" spans="2:50" ht="14.25" customHeight="1">
      <c r="B63" s="643"/>
      <c r="C63" s="643"/>
      <c r="D63" s="643"/>
      <c r="E63" s="643"/>
      <c r="F63" s="643"/>
      <c r="G63" s="643"/>
      <c r="H63" s="643"/>
      <c r="I63" s="643"/>
      <c r="J63" s="643"/>
      <c r="K63" s="643"/>
      <c r="L63" s="643"/>
      <c r="M63" s="644"/>
      <c r="N63" s="646"/>
      <c r="O63" s="646"/>
      <c r="P63" s="619">
        <v>46196</v>
      </c>
      <c r="Q63" s="619"/>
      <c r="R63" s="619"/>
      <c r="S63" s="619"/>
      <c r="T63" s="619"/>
      <c r="U63" s="620">
        <v>46197</v>
      </c>
      <c r="V63" s="620"/>
      <c r="W63" s="620"/>
      <c r="X63" s="620"/>
      <c r="Y63" s="620"/>
      <c r="Z63" s="619">
        <v>46198</v>
      </c>
      <c r="AA63" s="619"/>
      <c r="AB63" s="619"/>
      <c r="AC63" s="619"/>
      <c r="AD63" s="619"/>
      <c r="AE63" s="620">
        <v>46199</v>
      </c>
      <c r="AF63" s="620"/>
      <c r="AG63" s="620"/>
      <c r="AH63" s="620"/>
      <c r="AI63" s="620"/>
      <c r="AJ63" s="621">
        <v>46200</v>
      </c>
      <c r="AK63" s="622"/>
      <c r="AL63" s="622"/>
      <c r="AM63" s="622"/>
      <c r="AN63" s="623"/>
      <c r="AO63" s="620">
        <v>46201</v>
      </c>
      <c r="AP63" s="620"/>
      <c r="AQ63" s="620"/>
      <c r="AR63" s="620"/>
      <c r="AS63" s="620"/>
      <c r="AT63" s="621">
        <v>46202</v>
      </c>
      <c r="AU63" s="622"/>
      <c r="AV63" s="622"/>
      <c r="AW63" s="622"/>
      <c r="AX63" s="623"/>
    </row>
    <row r="64" spans="2:50" ht="14.25" customHeight="1">
      <c r="B64" s="611" t="s">
        <v>162</v>
      </c>
      <c r="C64" s="611" t="s">
        <v>157</v>
      </c>
      <c r="D64" s="611"/>
      <c r="E64" s="611" t="s">
        <v>158</v>
      </c>
      <c r="F64" s="611"/>
      <c r="G64" s="611"/>
      <c r="H64" s="611" t="s">
        <v>163</v>
      </c>
      <c r="I64" s="615" t="s">
        <v>364</v>
      </c>
      <c r="J64" s="615"/>
      <c r="K64" s="615"/>
      <c r="L64" s="615" t="s">
        <v>163</v>
      </c>
      <c r="M64" s="615" t="s">
        <v>165</v>
      </c>
      <c r="N64" s="611"/>
      <c r="O64" s="611" t="s">
        <v>164</v>
      </c>
      <c r="P64" s="611" t="s">
        <v>160</v>
      </c>
      <c r="Q64" s="611"/>
      <c r="R64" s="611"/>
      <c r="S64" s="611"/>
      <c r="T64" s="611" t="s">
        <v>163</v>
      </c>
      <c r="U64" s="611" t="s">
        <v>160</v>
      </c>
      <c r="V64" s="611"/>
      <c r="W64" s="611"/>
      <c r="X64" s="611"/>
      <c r="Y64" s="611" t="s">
        <v>163</v>
      </c>
      <c r="Z64" s="611" t="s">
        <v>160</v>
      </c>
      <c r="AA64" s="611"/>
      <c r="AB64" s="611"/>
      <c r="AC64" s="611"/>
      <c r="AD64" s="611" t="s">
        <v>163</v>
      </c>
      <c r="AE64" s="611" t="s">
        <v>160</v>
      </c>
      <c r="AF64" s="611"/>
      <c r="AG64" s="611"/>
      <c r="AH64" s="611"/>
      <c r="AI64" s="611" t="s">
        <v>163</v>
      </c>
      <c r="AJ64" s="611" t="s">
        <v>160</v>
      </c>
      <c r="AK64" s="611"/>
      <c r="AL64" s="611"/>
      <c r="AM64" s="611"/>
      <c r="AN64" s="611" t="s">
        <v>163</v>
      </c>
      <c r="AO64" s="611" t="s">
        <v>160</v>
      </c>
      <c r="AP64" s="611"/>
      <c r="AQ64" s="611"/>
      <c r="AR64" s="611"/>
      <c r="AS64" s="611" t="s">
        <v>163</v>
      </c>
      <c r="AT64" s="611" t="s">
        <v>160</v>
      </c>
      <c r="AU64" s="611"/>
      <c r="AV64" s="611"/>
      <c r="AW64" s="611"/>
      <c r="AX64" s="611" t="s">
        <v>163</v>
      </c>
    </row>
    <row r="65" spans="2:50" ht="14.25" customHeight="1">
      <c r="B65" s="611"/>
      <c r="C65" s="611"/>
      <c r="D65" s="611"/>
      <c r="E65" s="611" t="s">
        <v>365</v>
      </c>
      <c r="F65" s="611"/>
      <c r="G65" s="611"/>
      <c r="H65" s="611"/>
      <c r="I65" s="615" t="s">
        <v>365</v>
      </c>
      <c r="J65" s="615"/>
      <c r="K65" s="615"/>
      <c r="L65" s="615"/>
      <c r="M65" s="615"/>
      <c r="N65" s="611"/>
      <c r="O65" s="611"/>
      <c r="P65" s="611" t="s">
        <v>366</v>
      </c>
      <c r="Q65" s="611"/>
      <c r="R65" s="611"/>
      <c r="S65" s="611"/>
      <c r="T65" s="611"/>
      <c r="U65" s="611" t="s">
        <v>366</v>
      </c>
      <c r="V65" s="611"/>
      <c r="W65" s="611"/>
      <c r="X65" s="611"/>
      <c r="Y65" s="611"/>
      <c r="Z65" s="611" t="s">
        <v>366</v>
      </c>
      <c r="AA65" s="611"/>
      <c r="AB65" s="611"/>
      <c r="AC65" s="611"/>
      <c r="AD65" s="611"/>
      <c r="AE65" s="611" t="s">
        <v>366</v>
      </c>
      <c r="AF65" s="611"/>
      <c r="AG65" s="611"/>
      <c r="AH65" s="611"/>
      <c r="AI65" s="611"/>
      <c r="AJ65" s="611" t="s">
        <v>366</v>
      </c>
      <c r="AK65" s="611"/>
      <c r="AL65" s="611"/>
      <c r="AM65" s="611"/>
      <c r="AN65" s="611"/>
      <c r="AO65" s="611" t="s">
        <v>366</v>
      </c>
      <c r="AP65" s="611"/>
      <c r="AQ65" s="611"/>
      <c r="AR65" s="611"/>
      <c r="AS65" s="611"/>
      <c r="AT65" s="611" t="s">
        <v>366</v>
      </c>
      <c r="AU65" s="611"/>
      <c r="AV65" s="611"/>
      <c r="AW65" s="611"/>
      <c r="AX65" s="611"/>
    </row>
    <row r="66" spans="2:50" ht="14.25" customHeight="1">
      <c r="B66" s="611"/>
      <c r="C66" s="611"/>
      <c r="D66" s="611"/>
      <c r="E66" s="179" t="s">
        <v>159</v>
      </c>
      <c r="F66" s="179" t="s">
        <v>367</v>
      </c>
      <c r="G66" s="179" t="s">
        <v>161</v>
      </c>
      <c r="H66" s="611"/>
      <c r="I66" s="180" t="s">
        <v>159</v>
      </c>
      <c r="J66" s="180" t="s">
        <v>367</v>
      </c>
      <c r="K66" s="180" t="s">
        <v>161</v>
      </c>
      <c r="L66" s="615"/>
      <c r="M66" s="615"/>
      <c r="N66" s="611"/>
      <c r="O66" s="611"/>
      <c r="P66" s="179" t="s">
        <v>159</v>
      </c>
      <c r="Q66" s="179" t="s">
        <v>367</v>
      </c>
      <c r="R66" s="179" t="s">
        <v>161</v>
      </c>
      <c r="S66" s="181" t="s">
        <v>165</v>
      </c>
      <c r="T66" s="611"/>
      <c r="U66" s="179" t="s">
        <v>159</v>
      </c>
      <c r="V66" s="179" t="s">
        <v>367</v>
      </c>
      <c r="W66" s="179" t="s">
        <v>161</v>
      </c>
      <c r="X66" s="181" t="s">
        <v>165</v>
      </c>
      <c r="Y66" s="611"/>
      <c r="Z66" s="179" t="s">
        <v>159</v>
      </c>
      <c r="AA66" s="179" t="s">
        <v>367</v>
      </c>
      <c r="AB66" s="179" t="s">
        <v>161</v>
      </c>
      <c r="AC66" s="181" t="s">
        <v>165</v>
      </c>
      <c r="AD66" s="611"/>
      <c r="AE66" s="179" t="s">
        <v>159</v>
      </c>
      <c r="AF66" s="179" t="s">
        <v>367</v>
      </c>
      <c r="AG66" s="179" t="s">
        <v>161</v>
      </c>
      <c r="AH66" s="181" t="s">
        <v>165</v>
      </c>
      <c r="AI66" s="611"/>
      <c r="AJ66" s="179" t="s">
        <v>159</v>
      </c>
      <c r="AK66" s="179" t="s">
        <v>367</v>
      </c>
      <c r="AL66" s="179" t="s">
        <v>161</v>
      </c>
      <c r="AM66" s="181" t="s">
        <v>165</v>
      </c>
      <c r="AN66" s="611"/>
      <c r="AO66" s="179" t="s">
        <v>159</v>
      </c>
      <c r="AP66" s="179" t="s">
        <v>367</v>
      </c>
      <c r="AQ66" s="179" t="s">
        <v>161</v>
      </c>
      <c r="AR66" s="181" t="s">
        <v>165</v>
      </c>
      <c r="AS66" s="611"/>
      <c r="AT66" s="179" t="s">
        <v>159</v>
      </c>
      <c r="AU66" s="179" t="s">
        <v>367</v>
      </c>
      <c r="AV66" s="179" t="s">
        <v>161</v>
      </c>
      <c r="AW66" s="181" t="s">
        <v>165</v>
      </c>
      <c r="AX66" s="611"/>
    </row>
    <row r="67" spans="2:50" ht="14.25" customHeight="1">
      <c r="B67" s="650" t="s">
        <v>425</v>
      </c>
      <c r="C67" s="179">
        <v>1</v>
      </c>
      <c r="D67" s="182" t="s">
        <v>347</v>
      </c>
      <c r="E67" s="183">
        <v>21</v>
      </c>
      <c r="F67" s="179">
        <v>2790</v>
      </c>
      <c r="G67" s="184">
        <f t="shared" ref="G67:G68" si="19">IFERROR(F67/E67,"")</f>
        <v>132.85714285714286</v>
      </c>
      <c r="H67" s="612">
        <f>AVERAGE(G67:G81)</f>
        <v>132.85714285714286</v>
      </c>
      <c r="I67" s="185">
        <f>AVERAGE(P67,U67,Z67,AE67,AJ67,AO67,AT67)</f>
        <v>22.285714285714285</v>
      </c>
      <c r="J67" s="185">
        <f>AVERAGE(Q67,V67,AA67,AF67,AK67,AP67,AU67)</f>
        <v>2657.1620879120878</v>
      </c>
      <c r="K67" s="186">
        <f>AVERAGE(R67,W67,AB67,AG67,AL67,AQ67,AV67)</f>
        <v>119.21918897872312</v>
      </c>
      <c r="L67" s="613">
        <f>IFERROR(AVERAGE(K67:K81),"-")</f>
        <v>117.10996718313936</v>
      </c>
      <c r="M67" s="185">
        <f>RANK(K67, K$67:$K$81)</f>
        <v>1</v>
      </c>
      <c r="N67" s="611"/>
      <c r="O67" s="611"/>
      <c r="P67" s="187">
        <v>22</v>
      </c>
      <c r="Q67" s="187">
        <v>2626.6346153846152</v>
      </c>
      <c r="R67" s="184">
        <f>IFERROR(Q67/P67,"")</f>
        <v>119.39248251748251</v>
      </c>
      <c r="S67" s="181">
        <f>RANK(R67, R$67:R$81)</f>
        <v>1</v>
      </c>
      <c r="T67" s="612">
        <f>AVERAGE(R67:R81)</f>
        <v>116.79699376710246</v>
      </c>
      <c r="U67" s="187">
        <v>21</v>
      </c>
      <c r="V67" s="187">
        <v>2484.1730769230767</v>
      </c>
      <c r="W67" s="184">
        <f t="shared" ref="W67:W68" si="20">IFERROR(V67/U67,"")</f>
        <v>118.29395604395603</v>
      </c>
      <c r="X67" s="181">
        <f>RANK(W67, W$67:W$81)</f>
        <v>1</v>
      </c>
      <c r="Y67" s="612">
        <f>AVERAGE(W67:W81)</f>
        <v>116.24773053033923</v>
      </c>
      <c r="Z67" s="187">
        <v>21</v>
      </c>
      <c r="AA67" s="187">
        <v>2484.1730769230767</v>
      </c>
      <c r="AB67" s="184">
        <f>IFERROR(AA67/Z67,"")</f>
        <v>118.29395604395603</v>
      </c>
      <c r="AC67" s="181">
        <f>RANK(AB67, AB$67:AB$81)</f>
        <v>1</v>
      </c>
      <c r="AD67" s="612">
        <f>AVERAGE(AB67:AB81)</f>
        <v>116.24773053033923</v>
      </c>
      <c r="AE67" s="187">
        <v>25</v>
      </c>
      <c r="AF67" s="187">
        <v>2964.9807692307695</v>
      </c>
      <c r="AG67" s="184">
        <f>IFERROR(AF67/AE67,"")</f>
        <v>118.59923076923079</v>
      </c>
      <c r="AH67" s="181">
        <f>RANK(AG67, AG$67:AG$81)</f>
        <v>1</v>
      </c>
      <c r="AI67" s="612">
        <f>AVERAGE(AG67:AG81)</f>
        <v>116.31847633136096</v>
      </c>
      <c r="AJ67" s="187">
        <v>23</v>
      </c>
      <c r="AK67" s="187">
        <v>2786.9038461538466</v>
      </c>
      <c r="AL67" s="184">
        <f>IFERROR(AK67/AJ67,"")</f>
        <v>121.1697324414716</v>
      </c>
      <c r="AM67" s="181">
        <f>RANK(AL67, AL$67:AL$81)</f>
        <v>1</v>
      </c>
      <c r="AN67" s="612">
        <f>AVERAGE(AL67:AL81)</f>
        <v>118.6453630156076</v>
      </c>
      <c r="AO67" s="187">
        <v>22</v>
      </c>
      <c r="AP67" s="187">
        <v>2626.6346153846152</v>
      </c>
      <c r="AQ67" s="184">
        <f>IFERROR(AP67/AO67,"")</f>
        <v>119.39248251748251</v>
      </c>
      <c r="AR67" s="181">
        <f>RANK(AQ67, AQ$67:AQ$81)</f>
        <v>1</v>
      </c>
      <c r="AS67" s="612">
        <f>AVERAGE(AQ67:AQ81)</f>
        <v>117.75673805361305</v>
      </c>
      <c r="AT67" s="187">
        <v>22</v>
      </c>
      <c r="AU67" s="187">
        <v>2626.6346153846152</v>
      </c>
      <c r="AV67" s="184">
        <f>IFERROR(AU67/AT67,"")</f>
        <v>119.39248251748251</v>
      </c>
      <c r="AW67" s="181">
        <f>RANK(AV67, AV$67:AV$81)</f>
        <v>1</v>
      </c>
      <c r="AX67" s="612">
        <f>AVERAGE(AV67:AV81)</f>
        <v>117.75673805361305</v>
      </c>
    </row>
    <row r="68" spans="2:50" ht="14.25" customHeight="1">
      <c r="B68" s="611"/>
      <c r="C68" s="179">
        <v>2</v>
      </c>
      <c r="D68" s="182" t="s">
        <v>750</v>
      </c>
      <c r="E68" s="179">
        <v>21</v>
      </c>
      <c r="F68" s="179">
        <v>2790</v>
      </c>
      <c r="G68" s="184">
        <f t="shared" si="19"/>
        <v>132.85714285714286</v>
      </c>
      <c r="H68" s="612"/>
      <c r="I68" s="185">
        <f t="shared" ref="I68:K68" si="21">AVERAGE(P68,U68,Z68,AE68,AJ68,AO68,AT68)</f>
        <v>23.857142857142858</v>
      </c>
      <c r="J68" s="185">
        <f t="shared" si="21"/>
        <v>2743.6565934065939</v>
      </c>
      <c r="K68" s="186">
        <f t="shared" si="21"/>
        <v>115.0007453875556</v>
      </c>
      <c r="L68" s="613"/>
      <c r="M68" s="185">
        <f>RANK(K68, K$67:$K$81)</f>
        <v>2</v>
      </c>
      <c r="N68" s="611"/>
      <c r="O68" s="611"/>
      <c r="P68" s="187">
        <v>23</v>
      </c>
      <c r="Q68" s="187">
        <v>2626.6346153846152</v>
      </c>
      <c r="R68" s="184">
        <f t="shared" ref="R68" si="22">IFERROR(Q68/P68,"")</f>
        <v>114.20150501672241</v>
      </c>
      <c r="S68" s="181">
        <f>RANK(R68, R$67:R$81)</f>
        <v>2</v>
      </c>
      <c r="T68" s="612"/>
      <c r="U68" s="187">
        <v>23</v>
      </c>
      <c r="V68" s="187">
        <v>2626.6346153846152</v>
      </c>
      <c r="W68" s="184">
        <f t="shared" si="20"/>
        <v>114.20150501672241</v>
      </c>
      <c r="X68" s="181">
        <f>RANK(W68, W$67:W$81)</f>
        <v>2</v>
      </c>
      <c r="Y68" s="612"/>
      <c r="Z68" s="187">
        <v>23</v>
      </c>
      <c r="AA68" s="187">
        <v>2626.6346153846152</v>
      </c>
      <c r="AB68" s="184">
        <f t="shared" ref="AB68" si="23">IFERROR(AA68/Z68,"")</f>
        <v>114.20150501672241</v>
      </c>
      <c r="AC68" s="181">
        <f>RANK(AB68, AB$67:AB$81)</f>
        <v>2</v>
      </c>
      <c r="AD68" s="612"/>
      <c r="AE68" s="187">
        <v>26</v>
      </c>
      <c r="AF68" s="187">
        <v>2964.9807692307691</v>
      </c>
      <c r="AG68" s="184">
        <f t="shared" ref="AG68" si="24">IFERROR(AF68/AE68,"")</f>
        <v>114.03772189349112</v>
      </c>
      <c r="AH68" s="181">
        <f>RANK(AG68, AG$67:AG$81)</f>
        <v>2</v>
      </c>
      <c r="AI68" s="612"/>
      <c r="AJ68" s="187">
        <v>24</v>
      </c>
      <c r="AK68" s="187">
        <v>2786.9038461538466</v>
      </c>
      <c r="AL68" s="184">
        <f t="shared" ref="AL68" si="25">IFERROR(AK68/AJ68,"")</f>
        <v>116.12099358974361</v>
      </c>
      <c r="AM68" s="181">
        <f>RANK(AL68, AL$67:AL$81)</f>
        <v>2</v>
      </c>
      <c r="AN68" s="612"/>
      <c r="AO68" s="187">
        <v>24</v>
      </c>
      <c r="AP68" s="187">
        <v>2786.9038461538462</v>
      </c>
      <c r="AQ68" s="184">
        <f t="shared" ref="AQ68" si="26">IFERROR(AP68/AO68,"")</f>
        <v>116.12099358974359</v>
      </c>
      <c r="AR68" s="181">
        <f>RANK(AQ68, AQ$67:AQ$81)</f>
        <v>2</v>
      </c>
      <c r="AS68" s="612"/>
      <c r="AT68" s="187">
        <v>24</v>
      </c>
      <c r="AU68" s="187">
        <v>2786.9038461538466</v>
      </c>
      <c r="AV68" s="184">
        <f t="shared" ref="AV68" si="27">IFERROR(AU68/AT68,"")</f>
        <v>116.12099358974361</v>
      </c>
      <c r="AW68" s="181">
        <f>RANK(AV68, AV$67:AV$81)</f>
        <v>2</v>
      </c>
      <c r="AX68" s="612"/>
    </row>
    <row r="69" spans="2:50" ht="14.25" customHeight="1">
      <c r="B69" s="611"/>
      <c r="C69" s="179">
        <v>3</v>
      </c>
      <c r="D69" s="182"/>
      <c r="E69" s="179"/>
      <c r="F69" s="179"/>
      <c r="G69" s="184"/>
      <c r="H69" s="612"/>
      <c r="I69" s="185"/>
      <c r="J69" s="185"/>
      <c r="K69" s="186"/>
      <c r="L69" s="613"/>
      <c r="M69" s="185"/>
      <c r="N69" s="611"/>
      <c r="O69" s="611"/>
      <c r="P69" s="187"/>
      <c r="Q69" s="187"/>
      <c r="R69" s="184"/>
      <c r="S69" s="181"/>
      <c r="T69" s="612"/>
      <c r="U69" s="187"/>
      <c r="V69" s="187"/>
      <c r="W69" s="184"/>
      <c r="X69" s="181"/>
      <c r="Y69" s="612"/>
      <c r="Z69" s="187"/>
      <c r="AA69" s="187"/>
      <c r="AB69" s="184"/>
      <c r="AC69" s="181"/>
      <c r="AD69" s="612"/>
      <c r="AE69" s="187"/>
      <c r="AF69" s="187"/>
      <c r="AG69" s="184"/>
      <c r="AH69" s="181"/>
      <c r="AI69" s="612"/>
      <c r="AJ69" s="187"/>
      <c r="AK69" s="187"/>
      <c r="AL69" s="184"/>
      <c r="AM69" s="181"/>
      <c r="AN69" s="612"/>
      <c r="AO69" s="187"/>
      <c r="AP69" s="187"/>
      <c r="AQ69" s="184"/>
      <c r="AR69" s="181"/>
      <c r="AS69" s="612"/>
      <c r="AT69" s="187"/>
      <c r="AU69" s="187"/>
      <c r="AV69" s="184"/>
      <c r="AW69" s="181"/>
      <c r="AX69" s="612"/>
    </row>
    <row r="70" spans="2:50" ht="14.25" customHeight="1">
      <c r="B70" s="611"/>
      <c r="C70" s="179">
        <v>4</v>
      </c>
      <c r="D70" s="182"/>
      <c r="E70" s="179"/>
      <c r="F70" s="179"/>
      <c r="G70" s="184"/>
      <c r="H70" s="612"/>
      <c r="I70" s="185"/>
      <c r="J70" s="185"/>
      <c r="K70" s="186"/>
      <c r="L70" s="613"/>
      <c r="M70" s="185"/>
      <c r="N70" s="611"/>
      <c r="O70" s="611"/>
      <c r="P70" s="187"/>
      <c r="Q70" s="187"/>
      <c r="R70" s="184"/>
      <c r="S70" s="181"/>
      <c r="T70" s="612"/>
      <c r="U70" s="187"/>
      <c r="V70" s="187"/>
      <c r="W70" s="184"/>
      <c r="X70" s="181"/>
      <c r="Y70" s="612"/>
      <c r="Z70" s="187"/>
      <c r="AA70" s="187"/>
      <c r="AB70" s="184"/>
      <c r="AC70" s="181"/>
      <c r="AD70" s="612"/>
      <c r="AE70" s="187"/>
      <c r="AF70" s="187"/>
      <c r="AG70" s="184"/>
      <c r="AH70" s="181"/>
      <c r="AI70" s="612"/>
      <c r="AJ70" s="187"/>
      <c r="AK70" s="187"/>
      <c r="AL70" s="184"/>
      <c r="AM70" s="181"/>
      <c r="AN70" s="612"/>
      <c r="AO70" s="187"/>
      <c r="AP70" s="187"/>
      <c r="AQ70" s="184"/>
      <c r="AR70" s="181"/>
      <c r="AS70" s="612"/>
      <c r="AT70" s="187"/>
      <c r="AU70" s="187"/>
      <c r="AV70" s="184"/>
      <c r="AW70" s="181"/>
      <c r="AX70" s="612"/>
    </row>
    <row r="71" spans="2:50" ht="14.25" customHeight="1">
      <c r="B71" s="611"/>
      <c r="C71" s="179">
        <v>5</v>
      </c>
      <c r="D71" s="182"/>
      <c r="E71" s="179"/>
      <c r="F71" s="179"/>
      <c r="G71" s="184"/>
      <c r="H71" s="612"/>
      <c r="I71" s="185"/>
      <c r="J71" s="185"/>
      <c r="K71" s="186"/>
      <c r="L71" s="613"/>
      <c r="M71" s="185"/>
      <c r="N71" s="611"/>
      <c r="O71" s="611"/>
      <c r="P71" s="187"/>
      <c r="Q71" s="187"/>
      <c r="R71" s="184"/>
      <c r="S71" s="181"/>
      <c r="T71" s="612"/>
      <c r="U71" s="187"/>
      <c r="V71" s="187"/>
      <c r="W71" s="184"/>
      <c r="X71" s="181"/>
      <c r="Y71" s="612"/>
      <c r="Z71" s="187"/>
      <c r="AA71" s="187"/>
      <c r="AB71" s="184"/>
      <c r="AC71" s="181"/>
      <c r="AD71" s="612"/>
      <c r="AE71" s="187"/>
      <c r="AF71" s="187"/>
      <c r="AG71" s="184"/>
      <c r="AH71" s="181"/>
      <c r="AI71" s="612"/>
      <c r="AJ71" s="187"/>
      <c r="AK71" s="187"/>
      <c r="AL71" s="184"/>
      <c r="AM71" s="181"/>
      <c r="AN71" s="612"/>
      <c r="AO71" s="187"/>
      <c r="AP71" s="187"/>
      <c r="AQ71" s="184"/>
      <c r="AR71" s="181"/>
      <c r="AS71" s="612"/>
      <c r="AT71" s="187"/>
      <c r="AU71" s="187"/>
      <c r="AV71" s="184"/>
      <c r="AW71" s="181"/>
      <c r="AX71" s="612"/>
    </row>
    <row r="72" spans="2:50" ht="14.25" customHeight="1">
      <c r="B72" s="611"/>
      <c r="C72" s="179">
        <v>6</v>
      </c>
      <c r="D72" s="182"/>
      <c r="E72" s="179"/>
      <c r="F72" s="179"/>
      <c r="G72" s="184"/>
      <c r="H72" s="612"/>
      <c r="I72" s="185"/>
      <c r="J72" s="185"/>
      <c r="K72" s="186"/>
      <c r="L72" s="613"/>
      <c r="M72" s="185"/>
      <c r="N72" s="611"/>
      <c r="O72" s="611"/>
      <c r="P72" s="187"/>
      <c r="Q72" s="187"/>
      <c r="R72" s="184"/>
      <c r="S72" s="181"/>
      <c r="T72" s="612"/>
      <c r="U72" s="187"/>
      <c r="V72" s="187"/>
      <c r="W72" s="184"/>
      <c r="X72" s="181"/>
      <c r="Y72" s="612"/>
      <c r="Z72" s="187"/>
      <c r="AA72" s="187"/>
      <c r="AB72" s="184"/>
      <c r="AC72" s="181"/>
      <c r="AD72" s="612"/>
      <c r="AE72" s="187"/>
      <c r="AF72" s="187"/>
      <c r="AG72" s="184"/>
      <c r="AH72" s="181"/>
      <c r="AI72" s="612"/>
      <c r="AJ72" s="187"/>
      <c r="AK72" s="187"/>
      <c r="AL72" s="184"/>
      <c r="AM72" s="181"/>
      <c r="AN72" s="612"/>
      <c r="AO72" s="187"/>
      <c r="AP72" s="187"/>
      <c r="AQ72" s="184"/>
      <c r="AR72" s="181"/>
      <c r="AS72" s="612"/>
      <c r="AT72" s="187"/>
      <c r="AU72" s="187"/>
      <c r="AV72" s="184"/>
      <c r="AW72" s="181"/>
      <c r="AX72" s="612"/>
    </row>
    <row r="73" spans="2:50" ht="14.25" customHeight="1">
      <c r="B73" s="611"/>
      <c r="C73" s="179">
        <v>7</v>
      </c>
      <c r="D73" s="182"/>
      <c r="E73" s="179"/>
      <c r="F73" s="179"/>
      <c r="G73" s="184"/>
      <c r="H73" s="612"/>
      <c r="I73" s="185"/>
      <c r="J73" s="185"/>
      <c r="K73" s="186"/>
      <c r="L73" s="613"/>
      <c r="M73" s="185"/>
      <c r="N73" s="611"/>
      <c r="O73" s="611"/>
      <c r="P73" s="187"/>
      <c r="Q73" s="187"/>
      <c r="R73" s="184"/>
      <c r="S73" s="181"/>
      <c r="T73" s="612"/>
      <c r="U73" s="187"/>
      <c r="V73" s="187"/>
      <c r="W73" s="184"/>
      <c r="X73" s="181"/>
      <c r="Y73" s="612"/>
      <c r="Z73" s="187"/>
      <c r="AA73" s="187"/>
      <c r="AB73" s="184"/>
      <c r="AC73" s="181"/>
      <c r="AD73" s="612"/>
      <c r="AE73" s="187"/>
      <c r="AF73" s="187"/>
      <c r="AG73" s="184"/>
      <c r="AH73" s="181"/>
      <c r="AI73" s="612"/>
      <c r="AJ73" s="187"/>
      <c r="AK73" s="187"/>
      <c r="AL73" s="184"/>
      <c r="AM73" s="181"/>
      <c r="AN73" s="612"/>
      <c r="AO73" s="187"/>
      <c r="AP73" s="187"/>
      <c r="AQ73" s="184"/>
      <c r="AR73" s="181"/>
      <c r="AS73" s="612"/>
      <c r="AT73" s="187"/>
      <c r="AU73" s="187"/>
      <c r="AV73" s="184"/>
      <c r="AW73" s="181"/>
      <c r="AX73" s="612"/>
    </row>
    <row r="74" spans="2:50" ht="14.25" customHeight="1">
      <c r="B74" s="611"/>
      <c r="C74" s="179">
        <v>8</v>
      </c>
      <c r="D74" s="182"/>
      <c r="E74" s="179"/>
      <c r="F74" s="179"/>
      <c r="G74" s="184"/>
      <c r="H74" s="612"/>
      <c r="I74" s="185"/>
      <c r="J74" s="185"/>
      <c r="K74" s="186"/>
      <c r="L74" s="613"/>
      <c r="M74" s="185"/>
      <c r="N74" s="611"/>
      <c r="O74" s="611"/>
      <c r="P74" s="187"/>
      <c r="Q74" s="187"/>
      <c r="R74" s="184"/>
      <c r="S74" s="181"/>
      <c r="T74" s="612"/>
      <c r="U74" s="187"/>
      <c r="V74" s="187"/>
      <c r="W74" s="184"/>
      <c r="X74" s="181"/>
      <c r="Y74" s="612"/>
      <c r="Z74" s="187"/>
      <c r="AA74" s="187"/>
      <c r="AB74" s="184"/>
      <c r="AC74" s="181"/>
      <c r="AD74" s="612"/>
      <c r="AE74" s="187"/>
      <c r="AF74" s="187"/>
      <c r="AG74" s="184"/>
      <c r="AH74" s="181"/>
      <c r="AI74" s="612"/>
      <c r="AJ74" s="187"/>
      <c r="AK74" s="187"/>
      <c r="AL74" s="184"/>
      <c r="AM74" s="181"/>
      <c r="AN74" s="612"/>
      <c r="AO74" s="187"/>
      <c r="AP74" s="187"/>
      <c r="AQ74" s="184"/>
      <c r="AR74" s="181"/>
      <c r="AS74" s="612"/>
      <c r="AT74" s="187"/>
      <c r="AU74" s="187"/>
      <c r="AV74" s="184"/>
      <c r="AW74" s="181"/>
      <c r="AX74" s="612"/>
    </row>
    <row r="75" spans="2:50" ht="14.25" customHeight="1">
      <c r="B75" s="611"/>
      <c r="C75" s="179">
        <v>9</v>
      </c>
      <c r="D75" s="182"/>
      <c r="E75" s="179"/>
      <c r="F75" s="179"/>
      <c r="G75" s="184"/>
      <c r="H75" s="612"/>
      <c r="I75" s="185"/>
      <c r="J75" s="185"/>
      <c r="K75" s="186"/>
      <c r="L75" s="613"/>
      <c r="M75" s="185"/>
      <c r="N75" s="611"/>
      <c r="O75" s="611"/>
      <c r="P75" s="187"/>
      <c r="Q75" s="187"/>
      <c r="R75" s="184"/>
      <c r="S75" s="181"/>
      <c r="T75" s="612"/>
      <c r="U75" s="187"/>
      <c r="V75" s="187"/>
      <c r="W75" s="184"/>
      <c r="X75" s="181"/>
      <c r="Y75" s="612"/>
      <c r="Z75" s="187"/>
      <c r="AA75" s="187"/>
      <c r="AB75" s="184"/>
      <c r="AC75" s="181"/>
      <c r="AD75" s="612"/>
      <c r="AE75" s="187"/>
      <c r="AF75" s="187"/>
      <c r="AG75" s="184"/>
      <c r="AH75" s="181"/>
      <c r="AI75" s="612"/>
      <c r="AJ75" s="187"/>
      <c r="AK75" s="187"/>
      <c r="AL75" s="184"/>
      <c r="AM75" s="181"/>
      <c r="AN75" s="612"/>
      <c r="AO75" s="187"/>
      <c r="AP75" s="187"/>
      <c r="AQ75" s="184"/>
      <c r="AR75" s="181"/>
      <c r="AS75" s="612"/>
      <c r="AT75" s="187"/>
      <c r="AU75" s="187"/>
      <c r="AV75" s="184"/>
      <c r="AW75" s="181"/>
      <c r="AX75" s="612"/>
    </row>
    <row r="76" spans="2:50" ht="14.25" customHeight="1">
      <c r="B76" s="611"/>
      <c r="C76" s="179">
        <v>10</v>
      </c>
      <c r="D76" s="182"/>
      <c r="E76" s="179"/>
      <c r="F76" s="179"/>
      <c r="G76" s="184"/>
      <c r="H76" s="612"/>
      <c r="I76" s="185"/>
      <c r="J76" s="185"/>
      <c r="K76" s="186"/>
      <c r="L76" s="613"/>
      <c r="M76" s="185"/>
      <c r="N76" s="611"/>
      <c r="O76" s="611"/>
      <c r="P76" s="187"/>
      <c r="Q76" s="187"/>
      <c r="R76" s="184"/>
      <c r="S76" s="181"/>
      <c r="T76" s="612"/>
      <c r="U76" s="187"/>
      <c r="V76" s="187"/>
      <c r="W76" s="184"/>
      <c r="X76" s="181"/>
      <c r="Y76" s="612"/>
      <c r="Z76" s="187"/>
      <c r="AA76" s="187"/>
      <c r="AB76" s="184"/>
      <c r="AC76" s="181"/>
      <c r="AD76" s="612"/>
      <c r="AE76" s="187"/>
      <c r="AF76" s="187"/>
      <c r="AG76" s="184"/>
      <c r="AH76" s="181"/>
      <c r="AI76" s="612"/>
      <c r="AJ76" s="187"/>
      <c r="AK76" s="187"/>
      <c r="AL76" s="184"/>
      <c r="AM76" s="181"/>
      <c r="AN76" s="612"/>
      <c r="AO76" s="187"/>
      <c r="AP76" s="187"/>
      <c r="AQ76" s="184"/>
      <c r="AR76" s="181"/>
      <c r="AS76" s="612"/>
      <c r="AT76" s="187"/>
      <c r="AU76" s="187"/>
      <c r="AV76" s="184"/>
      <c r="AW76" s="181"/>
      <c r="AX76" s="612"/>
    </row>
    <row r="77" spans="2:50" ht="14.25" customHeight="1">
      <c r="B77" s="611"/>
      <c r="C77" s="179">
        <v>11</v>
      </c>
      <c r="D77" s="182"/>
      <c r="E77" s="179"/>
      <c r="F77" s="179"/>
      <c r="G77" s="184"/>
      <c r="H77" s="612"/>
      <c r="I77" s="185"/>
      <c r="J77" s="185"/>
      <c r="K77" s="186"/>
      <c r="L77" s="613"/>
      <c r="M77" s="185"/>
      <c r="N77" s="611"/>
      <c r="O77" s="611"/>
      <c r="P77" s="187"/>
      <c r="Q77" s="187"/>
      <c r="R77" s="184"/>
      <c r="S77" s="181"/>
      <c r="T77" s="612"/>
      <c r="U77" s="187"/>
      <c r="V77" s="187"/>
      <c r="W77" s="184"/>
      <c r="X77" s="181"/>
      <c r="Y77" s="612"/>
      <c r="Z77" s="187"/>
      <c r="AA77" s="187"/>
      <c r="AB77" s="184"/>
      <c r="AC77" s="181"/>
      <c r="AD77" s="612"/>
      <c r="AE77" s="187"/>
      <c r="AF77" s="187"/>
      <c r="AG77" s="184"/>
      <c r="AH77" s="181"/>
      <c r="AI77" s="612"/>
      <c r="AJ77" s="187"/>
      <c r="AK77" s="187"/>
      <c r="AL77" s="184"/>
      <c r="AM77" s="181"/>
      <c r="AN77" s="612"/>
      <c r="AO77" s="187"/>
      <c r="AP77" s="187"/>
      <c r="AQ77" s="184"/>
      <c r="AR77" s="181"/>
      <c r="AS77" s="612"/>
      <c r="AT77" s="187"/>
      <c r="AU77" s="187"/>
      <c r="AV77" s="184"/>
      <c r="AW77" s="181"/>
      <c r="AX77" s="612"/>
    </row>
    <row r="78" spans="2:50" ht="14.25" customHeight="1">
      <c r="B78" s="611"/>
      <c r="C78" s="179">
        <v>12</v>
      </c>
      <c r="D78" s="182"/>
      <c r="E78" s="179"/>
      <c r="F78" s="179"/>
      <c r="G78" s="184"/>
      <c r="H78" s="612"/>
      <c r="I78" s="185"/>
      <c r="J78" s="185"/>
      <c r="K78" s="186"/>
      <c r="L78" s="613"/>
      <c r="M78" s="185"/>
      <c r="N78" s="611"/>
      <c r="O78" s="611"/>
      <c r="P78" s="187"/>
      <c r="Q78" s="187"/>
      <c r="R78" s="184"/>
      <c r="S78" s="181"/>
      <c r="T78" s="612"/>
      <c r="U78" s="187"/>
      <c r="V78" s="187"/>
      <c r="W78" s="184"/>
      <c r="X78" s="181"/>
      <c r="Y78" s="612"/>
      <c r="Z78" s="187"/>
      <c r="AA78" s="187"/>
      <c r="AB78" s="184"/>
      <c r="AC78" s="181"/>
      <c r="AD78" s="612"/>
      <c r="AE78" s="187"/>
      <c r="AF78" s="187"/>
      <c r="AG78" s="184"/>
      <c r="AH78" s="181"/>
      <c r="AI78" s="612"/>
      <c r="AJ78" s="187"/>
      <c r="AK78" s="187"/>
      <c r="AL78" s="184"/>
      <c r="AM78" s="181"/>
      <c r="AN78" s="612"/>
      <c r="AO78" s="187"/>
      <c r="AP78" s="187"/>
      <c r="AQ78" s="184"/>
      <c r="AR78" s="181"/>
      <c r="AS78" s="612"/>
      <c r="AT78" s="187"/>
      <c r="AU78" s="187"/>
      <c r="AV78" s="184"/>
      <c r="AW78" s="181"/>
      <c r="AX78" s="612"/>
    </row>
    <row r="79" spans="2:50" ht="14.25" customHeight="1">
      <c r="B79" s="611"/>
      <c r="C79" s="179">
        <v>13</v>
      </c>
      <c r="D79" s="182"/>
      <c r="E79" s="179"/>
      <c r="F79" s="179"/>
      <c r="G79" s="184"/>
      <c r="H79" s="612"/>
      <c r="I79" s="185"/>
      <c r="J79" s="185"/>
      <c r="K79" s="186"/>
      <c r="L79" s="613"/>
      <c r="M79" s="185"/>
      <c r="N79" s="611"/>
      <c r="O79" s="611"/>
      <c r="P79" s="187"/>
      <c r="Q79" s="187"/>
      <c r="R79" s="184"/>
      <c r="S79" s="181"/>
      <c r="T79" s="612"/>
      <c r="U79" s="187"/>
      <c r="V79" s="187"/>
      <c r="W79" s="184"/>
      <c r="X79" s="181"/>
      <c r="Y79" s="612"/>
      <c r="Z79" s="187"/>
      <c r="AA79" s="187"/>
      <c r="AB79" s="184"/>
      <c r="AC79" s="181"/>
      <c r="AD79" s="612"/>
      <c r="AE79" s="187"/>
      <c r="AF79" s="187"/>
      <c r="AG79" s="184"/>
      <c r="AH79" s="181"/>
      <c r="AI79" s="612"/>
      <c r="AJ79" s="187"/>
      <c r="AK79" s="187"/>
      <c r="AL79" s="184"/>
      <c r="AM79" s="181"/>
      <c r="AN79" s="612"/>
      <c r="AO79" s="187"/>
      <c r="AP79" s="187"/>
      <c r="AQ79" s="184"/>
      <c r="AR79" s="181"/>
      <c r="AS79" s="612"/>
      <c r="AT79" s="187"/>
      <c r="AU79" s="187"/>
      <c r="AV79" s="184"/>
      <c r="AW79" s="181"/>
      <c r="AX79" s="612"/>
    </row>
    <row r="80" spans="2:50" ht="14.25" customHeight="1">
      <c r="B80" s="611"/>
      <c r="C80" s="179">
        <v>14</v>
      </c>
      <c r="D80" s="182"/>
      <c r="E80" s="179"/>
      <c r="F80" s="179"/>
      <c r="G80" s="184"/>
      <c r="H80" s="612"/>
      <c r="I80" s="185"/>
      <c r="J80" s="185"/>
      <c r="K80" s="186"/>
      <c r="L80" s="613"/>
      <c r="M80" s="185"/>
      <c r="N80" s="611"/>
      <c r="O80" s="611"/>
      <c r="P80" s="187"/>
      <c r="Q80" s="187"/>
      <c r="R80" s="184"/>
      <c r="S80" s="181"/>
      <c r="T80" s="612"/>
      <c r="U80" s="187"/>
      <c r="V80" s="187"/>
      <c r="W80" s="184"/>
      <c r="X80" s="181"/>
      <c r="Y80" s="612"/>
      <c r="Z80" s="187"/>
      <c r="AA80" s="187"/>
      <c r="AB80" s="184"/>
      <c r="AC80" s="181"/>
      <c r="AD80" s="612"/>
      <c r="AE80" s="187"/>
      <c r="AF80" s="187"/>
      <c r="AG80" s="184"/>
      <c r="AH80" s="181"/>
      <c r="AI80" s="612"/>
      <c r="AJ80" s="187"/>
      <c r="AK80" s="187"/>
      <c r="AL80" s="184"/>
      <c r="AM80" s="181"/>
      <c r="AN80" s="612"/>
      <c r="AO80" s="187"/>
      <c r="AP80" s="187"/>
      <c r="AQ80" s="184"/>
      <c r="AR80" s="181"/>
      <c r="AS80" s="612"/>
      <c r="AT80" s="187"/>
      <c r="AU80" s="187"/>
      <c r="AV80" s="184"/>
      <c r="AW80" s="181"/>
      <c r="AX80" s="612"/>
    </row>
    <row r="81" spans="2:50" ht="14.25" customHeight="1">
      <c r="B81" s="611"/>
      <c r="C81" s="179">
        <v>15</v>
      </c>
      <c r="D81" s="182"/>
      <c r="E81" s="179"/>
      <c r="F81" s="179"/>
      <c r="G81" s="184"/>
      <c r="H81" s="612"/>
      <c r="I81" s="185"/>
      <c r="J81" s="185"/>
      <c r="K81" s="186"/>
      <c r="L81" s="613"/>
      <c r="M81" s="185"/>
      <c r="N81" s="611"/>
      <c r="O81" s="611"/>
      <c r="P81" s="187"/>
      <c r="Q81" s="187"/>
      <c r="R81" s="184"/>
      <c r="S81" s="181"/>
      <c r="T81" s="612"/>
      <c r="U81" s="187"/>
      <c r="V81" s="187"/>
      <c r="W81" s="184"/>
      <c r="X81" s="181"/>
      <c r="Y81" s="612"/>
      <c r="Z81" s="187"/>
      <c r="AA81" s="187"/>
      <c r="AB81" s="184"/>
      <c r="AC81" s="181"/>
      <c r="AD81" s="612"/>
      <c r="AE81" s="187"/>
      <c r="AF81" s="187"/>
      <c r="AG81" s="184"/>
      <c r="AH81" s="181"/>
      <c r="AI81" s="612"/>
      <c r="AJ81" s="187"/>
      <c r="AK81" s="187"/>
      <c r="AL81" s="184"/>
      <c r="AM81" s="181"/>
      <c r="AN81" s="612"/>
      <c r="AO81" s="187"/>
      <c r="AP81" s="187"/>
      <c r="AQ81" s="184"/>
      <c r="AR81" s="181"/>
      <c r="AS81" s="612"/>
      <c r="AT81" s="187"/>
      <c r="AU81" s="187"/>
      <c r="AV81" s="184"/>
      <c r="AW81" s="181"/>
      <c r="AX81" s="612"/>
    </row>
    <row r="82" spans="2:50" ht="14.25" customHeight="1">
      <c r="B82" s="640" t="s">
        <v>878</v>
      </c>
      <c r="C82" s="641"/>
      <c r="D82" s="641"/>
      <c r="E82" s="641"/>
      <c r="F82" s="641"/>
      <c r="G82" s="641"/>
      <c r="H82" s="641"/>
      <c r="I82" s="641"/>
      <c r="J82" s="641"/>
      <c r="K82" s="641"/>
      <c r="L82" s="641"/>
      <c r="M82" s="642"/>
      <c r="N82" s="645" t="s">
        <v>363</v>
      </c>
      <c r="O82" s="645" t="s">
        <v>105</v>
      </c>
      <c r="P82" s="632">
        <v>46231</v>
      </c>
      <c r="Q82" s="633"/>
      <c r="R82" s="633"/>
      <c r="S82" s="633"/>
      <c r="T82" s="633"/>
      <c r="U82" s="634">
        <v>46232</v>
      </c>
      <c r="V82" s="635"/>
      <c r="W82" s="635"/>
      <c r="X82" s="635"/>
      <c r="Y82" s="635"/>
      <c r="Z82" s="632">
        <v>46233</v>
      </c>
      <c r="AA82" s="633"/>
      <c r="AB82" s="633"/>
      <c r="AC82" s="633"/>
      <c r="AD82" s="633"/>
      <c r="AE82" s="634">
        <v>46234</v>
      </c>
      <c r="AF82" s="635"/>
      <c r="AG82" s="635"/>
      <c r="AH82" s="635"/>
      <c r="AI82" s="635"/>
      <c r="AJ82" s="616">
        <v>46235</v>
      </c>
      <c r="AK82" s="617"/>
      <c r="AL82" s="617"/>
      <c r="AM82" s="617"/>
      <c r="AN82" s="618"/>
      <c r="AO82" s="634">
        <v>46236</v>
      </c>
      <c r="AP82" s="635"/>
      <c r="AQ82" s="635"/>
      <c r="AR82" s="635"/>
      <c r="AS82" s="635"/>
      <c r="AT82" s="616">
        <v>46237</v>
      </c>
      <c r="AU82" s="617"/>
      <c r="AV82" s="617"/>
      <c r="AW82" s="617"/>
      <c r="AX82" s="618"/>
    </row>
    <row r="83" spans="2:50" ht="14.25" customHeight="1">
      <c r="B83" s="643"/>
      <c r="C83" s="643"/>
      <c r="D83" s="643"/>
      <c r="E83" s="643"/>
      <c r="F83" s="643"/>
      <c r="G83" s="643"/>
      <c r="H83" s="643"/>
      <c r="I83" s="643"/>
      <c r="J83" s="643"/>
      <c r="K83" s="643"/>
      <c r="L83" s="643"/>
      <c r="M83" s="644"/>
      <c r="N83" s="646"/>
      <c r="O83" s="646"/>
      <c r="P83" s="619">
        <v>46196</v>
      </c>
      <c r="Q83" s="619"/>
      <c r="R83" s="619"/>
      <c r="S83" s="619"/>
      <c r="T83" s="619"/>
      <c r="U83" s="620">
        <v>46197</v>
      </c>
      <c r="V83" s="620"/>
      <c r="W83" s="620"/>
      <c r="X83" s="620"/>
      <c r="Y83" s="620"/>
      <c r="Z83" s="619">
        <v>46198</v>
      </c>
      <c r="AA83" s="619"/>
      <c r="AB83" s="619"/>
      <c r="AC83" s="619"/>
      <c r="AD83" s="619"/>
      <c r="AE83" s="620">
        <v>46199</v>
      </c>
      <c r="AF83" s="620"/>
      <c r="AG83" s="620"/>
      <c r="AH83" s="620"/>
      <c r="AI83" s="620"/>
      <c r="AJ83" s="621">
        <v>46200</v>
      </c>
      <c r="AK83" s="622"/>
      <c r="AL83" s="622"/>
      <c r="AM83" s="622"/>
      <c r="AN83" s="623"/>
      <c r="AO83" s="620">
        <v>46201</v>
      </c>
      <c r="AP83" s="620"/>
      <c r="AQ83" s="620"/>
      <c r="AR83" s="620"/>
      <c r="AS83" s="620"/>
      <c r="AT83" s="621">
        <v>46202</v>
      </c>
      <c r="AU83" s="622"/>
      <c r="AV83" s="622"/>
      <c r="AW83" s="622"/>
      <c r="AX83" s="623"/>
    </row>
    <row r="84" spans="2:50" ht="14.25" customHeight="1">
      <c r="B84" s="611" t="s">
        <v>162</v>
      </c>
      <c r="C84" s="611" t="s">
        <v>157</v>
      </c>
      <c r="D84" s="611"/>
      <c r="E84" s="611" t="s">
        <v>158</v>
      </c>
      <c r="F84" s="611"/>
      <c r="G84" s="611"/>
      <c r="H84" s="611" t="s">
        <v>163</v>
      </c>
      <c r="I84" s="615" t="s">
        <v>364</v>
      </c>
      <c r="J84" s="615"/>
      <c r="K84" s="615"/>
      <c r="L84" s="615" t="s">
        <v>163</v>
      </c>
      <c r="M84" s="615" t="s">
        <v>165</v>
      </c>
      <c r="N84" s="611"/>
      <c r="O84" s="611" t="s">
        <v>164</v>
      </c>
      <c r="P84" s="611" t="s">
        <v>160</v>
      </c>
      <c r="Q84" s="611"/>
      <c r="R84" s="611"/>
      <c r="S84" s="611"/>
      <c r="T84" s="611" t="s">
        <v>163</v>
      </c>
      <c r="U84" s="611" t="s">
        <v>160</v>
      </c>
      <c r="V84" s="611"/>
      <c r="W84" s="611"/>
      <c r="X84" s="611"/>
      <c r="Y84" s="611" t="s">
        <v>163</v>
      </c>
      <c r="Z84" s="611" t="s">
        <v>160</v>
      </c>
      <c r="AA84" s="611"/>
      <c r="AB84" s="611"/>
      <c r="AC84" s="611"/>
      <c r="AD84" s="611" t="s">
        <v>163</v>
      </c>
      <c r="AE84" s="611" t="s">
        <v>160</v>
      </c>
      <c r="AF84" s="611"/>
      <c r="AG84" s="611"/>
      <c r="AH84" s="611"/>
      <c r="AI84" s="611" t="s">
        <v>163</v>
      </c>
      <c r="AJ84" s="611" t="s">
        <v>160</v>
      </c>
      <c r="AK84" s="611"/>
      <c r="AL84" s="611"/>
      <c r="AM84" s="611"/>
      <c r="AN84" s="611" t="s">
        <v>163</v>
      </c>
      <c r="AO84" s="611" t="s">
        <v>160</v>
      </c>
      <c r="AP84" s="611"/>
      <c r="AQ84" s="611"/>
      <c r="AR84" s="611"/>
      <c r="AS84" s="611" t="s">
        <v>163</v>
      </c>
      <c r="AT84" s="611" t="s">
        <v>160</v>
      </c>
      <c r="AU84" s="611"/>
      <c r="AV84" s="611"/>
      <c r="AW84" s="611"/>
      <c r="AX84" s="611" t="s">
        <v>163</v>
      </c>
    </row>
    <row r="85" spans="2:50" ht="14.25" customHeight="1">
      <c r="B85" s="611"/>
      <c r="C85" s="611"/>
      <c r="D85" s="611"/>
      <c r="E85" s="611" t="s">
        <v>365</v>
      </c>
      <c r="F85" s="611"/>
      <c r="G85" s="611"/>
      <c r="H85" s="611"/>
      <c r="I85" s="615" t="s">
        <v>365</v>
      </c>
      <c r="J85" s="615"/>
      <c r="K85" s="615"/>
      <c r="L85" s="615"/>
      <c r="M85" s="615"/>
      <c r="N85" s="611"/>
      <c r="O85" s="611"/>
      <c r="P85" s="611" t="s">
        <v>366</v>
      </c>
      <c r="Q85" s="611"/>
      <c r="R85" s="611"/>
      <c r="S85" s="611"/>
      <c r="T85" s="611"/>
      <c r="U85" s="611" t="s">
        <v>366</v>
      </c>
      <c r="V85" s="611"/>
      <c r="W85" s="611"/>
      <c r="X85" s="611"/>
      <c r="Y85" s="611"/>
      <c r="Z85" s="611" t="s">
        <v>366</v>
      </c>
      <c r="AA85" s="611"/>
      <c r="AB85" s="611"/>
      <c r="AC85" s="611"/>
      <c r="AD85" s="611"/>
      <c r="AE85" s="611" t="s">
        <v>366</v>
      </c>
      <c r="AF85" s="611"/>
      <c r="AG85" s="611"/>
      <c r="AH85" s="611"/>
      <c r="AI85" s="611"/>
      <c r="AJ85" s="611" t="s">
        <v>366</v>
      </c>
      <c r="AK85" s="611"/>
      <c r="AL85" s="611"/>
      <c r="AM85" s="611"/>
      <c r="AN85" s="611"/>
      <c r="AO85" s="611" t="s">
        <v>366</v>
      </c>
      <c r="AP85" s="611"/>
      <c r="AQ85" s="611"/>
      <c r="AR85" s="611"/>
      <c r="AS85" s="611"/>
      <c r="AT85" s="611" t="s">
        <v>366</v>
      </c>
      <c r="AU85" s="611"/>
      <c r="AV85" s="611"/>
      <c r="AW85" s="611"/>
      <c r="AX85" s="611"/>
    </row>
    <row r="86" spans="2:50" ht="14.25" customHeight="1">
      <c r="B86" s="611"/>
      <c r="C86" s="611"/>
      <c r="D86" s="611"/>
      <c r="E86" s="179" t="s">
        <v>159</v>
      </c>
      <c r="F86" s="179" t="s">
        <v>367</v>
      </c>
      <c r="G86" s="179" t="s">
        <v>161</v>
      </c>
      <c r="H86" s="611"/>
      <c r="I86" s="180" t="s">
        <v>159</v>
      </c>
      <c r="J86" s="180" t="s">
        <v>367</v>
      </c>
      <c r="K86" s="180" t="s">
        <v>161</v>
      </c>
      <c r="L86" s="615"/>
      <c r="M86" s="615"/>
      <c r="N86" s="611"/>
      <c r="O86" s="611"/>
      <c r="P86" s="179" t="s">
        <v>159</v>
      </c>
      <c r="Q86" s="179" t="s">
        <v>367</v>
      </c>
      <c r="R86" s="179" t="s">
        <v>161</v>
      </c>
      <c r="S86" s="181" t="s">
        <v>165</v>
      </c>
      <c r="T86" s="611"/>
      <c r="U86" s="179" t="s">
        <v>159</v>
      </c>
      <c r="V86" s="179" t="s">
        <v>367</v>
      </c>
      <c r="W86" s="179" t="s">
        <v>161</v>
      </c>
      <c r="X86" s="181" t="s">
        <v>165</v>
      </c>
      <c r="Y86" s="611"/>
      <c r="Z86" s="179" t="s">
        <v>159</v>
      </c>
      <c r="AA86" s="179" t="s">
        <v>367</v>
      </c>
      <c r="AB86" s="179" t="s">
        <v>161</v>
      </c>
      <c r="AC86" s="181" t="s">
        <v>165</v>
      </c>
      <c r="AD86" s="611"/>
      <c r="AE86" s="179" t="s">
        <v>159</v>
      </c>
      <c r="AF86" s="179" t="s">
        <v>367</v>
      </c>
      <c r="AG86" s="179" t="s">
        <v>161</v>
      </c>
      <c r="AH86" s="181" t="s">
        <v>165</v>
      </c>
      <c r="AI86" s="611"/>
      <c r="AJ86" s="179" t="s">
        <v>159</v>
      </c>
      <c r="AK86" s="179" t="s">
        <v>367</v>
      </c>
      <c r="AL86" s="179" t="s">
        <v>161</v>
      </c>
      <c r="AM86" s="181" t="s">
        <v>165</v>
      </c>
      <c r="AN86" s="611"/>
      <c r="AO86" s="179" t="s">
        <v>159</v>
      </c>
      <c r="AP86" s="179" t="s">
        <v>367</v>
      </c>
      <c r="AQ86" s="179" t="s">
        <v>161</v>
      </c>
      <c r="AR86" s="181" t="s">
        <v>165</v>
      </c>
      <c r="AS86" s="611"/>
      <c r="AT86" s="179" t="s">
        <v>159</v>
      </c>
      <c r="AU86" s="179" t="s">
        <v>367</v>
      </c>
      <c r="AV86" s="179" t="s">
        <v>161</v>
      </c>
      <c r="AW86" s="181" t="s">
        <v>165</v>
      </c>
      <c r="AX86" s="611"/>
    </row>
    <row r="87" spans="2:50" ht="14.25" customHeight="1">
      <c r="B87" s="650" t="s">
        <v>425</v>
      </c>
      <c r="C87" s="179">
        <v>1</v>
      </c>
      <c r="D87" s="182" t="s">
        <v>347</v>
      </c>
      <c r="E87" s="183">
        <v>21</v>
      </c>
      <c r="F87" s="179">
        <v>2790</v>
      </c>
      <c r="G87" s="184">
        <f t="shared" ref="G87" si="28">IFERROR(F87/E87,"")</f>
        <v>132.85714285714286</v>
      </c>
      <c r="H87" s="612">
        <f>AVERAGE(G87:G101)</f>
        <v>132.85714285714286</v>
      </c>
      <c r="I87" s="185">
        <f>AVERAGE(P87,U87,Z87,AE87,AJ87,AO87,AT87)</f>
        <v>22</v>
      </c>
      <c r="J87" s="185">
        <f>AVERAGE(Q87,V87,AA87,AF87,AK87,AP87,AU87)</f>
        <v>2626.6346153846148</v>
      </c>
      <c r="K87" s="186">
        <f>AVERAGE(R87,W87,AB87,AG87,AL87,AQ87,AV87)</f>
        <v>119.39248251748248</v>
      </c>
      <c r="L87" s="613">
        <f>IFERROR(AVERAGE(K87:K101),"-")</f>
        <v>119.39248251748248</v>
      </c>
      <c r="M87" s="185">
        <f>RANK(K87, K$87:$K$101)</f>
        <v>1</v>
      </c>
      <c r="N87" s="611"/>
      <c r="O87" s="611"/>
      <c r="P87" s="187">
        <v>22</v>
      </c>
      <c r="Q87" s="187">
        <v>2626.6346153846152</v>
      </c>
      <c r="R87" s="184">
        <f>IFERROR(Q87/P87,"")</f>
        <v>119.39248251748251</v>
      </c>
      <c r="S87" s="181">
        <f>RANK(R87, R$87:R$101)</f>
        <v>1</v>
      </c>
      <c r="T87" s="612">
        <f>AVERAGE(R87:R101)</f>
        <v>119.39248251748251</v>
      </c>
      <c r="U87" s="187">
        <v>22</v>
      </c>
      <c r="V87" s="187">
        <v>2626.6346153846152</v>
      </c>
      <c r="W87" s="184">
        <f t="shared" ref="W87" si="29">IFERROR(V87/U87,"")</f>
        <v>119.39248251748251</v>
      </c>
      <c r="X87" s="181">
        <f>RANK(W87, W$87:W$101)</f>
        <v>1</v>
      </c>
      <c r="Y87" s="612">
        <f>AVERAGE(W87:W101)</f>
        <v>119.39248251748251</v>
      </c>
      <c r="Z87" s="187">
        <v>22</v>
      </c>
      <c r="AA87" s="187">
        <v>2626.6346153846152</v>
      </c>
      <c r="AB87" s="184">
        <f>IFERROR(AA87/Z87,"")</f>
        <v>119.39248251748251</v>
      </c>
      <c r="AC87" s="181">
        <f>RANK(AB87, AB$87:AB$101)</f>
        <v>1</v>
      </c>
      <c r="AD87" s="612">
        <f>AVERAGE(AB87:AB101)</f>
        <v>119.39248251748251</v>
      </c>
      <c r="AE87" s="187">
        <v>22</v>
      </c>
      <c r="AF87" s="187">
        <v>2626.6346153846152</v>
      </c>
      <c r="AG87" s="184">
        <f>IFERROR(AF87/AE87,"")</f>
        <v>119.39248251748251</v>
      </c>
      <c r="AH87" s="181">
        <f>RANK(AG87, AG$87:AG$101)</f>
        <v>1</v>
      </c>
      <c r="AI87" s="612">
        <f>AVERAGE(AG87:AG101)</f>
        <v>119.39248251748251</v>
      </c>
      <c r="AJ87" s="187">
        <v>22</v>
      </c>
      <c r="AK87" s="187">
        <v>2626.6346153846152</v>
      </c>
      <c r="AL87" s="184">
        <f>IFERROR(AK87/AJ87,"")</f>
        <v>119.39248251748251</v>
      </c>
      <c r="AM87" s="181">
        <f>RANK(AL87, AL$87:AL$101)</f>
        <v>1</v>
      </c>
      <c r="AN87" s="612">
        <f>AVERAGE(AL87:AL101)</f>
        <v>119.39248251748251</v>
      </c>
      <c r="AO87" s="187">
        <v>22</v>
      </c>
      <c r="AP87" s="187">
        <v>2626.6346153846152</v>
      </c>
      <c r="AQ87" s="184">
        <f>IFERROR(AP87/AO87,"")</f>
        <v>119.39248251748251</v>
      </c>
      <c r="AR87" s="181">
        <f>RANK(AQ87, AQ$87:AQ$101)</f>
        <v>1</v>
      </c>
      <c r="AS87" s="612">
        <f>AVERAGE(AQ87:AQ101)</f>
        <v>119.39248251748251</v>
      </c>
      <c r="AT87" s="187">
        <v>22</v>
      </c>
      <c r="AU87" s="187">
        <v>2626.6346153846152</v>
      </c>
      <c r="AV87" s="184">
        <f>IFERROR(AU87/AT87,"")</f>
        <v>119.39248251748251</v>
      </c>
      <c r="AW87" s="181">
        <f>RANK(AV87, AV$87:AV$101)</f>
        <v>1</v>
      </c>
      <c r="AX87" s="612">
        <f>AVERAGE(AV87:AV101)</f>
        <v>119.39248251748251</v>
      </c>
    </row>
    <row r="88" spans="2:50" ht="14.25" customHeight="1">
      <c r="B88" s="611"/>
      <c r="C88" s="179">
        <v>2</v>
      </c>
      <c r="D88" s="182"/>
      <c r="E88" s="179"/>
      <c r="F88" s="179"/>
      <c r="G88" s="184"/>
      <c r="H88" s="612"/>
      <c r="I88" s="185"/>
      <c r="J88" s="185"/>
      <c r="K88" s="186"/>
      <c r="L88" s="613"/>
      <c r="M88" s="185"/>
      <c r="N88" s="611"/>
      <c r="O88" s="611"/>
      <c r="P88" s="187"/>
      <c r="Q88" s="187"/>
      <c r="R88" s="184"/>
      <c r="S88" s="181"/>
      <c r="T88" s="612"/>
      <c r="U88" s="187"/>
      <c r="V88" s="187"/>
      <c r="W88" s="184"/>
      <c r="X88" s="181"/>
      <c r="Y88" s="612"/>
      <c r="Z88" s="187"/>
      <c r="AA88" s="187"/>
      <c r="AB88" s="184"/>
      <c r="AC88" s="181"/>
      <c r="AD88" s="612"/>
      <c r="AE88" s="187"/>
      <c r="AF88" s="187"/>
      <c r="AG88" s="184"/>
      <c r="AH88" s="181"/>
      <c r="AI88" s="612"/>
      <c r="AJ88" s="187"/>
      <c r="AK88" s="187"/>
      <c r="AL88" s="184"/>
      <c r="AM88" s="181"/>
      <c r="AN88" s="612"/>
      <c r="AO88" s="187"/>
      <c r="AP88" s="187"/>
      <c r="AQ88" s="184"/>
      <c r="AR88" s="181"/>
      <c r="AS88" s="612"/>
      <c r="AT88" s="187"/>
      <c r="AU88" s="187"/>
      <c r="AV88" s="184"/>
      <c r="AW88" s="181"/>
      <c r="AX88" s="612"/>
    </row>
    <row r="89" spans="2:50" ht="14.25" customHeight="1">
      <c r="B89" s="611"/>
      <c r="C89" s="179">
        <v>3</v>
      </c>
      <c r="D89" s="182"/>
      <c r="E89" s="179"/>
      <c r="F89" s="179"/>
      <c r="G89" s="184"/>
      <c r="H89" s="612"/>
      <c r="I89" s="185"/>
      <c r="J89" s="185"/>
      <c r="K89" s="186"/>
      <c r="L89" s="613"/>
      <c r="M89" s="185"/>
      <c r="N89" s="611"/>
      <c r="O89" s="611"/>
      <c r="P89" s="187"/>
      <c r="Q89" s="187"/>
      <c r="R89" s="184"/>
      <c r="S89" s="181"/>
      <c r="T89" s="612"/>
      <c r="U89" s="187"/>
      <c r="V89" s="187"/>
      <c r="W89" s="184"/>
      <c r="X89" s="181"/>
      <c r="Y89" s="612"/>
      <c r="Z89" s="187"/>
      <c r="AA89" s="187"/>
      <c r="AB89" s="184"/>
      <c r="AC89" s="181"/>
      <c r="AD89" s="612"/>
      <c r="AE89" s="187"/>
      <c r="AF89" s="187"/>
      <c r="AG89" s="184"/>
      <c r="AH89" s="181"/>
      <c r="AI89" s="612"/>
      <c r="AJ89" s="187"/>
      <c r="AK89" s="187"/>
      <c r="AL89" s="184"/>
      <c r="AM89" s="181"/>
      <c r="AN89" s="612"/>
      <c r="AO89" s="187"/>
      <c r="AP89" s="187"/>
      <c r="AQ89" s="184"/>
      <c r="AR89" s="181"/>
      <c r="AS89" s="612"/>
      <c r="AT89" s="187"/>
      <c r="AU89" s="187"/>
      <c r="AV89" s="184"/>
      <c r="AW89" s="181"/>
      <c r="AX89" s="612"/>
    </row>
    <row r="90" spans="2:50" ht="14.25" customHeight="1">
      <c r="B90" s="611"/>
      <c r="C90" s="179">
        <v>4</v>
      </c>
      <c r="D90" s="182"/>
      <c r="E90" s="179"/>
      <c r="F90" s="179"/>
      <c r="G90" s="184"/>
      <c r="H90" s="612"/>
      <c r="I90" s="185"/>
      <c r="J90" s="185"/>
      <c r="K90" s="186"/>
      <c r="L90" s="613"/>
      <c r="M90" s="185"/>
      <c r="N90" s="611"/>
      <c r="O90" s="611"/>
      <c r="P90" s="187"/>
      <c r="Q90" s="187"/>
      <c r="R90" s="184"/>
      <c r="S90" s="181"/>
      <c r="T90" s="612"/>
      <c r="U90" s="187"/>
      <c r="V90" s="187"/>
      <c r="W90" s="184"/>
      <c r="X90" s="181"/>
      <c r="Y90" s="612"/>
      <c r="Z90" s="187"/>
      <c r="AA90" s="187"/>
      <c r="AB90" s="184"/>
      <c r="AC90" s="181"/>
      <c r="AD90" s="612"/>
      <c r="AE90" s="187"/>
      <c r="AF90" s="187"/>
      <c r="AG90" s="184"/>
      <c r="AH90" s="181"/>
      <c r="AI90" s="612"/>
      <c r="AJ90" s="187"/>
      <c r="AK90" s="187"/>
      <c r="AL90" s="184"/>
      <c r="AM90" s="181"/>
      <c r="AN90" s="612"/>
      <c r="AO90" s="187"/>
      <c r="AP90" s="187"/>
      <c r="AQ90" s="184"/>
      <c r="AR90" s="181"/>
      <c r="AS90" s="612"/>
      <c r="AT90" s="187"/>
      <c r="AU90" s="187"/>
      <c r="AV90" s="184"/>
      <c r="AW90" s="181"/>
      <c r="AX90" s="612"/>
    </row>
    <row r="91" spans="2:50" ht="14.25" customHeight="1">
      <c r="B91" s="611"/>
      <c r="C91" s="179">
        <v>5</v>
      </c>
      <c r="D91" s="182"/>
      <c r="E91" s="179"/>
      <c r="F91" s="179"/>
      <c r="G91" s="184"/>
      <c r="H91" s="612"/>
      <c r="I91" s="185"/>
      <c r="J91" s="185"/>
      <c r="K91" s="186"/>
      <c r="L91" s="613"/>
      <c r="M91" s="185"/>
      <c r="N91" s="611"/>
      <c r="O91" s="611"/>
      <c r="P91" s="187"/>
      <c r="Q91" s="187"/>
      <c r="R91" s="184"/>
      <c r="S91" s="181"/>
      <c r="T91" s="612"/>
      <c r="U91" s="187"/>
      <c r="V91" s="187"/>
      <c r="W91" s="184"/>
      <c r="X91" s="181"/>
      <c r="Y91" s="612"/>
      <c r="Z91" s="187"/>
      <c r="AA91" s="187"/>
      <c r="AB91" s="184"/>
      <c r="AC91" s="181"/>
      <c r="AD91" s="612"/>
      <c r="AE91" s="187"/>
      <c r="AF91" s="187"/>
      <c r="AG91" s="184"/>
      <c r="AH91" s="181"/>
      <c r="AI91" s="612"/>
      <c r="AJ91" s="187"/>
      <c r="AK91" s="187"/>
      <c r="AL91" s="184"/>
      <c r="AM91" s="181"/>
      <c r="AN91" s="612"/>
      <c r="AO91" s="187"/>
      <c r="AP91" s="187"/>
      <c r="AQ91" s="184"/>
      <c r="AR91" s="181"/>
      <c r="AS91" s="612"/>
      <c r="AT91" s="187"/>
      <c r="AU91" s="187"/>
      <c r="AV91" s="184"/>
      <c r="AW91" s="181"/>
      <c r="AX91" s="612"/>
    </row>
    <row r="92" spans="2:50" ht="14.25" customHeight="1">
      <c r="B92" s="611"/>
      <c r="C92" s="179">
        <v>6</v>
      </c>
      <c r="D92" s="182"/>
      <c r="E92" s="179"/>
      <c r="F92" s="179"/>
      <c r="G92" s="184"/>
      <c r="H92" s="612"/>
      <c r="I92" s="185"/>
      <c r="J92" s="185"/>
      <c r="K92" s="186"/>
      <c r="L92" s="613"/>
      <c r="M92" s="185"/>
      <c r="N92" s="611"/>
      <c r="O92" s="611"/>
      <c r="P92" s="187"/>
      <c r="Q92" s="187"/>
      <c r="R92" s="184"/>
      <c r="S92" s="181"/>
      <c r="T92" s="612"/>
      <c r="U92" s="187"/>
      <c r="V92" s="187"/>
      <c r="W92" s="184"/>
      <c r="X92" s="181"/>
      <c r="Y92" s="612"/>
      <c r="Z92" s="187"/>
      <c r="AA92" s="187"/>
      <c r="AB92" s="184"/>
      <c r="AC92" s="181"/>
      <c r="AD92" s="612"/>
      <c r="AE92" s="187"/>
      <c r="AF92" s="187"/>
      <c r="AG92" s="184"/>
      <c r="AH92" s="181"/>
      <c r="AI92" s="612"/>
      <c r="AJ92" s="187"/>
      <c r="AK92" s="187"/>
      <c r="AL92" s="184"/>
      <c r="AM92" s="181"/>
      <c r="AN92" s="612"/>
      <c r="AO92" s="187"/>
      <c r="AP92" s="187"/>
      <c r="AQ92" s="184"/>
      <c r="AR92" s="181"/>
      <c r="AS92" s="612"/>
      <c r="AT92" s="187"/>
      <c r="AU92" s="187"/>
      <c r="AV92" s="184"/>
      <c r="AW92" s="181"/>
      <c r="AX92" s="612"/>
    </row>
    <row r="93" spans="2:50" ht="14.25" customHeight="1">
      <c r="B93" s="611"/>
      <c r="C93" s="179">
        <v>7</v>
      </c>
      <c r="D93" s="182"/>
      <c r="E93" s="179"/>
      <c r="F93" s="179"/>
      <c r="G93" s="184"/>
      <c r="H93" s="612"/>
      <c r="I93" s="185"/>
      <c r="J93" s="185"/>
      <c r="K93" s="186"/>
      <c r="L93" s="613"/>
      <c r="M93" s="185"/>
      <c r="N93" s="611"/>
      <c r="O93" s="611"/>
      <c r="P93" s="187"/>
      <c r="Q93" s="187"/>
      <c r="R93" s="184"/>
      <c r="S93" s="181"/>
      <c r="T93" s="612"/>
      <c r="U93" s="187"/>
      <c r="V93" s="187"/>
      <c r="W93" s="184"/>
      <c r="X93" s="181"/>
      <c r="Y93" s="612"/>
      <c r="Z93" s="187"/>
      <c r="AA93" s="187"/>
      <c r="AB93" s="184"/>
      <c r="AC93" s="181"/>
      <c r="AD93" s="612"/>
      <c r="AE93" s="187"/>
      <c r="AF93" s="187"/>
      <c r="AG93" s="184"/>
      <c r="AH93" s="181"/>
      <c r="AI93" s="612"/>
      <c r="AJ93" s="187"/>
      <c r="AK93" s="187"/>
      <c r="AL93" s="184"/>
      <c r="AM93" s="181"/>
      <c r="AN93" s="612"/>
      <c r="AO93" s="187"/>
      <c r="AP93" s="187"/>
      <c r="AQ93" s="184"/>
      <c r="AR93" s="181"/>
      <c r="AS93" s="612"/>
      <c r="AT93" s="187"/>
      <c r="AU93" s="187"/>
      <c r="AV93" s="184"/>
      <c r="AW93" s="181"/>
      <c r="AX93" s="612"/>
    </row>
    <row r="94" spans="2:50" ht="14.25" customHeight="1">
      <c r="B94" s="611"/>
      <c r="C94" s="179">
        <v>8</v>
      </c>
      <c r="D94" s="182"/>
      <c r="E94" s="179"/>
      <c r="F94" s="179"/>
      <c r="G94" s="184"/>
      <c r="H94" s="612"/>
      <c r="I94" s="185"/>
      <c r="J94" s="185"/>
      <c r="K94" s="186"/>
      <c r="L94" s="613"/>
      <c r="M94" s="185"/>
      <c r="N94" s="611"/>
      <c r="O94" s="611"/>
      <c r="P94" s="187"/>
      <c r="Q94" s="187"/>
      <c r="R94" s="184"/>
      <c r="S94" s="181"/>
      <c r="T94" s="612"/>
      <c r="U94" s="187"/>
      <c r="V94" s="187"/>
      <c r="W94" s="184"/>
      <c r="X94" s="181"/>
      <c r="Y94" s="612"/>
      <c r="Z94" s="187"/>
      <c r="AA94" s="187"/>
      <c r="AB94" s="184"/>
      <c r="AC94" s="181"/>
      <c r="AD94" s="612"/>
      <c r="AE94" s="187"/>
      <c r="AF94" s="187"/>
      <c r="AG94" s="184"/>
      <c r="AH94" s="181"/>
      <c r="AI94" s="612"/>
      <c r="AJ94" s="187"/>
      <c r="AK94" s="187"/>
      <c r="AL94" s="184"/>
      <c r="AM94" s="181"/>
      <c r="AN94" s="612"/>
      <c r="AO94" s="187"/>
      <c r="AP94" s="187"/>
      <c r="AQ94" s="184"/>
      <c r="AR94" s="181"/>
      <c r="AS94" s="612"/>
      <c r="AT94" s="187"/>
      <c r="AU94" s="187"/>
      <c r="AV94" s="184"/>
      <c r="AW94" s="181"/>
      <c r="AX94" s="612"/>
    </row>
    <row r="95" spans="2:50" ht="14.25" customHeight="1">
      <c r="B95" s="611"/>
      <c r="C95" s="179">
        <v>9</v>
      </c>
      <c r="D95" s="182"/>
      <c r="E95" s="179"/>
      <c r="F95" s="179"/>
      <c r="G95" s="184"/>
      <c r="H95" s="612"/>
      <c r="I95" s="185"/>
      <c r="J95" s="185"/>
      <c r="K95" s="186"/>
      <c r="L95" s="613"/>
      <c r="M95" s="185"/>
      <c r="N95" s="611"/>
      <c r="O95" s="611"/>
      <c r="P95" s="187"/>
      <c r="Q95" s="187"/>
      <c r="R95" s="184"/>
      <c r="S95" s="181"/>
      <c r="T95" s="612"/>
      <c r="U95" s="187"/>
      <c r="V95" s="187"/>
      <c r="W95" s="184"/>
      <c r="X95" s="181"/>
      <c r="Y95" s="612"/>
      <c r="Z95" s="187"/>
      <c r="AA95" s="187"/>
      <c r="AB95" s="184"/>
      <c r="AC95" s="181"/>
      <c r="AD95" s="612"/>
      <c r="AE95" s="187"/>
      <c r="AF95" s="187"/>
      <c r="AG95" s="184"/>
      <c r="AH95" s="181"/>
      <c r="AI95" s="612"/>
      <c r="AJ95" s="187"/>
      <c r="AK95" s="187"/>
      <c r="AL95" s="184"/>
      <c r="AM95" s="181"/>
      <c r="AN95" s="612"/>
      <c r="AO95" s="187"/>
      <c r="AP95" s="187"/>
      <c r="AQ95" s="184"/>
      <c r="AR95" s="181"/>
      <c r="AS95" s="612"/>
      <c r="AT95" s="187"/>
      <c r="AU95" s="187"/>
      <c r="AV95" s="184"/>
      <c r="AW95" s="181"/>
      <c r="AX95" s="612"/>
    </row>
    <row r="96" spans="2:50" ht="14.25" customHeight="1">
      <c r="B96" s="611"/>
      <c r="C96" s="179">
        <v>10</v>
      </c>
      <c r="D96" s="182"/>
      <c r="E96" s="179"/>
      <c r="F96" s="179"/>
      <c r="G96" s="184"/>
      <c r="H96" s="612"/>
      <c r="I96" s="185"/>
      <c r="J96" s="185"/>
      <c r="K96" s="186"/>
      <c r="L96" s="613"/>
      <c r="M96" s="185"/>
      <c r="N96" s="611"/>
      <c r="O96" s="611"/>
      <c r="P96" s="187"/>
      <c r="Q96" s="187"/>
      <c r="R96" s="184"/>
      <c r="S96" s="181"/>
      <c r="T96" s="612"/>
      <c r="U96" s="187"/>
      <c r="V96" s="187"/>
      <c r="W96" s="184"/>
      <c r="X96" s="181"/>
      <c r="Y96" s="612"/>
      <c r="Z96" s="187"/>
      <c r="AA96" s="187"/>
      <c r="AB96" s="184"/>
      <c r="AC96" s="181"/>
      <c r="AD96" s="612"/>
      <c r="AE96" s="187"/>
      <c r="AF96" s="187"/>
      <c r="AG96" s="184"/>
      <c r="AH96" s="181"/>
      <c r="AI96" s="612"/>
      <c r="AJ96" s="187"/>
      <c r="AK96" s="187"/>
      <c r="AL96" s="184"/>
      <c r="AM96" s="181"/>
      <c r="AN96" s="612"/>
      <c r="AO96" s="187"/>
      <c r="AP96" s="187"/>
      <c r="AQ96" s="184"/>
      <c r="AR96" s="181"/>
      <c r="AS96" s="612"/>
      <c r="AT96" s="187"/>
      <c r="AU96" s="187"/>
      <c r="AV96" s="184"/>
      <c r="AW96" s="181"/>
      <c r="AX96" s="612"/>
    </row>
    <row r="97" spans="2:50" ht="14.25" customHeight="1">
      <c r="B97" s="611"/>
      <c r="C97" s="179">
        <v>11</v>
      </c>
      <c r="D97" s="182"/>
      <c r="E97" s="179"/>
      <c r="F97" s="179"/>
      <c r="G97" s="184"/>
      <c r="H97" s="612"/>
      <c r="I97" s="185"/>
      <c r="J97" s="185"/>
      <c r="K97" s="186"/>
      <c r="L97" s="613"/>
      <c r="M97" s="185"/>
      <c r="N97" s="611"/>
      <c r="O97" s="611"/>
      <c r="P97" s="187"/>
      <c r="Q97" s="187"/>
      <c r="R97" s="184"/>
      <c r="S97" s="181"/>
      <c r="T97" s="612"/>
      <c r="U97" s="187"/>
      <c r="V97" s="187"/>
      <c r="W97" s="184"/>
      <c r="X97" s="181"/>
      <c r="Y97" s="612"/>
      <c r="Z97" s="187"/>
      <c r="AA97" s="187"/>
      <c r="AB97" s="184"/>
      <c r="AC97" s="181"/>
      <c r="AD97" s="612"/>
      <c r="AE97" s="187"/>
      <c r="AF97" s="187"/>
      <c r="AG97" s="184"/>
      <c r="AH97" s="181"/>
      <c r="AI97" s="612"/>
      <c r="AJ97" s="187"/>
      <c r="AK97" s="187"/>
      <c r="AL97" s="184"/>
      <c r="AM97" s="181"/>
      <c r="AN97" s="612"/>
      <c r="AO97" s="187"/>
      <c r="AP97" s="187"/>
      <c r="AQ97" s="184"/>
      <c r="AR97" s="181"/>
      <c r="AS97" s="612"/>
      <c r="AT97" s="187"/>
      <c r="AU97" s="187"/>
      <c r="AV97" s="184"/>
      <c r="AW97" s="181"/>
      <c r="AX97" s="612"/>
    </row>
    <row r="98" spans="2:50" ht="14.25" customHeight="1">
      <c r="B98" s="611"/>
      <c r="C98" s="179">
        <v>12</v>
      </c>
      <c r="D98" s="182"/>
      <c r="E98" s="179"/>
      <c r="F98" s="179"/>
      <c r="G98" s="184"/>
      <c r="H98" s="612"/>
      <c r="I98" s="185"/>
      <c r="J98" s="185"/>
      <c r="K98" s="186"/>
      <c r="L98" s="613"/>
      <c r="M98" s="185"/>
      <c r="N98" s="611"/>
      <c r="O98" s="611"/>
      <c r="P98" s="187"/>
      <c r="Q98" s="187"/>
      <c r="R98" s="184"/>
      <c r="S98" s="181"/>
      <c r="T98" s="612"/>
      <c r="U98" s="187"/>
      <c r="V98" s="187"/>
      <c r="W98" s="184"/>
      <c r="X98" s="181"/>
      <c r="Y98" s="612"/>
      <c r="Z98" s="187"/>
      <c r="AA98" s="187"/>
      <c r="AB98" s="184"/>
      <c r="AC98" s="181"/>
      <c r="AD98" s="612"/>
      <c r="AE98" s="187"/>
      <c r="AF98" s="187"/>
      <c r="AG98" s="184"/>
      <c r="AH98" s="181"/>
      <c r="AI98" s="612"/>
      <c r="AJ98" s="187"/>
      <c r="AK98" s="187"/>
      <c r="AL98" s="184"/>
      <c r="AM98" s="181"/>
      <c r="AN98" s="612"/>
      <c r="AO98" s="187"/>
      <c r="AP98" s="187"/>
      <c r="AQ98" s="184"/>
      <c r="AR98" s="181"/>
      <c r="AS98" s="612"/>
      <c r="AT98" s="187"/>
      <c r="AU98" s="187"/>
      <c r="AV98" s="184"/>
      <c r="AW98" s="181"/>
      <c r="AX98" s="612"/>
    </row>
    <row r="99" spans="2:50" ht="14.25" customHeight="1">
      <c r="B99" s="611"/>
      <c r="C99" s="179">
        <v>13</v>
      </c>
      <c r="D99" s="182"/>
      <c r="E99" s="179"/>
      <c r="F99" s="179"/>
      <c r="G99" s="184"/>
      <c r="H99" s="612"/>
      <c r="I99" s="185"/>
      <c r="J99" s="185"/>
      <c r="K99" s="186"/>
      <c r="L99" s="613"/>
      <c r="M99" s="185"/>
      <c r="N99" s="611"/>
      <c r="O99" s="611"/>
      <c r="P99" s="187"/>
      <c r="Q99" s="187"/>
      <c r="R99" s="184"/>
      <c r="S99" s="181"/>
      <c r="T99" s="612"/>
      <c r="U99" s="187"/>
      <c r="V99" s="187"/>
      <c r="W99" s="184"/>
      <c r="X99" s="181"/>
      <c r="Y99" s="612"/>
      <c r="Z99" s="187"/>
      <c r="AA99" s="187"/>
      <c r="AB99" s="184"/>
      <c r="AC99" s="181"/>
      <c r="AD99" s="612"/>
      <c r="AE99" s="187"/>
      <c r="AF99" s="187"/>
      <c r="AG99" s="184"/>
      <c r="AH99" s="181"/>
      <c r="AI99" s="612"/>
      <c r="AJ99" s="187"/>
      <c r="AK99" s="187"/>
      <c r="AL99" s="184"/>
      <c r="AM99" s="181"/>
      <c r="AN99" s="612"/>
      <c r="AO99" s="187"/>
      <c r="AP99" s="187"/>
      <c r="AQ99" s="184"/>
      <c r="AR99" s="181"/>
      <c r="AS99" s="612"/>
      <c r="AT99" s="187"/>
      <c r="AU99" s="187"/>
      <c r="AV99" s="184"/>
      <c r="AW99" s="181"/>
      <c r="AX99" s="612"/>
    </row>
    <row r="100" spans="2:50" ht="14.25" customHeight="1">
      <c r="B100" s="611"/>
      <c r="C100" s="179">
        <v>14</v>
      </c>
      <c r="D100" s="182"/>
      <c r="E100" s="179"/>
      <c r="F100" s="179"/>
      <c r="G100" s="184"/>
      <c r="H100" s="612"/>
      <c r="I100" s="185"/>
      <c r="J100" s="185"/>
      <c r="K100" s="186"/>
      <c r="L100" s="613"/>
      <c r="M100" s="185"/>
      <c r="N100" s="611"/>
      <c r="O100" s="611"/>
      <c r="P100" s="187"/>
      <c r="Q100" s="187"/>
      <c r="R100" s="184"/>
      <c r="S100" s="181"/>
      <c r="T100" s="612"/>
      <c r="U100" s="187"/>
      <c r="V100" s="187"/>
      <c r="W100" s="184"/>
      <c r="X100" s="181"/>
      <c r="Y100" s="612"/>
      <c r="Z100" s="187"/>
      <c r="AA100" s="187"/>
      <c r="AB100" s="184"/>
      <c r="AC100" s="181"/>
      <c r="AD100" s="612"/>
      <c r="AE100" s="187"/>
      <c r="AF100" s="187"/>
      <c r="AG100" s="184"/>
      <c r="AH100" s="181"/>
      <c r="AI100" s="612"/>
      <c r="AJ100" s="187"/>
      <c r="AK100" s="187"/>
      <c r="AL100" s="184"/>
      <c r="AM100" s="181"/>
      <c r="AN100" s="612"/>
      <c r="AO100" s="187"/>
      <c r="AP100" s="187"/>
      <c r="AQ100" s="184"/>
      <c r="AR100" s="181"/>
      <c r="AS100" s="612"/>
      <c r="AT100" s="187"/>
      <c r="AU100" s="187"/>
      <c r="AV100" s="184"/>
      <c r="AW100" s="181"/>
      <c r="AX100" s="612"/>
    </row>
    <row r="101" spans="2:50" ht="14.25" customHeight="1">
      <c r="B101" s="611"/>
      <c r="C101" s="179">
        <v>15</v>
      </c>
      <c r="D101" s="182"/>
      <c r="E101" s="179"/>
      <c r="F101" s="179"/>
      <c r="G101" s="184"/>
      <c r="H101" s="612"/>
      <c r="I101" s="185"/>
      <c r="J101" s="185"/>
      <c r="K101" s="186"/>
      <c r="L101" s="613"/>
      <c r="M101" s="185"/>
      <c r="N101" s="611"/>
      <c r="O101" s="611"/>
      <c r="P101" s="187"/>
      <c r="Q101" s="187"/>
      <c r="R101" s="184"/>
      <c r="S101" s="181"/>
      <c r="T101" s="612"/>
      <c r="U101" s="187"/>
      <c r="V101" s="187"/>
      <c r="W101" s="184"/>
      <c r="X101" s="181"/>
      <c r="Y101" s="612"/>
      <c r="Z101" s="187"/>
      <c r="AA101" s="187"/>
      <c r="AB101" s="184"/>
      <c r="AC101" s="181"/>
      <c r="AD101" s="612"/>
      <c r="AE101" s="187"/>
      <c r="AF101" s="187"/>
      <c r="AG101" s="184"/>
      <c r="AH101" s="181"/>
      <c r="AI101" s="612"/>
      <c r="AJ101" s="187"/>
      <c r="AK101" s="187"/>
      <c r="AL101" s="184"/>
      <c r="AM101" s="181"/>
      <c r="AN101" s="612"/>
      <c r="AO101" s="187"/>
      <c r="AP101" s="187"/>
      <c r="AQ101" s="184"/>
      <c r="AR101" s="181"/>
      <c r="AS101" s="612"/>
      <c r="AT101" s="187"/>
      <c r="AU101" s="187"/>
      <c r="AV101" s="184"/>
      <c r="AW101" s="181"/>
      <c r="AX101" s="612"/>
    </row>
  </sheetData>
  <mergeCells count="295"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AE45:AH45"/>
    <mergeCell ref="AJ45:AM45"/>
    <mergeCell ref="AO45:AR45"/>
    <mergeCell ref="AT45:AW45"/>
    <mergeCell ref="M44:M46"/>
    <mergeCell ref="N44:N61"/>
    <mergeCell ref="O44:O61"/>
    <mergeCell ref="P44:S44"/>
    <mergeCell ref="T44:T46"/>
    <mergeCell ref="U44:X44"/>
    <mergeCell ref="Y44:Y46"/>
    <mergeCell ref="AX47:AX61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I44:K44"/>
    <mergeCell ref="L44:L46"/>
    <mergeCell ref="Z44:AC44"/>
    <mergeCell ref="AD44:AD46"/>
    <mergeCell ref="Z45:AC45"/>
    <mergeCell ref="B42:M43"/>
    <mergeCell ref="N42:N43"/>
    <mergeCell ref="O42:O43"/>
    <mergeCell ref="P42:T42"/>
    <mergeCell ref="U42:Y42"/>
    <mergeCell ref="Z42:AD42"/>
    <mergeCell ref="B44:B46"/>
    <mergeCell ref="C44:D46"/>
    <mergeCell ref="E44:G44"/>
    <mergeCell ref="H44:H46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tabColor rgb="FFFFFFCC"/>
  </sheetPr>
  <dimension ref="A1:AX101"/>
  <sheetViews>
    <sheetView zoomScaleNormal="100" workbookViewId="0">
      <pane xSplit="13" ySplit="1" topLeftCell="AI80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AW87" sqref="AW87:AW92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456" t="s">
        <v>720</v>
      </c>
      <c r="C1" s="174">
        <f>AVERAGE(L7,L27,L47,L67,L87)</f>
        <v>437.64998264612387</v>
      </c>
    </row>
    <row r="2" spans="1:50" ht="14.25" customHeight="1" collapsed="1">
      <c r="B2" s="640" t="s">
        <v>709</v>
      </c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2"/>
      <c r="N2" s="645" t="s">
        <v>363</v>
      </c>
      <c r="O2" s="630" t="s">
        <v>105</v>
      </c>
      <c r="P2" s="632">
        <v>46203</v>
      </c>
      <c r="Q2" s="633"/>
      <c r="R2" s="633"/>
      <c r="S2" s="633"/>
      <c r="T2" s="633"/>
      <c r="U2" s="634">
        <v>46204</v>
      </c>
      <c r="V2" s="635"/>
      <c r="W2" s="635"/>
      <c r="X2" s="635"/>
      <c r="Y2" s="635"/>
      <c r="Z2" s="632">
        <v>46205</v>
      </c>
      <c r="AA2" s="633"/>
      <c r="AB2" s="633"/>
      <c r="AC2" s="633"/>
      <c r="AD2" s="633"/>
      <c r="AE2" s="634">
        <v>46206</v>
      </c>
      <c r="AF2" s="635"/>
      <c r="AG2" s="635"/>
      <c r="AH2" s="635"/>
      <c r="AI2" s="635"/>
      <c r="AJ2" s="616">
        <v>46207</v>
      </c>
      <c r="AK2" s="617"/>
      <c r="AL2" s="617"/>
      <c r="AM2" s="617"/>
      <c r="AN2" s="618"/>
      <c r="AO2" s="634">
        <v>46208</v>
      </c>
      <c r="AP2" s="635"/>
      <c r="AQ2" s="635"/>
      <c r="AR2" s="635"/>
      <c r="AS2" s="635"/>
      <c r="AT2" s="616">
        <v>46209</v>
      </c>
      <c r="AU2" s="617"/>
      <c r="AV2" s="617"/>
      <c r="AW2" s="617"/>
      <c r="AX2" s="618"/>
    </row>
    <row r="3" spans="1:50" ht="14.25" customHeight="1">
      <c r="B3" s="643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4"/>
      <c r="N3" s="646"/>
      <c r="O3" s="631"/>
      <c r="P3" s="619">
        <v>46196</v>
      </c>
      <c r="Q3" s="619"/>
      <c r="R3" s="619"/>
      <c r="S3" s="619"/>
      <c r="T3" s="619"/>
      <c r="U3" s="620">
        <v>46197</v>
      </c>
      <c r="V3" s="620"/>
      <c r="W3" s="620"/>
      <c r="X3" s="620"/>
      <c r="Y3" s="620"/>
      <c r="Z3" s="619">
        <v>46198</v>
      </c>
      <c r="AA3" s="619"/>
      <c r="AB3" s="619"/>
      <c r="AC3" s="619"/>
      <c r="AD3" s="619"/>
      <c r="AE3" s="620">
        <v>46199</v>
      </c>
      <c r="AF3" s="620"/>
      <c r="AG3" s="620"/>
      <c r="AH3" s="620"/>
      <c r="AI3" s="620"/>
      <c r="AJ3" s="621">
        <v>46200</v>
      </c>
      <c r="AK3" s="622"/>
      <c r="AL3" s="622"/>
      <c r="AM3" s="622"/>
      <c r="AN3" s="623"/>
      <c r="AO3" s="620">
        <v>46201</v>
      </c>
      <c r="AP3" s="620"/>
      <c r="AQ3" s="620"/>
      <c r="AR3" s="620"/>
      <c r="AS3" s="620"/>
      <c r="AT3" s="621">
        <v>46202</v>
      </c>
      <c r="AU3" s="622"/>
      <c r="AV3" s="622"/>
      <c r="AW3" s="622"/>
      <c r="AX3" s="623"/>
    </row>
    <row r="4" spans="1:50" ht="14.25" customHeight="1">
      <c r="B4" s="611" t="s">
        <v>162</v>
      </c>
      <c r="C4" s="611" t="s">
        <v>157</v>
      </c>
      <c r="D4" s="611"/>
      <c r="E4" s="611" t="s">
        <v>158</v>
      </c>
      <c r="F4" s="611"/>
      <c r="G4" s="611"/>
      <c r="H4" s="611" t="s">
        <v>163</v>
      </c>
      <c r="I4" s="615" t="s">
        <v>364</v>
      </c>
      <c r="J4" s="615"/>
      <c r="K4" s="615"/>
      <c r="L4" s="615" t="s">
        <v>163</v>
      </c>
      <c r="M4" s="615" t="s">
        <v>165</v>
      </c>
      <c r="N4" s="611"/>
      <c r="O4" s="611" t="s">
        <v>164</v>
      </c>
      <c r="P4" s="611" t="s">
        <v>160</v>
      </c>
      <c r="Q4" s="611"/>
      <c r="R4" s="611"/>
      <c r="S4" s="611"/>
      <c r="T4" s="611" t="s">
        <v>163</v>
      </c>
      <c r="U4" s="611" t="s">
        <v>160</v>
      </c>
      <c r="V4" s="611"/>
      <c r="W4" s="611"/>
      <c r="X4" s="611"/>
      <c r="Y4" s="611" t="s">
        <v>163</v>
      </c>
      <c r="Z4" s="611" t="s">
        <v>160</v>
      </c>
      <c r="AA4" s="611"/>
      <c r="AB4" s="611"/>
      <c r="AC4" s="611"/>
      <c r="AD4" s="611" t="s">
        <v>163</v>
      </c>
      <c r="AE4" s="611" t="s">
        <v>160</v>
      </c>
      <c r="AF4" s="611"/>
      <c r="AG4" s="611"/>
      <c r="AH4" s="611"/>
      <c r="AI4" s="611" t="s">
        <v>163</v>
      </c>
      <c r="AJ4" s="611" t="s">
        <v>160</v>
      </c>
      <c r="AK4" s="611"/>
      <c r="AL4" s="611"/>
      <c r="AM4" s="611"/>
      <c r="AN4" s="611" t="s">
        <v>163</v>
      </c>
      <c r="AO4" s="611" t="s">
        <v>160</v>
      </c>
      <c r="AP4" s="611"/>
      <c r="AQ4" s="611"/>
      <c r="AR4" s="611"/>
      <c r="AS4" s="611" t="s">
        <v>163</v>
      </c>
      <c r="AT4" s="611" t="s">
        <v>160</v>
      </c>
      <c r="AU4" s="611"/>
      <c r="AV4" s="611"/>
      <c r="AW4" s="611"/>
      <c r="AX4" s="611" t="s">
        <v>163</v>
      </c>
    </row>
    <row r="5" spans="1:50" ht="14.25" customHeight="1">
      <c r="B5" s="611"/>
      <c r="C5" s="611"/>
      <c r="D5" s="611"/>
      <c r="E5" s="611" t="s">
        <v>365</v>
      </c>
      <c r="F5" s="611"/>
      <c r="G5" s="611"/>
      <c r="H5" s="611"/>
      <c r="I5" s="615" t="s">
        <v>365</v>
      </c>
      <c r="J5" s="615"/>
      <c r="K5" s="615"/>
      <c r="L5" s="615"/>
      <c r="M5" s="615"/>
      <c r="N5" s="611"/>
      <c r="O5" s="611"/>
      <c r="P5" s="611" t="s">
        <v>366</v>
      </c>
      <c r="Q5" s="611"/>
      <c r="R5" s="611"/>
      <c r="S5" s="611"/>
      <c r="T5" s="611"/>
      <c r="U5" s="611" t="s">
        <v>366</v>
      </c>
      <c r="V5" s="611"/>
      <c r="W5" s="611"/>
      <c r="X5" s="611"/>
      <c r="Y5" s="611"/>
      <c r="Z5" s="611" t="s">
        <v>366</v>
      </c>
      <c r="AA5" s="611"/>
      <c r="AB5" s="611"/>
      <c r="AC5" s="611"/>
      <c r="AD5" s="611"/>
      <c r="AE5" s="611" t="s">
        <v>366</v>
      </c>
      <c r="AF5" s="611"/>
      <c r="AG5" s="611"/>
      <c r="AH5" s="611"/>
      <c r="AI5" s="611"/>
      <c r="AJ5" s="611" t="s">
        <v>366</v>
      </c>
      <c r="AK5" s="611"/>
      <c r="AL5" s="611"/>
      <c r="AM5" s="611"/>
      <c r="AN5" s="611"/>
      <c r="AO5" s="611" t="s">
        <v>366</v>
      </c>
      <c r="AP5" s="611"/>
      <c r="AQ5" s="611"/>
      <c r="AR5" s="611"/>
      <c r="AS5" s="611"/>
      <c r="AT5" s="611" t="s">
        <v>366</v>
      </c>
      <c r="AU5" s="611"/>
      <c r="AV5" s="611"/>
      <c r="AW5" s="611"/>
      <c r="AX5" s="611"/>
    </row>
    <row r="6" spans="1:50" ht="14.25" customHeight="1">
      <c r="B6" s="611"/>
      <c r="C6" s="611"/>
      <c r="D6" s="611"/>
      <c r="E6" s="179" t="s">
        <v>159</v>
      </c>
      <c r="F6" s="179" t="s">
        <v>367</v>
      </c>
      <c r="G6" s="179" t="s">
        <v>161</v>
      </c>
      <c r="H6" s="611"/>
      <c r="I6" s="180" t="s">
        <v>159</v>
      </c>
      <c r="J6" s="180" t="s">
        <v>367</v>
      </c>
      <c r="K6" s="180" t="s">
        <v>161</v>
      </c>
      <c r="L6" s="615"/>
      <c r="M6" s="615"/>
      <c r="N6" s="611"/>
      <c r="O6" s="611"/>
      <c r="P6" s="179" t="s">
        <v>159</v>
      </c>
      <c r="Q6" s="179" t="s">
        <v>367</v>
      </c>
      <c r="R6" s="179" t="s">
        <v>161</v>
      </c>
      <c r="S6" s="181" t="s">
        <v>165</v>
      </c>
      <c r="T6" s="611"/>
      <c r="U6" s="179" t="s">
        <v>159</v>
      </c>
      <c r="V6" s="179" t="s">
        <v>367</v>
      </c>
      <c r="W6" s="179" t="s">
        <v>161</v>
      </c>
      <c r="X6" s="181" t="s">
        <v>165</v>
      </c>
      <c r="Y6" s="611"/>
      <c r="Z6" s="179" t="s">
        <v>159</v>
      </c>
      <c r="AA6" s="179" t="s">
        <v>367</v>
      </c>
      <c r="AB6" s="179" t="s">
        <v>161</v>
      </c>
      <c r="AC6" s="181" t="s">
        <v>165</v>
      </c>
      <c r="AD6" s="611"/>
      <c r="AE6" s="179" t="s">
        <v>159</v>
      </c>
      <c r="AF6" s="179" t="s">
        <v>367</v>
      </c>
      <c r="AG6" s="179" t="s">
        <v>161</v>
      </c>
      <c r="AH6" s="181" t="s">
        <v>165</v>
      </c>
      <c r="AI6" s="611"/>
      <c r="AJ6" s="179" t="s">
        <v>159</v>
      </c>
      <c r="AK6" s="179" t="s">
        <v>367</v>
      </c>
      <c r="AL6" s="179" t="s">
        <v>161</v>
      </c>
      <c r="AM6" s="181" t="s">
        <v>165</v>
      </c>
      <c r="AN6" s="611"/>
      <c r="AO6" s="179" t="s">
        <v>159</v>
      </c>
      <c r="AP6" s="179" t="s">
        <v>367</v>
      </c>
      <c r="AQ6" s="179" t="s">
        <v>161</v>
      </c>
      <c r="AR6" s="181" t="s">
        <v>165</v>
      </c>
      <c r="AS6" s="611"/>
      <c r="AT6" s="179" t="s">
        <v>159</v>
      </c>
      <c r="AU6" s="179" t="s">
        <v>367</v>
      </c>
      <c r="AV6" s="179" t="s">
        <v>161</v>
      </c>
      <c r="AW6" s="181" t="s">
        <v>165</v>
      </c>
      <c r="AX6" s="611"/>
    </row>
    <row r="7" spans="1:50" ht="14.25" customHeight="1">
      <c r="B7" s="611" t="s">
        <v>370</v>
      </c>
      <c r="C7" s="179">
        <v>1</v>
      </c>
      <c r="D7" s="182" t="s">
        <v>596</v>
      </c>
      <c r="E7" s="183">
        <v>5</v>
      </c>
      <c r="F7" s="179">
        <v>3273</v>
      </c>
      <c r="G7" s="184">
        <f>IFERROR(F7/E7,"")</f>
        <v>654.6</v>
      </c>
      <c r="H7" s="612">
        <f>AVERAGE(G7:G21)</f>
        <v>456.17333333333335</v>
      </c>
      <c r="I7" s="185">
        <f>AVERAGE(P7,U7,Z7,AE7,AJ7,AO7,AT7)</f>
        <v>6</v>
      </c>
      <c r="J7" s="185">
        <f>AVERAGE(Q7,V7,AA7,AF7,AK7,AP7,AU7)</f>
        <v>2961.6418775921857</v>
      </c>
      <c r="K7" s="186">
        <f>AVERAGE(R7,W7,AB7,AG7,AL7,AQ7,AV7)</f>
        <v>493.60697959869776</v>
      </c>
      <c r="L7" s="613">
        <f>IFERROR(AVERAGE(K7:K21),"-")</f>
        <v>393.22072339151038</v>
      </c>
      <c r="M7" s="185">
        <f>RANK(K7, K$7:$K$21)</f>
        <v>2</v>
      </c>
      <c r="N7" s="611"/>
      <c r="O7" s="611"/>
      <c r="P7" s="187">
        <v>6</v>
      </c>
      <c r="Q7" s="187">
        <v>2961.6418775921861</v>
      </c>
      <c r="R7" s="184">
        <f>IFERROR(Q7/P7,"")</f>
        <v>493.60697959869771</v>
      </c>
      <c r="S7" s="181">
        <f>RANK(R7, R$7:R$21)</f>
        <v>2</v>
      </c>
      <c r="T7" s="612">
        <f>AVERAGE(R7:R21)</f>
        <v>393.15172008544533</v>
      </c>
      <c r="U7" s="187">
        <v>6</v>
      </c>
      <c r="V7" s="187">
        <v>2961.6418775921866</v>
      </c>
      <c r="W7" s="184">
        <f t="shared" ref="W7:W11" si="0">IFERROR(V7/U7,"")</f>
        <v>493.60697959869776</v>
      </c>
      <c r="X7" s="181">
        <f>RANK(W7, W$7:W$21)</f>
        <v>2</v>
      </c>
      <c r="Y7" s="612">
        <f>AVERAGE(W7:W21)</f>
        <v>393.199294752112</v>
      </c>
      <c r="Z7" s="187">
        <v>6</v>
      </c>
      <c r="AA7" s="187">
        <v>2961.6418775921861</v>
      </c>
      <c r="AB7" s="184">
        <f>IFERROR(AA7/Z7,"")</f>
        <v>493.60697959869771</v>
      </c>
      <c r="AC7" s="181">
        <f>RANK(AB7, AB$7:AB$21)</f>
        <v>2</v>
      </c>
      <c r="AD7" s="612">
        <f>AVERAGE(AB7:AB21)</f>
        <v>393.14737741877866</v>
      </c>
      <c r="AE7" s="187">
        <v>6</v>
      </c>
      <c r="AF7" s="187">
        <v>2961.6418775921866</v>
      </c>
      <c r="AG7" s="184">
        <f>IFERROR(AF7/AE7,"")</f>
        <v>493.60697959869776</v>
      </c>
      <c r="AH7" s="181">
        <f>RANK(AG7, AG$7:AG$21)</f>
        <v>2</v>
      </c>
      <c r="AI7" s="612">
        <f>AVERAGE(AG7:AG21)</f>
        <v>393.20610853772581</v>
      </c>
      <c r="AJ7" s="187">
        <v>6</v>
      </c>
      <c r="AK7" s="187">
        <v>2961.6418775921857</v>
      </c>
      <c r="AL7" s="184">
        <f>IFERROR(AK7/AJ7,"")</f>
        <v>493.60697959869759</v>
      </c>
      <c r="AM7" s="181">
        <f>RANK(AL7, AL$7:AL$21)</f>
        <v>2</v>
      </c>
      <c r="AN7" s="612">
        <f>AVERAGE(AL7:AL21)</f>
        <v>393.26714320439248</v>
      </c>
      <c r="AO7" s="187">
        <v>6</v>
      </c>
      <c r="AP7" s="187">
        <v>2961.6418775921861</v>
      </c>
      <c r="AQ7" s="184">
        <f>IFERROR(AP7/AO7,"")</f>
        <v>493.60697959869771</v>
      </c>
      <c r="AR7" s="181">
        <f>RANK(AQ7, AQ$7:AQ$21)</f>
        <v>2</v>
      </c>
      <c r="AS7" s="612">
        <f>AVERAGE(AQ7:AQ21)</f>
        <v>393.30409387105914</v>
      </c>
      <c r="AT7" s="187">
        <v>6</v>
      </c>
      <c r="AU7" s="187">
        <v>2961.6418775921861</v>
      </c>
      <c r="AV7" s="184">
        <f>IFERROR(AU7/AT7,"")</f>
        <v>493.60697959869771</v>
      </c>
      <c r="AW7" s="181">
        <f>RANK(AV7, AV$7:AV$21)</f>
        <v>2</v>
      </c>
      <c r="AX7" s="612">
        <f>AVERAGE(AV7:AV21)</f>
        <v>393.26932587105915</v>
      </c>
    </row>
    <row r="8" spans="1:50" ht="14.25" customHeight="1">
      <c r="B8" s="611"/>
      <c r="C8" s="179">
        <v>2</v>
      </c>
      <c r="D8" s="182" t="s">
        <v>578</v>
      </c>
      <c r="E8" s="179">
        <v>6</v>
      </c>
      <c r="F8" s="179">
        <v>2600</v>
      </c>
      <c r="G8" s="184">
        <f t="shared" ref="G8:G11" si="1">IFERROR(F8/E8,"")</f>
        <v>433.33333333333331</v>
      </c>
      <c r="H8" s="612"/>
      <c r="I8" s="185">
        <f>AVERAGE(P8,U8,Z8,AE8,AJ8,AO8,AT8)</f>
        <v>6</v>
      </c>
      <c r="J8" s="185">
        <f t="shared" ref="J8:K11" si="2">AVERAGE(Q8,V8,AA8,AF8,AK8,AP8,AU8)</f>
        <v>2354.7348409049814</v>
      </c>
      <c r="K8" s="186">
        <f t="shared" si="2"/>
        <v>392.45580681749692</v>
      </c>
      <c r="L8" s="613"/>
      <c r="M8" s="185">
        <f>RANK(K8, K$7:$K$21)</f>
        <v>3</v>
      </c>
      <c r="N8" s="611"/>
      <c r="O8" s="611"/>
      <c r="P8" s="187">
        <v>6</v>
      </c>
      <c r="Q8" s="187">
        <v>2353.211983762124</v>
      </c>
      <c r="R8" s="184">
        <f t="shared" ref="R8:R11" si="3">IFERROR(Q8/P8,"")</f>
        <v>392.20199729368733</v>
      </c>
      <c r="S8" s="181">
        <f t="shared" ref="S8:S11" si="4">RANK(R8, R$7:R$21)</f>
        <v>3</v>
      </c>
      <c r="T8" s="612"/>
      <c r="U8" s="187">
        <v>6</v>
      </c>
      <c r="V8" s="187">
        <v>2353.7319837621239</v>
      </c>
      <c r="W8" s="184">
        <f t="shared" si="0"/>
        <v>392.28866396035397</v>
      </c>
      <c r="X8" s="181">
        <f t="shared" ref="X8:X11" si="5">RANK(W8, W$7:W$21)</f>
        <v>3</v>
      </c>
      <c r="Y8" s="612"/>
      <c r="Z8" s="187">
        <v>6</v>
      </c>
      <c r="AA8" s="187">
        <v>2354.2519837621239</v>
      </c>
      <c r="AB8" s="184">
        <f t="shared" ref="AB8:AB11" si="6">IFERROR(AA8/Z8,"")</f>
        <v>392.37533062702067</v>
      </c>
      <c r="AC8" s="181">
        <f t="shared" ref="AC8:AC11" si="7">RANK(AB8, AB$7:AB$21)</f>
        <v>3</v>
      </c>
      <c r="AD8" s="612"/>
      <c r="AE8" s="187">
        <v>6</v>
      </c>
      <c r="AF8" s="187">
        <v>2355.5519837621241</v>
      </c>
      <c r="AG8" s="184">
        <f t="shared" ref="AG8:AG11" si="8">IFERROR(AF8/AE8,"")</f>
        <v>392.59199729368737</v>
      </c>
      <c r="AH8" s="181">
        <f t="shared" ref="AH8:AH11" si="9">RANK(AG8, AG$7:AG$21)</f>
        <v>3</v>
      </c>
      <c r="AI8" s="612"/>
      <c r="AJ8" s="187">
        <v>6</v>
      </c>
      <c r="AK8" s="187">
        <v>2355.0319837621246</v>
      </c>
      <c r="AL8" s="184">
        <f t="shared" ref="AL8:AL11" si="10">IFERROR(AK8/AJ8,"")</f>
        <v>392.50533062702078</v>
      </c>
      <c r="AM8" s="181">
        <f t="shared" ref="AM8:AM11" si="11">RANK(AL8, AL$7:AL$21)</f>
        <v>3</v>
      </c>
      <c r="AN8" s="612"/>
      <c r="AO8" s="187">
        <v>6</v>
      </c>
      <c r="AP8" s="187">
        <v>2355.8119837621243</v>
      </c>
      <c r="AQ8" s="184">
        <f t="shared" ref="AQ8:AQ11" si="12">IFERROR(AP8/AO8,"")</f>
        <v>392.63533062702072</v>
      </c>
      <c r="AR8" s="181">
        <f t="shared" ref="AR8:AR11" si="13">RANK(AQ8, AQ$7:AQ$21)</f>
        <v>3</v>
      </c>
      <c r="AS8" s="612"/>
      <c r="AT8" s="187">
        <v>6</v>
      </c>
      <c r="AU8" s="187">
        <v>2355.5519837621241</v>
      </c>
      <c r="AV8" s="184">
        <f t="shared" ref="AV8:AV11" si="14">IFERROR(AU8/AT8,"")</f>
        <v>392.59199729368737</v>
      </c>
      <c r="AW8" s="181">
        <f t="shared" ref="AW8:AW11" si="15">RANK(AV8, AV$7:AV$21)</f>
        <v>3</v>
      </c>
      <c r="AX8" s="612"/>
    </row>
    <row r="9" spans="1:50" ht="14.25" customHeight="1">
      <c r="B9" s="611"/>
      <c r="C9" s="179">
        <v>3</v>
      </c>
      <c r="D9" s="182" t="s">
        <v>579</v>
      </c>
      <c r="E9" s="179">
        <v>6</v>
      </c>
      <c r="F9" s="179">
        <v>2600</v>
      </c>
      <c r="G9" s="184">
        <f t="shared" si="1"/>
        <v>433.33333333333331</v>
      </c>
      <c r="H9" s="612"/>
      <c r="I9" s="185">
        <f>AVERAGE(P9,U9,Z9,AE9,AJ9,AO9,AT9)</f>
        <v>6</v>
      </c>
      <c r="J9" s="185">
        <f t="shared" si="2"/>
        <v>2351.5642285625245</v>
      </c>
      <c r="K9" s="186">
        <f t="shared" si="2"/>
        <v>391.92737142708739</v>
      </c>
      <c r="L9" s="613"/>
      <c r="M9" s="185">
        <f>RANK(K9, K$7:$K$21)</f>
        <v>4</v>
      </c>
      <c r="N9" s="611"/>
      <c r="O9" s="611"/>
      <c r="P9" s="187">
        <v>6</v>
      </c>
      <c r="Q9" s="187">
        <v>2349.7772493805733</v>
      </c>
      <c r="R9" s="184">
        <f t="shared" si="3"/>
        <v>391.62954156342886</v>
      </c>
      <c r="S9" s="181">
        <f t="shared" si="4"/>
        <v>4</v>
      </c>
      <c r="T9" s="612"/>
      <c r="U9" s="187">
        <v>6</v>
      </c>
      <c r="V9" s="187">
        <v>2351.077249380573</v>
      </c>
      <c r="W9" s="184">
        <f t="shared" si="0"/>
        <v>391.8462082300955</v>
      </c>
      <c r="X9" s="181">
        <f t="shared" si="5"/>
        <v>4</v>
      </c>
      <c r="Y9" s="612"/>
      <c r="Z9" s="187">
        <v>6</v>
      </c>
      <c r="AA9" s="187">
        <v>2350.037249380573</v>
      </c>
      <c r="AB9" s="184">
        <f t="shared" si="6"/>
        <v>391.67287489676215</v>
      </c>
      <c r="AC9" s="181">
        <f t="shared" si="7"/>
        <v>4</v>
      </c>
      <c r="AD9" s="612"/>
      <c r="AE9" s="187">
        <v>6</v>
      </c>
      <c r="AF9" s="187">
        <v>2351.9294629489873</v>
      </c>
      <c r="AG9" s="184">
        <f t="shared" si="8"/>
        <v>391.98824382483122</v>
      </c>
      <c r="AH9" s="181">
        <f t="shared" si="9"/>
        <v>4</v>
      </c>
      <c r="AI9" s="612"/>
      <c r="AJ9" s="187">
        <v>6</v>
      </c>
      <c r="AK9" s="187">
        <v>2352.7094629489879</v>
      </c>
      <c r="AL9" s="184">
        <f t="shared" si="10"/>
        <v>392.11824382483132</v>
      </c>
      <c r="AM9" s="181">
        <f t="shared" si="11"/>
        <v>4</v>
      </c>
      <c r="AN9" s="612"/>
      <c r="AO9" s="187">
        <v>6</v>
      </c>
      <c r="AP9" s="187">
        <v>2352.1894629489884</v>
      </c>
      <c r="AQ9" s="184">
        <f t="shared" si="12"/>
        <v>392.03157715816474</v>
      </c>
      <c r="AR9" s="181">
        <f t="shared" si="13"/>
        <v>4</v>
      </c>
      <c r="AS9" s="612"/>
      <c r="AT9" s="187">
        <v>6</v>
      </c>
      <c r="AU9" s="187">
        <v>2353.2294629489884</v>
      </c>
      <c r="AV9" s="184">
        <f t="shared" si="14"/>
        <v>392.20491049149808</v>
      </c>
      <c r="AW9" s="181">
        <f t="shared" si="15"/>
        <v>4</v>
      </c>
      <c r="AX9" s="612"/>
    </row>
    <row r="10" spans="1:50" ht="14.25" customHeight="1">
      <c r="B10" s="611"/>
      <c r="C10" s="179">
        <v>4</v>
      </c>
      <c r="D10" s="182" t="s">
        <v>613</v>
      </c>
      <c r="E10" s="179">
        <v>20</v>
      </c>
      <c r="F10" s="179">
        <v>2100</v>
      </c>
      <c r="G10" s="184">
        <f t="shared" si="1"/>
        <v>105</v>
      </c>
      <c r="H10" s="612"/>
      <c r="I10" s="185">
        <f t="shared" ref="I10:I11" si="16">AVERAGE(P10,U10,Z10,AE10,AJ10,AO10,AT10)</f>
        <v>20</v>
      </c>
      <c r="J10" s="185">
        <f t="shared" si="2"/>
        <v>1897.3883422374979</v>
      </c>
      <c r="K10" s="186">
        <f t="shared" si="2"/>
        <v>94.869417111874881</v>
      </c>
      <c r="L10" s="613"/>
      <c r="M10" s="185">
        <f>RANK(K10, K$7:$K$21)</f>
        <v>5</v>
      </c>
      <c r="N10" s="611"/>
      <c r="O10" s="611"/>
      <c r="P10" s="187">
        <v>20</v>
      </c>
      <c r="Q10" s="187">
        <v>1898.528342237498</v>
      </c>
      <c r="R10" s="184">
        <f t="shared" si="3"/>
        <v>94.926417111874898</v>
      </c>
      <c r="S10" s="181">
        <f t="shared" si="4"/>
        <v>5</v>
      </c>
      <c r="T10" s="612"/>
      <c r="U10" s="187">
        <v>20</v>
      </c>
      <c r="V10" s="187">
        <v>1898.5283422374978</v>
      </c>
      <c r="W10" s="184">
        <f t="shared" si="0"/>
        <v>94.926417111874883</v>
      </c>
      <c r="X10" s="181">
        <f t="shared" si="5"/>
        <v>5</v>
      </c>
      <c r="Y10" s="612"/>
      <c r="Z10" s="187">
        <v>20</v>
      </c>
      <c r="AA10" s="187">
        <v>1897.6883422374976</v>
      </c>
      <c r="AB10" s="184">
        <f t="shared" si="6"/>
        <v>94.884417111874882</v>
      </c>
      <c r="AC10" s="181">
        <f t="shared" si="7"/>
        <v>5</v>
      </c>
      <c r="AD10" s="612"/>
      <c r="AE10" s="187">
        <v>20</v>
      </c>
      <c r="AF10" s="187">
        <v>1896.8483422374975</v>
      </c>
      <c r="AG10" s="184">
        <f t="shared" si="8"/>
        <v>94.84241711187488</v>
      </c>
      <c r="AH10" s="181">
        <f t="shared" si="9"/>
        <v>5</v>
      </c>
      <c r="AI10" s="612"/>
      <c r="AJ10" s="187">
        <v>20</v>
      </c>
      <c r="AK10" s="187">
        <v>1896.8483422374977</v>
      </c>
      <c r="AL10" s="184">
        <f t="shared" si="10"/>
        <v>94.84241711187488</v>
      </c>
      <c r="AM10" s="181">
        <f t="shared" si="11"/>
        <v>5</v>
      </c>
      <c r="AN10" s="612"/>
      <c r="AO10" s="187">
        <v>20</v>
      </c>
      <c r="AP10" s="187">
        <v>1897.0583422374978</v>
      </c>
      <c r="AQ10" s="184">
        <f t="shared" si="12"/>
        <v>94.852917111874888</v>
      </c>
      <c r="AR10" s="181">
        <f t="shared" si="13"/>
        <v>5</v>
      </c>
      <c r="AS10" s="612"/>
      <c r="AT10" s="187">
        <v>20</v>
      </c>
      <c r="AU10" s="187">
        <v>1896.2183422374978</v>
      </c>
      <c r="AV10" s="184">
        <f t="shared" si="14"/>
        <v>94.810917111874886</v>
      </c>
      <c r="AW10" s="181">
        <f t="shared" si="15"/>
        <v>5</v>
      </c>
      <c r="AX10" s="612"/>
    </row>
    <row r="11" spans="1:50" ht="14.25" customHeight="1">
      <c r="B11" s="611"/>
      <c r="C11" s="179">
        <v>5</v>
      </c>
      <c r="D11" s="182" t="s">
        <v>629</v>
      </c>
      <c r="E11" s="179">
        <v>5</v>
      </c>
      <c r="F11" s="179">
        <v>3273</v>
      </c>
      <c r="G11" s="184">
        <f t="shared" si="1"/>
        <v>654.6</v>
      </c>
      <c r="H11" s="612"/>
      <c r="I11" s="185">
        <f t="shared" si="16"/>
        <v>5</v>
      </c>
      <c r="J11" s="185">
        <f t="shared" si="2"/>
        <v>2966.2202100119753</v>
      </c>
      <c r="K11" s="186">
        <f t="shared" si="2"/>
        <v>593.24404200239496</v>
      </c>
      <c r="L11" s="613"/>
      <c r="M11" s="185">
        <f>RANK(K11, K$7:$K$21)</f>
        <v>1</v>
      </c>
      <c r="N11" s="611"/>
      <c r="O11" s="611"/>
      <c r="P11" s="187">
        <v>5</v>
      </c>
      <c r="Q11" s="187">
        <v>2966.9683242976903</v>
      </c>
      <c r="R11" s="184">
        <f t="shared" si="3"/>
        <v>593.39366485953803</v>
      </c>
      <c r="S11" s="181">
        <f t="shared" si="4"/>
        <v>1</v>
      </c>
      <c r="T11" s="612"/>
      <c r="U11" s="187">
        <v>5</v>
      </c>
      <c r="V11" s="187">
        <v>2966.6410242976895</v>
      </c>
      <c r="W11" s="184">
        <f t="shared" si="0"/>
        <v>593.32820485953789</v>
      </c>
      <c r="X11" s="181">
        <f t="shared" si="5"/>
        <v>1</v>
      </c>
      <c r="Y11" s="612"/>
      <c r="Z11" s="187">
        <v>5</v>
      </c>
      <c r="AA11" s="187">
        <v>2965.9864242976892</v>
      </c>
      <c r="AB11" s="184">
        <f t="shared" si="6"/>
        <v>593.19728485953783</v>
      </c>
      <c r="AC11" s="181">
        <f t="shared" si="7"/>
        <v>1</v>
      </c>
      <c r="AD11" s="612"/>
      <c r="AE11" s="187">
        <v>5</v>
      </c>
      <c r="AF11" s="187">
        <v>2965.0045242976885</v>
      </c>
      <c r="AG11" s="184">
        <f t="shared" si="8"/>
        <v>593.00090485953774</v>
      </c>
      <c r="AH11" s="181">
        <f t="shared" si="9"/>
        <v>1</v>
      </c>
      <c r="AI11" s="612"/>
      <c r="AJ11" s="187">
        <v>5</v>
      </c>
      <c r="AK11" s="187">
        <v>2966.3137242976886</v>
      </c>
      <c r="AL11" s="184">
        <f t="shared" si="10"/>
        <v>593.26274485953775</v>
      </c>
      <c r="AM11" s="181">
        <f t="shared" si="11"/>
        <v>1</v>
      </c>
      <c r="AN11" s="612"/>
      <c r="AO11" s="187">
        <v>5</v>
      </c>
      <c r="AP11" s="187">
        <v>2966.9683242976885</v>
      </c>
      <c r="AQ11" s="184">
        <f t="shared" si="12"/>
        <v>593.39366485953769</v>
      </c>
      <c r="AR11" s="181">
        <f t="shared" si="13"/>
        <v>1</v>
      </c>
      <c r="AS11" s="612"/>
      <c r="AT11" s="187">
        <v>5</v>
      </c>
      <c r="AU11" s="187">
        <v>2965.6591242976892</v>
      </c>
      <c r="AV11" s="184">
        <f t="shared" si="14"/>
        <v>593.1318248595378</v>
      </c>
      <c r="AW11" s="181">
        <f t="shared" si="15"/>
        <v>1</v>
      </c>
      <c r="AX11" s="612"/>
    </row>
    <row r="12" spans="1:50" ht="14.25" customHeight="1">
      <c r="B12" s="611"/>
      <c r="C12" s="179">
        <v>6</v>
      </c>
      <c r="D12" s="182"/>
      <c r="E12" s="179"/>
      <c r="F12" s="179"/>
      <c r="G12" s="184"/>
      <c r="H12" s="612"/>
      <c r="I12" s="185"/>
      <c r="J12" s="185"/>
      <c r="K12" s="186"/>
      <c r="L12" s="613"/>
      <c r="M12" s="185"/>
      <c r="N12" s="611"/>
      <c r="O12" s="611"/>
      <c r="P12" s="187"/>
      <c r="Q12" s="187"/>
      <c r="R12" s="184"/>
      <c r="S12" s="181"/>
      <c r="T12" s="612"/>
      <c r="U12" s="187"/>
      <c r="V12" s="187"/>
      <c r="W12" s="184"/>
      <c r="X12" s="181"/>
      <c r="Y12" s="612"/>
      <c r="Z12" s="187"/>
      <c r="AA12" s="187"/>
      <c r="AB12" s="184"/>
      <c r="AC12" s="181"/>
      <c r="AD12" s="612"/>
      <c r="AE12" s="187"/>
      <c r="AF12" s="187"/>
      <c r="AG12" s="184"/>
      <c r="AH12" s="181"/>
      <c r="AI12" s="612"/>
      <c r="AJ12" s="187"/>
      <c r="AK12" s="187"/>
      <c r="AL12" s="184"/>
      <c r="AM12" s="181"/>
      <c r="AN12" s="612"/>
      <c r="AO12" s="187"/>
      <c r="AP12" s="187"/>
      <c r="AQ12" s="184"/>
      <c r="AR12" s="181"/>
      <c r="AS12" s="612"/>
      <c r="AT12" s="187"/>
      <c r="AU12" s="187"/>
      <c r="AV12" s="184"/>
      <c r="AW12" s="181"/>
      <c r="AX12" s="612"/>
    </row>
    <row r="13" spans="1:50" ht="14.25" customHeight="1">
      <c r="B13" s="611"/>
      <c r="C13" s="179">
        <v>7</v>
      </c>
      <c r="D13" s="182"/>
      <c r="E13" s="179"/>
      <c r="F13" s="179"/>
      <c r="G13" s="184"/>
      <c r="H13" s="612"/>
      <c r="I13" s="185"/>
      <c r="J13" s="185"/>
      <c r="K13" s="186"/>
      <c r="L13" s="613"/>
      <c r="M13" s="185"/>
      <c r="N13" s="611"/>
      <c r="O13" s="611"/>
      <c r="P13" s="187"/>
      <c r="Q13" s="187"/>
      <c r="R13" s="184"/>
      <c r="S13" s="181"/>
      <c r="T13" s="612"/>
      <c r="U13" s="187"/>
      <c r="V13" s="187"/>
      <c r="W13" s="184"/>
      <c r="X13" s="181"/>
      <c r="Y13" s="612"/>
      <c r="Z13" s="187"/>
      <c r="AA13" s="187"/>
      <c r="AB13" s="184"/>
      <c r="AC13" s="181"/>
      <c r="AD13" s="612"/>
      <c r="AE13" s="187"/>
      <c r="AF13" s="187"/>
      <c r="AG13" s="184"/>
      <c r="AH13" s="181"/>
      <c r="AI13" s="612"/>
      <c r="AJ13" s="187"/>
      <c r="AK13" s="187"/>
      <c r="AL13" s="184"/>
      <c r="AM13" s="181"/>
      <c r="AN13" s="612"/>
      <c r="AO13" s="187"/>
      <c r="AP13" s="187"/>
      <c r="AQ13" s="184"/>
      <c r="AR13" s="181"/>
      <c r="AS13" s="612"/>
      <c r="AT13" s="187"/>
      <c r="AU13" s="187"/>
      <c r="AV13" s="184"/>
      <c r="AW13" s="181"/>
      <c r="AX13" s="612"/>
    </row>
    <row r="14" spans="1:50" ht="14.25" customHeight="1">
      <c r="B14" s="611"/>
      <c r="C14" s="179">
        <v>8</v>
      </c>
      <c r="D14" s="182"/>
      <c r="E14" s="179"/>
      <c r="F14" s="179"/>
      <c r="G14" s="184"/>
      <c r="H14" s="612"/>
      <c r="I14" s="185"/>
      <c r="J14" s="185"/>
      <c r="K14" s="186"/>
      <c r="L14" s="613"/>
      <c r="M14" s="185"/>
      <c r="N14" s="611"/>
      <c r="O14" s="611"/>
      <c r="P14" s="187"/>
      <c r="Q14" s="187"/>
      <c r="R14" s="184"/>
      <c r="S14" s="181"/>
      <c r="T14" s="612"/>
      <c r="U14" s="187"/>
      <c r="V14" s="187"/>
      <c r="W14" s="184"/>
      <c r="X14" s="181"/>
      <c r="Y14" s="612"/>
      <c r="Z14" s="187"/>
      <c r="AA14" s="187"/>
      <c r="AB14" s="184"/>
      <c r="AC14" s="181"/>
      <c r="AD14" s="612"/>
      <c r="AE14" s="187"/>
      <c r="AF14" s="187"/>
      <c r="AG14" s="184"/>
      <c r="AH14" s="181"/>
      <c r="AI14" s="612"/>
      <c r="AJ14" s="187"/>
      <c r="AK14" s="187"/>
      <c r="AL14" s="184"/>
      <c r="AM14" s="181"/>
      <c r="AN14" s="612"/>
      <c r="AO14" s="187"/>
      <c r="AP14" s="187"/>
      <c r="AQ14" s="184"/>
      <c r="AR14" s="181"/>
      <c r="AS14" s="612"/>
      <c r="AT14" s="187"/>
      <c r="AU14" s="187"/>
      <c r="AV14" s="184"/>
      <c r="AW14" s="181"/>
      <c r="AX14" s="612"/>
    </row>
    <row r="15" spans="1:50" ht="14.25" customHeight="1">
      <c r="B15" s="611"/>
      <c r="C15" s="179">
        <v>9</v>
      </c>
      <c r="D15" s="182"/>
      <c r="E15" s="179"/>
      <c r="F15" s="179"/>
      <c r="G15" s="184"/>
      <c r="H15" s="612"/>
      <c r="I15" s="185"/>
      <c r="J15" s="185"/>
      <c r="K15" s="186"/>
      <c r="L15" s="613"/>
      <c r="M15" s="185"/>
      <c r="N15" s="611"/>
      <c r="O15" s="611"/>
      <c r="P15" s="187"/>
      <c r="Q15" s="187"/>
      <c r="R15" s="184"/>
      <c r="S15" s="181"/>
      <c r="T15" s="612"/>
      <c r="U15" s="187"/>
      <c r="V15" s="187"/>
      <c r="W15" s="184"/>
      <c r="X15" s="181"/>
      <c r="Y15" s="612"/>
      <c r="Z15" s="187"/>
      <c r="AA15" s="187"/>
      <c r="AB15" s="184"/>
      <c r="AC15" s="181"/>
      <c r="AD15" s="612"/>
      <c r="AE15" s="187"/>
      <c r="AF15" s="187"/>
      <c r="AG15" s="184"/>
      <c r="AH15" s="181"/>
      <c r="AI15" s="612"/>
      <c r="AJ15" s="187"/>
      <c r="AK15" s="187"/>
      <c r="AL15" s="184"/>
      <c r="AM15" s="181"/>
      <c r="AN15" s="612"/>
      <c r="AO15" s="187"/>
      <c r="AP15" s="187"/>
      <c r="AQ15" s="184"/>
      <c r="AR15" s="181"/>
      <c r="AS15" s="612"/>
      <c r="AT15" s="187"/>
      <c r="AU15" s="187"/>
      <c r="AV15" s="184"/>
      <c r="AW15" s="181"/>
      <c r="AX15" s="612"/>
    </row>
    <row r="16" spans="1:50" ht="14.25" customHeight="1">
      <c r="B16" s="611"/>
      <c r="C16" s="179">
        <v>10</v>
      </c>
      <c r="D16" s="182"/>
      <c r="E16" s="179"/>
      <c r="F16" s="179"/>
      <c r="G16" s="184"/>
      <c r="H16" s="612"/>
      <c r="I16" s="185"/>
      <c r="J16" s="185"/>
      <c r="K16" s="186"/>
      <c r="L16" s="613"/>
      <c r="M16" s="185"/>
      <c r="N16" s="611"/>
      <c r="O16" s="611"/>
      <c r="P16" s="187"/>
      <c r="Q16" s="187"/>
      <c r="R16" s="184"/>
      <c r="S16" s="181"/>
      <c r="T16" s="612"/>
      <c r="U16" s="187"/>
      <c r="V16" s="187"/>
      <c r="W16" s="184"/>
      <c r="X16" s="181"/>
      <c r="Y16" s="612"/>
      <c r="Z16" s="187"/>
      <c r="AA16" s="187"/>
      <c r="AB16" s="184"/>
      <c r="AC16" s="181"/>
      <c r="AD16" s="612"/>
      <c r="AE16" s="187"/>
      <c r="AF16" s="187"/>
      <c r="AG16" s="184"/>
      <c r="AH16" s="181"/>
      <c r="AI16" s="612"/>
      <c r="AJ16" s="187"/>
      <c r="AK16" s="187"/>
      <c r="AL16" s="184"/>
      <c r="AM16" s="181"/>
      <c r="AN16" s="612"/>
      <c r="AO16" s="187"/>
      <c r="AP16" s="187"/>
      <c r="AQ16" s="184"/>
      <c r="AR16" s="181"/>
      <c r="AS16" s="612"/>
      <c r="AT16" s="187"/>
      <c r="AU16" s="187"/>
      <c r="AV16" s="184"/>
      <c r="AW16" s="181"/>
      <c r="AX16" s="612"/>
    </row>
    <row r="17" spans="2:50" ht="14.25" customHeight="1">
      <c r="B17" s="611"/>
      <c r="C17" s="179">
        <v>11</v>
      </c>
      <c r="D17" s="182"/>
      <c r="E17" s="179"/>
      <c r="F17" s="179"/>
      <c r="G17" s="184"/>
      <c r="H17" s="612"/>
      <c r="I17" s="185"/>
      <c r="J17" s="185"/>
      <c r="K17" s="186"/>
      <c r="L17" s="613"/>
      <c r="M17" s="185"/>
      <c r="N17" s="611"/>
      <c r="O17" s="611"/>
      <c r="P17" s="187"/>
      <c r="Q17" s="187"/>
      <c r="R17" s="184"/>
      <c r="S17" s="181"/>
      <c r="T17" s="612"/>
      <c r="U17" s="187"/>
      <c r="V17" s="187"/>
      <c r="W17" s="184"/>
      <c r="X17" s="181"/>
      <c r="Y17" s="612"/>
      <c r="Z17" s="187"/>
      <c r="AA17" s="187"/>
      <c r="AB17" s="184"/>
      <c r="AC17" s="181"/>
      <c r="AD17" s="612"/>
      <c r="AE17" s="187"/>
      <c r="AF17" s="187"/>
      <c r="AG17" s="184"/>
      <c r="AH17" s="181"/>
      <c r="AI17" s="612"/>
      <c r="AJ17" s="187"/>
      <c r="AK17" s="187"/>
      <c r="AL17" s="184"/>
      <c r="AM17" s="181"/>
      <c r="AN17" s="612"/>
      <c r="AO17" s="187"/>
      <c r="AP17" s="187"/>
      <c r="AQ17" s="184"/>
      <c r="AR17" s="181"/>
      <c r="AS17" s="612"/>
      <c r="AT17" s="187"/>
      <c r="AU17" s="187"/>
      <c r="AV17" s="184"/>
      <c r="AW17" s="181"/>
      <c r="AX17" s="612"/>
    </row>
    <row r="18" spans="2:50" ht="14.25" customHeight="1">
      <c r="B18" s="611"/>
      <c r="C18" s="179">
        <v>12</v>
      </c>
      <c r="D18" s="182"/>
      <c r="E18" s="179"/>
      <c r="F18" s="179"/>
      <c r="G18" s="184"/>
      <c r="H18" s="612"/>
      <c r="I18" s="185"/>
      <c r="J18" s="185"/>
      <c r="K18" s="186"/>
      <c r="L18" s="613"/>
      <c r="M18" s="185"/>
      <c r="N18" s="611"/>
      <c r="O18" s="611"/>
      <c r="P18" s="187"/>
      <c r="Q18" s="187"/>
      <c r="R18" s="184"/>
      <c r="S18" s="181"/>
      <c r="T18" s="612"/>
      <c r="U18" s="187"/>
      <c r="V18" s="187"/>
      <c r="W18" s="184"/>
      <c r="X18" s="181"/>
      <c r="Y18" s="612"/>
      <c r="Z18" s="187"/>
      <c r="AA18" s="187"/>
      <c r="AB18" s="184"/>
      <c r="AC18" s="181"/>
      <c r="AD18" s="612"/>
      <c r="AE18" s="187"/>
      <c r="AF18" s="187"/>
      <c r="AG18" s="184"/>
      <c r="AH18" s="181"/>
      <c r="AI18" s="612"/>
      <c r="AJ18" s="187"/>
      <c r="AK18" s="187"/>
      <c r="AL18" s="184"/>
      <c r="AM18" s="181"/>
      <c r="AN18" s="612"/>
      <c r="AO18" s="187"/>
      <c r="AP18" s="187"/>
      <c r="AQ18" s="184"/>
      <c r="AR18" s="181"/>
      <c r="AS18" s="612"/>
      <c r="AT18" s="187"/>
      <c r="AU18" s="187"/>
      <c r="AV18" s="184"/>
      <c r="AW18" s="181"/>
      <c r="AX18" s="612"/>
    </row>
    <row r="19" spans="2:50" ht="14.25" customHeight="1">
      <c r="B19" s="611"/>
      <c r="C19" s="179">
        <v>13</v>
      </c>
      <c r="D19" s="182"/>
      <c r="E19" s="179"/>
      <c r="F19" s="179"/>
      <c r="G19" s="184"/>
      <c r="H19" s="612"/>
      <c r="I19" s="185"/>
      <c r="J19" s="185"/>
      <c r="K19" s="186"/>
      <c r="L19" s="613"/>
      <c r="M19" s="185"/>
      <c r="N19" s="611"/>
      <c r="O19" s="611"/>
      <c r="P19" s="187"/>
      <c r="Q19" s="187"/>
      <c r="R19" s="184"/>
      <c r="S19" s="181"/>
      <c r="T19" s="612"/>
      <c r="U19" s="187"/>
      <c r="V19" s="187"/>
      <c r="W19" s="184"/>
      <c r="X19" s="181"/>
      <c r="Y19" s="612"/>
      <c r="Z19" s="187"/>
      <c r="AA19" s="187"/>
      <c r="AB19" s="184"/>
      <c r="AC19" s="181"/>
      <c r="AD19" s="612"/>
      <c r="AE19" s="187"/>
      <c r="AF19" s="187"/>
      <c r="AG19" s="184"/>
      <c r="AH19" s="181"/>
      <c r="AI19" s="612"/>
      <c r="AJ19" s="187"/>
      <c r="AK19" s="187"/>
      <c r="AL19" s="184"/>
      <c r="AM19" s="181"/>
      <c r="AN19" s="612"/>
      <c r="AO19" s="187"/>
      <c r="AP19" s="187"/>
      <c r="AQ19" s="184"/>
      <c r="AR19" s="181"/>
      <c r="AS19" s="612"/>
      <c r="AT19" s="187"/>
      <c r="AU19" s="187"/>
      <c r="AV19" s="184"/>
      <c r="AW19" s="181"/>
      <c r="AX19" s="612"/>
    </row>
    <row r="20" spans="2:50" ht="14.25" customHeight="1">
      <c r="B20" s="611"/>
      <c r="C20" s="179">
        <v>14</v>
      </c>
      <c r="D20" s="182"/>
      <c r="E20" s="179"/>
      <c r="F20" s="179"/>
      <c r="G20" s="184"/>
      <c r="H20" s="612"/>
      <c r="I20" s="185"/>
      <c r="J20" s="185"/>
      <c r="K20" s="186"/>
      <c r="L20" s="613"/>
      <c r="M20" s="185"/>
      <c r="N20" s="611"/>
      <c r="O20" s="611"/>
      <c r="P20" s="187"/>
      <c r="Q20" s="187"/>
      <c r="R20" s="184"/>
      <c r="S20" s="181"/>
      <c r="T20" s="612"/>
      <c r="U20" s="187"/>
      <c r="V20" s="187"/>
      <c r="W20" s="184"/>
      <c r="X20" s="181"/>
      <c r="Y20" s="612"/>
      <c r="Z20" s="187"/>
      <c r="AA20" s="187"/>
      <c r="AB20" s="184"/>
      <c r="AC20" s="181"/>
      <c r="AD20" s="612"/>
      <c r="AE20" s="187"/>
      <c r="AF20" s="187"/>
      <c r="AG20" s="184"/>
      <c r="AH20" s="181"/>
      <c r="AI20" s="612"/>
      <c r="AJ20" s="187"/>
      <c r="AK20" s="187"/>
      <c r="AL20" s="184"/>
      <c r="AM20" s="181"/>
      <c r="AN20" s="612"/>
      <c r="AO20" s="187"/>
      <c r="AP20" s="187"/>
      <c r="AQ20" s="184"/>
      <c r="AR20" s="181"/>
      <c r="AS20" s="612"/>
      <c r="AT20" s="187"/>
      <c r="AU20" s="187"/>
      <c r="AV20" s="184"/>
      <c r="AW20" s="181"/>
      <c r="AX20" s="612"/>
    </row>
    <row r="21" spans="2:50" ht="14.25" customHeight="1">
      <c r="B21" s="611"/>
      <c r="C21" s="179">
        <v>15</v>
      </c>
      <c r="D21" s="182"/>
      <c r="E21" s="179"/>
      <c r="F21" s="179"/>
      <c r="G21" s="184"/>
      <c r="H21" s="612"/>
      <c r="I21" s="185"/>
      <c r="J21" s="185"/>
      <c r="K21" s="186"/>
      <c r="L21" s="613"/>
      <c r="M21" s="185"/>
      <c r="N21" s="611"/>
      <c r="O21" s="611"/>
      <c r="P21" s="187"/>
      <c r="Q21" s="187"/>
      <c r="R21" s="184"/>
      <c r="S21" s="181"/>
      <c r="T21" s="612"/>
      <c r="U21" s="187"/>
      <c r="V21" s="187"/>
      <c r="W21" s="184"/>
      <c r="X21" s="181"/>
      <c r="Y21" s="612"/>
      <c r="Z21" s="187"/>
      <c r="AA21" s="187"/>
      <c r="AB21" s="184"/>
      <c r="AC21" s="181"/>
      <c r="AD21" s="612"/>
      <c r="AE21" s="187"/>
      <c r="AF21" s="187"/>
      <c r="AG21" s="184"/>
      <c r="AH21" s="181"/>
      <c r="AI21" s="612"/>
      <c r="AJ21" s="187"/>
      <c r="AK21" s="187"/>
      <c r="AL21" s="184"/>
      <c r="AM21" s="181"/>
      <c r="AN21" s="612"/>
      <c r="AO21" s="187"/>
      <c r="AP21" s="187"/>
      <c r="AQ21" s="184"/>
      <c r="AR21" s="181"/>
      <c r="AS21" s="612"/>
      <c r="AT21" s="187"/>
      <c r="AU21" s="187"/>
      <c r="AV21" s="184"/>
      <c r="AW21" s="181"/>
      <c r="AX21" s="612"/>
    </row>
    <row r="22" spans="2:50" ht="14.25" customHeight="1" collapsed="1">
      <c r="B22" s="640" t="s">
        <v>749</v>
      </c>
      <c r="C22" s="641"/>
      <c r="D22" s="641"/>
      <c r="E22" s="641"/>
      <c r="F22" s="641"/>
      <c r="G22" s="641"/>
      <c r="H22" s="641"/>
      <c r="I22" s="641"/>
      <c r="J22" s="641"/>
      <c r="K22" s="641"/>
      <c r="L22" s="641"/>
      <c r="M22" s="642"/>
      <c r="N22" s="645" t="s">
        <v>363</v>
      </c>
      <c r="O22" s="645" t="s">
        <v>105</v>
      </c>
      <c r="P22" s="632">
        <v>46210</v>
      </c>
      <c r="Q22" s="633"/>
      <c r="R22" s="633"/>
      <c r="S22" s="633"/>
      <c r="T22" s="633"/>
      <c r="U22" s="634">
        <v>46211</v>
      </c>
      <c r="V22" s="635"/>
      <c r="W22" s="635"/>
      <c r="X22" s="635"/>
      <c r="Y22" s="635"/>
      <c r="Z22" s="632">
        <v>46212</v>
      </c>
      <c r="AA22" s="633"/>
      <c r="AB22" s="633"/>
      <c r="AC22" s="633"/>
      <c r="AD22" s="633"/>
      <c r="AE22" s="634">
        <v>46213</v>
      </c>
      <c r="AF22" s="635"/>
      <c r="AG22" s="635"/>
      <c r="AH22" s="635"/>
      <c r="AI22" s="635"/>
      <c r="AJ22" s="616">
        <v>46214</v>
      </c>
      <c r="AK22" s="617"/>
      <c r="AL22" s="617"/>
      <c r="AM22" s="617"/>
      <c r="AN22" s="618"/>
      <c r="AO22" s="634">
        <v>46215</v>
      </c>
      <c r="AP22" s="635"/>
      <c r="AQ22" s="635"/>
      <c r="AR22" s="635"/>
      <c r="AS22" s="635"/>
      <c r="AT22" s="616">
        <v>46216</v>
      </c>
      <c r="AU22" s="617"/>
      <c r="AV22" s="617"/>
      <c r="AW22" s="617"/>
      <c r="AX22" s="618"/>
    </row>
    <row r="23" spans="2:50" ht="14.25" customHeight="1">
      <c r="B23" s="643"/>
      <c r="C23" s="643"/>
      <c r="D23" s="643"/>
      <c r="E23" s="643"/>
      <c r="F23" s="643"/>
      <c r="G23" s="643"/>
      <c r="H23" s="643"/>
      <c r="I23" s="643"/>
      <c r="J23" s="643"/>
      <c r="K23" s="643"/>
      <c r="L23" s="643"/>
      <c r="M23" s="644"/>
      <c r="N23" s="646"/>
      <c r="O23" s="646"/>
      <c r="P23" s="619">
        <v>46196</v>
      </c>
      <c r="Q23" s="619"/>
      <c r="R23" s="619"/>
      <c r="S23" s="619"/>
      <c r="T23" s="619"/>
      <c r="U23" s="620">
        <v>46197</v>
      </c>
      <c r="V23" s="620"/>
      <c r="W23" s="620"/>
      <c r="X23" s="620"/>
      <c r="Y23" s="620"/>
      <c r="Z23" s="619">
        <v>46198</v>
      </c>
      <c r="AA23" s="619"/>
      <c r="AB23" s="619"/>
      <c r="AC23" s="619"/>
      <c r="AD23" s="619"/>
      <c r="AE23" s="620">
        <v>46199</v>
      </c>
      <c r="AF23" s="620"/>
      <c r="AG23" s="620"/>
      <c r="AH23" s="620"/>
      <c r="AI23" s="620"/>
      <c r="AJ23" s="621">
        <v>46200</v>
      </c>
      <c r="AK23" s="622"/>
      <c r="AL23" s="622"/>
      <c r="AM23" s="622"/>
      <c r="AN23" s="623"/>
      <c r="AO23" s="620">
        <v>46201</v>
      </c>
      <c r="AP23" s="620"/>
      <c r="AQ23" s="620"/>
      <c r="AR23" s="620"/>
      <c r="AS23" s="620"/>
      <c r="AT23" s="621">
        <v>46202</v>
      </c>
      <c r="AU23" s="622"/>
      <c r="AV23" s="622"/>
      <c r="AW23" s="622"/>
      <c r="AX23" s="623"/>
    </row>
    <row r="24" spans="2:50" ht="14.25" customHeight="1">
      <c r="B24" s="611" t="s">
        <v>162</v>
      </c>
      <c r="C24" s="611" t="s">
        <v>157</v>
      </c>
      <c r="D24" s="611"/>
      <c r="E24" s="611" t="s">
        <v>158</v>
      </c>
      <c r="F24" s="611"/>
      <c r="G24" s="611"/>
      <c r="H24" s="611" t="s">
        <v>163</v>
      </c>
      <c r="I24" s="615" t="s">
        <v>364</v>
      </c>
      <c r="J24" s="615"/>
      <c r="K24" s="615"/>
      <c r="L24" s="615" t="s">
        <v>163</v>
      </c>
      <c r="M24" s="615" t="s">
        <v>165</v>
      </c>
      <c r="N24" s="611"/>
      <c r="O24" s="611" t="s">
        <v>164</v>
      </c>
      <c r="P24" s="611" t="s">
        <v>160</v>
      </c>
      <c r="Q24" s="611"/>
      <c r="R24" s="611"/>
      <c r="S24" s="611"/>
      <c r="T24" s="611" t="s">
        <v>163</v>
      </c>
      <c r="U24" s="611" t="s">
        <v>160</v>
      </c>
      <c r="V24" s="611"/>
      <c r="W24" s="611"/>
      <c r="X24" s="611"/>
      <c r="Y24" s="611" t="s">
        <v>163</v>
      </c>
      <c r="Z24" s="611" t="s">
        <v>160</v>
      </c>
      <c r="AA24" s="611"/>
      <c r="AB24" s="611"/>
      <c r="AC24" s="611"/>
      <c r="AD24" s="611" t="s">
        <v>163</v>
      </c>
      <c r="AE24" s="611" t="s">
        <v>160</v>
      </c>
      <c r="AF24" s="611"/>
      <c r="AG24" s="611"/>
      <c r="AH24" s="611"/>
      <c r="AI24" s="611" t="s">
        <v>163</v>
      </c>
      <c r="AJ24" s="611" t="s">
        <v>160</v>
      </c>
      <c r="AK24" s="611"/>
      <c r="AL24" s="611"/>
      <c r="AM24" s="611"/>
      <c r="AN24" s="611" t="s">
        <v>163</v>
      </c>
      <c r="AO24" s="611" t="s">
        <v>160</v>
      </c>
      <c r="AP24" s="611"/>
      <c r="AQ24" s="611"/>
      <c r="AR24" s="611"/>
      <c r="AS24" s="611" t="s">
        <v>163</v>
      </c>
      <c r="AT24" s="611" t="s">
        <v>160</v>
      </c>
      <c r="AU24" s="611"/>
      <c r="AV24" s="611"/>
      <c r="AW24" s="611"/>
      <c r="AX24" s="611" t="s">
        <v>163</v>
      </c>
    </row>
    <row r="25" spans="2:50" ht="14.25" customHeight="1">
      <c r="B25" s="611"/>
      <c r="C25" s="611"/>
      <c r="D25" s="611"/>
      <c r="E25" s="611" t="s">
        <v>365</v>
      </c>
      <c r="F25" s="611"/>
      <c r="G25" s="611"/>
      <c r="H25" s="611"/>
      <c r="I25" s="615" t="s">
        <v>365</v>
      </c>
      <c r="J25" s="615"/>
      <c r="K25" s="615"/>
      <c r="L25" s="615"/>
      <c r="M25" s="615"/>
      <c r="N25" s="611"/>
      <c r="O25" s="611"/>
      <c r="P25" s="611" t="s">
        <v>366</v>
      </c>
      <c r="Q25" s="611"/>
      <c r="R25" s="611"/>
      <c r="S25" s="611"/>
      <c r="T25" s="611"/>
      <c r="U25" s="611" t="s">
        <v>366</v>
      </c>
      <c r="V25" s="611"/>
      <c r="W25" s="611"/>
      <c r="X25" s="611"/>
      <c r="Y25" s="611"/>
      <c r="Z25" s="611" t="s">
        <v>366</v>
      </c>
      <c r="AA25" s="611"/>
      <c r="AB25" s="611"/>
      <c r="AC25" s="611"/>
      <c r="AD25" s="611"/>
      <c r="AE25" s="611" t="s">
        <v>366</v>
      </c>
      <c r="AF25" s="611"/>
      <c r="AG25" s="611"/>
      <c r="AH25" s="611"/>
      <c r="AI25" s="611"/>
      <c r="AJ25" s="611" t="s">
        <v>366</v>
      </c>
      <c r="AK25" s="611"/>
      <c r="AL25" s="611"/>
      <c r="AM25" s="611"/>
      <c r="AN25" s="611"/>
      <c r="AO25" s="611" t="s">
        <v>366</v>
      </c>
      <c r="AP25" s="611"/>
      <c r="AQ25" s="611"/>
      <c r="AR25" s="611"/>
      <c r="AS25" s="611"/>
      <c r="AT25" s="611" t="s">
        <v>366</v>
      </c>
      <c r="AU25" s="611"/>
      <c r="AV25" s="611"/>
      <c r="AW25" s="611"/>
      <c r="AX25" s="611"/>
    </row>
    <row r="26" spans="2:50" ht="14.25" customHeight="1">
      <c r="B26" s="611"/>
      <c r="C26" s="611"/>
      <c r="D26" s="611"/>
      <c r="E26" s="179" t="s">
        <v>159</v>
      </c>
      <c r="F26" s="179" t="s">
        <v>367</v>
      </c>
      <c r="G26" s="179" t="s">
        <v>161</v>
      </c>
      <c r="H26" s="611"/>
      <c r="I26" s="180" t="s">
        <v>159</v>
      </c>
      <c r="J26" s="180" t="s">
        <v>367</v>
      </c>
      <c r="K26" s="180" t="s">
        <v>161</v>
      </c>
      <c r="L26" s="615"/>
      <c r="M26" s="615"/>
      <c r="N26" s="611"/>
      <c r="O26" s="611"/>
      <c r="P26" s="179" t="s">
        <v>159</v>
      </c>
      <c r="Q26" s="179" t="s">
        <v>367</v>
      </c>
      <c r="R26" s="179" t="s">
        <v>161</v>
      </c>
      <c r="S26" s="181" t="s">
        <v>165</v>
      </c>
      <c r="T26" s="611"/>
      <c r="U26" s="179" t="s">
        <v>159</v>
      </c>
      <c r="V26" s="179" t="s">
        <v>367</v>
      </c>
      <c r="W26" s="179" t="s">
        <v>161</v>
      </c>
      <c r="X26" s="181" t="s">
        <v>165</v>
      </c>
      <c r="Y26" s="611"/>
      <c r="Z26" s="179" t="s">
        <v>159</v>
      </c>
      <c r="AA26" s="179" t="s">
        <v>367</v>
      </c>
      <c r="AB26" s="179" t="s">
        <v>161</v>
      </c>
      <c r="AC26" s="181" t="s">
        <v>165</v>
      </c>
      <c r="AD26" s="611"/>
      <c r="AE26" s="179" t="s">
        <v>159</v>
      </c>
      <c r="AF26" s="179" t="s">
        <v>367</v>
      </c>
      <c r="AG26" s="179" t="s">
        <v>161</v>
      </c>
      <c r="AH26" s="181" t="s">
        <v>165</v>
      </c>
      <c r="AI26" s="611"/>
      <c r="AJ26" s="179" t="s">
        <v>159</v>
      </c>
      <c r="AK26" s="179" t="s">
        <v>367</v>
      </c>
      <c r="AL26" s="179" t="s">
        <v>161</v>
      </c>
      <c r="AM26" s="181" t="s">
        <v>165</v>
      </c>
      <c r="AN26" s="611"/>
      <c r="AO26" s="179" t="s">
        <v>159</v>
      </c>
      <c r="AP26" s="179" t="s">
        <v>367</v>
      </c>
      <c r="AQ26" s="179" t="s">
        <v>161</v>
      </c>
      <c r="AR26" s="181" t="s">
        <v>165</v>
      </c>
      <c r="AS26" s="611"/>
      <c r="AT26" s="179" t="s">
        <v>159</v>
      </c>
      <c r="AU26" s="179" t="s">
        <v>367</v>
      </c>
      <c r="AV26" s="179" t="s">
        <v>161</v>
      </c>
      <c r="AW26" s="181" t="s">
        <v>165</v>
      </c>
      <c r="AX26" s="611"/>
    </row>
    <row r="27" spans="2:50" ht="14.25" customHeight="1">
      <c r="B27" s="611" t="s">
        <v>370</v>
      </c>
      <c r="C27" s="179">
        <v>1</v>
      </c>
      <c r="D27" s="182" t="s">
        <v>596</v>
      </c>
      <c r="E27" s="183">
        <v>5</v>
      </c>
      <c r="F27" s="179">
        <v>3273</v>
      </c>
      <c r="G27" s="184">
        <f t="shared" ref="G27:G31" si="17">IFERROR(F27/E27,"")</f>
        <v>654.6</v>
      </c>
      <c r="H27" s="612">
        <f>AVERAGE(G27:G41)</f>
        <v>522.83999999999992</v>
      </c>
      <c r="I27" s="185">
        <f>AVERAGE(P27,U27,Z27,AE27,AJ27,AO27,AT27)</f>
        <v>6</v>
      </c>
      <c r="J27" s="185">
        <f>AVERAGE(Q27,V27,AA27,AF27,AK27,AP27,AU27)</f>
        <v>2961.6418775921857</v>
      </c>
      <c r="K27" s="186">
        <f>AVERAGE(R27,W27,AB27,AG27,AL27,AQ27,AV27)</f>
        <v>493.60697959869776</v>
      </c>
      <c r="L27" s="613">
        <f>IFERROR(AVERAGE(K27:K41),"-")</f>
        <v>451.13496901318541</v>
      </c>
      <c r="M27" s="185">
        <f>RANK(K27, K$27:$K$41)</f>
        <v>4</v>
      </c>
      <c r="N27" s="611"/>
      <c r="O27" s="611"/>
      <c r="P27" s="187">
        <v>6</v>
      </c>
      <c r="Q27" s="187">
        <v>2961.6418775921861</v>
      </c>
      <c r="R27" s="184">
        <f>IFERROR(Q27/P27,"")</f>
        <v>493.60697959869771</v>
      </c>
      <c r="S27" s="181">
        <f>RANK(R27, R$27:R$41)</f>
        <v>4</v>
      </c>
      <c r="T27" s="612">
        <f>AVERAGE(R27:R41)</f>
        <v>445.69810536420044</v>
      </c>
      <c r="U27" s="187">
        <v>6</v>
      </c>
      <c r="V27" s="187">
        <v>2961.6418775921861</v>
      </c>
      <c r="W27" s="184">
        <f t="shared" ref="W27:W31" si="18">IFERROR(V27/U27,"")</f>
        <v>493.60697959869771</v>
      </c>
      <c r="X27" s="181">
        <f>RANK(W27, W$27:W$41)</f>
        <v>4</v>
      </c>
      <c r="Y27" s="612">
        <f>AVERAGE(W27:W41)</f>
        <v>448.46105231402208</v>
      </c>
      <c r="Z27" s="187">
        <v>6</v>
      </c>
      <c r="AA27" s="187">
        <v>2961.6418775921861</v>
      </c>
      <c r="AB27" s="184">
        <f>IFERROR(AA27/Z27,"")</f>
        <v>493.60697959869771</v>
      </c>
      <c r="AC27" s="181">
        <f>RANK(AB27, AB$27:AB$41)</f>
        <v>4</v>
      </c>
      <c r="AD27" s="612">
        <f>AVERAGE(AB27:AB41)</f>
        <v>451.1707123140219</v>
      </c>
      <c r="AE27" s="187">
        <v>6</v>
      </c>
      <c r="AF27" s="187">
        <v>2961.6418775921861</v>
      </c>
      <c r="AG27" s="184">
        <f>IFERROR(AF27/AE27,"")</f>
        <v>493.60697959869771</v>
      </c>
      <c r="AH27" s="181">
        <f>RANK(AG27, AG$27:AG$41)</f>
        <v>4</v>
      </c>
      <c r="AI27" s="612">
        <f>AVERAGE(AG27:AG41)</f>
        <v>453.27564815798689</v>
      </c>
      <c r="AJ27" s="187">
        <v>6</v>
      </c>
      <c r="AK27" s="187">
        <v>2961.6418775921866</v>
      </c>
      <c r="AL27" s="184">
        <f>IFERROR(AK27/AJ27,"")</f>
        <v>493.60697959869776</v>
      </c>
      <c r="AM27" s="181">
        <f>RANK(AL27, AL$27:AL$41)</f>
        <v>4</v>
      </c>
      <c r="AN27" s="612">
        <f>AVERAGE(AL27:AL41)</f>
        <v>453.10590431402215</v>
      </c>
      <c r="AO27" s="187">
        <v>6</v>
      </c>
      <c r="AP27" s="187">
        <v>2961.6418775921861</v>
      </c>
      <c r="AQ27" s="184">
        <f>IFERROR(AP27/AO27,"")</f>
        <v>493.60697959869771</v>
      </c>
      <c r="AR27" s="181">
        <f>RANK(AQ27, AQ$27:AQ$41)</f>
        <v>4</v>
      </c>
      <c r="AS27" s="612">
        <f>AVERAGE(AQ27:AQ41)</f>
        <v>453.14106431402206</v>
      </c>
      <c r="AT27" s="187">
        <v>6</v>
      </c>
      <c r="AU27" s="187">
        <v>2961.6418775921861</v>
      </c>
      <c r="AV27" s="184">
        <f>IFERROR(AU27/AT27,"")</f>
        <v>493.60697959869771</v>
      </c>
      <c r="AW27" s="181">
        <f>RANK(AV27, AV$27:AV$41)</f>
        <v>4</v>
      </c>
      <c r="AX27" s="612">
        <f>AVERAGE(AV27:AV41)</f>
        <v>453.09229631402212</v>
      </c>
    </row>
    <row r="28" spans="2:50" ht="14.25" customHeight="1">
      <c r="B28" s="611"/>
      <c r="C28" s="179">
        <v>2</v>
      </c>
      <c r="D28" s="182" t="s">
        <v>578</v>
      </c>
      <c r="E28" s="179">
        <v>6</v>
      </c>
      <c r="F28" s="179">
        <v>3600</v>
      </c>
      <c r="G28" s="184">
        <f t="shared" si="17"/>
        <v>600</v>
      </c>
      <c r="H28" s="612"/>
      <c r="I28" s="185">
        <f t="shared" ref="I28:K31" si="19">AVERAGE(P28,U28,Z28,AE28,AJ28,AO28,AT28)</f>
        <v>6</v>
      </c>
      <c r="J28" s="185">
        <f t="shared" si="19"/>
        <v>3221.004969973023</v>
      </c>
      <c r="K28" s="186">
        <f t="shared" si="19"/>
        <v>536.83416166217046</v>
      </c>
      <c r="L28" s="613"/>
      <c r="M28" s="185">
        <f>RANK(K28, K$27:$K$41)</f>
        <v>3</v>
      </c>
      <c r="N28" s="611"/>
      <c r="O28" s="611"/>
      <c r="P28" s="187">
        <v>6</v>
      </c>
      <c r="Q28" s="187">
        <v>3139.2</v>
      </c>
      <c r="R28" s="184">
        <f t="shared" ref="R28:R31" si="20">IFERROR(Q28/P28,"")</f>
        <v>523.19999999999993</v>
      </c>
      <c r="S28" s="181">
        <f t="shared" ref="S28:S31" si="21">RANK(R28, R$27:R$41)</f>
        <v>3</v>
      </c>
      <c r="T28" s="612"/>
      <c r="U28" s="187">
        <v>6</v>
      </c>
      <c r="V28" s="187">
        <v>3182.4000000000005</v>
      </c>
      <c r="W28" s="184">
        <f t="shared" si="18"/>
        <v>530.40000000000009</v>
      </c>
      <c r="X28" s="181">
        <f t="shared" ref="X28:X31" si="22">RANK(W28, W$27:W$41)</f>
        <v>2</v>
      </c>
      <c r="Y28" s="612"/>
      <c r="Z28" s="187">
        <v>6</v>
      </c>
      <c r="AA28" s="187">
        <v>3221.9999999999995</v>
      </c>
      <c r="AB28" s="184">
        <f t="shared" ref="AB28:AB31" si="23">IFERROR(AA28/Z28,"")</f>
        <v>536.99999999999989</v>
      </c>
      <c r="AC28" s="181">
        <f t="shared" ref="AC28:AC31" si="24">RANK(AB28, AB$27:AB$41)</f>
        <v>2</v>
      </c>
      <c r="AD28" s="612"/>
      <c r="AE28" s="187">
        <v>6</v>
      </c>
      <c r="AF28" s="187">
        <v>3253.914789811161</v>
      </c>
      <c r="AG28" s="184">
        <f t="shared" ref="AG28:AG31" si="25">IFERROR(AF28/AE28,"")</f>
        <v>542.31913163519346</v>
      </c>
      <c r="AH28" s="181">
        <f t="shared" ref="AH28:AH31" si="26">RANK(AG28, AG$27:AG$41)</f>
        <v>2</v>
      </c>
      <c r="AI28" s="612"/>
      <c r="AJ28" s="187">
        <v>6</v>
      </c>
      <c r="AK28" s="187">
        <v>3250.8</v>
      </c>
      <c r="AL28" s="184">
        <f t="shared" ref="AL28:AL31" si="27">IFERROR(AK28/AJ28,"")</f>
        <v>541.80000000000007</v>
      </c>
      <c r="AM28" s="181">
        <f t="shared" ref="AM28:AM31" si="28">RANK(AL28, AL$27:AL$41)</f>
        <v>2</v>
      </c>
      <c r="AN28" s="612"/>
      <c r="AO28" s="187">
        <v>6</v>
      </c>
      <c r="AP28" s="187">
        <v>3249.7200000000007</v>
      </c>
      <c r="AQ28" s="184">
        <f t="shared" ref="AQ28:AQ31" si="29">IFERROR(AP28/AO28,"")</f>
        <v>541.62000000000012</v>
      </c>
      <c r="AR28" s="181">
        <f t="shared" ref="AR28:AR31" si="30">RANK(AQ28, AQ$27:AQ$41)</f>
        <v>3</v>
      </c>
      <c r="AS28" s="612"/>
      <c r="AT28" s="187">
        <v>6</v>
      </c>
      <c r="AU28" s="187">
        <v>3249.0000000000014</v>
      </c>
      <c r="AV28" s="184">
        <f t="shared" ref="AV28:AV31" si="31">IFERROR(AU28/AT28,"")</f>
        <v>541.50000000000023</v>
      </c>
      <c r="AW28" s="181">
        <f t="shared" ref="AW28:AW31" si="32">RANK(AV28, AV$27:AV$41)</f>
        <v>3</v>
      </c>
      <c r="AX28" s="612"/>
    </row>
    <row r="29" spans="2:50" ht="14.25" customHeight="1">
      <c r="B29" s="611"/>
      <c r="C29" s="179">
        <v>3</v>
      </c>
      <c r="D29" s="182" t="s">
        <v>579</v>
      </c>
      <c r="E29" s="179">
        <v>6</v>
      </c>
      <c r="F29" s="179">
        <v>3600</v>
      </c>
      <c r="G29" s="184">
        <f t="shared" si="17"/>
        <v>600</v>
      </c>
      <c r="H29" s="612"/>
      <c r="I29" s="185">
        <f t="shared" si="19"/>
        <v>6</v>
      </c>
      <c r="J29" s="185">
        <f t="shared" si="19"/>
        <v>3221.7612967161626</v>
      </c>
      <c r="K29" s="186">
        <f t="shared" si="19"/>
        <v>536.96021611936044</v>
      </c>
      <c r="L29" s="613"/>
      <c r="M29" s="185">
        <f>RANK(K29, K$27:$K$41)</f>
        <v>2</v>
      </c>
      <c r="N29" s="611"/>
      <c r="O29" s="611"/>
      <c r="P29" s="187">
        <v>6</v>
      </c>
      <c r="Q29" s="187">
        <v>3141.0145515053509</v>
      </c>
      <c r="R29" s="184">
        <f t="shared" si="20"/>
        <v>523.50242525089186</v>
      </c>
      <c r="S29" s="181">
        <f t="shared" si="21"/>
        <v>2</v>
      </c>
      <c r="T29" s="612"/>
      <c r="U29" s="187">
        <v>6</v>
      </c>
      <c r="V29" s="187">
        <v>3182.4</v>
      </c>
      <c r="W29" s="184">
        <f t="shared" si="18"/>
        <v>530.4</v>
      </c>
      <c r="X29" s="181">
        <f t="shared" si="22"/>
        <v>3</v>
      </c>
      <c r="Y29" s="612"/>
      <c r="Z29" s="187">
        <v>6</v>
      </c>
      <c r="AA29" s="187">
        <v>3221.9999999999995</v>
      </c>
      <c r="AB29" s="184">
        <f t="shared" si="23"/>
        <v>536.99999999999989</v>
      </c>
      <c r="AC29" s="181">
        <f t="shared" si="24"/>
        <v>2</v>
      </c>
      <c r="AD29" s="612"/>
      <c r="AE29" s="187">
        <v>6</v>
      </c>
      <c r="AF29" s="187">
        <v>3252.7145255077871</v>
      </c>
      <c r="AG29" s="184">
        <f t="shared" si="25"/>
        <v>542.11908758463119</v>
      </c>
      <c r="AH29" s="181">
        <f t="shared" si="26"/>
        <v>3</v>
      </c>
      <c r="AI29" s="612"/>
      <c r="AJ29" s="187">
        <v>6</v>
      </c>
      <c r="AK29" s="187">
        <v>3250.8</v>
      </c>
      <c r="AL29" s="184">
        <f t="shared" si="27"/>
        <v>541.80000000000007</v>
      </c>
      <c r="AM29" s="181">
        <f t="shared" si="28"/>
        <v>2</v>
      </c>
      <c r="AN29" s="612"/>
      <c r="AO29" s="187">
        <v>6</v>
      </c>
      <c r="AP29" s="187">
        <v>3251.1600000000003</v>
      </c>
      <c r="AQ29" s="184">
        <f t="shared" si="29"/>
        <v>541.86</v>
      </c>
      <c r="AR29" s="181">
        <f t="shared" si="30"/>
        <v>2</v>
      </c>
      <c r="AS29" s="612"/>
      <c r="AT29" s="187">
        <v>6</v>
      </c>
      <c r="AU29" s="187">
        <v>3252.2400000000002</v>
      </c>
      <c r="AV29" s="184">
        <f t="shared" si="31"/>
        <v>542.04000000000008</v>
      </c>
      <c r="AW29" s="181">
        <f t="shared" si="32"/>
        <v>2</v>
      </c>
      <c r="AX29" s="612"/>
    </row>
    <row r="30" spans="2:50" ht="14.25" customHeight="1">
      <c r="B30" s="611"/>
      <c r="C30" s="179">
        <v>4</v>
      </c>
      <c r="D30" s="182" t="s">
        <v>613</v>
      </c>
      <c r="E30" s="179">
        <v>20</v>
      </c>
      <c r="F30" s="179">
        <v>2100</v>
      </c>
      <c r="G30" s="184">
        <f t="shared" si="17"/>
        <v>105</v>
      </c>
      <c r="H30" s="612"/>
      <c r="I30" s="185">
        <f t="shared" si="19"/>
        <v>20</v>
      </c>
      <c r="J30" s="185">
        <f t="shared" si="19"/>
        <v>1896.8483422374977</v>
      </c>
      <c r="K30" s="186">
        <f t="shared" si="19"/>
        <v>94.84241711187488</v>
      </c>
      <c r="L30" s="613"/>
      <c r="M30" s="185">
        <f>RANK(K30, K$27:$K$41)</f>
        <v>5</v>
      </c>
      <c r="N30" s="611"/>
      <c r="O30" s="611"/>
      <c r="P30" s="187">
        <v>20</v>
      </c>
      <c r="Q30" s="187">
        <v>1897.0583422374978</v>
      </c>
      <c r="R30" s="184">
        <f t="shared" si="20"/>
        <v>94.852917111874888</v>
      </c>
      <c r="S30" s="181">
        <f t="shared" si="21"/>
        <v>5</v>
      </c>
      <c r="T30" s="612"/>
      <c r="U30" s="187">
        <v>20</v>
      </c>
      <c r="V30" s="187">
        <v>1896.6383422374979</v>
      </c>
      <c r="W30" s="184">
        <f t="shared" si="18"/>
        <v>94.831917111874901</v>
      </c>
      <c r="X30" s="181">
        <f t="shared" si="22"/>
        <v>5</v>
      </c>
      <c r="Y30" s="612"/>
      <c r="Z30" s="187">
        <v>20</v>
      </c>
      <c r="AA30" s="187">
        <v>1897.0583422374978</v>
      </c>
      <c r="AB30" s="184">
        <f t="shared" si="23"/>
        <v>94.852917111874888</v>
      </c>
      <c r="AC30" s="181">
        <f t="shared" si="24"/>
        <v>5</v>
      </c>
      <c r="AD30" s="612"/>
      <c r="AE30" s="187">
        <v>20</v>
      </c>
      <c r="AF30" s="187">
        <v>1897.4783422374978</v>
      </c>
      <c r="AG30" s="184">
        <f t="shared" si="25"/>
        <v>94.873917111874889</v>
      </c>
      <c r="AH30" s="181">
        <f t="shared" si="26"/>
        <v>5</v>
      </c>
      <c r="AI30" s="612"/>
      <c r="AJ30" s="187">
        <v>20</v>
      </c>
      <c r="AK30" s="187">
        <v>1897.2683422374976</v>
      </c>
      <c r="AL30" s="184">
        <f t="shared" si="27"/>
        <v>94.863417111874881</v>
      </c>
      <c r="AM30" s="181">
        <f t="shared" si="28"/>
        <v>5</v>
      </c>
      <c r="AN30" s="612"/>
      <c r="AO30" s="187">
        <v>20</v>
      </c>
      <c r="AP30" s="187">
        <v>1896.6383422374977</v>
      </c>
      <c r="AQ30" s="184">
        <f t="shared" si="29"/>
        <v>94.831917111874887</v>
      </c>
      <c r="AR30" s="181">
        <f t="shared" si="30"/>
        <v>5</v>
      </c>
      <c r="AS30" s="612"/>
      <c r="AT30" s="187">
        <v>20</v>
      </c>
      <c r="AU30" s="187">
        <v>1895.7983422374978</v>
      </c>
      <c r="AV30" s="184">
        <f t="shared" si="31"/>
        <v>94.789917111874885</v>
      </c>
      <c r="AW30" s="181">
        <f t="shared" si="32"/>
        <v>5</v>
      </c>
      <c r="AX30" s="612"/>
    </row>
    <row r="31" spans="2:50" ht="14.25" customHeight="1">
      <c r="B31" s="611"/>
      <c r="C31" s="179">
        <v>5</v>
      </c>
      <c r="D31" s="182" t="s">
        <v>629</v>
      </c>
      <c r="E31" s="179">
        <v>5</v>
      </c>
      <c r="F31" s="179">
        <v>3273</v>
      </c>
      <c r="G31" s="184">
        <f t="shared" si="17"/>
        <v>654.6</v>
      </c>
      <c r="H31" s="612"/>
      <c r="I31" s="185">
        <f t="shared" si="19"/>
        <v>5</v>
      </c>
      <c r="J31" s="185">
        <f t="shared" si="19"/>
        <v>2967.1553528691161</v>
      </c>
      <c r="K31" s="186">
        <f t="shared" si="19"/>
        <v>593.43107057382326</v>
      </c>
      <c r="L31" s="613"/>
      <c r="M31" s="185">
        <f>RANK(K31, K$27:$K$41)</f>
        <v>1</v>
      </c>
      <c r="N31" s="611"/>
      <c r="O31" s="611"/>
      <c r="P31" s="187">
        <v>5</v>
      </c>
      <c r="Q31" s="187">
        <v>2966.6410242976885</v>
      </c>
      <c r="R31" s="184">
        <f t="shared" si="20"/>
        <v>593.32820485953766</v>
      </c>
      <c r="S31" s="181">
        <f t="shared" si="21"/>
        <v>1</v>
      </c>
      <c r="T31" s="612"/>
      <c r="U31" s="187">
        <v>5</v>
      </c>
      <c r="V31" s="187">
        <v>2965.3318242976879</v>
      </c>
      <c r="W31" s="184">
        <f t="shared" si="18"/>
        <v>593.06636485953754</v>
      </c>
      <c r="X31" s="181">
        <f t="shared" si="22"/>
        <v>1</v>
      </c>
      <c r="Y31" s="612"/>
      <c r="Z31" s="187">
        <v>5</v>
      </c>
      <c r="AA31" s="187">
        <v>2966.9683242976876</v>
      </c>
      <c r="AB31" s="184">
        <f t="shared" si="23"/>
        <v>593.39366485953747</v>
      </c>
      <c r="AC31" s="181">
        <f t="shared" si="24"/>
        <v>1</v>
      </c>
      <c r="AD31" s="612"/>
      <c r="AE31" s="187">
        <v>5</v>
      </c>
      <c r="AF31" s="187">
        <v>2967.2956242976875</v>
      </c>
      <c r="AG31" s="184">
        <f t="shared" si="25"/>
        <v>593.4591248595375</v>
      </c>
      <c r="AH31" s="181">
        <f t="shared" si="26"/>
        <v>1</v>
      </c>
      <c r="AI31" s="612"/>
      <c r="AJ31" s="187">
        <v>5</v>
      </c>
      <c r="AK31" s="187">
        <v>2967.2956242976875</v>
      </c>
      <c r="AL31" s="184">
        <f t="shared" si="27"/>
        <v>593.4591248595375</v>
      </c>
      <c r="AM31" s="181">
        <f t="shared" si="28"/>
        <v>1</v>
      </c>
      <c r="AN31" s="612"/>
      <c r="AO31" s="187">
        <v>5</v>
      </c>
      <c r="AP31" s="187">
        <v>2968.9321242976876</v>
      </c>
      <c r="AQ31" s="184">
        <f t="shared" si="29"/>
        <v>593.78642485953753</v>
      </c>
      <c r="AR31" s="181">
        <f t="shared" si="30"/>
        <v>1</v>
      </c>
      <c r="AS31" s="612"/>
      <c r="AT31" s="187">
        <v>5</v>
      </c>
      <c r="AU31" s="187">
        <v>2967.6229242976879</v>
      </c>
      <c r="AV31" s="184">
        <f t="shared" si="31"/>
        <v>593.52458485953753</v>
      </c>
      <c r="AW31" s="181">
        <f t="shared" si="32"/>
        <v>1</v>
      </c>
      <c r="AX31" s="612"/>
    </row>
    <row r="32" spans="2:50" ht="14.25" customHeight="1">
      <c r="B32" s="611"/>
      <c r="C32" s="179">
        <v>6</v>
      </c>
      <c r="D32" s="182"/>
      <c r="E32" s="179"/>
      <c r="F32" s="179"/>
      <c r="G32" s="184"/>
      <c r="H32" s="612"/>
      <c r="I32" s="185"/>
      <c r="J32" s="185"/>
      <c r="K32" s="186"/>
      <c r="L32" s="613"/>
      <c r="M32" s="185"/>
      <c r="N32" s="611"/>
      <c r="O32" s="611"/>
      <c r="P32" s="187"/>
      <c r="Q32" s="187"/>
      <c r="R32" s="184"/>
      <c r="S32" s="181"/>
      <c r="T32" s="612"/>
      <c r="U32" s="187"/>
      <c r="V32" s="187"/>
      <c r="W32" s="184"/>
      <c r="X32" s="181"/>
      <c r="Y32" s="612"/>
      <c r="Z32" s="187"/>
      <c r="AA32" s="187"/>
      <c r="AB32" s="184"/>
      <c r="AC32" s="181"/>
      <c r="AD32" s="612"/>
      <c r="AE32" s="187"/>
      <c r="AF32" s="187"/>
      <c r="AG32" s="184"/>
      <c r="AH32" s="181"/>
      <c r="AI32" s="612"/>
      <c r="AJ32" s="187"/>
      <c r="AK32" s="187"/>
      <c r="AL32" s="184"/>
      <c r="AM32" s="181"/>
      <c r="AN32" s="612"/>
      <c r="AO32" s="187"/>
      <c r="AP32" s="187"/>
      <c r="AQ32" s="184"/>
      <c r="AR32" s="181"/>
      <c r="AS32" s="612"/>
      <c r="AT32" s="187"/>
      <c r="AU32" s="187"/>
      <c r="AV32" s="184"/>
      <c r="AW32" s="181"/>
      <c r="AX32" s="612"/>
    </row>
    <row r="33" spans="2:50" ht="14.25" customHeight="1">
      <c r="B33" s="611"/>
      <c r="C33" s="179">
        <v>7</v>
      </c>
      <c r="D33" s="182"/>
      <c r="E33" s="179"/>
      <c r="F33" s="179"/>
      <c r="G33" s="184"/>
      <c r="H33" s="612"/>
      <c r="I33" s="185"/>
      <c r="J33" s="185"/>
      <c r="K33" s="186"/>
      <c r="L33" s="613"/>
      <c r="M33" s="185"/>
      <c r="N33" s="611"/>
      <c r="O33" s="611"/>
      <c r="P33" s="187"/>
      <c r="Q33" s="187"/>
      <c r="R33" s="184"/>
      <c r="S33" s="181"/>
      <c r="T33" s="612"/>
      <c r="U33" s="187"/>
      <c r="V33" s="187"/>
      <c r="W33" s="184"/>
      <c r="X33" s="181"/>
      <c r="Y33" s="612"/>
      <c r="Z33" s="187"/>
      <c r="AA33" s="187"/>
      <c r="AB33" s="184"/>
      <c r="AC33" s="181"/>
      <c r="AD33" s="612"/>
      <c r="AE33" s="187"/>
      <c r="AF33" s="187"/>
      <c r="AG33" s="184"/>
      <c r="AH33" s="181"/>
      <c r="AI33" s="612"/>
      <c r="AJ33" s="187"/>
      <c r="AK33" s="187"/>
      <c r="AL33" s="184"/>
      <c r="AM33" s="181"/>
      <c r="AN33" s="612"/>
      <c r="AO33" s="187"/>
      <c r="AP33" s="187"/>
      <c r="AQ33" s="184"/>
      <c r="AR33" s="181"/>
      <c r="AS33" s="612"/>
      <c r="AT33" s="187"/>
      <c r="AU33" s="187"/>
      <c r="AV33" s="184"/>
      <c r="AW33" s="181"/>
      <c r="AX33" s="612"/>
    </row>
    <row r="34" spans="2:50" ht="14.25" customHeight="1">
      <c r="B34" s="611"/>
      <c r="C34" s="179">
        <v>8</v>
      </c>
      <c r="D34" s="182"/>
      <c r="E34" s="179"/>
      <c r="F34" s="179"/>
      <c r="G34" s="184"/>
      <c r="H34" s="612"/>
      <c r="I34" s="185"/>
      <c r="J34" s="185"/>
      <c r="K34" s="186"/>
      <c r="L34" s="613"/>
      <c r="M34" s="185"/>
      <c r="N34" s="611"/>
      <c r="O34" s="611"/>
      <c r="P34" s="187"/>
      <c r="Q34" s="187"/>
      <c r="R34" s="184"/>
      <c r="S34" s="181"/>
      <c r="T34" s="612"/>
      <c r="U34" s="187"/>
      <c r="V34" s="187"/>
      <c r="W34" s="184"/>
      <c r="X34" s="181"/>
      <c r="Y34" s="612"/>
      <c r="Z34" s="187"/>
      <c r="AA34" s="187"/>
      <c r="AB34" s="184"/>
      <c r="AC34" s="181"/>
      <c r="AD34" s="612"/>
      <c r="AE34" s="187"/>
      <c r="AF34" s="187"/>
      <c r="AG34" s="184"/>
      <c r="AH34" s="181"/>
      <c r="AI34" s="612"/>
      <c r="AJ34" s="187"/>
      <c r="AK34" s="187"/>
      <c r="AL34" s="184"/>
      <c r="AM34" s="181"/>
      <c r="AN34" s="612"/>
      <c r="AO34" s="187"/>
      <c r="AP34" s="187"/>
      <c r="AQ34" s="184"/>
      <c r="AR34" s="181"/>
      <c r="AS34" s="612"/>
      <c r="AT34" s="187"/>
      <c r="AU34" s="187"/>
      <c r="AV34" s="184"/>
      <c r="AW34" s="181"/>
      <c r="AX34" s="612"/>
    </row>
    <row r="35" spans="2:50" ht="14.25" customHeight="1">
      <c r="B35" s="611"/>
      <c r="C35" s="179">
        <v>9</v>
      </c>
      <c r="D35" s="182"/>
      <c r="E35" s="179"/>
      <c r="F35" s="179"/>
      <c r="G35" s="184"/>
      <c r="H35" s="612"/>
      <c r="I35" s="185"/>
      <c r="J35" s="185"/>
      <c r="K35" s="186"/>
      <c r="L35" s="613"/>
      <c r="M35" s="185"/>
      <c r="N35" s="611"/>
      <c r="O35" s="611"/>
      <c r="P35" s="187"/>
      <c r="Q35" s="187"/>
      <c r="R35" s="184"/>
      <c r="S35" s="181"/>
      <c r="T35" s="612"/>
      <c r="U35" s="187"/>
      <c r="V35" s="187"/>
      <c r="W35" s="184"/>
      <c r="X35" s="181"/>
      <c r="Y35" s="612"/>
      <c r="Z35" s="187"/>
      <c r="AA35" s="187"/>
      <c r="AB35" s="184"/>
      <c r="AC35" s="181"/>
      <c r="AD35" s="612"/>
      <c r="AE35" s="187"/>
      <c r="AF35" s="187"/>
      <c r="AG35" s="184"/>
      <c r="AH35" s="181"/>
      <c r="AI35" s="612"/>
      <c r="AJ35" s="187"/>
      <c r="AK35" s="187"/>
      <c r="AL35" s="184"/>
      <c r="AM35" s="181"/>
      <c r="AN35" s="612"/>
      <c r="AO35" s="187"/>
      <c r="AP35" s="187"/>
      <c r="AQ35" s="184"/>
      <c r="AR35" s="181"/>
      <c r="AS35" s="612"/>
      <c r="AT35" s="187"/>
      <c r="AU35" s="187"/>
      <c r="AV35" s="184"/>
      <c r="AW35" s="181"/>
      <c r="AX35" s="612"/>
    </row>
    <row r="36" spans="2:50" ht="14.25" customHeight="1">
      <c r="B36" s="611"/>
      <c r="C36" s="179">
        <v>10</v>
      </c>
      <c r="D36" s="182"/>
      <c r="E36" s="179"/>
      <c r="F36" s="179"/>
      <c r="G36" s="184"/>
      <c r="H36" s="612"/>
      <c r="I36" s="185"/>
      <c r="J36" s="185"/>
      <c r="K36" s="186"/>
      <c r="L36" s="613"/>
      <c r="M36" s="185"/>
      <c r="N36" s="611"/>
      <c r="O36" s="611"/>
      <c r="P36" s="187"/>
      <c r="Q36" s="187"/>
      <c r="R36" s="184"/>
      <c r="S36" s="181"/>
      <c r="T36" s="612"/>
      <c r="U36" s="187"/>
      <c r="V36" s="187"/>
      <c r="W36" s="184"/>
      <c r="X36" s="181"/>
      <c r="Y36" s="612"/>
      <c r="Z36" s="187"/>
      <c r="AA36" s="187"/>
      <c r="AB36" s="184"/>
      <c r="AC36" s="181"/>
      <c r="AD36" s="612"/>
      <c r="AE36" s="187"/>
      <c r="AF36" s="187"/>
      <c r="AG36" s="184"/>
      <c r="AH36" s="181"/>
      <c r="AI36" s="612"/>
      <c r="AJ36" s="187"/>
      <c r="AK36" s="187"/>
      <c r="AL36" s="184"/>
      <c r="AM36" s="181"/>
      <c r="AN36" s="612"/>
      <c r="AO36" s="187"/>
      <c r="AP36" s="187"/>
      <c r="AQ36" s="184"/>
      <c r="AR36" s="181"/>
      <c r="AS36" s="612"/>
      <c r="AT36" s="187"/>
      <c r="AU36" s="187"/>
      <c r="AV36" s="184"/>
      <c r="AW36" s="181"/>
      <c r="AX36" s="612"/>
    </row>
    <row r="37" spans="2:50" ht="14.25" customHeight="1">
      <c r="B37" s="611"/>
      <c r="C37" s="179">
        <v>11</v>
      </c>
      <c r="D37" s="182"/>
      <c r="E37" s="179"/>
      <c r="F37" s="179"/>
      <c r="G37" s="184"/>
      <c r="H37" s="612"/>
      <c r="I37" s="185"/>
      <c r="J37" s="185"/>
      <c r="K37" s="186"/>
      <c r="L37" s="613"/>
      <c r="M37" s="185"/>
      <c r="N37" s="611"/>
      <c r="O37" s="611"/>
      <c r="P37" s="187"/>
      <c r="Q37" s="187"/>
      <c r="R37" s="184"/>
      <c r="S37" s="181"/>
      <c r="T37" s="612"/>
      <c r="U37" s="187"/>
      <c r="V37" s="187"/>
      <c r="W37" s="184"/>
      <c r="X37" s="181"/>
      <c r="Y37" s="612"/>
      <c r="Z37" s="187"/>
      <c r="AA37" s="187"/>
      <c r="AB37" s="184"/>
      <c r="AC37" s="181"/>
      <c r="AD37" s="612"/>
      <c r="AE37" s="187"/>
      <c r="AF37" s="187"/>
      <c r="AG37" s="184"/>
      <c r="AH37" s="181"/>
      <c r="AI37" s="612"/>
      <c r="AJ37" s="187"/>
      <c r="AK37" s="187"/>
      <c r="AL37" s="184"/>
      <c r="AM37" s="181"/>
      <c r="AN37" s="612"/>
      <c r="AO37" s="187"/>
      <c r="AP37" s="187"/>
      <c r="AQ37" s="184"/>
      <c r="AR37" s="181"/>
      <c r="AS37" s="612"/>
      <c r="AT37" s="187"/>
      <c r="AU37" s="187"/>
      <c r="AV37" s="184"/>
      <c r="AW37" s="181"/>
      <c r="AX37" s="612"/>
    </row>
    <row r="38" spans="2:50" ht="14.25" customHeight="1">
      <c r="B38" s="611"/>
      <c r="C38" s="179">
        <v>12</v>
      </c>
      <c r="D38" s="182"/>
      <c r="E38" s="179"/>
      <c r="F38" s="179"/>
      <c r="G38" s="184"/>
      <c r="H38" s="612"/>
      <c r="I38" s="185"/>
      <c r="J38" s="185"/>
      <c r="K38" s="186"/>
      <c r="L38" s="613"/>
      <c r="M38" s="185"/>
      <c r="N38" s="611"/>
      <c r="O38" s="611"/>
      <c r="P38" s="187"/>
      <c r="Q38" s="187"/>
      <c r="R38" s="184"/>
      <c r="S38" s="181"/>
      <c r="T38" s="612"/>
      <c r="U38" s="187"/>
      <c r="V38" s="187"/>
      <c r="W38" s="184"/>
      <c r="X38" s="181"/>
      <c r="Y38" s="612"/>
      <c r="Z38" s="187"/>
      <c r="AA38" s="187"/>
      <c r="AB38" s="184"/>
      <c r="AC38" s="181"/>
      <c r="AD38" s="612"/>
      <c r="AE38" s="187"/>
      <c r="AF38" s="187"/>
      <c r="AG38" s="184"/>
      <c r="AH38" s="181"/>
      <c r="AI38" s="612"/>
      <c r="AJ38" s="187"/>
      <c r="AK38" s="187"/>
      <c r="AL38" s="184"/>
      <c r="AM38" s="181"/>
      <c r="AN38" s="612"/>
      <c r="AO38" s="187"/>
      <c r="AP38" s="187"/>
      <c r="AQ38" s="184"/>
      <c r="AR38" s="181"/>
      <c r="AS38" s="612"/>
      <c r="AT38" s="187"/>
      <c r="AU38" s="187"/>
      <c r="AV38" s="184"/>
      <c r="AW38" s="181"/>
      <c r="AX38" s="612"/>
    </row>
    <row r="39" spans="2:50" ht="14.25" customHeight="1">
      <c r="B39" s="611"/>
      <c r="C39" s="179">
        <v>13</v>
      </c>
      <c r="D39" s="182"/>
      <c r="E39" s="179"/>
      <c r="F39" s="179"/>
      <c r="G39" s="184"/>
      <c r="H39" s="612"/>
      <c r="I39" s="185"/>
      <c r="J39" s="185"/>
      <c r="K39" s="186"/>
      <c r="L39" s="613"/>
      <c r="M39" s="185"/>
      <c r="N39" s="611"/>
      <c r="O39" s="611"/>
      <c r="P39" s="187"/>
      <c r="Q39" s="187"/>
      <c r="R39" s="184"/>
      <c r="S39" s="181"/>
      <c r="T39" s="612"/>
      <c r="U39" s="187"/>
      <c r="V39" s="187"/>
      <c r="W39" s="184"/>
      <c r="X39" s="181"/>
      <c r="Y39" s="612"/>
      <c r="Z39" s="187"/>
      <c r="AA39" s="187"/>
      <c r="AB39" s="184"/>
      <c r="AC39" s="181"/>
      <c r="AD39" s="612"/>
      <c r="AE39" s="187"/>
      <c r="AF39" s="187"/>
      <c r="AG39" s="184"/>
      <c r="AH39" s="181"/>
      <c r="AI39" s="612"/>
      <c r="AJ39" s="187"/>
      <c r="AK39" s="187"/>
      <c r="AL39" s="184"/>
      <c r="AM39" s="181"/>
      <c r="AN39" s="612"/>
      <c r="AO39" s="187"/>
      <c r="AP39" s="187"/>
      <c r="AQ39" s="184"/>
      <c r="AR39" s="181"/>
      <c r="AS39" s="612"/>
      <c r="AT39" s="187"/>
      <c r="AU39" s="187"/>
      <c r="AV39" s="184"/>
      <c r="AW39" s="181"/>
      <c r="AX39" s="612"/>
    </row>
    <row r="40" spans="2:50" ht="14.25" customHeight="1">
      <c r="B40" s="611"/>
      <c r="C40" s="179">
        <v>14</v>
      </c>
      <c r="D40" s="182"/>
      <c r="E40" s="179"/>
      <c r="F40" s="179"/>
      <c r="G40" s="184"/>
      <c r="H40" s="612"/>
      <c r="I40" s="185"/>
      <c r="J40" s="185"/>
      <c r="K40" s="186"/>
      <c r="L40" s="613"/>
      <c r="M40" s="185"/>
      <c r="N40" s="611"/>
      <c r="O40" s="611"/>
      <c r="P40" s="187"/>
      <c r="Q40" s="187"/>
      <c r="R40" s="184"/>
      <c r="S40" s="181"/>
      <c r="T40" s="612"/>
      <c r="U40" s="187"/>
      <c r="V40" s="187"/>
      <c r="W40" s="184"/>
      <c r="X40" s="181"/>
      <c r="Y40" s="612"/>
      <c r="Z40" s="187"/>
      <c r="AA40" s="187"/>
      <c r="AB40" s="184"/>
      <c r="AC40" s="181"/>
      <c r="AD40" s="612"/>
      <c r="AE40" s="187"/>
      <c r="AF40" s="187"/>
      <c r="AG40" s="184"/>
      <c r="AH40" s="181"/>
      <c r="AI40" s="612"/>
      <c r="AJ40" s="187"/>
      <c r="AK40" s="187"/>
      <c r="AL40" s="184"/>
      <c r="AM40" s="181"/>
      <c r="AN40" s="612"/>
      <c r="AO40" s="187"/>
      <c r="AP40" s="187"/>
      <c r="AQ40" s="184"/>
      <c r="AR40" s="181"/>
      <c r="AS40" s="612"/>
      <c r="AT40" s="187"/>
      <c r="AU40" s="187"/>
      <c r="AV40" s="184"/>
      <c r="AW40" s="181"/>
      <c r="AX40" s="612"/>
    </row>
    <row r="41" spans="2:50" ht="14.25" customHeight="1">
      <c r="B41" s="611"/>
      <c r="C41" s="179">
        <v>15</v>
      </c>
      <c r="D41" s="182"/>
      <c r="E41" s="179"/>
      <c r="F41" s="179"/>
      <c r="G41" s="184"/>
      <c r="H41" s="612"/>
      <c r="I41" s="185"/>
      <c r="J41" s="185"/>
      <c r="K41" s="186"/>
      <c r="L41" s="613"/>
      <c r="M41" s="185"/>
      <c r="N41" s="611"/>
      <c r="O41" s="611"/>
      <c r="P41" s="187"/>
      <c r="Q41" s="187"/>
      <c r="R41" s="184"/>
      <c r="S41" s="181"/>
      <c r="T41" s="612"/>
      <c r="U41" s="187"/>
      <c r="V41" s="187"/>
      <c r="W41" s="184"/>
      <c r="X41" s="181"/>
      <c r="Y41" s="612"/>
      <c r="Z41" s="187"/>
      <c r="AA41" s="187"/>
      <c r="AB41" s="184"/>
      <c r="AC41" s="181"/>
      <c r="AD41" s="612"/>
      <c r="AE41" s="187"/>
      <c r="AF41" s="187"/>
      <c r="AG41" s="184"/>
      <c r="AH41" s="181"/>
      <c r="AI41" s="612"/>
      <c r="AJ41" s="187"/>
      <c r="AK41" s="187"/>
      <c r="AL41" s="184"/>
      <c r="AM41" s="181"/>
      <c r="AN41" s="612"/>
      <c r="AO41" s="187"/>
      <c r="AP41" s="187"/>
      <c r="AQ41" s="184"/>
      <c r="AR41" s="181"/>
      <c r="AS41" s="612"/>
      <c r="AT41" s="187"/>
      <c r="AU41" s="187"/>
      <c r="AV41" s="184"/>
      <c r="AW41" s="181"/>
      <c r="AX41" s="612"/>
    </row>
    <row r="42" spans="2:50" ht="14.25" customHeight="1" collapsed="1">
      <c r="B42" s="640" t="s">
        <v>800</v>
      </c>
      <c r="C42" s="641"/>
      <c r="D42" s="641"/>
      <c r="E42" s="641"/>
      <c r="F42" s="641"/>
      <c r="G42" s="641"/>
      <c r="H42" s="641"/>
      <c r="I42" s="641"/>
      <c r="J42" s="641"/>
      <c r="K42" s="641"/>
      <c r="L42" s="641"/>
      <c r="M42" s="642"/>
      <c r="N42" s="645" t="s">
        <v>363</v>
      </c>
      <c r="O42" s="645" t="s">
        <v>105</v>
      </c>
      <c r="P42" s="632">
        <v>46217</v>
      </c>
      <c r="Q42" s="633"/>
      <c r="R42" s="633"/>
      <c r="S42" s="633"/>
      <c r="T42" s="633"/>
      <c r="U42" s="634">
        <v>46218</v>
      </c>
      <c r="V42" s="635"/>
      <c r="W42" s="635"/>
      <c r="X42" s="635"/>
      <c r="Y42" s="635"/>
      <c r="Z42" s="632">
        <v>46219</v>
      </c>
      <c r="AA42" s="633"/>
      <c r="AB42" s="633"/>
      <c r="AC42" s="633"/>
      <c r="AD42" s="633"/>
      <c r="AE42" s="634">
        <v>46220</v>
      </c>
      <c r="AF42" s="635"/>
      <c r="AG42" s="635"/>
      <c r="AH42" s="635"/>
      <c r="AI42" s="635"/>
      <c r="AJ42" s="616">
        <v>46221</v>
      </c>
      <c r="AK42" s="617"/>
      <c r="AL42" s="617"/>
      <c r="AM42" s="617"/>
      <c r="AN42" s="618"/>
      <c r="AO42" s="634">
        <v>46222</v>
      </c>
      <c r="AP42" s="635"/>
      <c r="AQ42" s="635"/>
      <c r="AR42" s="635"/>
      <c r="AS42" s="635"/>
      <c r="AT42" s="616">
        <v>46223</v>
      </c>
      <c r="AU42" s="617"/>
      <c r="AV42" s="617"/>
      <c r="AW42" s="617"/>
      <c r="AX42" s="618"/>
    </row>
    <row r="43" spans="2:50" ht="14.25" customHeight="1"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4"/>
      <c r="N43" s="646"/>
      <c r="O43" s="646"/>
      <c r="P43" s="619">
        <v>46196</v>
      </c>
      <c r="Q43" s="619"/>
      <c r="R43" s="619"/>
      <c r="S43" s="619"/>
      <c r="T43" s="619"/>
      <c r="U43" s="620">
        <v>46197</v>
      </c>
      <c r="V43" s="620"/>
      <c r="W43" s="620"/>
      <c r="X43" s="620"/>
      <c r="Y43" s="620"/>
      <c r="Z43" s="619">
        <v>46198</v>
      </c>
      <c r="AA43" s="619"/>
      <c r="AB43" s="619"/>
      <c r="AC43" s="619"/>
      <c r="AD43" s="619"/>
      <c r="AE43" s="620">
        <v>46199</v>
      </c>
      <c r="AF43" s="620"/>
      <c r="AG43" s="620"/>
      <c r="AH43" s="620"/>
      <c r="AI43" s="620"/>
      <c r="AJ43" s="621">
        <v>46200</v>
      </c>
      <c r="AK43" s="622"/>
      <c r="AL43" s="622"/>
      <c r="AM43" s="622"/>
      <c r="AN43" s="623"/>
      <c r="AO43" s="620">
        <v>46201</v>
      </c>
      <c r="AP43" s="620"/>
      <c r="AQ43" s="620"/>
      <c r="AR43" s="620"/>
      <c r="AS43" s="620"/>
      <c r="AT43" s="621">
        <v>46202</v>
      </c>
      <c r="AU43" s="622"/>
      <c r="AV43" s="622"/>
      <c r="AW43" s="622"/>
      <c r="AX43" s="623"/>
    </row>
    <row r="44" spans="2:50" ht="14.25" customHeight="1">
      <c r="B44" s="611" t="s">
        <v>162</v>
      </c>
      <c r="C44" s="611" t="s">
        <v>157</v>
      </c>
      <c r="D44" s="611"/>
      <c r="E44" s="611" t="s">
        <v>158</v>
      </c>
      <c r="F44" s="611"/>
      <c r="G44" s="611"/>
      <c r="H44" s="611" t="s">
        <v>163</v>
      </c>
      <c r="I44" s="615" t="s">
        <v>364</v>
      </c>
      <c r="J44" s="615"/>
      <c r="K44" s="615"/>
      <c r="L44" s="615" t="s">
        <v>163</v>
      </c>
      <c r="M44" s="615" t="s">
        <v>165</v>
      </c>
      <c r="N44" s="611"/>
      <c r="O44" s="611" t="s">
        <v>164</v>
      </c>
      <c r="P44" s="611" t="s">
        <v>160</v>
      </c>
      <c r="Q44" s="611"/>
      <c r="R44" s="611"/>
      <c r="S44" s="611"/>
      <c r="T44" s="611" t="s">
        <v>163</v>
      </c>
      <c r="U44" s="611" t="s">
        <v>160</v>
      </c>
      <c r="V44" s="611"/>
      <c r="W44" s="611"/>
      <c r="X44" s="611"/>
      <c r="Y44" s="611" t="s">
        <v>163</v>
      </c>
      <c r="Z44" s="611" t="s">
        <v>160</v>
      </c>
      <c r="AA44" s="611"/>
      <c r="AB44" s="611"/>
      <c r="AC44" s="611"/>
      <c r="AD44" s="611" t="s">
        <v>163</v>
      </c>
      <c r="AE44" s="611" t="s">
        <v>160</v>
      </c>
      <c r="AF44" s="611"/>
      <c r="AG44" s="611"/>
      <c r="AH44" s="611"/>
      <c r="AI44" s="611" t="s">
        <v>163</v>
      </c>
      <c r="AJ44" s="611" t="s">
        <v>160</v>
      </c>
      <c r="AK44" s="611"/>
      <c r="AL44" s="611"/>
      <c r="AM44" s="611"/>
      <c r="AN44" s="611" t="s">
        <v>163</v>
      </c>
      <c r="AO44" s="611" t="s">
        <v>160</v>
      </c>
      <c r="AP44" s="611"/>
      <c r="AQ44" s="611"/>
      <c r="AR44" s="611"/>
      <c r="AS44" s="611" t="s">
        <v>163</v>
      </c>
      <c r="AT44" s="611" t="s">
        <v>160</v>
      </c>
      <c r="AU44" s="611"/>
      <c r="AV44" s="611"/>
      <c r="AW44" s="611"/>
      <c r="AX44" s="611" t="s">
        <v>163</v>
      </c>
    </row>
    <row r="45" spans="2:50" ht="14.25" customHeight="1">
      <c r="B45" s="611"/>
      <c r="C45" s="611"/>
      <c r="D45" s="611"/>
      <c r="E45" s="611" t="s">
        <v>365</v>
      </c>
      <c r="F45" s="611"/>
      <c r="G45" s="611"/>
      <c r="H45" s="611"/>
      <c r="I45" s="615" t="s">
        <v>365</v>
      </c>
      <c r="J45" s="615"/>
      <c r="K45" s="615"/>
      <c r="L45" s="615"/>
      <c r="M45" s="615"/>
      <c r="N45" s="611"/>
      <c r="O45" s="611"/>
      <c r="P45" s="611" t="s">
        <v>366</v>
      </c>
      <c r="Q45" s="611"/>
      <c r="R45" s="611"/>
      <c r="S45" s="611"/>
      <c r="T45" s="611"/>
      <c r="U45" s="611" t="s">
        <v>366</v>
      </c>
      <c r="V45" s="611"/>
      <c r="W45" s="611"/>
      <c r="X45" s="611"/>
      <c r="Y45" s="611"/>
      <c r="Z45" s="611" t="s">
        <v>366</v>
      </c>
      <c r="AA45" s="611"/>
      <c r="AB45" s="611"/>
      <c r="AC45" s="611"/>
      <c r="AD45" s="611"/>
      <c r="AE45" s="611" t="s">
        <v>366</v>
      </c>
      <c r="AF45" s="611"/>
      <c r="AG45" s="611"/>
      <c r="AH45" s="611"/>
      <c r="AI45" s="611"/>
      <c r="AJ45" s="611" t="s">
        <v>366</v>
      </c>
      <c r="AK45" s="611"/>
      <c r="AL45" s="611"/>
      <c r="AM45" s="611"/>
      <c r="AN45" s="611"/>
      <c r="AO45" s="611" t="s">
        <v>366</v>
      </c>
      <c r="AP45" s="611"/>
      <c r="AQ45" s="611"/>
      <c r="AR45" s="611"/>
      <c r="AS45" s="611"/>
      <c r="AT45" s="611" t="s">
        <v>366</v>
      </c>
      <c r="AU45" s="611"/>
      <c r="AV45" s="611"/>
      <c r="AW45" s="611"/>
      <c r="AX45" s="611"/>
    </row>
    <row r="46" spans="2:50" ht="14.25" customHeight="1">
      <c r="B46" s="611"/>
      <c r="C46" s="611"/>
      <c r="D46" s="611"/>
      <c r="E46" s="179" t="s">
        <v>159</v>
      </c>
      <c r="F46" s="179" t="s">
        <v>367</v>
      </c>
      <c r="G46" s="179" t="s">
        <v>161</v>
      </c>
      <c r="H46" s="611"/>
      <c r="I46" s="180" t="s">
        <v>159</v>
      </c>
      <c r="J46" s="180" t="s">
        <v>367</v>
      </c>
      <c r="K46" s="180" t="s">
        <v>161</v>
      </c>
      <c r="L46" s="615"/>
      <c r="M46" s="615"/>
      <c r="N46" s="611"/>
      <c r="O46" s="611"/>
      <c r="P46" s="179" t="s">
        <v>159</v>
      </c>
      <c r="Q46" s="179" t="s">
        <v>367</v>
      </c>
      <c r="R46" s="179" t="s">
        <v>161</v>
      </c>
      <c r="S46" s="181" t="s">
        <v>165</v>
      </c>
      <c r="T46" s="611"/>
      <c r="U46" s="179" t="s">
        <v>159</v>
      </c>
      <c r="V46" s="179" t="s">
        <v>367</v>
      </c>
      <c r="W46" s="179" t="s">
        <v>161</v>
      </c>
      <c r="X46" s="181" t="s">
        <v>165</v>
      </c>
      <c r="Y46" s="611"/>
      <c r="Z46" s="179" t="s">
        <v>159</v>
      </c>
      <c r="AA46" s="179" t="s">
        <v>367</v>
      </c>
      <c r="AB46" s="179" t="s">
        <v>161</v>
      </c>
      <c r="AC46" s="181" t="s">
        <v>165</v>
      </c>
      <c r="AD46" s="611"/>
      <c r="AE46" s="179" t="s">
        <v>159</v>
      </c>
      <c r="AF46" s="179" t="s">
        <v>367</v>
      </c>
      <c r="AG46" s="179" t="s">
        <v>161</v>
      </c>
      <c r="AH46" s="181" t="s">
        <v>165</v>
      </c>
      <c r="AI46" s="611"/>
      <c r="AJ46" s="179" t="s">
        <v>159</v>
      </c>
      <c r="AK46" s="179" t="s">
        <v>367</v>
      </c>
      <c r="AL46" s="179" t="s">
        <v>161</v>
      </c>
      <c r="AM46" s="181" t="s">
        <v>165</v>
      </c>
      <c r="AN46" s="611"/>
      <c r="AO46" s="179" t="s">
        <v>159</v>
      </c>
      <c r="AP46" s="179" t="s">
        <v>367</v>
      </c>
      <c r="AQ46" s="179" t="s">
        <v>161</v>
      </c>
      <c r="AR46" s="181" t="s">
        <v>165</v>
      </c>
      <c r="AS46" s="611"/>
      <c r="AT46" s="179" t="s">
        <v>159</v>
      </c>
      <c r="AU46" s="179" t="s">
        <v>367</v>
      </c>
      <c r="AV46" s="179" t="s">
        <v>161</v>
      </c>
      <c r="AW46" s="181" t="s">
        <v>165</v>
      </c>
      <c r="AX46" s="611"/>
    </row>
    <row r="47" spans="2:50" ht="14.25" customHeight="1">
      <c r="B47" s="611" t="s">
        <v>370</v>
      </c>
      <c r="C47" s="179">
        <v>1</v>
      </c>
      <c r="D47" s="182" t="s">
        <v>596</v>
      </c>
      <c r="E47" s="183">
        <v>5</v>
      </c>
      <c r="F47" s="179">
        <v>3273</v>
      </c>
      <c r="G47" s="184">
        <f t="shared" ref="G47:G51" si="33">IFERROR(F47/E47,"")</f>
        <v>654.6</v>
      </c>
      <c r="H47" s="612">
        <f>AVERAGE(G47:G61)</f>
        <v>522.83999999999992</v>
      </c>
      <c r="I47" s="185">
        <f>AVERAGE(P47,U47,Z47,AE47,AJ47,AO47,AT47)</f>
        <v>6</v>
      </c>
      <c r="J47" s="185">
        <f>AVERAGE(Q47,V47,AA47,AF47,AK47,AP47,AU47)</f>
        <v>2961.6418775921857</v>
      </c>
      <c r="K47" s="186">
        <f>AVERAGE(R47,W47,AB47,AG47,AL47,AQ47,AV47)</f>
        <v>493.60697959869771</v>
      </c>
      <c r="L47" s="613">
        <f>IFERROR(AVERAGE(K47:K61),"-")</f>
        <v>452.87919174259349</v>
      </c>
      <c r="M47" s="185">
        <f>RANK(K47, K$47:$K$61)</f>
        <v>4</v>
      </c>
      <c r="N47" s="611"/>
      <c r="O47" s="611"/>
      <c r="P47" s="187">
        <v>6</v>
      </c>
      <c r="Q47" s="187">
        <v>2961.6418775921861</v>
      </c>
      <c r="R47" s="184">
        <f>IFERROR(Q47/P47,"")</f>
        <v>493.60697959869771</v>
      </c>
      <c r="S47" s="181">
        <f>RANK(R47, R$47:R$61)</f>
        <v>4</v>
      </c>
      <c r="T47" s="612">
        <f>AVERAGE(R47:R61)</f>
        <v>452.98999631402205</v>
      </c>
      <c r="U47" s="187">
        <v>6</v>
      </c>
      <c r="V47" s="187">
        <v>2961.6418775921861</v>
      </c>
      <c r="W47" s="184">
        <f t="shared" ref="W47:W51" si="34">IFERROR(V47/U47,"")</f>
        <v>493.60697959869771</v>
      </c>
      <c r="X47" s="181">
        <f>RANK(W47, W$47:W$61)</f>
        <v>4</v>
      </c>
      <c r="Y47" s="612">
        <f>AVERAGE(W47:W61)</f>
        <v>453.02196431402206</v>
      </c>
      <c r="Z47" s="187">
        <v>6</v>
      </c>
      <c r="AA47" s="187">
        <v>2961.6418775921861</v>
      </c>
      <c r="AB47" s="184">
        <f>IFERROR(AA47/Z47,"")</f>
        <v>493.60697959869771</v>
      </c>
      <c r="AC47" s="181">
        <f>RANK(AB47, AB$47:AB$61)</f>
        <v>4</v>
      </c>
      <c r="AD47" s="612">
        <f>AVERAGE(AB47:AB61)</f>
        <v>452.95356431402217</v>
      </c>
      <c r="AE47" s="187">
        <v>6</v>
      </c>
      <c r="AF47" s="187">
        <v>2961.6418775921857</v>
      </c>
      <c r="AG47" s="184">
        <f>IFERROR(AF47/AE47,"")</f>
        <v>493.60697959869759</v>
      </c>
      <c r="AH47" s="181">
        <f>RANK(AG47, AG$47:AG$61)</f>
        <v>4</v>
      </c>
      <c r="AI47" s="651">
        <f>AVERAGE(AG47:AG61)</f>
        <v>452.86418831402204</v>
      </c>
      <c r="AJ47" s="187">
        <v>6</v>
      </c>
      <c r="AK47" s="187">
        <v>2961.6418775921861</v>
      </c>
      <c r="AL47" s="184">
        <f>IFERROR(AK47/AJ47,"")</f>
        <v>493.60697959869771</v>
      </c>
      <c r="AM47" s="181">
        <f>RANK(AL47, AL$47:AL$61)</f>
        <v>4</v>
      </c>
      <c r="AN47" s="612">
        <f>AVERAGE(AL47:AL61)</f>
        <v>452.72672831402213</v>
      </c>
      <c r="AO47" s="187">
        <v>6</v>
      </c>
      <c r="AP47" s="187">
        <v>2961.6418775921866</v>
      </c>
      <c r="AQ47" s="184">
        <f>IFERROR(AP47/AO47,"")</f>
        <v>493.60697959869776</v>
      </c>
      <c r="AR47" s="181">
        <f>RANK(AQ47, AQ$47:AQ$61)</f>
        <v>4</v>
      </c>
      <c r="AS47" s="612">
        <f>AVERAGE(AQ47:AQ61)</f>
        <v>452.79949631402212</v>
      </c>
      <c r="AT47" s="187">
        <v>6</v>
      </c>
      <c r="AU47" s="187">
        <v>2961.6418775921866</v>
      </c>
      <c r="AV47" s="184">
        <f>IFERROR(AU47/AT47,"")</f>
        <v>493.60697959869776</v>
      </c>
      <c r="AW47" s="181">
        <f>RANK(AV47, AV$47:AV$61)</f>
        <v>4</v>
      </c>
      <c r="AX47" s="612">
        <f>AVERAGE(AV47:AV61)</f>
        <v>452.79840431402209</v>
      </c>
    </row>
    <row r="48" spans="2:50" ht="14.25" customHeight="1">
      <c r="B48" s="611"/>
      <c r="C48" s="179">
        <v>2</v>
      </c>
      <c r="D48" s="182" t="s">
        <v>578</v>
      </c>
      <c r="E48" s="179">
        <v>6</v>
      </c>
      <c r="F48" s="179">
        <v>3600</v>
      </c>
      <c r="G48" s="184">
        <f t="shared" si="33"/>
        <v>600</v>
      </c>
      <c r="H48" s="612"/>
      <c r="I48" s="185">
        <f t="shared" ref="I48:K51" si="35">AVERAGE(P48,U48,Z48,AE48,AJ48,AO48,AT48)</f>
        <v>6</v>
      </c>
      <c r="J48" s="185">
        <f t="shared" si="35"/>
        <v>3247.1485714285727</v>
      </c>
      <c r="K48" s="186">
        <f t="shared" si="35"/>
        <v>541.19142857142867</v>
      </c>
      <c r="L48" s="613"/>
      <c r="M48" s="185">
        <f>RANK(K48, K$47:$K$61)</f>
        <v>3</v>
      </c>
      <c r="N48" s="611"/>
      <c r="O48" s="611"/>
      <c r="P48" s="187">
        <v>6</v>
      </c>
      <c r="Q48" s="187">
        <v>3247.2000000000012</v>
      </c>
      <c r="R48" s="184">
        <f t="shared" ref="R48:R51" si="36">IFERROR(Q48/P48,"")</f>
        <v>541.20000000000016</v>
      </c>
      <c r="S48" s="181">
        <f>RANK(R48, R$47:R$61)</f>
        <v>3</v>
      </c>
      <c r="T48" s="612"/>
      <c r="U48" s="187">
        <v>6</v>
      </c>
      <c r="V48" s="187">
        <v>3248.2800000000007</v>
      </c>
      <c r="W48" s="184">
        <f t="shared" si="34"/>
        <v>541.38000000000011</v>
      </c>
      <c r="X48" s="181">
        <f>RANK(W48, W$47:W$61)</f>
        <v>3</v>
      </c>
      <c r="Y48" s="612"/>
      <c r="Z48" s="187">
        <v>6</v>
      </c>
      <c r="AA48" s="187">
        <v>3247.920000000001</v>
      </c>
      <c r="AB48" s="184">
        <f t="shared" ref="AB48:AB51" si="37">IFERROR(AA48/Z48,"")</f>
        <v>541.32000000000016</v>
      </c>
      <c r="AC48" s="181">
        <f>RANK(AB48, AB$47:AB$61)</f>
        <v>3</v>
      </c>
      <c r="AD48" s="612"/>
      <c r="AE48" s="187">
        <v>6</v>
      </c>
      <c r="AF48" s="187">
        <v>3246.4800000000009</v>
      </c>
      <c r="AG48" s="184">
        <f t="shared" ref="AG48:AG51" si="38">IFERROR(AF48/AE48,"")</f>
        <v>541.08000000000015</v>
      </c>
      <c r="AH48" s="181">
        <f>RANK(AG48, AG$47:AG$61)</f>
        <v>3</v>
      </c>
      <c r="AI48" s="652"/>
      <c r="AJ48" s="187">
        <v>6</v>
      </c>
      <c r="AK48" s="187">
        <v>3245.7600000000016</v>
      </c>
      <c r="AL48" s="184">
        <f t="shared" ref="AL48:AL51" si="39">IFERROR(AK48/AJ48,"")</f>
        <v>540.96000000000026</v>
      </c>
      <c r="AM48" s="181">
        <f>RANK(AL48, AL$47:AL$61)</f>
        <v>3</v>
      </c>
      <c r="AN48" s="612"/>
      <c r="AO48" s="187">
        <v>6</v>
      </c>
      <c r="AP48" s="187">
        <v>3246.4800000000014</v>
      </c>
      <c r="AQ48" s="184">
        <f t="shared" ref="AQ48:AQ51" si="40">IFERROR(AP48/AO48,"")</f>
        <v>541.08000000000027</v>
      </c>
      <c r="AR48" s="181">
        <f>RANK(AQ48, AQ$47:AQ$61)</f>
        <v>2</v>
      </c>
      <c r="AS48" s="612"/>
      <c r="AT48" s="187">
        <v>6</v>
      </c>
      <c r="AU48" s="187">
        <v>3247.920000000001</v>
      </c>
      <c r="AV48" s="184">
        <f t="shared" ref="AV48:AV51" si="41">IFERROR(AU48/AT48,"")</f>
        <v>541.32000000000016</v>
      </c>
      <c r="AW48" s="181">
        <f>RANK(AV48, AV$47:AV$61)</f>
        <v>2</v>
      </c>
      <c r="AX48" s="612"/>
    </row>
    <row r="49" spans="2:50" ht="14.25" customHeight="1">
      <c r="B49" s="611"/>
      <c r="C49" s="179">
        <v>3</v>
      </c>
      <c r="D49" s="182" t="s">
        <v>579</v>
      </c>
      <c r="E49" s="179">
        <v>6</v>
      </c>
      <c r="F49" s="179">
        <v>3600</v>
      </c>
      <c r="G49" s="184">
        <f t="shared" si="33"/>
        <v>600</v>
      </c>
      <c r="H49" s="612"/>
      <c r="I49" s="185">
        <f t="shared" si="35"/>
        <v>6</v>
      </c>
      <c r="J49" s="185">
        <f t="shared" si="35"/>
        <v>3248.0228571428565</v>
      </c>
      <c r="K49" s="186">
        <f t="shared" si="35"/>
        <v>541.33714285714279</v>
      </c>
      <c r="L49" s="613"/>
      <c r="M49" s="185">
        <f>RANK(K49, K$47:$K$61)</f>
        <v>2</v>
      </c>
      <c r="N49" s="611"/>
      <c r="O49" s="611"/>
      <c r="P49" s="187">
        <v>6</v>
      </c>
      <c r="Q49" s="187">
        <v>3251.1600000000003</v>
      </c>
      <c r="R49" s="184">
        <f t="shared" si="36"/>
        <v>541.86</v>
      </c>
      <c r="S49" s="181">
        <f t="shared" ref="S49:S51" si="42">RANK(R49, R$47:R$61)</f>
        <v>2</v>
      </c>
      <c r="T49" s="612"/>
      <c r="U49" s="187">
        <v>6</v>
      </c>
      <c r="V49" s="187">
        <v>3249.72</v>
      </c>
      <c r="W49" s="184">
        <f t="shared" si="34"/>
        <v>541.62</v>
      </c>
      <c r="X49" s="181">
        <f t="shared" ref="X49:X51" si="43">RANK(W49, W$47:W$61)</f>
        <v>2</v>
      </c>
      <c r="Y49" s="612"/>
      <c r="Z49" s="187">
        <v>6</v>
      </c>
      <c r="AA49" s="187">
        <v>3248.28</v>
      </c>
      <c r="AB49" s="184">
        <f t="shared" si="37"/>
        <v>541.38</v>
      </c>
      <c r="AC49" s="181">
        <f t="shared" ref="AC49:AC51" si="44">RANK(AB49, AB$47:AB$61)</f>
        <v>2</v>
      </c>
      <c r="AD49" s="612"/>
      <c r="AE49" s="187">
        <v>6</v>
      </c>
      <c r="AF49" s="187">
        <v>3248.2799999999997</v>
      </c>
      <c r="AG49" s="184">
        <f t="shared" si="38"/>
        <v>541.38</v>
      </c>
      <c r="AH49" s="181">
        <f t="shared" ref="AH49:AH51" si="45">RANK(AG49, AG$47:AG$61)</f>
        <v>2</v>
      </c>
      <c r="AI49" s="652"/>
      <c r="AJ49" s="187">
        <v>6</v>
      </c>
      <c r="AK49" s="187">
        <v>3246.8399999999997</v>
      </c>
      <c r="AL49" s="184">
        <f t="shared" si="39"/>
        <v>541.14</v>
      </c>
      <c r="AM49" s="181">
        <f t="shared" ref="AM49:AM51" si="46">RANK(AL49, AL$47:AL$61)</f>
        <v>2</v>
      </c>
      <c r="AN49" s="612"/>
      <c r="AO49" s="187">
        <v>6</v>
      </c>
      <c r="AP49" s="187">
        <v>3246.4799999999996</v>
      </c>
      <c r="AQ49" s="184">
        <f t="shared" si="40"/>
        <v>541.07999999999993</v>
      </c>
      <c r="AR49" s="181">
        <f t="shared" ref="AR49:AR51" si="47">RANK(AQ49, AQ$47:AQ$61)</f>
        <v>3</v>
      </c>
      <c r="AS49" s="612"/>
      <c r="AT49" s="187">
        <v>6</v>
      </c>
      <c r="AU49" s="187">
        <v>3245.3999999999992</v>
      </c>
      <c r="AV49" s="184">
        <f t="shared" si="41"/>
        <v>540.89999999999986</v>
      </c>
      <c r="AW49" s="181">
        <f t="shared" ref="AW49:AW51" si="48">RANK(AV49, AV$47:AV$61)</f>
        <v>3</v>
      </c>
      <c r="AX49" s="612"/>
    </row>
    <row r="50" spans="2:50" ht="14.25" customHeight="1">
      <c r="B50" s="611"/>
      <c r="C50" s="179">
        <v>4</v>
      </c>
      <c r="D50" s="182" t="s">
        <v>613</v>
      </c>
      <c r="E50" s="179">
        <v>20</v>
      </c>
      <c r="F50" s="179">
        <v>2100</v>
      </c>
      <c r="G50" s="184">
        <f t="shared" si="33"/>
        <v>105</v>
      </c>
      <c r="H50" s="612"/>
      <c r="I50" s="185">
        <f t="shared" si="35"/>
        <v>20</v>
      </c>
      <c r="J50" s="185">
        <f t="shared" si="35"/>
        <v>1893.9683422374978</v>
      </c>
      <c r="K50" s="186">
        <f t="shared" si="35"/>
        <v>94.698417111874875</v>
      </c>
      <c r="L50" s="613"/>
      <c r="M50" s="185">
        <f>RANK(K50, K$47:$K$61)</f>
        <v>5</v>
      </c>
      <c r="N50" s="611"/>
      <c r="O50" s="611"/>
      <c r="P50" s="187">
        <v>20</v>
      </c>
      <c r="Q50" s="187">
        <v>1895.1683422374977</v>
      </c>
      <c r="R50" s="184">
        <f t="shared" si="36"/>
        <v>94.758417111874877</v>
      </c>
      <c r="S50" s="181">
        <f t="shared" si="42"/>
        <v>5</v>
      </c>
      <c r="T50" s="612"/>
      <c r="U50" s="187">
        <v>20</v>
      </c>
      <c r="V50" s="187">
        <v>1894.3283422374975</v>
      </c>
      <c r="W50" s="184">
        <f t="shared" si="34"/>
        <v>94.716417111874875</v>
      </c>
      <c r="X50" s="181">
        <f t="shared" si="43"/>
        <v>5</v>
      </c>
      <c r="Y50" s="612"/>
      <c r="Z50" s="187">
        <v>20</v>
      </c>
      <c r="AA50" s="187">
        <v>1893.4883422374974</v>
      </c>
      <c r="AB50" s="184">
        <f t="shared" si="37"/>
        <v>94.674417111874874</v>
      </c>
      <c r="AC50" s="181">
        <f t="shared" si="44"/>
        <v>5</v>
      </c>
      <c r="AD50" s="612"/>
      <c r="AE50" s="187">
        <v>20</v>
      </c>
      <c r="AF50" s="187">
        <v>1893.2783422374976</v>
      </c>
      <c r="AG50" s="184">
        <f t="shared" si="38"/>
        <v>94.663917111874881</v>
      </c>
      <c r="AH50" s="181">
        <f t="shared" si="45"/>
        <v>5</v>
      </c>
      <c r="AI50" s="652"/>
      <c r="AJ50" s="187">
        <v>20</v>
      </c>
      <c r="AK50" s="187">
        <v>1893.2783422374978</v>
      </c>
      <c r="AL50" s="184">
        <f t="shared" si="39"/>
        <v>94.663917111874895</v>
      </c>
      <c r="AM50" s="181">
        <f t="shared" si="46"/>
        <v>5</v>
      </c>
      <c r="AN50" s="612"/>
      <c r="AO50" s="187">
        <v>20</v>
      </c>
      <c r="AP50" s="187">
        <v>1894.1183422374975</v>
      </c>
      <c r="AQ50" s="184">
        <f t="shared" si="40"/>
        <v>94.705917111874868</v>
      </c>
      <c r="AR50" s="181">
        <f t="shared" si="47"/>
        <v>5</v>
      </c>
      <c r="AS50" s="612"/>
      <c r="AT50" s="187">
        <v>20</v>
      </c>
      <c r="AU50" s="187">
        <v>1894.118342237497</v>
      </c>
      <c r="AV50" s="184">
        <f t="shared" si="41"/>
        <v>94.705917111874854</v>
      </c>
      <c r="AW50" s="181">
        <f t="shared" si="48"/>
        <v>5</v>
      </c>
      <c r="AX50" s="612"/>
    </row>
    <row r="51" spans="2:50" ht="14.25" customHeight="1">
      <c r="B51" s="611"/>
      <c r="C51" s="179">
        <v>5</v>
      </c>
      <c r="D51" s="182" t="s">
        <v>629</v>
      </c>
      <c r="E51" s="179">
        <v>5</v>
      </c>
      <c r="F51" s="179">
        <v>3273</v>
      </c>
      <c r="G51" s="184">
        <f t="shared" si="33"/>
        <v>654.6</v>
      </c>
      <c r="H51" s="612"/>
      <c r="I51" s="185">
        <f t="shared" si="35"/>
        <v>5</v>
      </c>
      <c r="J51" s="185">
        <f t="shared" si="35"/>
        <v>2967.8099528691168</v>
      </c>
      <c r="K51" s="186">
        <f t="shared" si="35"/>
        <v>593.56199057382344</v>
      </c>
      <c r="L51" s="613"/>
      <c r="M51" s="185">
        <f>RANK(K51, K$47:$K$61)</f>
        <v>1</v>
      </c>
      <c r="N51" s="611"/>
      <c r="O51" s="611"/>
      <c r="P51" s="187">
        <v>5</v>
      </c>
      <c r="Q51" s="187">
        <v>2967.6229242976879</v>
      </c>
      <c r="R51" s="184">
        <f t="shared" si="36"/>
        <v>593.52458485953753</v>
      </c>
      <c r="S51" s="181">
        <f t="shared" si="42"/>
        <v>1</v>
      </c>
      <c r="T51" s="612"/>
      <c r="U51" s="187">
        <v>5</v>
      </c>
      <c r="V51" s="187">
        <v>2968.932124297688</v>
      </c>
      <c r="W51" s="184">
        <f t="shared" si="34"/>
        <v>593.78642485953765</v>
      </c>
      <c r="X51" s="181">
        <f t="shared" si="43"/>
        <v>1</v>
      </c>
      <c r="Y51" s="612"/>
      <c r="Z51" s="187">
        <v>5</v>
      </c>
      <c r="AA51" s="187">
        <v>2968.9321242976885</v>
      </c>
      <c r="AB51" s="184">
        <f t="shared" si="37"/>
        <v>593.78642485953765</v>
      </c>
      <c r="AC51" s="181">
        <f t="shared" si="44"/>
        <v>1</v>
      </c>
      <c r="AD51" s="612"/>
      <c r="AE51" s="187">
        <v>5</v>
      </c>
      <c r="AF51" s="187">
        <v>2967.9502242976882</v>
      </c>
      <c r="AG51" s="184">
        <f t="shared" si="38"/>
        <v>593.59004485953767</v>
      </c>
      <c r="AH51" s="181">
        <f t="shared" si="45"/>
        <v>1</v>
      </c>
      <c r="AI51" s="652"/>
      <c r="AJ51" s="187">
        <v>5</v>
      </c>
      <c r="AK51" s="187">
        <v>2966.3137242976891</v>
      </c>
      <c r="AL51" s="184">
        <f t="shared" si="39"/>
        <v>593.26274485953786</v>
      </c>
      <c r="AM51" s="181">
        <f t="shared" si="46"/>
        <v>1</v>
      </c>
      <c r="AN51" s="612"/>
      <c r="AO51" s="187">
        <v>5</v>
      </c>
      <c r="AP51" s="187">
        <v>2967.6229242976892</v>
      </c>
      <c r="AQ51" s="184">
        <f t="shared" si="40"/>
        <v>593.52458485953787</v>
      </c>
      <c r="AR51" s="181">
        <f t="shared" si="47"/>
        <v>1</v>
      </c>
      <c r="AS51" s="612"/>
      <c r="AT51" s="187">
        <v>5</v>
      </c>
      <c r="AU51" s="187">
        <v>2967.2956242976893</v>
      </c>
      <c r="AV51" s="184">
        <f t="shared" si="41"/>
        <v>593.45912485953784</v>
      </c>
      <c r="AW51" s="181">
        <f t="shared" si="48"/>
        <v>1</v>
      </c>
      <c r="AX51" s="612"/>
    </row>
    <row r="52" spans="2:50" ht="14.25" customHeight="1">
      <c r="B52" s="611"/>
      <c r="C52" s="179">
        <v>6</v>
      </c>
      <c r="D52" s="182"/>
      <c r="E52" s="179"/>
      <c r="F52" s="179"/>
      <c r="G52" s="184"/>
      <c r="H52" s="612"/>
      <c r="I52" s="185"/>
      <c r="J52" s="185"/>
      <c r="K52" s="186"/>
      <c r="L52" s="613"/>
      <c r="M52" s="185"/>
      <c r="N52" s="611"/>
      <c r="O52" s="611"/>
      <c r="P52" s="187"/>
      <c r="Q52" s="187"/>
      <c r="R52" s="184"/>
      <c r="S52" s="181"/>
      <c r="T52" s="612"/>
      <c r="U52" s="187"/>
      <c r="V52" s="187"/>
      <c r="W52" s="184"/>
      <c r="X52" s="181"/>
      <c r="Y52" s="612"/>
      <c r="Z52" s="187"/>
      <c r="AA52" s="187"/>
      <c r="AB52" s="184"/>
      <c r="AC52" s="181"/>
      <c r="AD52" s="612"/>
      <c r="AE52" s="187"/>
      <c r="AF52" s="187"/>
      <c r="AG52" s="184"/>
      <c r="AH52" s="181"/>
      <c r="AI52" s="652"/>
      <c r="AJ52" s="187"/>
      <c r="AK52" s="187"/>
      <c r="AL52" s="184"/>
      <c r="AM52" s="181"/>
      <c r="AN52" s="612"/>
      <c r="AO52" s="187"/>
      <c r="AP52" s="187"/>
      <c r="AQ52" s="184"/>
      <c r="AR52" s="181"/>
      <c r="AS52" s="612"/>
      <c r="AT52" s="187"/>
      <c r="AU52" s="187"/>
      <c r="AV52" s="184"/>
      <c r="AW52" s="181"/>
      <c r="AX52" s="612"/>
    </row>
    <row r="53" spans="2:50" ht="14.25" customHeight="1">
      <c r="B53" s="611"/>
      <c r="C53" s="179">
        <v>7</v>
      </c>
      <c r="D53" s="182"/>
      <c r="E53" s="179"/>
      <c r="F53" s="179"/>
      <c r="G53" s="184"/>
      <c r="H53" s="612"/>
      <c r="I53" s="185"/>
      <c r="J53" s="185"/>
      <c r="K53" s="186"/>
      <c r="L53" s="613"/>
      <c r="M53" s="185"/>
      <c r="N53" s="611"/>
      <c r="O53" s="611"/>
      <c r="P53" s="187"/>
      <c r="Q53" s="187"/>
      <c r="R53" s="184"/>
      <c r="S53" s="181"/>
      <c r="T53" s="612"/>
      <c r="U53" s="187"/>
      <c r="V53" s="187"/>
      <c r="W53" s="184"/>
      <c r="X53" s="181"/>
      <c r="Y53" s="612"/>
      <c r="Z53" s="187"/>
      <c r="AA53" s="187"/>
      <c r="AB53" s="184"/>
      <c r="AC53" s="181"/>
      <c r="AD53" s="612"/>
      <c r="AE53" s="187"/>
      <c r="AF53" s="187"/>
      <c r="AG53" s="184"/>
      <c r="AH53" s="181"/>
      <c r="AI53" s="652"/>
      <c r="AJ53" s="187"/>
      <c r="AK53" s="187"/>
      <c r="AL53" s="184"/>
      <c r="AM53" s="181"/>
      <c r="AN53" s="612"/>
      <c r="AO53" s="187"/>
      <c r="AP53" s="187"/>
      <c r="AQ53" s="184"/>
      <c r="AR53" s="181"/>
      <c r="AS53" s="612"/>
      <c r="AT53" s="187"/>
      <c r="AU53" s="187"/>
      <c r="AV53" s="184"/>
      <c r="AW53" s="181"/>
      <c r="AX53" s="612"/>
    </row>
    <row r="54" spans="2:50" ht="14.25" customHeight="1">
      <c r="B54" s="611"/>
      <c r="C54" s="179">
        <v>8</v>
      </c>
      <c r="D54" s="182"/>
      <c r="E54" s="179"/>
      <c r="F54" s="179"/>
      <c r="G54" s="184"/>
      <c r="H54" s="612"/>
      <c r="I54" s="185"/>
      <c r="J54" s="185"/>
      <c r="K54" s="186"/>
      <c r="L54" s="613"/>
      <c r="M54" s="185"/>
      <c r="N54" s="611"/>
      <c r="O54" s="611"/>
      <c r="P54" s="187"/>
      <c r="Q54" s="187"/>
      <c r="R54" s="184"/>
      <c r="S54" s="181"/>
      <c r="T54" s="612"/>
      <c r="U54" s="187"/>
      <c r="V54" s="187"/>
      <c r="W54" s="184"/>
      <c r="X54" s="181"/>
      <c r="Y54" s="612"/>
      <c r="Z54" s="187"/>
      <c r="AA54" s="187"/>
      <c r="AB54" s="184"/>
      <c r="AC54" s="181"/>
      <c r="AD54" s="612"/>
      <c r="AE54" s="187"/>
      <c r="AF54" s="187"/>
      <c r="AG54" s="184"/>
      <c r="AH54" s="181"/>
      <c r="AI54" s="652"/>
      <c r="AJ54" s="187"/>
      <c r="AK54" s="187"/>
      <c r="AL54" s="184"/>
      <c r="AM54" s="181"/>
      <c r="AN54" s="612"/>
      <c r="AO54" s="187"/>
      <c r="AP54" s="187"/>
      <c r="AQ54" s="184"/>
      <c r="AR54" s="181"/>
      <c r="AS54" s="612"/>
      <c r="AT54" s="187"/>
      <c r="AU54" s="187"/>
      <c r="AV54" s="184"/>
      <c r="AW54" s="181"/>
      <c r="AX54" s="612"/>
    </row>
    <row r="55" spans="2:50" ht="14.25" customHeight="1">
      <c r="B55" s="611"/>
      <c r="C55" s="179">
        <v>9</v>
      </c>
      <c r="D55" s="182"/>
      <c r="E55" s="179"/>
      <c r="F55" s="179"/>
      <c r="G55" s="184"/>
      <c r="H55" s="612"/>
      <c r="I55" s="185"/>
      <c r="J55" s="185"/>
      <c r="K55" s="186"/>
      <c r="L55" s="613"/>
      <c r="M55" s="185"/>
      <c r="N55" s="611"/>
      <c r="O55" s="611"/>
      <c r="P55" s="187"/>
      <c r="Q55" s="187"/>
      <c r="R55" s="184"/>
      <c r="S55" s="181"/>
      <c r="T55" s="612"/>
      <c r="U55" s="187"/>
      <c r="V55" s="187"/>
      <c r="W55" s="184"/>
      <c r="X55" s="181"/>
      <c r="Y55" s="612"/>
      <c r="Z55" s="187"/>
      <c r="AA55" s="187"/>
      <c r="AB55" s="184"/>
      <c r="AC55" s="181"/>
      <c r="AD55" s="612"/>
      <c r="AE55" s="187"/>
      <c r="AF55" s="187"/>
      <c r="AG55" s="184"/>
      <c r="AH55" s="181"/>
      <c r="AI55" s="652"/>
      <c r="AJ55" s="187"/>
      <c r="AK55" s="187"/>
      <c r="AL55" s="184"/>
      <c r="AM55" s="181"/>
      <c r="AN55" s="612"/>
      <c r="AO55" s="187"/>
      <c r="AP55" s="187"/>
      <c r="AQ55" s="184"/>
      <c r="AR55" s="181"/>
      <c r="AS55" s="612"/>
      <c r="AT55" s="187"/>
      <c r="AU55" s="187"/>
      <c r="AV55" s="184"/>
      <c r="AW55" s="181"/>
      <c r="AX55" s="612"/>
    </row>
    <row r="56" spans="2:50" ht="14.25" customHeight="1">
      <c r="B56" s="611"/>
      <c r="C56" s="179">
        <v>10</v>
      </c>
      <c r="D56" s="182"/>
      <c r="E56" s="179"/>
      <c r="F56" s="179"/>
      <c r="G56" s="184"/>
      <c r="H56" s="612"/>
      <c r="I56" s="185"/>
      <c r="J56" s="185"/>
      <c r="K56" s="186"/>
      <c r="L56" s="613"/>
      <c r="M56" s="185"/>
      <c r="N56" s="611"/>
      <c r="O56" s="611"/>
      <c r="P56" s="187"/>
      <c r="Q56" s="187"/>
      <c r="R56" s="184"/>
      <c r="S56" s="181"/>
      <c r="T56" s="612"/>
      <c r="U56" s="187"/>
      <c r="V56" s="187"/>
      <c r="W56" s="184"/>
      <c r="X56" s="181"/>
      <c r="Y56" s="612"/>
      <c r="Z56" s="187"/>
      <c r="AA56" s="187"/>
      <c r="AB56" s="184"/>
      <c r="AC56" s="181"/>
      <c r="AD56" s="612"/>
      <c r="AE56" s="187"/>
      <c r="AF56" s="187"/>
      <c r="AG56" s="184"/>
      <c r="AH56" s="181"/>
      <c r="AI56" s="652"/>
      <c r="AJ56" s="187"/>
      <c r="AK56" s="187"/>
      <c r="AL56" s="184"/>
      <c r="AM56" s="181"/>
      <c r="AN56" s="612"/>
      <c r="AO56" s="187"/>
      <c r="AP56" s="187"/>
      <c r="AQ56" s="184"/>
      <c r="AR56" s="181"/>
      <c r="AS56" s="612"/>
      <c r="AT56" s="187"/>
      <c r="AU56" s="187"/>
      <c r="AV56" s="184"/>
      <c r="AW56" s="181"/>
      <c r="AX56" s="612"/>
    </row>
    <row r="57" spans="2:50" ht="14.25" customHeight="1">
      <c r="B57" s="611"/>
      <c r="C57" s="179">
        <v>11</v>
      </c>
      <c r="D57" s="182"/>
      <c r="E57" s="179"/>
      <c r="F57" s="179"/>
      <c r="G57" s="184"/>
      <c r="H57" s="612"/>
      <c r="I57" s="185"/>
      <c r="J57" s="185"/>
      <c r="K57" s="186"/>
      <c r="L57" s="613"/>
      <c r="M57" s="185"/>
      <c r="N57" s="611"/>
      <c r="O57" s="611"/>
      <c r="P57" s="187"/>
      <c r="Q57" s="187"/>
      <c r="R57" s="184"/>
      <c r="S57" s="181"/>
      <c r="T57" s="612"/>
      <c r="U57" s="187"/>
      <c r="V57" s="187"/>
      <c r="W57" s="184"/>
      <c r="X57" s="181"/>
      <c r="Y57" s="612"/>
      <c r="Z57" s="187"/>
      <c r="AA57" s="187"/>
      <c r="AB57" s="184"/>
      <c r="AC57" s="181"/>
      <c r="AD57" s="612"/>
      <c r="AE57" s="187"/>
      <c r="AF57" s="187"/>
      <c r="AG57" s="184"/>
      <c r="AH57" s="181"/>
      <c r="AI57" s="652"/>
      <c r="AJ57" s="187"/>
      <c r="AK57" s="187"/>
      <c r="AL57" s="184"/>
      <c r="AM57" s="181"/>
      <c r="AN57" s="612"/>
      <c r="AO57" s="187"/>
      <c r="AP57" s="187"/>
      <c r="AQ57" s="184"/>
      <c r="AR57" s="181"/>
      <c r="AS57" s="612"/>
      <c r="AT57" s="187"/>
      <c r="AU57" s="187"/>
      <c r="AV57" s="184"/>
      <c r="AW57" s="181"/>
      <c r="AX57" s="612"/>
    </row>
    <row r="58" spans="2:50" ht="14.25" customHeight="1">
      <c r="B58" s="611"/>
      <c r="C58" s="179">
        <v>12</v>
      </c>
      <c r="D58" s="182"/>
      <c r="E58" s="179"/>
      <c r="F58" s="179"/>
      <c r="G58" s="184"/>
      <c r="H58" s="612"/>
      <c r="I58" s="185"/>
      <c r="J58" s="185"/>
      <c r="K58" s="186"/>
      <c r="L58" s="613"/>
      <c r="M58" s="185"/>
      <c r="N58" s="611"/>
      <c r="O58" s="611"/>
      <c r="P58" s="187"/>
      <c r="Q58" s="187"/>
      <c r="R58" s="184"/>
      <c r="S58" s="181"/>
      <c r="T58" s="612"/>
      <c r="U58" s="187"/>
      <c r="V58" s="187"/>
      <c r="W58" s="184"/>
      <c r="X58" s="181"/>
      <c r="Y58" s="612"/>
      <c r="Z58" s="187"/>
      <c r="AA58" s="187"/>
      <c r="AB58" s="184"/>
      <c r="AC58" s="181"/>
      <c r="AD58" s="612"/>
      <c r="AE58" s="187"/>
      <c r="AF58" s="187"/>
      <c r="AG58" s="184"/>
      <c r="AH58" s="181"/>
      <c r="AI58" s="652"/>
      <c r="AJ58" s="187"/>
      <c r="AK58" s="187"/>
      <c r="AL58" s="184"/>
      <c r="AM58" s="181"/>
      <c r="AN58" s="612"/>
      <c r="AO58" s="187"/>
      <c r="AP58" s="187"/>
      <c r="AQ58" s="184"/>
      <c r="AR58" s="181"/>
      <c r="AS58" s="612"/>
      <c r="AT58" s="187"/>
      <c r="AU58" s="187"/>
      <c r="AV58" s="184"/>
      <c r="AW58" s="181"/>
      <c r="AX58" s="612"/>
    </row>
    <row r="59" spans="2:50" ht="14.25" customHeight="1">
      <c r="B59" s="611"/>
      <c r="C59" s="179">
        <v>13</v>
      </c>
      <c r="D59" s="182"/>
      <c r="E59" s="179"/>
      <c r="F59" s="179"/>
      <c r="G59" s="184"/>
      <c r="H59" s="612"/>
      <c r="I59" s="185"/>
      <c r="J59" s="185"/>
      <c r="K59" s="186"/>
      <c r="L59" s="613"/>
      <c r="M59" s="185"/>
      <c r="N59" s="611"/>
      <c r="O59" s="611"/>
      <c r="P59" s="187"/>
      <c r="Q59" s="187"/>
      <c r="R59" s="184"/>
      <c r="S59" s="181"/>
      <c r="T59" s="612"/>
      <c r="U59" s="187"/>
      <c r="V59" s="187"/>
      <c r="W59" s="184"/>
      <c r="X59" s="181"/>
      <c r="Y59" s="612"/>
      <c r="Z59" s="187"/>
      <c r="AA59" s="187"/>
      <c r="AB59" s="184"/>
      <c r="AC59" s="181"/>
      <c r="AD59" s="612"/>
      <c r="AE59" s="187"/>
      <c r="AF59" s="187"/>
      <c r="AG59" s="184"/>
      <c r="AH59" s="181"/>
      <c r="AI59" s="652"/>
      <c r="AJ59" s="187"/>
      <c r="AK59" s="187"/>
      <c r="AL59" s="184"/>
      <c r="AM59" s="181"/>
      <c r="AN59" s="612"/>
      <c r="AO59" s="187"/>
      <c r="AP59" s="187"/>
      <c r="AQ59" s="184"/>
      <c r="AR59" s="181"/>
      <c r="AS59" s="612"/>
      <c r="AT59" s="187"/>
      <c r="AU59" s="187"/>
      <c r="AV59" s="184"/>
      <c r="AW59" s="181"/>
      <c r="AX59" s="612"/>
    </row>
    <row r="60" spans="2:50" ht="14.25" customHeight="1">
      <c r="B60" s="611"/>
      <c r="C60" s="179">
        <v>14</v>
      </c>
      <c r="D60" s="182"/>
      <c r="E60" s="179"/>
      <c r="F60" s="179"/>
      <c r="G60" s="184"/>
      <c r="H60" s="612"/>
      <c r="I60" s="185"/>
      <c r="J60" s="185"/>
      <c r="K60" s="186"/>
      <c r="L60" s="613"/>
      <c r="M60" s="185"/>
      <c r="N60" s="611"/>
      <c r="O60" s="611"/>
      <c r="P60" s="187"/>
      <c r="Q60" s="187"/>
      <c r="R60" s="184"/>
      <c r="S60" s="181"/>
      <c r="T60" s="612"/>
      <c r="U60" s="187"/>
      <c r="V60" s="187"/>
      <c r="W60" s="184"/>
      <c r="X60" s="181"/>
      <c r="Y60" s="612"/>
      <c r="Z60" s="187"/>
      <c r="AA60" s="187"/>
      <c r="AB60" s="184"/>
      <c r="AC60" s="181"/>
      <c r="AD60" s="612"/>
      <c r="AE60" s="187"/>
      <c r="AF60" s="187"/>
      <c r="AG60" s="184"/>
      <c r="AH60" s="181"/>
      <c r="AI60" s="652"/>
      <c r="AJ60" s="187"/>
      <c r="AK60" s="187"/>
      <c r="AL60" s="184"/>
      <c r="AM60" s="181"/>
      <c r="AN60" s="612"/>
      <c r="AO60" s="187"/>
      <c r="AP60" s="187"/>
      <c r="AQ60" s="184"/>
      <c r="AR60" s="181"/>
      <c r="AS60" s="612"/>
      <c r="AT60" s="187"/>
      <c r="AU60" s="187"/>
      <c r="AV60" s="184"/>
      <c r="AW60" s="181"/>
      <c r="AX60" s="612"/>
    </row>
    <row r="61" spans="2:50" ht="14.25" customHeight="1">
      <c r="B61" s="611"/>
      <c r="C61" s="179">
        <v>15</v>
      </c>
      <c r="D61" s="182"/>
      <c r="E61" s="179"/>
      <c r="F61" s="179"/>
      <c r="G61" s="184"/>
      <c r="H61" s="612"/>
      <c r="I61" s="185"/>
      <c r="J61" s="185"/>
      <c r="K61" s="186"/>
      <c r="L61" s="613"/>
      <c r="M61" s="185"/>
      <c r="N61" s="611"/>
      <c r="O61" s="611"/>
      <c r="P61" s="187"/>
      <c r="Q61" s="187"/>
      <c r="R61" s="184"/>
      <c r="S61" s="181"/>
      <c r="T61" s="612"/>
      <c r="U61" s="187"/>
      <c r="V61" s="187"/>
      <c r="W61" s="184"/>
      <c r="X61" s="181"/>
      <c r="Y61" s="612"/>
      <c r="Z61" s="187"/>
      <c r="AA61" s="187"/>
      <c r="AB61" s="184"/>
      <c r="AC61" s="181"/>
      <c r="AD61" s="612"/>
      <c r="AE61" s="187"/>
      <c r="AF61" s="187"/>
      <c r="AG61" s="184"/>
      <c r="AH61" s="181"/>
      <c r="AI61" s="653"/>
      <c r="AJ61" s="187"/>
      <c r="AK61" s="187"/>
      <c r="AL61" s="184"/>
      <c r="AM61" s="181"/>
      <c r="AN61" s="612"/>
      <c r="AO61" s="187"/>
      <c r="AP61" s="187"/>
      <c r="AQ61" s="184"/>
      <c r="AR61" s="181"/>
      <c r="AS61" s="612"/>
      <c r="AT61" s="187"/>
      <c r="AU61" s="187"/>
      <c r="AV61" s="184"/>
      <c r="AW61" s="181"/>
      <c r="AX61" s="612"/>
    </row>
    <row r="62" spans="2:50" collapsed="1">
      <c r="B62" s="640" t="s">
        <v>848</v>
      </c>
      <c r="C62" s="640"/>
      <c r="D62" s="640"/>
      <c r="E62" s="640"/>
      <c r="F62" s="640"/>
      <c r="G62" s="640"/>
      <c r="H62" s="640"/>
      <c r="I62" s="640"/>
      <c r="J62" s="640"/>
      <c r="K62" s="640"/>
      <c r="L62" s="640"/>
      <c r="M62" s="647"/>
      <c r="N62" s="645" t="s">
        <v>363</v>
      </c>
      <c r="O62" s="645" t="s">
        <v>105</v>
      </c>
      <c r="P62" s="616">
        <v>46224</v>
      </c>
      <c r="Q62" s="617"/>
      <c r="R62" s="617"/>
      <c r="S62" s="617"/>
      <c r="T62" s="618"/>
      <c r="U62" s="676">
        <v>46225</v>
      </c>
      <c r="V62" s="677"/>
      <c r="W62" s="677"/>
      <c r="X62" s="677"/>
      <c r="Y62" s="678"/>
      <c r="Z62" s="616">
        <v>46226</v>
      </c>
      <c r="AA62" s="617"/>
      <c r="AB62" s="617"/>
      <c r="AC62" s="617"/>
      <c r="AD62" s="618"/>
      <c r="AE62" s="676">
        <v>46227</v>
      </c>
      <c r="AF62" s="677"/>
      <c r="AG62" s="677"/>
      <c r="AH62" s="677"/>
      <c r="AI62" s="678"/>
      <c r="AJ62" s="616">
        <v>46228</v>
      </c>
      <c r="AK62" s="617"/>
      <c r="AL62" s="617"/>
      <c r="AM62" s="617"/>
      <c r="AN62" s="618"/>
      <c r="AO62" s="676">
        <v>46229</v>
      </c>
      <c r="AP62" s="677"/>
      <c r="AQ62" s="677"/>
      <c r="AR62" s="677"/>
      <c r="AS62" s="678"/>
      <c r="AT62" s="616">
        <v>46230</v>
      </c>
      <c r="AU62" s="617"/>
      <c r="AV62" s="617"/>
      <c r="AW62" s="617"/>
      <c r="AX62" s="618"/>
    </row>
    <row r="63" spans="2:50">
      <c r="B63" s="648"/>
      <c r="C63" s="648"/>
      <c r="D63" s="648"/>
      <c r="E63" s="648"/>
      <c r="F63" s="648"/>
      <c r="G63" s="648"/>
      <c r="H63" s="648"/>
      <c r="I63" s="648"/>
      <c r="J63" s="648"/>
      <c r="K63" s="648"/>
      <c r="L63" s="648"/>
      <c r="M63" s="649"/>
      <c r="N63" s="646"/>
      <c r="O63" s="646"/>
      <c r="P63" s="621">
        <v>46196</v>
      </c>
      <c r="Q63" s="622"/>
      <c r="R63" s="622"/>
      <c r="S63" s="622"/>
      <c r="T63" s="623"/>
      <c r="U63" s="664">
        <v>46197</v>
      </c>
      <c r="V63" s="665"/>
      <c r="W63" s="665"/>
      <c r="X63" s="665"/>
      <c r="Y63" s="666"/>
      <c r="Z63" s="621">
        <v>46198</v>
      </c>
      <c r="AA63" s="622"/>
      <c r="AB63" s="622"/>
      <c r="AC63" s="622"/>
      <c r="AD63" s="623"/>
      <c r="AE63" s="664">
        <v>46199</v>
      </c>
      <c r="AF63" s="665"/>
      <c r="AG63" s="665"/>
      <c r="AH63" s="665"/>
      <c r="AI63" s="666"/>
      <c r="AJ63" s="621">
        <v>46200</v>
      </c>
      <c r="AK63" s="622"/>
      <c r="AL63" s="622"/>
      <c r="AM63" s="622"/>
      <c r="AN63" s="623"/>
      <c r="AO63" s="664">
        <v>46201</v>
      </c>
      <c r="AP63" s="665"/>
      <c r="AQ63" s="665"/>
      <c r="AR63" s="665"/>
      <c r="AS63" s="666"/>
      <c r="AT63" s="621">
        <v>46202</v>
      </c>
      <c r="AU63" s="622"/>
      <c r="AV63" s="622"/>
      <c r="AW63" s="622"/>
      <c r="AX63" s="623"/>
    </row>
    <row r="64" spans="2:50">
      <c r="B64" s="645" t="s">
        <v>162</v>
      </c>
      <c r="C64" s="667" t="s">
        <v>157</v>
      </c>
      <c r="D64" s="668"/>
      <c r="E64" s="658" t="s">
        <v>158</v>
      </c>
      <c r="F64" s="659"/>
      <c r="G64" s="660"/>
      <c r="H64" s="645" t="s">
        <v>163</v>
      </c>
      <c r="I64" s="661" t="s">
        <v>364</v>
      </c>
      <c r="J64" s="662"/>
      <c r="K64" s="663"/>
      <c r="L64" s="673" t="s">
        <v>163</v>
      </c>
      <c r="M64" s="673" t="s">
        <v>165</v>
      </c>
      <c r="N64" s="645"/>
      <c r="O64" s="645" t="s">
        <v>164</v>
      </c>
      <c r="P64" s="658" t="s">
        <v>160</v>
      </c>
      <c r="Q64" s="659"/>
      <c r="R64" s="659"/>
      <c r="S64" s="660"/>
      <c r="T64" s="645" t="s">
        <v>163</v>
      </c>
      <c r="U64" s="658" t="s">
        <v>160</v>
      </c>
      <c r="V64" s="659"/>
      <c r="W64" s="659"/>
      <c r="X64" s="660"/>
      <c r="Y64" s="645" t="s">
        <v>163</v>
      </c>
      <c r="Z64" s="658" t="s">
        <v>160</v>
      </c>
      <c r="AA64" s="659"/>
      <c r="AB64" s="659"/>
      <c r="AC64" s="660"/>
      <c r="AD64" s="645" t="s">
        <v>163</v>
      </c>
      <c r="AE64" s="658" t="s">
        <v>160</v>
      </c>
      <c r="AF64" s="659"/>
      <c r="AG64" s="659"/>
      <c r="AH64" s="660"/>
      <c r="AI64" s="645" t="s">
        <v>163</v>
      </c>
      <c r="AJ64" s="658" t="s">
        <v>160</v>
      </c>
      <c r="AK64" s="659"/>
      <c r="AL64" s="659"/>
      <c r="AM64" s="660"/>
      <c r="AN64" s="645" t="s">
        <v>163</v>
      </c>
      <c r="AO64" s="658" t="s">
        <v>160</v>
      </c>
      <c r="AP64" s="659"/>
      <c r="AQ64" s="659"/>
      <c r="AR64" s="660"/>
      <c r="AS64" s="645" t="s">
        <v>163</v>
      </c>
      <c r="AT64" s="658" t="s">
        <v>160</v>
      </c>
      <c r="AU64" s="659"/>
      <c r="AV64" s="659"/>
      <c r="AW64" s="660"/>
      <c r="AX64" s="645" t="s">
        <v>163</v>
      </c>
    </row>
    <row r="65" spans="2:50" ht="12.75">
      <c r="B65" s="654"/>
      <c r="C65" s="669"/>
      <c r="D65" s="670"/>
      <c r="E65" s="658" t="s">
        <v>365</v>
      </c>
      <c r="F65" s="659"/>
      <c r="G65" s="660"/>
      <c r="H65" s="654"/>
      <c r="I65" s="661" t="s">
        <v>365</v>
      </c>
      <c r="J65" s="662"/>
      <c r="K65" s="663"/>
      <c r="L65" s="674"/>
      <c r="M65" s="674"/>
      <c r="N65" s="654"/>
      <c r="O65" s="654"/>
      <c r="P65" s="658" t="s">
        <v>366</v>
      </c>
      <c r="Q65" s="659"/>
      <c r="R65" s="659"/>
      <c r="S65" s="660"/>
      <c r="T65" s="654"/>
      <c r="U65" s="658" t="s">
        <v>366</v>
      </c>
      <c r="V65" s="659"/>
      <c r="W65" s="659"/>
      <c r="X65" s="660"/>
      <c r="Y65" s="654"/>
      <c r="Z65" s="658" t="s">
        <v>366</v>
      </c>
      <c r="AA65" s="659"/>
      <c r="AB65" s="659"/>
      <c r="AC65" s="660"/>
      <c r="AD65" s="654"/>
      <c r="AE65" s="658" t="s">
        <v>366</v>
      </c>
      <c r="AF65" s="659"/>
      <c r="AG65" s="659"/>
      <c r="AH65" s="660"/>
      <c r="AI65" s="654"/>
      <c r="AJ65" s="658" t="s">
        <v>366</v>
      </c>
      <c r="AK65" s="659"/>
      <c r="AL65" s="659"/>
      <c r="AM65" s="660"/>
      <c r="AN65" s="654"/>
      <c r="AO65" s="658" t="s">
        <v>366</v>
      </c>
      <c r="AP65" s="659"/>
      <c r="AQ65" s="659"/>
      <c r="AR65" s="660"/>
      <c r="AS65" s="654"/>
      <c r="AT65" s="658" t="s">
        <v>366</v>
      </c>
      <c r="AU65" s="659"/>
      <c r="AV65" s="659"/>
      <c r="AW65" s="660"/>
      <c r="AX65" s="654"/>
    </row>
    <row r="66" spans="2:50" ht="12.75">
      <c r="B66" s="646"/>
      <c r="C66" s="671"/>
      <c r="D66" s="672"/>
      <c r="E66" s="179" t="s">
        <v>159</v>
      </c>
      <c r="F66" s="179" t="s">
        <v>367</v>
      </c>
      <c r="G66" s="179" t="s">
        <v>161</v>
      </c>
      <c r="H66" s="646"/>
      <c r="I66" s="180" t="s">
        <v>159</v>
      </c>
      <c r="J66" s="180" t="s">
        <v>367</v>
      </c>
      <c r="K66" s="180" t="s">
        <v>161</v>
      </c>
      <c r="L66" s="675"/>
      <c r="M66" s="675"/>
      <c r="N66" s="654"/>
      <c r="O66" s="654"/>
      <c r="P66" s="179" t="s">
        <v>159</v>
      </c>
      <c r="Q66" s="179" t="s">
        <v>367</v>
      </c>
      <c r="R66" s="179" t="s">
        <v>161</v>
      </c>
      <c r="S66" s="181" t="s">
        <v>165</v>
      </c>
      <c r="T66" s="646"/>
      <c r="U66" s="179" t="s">
        <v>159</v>
      </c>
      <c r="V66" s="179" t="s">
        <v>367</v>
      </c>
      <c r="W66" s="179" t="s">
        <v>161</v>
      </c>
      <c r="X66" s="181" t="s">
        <v>165</v>
      </c>
      <c r="Y66" s="646"/>
      <c r="Z66" s="179" t="s">
        <v>159</v>
      </c>
      <c r="AA66" s="179" t="s">
        <v>367</v>
      </c>
      <c r="AB66" s="179" t="s">
        <v>161</v>
      </c>
      <c r="AC66" s="181" t="s">
        <v>165</v>
      </c>
      <c r="AD66" s="646"/>
      <c r="AE66" s="179" t="s">
        <v>159</v>
      </c>
      <c r="AF66" s="179" t="s">
        <v>367</v>
      </c>
      <c r="AG66" s="179" t="s">
        <v>161</v>
      </c>
      <c r="AH66" s="181" t="s">
        <v>165</v>
      </c>
      <c r="AI66" s="646"/>
      <c r="AJ66" s="179" t="s">
        <v>159</v>
      </c>
      <c r="AK66" s="179" t="s">
        <v>367</v>
      </c>
      <c r="AL66" s="179" t="s">
        <v>161</v>
      </c>
      <c r="AM66" s="181" t="s">
        <v>165</v>
      </c>
      <c r="AN66" s="646"/>
      <c r="AO66" s="179" t="s">
        <v>159</v>
      </c>
      <c r="AP66" s="179" t="s">
        <v>367</v>
      </c>
      <c r="AQ66" s="179" t="s">
        <v>161</v>
      </c>
      <c r="AR66" s="181" t="s">
        <v>165</v>
      </c>
      <c r="AS66" s="646"/>
      <c r="AT66" s="179" t="s">
        <v>159</v>
      </c>
      <c r="AU66" s="179" t="s">
        <v>367</v>
      </c>
      <c r="AV66" s="179" t="s">
        <v>161</v>
      </c>
      <c r="AW66" s="181" t="s">
        <v>165</v>
      </c>
      <c r="AX66" s="646"/>
    </row>
    <row r="67" spans="2:50">
      <c r="B67" s="645" t="s">
        <v>370</v>
      </c>
      <c r="C67" s="179">
        <v>1</v>
      </c>
      <c r="D67" s="182" t="s">
        <v>596</v>
      </c>
      <c r="E67" s="183">
        <v>5</v>
      </c>
      <c r="F67" s="179">
        <v>3273</v>
      </c>
      <c r="G67" s="184">
        <f t="shared" ref="G67:G71" si="49">IFERROR(F67/E67,"")</f>
        <v>654.6</v>
      </c>
      <c r="H67" s="651">
        <f>AVERAGE(G67:G81)</f>
        <v>522.83999999999992</v>
      </c>
      <c r="I67" s="185">
        <f>AVERAGE(P67,U67,Z67,AE67,AJ67,AO67,AT67)</f>
        <v>6</v>
      </c>
      <c r="J67" s="185">
        <f>AVERAGE(Q67,V67,AA67,AF67,AK67,AP67,AU67)</f>
        <v>2961.7353918779008</v>
      </c>
      <c r="K67" s="186">
        <f>AVERAGE(R67,W67,AB67,AG67,AL67,AQ67,AV67)</f>
        <v>493.62256531298351</v>
      </c>
      <c r="L67" s="655">
        <f>IFERROR(AVERAGE(K67:K81),"-")</f>
        <v>452.77254518488434</v>
      </c>
      <c r="M67" s="185">
        <f>RANK(K67, K$67:$K$81)</f>
        <v>4</v>
      </c>
      <c r="N67" s="654"/>
      <c r="O67" s="654"/>
      <c r="P67" s="187">
        <v>6</v>
      </c>
      <c r="Q67" s="187">
        <v>2961.6418775921866</v>
      </c>
      <c r="R67" s="184">
        <f>IFERROR(Q67/P67,"")</f>
        <v>493.60697959869776</v>
      </c>
      <c r="S67" s="181">
        <f>RANK(R67, R$67:R$81)</f>
        <v>4</v>
      </c>
      <c r="T67" s="651">
        <f>AVERAGE(R67:R81)</f>
        <v>452.74276747059866</v>
      </c>
      <c r="U67" s="187">
        <v>6</v>
      </c>
      <c r="V67" s="187">
        <v>2961.6418775921861</v>
      </c>
      <c r="W67" s="184">
        <f t="shared" ref="W67:W71" si="50">IFERROR(V67/U67,"")</f>
        <v>493.60697959869771</v>
      </c>
      <c r="X67" s="181">
        <f>RANK(W67, W$67:W$81)</f>
        <v>4</v>
      </c>
      <c r="Y67" s="651">
        <f>AVERAGE(W67:W81)</f>
        <v>452.74838347059858</v>
      </c>
      <c r="Z67" s="187">
        <v>6</v>
      </c>
      <c r="AA67" s="187">
        <v>2961.6418775921861</v>
      </c>
      <c r="AB67" s="184">
        <f>IFERROR(AA67/Z67,"")</f>
        <v>493.60697959869771</v>
      </c>
      <c r="AC67" s="181">
        <f>RANK(AB67, AB$67:AB$81)</f>
        <v>4</v>
      </c>
      <c r="AD67" s="651">
        <f>AVERAGE(AB67:AB81)</f>
        <v>452.76725947059856</v>
      </c>
      <c r="AE67" s="187">
        <v>6</v>
      </c>
      <c r="AF67" s="187">
        <v>2961.6418775921861</v>
      </c>
      <c r="AG67" s="184">
        <f>IFERROR(AF67/AE67,"")</f>
        <v>493.60697959869771</v>
      </c>
      <c r="AH67" s="181">
        <f>RANK(AG67, AG$67:AG$81)</f>
        <v>4</v>
      </c>
      <c r="AI67" s="651">
        <f>AVERAGE(AG67:AG81)</f>
        <v>452.73469147059859</v>
      </c>
      <c r="AJ67" s="187">
        <v>6</v>
      </c>
      <c r="AK67" s="187">
        <v>2961.6418775921861</v>
      </c>
      <c r="AL67" s="184">
        <f>IFERROR(AK67/AJ67,"")</f>
        <v>493.60697959869771</v>
      </c>
      <c r="AM67" s="181">
        <f>RANK(AL67, AL$67:AL$81)</f>
        <v>4</v>
      </c>
      <c r="AN67" s="651">
        <f>AVERAGE(AL67:AL81)</f>
        <v>452.75877547059861</v>
      </c>
      <c r="AO67" s="187">
        <v>6</v>
      </c>
      <c r="AP67" s="187">
        <v>2961.6418775921861</v>
      </c>
      <c r="AQ67" s="184">
        <f>IFERROR(AP67/AO67,"")</f>
        <v>493.60697959869771</v>
      </c>
      <c r="AR67" s="181">
        <f>RANK(AQ67, AQ$67:AQ$81)</f>
        <v>4</v>
      </c>
      <c r="AS67" s="651">
        <f>AVERAGE(AQ67:AQ81)</f>
        <v>452.79025147059855</v>
      </c>
      <c r="AT67" s="187">
        <v>6</v>
      </c>
      <c r="AU67" s="187">
        <v>2962.2964775921864</v>
      </c>
      <c r="AV67" s="184">
        <f>IFERROR(AU67/AT67,"")</f>
        <v>493.71607959869772</v>
      </c>
      <c r="AW67" s="181">
        <f>RANK(AV67, AV$67:AV$81)</f>
        <v>4</v>
      </c>
      <c r="AX67" s="651">
        <f>AVERAGE(AV67:AV81)</f>
        <v>452.86568747059857</v>
      </c>
    </row>
    <row r="68" spans="2:50">
      <c r="B68" s="654"/>
      <c r="C68" s="179">
        <v>2</v>
      </c>
      <c r="D68" s="182" t="s">
        <v>578</v>
      </c>
      <c r="E68" s="179">
        <v>6</v>
      </c>
      <c r="F68" s="179">
        <v>3600</v>
      </c>
      <c r="G68" s="184">
        <f t="shared" si="49"/>
        <v>600</v>
      </c>
      <c r="H68" s="652"/>
      <c r="I68" s="185">
        <f t="shared" ref="I68:K71" si="51">AVERAGE(P68,U68,Z68,AE68,AJ68,AO68,AT68)</f>
        <v>6</v>
      </c>
      <c r="J68" s="185">
        <f t="shared" si="51"/>
        <v>3247.5600000000009</v>
      </c>
      <c r="K68" s="186">
        <f t="shared" si="51"/>
        <v>541.26000000000022</v>
      </c>
      <c r="L68" s="656"/>
      <c r="M68" s="185">
        <f>RANK(K68, K$67:$K$81)</f>
        <v>2</v>
      </c>
      <c r="N68" s="654"/>
      <c r="O68" s="654"/>
      <c r="P68" s="187">
        <v>6</v>
      </c>
      <c r="Q68" s="187">
        <v>3246.8400000000011</v>
      </c>
      <c r="R68" s="184">
        <f t="shared" ref="R68:R71" si="52">IFERROR(Q68/P68,"")</f>
        <v>541.14000000000021</v>
      </c>
      <c r="S68" s="181">
        <f t="shared" ref="S68:S70" si="53">RANK(R68, R$67:R$81)</f>
        <v>2</v>
      </c>
      <c r="T68" s="652"/>
      <c r="U68" s="187">
        <v>6</v>
      </c>
      <c r="V68" s="187">
        <v>3248.2800000000007</v>
      </c>
      <c r="W68" s="184">
        <f t="shared" si="50"/>
        <v>541.38000000000011</v>
      </c>
      <c r="X68" s="181">
        <f t="shared" ref="X68:X70" si="54">RANK(W68, W$67:W$81)</f>
        <v>2</v>
      </c>
      <c r="Y68" s="652"/>
      <c r="Z68" s="187">
        <v>6</v>
      </c>
      <c r="AA68" s="187">
        <v>3247.920000000001</v>
      </c>
      <c r="AB68" s="184">
        <f t="shared" ref="AB68:AB71" si="55">IFERROR(AA68/Z68,"")</f>
        <v>541.32000000000016</v>
      </c>
      <c r="AC68" s="181">
        <f t="shared" ref="AC68:AC70" si="56">RANK(AB68, AB$67:AB$81)</f>
        <v>2</v>
      </c>
      <c r="AD68" s="652"/>
      <c r="AE68" s="187">
        <v>6</v>
      </c>
      <c r="AF68" s="187">
        <v>3247.920000000001</v>
      </c>
      <c r="AG68" s="184">
        <f t="shared" ref="AG68:AG71" si="57">IFERROR(AF68/AE68,"")</f>
        <v>541.32000000000016</v>
      </c>
      <c r="AH68" s="181">
        <f t="shared" ref="AH68:AH70" si="58">RANK(AG68, AG$67:AG$81)</f>
        <v>2</v>
      </c>
      <c r="AI68" s="652"/>
      <c r="AJ68" s="187">
        <v>6</v>
      </c>
      <c r="AK68" s="187">
        <v>3247.2000000000012</v>
      </c>
      <c r="AL68" s="184">
        <f t="shared" ref="AL68:AL71" si="59">IFERROR(AK68/AJ68,"")</f>
        <v>541.20000000000016</v>
      </c>
      <c r="AM68" s="181">
        <f t="shared" ref="AM68:AM70" si="60">RANK(AL68, AL$67:AL$81)</f>
        <v>3</v>
      </c>
      <c r="AN68" s="652"/>
      <c r="AO68" s="187">
        <v>6</v>
      </c>
      <c r="AP68" s="187">
        <v>3246.8400000000011</v>
      </c>
      <c r="AQ68" s="184">
        <f t="shared" ref="AQ68:AQ71" si="61">IFERROR(AP68/AO68,"")</f>
        <v>541.14000000000021</v>
      </c>
      <c r="AR68" s="181">
        <f t="shared" ref="AR68:AR70" si="62">RANK(AQ68, AQ$67:AQ$81)</f>
        <v>3</v>
      </c>
      <c r="AS68" s="652"/>
      <c r="AT68" s="187">
        <v>6</v>
      </c>
      <c r="AU68" s="187">
        <v>3247.920000000001</v>
      </c>
      <c r="AV68" s="184">
        <f t="shared" ref="AV68:AV71" si="63">IFERROR(AU68/AT68,"")</f>
        <v>541.32000000000016</v>
      </c>
      <c r="AW68" s="181">
        <f t="shared" ref="AW68:AW70" si="64">RANK(AV68, AV$67:AV$81)</f>
        <v>3</v>
      </c>
      <c r="AX68" s="652"/>
    </row>
    <row r="69" spans="2:50">
      <c r="B69" s="654"/>
      <c r="C69" s="179">
        <v>3</v>
      </c>
      <c r="D69" s="182" t="s">
        <v>579</v>
      </c>
      <c r="E69" s="179">
        <v>6</v>
      </c>
      <c r="F69" s="179">
        <v>3600</v>
      </c>
      <c r="G69" s="184">
        <f t="shared" si="49"/>
        <v>600</v>
      </c>
      <c r="H69" s="652"/>
      <c r="I69" s="185">
        <f t="shared" si="51"/>
        <v>6</v>
      </c>
      <c r="J69" s="185">
        <f t="shared" si="51"/>
        <v>3246.8100775544372</v>
      </c>
      <c r="K69" s="186">
        <f t="shared" si="51"/>
        <v>541.13501292573949</v>
      </c>
      <c r="L69" s="656"/>
      <c r="M69" s="185">
        <f>RANK(K69, K$67:$K$81)</f>
        <v>3</v>
      </c>
      <c r="N69" s="654"/>
      <c r="O69" s="654"/>
      <c r="P69" s="187">
        <v>6</v>
      </c>
      <c r="Q69" s="187">
        <v>3246.1929346972938</v>
      </c>
      <c r="R69" s="184">
        <f t="shared" si="52"/>
        <v>541.03215578288234</v>
      </c>
      <c r="S69" s="181">
        <f t="shared" si="53"/>
        <v>3</v>
      </c>
      <c r="T69" s="652"/>
      <c r="U69" s="187">
        <v>6</v>
      </c>
      <c r="V69" s="187">
        <v>3245.8329346972941</v>
      </c>
      <c r="W69" s="184">
        <f t="shared" si="50"/>
        <v>540.9721557828824</v>
      </c>
      <c r="X69" s="181">
        <f t="shared" si="54"/>
        <v>3</v>
      </c>
      <c r="Y69" s="652"/>
      <c r="Z69" s="187">
        <v>6</v>
      </c>
      <c r="AA69" s="187">
        <v>3245.8329346972946</v>
      </c>
      <c r="AB69" s="184">
        <f t="shared" si="55"/>
        <v>540.9721557828824</v>
      </c>
      <c r="AC69" s="181">
        <f t="shared" si="56"/>
        <v>3</v>
      </c>
      <c r="AD69" s="652"/>
      <c r="AE69" s="187">
        <v>6</v>
      </c>
      <c r="AF69" s="187">
        <v>3246.5529346972944</v>
      </c>
      <c r="AG69" s="184">
        <f t="shared" si="57"/>
        <v>541.0921557828824</v>
      </c>
      <c r="AH69" s="181">
        <f t="shared" si="58"/>
        <v>3</v>
      </c>
      <c r="AI69" s="652"/>
      <c r="AJ69" s="187">
        <v>6</v>
      </c>
      <c r="AK69" s="187">
        <v>3247.2729346972947</v>
      </c>
      <c r="AL69" s="184">
        <f t="shared" si="59"/>
        <v>541.21215578288241</v>
      </c>
      <c r="AM69" s="181">
        <f t="shared" si="60"/>
        <v>2</v>
      </c>
      <c r="AN69" s="652"/>
      <c r="AO69" s="187">
        <v>6</v>
      </c>
      <c r="AP69" s="187">
        <v>3247.2729346972947</v>
      </c>
      <c r="AQ69" s="184">
        <f t="shared" si="61"/>
        <v>541.21215578288241</v>
      </c>
      <c r="AR69" s="181">
        <f t="shared" si="62"/>
        <v>2</v>
      </c>
      <c r="AS69" s="652"/>
      <c r="AT69" s="187">
        <v>6</v>
      </c>
      <c r="AU69" s="187">
        <v>3248.7129346972943</v>
      </c>
      <c r="AV69" s="184">
        <f t="shared" si="63"/>
        <v>541.45215578288241</v>
      </c>
      <c r="AW69" s="181">
        <f t="shared" si="64"/>
        <v>2</v>
      </c>
      <c r="AX69" s="652"/>
    </row>
    <row r="70" spans="2:50">
      <c r="B70" s="654"/>
      <c r="C70" s="179">
        <v>4</v>
      </c>
      <c r="D70" s="182" t="s">
        <v>613</v>
      </c>
      <c r="E70" s="179">
        <v>20</v>
      </c>
      <c r="F70" s="179">
        <v>2100</v>
      </c>
      <c r="G70" s="184">
        <f t="shared" si="49"/>
        <v>105</v>
      </c>
      <c r="H70" s="652"/>
      <c r="I70" s="185">
        <f t="shared" si="51"/>
        <v>20</v>
      </c>
      <c r="J70" s="185">
        <f t="shared" si="51"/>
        <v>1893.5183422374971</v>
      </c>
      <c r="K70" s="186">
        <f t="shared" si="51"/>
        <v>94.675917111874838</v>
      </c>
      <c r="L70" s="656"/>
      <c r="M70" s="185">
        <f>RANK(K70, K$67:$K$81)</f>
        <v>5</v>
      </c>
      <c r="N70" s="654"/>
      <c r="O70" s="654"/>
      <c r="P70" s="187">
        <v>20</v>
      </c>
      <c r="Q70" s="187">
        <v>1894.7483422374971</v>
      </c>
      <c r="R70" s="184">
        <f t="shared" si="52"/>
        <v>94.737417111874862</v>
      </c>
      <c r="S70" s="181">
        <f t="shared" si="53"/>
        <v>5</v>
      </c>
      <c r="T70" s="652"/>
      <c r="U70" s="187">
        <v>20</v>
      </c>
      <c r="V70" s="187">
        <v>1894.3283422374971</v>
      </c>
      <c r="W70" s="184">
        <f t="shared" si="50"/>
        <v>94.716417111874847</v>
      </c>
      <c r="X70" s="181">
        <f t="shared" si="54"/>
        <v>5</v>
      </c>
      <c r="Y70" s="652"/>
      <c r="Z70" s="187">
        <v>20</v>
      </c>
      <c r="AA70" s="187">
        <v>1893.4883422374974</v>
      </c>
      <c r="AB70" s="184">
        <f t="shared" si="55"/>
        <v>94.674417111874874</v>
      </c>
      <c r="AC70" s="181">
        <f t="shared" si="56"/>
        <v>5</v>
      </c>
      <c r="AD70" s="652"/>
      <c r="AE70" s="187">
        <v>20</v>
      </c>
      <c r="AF70" s="187">
        <v>1893.0683422374971</v>
      </c>
      <c r="AG70" s="184">
        <f t="shared" si="57"/>
        <v>94.653417111874859</v>
      </c>
      <c r="AH70" s="181">
        <f t="shared" si="58"/>
        <v>5</v>
      </c>
      <c r="AI70" s="652"/>
      <c r="AJ70" s="187">
        <v>20</v>
      </c>
      <c r="AK70" s="187">
        <v>1892.858342237497</v>
      </c>
      <c r="AL70" s="184">
        <f t="shared" si="59"/>
        <v>94.642917111874851</v>
      </c>
      <c r="AM70" s="181">
        <f t="shared" si="60"/>
        <v>5</v>
      </c>
      <c r="AN70" s="652"/>
      <c r="AO70" s="187">
        <v>20</v>
      </c>
      <c r="AP70" s="187">
        <v>1893.2783422374969</v>
      </c>
      <c r="AQ70" s="184">
        <f t="shared" si="61"/>
        <v>94.663917111874838</v>
      </c>
      <c r="AR70" s="181">
        <f t="shared" si="62"/>
        <v>5</v>
      </c>
      <c r="AS70" s="652"/>
      <c r="AT70" s="187">
        <v>20</v>
      </c>
      <c r="AU70" s="187">
        <v>1892.8583422374968</v>
      </c>
      <c r="AV70" s="184">
        <f t="shared" si="63"/>
        <v>94.642917111874837</v>
      </c>
      <c r="AW70" s="181">
        <f t="shared" si="64"/>
        <v>5</v>
      </c>
      <c r="AX70" s="652"/>
    </row>
    <row r="71" spans="2:50">
      <c r="B71" s="654"/>
      <c r="C71" s="179">
        <v>5</v>
      </c>
      <c r="D71" s="182" t="s">
        <v>629</v>
      </c>
      <c r="E71" s="179">
        <v>5</v>
      </c>
      <c r="F71" s="179">
        <v>3273</v>
      </c>
      <c r="G71" s="184">
        <f t="shared" si="49"/>
        <v>654.6</v>
      </c>
      <c r="H71" s="652"/>
      <c r="I71" s="185">
        <f t="shared" si="51"/>
        <v>5</v>
      </c>
      <c r="J71" s="185">
        <f t="shared" si="51"/>
        <v>2965.8461528691178</v>
      </c>
      <c r="K71" s="186">
        <f t="shared" si="51"/>
        <v>593.1692305738236</v>
      </c>
      <c r="L71" s="656"/>
      <c r="M71" s="185">
        <f>RANK(K71, K$67:$K$81)</f>
        <v>1</v>
      </c>
      <c r="N71" s="654"/>
      <c r="O71" s="654"/>
      <c r="P71" s="187">
        <v>5</v>
      </c>
      <c r="Q71" s="187">
        <v>2965.9864242976892</v>
      </c>
      <c r="R71" s="184">
        <f t="shared" si="52"/>
        <v>593.19728485953783</v>
      </c>
      <c r="S71" s="181">
        <f>RANK(R71, R$67:R$81)</f>
        <v>1</v>
      </c>
      <c r="T71" s="652"/>
      <c r="U71" s="187">
        <v>5</v>
      </c>
      <c r="V71" s="187">
        <v>2965.3318242976889</v>
      </c>
      <c r="W71" s="184">
        <f t="shared" si="50"/>
        <v>593.06636485953777</v>
      </c>
      <c r="X71" s="181">
        <f>RANK(W71, W$67:W$81)</f>
        <v>1</v>
      </c>
      <c r="Y71" s="652"/>
      <c r="Z71" s="187">
        <v>5</v>
      </c>
      <c r="AA71" s="187">
        <v>2966.3137242976886</v>
      </c>
      <c r="AB71" s="184">
        <f t="shared" si="55"/>
        <v>593.26274485953775</v>
      </c>
      <c r="AC71" s="181">
        <f>RANK(AB71, AB$67:AB$81)</f>
        <v>1</v>
      </c>
      <c r="AD71" s="652"/>
      <c r="AE71" s="187">
        <v>5</v>
      </c>
      <c r="AF71" s="187">
        <v>2965.0045242976885</v>
      </c>
      <c r="AG71" s="184">
        <f t="shared" si="57"/>
        <v>593.00090485953774</v>
      </c>
      <c r="AH71" s="181">
        <f>RANK(AG71, AG$67:AG$81)</f>
        <v>1</v>
      </c>
      <c r="AI71" s="652"/>
      <c r="AJ71" s="187">
        <v>5</v>
      </c>
      <c r="AK71" s="187">
        <v>2965.6591242976888</v>
      </c>
      <c r="AL71" s="184">
        <f t="shared" si="59"/>
        <v>593.1318248595378</v>
      </c>
      <c r="AM71" s="181">
        <f>RANK(AL71, AL$67:AL$81)</f>
        <v>1</v>
      </c>
      <c r="AN71" s="652"/>
      <c r="AO71" s="187">
        <v>5</v>
      </c>
      <c r="AP71" s="187">
        <v>2966.641024297689</v>
      </c>
      <c r="AQ71" s="184">
        <f t="shared" si="61"/>
        <v>593.32820485953778</v>
      </c>
      <c r="AR71" s="181">
        <f>RANK(AQ71, AQ$67:AQ$81)</f>
        <v>1</v>
      </c>
      <c r="AS71" s="652"/>
      <c r="AT71" s="187">
        <v>5</v>
      </c>
      <c r="AU71" s="187">
        <v>2965.9864242976896</v>
      </c>
      <c r="AV71" s="184">
        <f t="shared" si="63"/>
        <v>593.19728485953794</v>
      </c>
      <c r="AW71" s="181">
        <f>RANK(AV71, AV$67:AV$81)</f>
        <v>1</v>
      </c>
      <c r="AX71" s="652"/>
    </row>
    <row r="72" spans="2:50">
      <c r="B72" s="654"/>
      <c r="C72" s="179">
        <v>6</v>
      </c>
      <c r="D72" s="182"/>
      <c r="E72" s="179"/>
      <c r="F72" s="179"/>
      <c r="G72" s="184"/>
      <c r="H72" s="652"/>
      <c r="I72" s="185"/>
      <c r="J72" s="185"/>
      <c r="K72" s="186"/>
      <c r="L72" s="656"/>
      <c r="M72" s="185"/>
      <c r="N72" s="654"/>
      <c r="O72" s="654"/>
      <c r="P72" s="187"/>
      <c r="Q72" s="187"/>
      <c r="R72" s="184"/>
      <c r="S72" s="181"/>
      <c r="T72" s="652"/>
      <c r="U72" s="187"/>
      <c r="V72" s="187"/>
      <c r="W72" s="184"/>
      <c r="X72" s="181"/>
      <c r="Y72" s="652"/>
      <c r="Z72" s="187"/>
      <c r="AA72" s="187"/>
      <c r="AB72" s="184"/>
      <c r="AC72" s="181"/>
      <c r="AD72" s="652"/>
      <c r="AE72" s="187"/>
      <c r="AF72" s="187"/>
      <c r="AG72" s="184"/>
      <c r="AH72" s="181"/>
      <c r="AI72" s="652"/>
      <c r="AJ72" s="187"/>
      <c r="AK72" s="187"/>
      <c r="AL72" s="184"/>
      <c r="AM72" s="181"/>
      <c r="AN72" s="652"/>
      <c r="AO72" s="187"/>
      <c r="AP72" s="187"/>
      <c r="AQ72" s="184"/>
      <c r="AR72" s="181"/>
      <c r="AS72" s="652"/>
      <c r="AT72" s="187"/>
      <c r="AU72" s="187"/>
      <c r="AV72" s="184"/>
      <c r="AW72" s="181"/>
      <c r="AX72" s="652"/>
    </row>
    <row r="73" spans="2:50">
      <c r="B73" s="654"/>
      <c r="C73" s="179">
        <v>7</v>
      </c>
      <c r="D73" s="182"/>
      <c r="E73" s="179"/>
      <c r="F73" s="179"/>
      <c r="G73" s="184"/>
      <c r="H73" s="652"/>
      <c r="I73" s="185"/>
      <c r="J73" s="185"/>
      <c r="K73" s="186"/>
      <c r="L73" s="656"/>
      <c r="M73" s="185"/>
      <c r="N73" s="654"/>
      <c r="O73" s="654"/>
      <c r="P73" s="187"/>
      <c r="Q73" s="187"/>
      <c r="R73" s="184"/>
      <c r="S73" s="181"/>
      <c r="T73" s="652"/>
      <c r="U73" s="187"/>
      <c r="V73" s="187"/>
      <c r="W73" s="184"/>
      <c r="X73" s="181"/>
      <c r="Y73" s="652"/>
      <c r="Z73" s="187"/>
      <c r="AA73" s="187"/>
      <c r="AB73" s="184"/>
      <c r="AC73" s="181"/>
      <c r="AD73" s="652"/>
      <c r="AE73" s="187"/>
      <c r="AF73" s="187"/>
      <c r="AG73" s="184"/>
      <c r="AH73" s="181"/>
      <c r="AI73" s="652"/>
      <c r="AJ73" s="187"/>
      <c r="AK73" s="187"/>
      <c r="AL73" s="184"/>
      <c r="AM73" s="181"/>
      <c r="AN73" s="652"/>
      <c r="AO73" s="187"/>
      <c r="AP73" s="187"/>
      <c r="AQ73" s="184"/>
      <c r="AR73" s="181"/>
      <c r="AS73" s="652"/>
      <c r="AT73" s="187"/>
      <c r="AU73" s="187"/>
      <c r="AV73" s="184"/>
      <c r="AW73" s="181"/>
      <c r="AX73" s="652"/>
    </row>
    <row r="74" spans="2:50">
      <c r="B74" s="654"/>
      <c r="C74" s="179">
        <v>8</v>
      </c>
      <c r="D74" s="182"/>
      <c r="E74" s="179"/>
      <c r="F74" s="179"/>
      <c r="G74" s="184"/>
      <c r="H74" s="652"/>
      <c r="I74" s="185"/>
      <c r="J74" s="185"/>
      <c r="K74" s="186"/>
      <c r="L74" s="656"/>
      <c r="M74" s="185"/>
      <c r="N74" s="654"/>
      <c r="O74" s="654"/>
      <c r="P74" s="187"/>
      <c r="Q74" s="187"/>
      <c r="R74" s="184"/>
      <c r="S74" s="181"/>
      <c r="T74" s="652"/>
      <c r="U74" s="187"/>
      <c r="V74" s="187"/>
      <c r="W74" s="184"/>
      <c r="X74" s="181"/>
      <c r="Y74" s="652"/>
      <c r="Z74" s="187"/>
      <c r="AA74" s="187"/>
      <c r="AB74" s="184"/>
      <c r="AC74" s="181"/>
      <c r="AD74" s="652"/>
      <c r="AE74" s="187"/>
      <c r="AF74" s="187"/>
      <c r="AG74" s="184"/>
      <c r="AH74" s="181"/>
      <c r="AI74" s="652"/>
      <c r="AJ74" s="187"/>
      <c r="AK74" s="187"/>
      <c r="AL74" s="184"/>
      <c r="AM74" s="181"/>
      <c r="AN74" s="652"/>
      <c r="AO74" s="187"/>
      <c r="AP74" s="187"/>
      <c r="AQ74" s="184"/>
      <c r="AR74" s="181"/>
      <c r="AS74" s="652"/>
      <c r="AT74" s="187"/>
      <c r="AU74" s="187"/>
      <c r="AV74" s="184"/>
      <c r="AW74" s="181"/>
      <c r="AX74" s="652"/>
    </row>
    <row r="75" spans="2:50">
      <c r="B75" s="654"/>
      <c r="C75" s="179">
        <v>9</v>
      </c>
      <c r="D75" s="182"/>
      <c r="E75" s="179"/>
      <c r="F75" s="179"/>
      <c r="G75" s="184"/>
      <c r="H75" s="652"/>
      <c r="I75" s="185"/>
      <c r="J75" s="185"/>
      <c r="K75" s="186"/>
      <c r="L75" s="656"/>
      <c r="M75" s="185"/>
      <c r="N75" s="654"/>
      <c r="O75" s="654"/>
      <c r="P75" s="187"/>
      <c r="Q75" s="187"/>
      <c r="R75" s="184"/>
      <c r="S75" s="181"/>
      <c r="T75" s="652"/>
      <c r="U75" s="187"/>
      <c r="V75" s="187"/>
      <c r="W75" s="184"/>
      <c r="X75" s="181"/>
      <c r="Y75" s="652"/>
      <c r="Z75" s="187"/>
      <c r="AA75" s="187"/>
      <c r="AB75" s="184"/>
      <c r="AC75" s="181"/>
      <c r="AD75" s="652"/>
      <c r="AE75" s="187"/>
      <c r="AF75" s="187"/>
      <c r="AG75" s="184"/>
      <c r="AH75" s="181"/>
      <c r="AI75" s="652"/>
      <c r="AJ75" s="187"/>
      <c r="AK75" s="187"/>
      <c r="AL75" s="184"/>
      <c r="AM75" s="181"/>
      <c r="AN75" s="652"/>
      <c r="AO75" s="187"/>
      <c r="AP75" s="187"/>
      <c r="AQ75" s="184"/>
      <c r="AR75" s="181"/>
      <c r="AS75" s="652"/>
      <c r="AT75" s="187"/>
      <c r="AU75" s="187"/>
      <c r="AV75" s="184"/>
      <c r="AW75" s="181"/>
      <c r="AX75" s="652"/>
    </row>
    <row r="76" spans="2:50">
      <c r="B76" s="654"/>
      <c r="C76" s="179">
        <v>10</v>
      </c>
      <c r="D76" s="182"/>
      <c r="E76" s="179"/>
      <c r="F76" s="179"/>
      <c r="G76" s="184"/>
      <c r="H76" s="652"/>
      <c r="I76" s="185"/>
      <c r="J76" s="185"/>
      <c r="K76" s="186"/>
      <c r="L76" s="656"/>
      <c r="M76" s="185"/>
      <c r="N76" s="654"/>
      <c r="O76" s="654"/>
      <c r="P76" s="187"/>
      <c r="Q76" s="187"/>
      <c r="R76" s="184"/>
      <c r="S76" s="181"/>
      <c r="T76" s="652"/>
      <c r="U76" s="187"/>
      <c r="V76" s="187"/>
      <c r="W76" s="184"/>
      <c r="X76" s="181"/>
      <c r="Y76" s="652"/>
      <c r="Z76" s="187"/>
      <c r="AA76" s="187"/>
      <c r="AB76" s="184"/>
      <c r="AC76" s="181"/>
      <c r="AD76" s="652"/>
      <c r="AE76" s="187"/>
      <c r="AF76" s="187"/>
      <c r="AG76" s="184"/>
      <c r="AH76" s="181"/>
      <c r="AI76" s="652"/>
      <c r="AJ76" s="187"/>
      <c r="AK76" s="187"/>
      <c r="AL76" s="184"/>
      <c r="AM76" s="181"/>
      <c r="AN76" s="652"/>
      <c r="AO76" s="187"/>
      <c r="AP76" s="187"/>
      <c r="AQ76" s="184"/>
      <c r="AR76" s="181"/>
      <c r="AS76" s="652"/>
      <c r="AT76" s="187"/>
      <c r="AU76" s="187"/>
      <c r="AV76" s="184"/>
      <c r="AW76" s="181"/>
      <c r="AX76" s="652"/>
    </row>
    <row r="77" spans="2:50">
      <c r="B77" s="654"/>
      <c r="C77" s="179">
        <v>11</v>
      </c>
      <c r="D77" s="182"/>
      <c r="E77" s="179"/>
      <c r="F77" s="179"/>
      <c r="G77" s="184"/>
      <c r="H77" s="652"/>
      <c r="I77" s="185"/>
      <c r="J77" s="185"/>
      <c r="K77" s="186"/>
      <c r="L77" s="656"/>
      <c r="M77" s="185"/>
      <c r="N77" s="654"/>
      <c r="O77" s="654"/>
      <c r="P77" s="187"/>
      <c r="Q77" s="187"/>
      <c r="R77" s="184"/>
      <c r="S77" s="181"/>
      <c r="T77" s="652"/>
      <c r="U77" s="187"/>
      <c r="V77" s="187"/>
      <c r="W77" s="184"/>
      <c r="X77" s="181"/>
      <c r="Y77" s="652"/>
      <c r="Z77" s="187"/>
      <c r="AA77" s="187"/>
      <c r="AB77" s="184"/>
      <c r="AC77" s="181"/>
      <c r="AD77" s="652"/>
      <c r="AE77" s="187"/>
      <c r="AF77" s="187"/>
      <c r="AG77" s="184"/>
      <c r="AH77" s="181"/>
      <c r="AI77" s="652"/>
      <c r="AJ77" s="187"/>
      <c r="AK77" s="187"/>
      <c r="AL77" s="184"/>
      <c r="AM77" s="181"/>
      <c r="AN77" s="652"/>
      <c r="AO77" s="187"/>
      <c r="AP77" s="187"/>
      <c r="AQ77" s="184"/>
      <c r="AR77" s="181"/>
      <c r="AS77" s="652"/>
      <c r="AT77" s="187"/>
      <c r="AU77" s="187"/>
      <c r="AV77" s="184"/>
      <c r="AW77" s="181"/>
      <c r="AX77" s="652"/>
    </row>
    <row r="78" spans="2:50">
      <c r="B78" s="654"/>
      <c r="C78" s="179">
        <v>12</v>
      </c>
      <c r="D78" s="182"/>
      <c r="E78" s="179"/>
      <c r="F78" s="179"/>
      <c r="G78" s="184"/>
      <c r="H78" s="652"/>
      <c r="I78" s="185"/>
      <c r="J78" s="185"/>
      <c r="K78" s="186"/>
      <c r="L78" s="656"/>
      <c r="M78" s="185"/>
      <c r="N78" s="654"/>
      <c r="O78" s="654"/>
      <c r="P78" s="187"/>
      <c r="Q78" s="187"/>
      <c r="R78" s="184"/>
      <c r="S78" s="181"/>
      <c r="T78" s="652"/>
      <c r="U78" s="187"/>
      <c r="V78" s="187"/>
      <c r="W78" s="184"/>
      <c r="X78" s="181"/>
      <c r="Y78" s="652"/>
      <c r="Z78" s="187"/>
      <c r="AA78" s="187"/>
      <c r="AB78" s="184"/>
      <c r="AC78" s="181"/>
      <c r="AD78" s="652"/>
      <c r="AE78" s="187"/>
      <c r="AF78" s="187"/>
      <c r="AG78" s="184"/>
      <c r="AH78" s="181"/>
      <c r="AI78" s="652"/>
      <c r="AJ78" s="187"/>
      <c r="AK78" s="187"/>
      <c r="AL78" s="184"/>
      <c r="AM78" s="181"/>
      <c r="AN78" s="652"/>
      <c r="AO78" s="187"/>
      <c r="AP78" s="187"/>
      <c r="AQ78" s="184"/>
      <c r="AR78" s="181"/>
      <c r="AS78" s="652"/>
      <c r="AT78" s="187"/>
      <c r="AU78" s="187"/>
      <c r="AV78" s="184"/>
      <c r="AW78" s="181"/>
      <c r="AX78" s="652"/>
    </row>
    <row r="79" spans="2:50">
      <c r="B79" s="654"/>
      <c r="C79" s="179">
        <v>13</v>
      </c>
      <c r="D79" s="182"/>
      <c r="E79" s="179"/>
      <c r="F79" s="179"/>
      <c r="G79" s="184"/>
      <c r="H79" s="652"/>
      <c r="I79" s="185"/>
      <c r="J79" s="185"/>
      <c r="K79" s="186"/>
      <c r="L79" s="656"/>
      <c r="M79" s="185"/>
      <c r="N79" s="654"/>
      <c r="O79" s="654"/>
      <c r="P79" s="187"/>
      <c r="Q79" s="187"/>
      <c r="R79" s="184"/>
      <c r="S79" s="181"/>
      <c r="T79" s="652"/>
      <c r="U79" s="187"/>
      <c r="V79" s="187"/>
      <c r="W79" s="184"/>
      <c r="X79" s="181"/>
      <c r="Y79" s="652"/>
      <c r="Z79" s="187"/>
      <c r="AA79" s="187"/>
      <c r="AB79" s="184"/>
      <c r="AC79" s="181"/>
      <c r="AD79" s="652"/>
      <c r="AE79" s="187"/>
      <c r="AF79" s="187"/>
      <c r="AG79" s="184"/>
      <c r="AH79" s="181"/>
      <c r="AI79" s="652"/>
      <c r="AJ79" s="187"/>
      <c r="AK79" s="187"/>
      <c r="AL79" s="184"/>
      <c r="AM79" s="181"/>
      <c r="AN79" s="652"/>
      <c r="AO79" s="187"/>
      <c r="AP79" s="187"/>
      <c r="AQ79" s="184"/>
      <c r="AR79" s="181"/>
      <c r="AS79" s="652"/>
      <c r="AT79" s="187"/>
      <c r="AU79" s="187"/>
      <c r="AV79" s="184"/>
      <c r="AW79" s="181"/>
      <c r="AX79" s="652"/>
    </row>
    <row r="80" spans="2:50">
      <c r="B80" s="654"/>
      <c r="C80" s="179">
        <v>14</v>
      </c>
      <c r="D80" s="182"/>
      <c r="E80" s="179"/>
      <c r="F80" s="179"/>
      <c r="G80" s="184"/>
      <c r="H80" s="652"/>
      <c r="I80" s="185"/>
      <c r="J80" s="185"/>
      <c r="K80" s="186"/>
      <c r="L80" s="656"/>
      <c r="M80" s="185"/>
      <c r="N80" s="654"/>
      <c r="O80" s="654"/>
      <c r="P80" s="187"/>
      <c r="Q80" s="187"/>
      <c r="R80" s="184"/>
      <c r="S80" s="181"/>
      <c r="T80" s="652"/>
      <c r="U80" s="187"/>
      <c r="V80" s="187"/>
      <c r="W80" s="184"/>
      <c r="X80" s="181"/>
      <c r="Y80" s="652"/>
      <c r="Z80" s="187"/>
      <c r="AA80" s="187"/>
      <c r="AB80" s="184"/>
      <c r="AC80" s="181"/>
      <c r="AD80" s="652"/>
      <c r="AE80" s="187"/>
      <c r="AF80" s="187"/>
      <c r="AG80" s="184"/>
      <c r="AH80" s="181"/>
      <c r="AI80" s="652"/>
      <c r="AJ80" s="187"/>
      <c r="AK80" s="187"/>
      <c r="AL80" s="184"/>
      <c r="AM80" s="181"/>
      <c r="AN80" s="652"/>
      <c r="AO80" s="187"/>
      <c r="AP80" s="187"/>
      <c r="AQ80" s="184"/>
      <c r="AR80" s="181"/>
      <c r="AS80" s="652"/>
      <c r="AT80" s="187"/>
      <c r="AU80" s="187"/>
      <c r="AV80" s="184"/>
      <c r="AW80" s="181"/>
      <c r="AX80" s="652"/>
    </row>
    <row r="81" spans="2:50">
      <c r="B81" s="646"/>
      <c r="C81" s="179">
        <v>15</v>
      </c>
      <c r="D81" s="182"/>
      <c r="E81" s="179"/>
      <c r="F81" s="179"/>
      <c r="G81" s="184"/>
      <c r="H81" s="653"/>
      <c r="I81" s="185"/>
      <c r="J81" s="185"/>
      <c r="K81" s="186"/>
      <c r="L81" s="657"/>
      <c r="M81" s="185"/>
      <c r="N81" s="646"/>
      <c r="O81" s="646"/>
      <c r="P81" s="187"/>
      <c r="Q81" s="187"/>
      <c r="R81" s="184"/>
      <c r="S81" s="181"/>
      <c r="T81" s="653"/>
      <c r="U81" s="187"/>
      <c r="V81" s="187"/>
      <c r="W81" s="184"/>
      <c r="X81" s="181"/>
      <c r="Y81" s="653"/>
      <c r="Z81" s="187"/>
      <c r="AA81" s="187"/>
      <c r="AB81" s="184"/>
      <c r="AC81" s="181"/>
      <c r="AD81" s="653"/>
      <c r="AE81" s="187"/>
      <c r="AF81" s="187"/>
      <c r="AG81" s="184"/>
      <c r="AH81" s="181"/>
      <c r="AI81" s="653"/>
      <c r="AJ81" s="187"/>
      <c r="AK81" s="187"/>
      <c r="AL81" s="184"/>
      <c r="AM81" s="181"/>
      <c r="AN81" s="653"/>
      <c r="AO81" s="187"/>
      <c r="AP81" s="187"/>
      <c r="AQ81" s="184"/>
      <c r="AR81" s="181"/>
      <c r="AS81" s="653"/>
      <c r="AT81" s="187"/>
      <c r="AU81" s="187"/>
      <c r="AV81" s="184"/>
      <c r="AW81" s="181"/>
      <c r="AX81" s="653"/>
    </row>
    <row r="82" spans="2:50" ht="14.25" customHeight="1" collapsed="1">
      <c r="B82" s="640" t="s">
        <v>878</v>
      </c>
      <c r="C82" s="641"/>
      <c r="D82" s="641"/>
      <c r="E82" s="641"/>
      <c r="F82" s="641"/>
      <c r="G82" s="641"/>
      <c r="H82" s="641"/>
      <c r="I82" s="641"/>
      <c r="J82" s="641"/>
      <c r="K82" s="641"/>
      <c r="L82" s="641"/>
      <c r="M82" s="642"/>
      <c r="N82" s="645" t="s">
        <v>363</v>
      </c>
      <c r="O82" s="645" t="s">
        <v>105</v>
      </c>
      <c r="P82" s="632">
        <v>46231</v>
      </c>
      <c r="Q82" s="633"/>
      <c r="R82" s="633"/>
      <c r="S82" s="633"/>
      <c r="T82" s="633"/>
      <c r="U82" s="634">
        <v>46232</v>
      </c>
      <c r="V82" s="635"/>
      <c r="W82" s="635"/>
      <c r="X82" s="635"/>
      <c r="Y82" s="635"/>
      <c r="Z82" s="632">
        <v>46233</v>
      </c>
      <c r="AA82" s="633"/>
      <c r="AB82" s="633"/>
      <c r="AC82" s="633"/>
      <c r="AD82" s="633"/>
      <c r="AE82" s="634">
        <v>46234</v>
      </c>
      <c r="AF82" s="635"/>
      <c r="AG82" s="635"/>
      <c r="AH82" s="635"/>
      <c r="AI82" s="635"/>
      <c r="AJ82" s="616">
        <v>46235</v>
      </c>
      <c r="AK82" s="617"/>
      <c r="AL82" s="617"/>
      <c r="AM82" s="617"/>
      <c r="AN82" s="618"/>
      <c r="AO82" s="634">
        <v>46236</v>
      </c>
      <c r="AP82" s="635"/>
      <c r="AQ82" s="635"/>
      <c r="AR82" s="635"/>
      <c r="AS82" s="635"/>
      <c r="AT82" s="616">
        <v>46237</v>
      </c>
      <c r="AU82" s="617"/>
      <c r="AV82" s="617"/>
      <c r="AW82" s="617"/>
      <c r="AX82" s="618"/>
    </row>
    <row r="83" spans="2:50" ht="14.25" customHeight="1">
      <c r="B83" s="643"/>
      <c r="C83" s="643"/>
      <c r="D83" s="643"/>
      <c r="E83" s="643"/>
      <c r="F83" s="643"/>
      <c r="G83" s="643"/>
      <c r="H83" s="643"/>
      <c r="I83" s="643"/>
      <c r="J83" s="643"/>
      <c r="K83" s="643"/>
      <c r="L83" s="643"/>
      <c r="M83" s="644"/>
      <c r="N83" s="646"/>
      <c r="O83" s="646"/>
      <c r="P83" s="619">
        <v>46196</v>
      </c>
      <c r="Q83" s="619"/>
      <c r="R83" s="619"/>
      <c r="S83" s="619"/>
      <c r="T83" s="619"/>
      <c r="U83" s="620">
        <v>46197</v>
      </c>
      <c r="V83" s="620"/>
      <c r="W83" s="620"/>
      <c r="X83" s="620"/>
      <c r="Y83" s="620"/>
      <c r="Z83" s="619">
        <v>46198</v>
      </c>
      <c r="AA83" s="619"/>
      <c r="AB83" s="619"/>
      <c r="AC83" s="619"/>
      <c r="AD83" s="619"/>
      <c r="AE83" s="620">
        <v>46199</v>
      </c>
      <c r="AF83" s="620"/>
      <c r="AG83" s="620"/>
      <c r="AH83" s="620"/>
      <c r="AI83" s="620"/>
      <c r="AJ83" s="621">
        <v>46200</v>
      </c>
      <c r="AK83" s="622"/>
      <c r="AL83" s="622"/>
      <c r="AM83" s="622"/>
      <c r="AN83" s="623"/>
      <c r="AO83" s="620">
        <v>46201</v>
      </c>
      <c r="AP83" s="620"/>
      <c r="AQ83" s="620"/>
      <c r="AR83" s="620"/>
      <c r="AS83" s="620"/>
      <c r="AT83" s="621">
        <v>46202</v>
      </c>
      <c r="AU83" s="622"/>
      <c r="AV83" s="622"/>
      <c r="AW83" s="622"/>
      <c r="AX83" s="623"/>
    </row>
    <row r="84" spans="2:50" ht="14.25" customHeight="1">
      <c r="B84" s="611" t="s">
        <v>162</v>
      </c>
      <c r="C84" s="611" t="s">
        <v>157</v>
      </c>
      <c r="D84" s="611"/>
      <c r="E84" s="611" t="s">
        <v>158</v>
      </c>
      <c r="F84" s="611"/>
      <c r="G84" s="611"/>
      <c r="H84" s="611" t="s">
        <v>163</v>
      </c>
      <c r="I84" s="615" t="s">
        <v>364</v>
      </c>
      <c r="J84" s="615"/>
      <c r="K84" s="615"/>
      <c r="L84" s="615" t="s">
        <v>163</v>
      </c>
      <c r="M84" s="615" t="s">
        <v>165</v>
      </c>
      <c r="N84" s="611"/>
      <c r="O84" s="611" t="s">
        <v>164</v>
      </c>
      <c r="P84" s="611" t="s">
        <v>160</v>
      </c>
      <c r="Q84" s="611"/>
      <c r="R84" s="611"/>
      <c r="S84" s="611"/>
      <c r="T84" s="611" t="s">
        <v>163</v>
      </c>
      <c r="U84" s="611" t="s">
        <v>160</v>
      </c>
      <c r="V84" s="611"/>
      <c r="W84" s="611"/>
      <c r="X84" s="611"/>
      <c r="Y84" s="611" t="s">
        <v>163</v>
      </c>
      <c r="Z84" s="611" t="s">
        <v>160</v>
      </c>
      <c r="AA84" s="611"/>
      <c r="AB84" s="611"/>
      <c r="AC84" s="611"/>
      <c r="AD84" s="611" t="s">
        <v>163</v>
      </c>
      <c r="AE84" s="611" t="s">
        <v>160</v>
      </c>
      <c r="AF84" s="611"/>
      <c r="AG84" s="611"/>
      <c r="AH84" s="611"/>
      <c r="AI84" s="611" t="s">
        <v>163</v>
      </c>
      <c r="AJ84" s="611" t="s">
        <v>160</v>
      </c>
      <c r="AK84" s="611"/>
      <c r="AL84" s="611"/>
      <c r="AM84" s="611"/>
      <c r="AN84" s="611" t="s">
        <v>163</v>
      </c>
      <c r="AO84" s="611" t="s">
        <v>160</v>
      </c>
      <c r="AP84" s="611"/>
      <c r="AQ84" s="611"/>
      <c r="AR84" s="611"/>
      <c r="AS84" s="611" t="s">
        <v>163</v>
      </c>
      <c r="AT84" s="611" t="s">
        <v>160</v>
      </c>
      <c r="AU84" s="611"/>
      <c r="AV84" s="611"/>
      <c r="AW84" s="611"/>
      <c r="AX84" s="611" t="s">
        <v>163</v>
      </c>
    </row>
    <row r="85" spans="2:50" ht="14.25" customHeight="1">
      <c r="B85" s="611"/>
      <c r="C85" s="611"/>
      <c r="D85" s="611"/>
      <c r="E85" s="611" t="s">
        <v>365</v>
      </c>
      <c r="F85" s="611"/>
      <c r="G85" s="611"/>
      <c r="H85" s="611"/>
      <c r="I85" s="615" t="s">
        <v>365</v>
      </c>
      <c r="J85" s="615"/>
      <c r="K85" s="615"/>
      <c r="L85" s="615"/>
      <c r="M85" s="615"/>
      <c r="N85" s="611"/>
      <c r="O85" s="611"/>
      <c r="P85" s="611" t="s">
        <v>366</v>
      </c>
      <c r="Q85" s="611"/>
      <c r="R85" s="611"/>
      <c r="S85" s="611"/>
      <c r="T85" s="611"/>
      <c r="U85" s="611" t="s">
        <v>366</v>
      </c>
      <c r="V85" s="611"/>
      <c r="W85" s="611"/>
      <c r="X85" s="611"/>
      <c r="Y85" s="611"/>
      <c r="Z85" s="611" t="s">
        <v>366</v>
      </c>
      <c r="AA85" s="611"/>
      <c r="AB85" s="611"/>
      <c r="AC85" s="611"/>
      <c r="AD85" s="611"/>
      <c r="AE85" s="611" t="s">
        <v>366</v>
      </c>
      <c r="AF85" s="611"/>
      <c r="AG85" s="611"/>
      <c r="AH85" s="611"/>
      <c r="AI85" s="611"/>
      <c r="AJ85" s="611" t="s">
        <v>366</v>
      </c>
      <c r="AK85" s="611"/>
      <c r="AL85" s="611"/>
      <c r="AM85" s="611"/>
      <c r="AN85" s="611"/>
      <c r="AO85" s="611" t="s">
        <v>366</v>
      </c>
      <c r="AP85" s="611"/>
      <c r="AQ85" s="611"/>
      <c r="AR85" s="611"/>
      <c r="AS85" s="611"/>
      <c r="AT85" s="611" t="s">
        <v>366</v>
      </c>
      <c r="AU85" s="611"/>
      <c r="AV85" s="611"/>
      <c r="AW85" s="611"/>
      <c r="AX85" s="611"/>
    </row>
    <row r="86" spans="2:50" ht="14.25" customHeight="1">
      <c r="B86" s="611"/>
      <c r="C86" s="611"/>
      <c r="D86" s="611"/>
      <c r="E86" s="179" t="s">
        <v>159</v>
      </c>
      <c r="F86" s="179" t="s">
        <v>367</v>
      </c>
      <c r="G86" s="179" t="s">
        <v>161</v>
      </c>
      <c r="H86" s="611"/>
      <c r="I86" s="180" t="s">
        <v>159</v>
      </c>
      <c r="J86" s="180" t="s">
        <v>367</v>
      </c>
      <c r="K86" s="180" t="s">
        <v>161</v>
      </c>
      <c r="L86" s="615"/>
      <c r="M86" s="615"/>
      <c r="N86" s="611"/>
      <c r="O86" s="611"/>
      <c r="P86" s="179" t="s">
        <v>159</v>
      </c>
      <c r="Q86" s="179" t="s">
        <v>367</v>
      </c>
      <c r="R86" s="179" t="s">
        <v>161</v>
      </c>
      <c r="S86" s="181" t="s">
        <v>165</v>
      </c>
      <c r="T86" s="611"/>
      <c r="U86" s="179" t="s">
        <v>159</v>
      </c>
      <c r="V86" s="179" t="s">
        <v>367</v>
      </c>
      <c r="W86" s="179" t="s">
        <v>161</v>
      </c>
      <c r="X86" s="181" t="s">
        <v>165</v>
      </c>
      <c r="Y86" s="611"/>
      <c r="Z86" s="179" t="s">
        <v>159</v>
      </c>
      <c r="AA86" s="179" t="s">
        <v>367</v>
      </c>
      <c r="AB86" s="179" t="s">
        <v>161</v>
      </c>
      <c r="AC86" s="181" t="s">
        <v>165</v>
      </c>
      <c r="AD86" s="611"/>
      <c r="AE86" s="179" t="s">
        <v>159</v>
      </c>
      <c r="AF86" s="179" t="s">
        <v>367</v>
      </c>
      <c r="AG86" s="179" t="s">
        <v>161</v>
      </c>
      <c r="AH86" s="181" t="s">
        <v>165</v>
      </c>
      <c r="AI86" s="611"/>
      <c r="AJ86" s="179" t="s">
        <v>159</v>
      </c>
      <c r="AK86" s="179" t="s">
        <v>367</v>
      </c>
      <c r="AL86" s="179" t="s">
        <v>161</v>
      </c>
      <c r="AM86" s="181" t="s">
        <v>165</v>
      </c>
      <c r="AN86" s="611"/>
      <c r="AO86" s="179" t="s">
        <v>159</v>
      </c>
      <c r="AP86" s="179" t="s">
        <v>367</v>
      </c>
      <c r="AQ86" s="179" t="s">
        <v>161</v>
      </c>
      <c r="AR86" s="181" t="s">
        <v>165</v>
      </c>
      <c r="AS86" s="611"/>
      <c r="AT86" s="179" t="s">
        <v>159</v>
      </c>
      <c r="AU86" s="179" t="s">
        <v>367</v>
      </c>
      <c r="AV86" s="179" t="s">
        <v>161</v>
      </c>
      <c r="AW86" s="181" t="s">
        <v>165</v>
      </c>
      <c r="AX86" s="611"/>
    </row>
    <row r="87" spans="2:50" ht="14.25" customHeight="1">
      <c r="B87" s="611" t="s">
        <v>370</v>
      </c>
      <c r="C87" s="179">
        <v>1</v>
      </c>
      <c r="D87" s="182" t="s">
        <v>596</v>
      </c>
      <c r="E87" s="183">
        <v>5</v>
      </c>
      <c r="F87" s="179">
        <v>3273</v>
      </c>
      <c r="G87" s="184">
        <f t="shared" ref="G87:G92" si="65">IFERROR(F87/E87,"")</f>
        <v>654.6</v>
      </c>
      <c r="H87" s="612">
        <f>AVERAGE(G87:G101)</f>
        <v>505.14444444444439</v>
      </c>
      <c r="I87" s="185">
        <f>AVERAGE(P87,U87,Z87,AE87,AJ87,AO87,AT87)</f>
        <v>6</v>
      </c>
      <c r="J87" s="185">
        <f>AVERAGE(Q87,V87,AA87,AF87,AK87,AP87,AU87)</f>
        <v>2961.3145775921867</v>
      </c>
      <c r="K87" s="186">
        <f>AVERAGE(R87,W87,AB87,AG87,AL87,AQ87,AV87)</f>
        <v>493.55242959869776</v>
      </c>
      <c r="L87" s="613">
        <f>IFERROR(AVERAGE(K87:K101),"-")</f>
        <v>438.24248389844593</v>
      </c>
      <c r="M87" s="185">
        <f>RANK(K87, K$87:$K$101)</f>
        <v>4</v>
      </c>
      <c r="N87" s="611"/>
      <c r="O87" s="611"/>
      <c r="P87" s="187">
        <v>6</v>
      </c>
      <c r="Q87" s="187">
        <v>2961.6418775921866</v>
      </c>
      <c r="R87" s="184">
        <f>IFERROR(Q87/P87,"")</f>
        <v>493.60697959869776</v>
      </c>
      <c r="S87" s="181">
        <f>RANK(R87, R$87:R$101)</f>
        <v>4</v>
      </c>
      <c r="T87" s="612">
        <f>AVERAGE(R87:R101)</f>
        <v>434.80785179661899</v>
      </c>
      <c r="U87" s="187">
        <v>6</v>
      </c>
      <c r="V87" s="187">
        <v>2961.3145775921862</v>
      </c>
      <c r="W87" s="184">
        <f t="shared" ref="W87:W92" si="66">IFERROR(V87/U87,"")</f>
        <v>493.5524295986977</v>
      </c>
      <c r="X87" s="181">
        <f>RANK(W87, W$87:W$101)</f>
        <v>4</v>
      </c>
      <c r="Y87" s="612">
        <f>AVERAGE(W87:W101)</f>
        <v>436.0938672361433</v>
      </c>
      <c r="Z87" s="187">
        <v>6</v>
      </c>
      <c r="AA87" s="187">
        <v>2961.3145775921867</v>
      </c>
      <c r="AB87" s="184">
        <f>IFERROR(AA87/Z87,"")</f>
        <v>493.55242959869776</v>
      </c>
      <c r="AC87" s="181">
        <f>RANK(AB87, AB$87:AB$101)</f>
        <v>4</v>
      </c>
      <c r="AD87" s="612">
        <f>AVERAGE(AB87:AB101)</f>
        <v>437.55952110162434</v>
      </c>
      <c r="AE87" s="187">
        <v>6</v>
      </c>
      <c r="AF87" s="187">
        <v>2960.3326775921864</v>
      </c>
      <c r="AG87" s="184">
        <f>IFERROR(AF87/AE87,"")</f>
        <v>493.38877959869774</v>
      </c>
      <c r="AH87" s="181">
        <f>RANK(AG87, AG$87:AG$101)</f>
        <v>4</v>
      </c>
      <c r="AI87" s="612">
        <f>AVERAGE(AG87:AG101)</f>
        <v>438.77081353889542</v>
      </c>
      <c r="AJ87" s="187">
        <v>6</v>
      </c>
      <c r="AK87" s="187">
        <v>2960.005377592187</v>
      </c>
      <c r="AL87" s="184">
        <f>IFERROR(AK87/AJ87,"")</f>
        <v>493.33422959869785</v>
      </c>
      <c r="AM87" s="181">
        <f>RANK(AL87, AL$87:AL$101)</f>
        <v>4</v>
      </c>
      <c r="AN87" s="612">
        <f>AVERAGE(AL87:AL101)</f>
        <v>440.07796602009466</v>
      </c>
      <c r="AO87" s="187">
        <v>6</v>
      </c>
      <c r="AP87" s="187">
        <v>2962.6237775921859</v>
      </c>
      <c r="AQ87" s="184">
        <f>IFERROR(AP87/AO87,"")</f>
        <v>493.77062959869767</v>
      </c>
      <c r="AR87" s="181">
        <f>RANK(AQ87, AQ$87:AQ$101)</f>
        <v>4</v>
      </c>
      <c r="AS87" s="612">
        <f>AVERAGE(AQ87:AQ101)</f>
        <v>440.16985935342791</v>
      </c>
      <c r="AT87" s="187">
        <v>6</v>
      </c>
      <c r="AU87" s="187">
        <v>2961.9691775921865</v>
      </c>
      <c r="AV87" s="184">
        <f>IFERROR(AU87/AT87,"")</f>
        <v>493.66152959869777</v>
      </c>
      <c r="AW87" s="181">
        <f>RANK(AV87, AV$87:AV$101)</f>
        <v>4</v>
      </c>
      <c r="AX87" s="612">
        <f>AVERAGE(AV87:AV101)</f>
        <v>440.21750824231685</v>
      </c>
    </row>
    <row r="88" spans="2:50" ht="14.25" customHeight="1">
      <c r="B88" s="611"/>
      <c r="C88" s="179">
        <v>2</v>
      </c>
      <c r="D88" s="182" t="s">
        <v>578</v>
      </c>
      <c r="E88" s="179">
        <v>6</v>
      </c>
      <c r="F88" s="179">
        <v>3600</v>
      </c>
      <c r="G88" s="184">
        <f t="shared" si="65"/>
        <v>600</v>
      </c>
      <c r="H88" s="612"/>
      <c r="I88" s="185">
        <f t="shared" ref="I88:K92" si="67">AVERAGE(P88,U88,Z88,AE88,AJ88,AO88,AT88)</f>
        <v>6</v>
      </c>
      <c r="J88" s="185">
        <f t="shared" si="67"/>
        <v>3249.7200000000016</v>
      </c>
      <c r="K88" s="186">
        <f t="shared" si="67"/>
        <v>541.62000000000035</v>
      </c>
      <c r="L88" s="613"/>
      <c r="M88" s="185">
        <f>RANK(K88, K$87:$K$101)</f>
        <v>3</v>
      </c>
      <c r="N88" s="611"/>
      <c r="O88" s="611"/>
      <c r="P88" s="187">
        <v>6</v>
      </c>
      <c r="Q88" s="187">
        <v>3248.2800000000011</v>
      </c>
      <c r="R88" s="184">
        <f t="shared" ref="R88:R92" si="68">IFERROR(Q88/P88,"")</f>
        <v>541.38000000000022</v>
      </c>
      <c r="S88" s="181">
        <f t="shared" ref="S88:S92" si="69">RANK(R88, R$87:R$101)</f>
        <v>3</v>
      </c>
      <c r="T88" s="612"/>
      <c r="U88" s="187">
        <v>6</v>
      </c>
      <c r="V88" s="187">
        <v>3249.0000000000014</v>
      </c>
      <c r="W88" s="184">
        <f t="shared" si="66"/>
        <v>541.50000000000023</v>
      </c>
      <c r="X88" s="181">
        <f t="shared" ref="X88:X92" si="70">RANK(W88, W$87:W$101)</f>
        <v>3</v>
      </c>
      <c r="Y88" s="612"/>
      <c r="Z88" s="187">
        <v>6</v>
      </c>
      <c r="AA88" s="187">
        <v>3250.8000000000011</v>
      </c>
      <c r="AB88" s="184">
        <f t="shared" ref="AB88:AB92" si="71">IFERROR(AA88/Z88,"")</f>
        <v>541.80000000000018</v>
      </c>
      <c r="AC88" s="181">
        <f t="shared" ref="AC88:AC92" si="72">RANK(AB88, AB$87:AB$101)</f>
        <v>3</v>
      </c>
      <c r="AD88" s="612"/>
      <c r="AE88" s="187">
        <v>6</v>
      </c>
      <c r="AF88" s="187">
        <v>3249.3600000000015</v>
      </c>
      <c r="AG88" s="184">
        <f t="shared" ref="AG88:AG92" si="73">IFERROR(AF88/AE88,"")</f>
        <v>541.56000000000029</v>
      </c>
      <c r="AH88" s="181">
        <f t="shared" ref="AH88:AH92" si="74">RANK(AG88, AG$87:AG$101)</f>
        <v>3</v>
      </c>
      <c r="AI88" s="612"/>
      <c r="AJ88" s="187">
        <v>6</v>
      </c>
      <c r="AK88" s="187">
        <v>3248.6400000000021</v>
      </c>
      <c r="AL88" s="184">
        <f t="shared" ref="AL88:AL92" si="75">IFERROR(AK88/AJ88,"")</f>
        <v>541.4400000000004</v>
      </c>
      <c r="AM88" s="181">
        <f t="shared" ref="AM88:AM92" si="76">RANK(AL88, AL$87:AL$101)</f>
        <v>3</v>
      </c>
      <c r="AN88" s="612"/>
      <c r="AO88" s="187">
        <v>6</v>
      </c>
      <c r="AP88" s="187">
        <v>3250.0800000000027</v>
      </c>
      <c r="AQ88" s="184">
        <f t="shared" ref="AQ88:AQ92" si="77">IFERROR(AP88/AO88,"")</f>
        <v>541.6800000000004</v>
      </c>
      <c r="AR88" s="181">
        <f t="shared" ref="AR88:AR92" si="78">RANK(AQ88, AQ$87:AQ$101)</f>
        <v>2</v>
      </c>
      <c r="AS88" s="612"/>
      <c r="AT88" s="187">
        <v>6</v>
      </c>
      <c r="AU88" s="187">
        <v>3251.8800000000019</v>
      </c>
      <c r="AV88" s="184">
        <f t="shared" ref="AV88:AV92" si="79">IFERROR(AU88/AT88,"")</f>
        <v>541.98000000000036</v>
      </c>
      <c r="AW88" s="181">
        <f t="shared" ref="AW88:AW92" si="80">RANK(AV88, AV$87:AV$101)</f>
        <v>2</v>
      </c>
      <c r="AX88" s="612"/>
    </row>
    <row r="89" spans="2:50" ht="14.25" customHeight="1">
      <c r="B89" s="611"/>
      <c r="C89" s="179">
        <v>3</v>
      </c>
      <c r="D89" s="182" t="s">
        <v>579</v>
      </c>
      <c r="E89" s="179">
        <v>6</v>
      </c>
      <c r="F89" s="179">
        <v>3600</v>
      </c>
      <c r="G89" s="184">
        <f t="shared" si="65"/>
        <v>600</v>
      </c>
      <c r="H89" s="612"/>
      <c r="I89" s="185">
        <f t="shared" si="67"/>
        <v>6</v>
      </c>
      <c r="J89" s="185">
        <f t="shared" si="67"/>
        <v>3249.9253117770054</v>
      </c>
      <c r="K89" s="186">
        <f t="shared" si="67"/>
        <v>541.65421862950086</v>
      </c>
      <c r="L89" s="613"/>
      <c r="M89" s="185">
        <f>RANK(K89, K$87:$K$101)</f>
        <v>2</v>
      </c>
      <c r="N89" s="611"/>
      <c r="O89" s="611"/>
      <c r="P89" s="187">
        <v>6</v>
      </c>
      <c r="Q89" s="187">
        <v>3248.352934697295</v>
      </c>
      <c r="R89" s="184">
        <f t="shared" si="68"/>
        <v>541.39215578288247</v>
      </c>
      <c r="S89" s="181">
        <f t="shared" si="69"/>
        <v>2</v>
      </c>
      <c r="T89" s="612"/>
      <c r="U89" s="187">
        <v>6</v>
      </c>
      <c r="V89" s="187">
        <v>3252.0473746236225</v>
      </c>
      <c r="W89" s="184">
        <f t="shared" si="66"/>
        <v>542.0078957706038</v>
      </c>
      <c r="X89" s="181">
        <f t="shared" si="70"/>
        <v>2</v>
      </c>
      <c r="Y89" s="612"/>
      <c r="Z89" s="187">
        <v>6</v>
      </c>
      <c r="AA89" s="187">
        <v>3250.9673746236235</v>
      </c>
      <c r="AB89" s="184">
        <f t="shared" si="71"/>
        <v>541.82789577060396</v>
      </c>
      <c r="AC89" s="181">
        <f t="shared" si="72"/>
        <v>2</v>
      </c>
      <c r="AD89" s="612"/>
      <c r="AE89" s="187">
        <v>6</v>
      </c>
      <c r="AF89" s="187">
        <v>3249.5273746236239</v>
      </c>
      <c r="AG89" s="184">
        <f t="shared" si="73"/>
        <v>541.58789577060395</v>
      </c>
      <c r="AH89" s="181">
        <f t="shared" si="74"/>
        <v>2</v>
      </c>
      <c r="AI89" s="612"/>
      <c r="AJ89" s="187">
        <v>6</v>
      </c>
      <c r="AK89" s="187">
        <v>3249.8873746236236</v>
      </c>
      <c r="AL89" s="184">
        <f t="shared" si="75"/>
        <v>541.6478957706039</v>
      </c>
      <c r="AM89" s="181">
        <f t="shared" si="76"/>
        <v>2</v>
      </c>
      <c r="AN89" s="612"/>
      <c r="AO89" s="187">
        <v>6</v>
      </c>
      <c r="AP89" s="187">
        <v>3248.8073746236237</v>
      </c>
      <c r="AQ89" s="184">
        <f t="shared" si="77"/>
        <v>541.46789577060395</v>
      </c>
      <c r="AR89" s="181">
        <f t="shared" si="78"/>
        <v>3</v>
      </c>
      <c r="AS89" s="612"/>
      <c r="AT89" s="187">
        <v>6</v>
      </c>
      <c r="AU89" s="187">
        <v>3249.8873746236231</v>
      </c>
      <c r="AV89" s="184">
        <f t="shared" si="79"/>
        <v>541.6478957706039</v>
      </c>
      <c r="AW89" s="181">
        <f t="shared" si="80"/>
        <v>3</v>
      </c>
      <c r="AX89" s="612"/>
    </row>
    <row r="90" spans="2:50" ht="14.25" customHeight="1">
      <c r="B90" s="611"/>
      <c r="C90" s="179">
        <v>4</v>
      </c>
      <c r="D90" s="182" t="s">
        <v>613</v>
      </c>
      <c r="E90" s="179">
        <v>20</v>
      </c>
      <c r="F90" s="179">
        <v>2100</v>
      </c>
      <c r="G90" s="184">
        <f t="shared" si="65"/>
        <v>105</v>
      </c>
      <c r="H90" s="612"/>
      <c r="I90" s="185">
        <f t="shared" si="67"/>
        <v>20</v>
      </c>
      <c r="J90" s="185">
        <f t="shared" si="67"/>
        <v>1893.0983422374968</v>
      </c>
      <c r="K90" s="186">
        <f t="shared" si="67"/>
        <v>94.654917111874838</v>
      </c>
      <c r="L90" s="613"/>
      <c r="M90" s="185">
        <f>RANK(K90, K$87:$K$101)</f>
        <v>6</v>
      </c>
      <c r="N90" s="611"/>
      <c r="O90" s="611"/>
      <c r="P90" s="187">
        <v>20</v>
      </c>
      <c r="Q90" s="187">
        <v>1893.0683422374966</v>
      </c>
      <c r="R90" s="184">
        <f t="shared" si="68"/>
        <v>94.65341711187483</v>
      </c>
      <c r="S90" s="181">
        <f t="shared" si="69"/>
        <v>6</v>
      </c>
      <c r="T90" s="612"/>
      <c r="U90" s="187">
        <v>20</v>
      </c>
      <c r="V90" s="187">
        <v>1892.8583422374968</v>
      </c>
      <c r="W90" s="184">
        <f t="shared" si="66"/>
        <v>94.642917111874837</v>
      </c>
      <c r="X90" s="181">
        <f t="shared" si="70"/>
        <v>6</v>
      </c>
      <c r="Y90" s="612"/>
      <c r="Z90" s="187">
        <v>20</v>
      </c>
      <c r="AA90" s="187">
        <v>1893.0683422374968</v>
      </c>
      <c r="AB90" s="184">
        <f t="shared" si="71"/>
        <v>94.653417111874845</v>
      </c>
      <c r="AC90" s="181">
        <f t="shared" si="72"/>
        <v>6</v>
      </c>
      <c r="AD90" s="612"/>
      <c r="AE90" s="187">
        <v>20</v>
      </c>
      <c r="AF90" s="187">
        <v>1893.2783422374969</v>
      </c>
      <c r="AG90" s="184">
        <f t="shared" si="73"/>
        <v>94.663917111874838</v>
      </c>
      <c r="AH90" s="181">
        <f t="shared" si="74"/>
        <v>6</v>
      </c>
      <c r="AI90" s="612"/>
      <c r="AJ90" s="187">
        <v>20</v>
      </c>
      <c r="AK90" s="187">
        <v>1893.4883422374965</v>
      </c>
      <c r="AL90" s="184">
        <f t="shared" si="75"/>
        <v>94.674417111874817</v>
      </c>
      <c r="AM90" s="181">
        <f t="shared" si="76"/>
        <v>6</v>
      </c>
      <c r="AN90" s="612"/>
      <c r="AO90" s="187">
        <v>20</v>
      </c>
      <c r="AP90" s="187">
        <v>1893.2783422374964</v>
      </c>
      <c r="AQ90" s="184">
        <f t="shared" si="77"/>
        <v>94.663917111874824</v>
      </c>
      <c r="AR90" s="181">
        <f t="shared" si="78"/>
        <v>6</v>
      </c>
      <c r="AS90" s="612"/>
      <c r="AT90" s="187">
        <v>20</v>
      </c>
      <c r="AU90" s="187">
        <v>1892.6483422374965</v>
      </c>
      <c r="AV90" s="184">
        <f t="shared" si="79"/>
        <v>94.63241711187483</v>
      </c>
      <c r="AW90" s="181">
        <f t="shared" si="80"/>
        <v>6</v>
      </c>
      <c r="AX90" s="612"/>
    </row>
    <row r="91" spans="2:50" ht="14.25" customHeight="1">
      <c r="B91" s="611"/>
      <c r="C91" s="179">
        <v>5</v>
      </c>
      <c r="D91" s="182" t="s">
        <v>629</v>
      </c>
      <c r="E91" s="179">
        <v>5</v>
      </c>
      <c r="F91" s="179">
        <v>3273</v>
      </c>
      <c r="G91" s="184">
        <f t="shared" si="65"/>
        <v>654.6</v>
      </c>
      <c r="H91" s="612"/>
      <c r="I91" s="185">
        <f t="shared" si="67"/>
        <v>5</v>
      </c>
      <c r="J91" s="185">
        <f t="shared" si="67"/>
        <v>2965.9396671548334</v>
      </c>
      <c r="K91" s="186">
        <f t="shared" si="67"/>
        <v>593.18793343096661</v>
      </c>
      <c r="L91" s="613"/>
      <c r="M91" s="185">
        <f>RANK(K91, K$87:$K$101)</f>
        <v>1</v>
      </c>
      <c r="N91" s="611"/>
      <c r="O91" s="611"/>
      <c r="P91" s="187">
        <v>5</v>
      </c>
      <c r="Q91" s="187">
        <v>2967.2956242976898</v>
      </c>
      <c r="R91" s="184">
        <f t="shared" si="68"/>
        <v>593.45912485953795</v>
      </c>
      <c r="S91" s="181">
        <f t="shared" si="69"/>
        <v>1</v>
      </c>
      <c r="T91" s="612"/>
      <c r="U91" s="187">
        <v>5</v>
      </c>
      <c r="V91" s="187">
        <v>2966.9683242976889</v>
      </c>
      <c r="W91" s="184">
        <f t="shared" si="66"/>
        <v>593.39366485953781</v>
      </c>
      <c r="X91" s="181">
        <f t="shared" si="70"/>
        <v>1</v>
      </c>
      <c r="Y91" s="612"/>
      <c r="Z91" s="187">
        <v>5</v>
      </c>
      <c r="AA91" s="187">
        <v>2965.9864242976896</v>
      </c>
      <c r="AB91" s="184">
        <f t="shared" si="71"/>
        <v>593.19728485953794</v>
      </c>
      <c r="AC91" s="181">
        <f t="shared" si="72"/>
        <v>1</v>
      </c>
      <c r="AD91" s="612"/>
      <c r="AE91" s="187">
        <v>5</v>
      </c>
      <c r="AF91" s="187">
        <v>2965.9864242976901</v>
      </c>
      <c r="AG91" s="184">
        <f t="shared" si="73"/>
        <v>593.19728485953806</v>
      </c>
      <c r="AH91" s="181">
        <f t="shared" si="74"/>
        <v>1</v>
      </c>
      <c r="AI91" s="612"/>
      <c r="AJ91" s="187">
        <v>5</v>
      </c>
      <c r="AK91" s="187">
        <v>2965.3318242976907</v>
      </c>
      <c r="AL91" s="184">
        <f t="shared" si="75"/>
        <v>593.06636485953811</v>
      </c>
      <c r="AM91" s="181">
        <f t="shared" si="76"/>
        <v>1</v>
      </c>
      <c r="AN91" s="612"/>
      <c r="AO91" s="187">
        <v>5</v>
      </c>
      <c r="AP91" s="187">
        <v>2965.6591242976906</v>
      </c>
      <c r="AQ91" s="184">
        <f t="shared" si="77"/>
        <v>593.13182485953814</v>
      </c>
      <c r="AR91" s="181">
        <f t="shared" si="78"/>
        <v>1</v>
      </c>
      <c r="AS91" s="612"/>
      <c r="AT91" s="187">
        <v>5</v>
      </c>
      <c r="AU91" s="187">
        <v>2964.3499242976904</v>
      </c>
      <c r="AV91" s="184">
        <f t="shared" si="79"/>
        <v>592.86998485953814</v>
      </c>
      <c r="AW91" s="181">
        <f t="shared" si="80"/>
        <v>1</v>
      </c>
      <c r="AX91" s="612"/>
    </row>
    <row r="92" spans="2:50" ht="14.25" customHeight="1">
      <c r="B92" s="611"/>
      <c r="C92" s="179">
        <v>6</v>
      </c>
      <c r="D92" s="182" t="s">
        <v>879</v>
      </c>
      <c r="E92" s="179">
        <v>6</v>
      </c>
      <c r="F92" s="179">
        <v>2500</v>
      </c>
      <c r="G92" s="184">
        <f t="shared" si="65"/>
        <v>416.66666666666669</v>
      </c>
      <c r="H92" s="612"/>
      <c r="I92" s="185">
        <f t="shared" si="67"/>
        <v>6</v>
      </c>
      <c r="J92" s="185">
        <f t="shared" si="67"/>
        <v>2188.7124277178118</v>
      </c>
      <c r="K92" s="186">
        <f t="shared" si="67"/>
        <v>364.7854046196353</v>
      </c>
      <c r="L92" s="613"/>
      <c r="M92" s="185">
        <f>RANK(K92, K$87:$K$101)</f>
        <v>5</v>
      </c>
      <c r="N92" s="611"/>
      <c r="O92" s="611"/>
      <c r="P92" s="187">
        <v>6</v>
      </c>
      <c r="Q92" s="187">
        <v>2066.1326005603264</v>
      </c>
      <c r="R92" s="184">
        <f t="shared" si="68"/>
        <v>344.35543342672105</v>
      </c>
      <c r="S92" s="181">
        <f t="shared" si="69"/>
        <v>5</v>
      </c>
      <c r="T92" s="612"/>
      <c r="U92" s="187">
        <v>6</v>
      </c>
      <c r="V92" s="187">
        <v>2108.7977764568732</v>
      </c>
      <c r="W92" s="184">
        <f t="shared" si="66"/>
        <v>351.46629607614551</v>
      </c>
      <c r="X92" s="181">
        <f t="shared" si="70"/>
        <v>5</v>
      </c>
      <c r="Y92" s="612"/>
      <c r="Z92" s="187">
        <v>6</v>
      </c>
      <c r="AA92" s="187">
        <v>2161.9565956141864</v>
      </c>
      <c r="AB92" s="184">
        <f t="shared" si="71"/>
        <v>360.32609926903109</v>
      </c>
      <c r="AC92" s="181">
        <f t="shared" si="72"/>
        <v>5</v>
      </c>
      <c r="AD92" s="612"/>
      <c r="AE92" s="187">
        <v>6</v>
      </c>
      <c r="AF92" s="187">
        <v>2209.3620233559445</v>
      </c>
      <c r="AG92" s="184">
        <f t="shared" si="73"/>
        <v>368.22700389265742</v>
      </c>
      <c r="AH92" s="181">
        <f t="shared" si="74"/>
        <v>5</v>
      </c>
      <c r="AI92" s="612"/>
      <c r="AJ92" s="187">
        <v>6</v>
      </c>
      <c r="AK92" s="187">
        <v>2257.8293326791177</v>
      </c>
      <c r="AL92" s="184">
        <f t="shared" si="75"/>
        <v>376.30488877985294</v>
      </c>
      <c r="AM92" s="181">
        <f t="shared" si="76"/>
        <v>5</v>
      </c>
      <c r="AN92" s="612"/>
      <c r="AO92" s="187">
        <v>6</v>
      </c>
      <c r="AP92" s="187">
        <v>2257.8293326791177</v>
      </c>
      <c r="AQ92" s="184">
        <f t="shared" si="77"/>
        <v>376.30488877985294</v>
      </c>
      <c r="AR92" s="181">
        <f t="shared" si="78"/>
        <v>5</v>
      </c>
      <c r="AS92" s="612"/>
      <c r="AT92" s="187">
        <v>6</v>
      </c>
      <c r="AU92" s="187">
        <v>2259.0793326791177</v>
      </c>
      <c r="AV92" s="184">
        <f t="shared" si="79"/>
        <v>376.51322211318626</v>
      </c>
      <c r="AW92" s="181">
        <f t="shared" si="80"/>
        <v>5</v>
      </c>
      <c r="AX92" s="612"/>
    </row>
    <row r="93" spans="2:50" ht="14.25" customHeight="1">
      <c r="B93" s="611"/>
      <c r="C93" s="179">
        <v>7</v>
      </c>
      <c r="D93" s="182"/>
      <c r="E93" s="179"/>
      <c r="F93" s="179"/>
      <c r="G93" s="184"/>
      <c r="H93" s="612"/>
      <c r="I93" s="185"/>
      <c r="J93" s="185"/>
      <c r="K93" s="186"/>
      <c r="L93" s="613"/>
      <c r="M93" s="185"/>
      <c r="N93" s="611"/>
      <c r="O93" s="611"/>
      <c r="P93" s="187"/>
      <c r="Q93" s="187"/>
      <c r="R93" s="184"/>
      <c r="S93" s="181"/>
      <c r="T93" s="612"/>
      <c r="U93" s="187"/>
      <c r="V93" s="187"/>
      <c r="W93" s="184"/>
      <c r="X93" s="181"/>
      <c r="Y93" s="612"/>
      <c r="Z93" s="187"/>
      <c r="AA93" s="187"/>
      <c r="AB93" s="184"/>
      <c r="AC93" s="181"/>
      <c r="AD93" s="612"/>
      <c r="AE93" s="187"/>
      <c r="AF93" s="187"/>
      <c r="AG93" s="184"/>
      <c r="AH93" s="181"/>
      <c r="AI93" s="612"/>
      <c r="AJ93" s="187"/>
      <c r="AK93" s="187"/>
      <c r="AL93" s="184"/>
      <c r="AM93" s="181"/>
      <c r="AN93" s="612"/>
      <c r="AO93" s="187"/>
      <c r="AP93" s="187"/>
      <c r="AQ93" s="184"/>
      <c r="AR93" s="181"/>
      <c r="AS93" s="612"/>
      <c r="AT93" s="187"/>
      <c r="AU93" s="187"/>
      <c r="AV93" s="184"/>
      <c r="AW93" s="181"/>
      <c r="AX93" s="612"/>
    </row>
    <row r="94" spans="2:50" ht="14.25" customHeight="1">
      <c r="B94" s="611"/>
      <c r="C94" s="179">
        <v>8</v>
      </c>
      <c r="D94" s="182"/>
      <c r="E94" s="179"/>
      <c r="F94" s="179"/>
      <c r="G94" s="184"/>
      <c r="H94" s="612"/>
      <c r="I94" s="185"/>
      <c r="J94" s="185"/>
      <c r="K94" s="186"/>
      <c r="L94" s="613"/>
      <c r="M94" s="185"/>
      <c r="N94" s="611"/>
      <c r="O94" s="611"/>
      <c r="P94" s="187"/>
      <c r="Q94" s="187"/>
      <c r="R94" s="184"/>
      <c r="S94" s="181"/>
      <c r="T94" s="612"/>
      <c r="U94" s="187"/>
      <c r="V94" s="187"/>
      <c r="W94" s="184"/>
      <c r="X94" s="181"/>
      <c r="Y94" s="612"/>
      <c r="Z94" s="187"/>
      <c r="AA94" s="187"/>
      <c r="AB94" s="184"/>
      <c r="AC94" s="181"/>
      <c r="AD94" s="612"/>
      <c r="AE94" s="187"/>
      <c r="AF94" s="187"/>
      <c r="AG94" s="184"/>
      <c r="AH94" s="181"/>
      <c r="AI94" s="612"/>
      <c r="AJ94" s="187"/>
      <c r="AK94" s="187"/>
      <c r="AL94" s="184"/>
      <c r="AM94" s="181"/>
      <c r="AN94" s="612"/>
      <c r="AO94" s="187"/>
      <c r="AP94" s="187"/>
      <c r="AQ94" s="184"/>
      <c r="AR94" s="181"/>
      <c r="AS94" s="612"/>
      <c r="AT94" s="187"/>
      <c r="AU94" s="187"/>
      <c r="AV94" s="184"/>
      <c r="AW94" s="181"/>
      <c r="AX94" s="612"/>
    </row>
    <row r="95" spans="2:50" ht="14.25" customHeight="1">
      <c r="B95" s="611"/>
      <c r="C95" s="179">
        <v>9</v>
      </c>
      <c r="D95" s="182"/>
      <c r="E95" s="179"/>
      <c r="F95" s="179"/>
      <c r="G95" s="184"/>
      <c r="H95" s="612"/>
      <c r="I95" s="185"/>
      <c r="J95" s="185"/>
      <c r="K95" s="186"/>
      <c r="L95" s="613"/>
      <c r="M95" s="185"/>
      <c r="N95" s="611"/>
      <c r="O95" s="611"/>
      <c r="P95" s="187"/>
      <c r="Q95" s="187"/>
      <c r="R95" s="184"/>
      <c r="S95" s="181"/>
      <c r="T95" s="612"/>
      <c r="U95" s="187"/>
      <c r="V95" s="187"/>
      <c r="W95" s="184"/>
      <c r="X95" s="181"/>
      <c r="Y95" s="612"/>
      <c r="Z95" s="187"/>
      <c r="AA95" s="187"/>
      <c r="AB95" s="184"/>
      <c r="AC95" s="181"/>
      <c r="AD95" s="612"/>
      <c r="AE95" s="187"/>
      <c r="AF95" s="187"/>
      <c r="AG95" s="184"/>
      <c r="AH95" s="181"/>
      <c r="AI95" s="612"/>
      <c r="AJ95" s="187"/>
      <c r="AK95" s="187"/>
      <c r="AL95" s="184"/>
      <c r="AM95" s="181"/>
      <c r="AN95" s="612"/>
      <c r="AO95" s="187"/>
      <c r="AP95" s="187"/>
      <c r="AQ95" s="184"/>
      <c r="AR95" s="181"/>
      <c r="AS95" s="612"/>
      <c r="AT95" s="187"/>
      <c r="AU95" s="187"/>
      <c r="AV95" s="184"/>
      <c r="AW95" s="181"/>
      <c r="AX95" s="612"/>
    </row>
    <row r="96" spans="2:50" ht="14.25" customHeight="1">
      <c r="B96" s="611"/>
      <c r="C96" s="179">
        <v>10</v>
      </c>
      <c r="D96" s="182"/>
      <c r="E96" s="179"/>
      <c r="F96" s="179"/>
      <c r="G96" s="184"/>
      <c r="H96" s="612"/>
      <c r="I96" s="185"/>
      <c r="J96" s="185"/>
      <c r="K96" s="186"/>
      <c r="L96" s="613"/>
      <c r="M96" s="185"/>
      <c r="N96" s="611"/>
      <c r="O96" s="611"/>
      <c r="P96" s="187"/>
      <c r="Q96" s="187"/>
      <c r="R96" s="184"/>
      <c r="S96" s="181"/>
      <c r="T96" s="612"/>
      <c r="U96" s="187"/>
      <c r="V96" s="187"/>
      <c r="W96" s="184"/>
      <c r="X96" s="181"/>
      <c r="Y96" s="612"/>
      <c r="Z96" s="187"/>
      <c r="AA96" s="187"/>
      <c r="AB96" s="184"/>
      <c r="AC96" s="181"/>
      <c r="AD96" s="612"/>
      <c r="AE96" s="187"/>
      <c r="AF96" s="187"/>
      <c r="AG96" s="184"/>
      <c r="AH96" s="181"/>
      <c r="AI96" s="612"/>
      <c r="AJ96" s="187"/>
      <c r="AK96" s="187"/>
      <c r="AL96" s="184"/>
      <c r="AM96" s="181"/>
      <c r="AN96" s="612"/>
      <c r="AO96" s="187"/>
      <c r="AP96" s="187"/>
      <c r="AQ96" s="184"/>
      <c r="AR96" s="181"/>
      <c r="AS96" s="612"/>
      <c r="AT96" s="187"/>
      <c r="AU96" s="187"/>
      <c r="AV96" s="184"/>
      <c r="AW96" s="181"/>
      <c r="AX96" s="612"/>
    </row>
    <row r="97" spans="2:50" ht="14.25" customHeight="1">
      <c r="B97" s="611"/>
      <c r="C97" s="179">
        <v>11</v>
      </c>
      <c r="D97" s="182"/>
      <c r="E97" s="179"/>
      <c r="F97" s="179"/>
      <c r="G97" s="184"/>
      <c r="H97" s="612"/>
      <c r="I97" s="185"/>
      <c r="J97" s="185"/>
      <c r="K97" s="186"/>
      <c r="L97" s="613"/>
      <c r="M97" s="185"/>
      <c r="N97" s="611"/>
      <c r="O97" s="611"/>
      <c r="P97" s="187"/>
      <c r="Q97" s="187"/>
      <c r="R97" s="184"/>
      <c r="S97" s="181"/>
      <c r="T97" s="612"/>
      <c r="U97" s="187"/>
      <c r="V97" s="187"/>
      <c r="W97" s="184"/>
      <c r="X97" s="181"/>
      <c r="Y97" s="612"/>
      <c r="Z97" s="187"/>
      <c r="AA97" s="187"/>
      <c r="AB97" s="184"/>
      <c r="AC97" s="181"/>
      <c r="AD97" s="612"/>
      <c r="AE97" s="187"/>
      <c r="AF97" s="187"/>
      <c r="AG97" s="184"/>
      <c r="AH97" s="181"/>
      <c r="AI97" s="612"/>
      <c r="AJ97" s="187"/>
      <c r="AK97" s="187"/>
      <c r="AL97" s="184"/>
      <c r="AM97" s="181"/>
      <c r="AN97" s="612"/>
      <c r="AO97" s="187"/>
      <c r="AP97" s="187"/>
      <c r="AQ97" s="184"/>
      <c r="AR97" s="181"/>
      <c r="AS97" s="612"/>
      <c r="AT97" s="187"/>
      <c r="AU97" s="187"/>
      <c r="AV97" s="184"/>
      <c r="AW97" s="181"/>
      <c r="AX97" s="612"/>
    </row>
    <row r="98" spans="2:50" ht="14.25" customHeight="1">
      <c r="B98" s="611"/>
      <c r="C98" s="179">
        <v>12</v>
      </c>
      <c r="D98" s="182"/>
      <c r="E98" s="179"/>
      <c r="F98" s="179"/>
      <c r="G98" s="184"/>
      <c r="H98" s="612"/>
      <c r="I98" s="185"/>
      <c r="J98" s="185"/>
      <c r="K98" s="186"/>
      <c r="L98" s="613"/>
      <c r="M98" s="185"/>
      <c r="N98" s="611"/>
      <c r="O98" s="611"/>
      <c r="P98" s="187"/>
      <c r="Q98" s="187"/>
      <c r="R98" s="184"/>
      <c r="S98" s="181"/>
      <c r="T98" s="612"/>
      <c r="U98" s="187"/>
      <c r="V98" s="187"/>
      <c r="W98" s="184"/>
      <c r="X98" s="181"/>
      <c r="Y98" s="612"/>
      <c r="Z98" s="187"/>
      <c r="AA98" s="187"/>
      <c r="AB98" s="184"/>
      <c r="AC98" s="181"/>
      <c r="AD98" s="612"/>
      <c r="AE98" s="187"/>
      <c r="AF98" s="187"/>
      <c r="AG98" s="184"/>
      <c r="AH98" s="181"/>
      <c r="AI98" s="612"/>
      <c r="AJ98" s="187"/>
      <c r="AK98" s="187"/>
      <c r="AL98" s="184"/>
      <c r="AM98" s="181"/>
      <c r="AN98" s="612"/>
      <c r="AO98" s="187"/>
      <c r="AP98" s="187"/>
      <c r="AQ98" s="184"/>
      <c r="AR98" s="181"/>
      <c r="AS98" s="612"/>
      <c r="AT98" s="187"/>
      <c r="AU98" s="187"/>
      <c r="AV98" s="184"/>
      <c r="AW98" s="181"/>
      <c r="AX98" s="612"/>
    </row>
    <row r="99" spans="2:50" ht="14.25" customHeight="1">
      <c r="B99" s="611"/>
      <c r="C99" s="179">
        <v>13</v>
      </c>
      <c r="D99" s="182"/>
      <c r="E99" s="179"/>
      <c r="F99" s="179"/>
      <c r="G99" s="184"/>
      <c r="H99" s="612"/>
      <c r="I99" s="185"/>
      <c r="J99" s="185"/>
      <c r="K99" s="186"/>
      <c r="L99" s="613"/>
      <c r="M99" s="185"/>
      <c r="N99" s="611"/>
      <c r="O99" s="611"/>
      <c r="P99" s="187"/>
      <c r="Q99" s="187"/>
      <c r="R99" s="184"/>
      <c r="S99" s="181"/>
      <c r="T99" s="612"/>
      <c r="U99" s="187"/>
      <c r="V99" s="187"/>
      <c r="W99" s="184"/>
      <c r="X99" s="181"/>
      <c r="Y99" s="612"/>
      <c r="Z99" s="187"/>
      <c r="AA99" s="187"/>
      <c r="AB99" s="184"/>
      <c r="AC99" s="181"/>
      <c r="AD99" s="612"/>
      <c r="AE99" s="187"/>
      <c r="AF99" s="187"/>
      <c r="AG99" s="184"/>
      <c r="AH99" s="181"/>
      <c r="AI99" s="612"/>
      <c r="AJ99" s="187"/>
      <c r="AK99" s="187"/>
      <c r="AL99" s="184"/>
      <c r="AM99" s="181"/>
      <c r="AN99" s="612"/>
      <c r="AO99" s="187"/>
      <c r="AP99" s="187"/>
      <c r="AQ99" s="184"/>
      <c r="AR99" s="181"/>
      <c r="AS99" s="612"/>
      <c r="AT99" s="187"/>
      <c r="AU99" s="187"/>
      <c r="AV99" s="184"/>
      <c r="AW99" s="181"/>
      <c r="AX99" s="612"/>
    </row>
    <row r="100" spans="2:50" ht="14.25" customHeight="1">
      <c r="B100" s="611"/>
      <c r="C100" s="179">
        <v>14</v>
      </c>
      <c r="D100" s="182"/>
      <c r="E100" s="179"/>
      <c r="F100" s="179"/>
      <c r="G100" s="184"/>
      <c r="H100" s="612"/>
      <c r="I100" s="185"/>
      <c r="J100" s="185"/>
      <c r="K100" s="186"/>
      <c r="L100" s="613"/>
      <c r="M100" s="185"/>
      <c r="N100" s="611"/>
      <c r="O100" s="611"/>
      <c r="P100" s="187"/>
      <c r="Q100" s="187"/>
      <c r="R100" s="184"/>
      <c r="S100" s="181"/>
      <c r="T100" s="612"/>
      <c r="U100" s="187"/>
      <c r="V100" s="187"/>
      <c r="W100" s="184"/>
      <c r="X100" s="181"/>
      <c r="Y100" s="612"/>
      <c r="Z100" s="187"/>
      <c r="AA100" s="187"/>
      <c r="AB100" s="184"/>
      <c r="AC100" s="181"/>
      <c r="AD100" s="612"/>
      <c r="AE100" s="187"/>
      <c r="AF100" s="187"/>
      <c r="AG100" s="184"/>
      <c r="AH100" s="181"/>
      <c r="AI100" s="612"/>
      <c r="AJ100" s="187"/>
      <c r="AK100" s="187"/>
      <c r="AL100" s="184"/>
      <c r="AM100" s="181"/>
      <c r="AN100" s="612"/>
      <c r="AO100" s="187"/>
      <c r="AP100" s="187"/>
      <c r="AQ100" s="184"/>
      <c r="AR100" s="181"/>
      <c r="AS100" s="612"/>
      <c r="AT100" s="187"/>
      <c r="AU100" s="187"/>
      <c r="AV100" s="184"/>
      <c r="AW100" s="181"/>
      <c r="AX100" s="612"/>
    </row>
    <row r="101" spans="2:50" ht="14.25" customHeight="1">
      <c r="B101" s="611"/>
      <c r="C101" s="179">
        <v>15</v>
      </c>
      <c r="D101" s="182"/>
      <c r="E101" s="179"/>
      <c r="F101" s="179"/>
      <c r="G101" s="184"/>
      <c r="H101" s="612"/>
      <c r="I101" s="185"/>
      <c r="J101" s="185"/>
      <c r="K101" s="186"/>
      <c r="L101" s="613"/>
      <c r="M101" s="185"/>
      <c r="N101" s="611"/>
      <c r="O101" s="611"/>
      <c r="P101" s="187"/>
      <c r="Q101" s="187"/>
      <c r="R101" s="184"/>
      <c r="S101" s="181"/>
      <c r="T101" s="612"/>
      <c r="U101" s="187"/>
      <c r="V101" s="187"/>
      <c r="W101" s="184"/>
      <c r="X101" s="181"/>
      <c r="Y101" s="612"/>
      <c r="Z101" s="187"/>
      <c r="AA101" s="187"/>
      <c r="AB101" s="184"/>
      <c r="AC101" s="181"/>
      <c r="AD101" s="612"/>
      <c r="AE101" s="187"/>
      <c r="AF101" s="187"/>
      <c r="AG101" s="184"/>
      <c r="AH101" s="181"/>
      <c r="AI101" s="612"/>
      <c r="AJ101" s="187"/>
      <c r="AK101" s="187"/>
      <c r="AL101" s="184"/>
      <c r="AM101" s="181"/>
      <c r="AN101" s="612"/>
      <c r="AO101" s="187"/>
      <c r="AP101" s="187"/>
      <c r="AQ101" s="184"/>
      <c r="AR101" s="181"/>
      <c r="AS101" s="612"/>
      <c r="AT101" s="187"/>
      <c r="AU101" s="187"/>
      <c r="AV101" s="184"/>
      <c r="AW101" s="181"/>
      <c r="AX101" s="612"/>
    </row>
  </sheetData>
  <mergeCells count="295"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AE45:AH45"/>
    <mergeCell ref="AJ45:AM45"/>
    <mergeCell ref="AO45:AR45"/>
    <mergeCell ref="AT45:AW45"/>
    <mergeCell ref="M44:M46"/>
    <mergeCell ref="N44:N61"/>
    <mergeCell ref="O44:O61"/>
    <mergeCell ref="P44:S44"/>
    <mergeCell ref="T44:T46"/>
    <mergeCell ref="U44:X44"/>
    <mergeCell ref="Y44:Y46"/>
    <mergeCell ref="AX47:AX61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I44:K44"/>
    <mergeCell ref="L44:L46"/>
    <mergeCell ref="Z44:AC44"/>
    <mergeCell ref="AD44:AD46"/>
    <mergeCell ref="Z45:AC45"/>
    <mergeCell ref="B42:M43"/>
    <mergeCell ref="N42:N43"/>
    <mergeCell ref="O42:O43"/>
    <mergeCell ref="P42:T42"/>
    <mergeCell ref="U42:Y42"/>
    <mergeCell ref="Z42:AD42"/>
    <mergeCell ref="B44:B46"/>
    <mergeCell ref="C44:D46"/>
    <mergeCell ref="E44:G44"/>
    <mergeCell ref="H44:H46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tabColor rgb="FFFFFFCC"/>
  </sheetPr>
  <dimension ref="A1:AX101"/>
  <sheetViews>
    <sheetView zoomScaleNormal="100" workbookViewId="0">
      <pane xSplit="13" ySplit="1" topLeftCell="AI74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AW87" sqref="AW87:AW94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456" t="s">
        <v>720</v>
      </c>
      <c r="C1" s="174">
        <f>AVERAGE(L7,L27,L47,L67,L87)</f>
        <v>84.954232333344365</v>
      </c>
    </row>
    <row r="2" spans="1:50" ht="14.25" customHeight="1">
      <c r="B2" s="640" t="s">
        <v>709</v>
      </c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2"/>
      <c r="N2" s="645" t="s">
        <v>363</v>
      </c>
      <c r="O2" s="630" t="s">
        <v>105</v>
      </c>
      <c r="P2" s="632">
        <v>46203</v>
      </c>
      <c r="Q2" s="633"/>
      <c r="R2" s="633"/>
      <c r="S2" s="633"/>
      <c r="T2" s="633"/>
      <c r="U2" s="634">
        <v>46204</v>
      </c>
      <c r="V2" s="635"/>
      <c r="W2" s="635"/>
      <c r="X2" s="635"/>
      <c r="Y2" s="635"/>
      <c r="Z2" s="632">
        <v>46205</v>
      </c>
      <c r="AA2" s="633"/>
      <c r="AB2" s="633"/>
      <c r="AC2" s="633"/>
      <c r="AD2" s="633"/>
      <c r="AE2" s="634">
        <v>46206</v>
      </c>
      <c r="AF2" s="635"/>
      <c r="AG2" s="635"/>
      <c r="AH2" s="635"/>
      <c r="AI2" s="635"/>
      <c r="AJ2" s="616">
        <v>46207</v>
      </c>
      <c r="AK2" s="617"/>
      <c r="AL2" s="617"/>
      <c r="AM2" s="617"/>
      <c r="AN2" s="618"/>
      <c r="AO2" s="634">
        <v>46208</v>
      </c>
      <c r="AP2" s="635"/>
      <c r="AQ2" s="635"/>
      <c r="AR2" s="635"/>
      <c r="AS2" s="635"/>
      <c r="AT2" s="616">
        <v>46209</v>
      </c>
      <c r="AU2" s="617"/>
      <c r="AV2" s="617"/>
      <c r="AW2" s="617"/>
      <c r="AX2" s="618"/>
    </row>
    <row r="3" spans="1:50" ht="14.25" customHeight="1">
      <c r="B3" s="643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4"/>
      <c r="N3" s="646"/>
      <c r="O3" s="631"/>
      <c r="P3" s="619">
        <v>46196</v>
      </c>
      <c r="Q3" s="619"/>
      <c r="R3" s="619"/>
      <c r="S3" s="619"/>
      <c r="T3" s="619"/>
      <c r="U3" s="620">
        <v>46197</v>
      </c>
      <c r="V3" s="620"/>
      <c r="W3" s="620"/>
      <c r="X3" s="620"/>
      <c r="Y3" s="620"/>
      <c r="Z3" s="619">
        <v>46198</v>
      </c>
      <c r="AA3" s="619"/>
      <c r="AB3" s="619"/>
      <c r="AC3" s="619"/>
      <c r="AD3" s="619"/>
      <c r="AE3" s="620">
        <v>46199</v>
      </c>
      <c r="AF3" s="620"/>
      <c r="AG3" s="620"/>
      <c r="AH3" s="620"/>
      <c r="AI3" s="620"/>
      <c r="AJ3" s="621">
        <v>46200</v>
      </c>
      <c r="AK3" s="622"/>
      <c r="AL3" s="622"/>
      <c r="AM3" s="622"/>
      <c r="AN3" s="623"/>
      <c r="AO3" s="620">
        <v>46201</v>
      </c>
      <c r="AP3" s="620"/>
      <c r="AQ3" s="620"/>
      <c r="AR3" s="620"/>
      <c r="AS3" s="620"/>
      <c r="AT3" s="621">
        <v>46202</v>
      </c>
      <c r="AU3" s="622"/>
      <c r="AV3" s="622"/>
      <c r="AW3" s="622"/>
      <c r="AX3" s="623"/>
    </row>
    <row r="4" spans="1:50" ht="14.25" customHeight="1">
      <c r="B4" s="611" t="s">
        <v>162</v>
      </c>
      <c r="C4" s="611" t="s">
        <v>157</v>
      </c>
      <c r="D4" s="611"/>
      <c r="E4" s="611" t="s">
        <v>158</v>
      </c>
      <c r="F4" s="611"/>
      <c r="G4" s="611"/>
      <c r="H4" s="611" t="s">
        <v>163</v>
      </c>
      <c r="I4" s="615" t="s">
        <v>364</v>
      </c>
      <c r="J4" s="615"/>
      <c r="K4" s="615"/>
      <c r="L4" s="615" t="s">
        <v>163</v>
      </c>
      <c r="M4" s="615" t="s">
        <v>165</v>
      </c>
      <c r="N4" s="611"/>
      <c r="O4" s="611" t="s">
        <v>164</v>
      </c>
      <c r="P4" s="611" t="s">
        <v>160</v>
      </c>
      <c r="Q4" s="611"/>
      <c r="R4" s="611"/>
      <c r="S4" s="611"/>
      <c r="T4" s="611" t="s">
        <v>163</v>
      </c>
      <c r="U4" s="611" t="s">
        <v>160</v>
      </c>
      <c r="V4" s="611"/>
      <c r="W4" s="611"/>
      <c r="X4" s="611"/>
      <c r="Y4" s="611" t="s">
        <v>163</v>
      </c>
      <c r="Z4" s="611" t="s">
        <v>160</v>
      </c>
      <c r="AA4" s="611"/>
      <c r="AB4" s="611"/>
      <c r="AC4" s="611"/>
      <c r="AD4" s="611" t="s">
        <v>163</v>
      </c>
      <c r="AE4" s="611" t="s">
        <v>160</v>
      </c>
      <c r="AF4" s="611"/>
      <c r="AG4" s="611"/>
      <c r="AH4" s="611"/>
      <c r="AI4" s="611" t="s">
        <v>163</v>
      </c>
      <c r="AJ4" s="611" t="s">
        <v>160</v>
      </c>
      <c r="AK4" s="611"/>
      <c r="AL4" s="611"/>
      <c r="AM4" s="611"/>
      <c r="AN4" s="611" t="s">
        <v>163</v>
      </c>
      <c r="AO4" s="611" t="s">
        <v>160</v>
      </c>
      <c r="AP4" s="611"/>
      <c r="AQ4" s="611"/>
      <c r="AR4" s="611"/>
      <c r="AS4" s="611" t="s">
        <v>163</v>
      </c>
      <c r="AT4" s="611" t="s">
        <v>160</v>
      </c>
      <c r="AU4" s="611"/>
      <c r="AV4" s="611"/>
      <c r="AW4" s="611"/>
      <c r="AX4" s="611" t="s">
        <v>163</v>
      </c>
    </row>
    <row r="5" spans="1:50" ht="14.25" customHeight="1">
      <c r="B5" s="611"/>
      <c r="C5" s="611"/>
      <c r="D5" s="611"/>
      <c r="E5" s="611" t="s">
        <v>365</v>
      </c>
      <c r="F5" s="611"/>
      <c r="G5" s="611"/>
      <c r="H5" s="611"/>
      <c r="I5" s="615" t="s">
        <v>365</v>
      </c>
      <c r="J5" s="615"/>
      <c r="K5" s="615"/>
      <c r="L5" s="615"/>
      <c r="M5" s="615"/>
      <c r="N5" s="611"/>
      <c r="O5" s="611"/>
      <c r="P5" s="611" t="s">
        <v>366</v>
      </c>
      <c r="Q5" s="611"/>
      <c r="R5" s="611"/>
      <c r="S5" s="611"/>
      <c r="T5" s="611"/>
      <c r="U5" s="611" t="s">
        <v>366</v>
      </c>
      <c r="V5" s="611"/>
      <c r="W5" s="611"/>
      <c r="X5" s="611"/>
      <c r="Y5" s="611"/>
      <c r="Z5" s="611" t="s">
        <v>366</v>
      </c>
      <c r="AA5" s="611"/>
      <c r="AB5" s="611"/>
      <c r="AC5" s="611"/>
      <c r="AD5" s="611"/>
      <c r="AE5" s="611" t="s">
        <v>366</v>
      </c>
      <c r="AF5" s="611"/>
      <c r="AG5" s="611"/>
      <c r="AH5" s="611"/>
      <c r="AI5" s="611"/>
      <c r="AJ5" s="611" t="s">
        <v>366</v>
      </c>
      <c r="AK5" s="611"/>
      <c r="AL5" s="611"/>
      <c r="AM5" s="611"/>
      <c r="AN5" s="611"/>
      <c r="AO5" s="611" t="s">
        <v>366</v>
      </c>
      <c r="AP5" s="611"/>
      <c r="AQ5" s="611"/>
      <c r="AR5" s="611"/>
      <c r="AS5" s="611"/>
      <c r="AT5" s="611" t="s">
        <v>366</v>
      </c>
      <c r="AU5" s="611"/>
      <c r="AV5" s="611"/>
      <c r="AW5" s="611"/>
      <c r="AX5" s="611"/>
    </row>
    <row r="6" spans="1:50" ht="14.25" customHeight="1">
      <c r="B6" s="611"/>
      <c r="C6" s="611"/>
      <c r="D6" s="611"/>
      <c r="E6" s="179" t="s">
        <v>159</v>
      </c>
      <c r="F6" s="179" t="s">
        <v>367</v>
      </c>
      <c r="G6" s="179" t="s">
        <v>161</v>
      </c>
      <c r="H6" s="611"/>
      <c r="I6" s="180" t="s">
        <v>159</v>
      </c>
      <c r="J6" s="180" t="s">
        <v>367</v>
      </c>
      <c r="K6" s="180" t="s">
        <v>161</v>
      </c>
      <c r="L6" s="615"/>
      <c r="M6" s="615"/>
      <c r="N6" s="611"/>
      <c r="O6" s="611"/>
      <c r="P6" s="179" t="s">
        <v>159</v>
      </c>
      <c r="Q6" s="179" t="s">
        <v>367</v>
      </c>
      <c r="R6" s="179" t="s">
        <v>161</v>
      </c>
      <c r="S6" s="181" t="s">
        <v>165</v>
      </c>
      <c r="T6" s="611"/>
      <c r="U6" s="179" t="s">
        <v>159</v>
      </c>
      <c r="V6" s="179" t="s">
        <v>367</v>
      </c>
      <c r="W6" s="179" t="s">
        <v>161</v>
      </c>
      <c r="X6" s="181" t="s">
        <v>165</v>
      </c>
      <c r="Y6" s="611"/>
      <c r="Z6" s="179" t="s">
        <v>159</v>
      </c>
      <c r="AA6" s="179" t="s">
        <v>367</v>
      </c>
      <c r="AB6" s="179" t="s">
        <v>161</v>
      </c>
      <c r="AC6" s="181" t="s">
        <v>165</v>
      </c>
      <c r="AD6" s="611"/>
      <c r="AE6" s="179" t="s">
        <v>159</v>
      </c>
      <c r="AF6" s="179" t="s">
        <v>367</v>
      </c>
      <c r="AG6" s="179" t="s">
        <v>161</v>
      </c>
      <c r="AH6" s="181" t="s">
        <v>165</v>
      </c>
      <c r="AI6" s="611"/>
      <c r="AJ6" s="179" t="s">
        <v>159</v>
      </c>
      <c r="AK6" s="179" t="s">
        <v>367</v>
      </c>
      <c r="AL6" s="179" t="s">
        <v>161</v>
      </c>
      <c r="AM6" s="181" t="s">
        <v>165</v>
      </c>
      <c r="AN6" s="611"/>
      <c r="AO6" s="179" t="s">
        <v>159</v>
      </c>
      <c r="AP6" s="179" t="s">
        <v>367</v>
      </c>
      <c r="AQ6" s="179" t="s">
        <v>161</v>
      </c>
      <c r="AR6" s="181" t="s">
        <v>165</v>
      </c>
      <c r="AS6" s="611"/>
      <c r="AT6" s="179" t="s">
        <v>159</v>
      </c>
      <c r="AU6" s="179" t="s">
        <v>367</v>
      </c>
      <c r="AV6" s="179" t="s">
        <v>161</v>
      </c>
      <c r="AW6" s="181" t="s">
        <v>165</v>
      </c>
      <c r="AX6" s="611"/>
    </row>
    <row r="7" spans="1:50" ht="14.25" customHeight="1">
      <c r="B7" s="611" t="s">
        <v>348</v>
      </c>
      <c r="C7" s="179">
        <v>1</v>
      </c>
      <c r="D7" s="182" t="s">
        <v>342</v>
      </c>
      <c r="E7" s="183">
        <v>24</v>
      </c>
      <c r="F7" s="179">
        <v>2000</v>
      </c>
      <c r="G7" s="184">
        <f>IFERROR(F7/E7,"")</f>
        <v>83.333333333333329</v>
      </c>
      <c r="H7" s="612">
        <f>AVERAGE(G7:G21)</f>
        <v>94.153055747258634</v>
      </c>
      <c r="I7" s="185">
        <f>AVERAGE(P7,U7,Z7,AE7,AJ7,AO7,AT7)</f>
        <v>24</v>
      </c>
      <c r="J7" s="185">
        <f>AVERAGE(Q7,V7,AA7,AF7,AK7,AP7,AU7)</f>
        <v>1791.7403014463873</v>
      </c>
      <c r="K7" s="186">
        <f>AVERAGE(R7,W7,AB7,AG7,AL7,AQ7,AV7)</f>
        <v>74.655845893599462</v>
      </c>
      <c r="L7" s="613">
        <f>IFERROR(AVERAGE(K7:K21),"-")</f>
        <v>85.751394400063603</v>
      </c>
      <c r="M7" s="185">
        <f>RANK(K7, K$7:$K$21)</f>
        <v>9</v>
      </c>
      <c r="N7" s="611"/>
      <c r="O7" s="611"/>
      <c r="P7" s="187">
        <v>24</v>
      </c>
      <c r="Q7" s="187">
        <v>1791.9403014463874</v>
      </c>
      <c r="R7" s="184">
        <f>IFERROR(Q7/P7,"")</f>
        <v>74.664179226932802</v>
      </c>
      <c r="S7" s="181">
        <f>RANK(R7, R$7:R$21)</f>
        <v>9</v>
      </c>
      <c r="T7" s="612">
        <f>AVERAGE(R7:R21)</f>
        <v>84.719637654739515</v>
      </c>
      <c r="U7" s="187">
        <v>24</v>
      </c>
      <c r="V7" s="187">
        <v>1792.5403014463873</v>
      </c>
      <c r="W7" s="184">
        <f t="shared" ref="W7:W15" si="0">IFERROR(V7/U7,"")</f>
        <v>74.689179226932808</v>
      </c>
      <c r="X7" s="181">
        <f>RANK(W7, W$7:W$21)</f>
        <v>8</v>
      </c>
      <c r="Y7" s="612">
        <f>AVERAGE(W7:W21)</f>
        <v>87.073084239881723</v>
      </c>
      <c r="Z7" s="187">
        <v>24</v>
      </c>
      <c r="AA7" s="187">
        <v>1792.1403014463872</v>
      </c>
      <c r="AB7" s="184">
        <f>IFERROR(AA7/Z7,"")</f>
        <v>74.672512560266128</v>
      </c>
      <c r="AC7" s="181">
        <f>RANK(AB7, AB$7:AB$21)</f>
        <v>8</v>
      </c>
      <c r="AD7" s="612">
        <f>AVERAGE(AB7:AB21)</f>
        <v>87.108379984614061</v>
      </c>
      <c r="AE7" s="187">
        <v>24</v>
      </c>
      <c r="AF7" s="187">
        <v>1791.5403014463873</v>
      </c>
      <c r="AG7" s="184">
        <f>IFERROR(AF7/AE7,"")</f>
        <v>74.647512560266136</v>
      </c>
      <c r="AH7" s="181">
        <f>RANK(AG7, AG$7:AG$21)</f>
        <v>8</v>
      </c>
      <c r="AI7" s="612">
        <f>AVERAGE(AG7:AG21)</f>
        <v>87.096325632465195</v>
      </c>
      <c r="AJ7" s="187">
        <v>24</v>
      </c>
      <c r="AK7" s="187">
        <v>1792.1403014463872</v>
      </c>
      <c r="AL7" s="184">
        <f>IFERROR(AK7/AJ7,"")</f>
        <v>74.672512560266128</v>
      </c>
      <c r="AM7" s="181">
        <f>RANK(AL7, AL$7:AL$21)</f>
        <v>8</v>
      </c>
      <c r="AN7" s="612">
        <f>AVERAGE(AL7:AL21)</f>
        <v>87.101805704928964</v>
      </c>
      <c r="AO7" s="187">
        <v>24</v>
      </c>
      <c r="AP7" s="187">
        <v>1791.3403014463872</v>
      </c>
      <c r="AQ7" s="184">
        <f>IFERROR(AP7/AO7,"")</f>
        <v>74.639179226932796</v>
      </c>
      <c r="AR7" s="181">
        <f>RANK(AQ7, AQ$7:AQ$21)</f>
        <v>8</v>
      </c>
      <c r="AS7" s="612">
        <f>AVERAGE(AQ7:AQ21)</f>
        <v>87.091419231499003</v>
      </c>
      <c r="AT7" s="187">
        <v>24</v>
      </c>
      <c r="AU7" s="187">
        <v>1790.5403014463873</v>
      </c>
      <c r="AV7" s="184">
        <f>IFERROR(AU7/AT7,"")</f>
        <v>74.605845893599465</v>
      </c>
      <c r="AW7" s="181">
        <f>RANK(AV7, AV$7:AV$21)</f>
        <v>8</v>
      </c>
      <c r="AX7" s="612">
        <f>AVERAGE(AV7:AV21)</f>
        <v>87.083568989953122</v>
      </c>
    </row>
    <row r="8" spans="1:50" ht="14.25" customHeight="1">
      <c r="B8" s="611"/>
      <c r="C8" s="179">
        <v>2</v>
      </c>
      <c r="D8" s="182" t="s">
        <v>341</v>
      </c>
      <c r="E8" s="179">
        <v>23</v>
      </c>
      <c r="F8" s="179">
        <v>2000</v>
      </c>
      <c r="G8" s="184">
        <f t="shared" ref="G8:G15" si="1">IFERROR(F8/E8,"")</f>
        <v>86.956521739130437</v>
      </c>
      <c r="H8" s="612"/>
      <c r="I8" s="185">
        <f>AVERAGE(P8,U8,Z8,AE8,AJ8,AO8,AT8)</f>
        <v>23</v>
      </c>
      <c r="J8" s="185">
        <f t="shared" ref="J8:K15" si="2">AVERAGE(Q8,V8,AA8,AF8,AK8,AP8,AU8)</f>
        <v>1790.0145229523434</v>
      </c>
      <c r="K8" s="186">
        <f t="shared" si="2"/>
        <v>77.826718389232312</v>
      </c>
      <c r="L8" s="613"/>
      <c r="M8" s="185">
        <f>RANK(K8, K$7:$K$21)</f>
        <v>7</v>
      </c>
      <c r="N8" s="611"/>
      <c r="O8" s="611"/>
      <c r="P8" s="187">
        <v>23</v>
      </c>
      <c r="Q8" s="187">
        <v>1790.4716658094867</v>
      </c>
      <c r="R8" s="184">
        <f t="shared" ref="R8:R15" si="3">IFERROR(Q8/P8,"")</f>
        <v>77.846594165629853</v>
      </c>
      <c r="S8" s="181">
        <f t="shared" ref="S8:S15" si="4">RANK(R8, R$7:R$21)</f>
        <v>7</v>
      </c>
      <c r="T8" s="612"/>
      <c r="U8" s="187">
        <v>23</v>
      </c>
      <c r="V8" s="187">
        <v>1789.8716658094866</v>
      </c>
      <c r="W8" s="184">
        <f t="shared" si="0"/>
        <v>77.820507209108115</v>
      </c>
      <c r="X8" s="181">
        <f t="shared" ref="X8:X15" si="5">RANK(W8, W$7:W$21)</f>
        <v>6</v>
      </c>
      <c r="Y8" s="612"/>
      <c r="Z8" s="187">
        <v>23</v>
      </c>
      <c r="AA8" s="187">
        <v>1790.0716658094864</v>
      </c>
      <c r="AB8" s="184">
        <f t="shared" ref="AB8:AB15" si="6">IFERROR(AA8/Z8,"")</f>
        <v>77.829202861282013</v>
      </c>
      <c r="AC8" s="181">
        <f t="shared" ref="AC8:AC15" si="7">RANK(AB8, AB$7:AB$21)</f>
        <v>7</v>
      </c>
      <c r="AD8" s="612"/>
      <c r="AE8" s="187">
        <v>23</v>
      </c>
      <c r="AF8" s="187">
        <v>1789.8716658094861</v>
      </c>
      <c r="AG8" s="184">
        <f t="shared" ref="AG8:AG15" si="8">IFERROR(AF8/AE8,"")</f>
        <v>77.820507209108086</v>
      </c>
      <c r="AH8" s="181">
        <f t="shared" ref="AH8:AH15" si="9">RANK(AG8, AG$7:AG$21)</f>
        <v>7</v>
      </c>
      <c r="AI8" s="612"/>
      <c r="AJ8" s="187">
        <v>23</v>
      </c>
      <c r="AK8" s="187">
        <v>1790.4716658094858</v>
      </c>
      <c r="AL8" s="184">
        <f t="shared" ref="AL8:AL15" si="10">IFERROR(AK8/AJ8,"")</f>
        <v>77.84659416562981</v>
      </c>
      <c r="AM8" s="181">
        <f t="shared" ref="AM8:AM15" si="11">RANK(AL8, AL$7:AL$21)</f>
        <v>7</v>
      </c>
      <c r="AN8" s="612"/>
      <c r="AO8" s="187">
        <v>23</v>
      </c>
      <c r="AP8" s="187">
        <v>1789.8716658094854</v>
      </c>
      <c r="AQ8" s="184">
        <f t="shared" ref="AQ8:AQ15" si="12">IFERROR(AP8/AO8,"")</f>
        <v>77.820507209108058</v>
      </c>
      <c r="AR8" s="181">
        <f t="shared" ref="AR8:AR15" si="13">RANK(AQ8, AQ$7:AQ$21)</f>
        <v>7</v>
      </c>
      <c r="AS8" s="612"/>
      <c r="AT8" s="187">
        <v>23</v>
      </c>
      <c r="AU8" s="187">
        <v>1789.4716658094853</v>
      </c>
      <c r="AV8" s="184">
        <f t="shared" ref="AV8:AV15" si="14">IFERROR(AU8/AT8,"")</f>
        <v>77.803115904760233</v>
      </c>
      <c r="AW8" s="181">
        <f t="shared" ref="AW8:AW15" si="15">RANK(AV8, AV$7:AV$21)</f>
        <v>7</v>
      </c>
      <c r="AX8" s="612"/>
    </row>
    <row r="9" spans="1:50" ht="14.25" customHeight="1">
      <c r="B9" s="611"/>
      <c r="C9" s="179">
        <v>3</v>
      </c>
      <c r="D9" s="182" t="s">
        <v>349</v>
      </c>
      <c r="E9" s="179">
        <v>23</v>
      </c>
      <c r="F9" s="179">
        <v>2000</v>
      </c>
      <c r="G9" s="184">
        <f t="shared" si="1"/>
        <v>86.956521739130437</v>
      </c>
      <c r="H9" s="612"/>
      <c r="I9" s="185">
        <f>AVERAGE(P9,U9,Z9,AE9,AJ9,AO9,AT9)</f>
        <v>23</v>
      </c>
      <c r="J9" s="185">
        <f t="shared" si="2"/>
        <v>1790.3607611406537</v>
      </c>
      <c r="K9" s="186">
        <f t="shared" si="2"/>
        <v>77.841772223506695</v>
      </c>
      <c r="L9" s="613"/>
      <c r="M9" s="185">
        <f>RANK(K9, K$7:$K$21)</f>
        <v>6</v>
      </c>
      <c r="N9" s="611"/>
      <c r="O9" s="611"/>
      <c r="P9" s="187">
        <v>23</v>
      </c>
      <c r="Q9" s="187">
        <v>1790.5607611406547</v>
      </c>
      <c r="R9" s="184">
        <f t="shared" si="3"/>
        <v>77.850467875680636</v>
      </c>
      <c r="S9" s="181">
        <f t="shared" si="4"/>
        <v>6</v>
      </c>
      <c r="T9" s="612"/>
      <c r="U9" s="187">
        <v>23</v>
      </c>
      <c r="V9" s="187">
        <v>1789.5607611406544</v>
      </c>
      <c r="W9" s="184">
        <f t="shared" si="0"/>
        <v>77.806989614811059</v>
      </c>
      <c r="X9" s="181">
        <f t="shared" si="5"/>
        <v>7</v>
      </c>
      <c r="Y9" s="612"/>
      <c r="Z9" s="187">
        <v>23</v>
      </c>
      <c r="AA9" s="187">
        <v>1790.3607611406537</v>
      </c>
      <c r="AB9" s="184">
        <f t="shared" si="6"/>
        <v>77.84177222350668</v>
      </c>
      <c r="AC9" s="181">
        <f t="shared" si="7"/>
        <v>6</v>
      </c>
      <c r="AD9" s="612"/>
      <c r="AE9" s="187">
        <v>23</v>
      </c>
      <c r="AF9" s="187">
        <v>1790.3607611406535</v>
      </c>
      <c r="AG9" s="184">
        <f t="shared" si="8"/>
        <v>77.84177222350668</v>
      </c>
      <c r="AH9" s="181">
        <f t="shared" si="9"/>
        <v>6</v>
      </c>
      <c r="AI9" s="612"/>
      <c r="AJ9" s="187">
        <v>23</v>
      </c>
      <c r="AK9" s="187">
        <v>1790.5607611406535</v>
      </c>
      <c r="AL9" s="184">
        <f t="shared" si="10"/>
        <v>77.850467875680593</v>
      </c>
      <c r="AM9" s="181">
        <f t="shared" si="11"/>
        <v>6</v>
      </c>
      <c r="AN9" s="612"/>
      <c r="AO9" s="187">
        <v>23</v>
      </c>
      <c r="AP9" s="187">
        <v>1790.3607611406533</v>
      </c>
      <c r="AQ9" s="184">
        <f t="shared" si="12"/>
        <v>77.841772223506666</v>
      </c>
      <c r="AR9" s="181">
        <f t="shared" si="13"/>
        <v>6</v>
      </c>
      <c r="AS9" s="612"/>
      <c r="AT9" s="187">
        <v>23</v>
      </c>
      <c r="AU9" s="187">
        <v>1790.7607611406534</v>
      </c>
      <c r="AV9" s="184">
        <f t="shared" si="14"/>
        <v>77.859163527854491</v>
      </c>
      <c r="AW9" s="181">
        <f t="shared" si="15"/>
        <v>6</v>
      </c>
      <c r="AX9" s="612"/>
    </row>
    <row r="10" spans="1:50" ht="14.25" customHeight="1">
      <c r="B10" s="611"/>
      <c r="C10" s="179">
        <v>4</v>
      </c>
      <c r="D10" s="182" t="s">
        <v>343</v>
      </c>
      <c r="E10" s="179">
        <v>23</v>
      </c>
      <c r="F10" s="179">
        <v>2000</v>
      </c>
      <c r="G10" s="184">
        <f t="shared" si="1"/>
        <v>86.956521739130437</v>
      </c>
      <c r="H10" s="612"/>
      <c r="I10" s="185">
        <f t="shared" ref="I10:I15" si="16">AVERAGE(P10,U10,Z10,AE10,AJ10,AO10,AT10)</f>
        <v>23</v>
      </c>
      <c r="J10" s="185">
        <f t="shared" si="2"/>
        <v>1793.8989699859656</v>
      </c>
      <c r="K10" s="186">
        <f t="shared" si="2"/>
        <v>77.995607390694175</v>
      </c>
      <c r="L10" s="613"/>
      <c r="M10" s="185">
        <f>RANK(K10, K$7:$K$21)</f>
        <v>5</v>
      </c>
      <c r="N10" s="611"/>
      <c r="O10" s="611"/>
      <c r="P10" s="187">
        <v>23</v>
      </c>
      <c r="Q10" s="187">
        <v>1793.8132557002516</v>
      </c>
      <c r="R10" s="184">
        <f t="shared" si="3"/>
        <v>77.991880682619637</v>
      </c>
      <c r="S10" s="181">
        <f t="shared" si="4"/>
        <v>5</v>
      </c>
      <c r="T10" s="612"/>
      <c r="U10" s="187">
        <v>23</v>
      </c>
      <c r="V10" s="187">
        <v>1794.4132557002513</v>
      </c>
      <c r="W10" s="184">
        <f t="shared" si="0"/>
        <v>78.017967639141361</v>
      </c>
      <c r="X10" s="181">
        <f t="shared" si="5"/>
        <v>5</v>
      </c>
      <c r="Y10" s="612"/>
      <c r="Z10" s="187">
        <v>23</v>
      </c>
      <c r="AA10" s="187">
        <v>1794.0132557002512</v>
      </c>
      <c r="AB10" s="184">
        <f t="shared" si="6"/>
        <v>78.000576334793536</v>
      </c>
      <c r="AC10" s="181">
        <f t="shared" si="7"/>
        <v>5</v>
      </c>
      <c r="AD10" s="612"/>
      <c r="AE10" s="187">
        <v>23</v>
      </c>
      <c r="AF10" s="187">
        <v>1793.6132557002516</v>
      </c>
      <c r="AG10" s="184">
        <f t="shared" si="8"/>
        <v>77.983185030445725</v>
      </c>
      <c r="AH10" s="181">
        <f t="shared" si="9"/>
        <v>5</v>
      </c>
      <c r="AI10" s="612"/>
      <c r="AJ10" s="187">
        <v>23</v>
      </c>
      <c r="AK10" s="187">
        <v>1794.0132557002512</v>
      </c>
      <c r="AL10" s="184">
        <f t="shared" si="10"/>
        <v>78.000576334793536</v>
      </c>
      <c r="AM10" s="181">
        <f t="shared" si="11"/>
        <v>5</v>
      </c>
      <c r="AN10" s="612"/>
      <c r="AO10" s="187">
        <v>23</v>
      </c>
      <c r="AP10" s="187">
        <v>1793.4132557002515</v>
      </c>
      <c r="AQ10" s="184">
        <f t="shared" si="12"/>
        <v>77.974489378271798</v>
      </c>
      <c r="AR10" s="181">
        <f t="shared" si="13"/>
        <v>5</v>
      </c>
      <c r="AS10" s="612"/>
      <c r="AT10" s="187">
        <v>23</v>
      </c>
      <c r="AU10" s="187">
        <v>1794.0132557002512</v>
      </c>
      <c r="AV10" s="184">
        <f t="shared" si="14"/>
        <v>78.000576334793536</v>
      </c>
      <c r="AW10" s="181">
        <f t="shared" si="15"/>
        <v>5</v>
      </c>
      <c r="AX10" s="612"/>
    </row>
    <row r="11" spans="1:50" ht="14.25" customHeight="1">
      <c r="B11" s="611"/>
      <c r="C11" s="179">
        <v>5</v>
      </c>
      <c r="D11" s="182" t="s">
        <v>472</v>
      </c>
      <c r="E11" s="179">
        <v>21</v>
      </c>
      <c r="F11" s="179">
        <v>1800</v>
      </c>
      <c r="G11" s="184">
        <f t="shared" si="1"/>
        <v>85.714285714285708</v>
      </c>
      <c r="H11" s="612"/>
      <c r="I11" s="185">
        <f t="shared" si="16"/>
        <v>21</v>
      </c>
      <c r="J11" s="185">
        <f t="shared" si="2"/>
        <v>1607.9855331561539</v>
      </c>
      <c r="K11" s="186">
        <f t="shared" si="2"/>
        <v>76.570739674102569</v>
      </c>
      <c r="L11" s="613"/>
      <c r="M11" s="185">
        <f>RANK(K11, K$7:$K$21)</f>
        <v>8</v>
      </c>
      <c r="N11" s="611"/>
      <c r="O11" s="611"/>
      <c r="P11" s="187">
        <v>21</v>
      </c>
      <c r="Q11" s="187">
        <v>1607.9855331561539</v>
      </c>
      <c r="R11" s="184">
        <f t="shared" si="3"/>
        <v>76.570739674102569</v>
      </c>
      <c r="S11" s="181">
        <f t="shared" si="4"/>
        <v>8</v>
      </c>
      <c r="T11" s="612"/>
      <c r="U11" s="187"/>
      <c r="V11" s="187"/>
      <c r="W11" s="184"/>
      <c r="X11" s="181"/>
      <c r="Y11" s="612"/>
      <c r="Z11" s="187"/>
      <c r="AA11" s="187"/>
      <c r="AB11" s="184"/>
      <c r="AC11" s="181"/>
      <c r="AD11" s="612"/>
      <c r="AE11" s="187"/>
      <c r="AF11" s="187"/>
      <c r="AG11" s="184"/>
      <c r="AH11" s="181"/>
      <c r="AI11" s="612"/>
      <c r="AJ11" s="187"/>
      <c r="AK11" s="187"/>
      <c r="AL11" s="184"/>
      <c r="AM11" s="181"/>
      <c r="AN11" s="612"/>
      <c r="AO11" s="187"/>
      <c r="AP11" s="187"/>
      <c r="AQ11" s="184"/>
      <c r="AR11" s="181"/>
      <c r="AS11" s="612"/>
      <c r="AT11" s="187"/>
      <c r="AU11" s="187"/>
      <c r="AV11" s="184"/>
      <c r="AW11" s="181"/>
      <c r="AX11" s="612"/>
    </row>
    <row r="12" spans="1:50" ht="14.25" customHeight="1">
      <c r="B12" s="611"/>
      <c r="C12" s="179">
        <v>6</v>
      </c>
      <c r="D12" s="182" t="s">
        <v>473</v>
      </c>
      <c r="E12" s="179">
        <v>20</v>
      </c>
      <c r="F12" s="179">
        <v>2000</v>
      </c>
      <c r="G12" s="184">
        <f t="shared" si="1"/>
        <v>100</v>
      </c>
      <c r="H12" s="612"/>
      <c r="I12" s="185">
        <f t="shared" si="16"/>
        <v>19.142857142857142</v>
      </c>
      <c r="J12" s="185">
        <f t="shared" si="2"/>
        <v>1789.247873556604</v>
      </c>
      <c r="K12" s="186">
        <f t="shared" si="2"/>
        <v>93.499162067935472</v>
      </c>
      <c r="L12" s="613"/>
      <c r="M12" s="185">
        <f>RANK(K12, K$7:$K$21)</f>
        <v>3</v>
      </c>
      <c r="N12" s="611"/>
      <c r="O12" s="611"/>
      <c r="P12" s="187">
        <v>20</v>
      </c>
      <c r="Q12" s="187">
        <v>1786.9311972162011</v>
      </c>
      <c r="R12" s="184">
        <f t="shared" si="3"/>
        <v>89.346559860810061</v>
      </c>
      <c r="S12" s="181">
        <f t="shared" si="4"/>
        <v>4</v>
      </c>
      <c r="T12" s="612"/>
      <c r="U12" s="187">
        <v>19</v>
      </c>
      <c r="V12" s="187">
        <v>1786.7311972162013</v>
      </c>
      <c r="W12" s="184">
        <f t="shared" si="0"/>
        <v>94.038484064010589</v>
      </c>
      <c r="X12" s="181">
        <f t="shared" si="5"/>
        <v>3</v>
      </c>
      <c r="Y12" s="612"/>
      <c r="Z12" s="187">
        <v>19</v>
      </c>
      <c r="AA12" s="187">
        <v>1791.0727204638251</v>
      </c>
      <c r="AB12" s="184">
        <f t="shared" si="6"/>
        <v>94.266985287569739</v>
      </c>
      <c r="AC12" s="181">
        <f t="shared" si="7"/>
        <v>3</v>
      </c>
      <c r="AD12" s="612"/>
      <c r="AE12" s="187">
        <v>19</v>
      </c>
      <c r="AF12" s="187">
        <v>1790</v>
      </c>
      <c r="AG12" s="184">
        <f t="shared" si="8"/>
        <v>94.21052631578948</v>
      </c>
      <c r="AH12" s="181">
        <f t="shared" si="9"/>
        <v>3</v>
      </c>
      <c r="AI12" s="612"/>
      <c r="AJ12" s="187">
        <v>19</v>
      </c>
      <c r="AK12" s="187">
        <v>1790.0000000000002</v>
      </c>
      <c r="AL12" s="184">
        <f t="shared" si="10"/>
        <v>94.21052631578948</v>
      </c>
      <c r="AM12" s="181">
        <f t="shared" si="11"/>
        <v>3</v>
      </c>
      <c r="AN12" s="612"/>
      <c r="AO12" s="187">
        <v>19</v>
      </c>
      <c r="AP12" s="187">
        <v>1790.0000000000002</v>
      </c>
      <c r="AQ12" s="184">
        <f t="shared" si="12"/>
        <v>94.21052631578948</v>
      </c>
      <c r="AR12" s="181">
        <f t="shared" si="13"/>
        <v>3</v>
      </c>
      <c r="AS12" s="612"/>
      <c r="AT12" s="187">
        <v>19</v>
      </c>
      <c r="AU12" s="187">
        <v>1790.0000000000002</v>
      </c>
      <c r="AV12" s="184">
        <f t="shared" si="14"/>
        <v>94.21052631578948</v>
      </c>
      <c r="AW12" s="181">
        <f t="shared" si="15"/>
        <v>3</v>
      </c>
      <c r="AX12" s="612"/>
    </row>
    <row r="13" spans="1:50" ht="14.25" customHeight="1">
      <c r="B13" s="611"/>
      <c r="C13" s="179">
        <v>7</v>
      </c>
      <c r="D13" s="182" t="s">
        <v>566</v>
      </c>
      <c r="E13" s="179">
        <v>18</v>
      </c>
      <c r="F13" s="179">
        <v>2000</v>
      </c>
      <c r="G13" s="184">
        <f t="shared" si="1"/>
        <v>111.11111111111111</v>
      </c>
      <c r="H13" s="612"/>
      <c r="I13" s="185">
        <f t="shared" si="16"/>
        <v>17.142857142857142</v>
      </c>
      <c r="J13" s="185">
        <f t="shared" si="2"/>
        <v>1789.6285714285714</v>
      </c>
      <c r="K13" s="186">
        <f t="shared" si="2"/>
        <v>104.43781512605041</v>
      </c>
      <c r="L13" s="613"/>
      <c r="M13" s="185">
        <f>RANK(K13, K$7:$K$21)</f>
        <v>1</v>
      </c>
      <c r="N13" s="611"/>
      <c r="O13" s="611"/>
      <c r="P13" s="187">
        <v>18</v>
      </c>
      <c r="Q13" s="187">
        <v>1787.3999999999999</v>
      </c>
      <c r="R13" s="184">
        <f t="shared" si="3"/>
        <v>99.3</v>
      </c>
      <c r="S13" s="181">
        <f t="shared" si="4"/>
        <v>2</v>
      </c>
      <c r="T13" s="612"/>
      <c r="U13" s="187">
        <v>17</v>
      </c>
      <c r="V13" s="187">
        <v>1789.9999999999998</v>
      </c>
      <c r="W13" s="184">
        <f t="shared" si="0"/>
        <v>105.29411764705881</v>
      </c>
      <c r="X13" s="181">
        <f t="shared" si="5"/>
        <v>1</v>
      </c>
      <c r="Y13" s="612"/>
      <c r="Z13" s="187">
        <v>17</v>
      </c>
      <c r="AA13" s="187">
        <v>1790.0000000000002</v>
      </c>
      <c r="AB13" s="184">
        <f t="shared" si="6"/>
        <v>105.29411764705884</v>
      </c>
      <c r="AC13" s="181">
        <f t="shared" si="7"/>
        <v>1</v>
      </c>
      <c r="AD13" s="612"/>
      <c r="AE13" s="187">
        <v>17</v>
      </c>
      <c r="AF13" s="187">
        <v>1790</v>
      </c>
      <c r="AG13" s="184">
        <f t="shared" si="8"/>
        <v>105.29411764705883</v>
      </c>
      <c r="AH13" s="181">
        <f t="shared" si="9"/>
        <v>1</v>
      </c>
      <c r="AI13" s="612"/>
      <c r="AJ13" s="187">
        <v>17</v>
      </c>
      <c r="AK13" s="187">
        <v>1790</v>
      </c>
      <c r="AL13" s="184">
        <f t="shared" si="10"/>
        <v>105.29411764705883</v>
      </c>
      <c r="AM13" s="181">
        <f t="shared" si="11"/>
        <v>1</v>
      </c>
      <c r="AN13" s="612"/>
      <c r="AO13" s="187">
        <v>17</v>
      </c>
      <c r="AP13" s="187">
        <v>1790.0000000000002</v>
      </c>
      <c r="AQ13" s="184">
        <f t="shared" si="12"/>
        <v>105.29411764705884</v>
      </c>
      <c r="AR13" s="181">
        <f t="shared" si="13"/>
        <v>1</v>
      </c>
      <c r="AS13" s="612"/>
      <c r="AT13" s="187">
        <v>17</v>
      </c>
      <c r="AU13" s="187">
        <v>1790.0000000000002</v>
      </c>
      <c r="AV13" s="184">
        <f t="shared" si="14"/>
        <v>105.29411764705884</v>
      </c>
      <c r="AW13" s="181">
        <f t="shared" si="15"/>
        <v>1</v>
      </c>
      <c r="AX13" s="612"/>
    </row>
    <row r="14" spans="1:50" ht="14.25" customHeight="1">
      <c r="B14" s="611"/>
      <c r="C14" s="179">
        <v>8</v>
      </c>
      <c r="D14" s="182" t="s">
        <v>649</v>
      </c>
      <c r="E14" s="179">
        <v>18</v>
      </c>
      <c r="F14" s="179">
        <v>2000</v>
      </c>
      <c r="G14" s="184">
        <f t="shared" si="1"/>
        <v>111.11111111111111</v>
      </c>
      <c r="H14" s="612"/>
      <c r="I14" s="185">
        <f t="shared" si="16"/>
        <v>18</v>
      </c>
      <c r="J14" s="185">
        <f t="shared" si="2"/>
        <v>1789.8279990381252</v>
      </c>
      <c r="K14" s="186">
        <f t="shared" si="2"/>
        <v>99.434888835451403</v>
      </c>
      <c r="L14" s="613"/>
      <c r="M14" s="185">
        <f>RANK(K14, K$7:$K$21)</f>
        <v>2</v>
      </c>
      <c r="N14" s="611"/>
      <c r="O14" s="611"/>
      <c r="P14" s="187">
        <v>18</v>
      </c>
      <c r="Q14" s="187">
        <v>1789.3137133238399</v>
      </c>
      <c r="R14" s="184">
        <f t="shared" si="3"/>
        <v>99.406317406879992</v>
      </c>
      <c r="S14" s="181">
        <f t="shared" si="4"/>
        <v>1</v>
      </c>
      <c r="T14" s="612"/>
      <c r="U14" s="187">
        <v>18</v>
      </c>
      <c r="V14" s="187">
        <v>1789.51371332384</v>
      </c>
      <c r="W14" s="184">
        <f t="shared" si="0"/>
        <v>99.417428517991112</v>
      </c>
      <c r="X14" s="181">
        <f t="shared" si="5"/>
        <v>2</v>
      </c>
      <c r="Y14" s="612"/>
      <c r="Z14" s="187">
        <v>18</v>
      </c>
      <c r="AA14" s="187">
        <v>1790.3137133238399</v>
      </c>
      <c r="AB14" s="184">
        <f t="shared" si="6"/>
        <v>99.46187296243555</v>
      </c>
      <c r="AC14" s="181">
        <f t="shared" si="7"/>
        <v>2</v>
      </c>
      <c r="AD14" s="612"/>
      <c r="AE14" s="187">
        <v>18</v>
      </c>
      <c r="AF14" s="187">
        <v>1790.5137133238397</v>
      </c>
      <c r="AG14" s="184">
        <f t="shared" si="8"/>
        <v>99.472984073546655</v>
      </c>
      <c r="AH14" s="181">
        <f t="shared" si="9"/>
        <v>2</v>
      </c>
      <c r="AI14" s="612"/>
      <c r="AJ14" s="187">
        <v>18</v>
      </c>
      <c r="AK14" s="187">
        <v>1789.9137133238398</v>
      </c>
      <c r="AL14" s="184">
        <f t="shared" si="10"/>
        <v>99.439650740213324</v>
      </c>
      <c r="AM14" s="181">
        <f t="shared" si="11"/>
        <v>2</v>
      </c>
      <c r="AN14" s="612"/>
      <c r="AO14" s="187">
        <v>18</v>
      </c>
      <c r="AP14" s="187">
        <v>1790.1137133238396</v>
      </c>
      <c r="AQ14" s="184">
        <f t="shared" si="12"/>
        <v>99.45076185132443</v>
      </c>
      <c r="AR14" s="181">
        <f t="shared" si="13"/>
        <v>2</v>
      </c>
      <c r="AS14" s="612"/>
      <c r="AT14" s="187">
        <v>18</v>
      </c>
      <c r="AU14" s="187">
        <v>1789.1137133238396</v>
      </c>
      <c r="AV14" s="184">
        <f t="shared" si="14"/>
        <v>99.395206295768872</v>
      </c>
      <c r="AW14" s="181">
        <f t="shared" si="15"/>
        <v>2</v>
      </c>
      <c r="AX14" s="612"/>
    </row>
    <row r="15" spans="1:50" ht="14.25" customHeight="1">
      <c r="B15" s="611"/>
      <c r="C15" s="179">
        <v>9</v>
      </c>
      <c r="D15" s="182" t="s">
        <v>664</v>
      </c>
      <c r="E15" s="179">
        <v>21</v>
      </c>
      <c r="F15" s="179">
        <v>2000</v>
      </c>
      <c r="G15" s="184">
        <f t="shared" si="1"/>
        <v>95.238095238095241</v>
      </c>
      <c r="H15" s="612"/>
      <c r="I15" s="185">
        <f t="shared" si="16"/>
        <v>20</v>
      </c>
      <c r="J15" s="185">
        <f t="shared" si="2"/>
        <v>1790</v>
      </c>
      <c r="K15" s="186">
        <f t="shared" si="2"/>
        <v>89.5</v>
      </c>
      <c r="L15" s="613"/>
      <c r="M15" s="185">
        <f>RANK(K15, K$7:$K$21)</f>
        <v>4</v>
      </c>
      <c r="N15" s="611"/>
      <c r="O15" s="611"/>
      <c r="P15" s="187">
        <v>20</v>
      </c>
      <c r="Q15" s="187">
        <v>1790</v>
      </c>
      <c r="R15" s="184">
        <f t="shared" si="3"/>
        <v>89.5</v>
      </c>
      <c r="S15" s="181">
        <f t="shared" si="4"/>
        <v>3</v>
      </c>
      <c r="T15" s="612"/>
      <c r="U15" s="187">
        <v>20</v>
      </c>
      <c r="V15" s="187">
        <v>1790</v>
      </c>
      <c r="W15" s="184">
        <f t="shared" si="0"/>
        <v>89.5</v>
      </c>
      <c r="X15" s="181">
        <f t="shared" si="5"/>
        <v>4</v>
      </c>
      <c r="Y15" s="612"/>
      <c r="Z15" s="187">
        <v>20</v>
      </c>
      <c r="AA15" s="187">
        <v>1790.0000000000002</v>
      </c>
      <c r="AB15" s="184">
        <f t="shared" si="6"/>
        <v>89.500000000000014</v>
      </c>
      <c r="AC15" s="181">
        <f t="shared" si="7"/>
        <v>4</v>
      </c>
      <c r="AD15" s="612"/>
      <c r="AE15" s="187">
        <v>20</v>
      </c>
      <c r="AF15" s="187">
        <v>1790.0000000000002</v>
      </c>
      <c r="AG15" s="184">
        <f t="shared" si="8"/>
        <v>89.500000000000014</v>
      </c>
      <c r="AH15" s="181">
        <f t="shared" si="9"/>
        <v>4</v>
      </c>
      <c r="AI15" s="612"/>
      <c r="AJ15" s="187">
        <v>20</v>
      </c>
      <c r="AK15" s="187">
        <v>1790</v>
      </c>
      <c r="AL15" s="184">
        <f t="shared" si="10"/>
        <v>89.5</v>
      </c>
      <c r="AM15" s="181">
        <f t="shared" si="11"/>
        <v>4</v>
      </c>
      <c r="AN15" s="612"/>
      <c r="AO15" s="187">
        <v>20</v>
      </c>
      <c r="AP15" s="187">
        <v>1790</v>
      </c>
      <c r="AQ15" s="184">
        <f t="shared" si="12"/>
        <v>89.5</v>
      </c>
      <c r="AR15" s="181">
        <f t="shared" si="13"/>
        <v>4</v>
      </c>
      <c r="AS15" s="612"/>
      <c r="AT15" s="187">
        <v>20</v>
      </c>
      <c r="AU15" s="187">
        <v>1790</v>
      </c>
      <c r="AV15" s="184">
        <f t="shared" si="14"/>
        <v>89.5</v>
      </c>
      <c r="AW15" s="181">
        <f t="shared" si="15"/>
        <v>4</v>
      </c>
      <c r="AX15" s="612"/>
    </row>
    <row r="16" spans="1:50" ht="14.25" customHeight="1">
      <c r="B16" s="611"/>
      <c r="C16" s="179">
        <v>10</v>
      </c>
      <c r="D16" s="182"/>
      <c r="E16" s="179"/>
      <c r="F16" s="179"/>
      <c r="G16" s="184"/>
      <c r="H16" s="612"/>
      <c r="I16" s="185"/>
      <c r="J16" s="185"/>
      <c r="K16" s="186"/>
      <c r="L16" s="613"/>
      <c r="M16" s="185"/>
      <c r="N16" s="611"/>
      <c r="O16" s="611"/>
      <c r="P16" s="187"/>
      <c r="Q16" s="187"/>
      <c r="R16" s="184"/>
      <c r="S16" s="181"/>
      <c r="T16" s="612"/>
      <c r="U16" s="187"/>
      <c r="V16" s="187"/>
      <c r="W16" s="184"/>
      <c r="X16" s="181"/>
      <c r="Y16" s="612"/>
      <c r="Z16" s="187"/>
      <c r="AA16" s="187"/>
      <c r="AB16" s="184"/>
      <c r="AC16" s="181"/>
      <c r="AD16" s="612"/>
      <c r="AE16" s="187"/>
      <c r="AF16" s="187"/>
      <c r="AG16" s="184"/>
      <c r="AH16" s="181"/>
      <c r="AI16" s="612"/>
      <c r="AJ16" s="187"/>
      <c r="AK16" s="187"/>
      <c r="AL16" s="184"/>
      <c r="AM16" s="181"/>
      <c r="AN16" s="612"/>
      <c r="AO16" s="187"/>
      <c r="AP16" s="187"/>
      <c r="AQ16" s="184"/>
      <c r="AR16" s="181"/>
      <c r="AS16" s="612"/>
      <c r="AT16" s="187"/>
      <c r="AU16" s="187"/>
      <c r="AV16" s="184"/>
      <c r="AW16" s="181"/>
      <c r="AX16" s="612"/>
    </row>
    <row r="17" spans="2:50" ht="14.25" customHeight="1">
      <c r="B17" s="611"/>
      <c r="C17" s="179">
        <v>11</v>
      </c>
      <c r="D17" s="182"/>
      <c r="E17" s="179"/>
      <c r="F17" s="179"/>
      <c r="G17" s="184"/>
      <c r="H17" s="612"/>
      <c r="I17" s="185"/>
      <c r="J17" s="185"/>
      <c r="K17" s="186"/>
      <c r="L17" s="613"/>
      <c r="M17" s="185"/>
      <c r="N17" s="611"/>
      <c r="O17" s="611"/>
      <c r="P17" s="187"/>
      <c r="Q17" s="187"/>
      <c r="R17" s="184"/>
      <c r="S17" s="181"/>
      <c r="T17" s="612"/>
      <c r="U17" s="187"/>
      <c r="V17" s="187"/>
      <c r="W17" s="184"/>
      <c r="X17" s="181"/>
      <c r="Y17" s="612"/>
      <c r="Z17" s="187"/>
      <c r="AA17" s="187"/>
      <c r="AB17" s="184"/>
      <c r="AC17" s="181"/>
      <c r="AD17" s="612"/>
      <c r="AE17" s="187"/>
      <c r="AF17" s="187"/>
      <c r="AG17" s="184"/>
      <c r="AH17" s="181"/>
      <c r="AI17" s="612"/>
      <c r="AJ17" s="187"/>
      <c r="AK17" s="187"/>
      <c r="AL17" s="184"/>
      <c r="AM17" s="181"/>
      <c r="AN17" s="612"/>
      <c r="AO17" s="187"/>
      <c r="AP17" s="187"/>
      <c r="AQ17" s="184"/>
      <c r="AR17" s="181"/>
      <c r="AS17" s="612"/>
      <c r="AT17" s="187"/>
      <c r="AU17" s="187"/>
      <c r="AV17" s="184"/>
      <c r="AW17" s="181"/>
      <c r="AX17" s="612"/>
    </row>
    <row r="18" spans="2:50" ht="14.25" customHeight="1">
      <c r="B18" s="611"/>
      <c r="C18" s="179">
        <v>12</v>
      </c>
      <c r="D18" s="182"/>
      <c r="E18" s="179"/>
      <c r="F18" s="179"/>
      <c r="G18" s="184"/>
      <c r="H18" s="612"/>
      <c r="I18" s="185"/>
      <c r="J18" s="185"/>
      <c r="K18" s="186"/>
      <c r="L18" s="613"/>
      <c r="M18" s="185"/>
      <c r="N18" s="611"/>
      <c r="O18" s="611"/>
      <c r="P18" s="187"/>
      <c r="Q18" s="187"/>
      <c r="R18" s="184"/>
      <c r="S18" s="181"/>
      <c r="T18" s="612"/>
      <c r="U18" s="187"/>
      <c r="V18" s="187"/>
      <c r="W18" s="184"/>
      <c r="X18" s="181"/>
      <c r="Y18" s="612"/>
      <c r="Z18" s="187"/>
      <c r="AA18" s="187"/>
      <c r="AB18" s="184"/>
      <c r="AC18" s="181"/>
      <c r="AD18" s="612"/>
      <c r="AE18" s="187"/>
      <c r="AF18" s="187"/>
      <c r="AG18" s="184"/>
      <c r="AH18" s="181"/>
      <c r="AI18" s="612"/>
      <c r="AJ18" s="187"/>
      <c r="AK18" s="187"/>
      <c r="AL18" s="184"/>
      <c r="AM18" s="181"/>
      <c r="AN18" s="612"/>
      <c r="AO18" s="187"/>
      <c r="AP18" s="187"/>
      <c r="AQ18" s="184"/>
      <c r="AR18" s="181"/>
      <c r="AS18" s="612"/>
      <c r="AT18" s="187"/>
      <c r="AU18" s="187"/>
      <c r="AV18" s="184"/>
      <c r="AW18" s="181"/>
      <c r="AX18" s="612"/>
    </row>
    <row r="19" spans="2:50" ht="14.25" customHeight="1">
      <c r="B19" s="611"/>
      <c r="C19" s="179">
        <v>13</v>
      </c>
      <c r="D19" s="182"/>
      <c r="E19" s="179"/>
      <c r="F19" s="179"/>
      <c r="G19" s="184"/>
      <c r="H19" s="612"/>
      <c r="I19" s="185"/>
      <c r="J19" s="185"/>
      <c r="K19" s="186"/>
      <c r="L19" s="613"/>
      <c r="M19" s="185"/>
      <c r="N19" s="611"/>
      <c r="O19" s="611"/>
      <c r="P19" s="187"/>
      <c r="Q19" s="187"/>
      <c r="R19" s="184"/>
      <c r="S19" s="181"/>
      <c r="T19" s="612"/>
      <c r="U19" s="187"/>
      <c r="V19" s="187"/>
      <c r="W19" s="184"/>
      <c r="X19" s="181"/>
      <c r="Y19" s="612"/>
      <c r="Z19" s="187"/>
      <c r="AA19" s="187"/>
      <c r="AB19" s="184"/>
      <c r="AC19" s="181"/>
      <c r="AD19" s="612"/>
      <c r="AE19" s="187"/>
      <c r="AF19" s="187"/>
      <c r="AG19" s="184"/>
      <c r="AH19" s="181"/>
      <c r="AI19" s="612"/>
      <c r="AJ19" s="187"/>
      <c r="AK19" s="187"/>
      <c r="AL19" s="184"/>
      <c r="AM19" s="181"/>
      <c r="AN19" s="612"/>
      <c r="AO19" s="187"/>
      <c r="AP19" s="187"/>
      <c r="AQ19" s="184"/>
      <c r="AR19" s="181"/>
      <c r="AS19" s="612"/>
      <c r="AT19" s="187"/>
      <c r="AU19" s="187"/>
      <c r="AV19" s="184"/>
      <c r="AW19" s="181"/>
      <c r="AX19" s="612"/>
    </row>
    <row r="20" spans="2:50" ht="14.25" customHeight="1">
      <c r="B20" s="611"/>
      <c r="C20" s="179">
        <v>14</v>
      </c>
      <c r="D20" s="182"/>
      <c r="E20" s="179"/>
      <c r="F20" s="179"/>
      <c r="G20" s="184"/>
      <c r="H20" s="612"/>
      <c r="I20" s="185"/>
      <c r="J20" s="185"/>
      <c r="K20" s="186"/>
      <c r="L20" s="613"/>
      <c r="M20" s="185"/>
      <c r="N20" s="611"/>
      <c r="O20" s="611"/>
      <c r="P20" s="187"/>
      <c r="Q20" s="187"/>
      <c r="R20" s="184"/>
      <c r="S20" s="181"/>
      <c r="T20" s="612"/>
      <c r="U20" s="187"/>
      <c r="V20" s="187"/>
      <c r="W20" s="184"/>
      <c r="X20" s="181"/>
      <c r="Y20" s="612"/>
      <c r="Z20" s="187"/>
      <c r="AA20" s="187"/>
      <c r="AB20" s="184"/>
      <c r="AC20" s="181"/>
      <c r="AD20" s="612"/>
      <c r="AE20" s="187"/>
      <c r="AF20" s="187"/>
      <c r="AG20" s="184"/>
      <c r="AH20" s="181"/>
      <c r="AI20" s="612"/>
      <c r="AJ20" s="187"/>
      <c r="AK20" s="187"/>
      <c r="AL20" s="184"/>
      <c r="AM20" s="181"/>
      <c r="AN20" s="612"/>
      <c r="AO20" s="187"/>
      <c r="AP20" s="187"/>
      <c r="AQ20" s="184"/>
      <c r="AR20" s="181"/>
      <c r="AS20" s="612"/>
      <c r="AT20" s="187"/>
      <c r="AU20" s="187"/>
      <c r="AV20" s="184"/>
      <c r="AW20" s="181"/>
      <c r="AX20" s="612"/>
    </row>
    <row r="21" spans="2:50" ht="14.25" customHeight="1">
      <c r="B21" s="611"/>
      <c r="C21" s="179">
        <v>15</v>
      </c>
      <c r="D21" s="182"/>
      <c r="E21" s="179"/>
      <c r="F21" s="179"/>
      <c r="G21" s="184"/>
      <c r="H21" s="612"/>
      <c r="I21" s="185"/>
      <c r="J21" s="185"/>
      <c r="K21" s="186"/>
      <c r="L21" s="613"/>
      <c r="M21" s="185"/>
      <c r="N21" s="611"/>
      <c r="O21" s="611"/>
      <c r="P21" s="187"/>
      <c r="Q21" s="187"/>
      <c r="R21" s="184"/>
      <c r="S21" s="181"/>
      <c r="T21" s="612"/>
      <c r="U21" s="187"/>
      <c r="V21" s="187"/>
      <c r="W21" s="184"/>
      <c r="X21" s="181"/>
      <c r="Y21" s="612"/>
      <c r="Z21" s="187"/>
      <c r="AA21" s="187"/>
      <c r="AB21" s="184"/>
      <c r="AC21" s="181"/>
      <c r="AD21" s="612"/>
      <c r="AE21" s="187"/>
      <c r="AF21" s="187"/>
      <c r="AG21" s="184"/>
      <c r="AH21" s="181"/>
      <c r="AI21" s="612"/>
      <c r="AJ21" s="187"/>
      <c r="AK21" s="187"/>
      <c r="AL21" s="184"/>
      <c r="AM21" s="181"/>
      <c r="AN21" s="612"/>
      <c r="AO21" s="187"/>
      <c r="AP21" s="187"/>
      <c r="AQ21" s="184"/>
      <c r="AR21" s="181"/>
      <c r="AS21" s="612"/>
      <c r="AT21" s="187"/>
      <c r="AU21" s="187"/>
      <c r="AV21" s="184"/>
      <c r="AW21" s="181"/>
      <c r="AX21" s="612"/>
    </row>
    <row r="22" spans="2:50" ht="14.25" customHeight="1">
      <c r="B22" s="640" t="s">
        <v>749</v>
      </c>
      <c r="C22" s="641"/>
      <c r="D22" s="641"/>
      <c r="E22" s="641"/>
      <c r="F22" s="641"/>
      <c r="G22" s="641"/>
      <c r="H22" s="641"/>
      <c r="I22" s="641"/>
      <c r="J22" s="641"/>
      <c r="K22" s="641"/>
      <c r="L22" s="641"/>
      <c r="M22" s="642"/>
      <c r="N22" s="645" t="s">
        <v>363</v>
      </c>
      <c r="O22" s="645" t="s">
        <v>105</v>
      </c>
      <c r="P22" s="632">
        <v>46210</v>
      </c>
      <c r="Q22" s="633"/>
      <c r="R22" s="633"/>
      <c r="S22" s="633"/>
      <c r="T22" s="633"/>
      <c r="U22" s="634">
        <v>46211</v>
      </c>
      <c r="V22" s="635"/>
      <c r="W22" s="635"/>
      <c r="X22" s="635"/>
      <c r="Y22" s="635"/>
      <c r="Z22" s="632">
        <v>46212</v>
      </c>
      <c r="AA22" s="633"/>
      <c r="AB22" s="633"/>
      <c r="AC22" s="633"/>
      <c r="AD22" s="633"/>
      <c r="AE22" s="634">
        <v>46213</v>
      </c>
      <c r="AF22" s="635"/>
      <c r="AG22" s="635"/>
      <c r="AH22" s="635"/>
      <c r="AI22" s="635"/>
      <c r="AJ22" s="616">
        <v>46214</v>
      </c>
      <c r="AK22" s="617"/>
      <c r="AL22" s="617"/>
      <c r="AM22" s="617"/>
      <c r="AN22" s="618"/>
      <c r="AO22" s="634">
        <v>46215</v>
      </c>
      <c r="AP22" s="635"/>
      <c r="AQ22" s="635"/>
      <c r="AR22" s="635"/>
      <c r="AS22" s="635"/>
      <c r="AT22" s="616">
        <v>46216</v>
      </c>
      <c r="AU22" s="617"/>
      <c r="AV22" s="617"/>
      <c r="AW22" s="617"/>
      <c r="AX22" s="618"/>
    </row>
    <row r="23" spans="2:50" ht="14.25" customHeight="1">
      <c r="B23" s="643"/>
      <c r="C23" s="643"/>
      <c r="D23" s="643"/>
      <c r="E23" s="643"/>
      <c r="F23" s="643"/>
      <c r="G23" s="643"/>
      <c r="H23" s="643"/>
      <c r="I23" s="643"/>
      <c r="J23" s="643"/>
      <c r="K23" s="643"/>
      <c r="L23" s="643"/>
      <c r="M23" s="644"/>
      <c r="N23" s="646"/>
      <c r="O23" s="646"/>
      <c r="P23" s="619">
        <v>46196</v>
      </c>
      <c r="Q23" s="619"/>
      <c r="R23" s="619"/>
      <c r="S23" s="619"/>
      <c r="T23" s="619"/>
      <c r="U23" s="620">
        <v>46197</v>
      </c>
      <c r="V23" s="620"/>
      <c r="W23" s="620"/>
      <c r="X23" s="620"/>
      <c r="Y23" s="620"/>
      <c r="Z23" s="619">
        <v>46198</v>
      </c>
      <c r="AA23" s="619"/>
      <c r="AB23" s="619"/>
      <c r="AC23" s="619"/>
      <c r="AD23" s="619"/>
      <c r="AE23" s="620">
        <v>46199</v>
      </c>
      <c r="AF23" s="620"/>
      <c r="AG23" s="620"/>
      <c r="AH23" s="620"/>
      <c r="AI23" s="620"/>
      <c r="AJ23" s="621">
        <v>46200</v>
      </c>
      <c r="AK23" s="622"/>
      <c r="AL23" s="622"/>
      <c r="AM23" s="622"/>
      <c r="AN23" s="623"/>
      <c r="AO23" s="620">
        <v>46201</v>
      </c>
      <c r="AP23" s="620"/>
      <c r="AQ23" s="620"/>
      <c r="AR23" s="620"/>
      <c r="AS23" s="620"/>
      <c r="AT23" s="621">
        <v>46202</v>
      </c>
      <c r="AU23" s="622"/>
      <c r="AV23" s="622"/>
      <c r="AW23" s="622"/>
      <c r="AX23" s="623"/>
    </row>
    <row r="24" spans="2:50" ht="14.25" customHeight="1">
      <c r="B24" s="611" t="s">
        <v>162</v>
      </c>
      <c r="C24" s="611" t="s">
        <v>157</v>
      </c>
      <c r="D24" s="611"/>
      <c r="E24" s="611" t="s">
        <v>158</v>
      </c>
      <c r="F24" s="611"/>
      <c r="G24" s="611"/>
      <c r="H24" s="611" t="s">
        <v>163</v>
      </c>
      <c r="I24" s="615" t="s">
        <v>364</v>
      </c>
      <c r="J24" s="615"/>
      <c r="K24" s="615"/>
      <c r="L24" s="615" t="s">
        <v>163</v>
      </c>
      <c r="M24" s="615" t="s">
        <v>165</v>
      </c>
      <c r="N24" s="611"/>
      <c r="O24" s="611" t="s">
        <v>164</v>
      </c>
      <c r="P24" s="611" t="s">
        <v>160</v>
      </c>
      <c r="Q24" s="611"/>
      <c r="R24" s="611"/>
      <c r="S24" s="611"/>
      <c r="T24" s="611" t="s">
        <v>163</v>
      </c>
      <c r="U24" s="611" t="s">
        <v>160</v>
      </c>
      <c r="V24" s="611"/>
      <c r="W24" s="611"/>
      <c r="X24" s="611"/>
      <c r="Y24" s="611" t="s">
        <v>163</v>
      </c>
      <c r="Z24" s="611" t="s">
        <v>160</v>
      </c>
      <c r="AA24" s="611"/>
      <c r="AB24" s="611"/>
      <c r="AC24" s="611"/>
      <c r="AD24" s="611" t="s">
        <v>163</v>
      </c>
      <c r="AE24" s="611" t="s">
        <v>160</v>
      </c>
      <c r="AF24" s="611"/>
      <c r="AG24" s="611"/>
      <c r="AH24" s="611"/>
      <c r="AI24" s="611" t="s">
        <v>163</v>
      </c>
      <c r="AJ24" s="611" t="s">
        <v>160</v>
      </c>
      <c r="AK24" s="611"/>
      <c r="AL24" s="611"/>
      <c r="AM24" s="611"/>
      <c r="AN24" s="611" t="s">
        <v>163</v>
      </c>
      <c r="AO24" s="611" t="s">
        <v>160</v>
      </c>
      <c r="AP24" s="611"/>
      <c r="AQ24" s="611"/>
      <c r="AR24" s="611"/>
      <c r="AS24" s="611" t="s">
        <v>163</v>
      </c>
      <c r="AT24" s="611" t="s">
        <v>160</v>
      </c>
      <c r="AU24" s="611"/>
      <c r="AV24" s="611"/>
      <c r="AW24" s="611"/>
      <c r="AX24" s="611" t="s">
        <v>163</v>
      </c>
    </row>
    <row r="25" spans="2:50" ht="14.25" customHeight="1">
      <c r="B25" s="611"/>
      <c r="C25" s="611"/>
      <c r="D25" s="611"/>
      <c r="E25" s="611" t="s">
        <v>365</v>
      </c>
      <c r="F25" s="611"/>
      <c r="G25" s="611"/>
      <c r="H25" s="611"/>
      <c r="I25" s="615" t="s">
        <v>365</v>
      </c>
      <c r="J25" s="615"/>
      <c r="K25" s="615"/>
      <c r="L25" s="615"/>
      <c r="M25" s="615"/>
      <c r="N25" s="611"/>
      <c r="O25" s="611"/>
      <c r="P25" s="611" t="s">
        <v>366</v>
      </c>
      <c r="Q25" s="611"/>
      <c r="R25" s="611"/>
      <c r="S25" s="611"/>
      <c r="T25" s="611"/>
      <c r="U25" s="611" t="s">
        <v>366</v>
      </c>
      <c r="V25" s="611"/>
      <c r="W25" s="611"/>
      <c r="X25" s="611"/>
      <c r="Y25" s="611"/>
      <c r="Z25" s="611" t="s">
        <v>366</v>
      </c>
      <c r="AA25" s="611"/>
      <c r="AB25" s="611"/>
      <c r="AC25" s="611"/>
      <c r="AD25" s="611"/>
      <c r="AE25" s="611" t="s">
        <v>366</v>
      </c>
      <c r="AF25" s="611"/>
      <c r="AG25" s="611"/>
      <c r="AH25" s="611"/>
      <c r="AI25" s="611"/>
      <c r="AJ25" s="611" t="s">
        <v>366</v>
      </c>
      <c r="AK25" s="611"/>
      <c r="AL25" s="611"/>
      <c r="AM25" s="611"/>
      <c r="AN25" s="611"/>
      <c r="AO25" s="611" t="s">
        <v>366</v>
      </c>
      <c r="AP25" s="611"/>
      <c r="AQ25" s="611"/>
      <c r="AR25" s="611"/>
      <c r="AS25" s="611"/>
      <c r="AT25" s="611" t="s">
        <v>366</v>
      </c>
      <c r="AU25" s="611"/>
      <c r="AV25" s="611"/>
      <c r="AW25" s="611"/>
      <c r="AX25" s="611"/>
    </row>
    <row r="26" spans="2:50" ht="14.25" customHeight="1">
      <c r="B26" s="611"/>
      <c r="C26" s="611"/>
      <c r="D26" s="611"/>
      <c r="E26" s="179" t="s">
        <v>159</v>
      </c>
      <c r="F26" s="179" t="s">
        <v>367</v>
      </c>
      <c r="G26" s="179" t="s">
        <v>161</v>
      </c>
      <c r="H26" s="611"/>
      <c r="I26" s="180" t="s">
        <v>159</v>
      </c>
      <c r="J26" s="180" t="s">
        <v>367</v>
      </c>
      <c r="K26" s="180" t="s">
        <v>161</v>
      </c>
      <c r="L26" s="615"/>
      <c r="M26" s="615"/>
      <c r="N26" s="611"/>
      <c r="O26" s="611"/>
      <c r="P26" s="179" t="s">
        <v>159</v>
      </c>
      <c r="Q26" s="179" t="s">
        <v>367</v>
      </c>
      <c r="R26" s="179" t="s">
        <v>161</v>
      </c>
      <c r="S26" s="181" t="s">
        <v>165</v>
      </c>
      <c r="T26" s="611"/>
      <c r="U26" s="179" t="s">
        <v>159</v>
      </c>
      <c r="V26" s="179" t="s">
        <v>367</v>
      </c>
      <c r="W26" s="179" t="s">
        <v>161</v>
      </c>
      <c r="X26" s="181" t="s">
        <v>165</v>
      </c>
      <c r="Y26" s="611"/>
      <c r="Z26" s="179" t="s">
        <v>159</v>
      </c>
      <c r="AA26" s="179" t="s">
        <v>367</v>
      </c>
      <c r="AB26" s="179" t="s">
        <v>161</v>
      </c>
      <c r="AC26" s="181" t="s">
        <v>165</v>
      </c>
      <c r="AD26" s="611"/>
      <c r="AE26" s="179" t="s">
        <v>159</v>
      </c>
      <c r="AF26" s="179" t="s">
        <v>367</v>
      </c>
      <c r="AG26" s="179" t="s">
        <v>161</v>
      </c>
      <c r="AH26" s="181" t="s">
        <v>165</v>
      </c>
      <c r="AI26" s="611"/>
      <c r="AJ26" s="179" t="s">
        <v>159</v>
      </c>
      <c r="AK26" s="179" t="s">
        <v>367</v>
      </c>
      <c r="AL26" s="179" t="s">
        <v>161</v>
      </c>
      <c r="AM26" s="181" t="s">
        <v>165</v>
      </c>
      <c r="AN26" s="611"/>
      <c r="AO26" s="179" t="s">
        <v>159</v>
      </c>
      <c r="AP26" s="179" t="s">
        <v>367</v>
      </c>
      <c r="AQ26" s="179" t="s">
        <v>161</v>
      </c>
      <c r="AR26" s="181" t="s">
        <v>165</v>
      </c>
      <c r="AS26" s="611"/>
      <c r="AT26" s="179" t="s">
        <v>159</v>
      </c>
      <c r="AU26" s="179" t="s">
        <v>367</v>
      </c>
      <c r="AV26" s="179" t="s">
        <v>161</v>
      </c>
      <c r="AW26" s="181" t="s">
        <v>165</v>
      </c>
      <c r="AX26" s="611"/>
    </row>
    <row r="27" spans="2:50" ht="14.25" customHeight="1">
      <c r="B27" s="611" t="s">
        <v>348</v>
      </c>
      <c r="C27" s="179">
        <v>1</v>
      </c>
      <c r="D27" s="182" t="s">
        <v>342</v>
      </c>
      <c r="E27" s="183">
        <v>24</v>
      </c>
      <c r="F27" s="179">
        <v>2000</v>
      </c>
      <c r="G27" s="184">
        <f t="shared" ref="G27:G35" si="17">IFERROR(F27/E27,"")</f>
        <v>83.333333333333329</v>
      </c>
      <c r="H27" s="612">
        <f>AVERAGE(G27:G41)</f>
        <v>92.565754159957052</v>
      </c>
      <c r="I27" s="185">
        <f>AVERAGE(P27,U27,Z27,AE27,AJ27,AO27,AT27)</f>
        <v>24</v>
      </c>
      <c r="J27" s="185">
        <f>AVERAGE(Q27,V27,AA27,AF27,AK27,AP27,AU27)</f>
        <v>1790.1688728749584</v>
      </c>
      <c r="K27" s="186">
        <f>AVERAGE(R27,W27,AB27,AG27,AL27,AQ27,AV27)</f>
        <v>74.590369703123272</v>
      </c>
      <c r="L27" s="613">
        <f>IFERROR(AVERAGE(K27:K41),"-")</f>
        <v>84.20137513621313</v>
      </c>
      <c r="M27" s="185">
        <f>RANK(K27, K$27:$K$41)</f>
        <v>8</v>
      </c>
      <c r="N27" s="611"/>
      <c r="O27" s="611"/>
      <c r="P27" s="187">
        <v>24</v>
      </c>
      <c r="Q27" s="187">
        <v>1790.7403014463871</v>
      </c>
      <c r="R27" s="184">
        <f>IFERROR(Q27/P27,"")</f>
        <v>74.614179226932791</v>
      </c>
      <c r="S27" s="181">
        <f>RANK(R27, R$27:R$41)</f>
        <v>8</v>
      </c>
      <c r="T27" s="612">
        <f>AVERAGE(R27:R41)</f>
        <v>83.811171966674294</v>
      </c>
      <c r="U27" s="187">
        <v>24</v>
      </c>
      <c r="V27" s="187">
        <v>1790.7403014463871</v>
      </c>
      <c r="W27" s="184">
        <f t="shared" ref="W27:W35" si="18">IFERROR(V27/U27,"")</f>
        <v>74.614179226932791</v>
      </c>
      <c r="X27" s="181">
        <f>RANK(W27, W$27:W$41)</f>
        <v>8</v>
      </c>
      <c r="Y27" s="612">
        <f>AVERAGE(W27:W41)</f>
        <v>83.941827936808124</v>
      </c>
      <c r="Z27" s="187">
        <v>24</v>
      </c>
      <c r="AA27" s="187">
        <v>1790.1403014463872</v>
      </c>
      <c r="AB27" s="184">
        <f>IFERROR(AA27/Z27,"")</f>
        <v>74.589179226932799</v>
      </c>
      <c r="AC27" s="181">
        <f>RANK(AB27, AB$27:AB$41)</f>
        <v>8</v>
      </c>
      <c r="AD27" s="612">
        <f>AVERAGE(AB27:AB41)</f>
        <v>84.058677102420447</v>
      </c>
      <c r="AE27" s="187">
        <v>24</v>
      </c>
      <c r="AF27" s="187">
        <v>1789.7403014463873</v>
      </c>
      <c r="AG27" s="184">
        <f>IFERROR(AF27/AE27,"")</f>
        <v>74.572512560266134</v>
      </c>
      <c r="AH27" s="181">
        <f>RANK(AG27, AG$27:AG$41)</f>
        <v>8</v>
      </c>
      <c r="AI27" s="612">
        <f>AVERAGE(AG27:AG41)</f>
        <v>84.181674165959663</v>
      </c>
      <c r="AJ27" s="187">
        <v>24</v>
      </c>
      <c r="AK27" s="187">
        <v>1789.1403014463874</v>
      </c>
      <c r="AL27" s="184">
        <f>IFERROR(AK27/AJ27,"")</f>
        <v>74.547512560266142</v>
      </c>
      <c r="AM27" s="181">
        <f>RANK(AL27, AL$27:AL$41)</f>
        <v>8</v>
      </c>
      <c r="AN27" s="612">
        <f>AVERAGE(AL27:AL41)</f>
        <v>84.336491204429933</v>
      </c>
      <c r="AO27" s="187">
        <v>24</v>
      </c>
      <c r="AP27" s="187">
        <v>1789.9403014463878</v>
      </c>
      <c r="AQ27" s="184">
        <f>IFERROR(AP27/AO27,"")</f>
        <v>74.580845893599488</v>
      </c>
      <c r="AR27" s="181">
        <f>RANK(AQ27, AQ$27:AQ$41)</f>
        <v>8</v>
      </c>
      <c r="AS27" s="612">
        <f>AVERAGE(AQ27:AQ41)</f>
        <v>84.534378802224111</v>
      </c>
      <c r="AT27" s="187">
        <v>24</v>
      </c>
      <c r="AU27" s="187">
        <v>1790.7403014463875</v>
      </c>
      <c r="AV27" s="184">
        <f>IFERROR(AU27/AT27,"")</f>
        <v>74.614179226932819</v>
      </c>
      <c r="AW27" s="181">
        <f>RANK(AV27, AV$27:AV$41)</f>
        <v>8</v>
      </c>
      <c r="AX27" s="612">
        <f>AVERAGE(AV27:AV41)</f>
        <v>84.545404774975424</v>
      </c>
    </row>
    <row r="28" spans="2:50" ht="14.25" customHeight="1">
      <c r="B28" s="611"/>
      <c r="C28" s="179">
        <v>2</v>
      </c>
      <c r="D28" s="182" t="s">
        <v>751</v>
      </c>
      <c r="E28" s="179">
        <v>21</v>
      </c>
      <c r="F28" s="179">
        <v>1500</v>
      </c>
      <c r="G28" s="184">
        <f t="shared" si="17"/>
        <v>71.428571428571431</v>
      </c>
      <c r="H28" s="612"/>
      <c r="I28" s="185">
        <f t="shared" ref="I28:K35" si="19">AVERAGE(P28,U28,Z28,AE28,AJ28,AO28,AT28)</f>
        <v>21</v>
      </c>
      <c r="J28" s="185">
        <f t="shared" si="19"/>
        <v>1282.5625923806451</v>
      </c>
      <c r="K28" s="186">
        <f t="shared" si="19"/>
        <v>61.074409160983102</v>
      </c>
      <c r="L28" s="613"/>
      <c r="M28" s="185">
        <f>RANK(K28, K$27:$K$41)</f>
        <v>9</v>
      </c>
      <c r="N28" s="611"/>
      <c r="O28" s="611"/>
      <c r="P28" s="187">
        <v>21</v>
      </c>
      <c r="Q28" s="187">
        <v>1209.1838679110585</v>
      </c>
      <c r="R28" s="184">
        <f t="shared" ref="R28:R35" si="20">IFERROR(Q28/P28,"")</f>
        <v>57.580184186240885</v>
      </c>
      <c r="S28" s="181">
        <f t="shared" ref="S28:S35" si="21">RANK(R28, R$27:R$41)</f>
        <v>9</v>
      </c>
      <c r="T28" s="612"/>
      <c r="U28" s="187">
        <v>21</v>
      </c>
      <c r="V28" s="187">
        <v>1232.2140781504118</v>
      </c>
      <c r="W28" s="184">
        <f t="shared" si="18"/>
        <v>58.676860864305318</v>
      </c>
      <c r="X28" s="181">
        <f t="shared" ref="X28:X35" si="22">RANK(W28, W$27:W$41)</f>
        <v>9</v>
      </c>
      <c r="Y28" s="612"/>
      <c r="Z28" s="187">
        <v>21</v>
      </c>
      <c r="AA28" s="187">
        <v>1256.751106683023</v>
      </c>
      <c r="AB28" s="184">
        <f t="shared" ref="AB28:AB35" si="23">IFERROR(AA28/Z28,"")</f>
        <v>59.845290794429665</v>
      </c>
      <c r="AC28" s="181">
        <f t="shared" ref="AC28:AC35" si="24">RANK(AB28, AB$27:AB$41)</f>
        <v>9</v>
      </c>
      <c r="AD28" s="612"/>
      <c r="AE28" s="187">
        <v>21</v>
      </c>
      <c r="AF28" s="187">
        <v>1280.6491719133749</v>
      </c>
      <c r="AG28" s="184">
        <f t="shared" ref="AG28:AG35" si="25">IFERROR(AF28/AE28,"")</f>
        <v>60.983293900636895</v>
      </c>
      <c r="AH28" s="181">
        <f t="shared" ref="AH28:AH35" si="26">RANK(AG28, AG$27:AG$41)</f>
        <v>9</v>
      </c>
      <c r="AI28" s="612"/>
      <c r="AJ28" s="187">
        <v>21</v>
      </c>
      <c r="AK28" s="187">
        <v>1309.2374907349808</v>
      </c>
      <c r="AL28" s="184">
        <f t="shared" ref="AL28:AL35" si="27">IFERROR(AK28/AJ28,"")</f>
        <v>62.344642415951469</v>
      </c>
      <c r="AM28" s="181">
        <f t="shared" ref="AM28:AM35" si="28">RANK(AL28, AL$27:AL$41)</f>
        <v>9</v>
      </c>
      <c r="AN28" s="612"/>
      <c r="AO28" s="187">
        <v>21</v>
      </c>
      <c r="AP28" s="187">
        <v>1344.4063626601101</v>
      </c>
      <c r="AQ28" s="184">
        <f t="shared" ref="AQ28:AQ35" si="29">IFERROR(AP28/AO28,"")</f>
        <v>64.019350602862389</v>
      </c>
      <c r="AR28" s="181">
        <f t="shared" ref="AR28:AR35" si="30">RANK(AQ28, AQ$27:AQ$41)</f>
        <v>9</v>
      </c>
      <c r="AS28" s="612"/>
      <c r="AT28" s="187">
        <v>21</v>
      </c>
      <c r="AU28" s="187">
        <v>1345.4960686115558</v>
      </c>
      <c r="AV28" s="184">
        <f t="shared" ref="AV28:AV35" si="31">IFERROR(AU28/AT28,"")</f>
        <v>64.071241362455041</v>
      </c>
      <c r="AW28" s="181">
        <f t="shared" ref="AW28:AW35" si="32">RANK(AV28, AV$27:AV$41)</f>
        <v>9</v>
      </c>
      <c r="AX28" s="612"/>
    </row>
    <row r="29" spans="2:50" ht="14.25" customHeight="1">
      <c r="B29" s="611"/>
      <c r="C29" s="179">
        <v>3</v>
      </c>
      <c r="D29" s="182" t="s">
        <v>341</v>
      </c>
      <c r="E29" s="179">
        <v>23</v>
      </c>
      <c r="F29" s="179">
        <v>2000</v>
      </c>
      <c r="G29" s="184">
        <f t="shared" si="17"/>
        <v>86.956521739130437</v>
      </c>
      <c r="H29" s="612"/>
      <c r="I29" s="185">
        <f t="shared" si="19"/>
        <v>23</v>
      </c>
      <c r="J29" s="185">
        <f t="shared" si="19"/>
        <v>1789.4606744690827</v>
      </c>
      <c r="K29" s="186">
        <f t="shared" si="19"/>
        <v>77.802638020394923</v>
      </c>
      <c r="L29" s="613"/>
      <c r="M29" s="185">
        <f>RANK(K29, K$27:$K$41)</f>
        <v>7</v>
      </c>
      <c r="N29" s="611"/>
      <c r="O29" s="611"/>
      <c r="P29" s="187">
        <v>23</v>
      </c>
      <c r="Q29" s="187">
        <v>1789.0716658094859</v>
      </c>
      <c r="R29" s="184">
        <f t="shared" si="20"/>
        <v>77.785724600412436</v>
      </c>
      <c r="S29" s="181">
        <f t="shared" si="21"/>
        <v>7</v>
      </c>
      <c r="T29" s="612"/>
      <c r="U29" s="187">
        <v>23</v>
      </c>
      <c r="V29" s="187">
        <v>1789.0716658094861</v>
      </c>
      <c r="W29" s="184">
        <f t="shared" si="18"/>
        <v>77.785724600412436</v>
      </c>
      <c r="X29" s="181">
        <f t="shared" si="22"/>
        <v>7</v>
      </c>
      <c r="Y29" s="612"/>
      <c r="Z29" s="187">
        <v>23</v>
      </c>
      <c r="AA29" s="187">
        <v>1788.0716658094859</v>
      </c>
      <c r="AB29" s="184">
        <f t="shared" si="23"/>
        <v>77.742246339542859</v>
      </c>
      <c r="AC29" s="181">
        <f t="shared" si="24"/>
        <v>7</v>
      </c>
      <c r="AD29" s="612"/>
      <c r="AE29" s="187">
        <v>23</v>
      </c>
      <c r="AF29" s="187">
        <v>1790.2524309637806</v>
      </c>
      <c r="AG29" s="184">
        <f t="shared" si="25"/>
        <v>77.837062215816545</v>
      </c>
      <c r="AH29" s="181">
        <f t="shared" si="26"/>
        <v>7</v>
      </c>
      <c r="AI29" s="612"/>
      <c r="AJ29" s="187">
        <v>23</v>
      </c>
      <c r="AK29" s="187">
        <v>1790.0524309637804</v>
      </c>
      <c r="AL29" s="184">
        <f t="shared" si="27"/>
        <v>77.828366563642618</v>
      </c>
      <c r="AM29" s="181">
        <f t="shared" si="28"/>
        <v>7</v>
      </c>
      <c r="AN29" s="612"/>
      <c r="AO29" s="187">
        <v>23</v>
      </c>
      <c r="AP29" s="187">
        <v>1789.8524309637805</v>
      </c>
      <c r="AQ29" s="184">
        <f t="shared" si="29"/>
        <v>77.81967091146872</v>
      </c>
      <c r="AR29" s="181">
        <f t="shared" si="30"/>
        <v>7</v>
      </c>
      <c r="AS29" s="612"/>
      <c r="AT29" s="187">
        <v>23</v>
      </c>
      <c r="AU29" s="187">
        <v>1789.8524309637805</v>
      </c>
      <c r="AV29" s="184">
        <f t="shared" si="31"/>
        <v>77.81967091146872</v>
      </c>
      <c r="AW29" s="181">
        <f t="shared" si="32"/>
        <v>7</v>
      </c>
      <c r="AX29" s="612"/>
    </row>
    <row r="30" spans="2:50" ht="14.25" customHeight="1">
      <c r="B30" s="611"/>
      <c r="C30" s="179">
        <v>4</v>
      </c>
      <c r="D30" s="182" t="s">
        <v>349</v>
      </c>
      <c r="E30" s="179">
        <v>23</v>
      </c>
      <c r="F30" s="179">
        <v>2000</v>
      </c>
      <c r="G30" s="184">
        <f t="shared" si="17"/>
        <v>86.956521739130437</v>
      </c>
      <c r="H30" s="612"/>
      <c r="I30" s="185">
        <f t="shared" si="19"/>
        <v>23</v>
      </c>
      <c r="J30" s="185">
        <f t="shared" si="19"/>
        <v>1791.4464754263674</v>
      </c>
      <c r="K30" s="186">
        <f t="shared" si="19"/>
        <v>77.888977192450753</v>
      </c>
      <c r="L30" s="613"/>
      <c r="M30" s="185">
        <f>RANK(K30, K$27:$K$41)</f>
        <v>6</v>
      </c>
      <c r="N30" s="611"/>
      <c r="O30" s="611"/>
      <c r="P30" s="187">
        <v>23</v>
      </c>
      <c r="Q30" s="187">
        <v>1791.5607611406531</v>
      </c>
      <c r="R30" s="184">
        <f t="shared" si="20"/>
        <v>77.893946136550127</v>
      </c>
      <c r="S30" s="181">
        <f t="shared" si="21"/>
        <v>6</v>
      </c>
      <c r="T30" s="612"/>
      <c r="U30" s="187">
        <v>23</v>
      </c>
      <c r="V30" s="187">
        <v>1791.5607611406529</v>
      </c>
      <c r="W30" s="184">
        <f t="shared" si="18"/>
        <v>77.893946136550127</v>
      </c>
      <c r="X30" s="181">
        <f t="shared" si="22"/>
        <v>6</v>
      </c>
      <c r="Y30" s="612"/>
      <c r="Z30" s="187">
        <v>23</v>
      </c>
      <c r="AA30" s="187">
        <v>1791.5607611406529</v>
      </c>
      <c r="AB30" s="184">
        <f t="shared" si="23"/>
        <v>77.893946136550127</v>
      </c>
      <c r="AC30" s="181">
        <f t="shared" si="24"/>
        <v>6</v>
      </c>
      <c r="AD30" s="612"/>
      <c r="AE30" s="187">
        <v>23</v>
      </c>
      <c r="AF30" s="187">
        <v>1790.5607611406531</v>
      </c>
      <c r="AG30" s="184">
        <f t="shared" si="25"/>
        <v>77.850467875680565</v>
      </c>
      <c r="AH30" s="181">
        <f t="shared" si="26"/>
        <v>6</v>
      </c>
      <c r="AI30" s="612"/>
      <c r="AJ30" s="187">
        <v>23</v>
      </c>
      <c r="AK30" s="187">
        <v>1791.3607611406526</v>
      </c>
      <c r="AL30" s="184">
        <f t="shared" si="27"/>
        <v>77.885250484376201</v>
      </c>
      <c r="AM30" s="181">
        <f t="shared" si="28"/>
        <v>6</v>
      </c>
      <c r="AN30" s="612"/>
      <c r="AO30" s="187">
        <v>23</v>
      </c>
      <c r="AP30" s="187">
        <v>1791.3607611406526</v>
      </c>
      <c r="AQ30" s="184">
        <f t="shared" si="29"/>
        <v>77.885250484376201</v>
      </c>
      <c r="AR30" s="181">
        <f t="shared" si="30"/>
        <v>6</v>
      </c>
      <c r="AS30" s="612"/>
      <c r="AT30" s="187">
        <v>23</v>
      </c>
      <c r="AU30" s="187">
        <v>1792.1607611406525</v>
      </c>
      <c r="AV30" s="184">
        <f t="shared" si="31"/>
        <v>77.920033093071851</v>
      </c>
      <c r="AW30" s="181">
        <f t="shared" si="32"/>
        <v>6</v>
      </c>
      <c r="AX30" s="612"/>
    </row>
    <row r="31" spans="2:50" ht="14.25" customHeight="1">
      <c r="B31" s="611"/>
      <c r="C31" s="179">
        <v>5</v>
      </c>
      <c r="D31" s="182" t="s">
        <v>343</v>
      </c>
      <c r="E31" s="179">
        <v>23</v>
      </c>
      <c r="F31" s="179">
        <v>2000</v>
      </c>
      <c r="G31" s="184">
        <f t="shared" si="17"/>
        <v>86.956521739130437</v>
      </c>
      <c r="H31" s="612"/>
      <c r="I31" s="185">
        <f t="shared" si="19"/>
        <v>23</v>
      </c>
      <c r="J31" s="185">
        <f t="shared" si="19"/>
        <v>1794.6703985573934</v>
      </c>
      <c r="K31" s="186">
        <f t="shared" si="19"/>
        <v>78.029147763364932</v>
      </c>
      <c r="L31" s="613"/>
      <c r="M31" s="185">
        <f>RANK(K31, K$27:$K$41)</f>
        <v>5</v>
      </c>
      <c r="N31" s="611"/>
      <c r="O31" s="611"/>
      <c r="P31" s="187">
        <v>23</v>
      </c>
      <c r="Q31" s="187">
        <v>1794.6132557002506</v>
      </c>
      <c r="R31" s="184">
        <f t="shared" si="20"/>
        <v>78.026663291315245</v>
      </c>
      <c r="S31" s="181">
        <f t="shared" si="21"/>
        <v>5</v>
      </c>
      <c r="T31" s="612"/>
      <c r="U31" s="187">
        <v>23</v>
      </c>
      <c r="V31" s="187">
        <v>1795.4132557002506</v>
      </c>
      <c r="W31" s="184">
        <f t="shared" si="18"/>
        <v>78.061445900010895</v>
      </c>
      <c r="X31" s="181">
        <f t="shared" si="22"/>
        <v>5</v>
      </c>
      <c r="Y31" s="612"/>
      <c r="Z31" s="187">
        <v>23</v>
      </c>
      <c r="AA31" s="187">
        <v>1794.8132557002505</v>
      </c>
      <c r="AB31" s="184">
        <f t="shared" si="23"/>
        <v>78.035358943489157</v>
      </c>
      <c r="AC31" s="181">
        <f t="shared" si="24"/>
        <v>5</v>
      </c>
      <c r="AD31" s="612"/>
      <c r="AE31" s="187">
        <v>23</v>
      </c>
      <c r="AF31" s="187">
        <v>1793.8132557002507</v>
      </c>
      <c r="AG31" s="184">
        <f t="shared" si="25"/>
        <v>77.991880682619595</v>
      </c>
      <c r="AH31" s="181">
        <f t="shared" si="26"/>
        <v>5</v>
      </c>
      <c r="AI31" s="612"/>
      <c r="AJ31" s="187">
        <v>23</v>
      </c>
      <c r="AK31" s="187">
        <v>1794.0132557002505</v>
      </c>
      <c r="AL31" s="184">
        <f t="shared" si="27"/>
        <v>78.000576334793507</v>
      </c>
      <c r="AM31" s="181">
        <f t="shared" si="28"/>
        <v>5</v>
      </c>
      <c r="AN31" s="612"/>
      <c r="AO31" s="187">
        <v>23</v>
      </c>
      <c r="AP31" s="187">
        <v>1794.6132557002506</v>
      </c>
      <c r="AQ31" s="184">
        <f t="shared" si="29"/>
        <v>78.026663291315245</v>
      </c>
      <c r="AR31" s="181">
        <f t="shared" si="30"/>
        <v>5</v>
      </c>
      <c r="AS31" s="612"/>
      <c r="AT31" s="187">
        <v>23</v>
      </c>
      <c r="AU31" s="187">
        <v>1795.4132557002506</v>
      </c>
      <c r="AV31" s="184">
        <f t="shared" si="31"/>
        <v>78.061445900010895</v>
      </c>
      <c r="AW31" s="181">
        <f t="shared" si="32"/>
        <v>5</v>
      </c>
      <c r="AX31" s="612"/>
    </row>
    <row r="32" spans="2:50" ht="14.25" customHeight="1">
      <c r="B32" s="611"/>
      <c r="C32" s="179">
        <v>6</v>
      </c>
      <c r="D32" s="182" t="s">
        <v>473</v>
      </c>
      <c r="E32" s="179">
        <v>20</v>
      </c>
      <c r="F32" s="179">
        <v>2000</v>
      </c>
      <c r="G32" s="184">
        <f t="shared" si="17"/>
        <v>100</v>
      </c>
      <c r="H32" s="612"/>
      <c r="I32" s="185">
        <f t="shared" si="19"/>
        <v>19</v>
      </c>
      <c r="J32" s="185">
        <f t="shared" si="19"/>
        <v>1790</v>
      </c>
      <c r="K32" s="186">
        <f t="shared" si="19"/>
        <v>94.21052631578948</v>
      </c>
      <c r="L32" s="613"/>
      <c r="M32" s="185">
        <f>RANK(K32, K$27:$K$41)</f>
        <v>3</v>
      </c>
      <c r="N32" s="611"/>
      <c r="O32" s="611"/>
      <c r="P32" s="187">
        <v>19</v>
      </c>
      <c r="Q32" s="187">
        <v>1790</v>
      </c>
      <c r="R32" s="184">
        <f t="shared" si="20"/>
        <v>94.21052631578948</v>
      </c>
      <c r="S32" s="181">
        <f t="shared" si="21"/>
        <v>3</v>
      </c>
      <c r="T32" s="612"/>
      <c r="U32" s="187">
        <v>19</v>
      </c>
      <c r="V32" s="187">
        <v>1790</v>
      </c>
      <c r="W32" s="184">
        <f t="shared" si="18"/>
        <v>94.21052631578948</v>
      </c>
      <c r="X32" s="181">
        <f t="shared" si="22"/>
        <v>3</v>
      </c>
      <c r="Y32" s="612"/>
      <c r="Z32" s="187">
        <v>19</v>
      </c>
      <c r="AA32" s="187">
        <v>1789.9999999999998</v>
      </c>
      <c r="AB32" s="184">
        <f t="shared" si="23"/>
        <v>94.210526315789465</v>
      </c>
      <c r="AC32" s="181">
        <f t="shared" si="24"/>
        <v>3</v>
      </c>
      <c r="AD32" s="612"/>
      <c r="AE32" s="187">
        <v>19</v>
      </c>
      <c r="AF32" s="187">
        <v>1790</v>
      </c>
      <c r="AG32" s="184">
        <f t="shared" si="25"/>
        <v>94.21052631578948</v>
      </c>
      <c r="AH32" s="181">
        <f t="shared" si="26"/>
        <v>3</v>
      </c>
      <c r="AI32" s="612"/>
      <c r="AJ32" s="187">
        <v>19</v>
      </c>
      <c r="AK32" s="187">
        <v>1790</v>
      </c>
      <c r="AL32" s="184">
        <f t="shared" si="27"/>
        <v>94.21052631578948</v>
      </c>
      <c r="AM32" s="181">
        <f t="shared" si="28"/>
        <v>3</v>
      </c>
      <c r="AN32" s="612"/>
      <c r="AO32" s="187">
        <v>19</v>
      </c>
      <c r="AP32" s="187">
        <v>1790</v>
      </c>
      <c r="AQ32" s="184">
        <f t="shared" si="29"/>
        <v>94.21052631578948</v>
      </c>
      <c r="AR32" s="181">
        <f t="shared" si="30"/>
        <v>3</v>
      </c>
      <c r="AS32" s="612"/>
      <c r="AT32" s="187">
        <v>19</v>
      </c>
      <c r="AU32" s="187">
        <v>1790</v>
      </c>
      <c r="AV32" s="184">
        <f t="shared" si="31"/>
        <v>94.21052631578948</v>
      </c>
      <c r="AW32" s="181">
        <f t="shared" si="32"/>
        <v>3</v>
      </c>
      <c r="AX32" s="612"/>
    </row>
    <row r="33" spans="2:50" ht="14.25" customHeight="1">
      <c r="B33" s="611"/>
      <c r="C33" s="179">
        <v>7</v>
      </c>
      <c r="D33" s="182" t="s">
        <v>566</v>
      </c>
      <c r="E33" s="179">
        <v>18</v>
      </c>
      <c r="F33" s="179">
        <v>2000</v>
      </c>
      <c r="G33" s="184">
        <f t="shared" si="17"/>
        <v>111.11111111111111</v>
      </c>
      <c r="H33" s="612"/>
      <c r="I33" s="185">
        <f t="shared" si="19"/>
        <v>17</v>
      </c>
      <c r="J33" s="185">
        <f t="shared" si="19"/>
        <v>1790</v>
      </c>
      <c r="K33" s="186">
        <f t="shared" si="19"/>
        <v>105.29411764705881</v>
      </c>
      <c r="L33" s="613"/>
      <c r="M33" s="185">
        <f>RANK(K33, K$27:$K$41)</f>
        <v>1</v>
      </c>
      <c r="N33" s="611"/>
      <c r="O33" s="611"/>
      <c r="P33" s="187">
        <v>17</v>
      </c>
      <c r="Q33" s="187">
        <v>1790.0000000000002</v>
      </c>
      <c r="R33" s="184">
        <f t="shared" si="20"/>
        <v>105.29411764705884</v>
      </c>
      <c r="S33" s="181">
        <f t="shared" si="21"/>
        <v>1</v>
      </c>
      <c r="T33" s="612"/>
      <c r="U33" s="187">
        <v>17</v>
      </c>
      <c r="V33" s="187">
        <v>1790</v>
      </c>
      <c r="W33" s="184">
        <f t="shared" si="18"/>
        <v>105.29411764705883</v>
      </c>
      <c r="X33" s="181">
        <f t="shared" si="22"/>
        <v>1</v>
      </c>
      <c r="Y33" s="612"/>
      <c r="Z33" s="187">
        <v>17</v>
      </c>
      <c r="AA33" s="187">
        <v>1789.9999999999998</v>
      </c>
      <c r="AB33" s="184">
        <f t="shared" si="23"/>
        <v>105.29411764705881</v>
      </c>
      <c r="AC33" s="181">
        <f t="shared" si="24"/>
        <v>1</v>
      </c>
      <c r="AD33" s="612"/>
      <c r="AE33" s="187">
        <v>17</v>
      </c>
      <c r="AF33" s="187">
        <v>1790.0000000000002</v>
      </c>
      <c r="AG33" s="184">
        <f t="shared" si="25"/>
        <v>105.29411764705884</v>
      </c>
      <c r="AH33" s="181">
        <f t="shared" si="26"/>
        <v>1</v>
      </c>
      <c r="AI33" s="612"/>
      <c r="AJ33" s="187">
        <v>17</v>
      </c>
      <c r="AK33" s="187">
        <v>1790</v>
      </c>
      <c r="AL33" s="184">
        <f t="shared" si="27"/>
        <v>105.29411764705883</v>
      </c>
      <c r="AM33" s="181">
        <f t="shared" si="28"/>
        <v>1</v>
      </c>
      <c r="AN33" s="612"/>
      <c r="AO33" s="187">
        <v>17</v>
      </c>
      <c r="AP33" s="187">
        <v>1790</v>
      </c>
      <c r="AQ33" s="184">
        <f t="shared" si="29"/>
        <v>105.29411764705883</v>
      </c>
      <c r="AR33" s="181">
        <f t="shared" si="30"/>
        <v>1</v>
      </c>
      <c r="AS33" s="612"/>
      <c r="AT33" s="187">
        <v>17</v>
      </c>
      <c r="AU33" s="187">
        <v>1790.0000000000002</v>
      </c>
      <c r="AV33" s="184">
        <f t="shared" si="31"/>
        <v>105.29411764705884</v>
      </c>
      <c r="AW33" s="181">
        <f t="shared" si="32"/>
        <v>1</v>
      </c>
      <c r="AX33" s="612"/>
    </row>
    <row r="34" spans="2:50" ht="14.25" customHeight="1">
      <c r="B34" s="611"/>
      <c r="C34" s="179">
        <v>8</v>
      </c>
      <c r="D34" s="182" t="s">
        <v>649</v>
      </c>
      <c r="E34" s="179">
        <v>18</v>
      </c>
      <c r="F34" s="179">
        <v>2000</v>
      </c>
      <c r="G34" s="184">
        <f t="shared" si="17"/>
        <v>111.11111111111111</v>
      </c>
      <c r="H34" s="612"/>
      <c r="I34" s="185">
        <f t="shared" si="19"/>
        <v>18</v>
      </c>
      <c r="J34" s="185">
        <f t="shared" si="19"/>
        <v>1789.5994276095537</v>
      </c>
      <c r="K34" s="186">
        <f t="shared" si="19"/>
        <v>99.42219042275299</v>
      </c>
      <c r="L34" s="613"/>
      <c r="M34" s="185">
        <f>RANK(K34, K$27:$K$41)</f>
        <v>2</v>
      </c>
      <c r="N34" s="611"/>
      <c r="O34" s="611"/>
      <c r="P34" s="187">
        <v>18</v>
      </c>
      <c r="Q34" s="187">
        <v>1789.1137133238396</v>
      </c>
      <c r="R34" s="184">
        <f t="shared" si="20"/>
        <v>99.395206295768872</v>
      </c>
      <c r="S34" s="181">
        <f t="shared" si="21"/>
        <v>2</v>
      </c>
      <c r="T34" s="612"/>
      <c r="U34" s="187">
        <v>18</v>
      </c>
      <c r="V34" s="187">
        <v>1789.9137133238396</v>
      </c>
      <c r="W34" s="184">
        <f t="shared" si="18"/>
        <v>99.43965074021331</v>
      </c>
      <c r="X34" s="181">
        <f t="shared" si="22"/>
        <v>2</v>
      </c>
      <c r="Y34" s="612"/>
      <c r="Z34" s="187">
        <v>18</v>
      </c>
      <c r="AA34" s="187">
        <v>1789.5137133238395</v>
      </c>
      <c r="AB34" s="184">
        <f t="shared" si="23"/>
        <v>99.417428517991084</v>
      </c>
      <c r="AC34" s="181">
        <f t="shared" si="24"/>
        <v>2</v>
      </c>
      <c r="AD34" s="612"/>
      <c r="AE34" s="187">
        <v>18</v>
      </c>
      <c r="AF34" s="187">
        <v>1789.1137133238394</v>
      </c>
      <c r="AG34" s="184">
        <f t="shared" si="25"/>
        <v>99.395206295768858</v>
      </c>
      <c r="AH34" s="181">
        <f t="shared" si="26"/>
        <v>2</v>
      </c>
      <c r="AI34" s="612"/>
      <c r="AJ34" s="187">
        <v>18</v>
      </c>
      <c r="AK34" s="187">
        <v>1789.5137133238395</v>
      </c>
      <c r="AL34" s="184">
        <f t="shared" si="27"/>
        <v>99.417428517991084</v>
      </c>
      <c r="AM34" s="181">
        <f t="shared" si="28"/>
        <v>2</v>
      </c>
      <c r="AN34" s="612"/>
      <c r="AO34" s="187">
        <v>18</v>
      </c>
      <c r="AP34" s="187">
        <v>1790.5137133238391</v>
      </c>
      <c r="AQ34" s="184">
        <f t="shared" si="29"/>
        <v>99.472984073546613</v>
      </c>
      <c r="AR34" s="181">
        <f t="shared" si="30"/>
        <v>2</v>
      </c>
      <c r="AS34" s="612"/>
      <c r="AT34" s="187">
        <v>18</v>
      </c>
      <c r="AU34" s="187">
        <v>1789.5137133238393</v>
      </c>
      <c r="AV34" s="184">
        <f t="shared" si="31"/>
        <v>99.41742851799107</v>
      </c>
      <c r="AW34" s="181">
        <f t="shared" si="32"/>
        <v>2</v>
      </c>
      <c r="AX34" s="612"/>
    </row>
    <row r="35" spans="2:50" ht="14.25" customHeight="1">
      <c r="B35" s="611"/>
      <c r="C35" s="179">
        <v>9</v>
      </c>
      <c r="D35" s="182" t="s">
        <v>664</v>
      </c>
      <c r="E35" s="179">
        <v>21</v>
      </c>
      <c r="F35" s="179">
        <v>2000</v>
      </c>
      <c r="G35" s="184">
        <f t="shared" si="17"/>
        <v>95.238095238095241</v>
      </c>
      <c r="H35" s="612"/>
      <c r="I35" s="185">
        <f t="shared" si="19"/>
        <v>20</v>
      </c>
      <c r="J35" s="185">
        <f t="shared" si="19"/>
        <v>1790</v>
      </c>
      <c r="K35" s="186">
        <f t="shared" si="19"/>
        <v>89.5</v>
      </c>
      <c r="L35" s="613"/>
      <c r="M35" s="185">
        <f>RANK(K35, K$27:$K$41)</f>
        <v>4</v>
      </c>
      <c r="N35" s="611"/>
      <c r="O35" s="611"/>
      <c r="P35" s="187">
        <v>20</v>
      </c>
      <c r="Q35" s="187">
        <v>1790.0000000000002</v>
      </c>
      <c r="R35" s="184">
        <f t="shared" si="20"/>
        <v>89.500000000000014</v>
      </c>
      <c r="S35" s="181">
        <f t="shared" si="21"/>
        <v>4</v>
      </c>
      <c r="T35" s="612"/>
      <c r="U35" s="187">
        <v>20</v>
      </c>
      <c r="V35" s="187">
        <v>1790.0000000000002</v>
      </c>
      <c r="W35" s="184">
        <f t="shared" si="18"/>
        <v>89.500000000000014</v>
      </c>
      <c r="X35" s="181">
        <f t="shared" si="22"/>
        <v>4</v>
      </c>
      <c r="Y35" s="612"/>
      <c r="Z35" s="187">
        <v>20</v>
      </c>
      <c r="AA35" s="187">
        <v>1789.9999999999998</v>
      </c>
      <c r="AB35" s="184">
        <f t="shared" si="23"/>
        <v>89.499999999999986</v>
      </c>
      <c r="AC35" s="181">
        <f t="shared" si="24"/>
        <v>4</v>
      </c>
      <c r="AD35" s="612"/>
      <c r="AE35" s="187">
        <v>20</v>
      </c>
      <c r="AF35" s="187">
        <v>1790</v>
      </c>
      <c r="AG35" s="184">
        <f t="shared" si="25"/>
        <v>89.5</v>
      </c>
      <c r="AH35" s="181">
        <f t="shared" si="26"/>
        <v>4</v>
      </c>
      <c r="AI35" s="612"/>
      <c r="AJ35" s="187">
        <v>20</v>
      </c>
      <c r="AK35" s="187">
        <v>1789.9999999999998</v>
      </c>
      <c r="AL35" s="184">
        <f t="shared" si="27"/>
        <v>89.499999999999986</v>
      </c>
      <c r="AM35" s="181">
        <f t="shared" si="28"/>
        <v>4</v>
      </c>
      <c r="AN35" s="612"/>
      <c r="AO35" s="187">
        <v>20</v>
      </c>
      <c r="AP35" s="187">
        <v>1790</v>
      </c>
      <c r="AQ35" s="184">
        <f t="shared" si="29"/>
        <v>89.5</v>
      </c>
      <c r="AR35" s="181">
        <f t="shared" si="30"/>
        <v>4</v>
      </c>
      <c r="AS35" s="612"/>
      <c r="AT35" s="187">
        <v>20</v>
      </c>
      <c r="AU35" s="187">
        <v>1790</v>
      </c>
      <c r="AV35" s="184">
        <f t="shared" si="31"/>
        <v>89.5</v>
      </c>
      <c r="AW35" s="181">
        <f t="shared" si="32"/>
        <v>4</v>
      </c>
      <c r="AX35" s="612"/>
    </row>
    <row r="36" spans="2:50" ht="14.25" customHeight="1">
      <c r="B36" s="611"/>
      <c r="C36" s="179">
        <v>10</v>
      </c>
      <c r="D36" s="182"/>
      <c r="E36" s="179"/>
      <c r="F36" s="179"/>
      <c r="G36" s="184"/>
      <c r="H36" s="612"/>
      <c r="I36" s="185"/>
      <c r="J36" s="185"/>
      <c r="K36" s="186"/>
      <c r="L36" s="613"/>
      <c r="M36" s="185"/>
      <c r="N36" s="611"/>
      <c r="O36" s="611"/>
      <c r="P36" s="187"/>
      <c r="Q36" s="187"/>
      <c r="R36" s="184"/>
      <c r="S36" s="181"/>
      <c r="T36" s="612"/>
      <c r="U36" s="187"/>
      <c r="V36" s="187"/>
      <c r="W36" s="184"/>
      <c r="X36" s="181"/>
      <c r="Y36" s="612"/>
      <c r="Z36" s="187"/>
      <c r="AA36" s="187"/>
      <c r="AB36" s="184"/>
      <c r="AC36" s="181"/>
      <c r="AD36" s="612"/>
      <c r="AE36" s="187"/>
      <c r="AF36" s="187"/>
      <c r="AG36" s="184"/>
      <c r="AH36" s="181"/>
      <c r="AI36" s="612"/>
      <c r="AJ36" s="187"/>
      <c r="AK36" s="187"/>
      <c r="AL36" s="184"/>
      <c r="AM36" s="181"/>
      <c r="AN36" s="612"/>
      <c r="AO36" s="187"/>
      <c r="AP36" s="187"/>
      <c r="AQ36" s="184"/>
      <c r="AR36" s="181"/>
      <c r="AS36" s="612"/>
      <c r="AT36" s="187"/>
      <c r="AU36" s="187"/>
      <c r="AV36" s="184"/>
      <c r="AW36" s="181"/>
      <c r="AX36" s="612"/>
    </row>
    <row r="37" spans="2:50" ht="14.25" customHeight="1">
      <c r="B37" s="611"/>
      <c r="C37" s="179">
        <v>11</v>
      </c>
      <c r="D37" s="182"/>
      <c r="E37" s="179"/>
      <c r="F37" s="179"/>
      <c r="G37" s="184"/>
      <c r="H37" s="612"/>
      <c r="I37" s="185"/>
      <c r="J37" s="185"/>
      <c r="K37" s="186"/>
      <c r="L37" s="613"/>
      <c r="M37" s="185"/>
      <c r="N37" s="611"/>
      <c r="O37" s="611"/>
      <c r="P37" s="187"/>
      <c r="Q37" s="187"/>
      <c r="R37" s="184"/>
      <c r="S37" s="181"/>
      <c r="T37" s="612"/>
      <c r="U37" s="187"/>
      <c r="V37" s="187"/>
      <c r="W37" s="184"/>
      <c r="X37" s="181"/>
      <c r="Y37" s="612"/>
      <c r="Z37" s="187"/>
      <c r="AA37" s="187"/>
      <c r="AB37" s="184"/>
      <c r="AC37" s="181"/>
      <c r="AD37" s="612"/>
      <c r="AE37" s="187"/>
      <c r="AF37" s="187"/>
      <c r="AG37" s="184"/>
      <c r="AH37" s="181"/>
      <c r="AI37" s="612"/>
      <c r="AJ37" s="187"/>
      <c r="AK37" s="187"/>
      <c r="AL37" s="184"/>
      <c r="AM37" s="181"/>
      <c r="AN37" s="612"/>
      <c r="AO37" s="187"/>
      <c r="AP37" s="187"/>
      <c r="AQ37" s="184"/>
      <c r="AR37" s="181"/>
      <c r="AS37" s="612"/>
      <c r="AT37" s="187"/>
      <c r="AU37" s="187"/>
      <c r="AV37" s="184"/>
      <c r="AW37" s="181"/>
      <c r="AX37" s="612"/>
    </row>
    <row r="38" spans="2:50" ht="14.25" customHeight="1">
      <c r="B38" s="611"/>
      <c r="C38" s="179">
        <v>12</v>
      </c>
      <c r="D38" s="182"/>
      <c r="E38" s="179"/>
      <c r="F38" s="179"/>
      <c r="G38" s="184"/>
      <c r="H38" s="612"/>
      <c r="I38" s="185"/>
      <c r="J38" s="185"/>
      <c r="K38" s="186"/>
      <c r="L38" s="613"/>
      <c r="M38" s="185"/>
      <c r="N38" s="611"/>
      <c r="O38" s="611"/>
      <c r="P38" s="187"/>
      <c r="Q38" s="187"/>
      <c r="R38" s="184"/>
      <c r="S38" s="181"/>
      <c r="T38" s="612"/>
      <c r="U38" s="187"/>
      <c r="V38" s="187"/>
      <c r="W38" s="184"/>
      <c r="X38" s="181"/>
      <c r="Y38" s="612"/>
      <c r="Z38" s="187"/>
      <c r="AA38" s="187"/>
      <c r="AB38" s="184"/>
      <c r="AC38" s="181"/>
      <c r="AD38" s="612"/>
      <c r="AE38" s="187"/>
      <c r="AF38" s="187"/>
      <c r="AG38" s="184"/>
      <c r="AH38" s="181"/>
      <c r="AI38" s="612"/>
      <c r="AJ38" s="187"/>
      <c r="AK38" s="187"/>
      <c r="AL38" s="184"/>
      <c r="AM38" s="181"/>
      <c r="AN38" s="612"/>
      <c r="AO38" s="187"/>
      <c r="AP38" s="187"/>
      <c r="AQ38" s="184"/>
      <c r="AR38" s="181"/>
      <c r="AS38" s="612"/>
      <c r="AT38" s="187"/>
      <c r="AU38" s="187"/>
      <c r="AV38" s="184"/>
      <c r="AW38" s="181"/>
      <c r="AX38" s="612"/>
    </row>
    <row r="39" spans="2:50" ht="14.25" customHeight="1">
      <c r="B39" s="611"/>
      <c r="C39" s="179">
        <v>13</v>
      </c>
      <c r="D39" s="182"/>
      <c r="E39" s="179"/>
      <c r="F39" s="179"/>
      <c r="G39" s="184"/>
      <c r="H39" s="612"/>
      <c r="I39" s="185"/>
      <c r="J39" s="185"/>
      <c r="K39" s="186"/>
      <c r="L39" s="613"/>
      <c r="M39" s="185"/>
      <c r="N39" s="611"/>
      <c r="O39" s="611"/>
      <c r="P39" s="187"/>
      <c r="Q39" s="187"/>
      <c r="R39" s="184"/>
      <c r="S39" s="181"/>
      <c r="T39" s="612"/>
      <c r="U39" s="187"/>
      <c r="V39" s="187"/>
      <c r="W39" s="184"/>
      <c r="X39" s="181"/>
      <c r="Y39" s="612"/>
      <c r="Z39" s="187"/>
      <c r="AA39" s="187"/>
      <c r="AB39" s="184"/>
      <c r="AC39" s="181"/>
      <c r="AD39" s="612"/>
      <c r="AE39" s="187"/>
      <c r="AF39" s="187"/>
      <c r="AG39" s="184"/>
      <c r="AH39" s="181"/>
      <c r="AI39" s="612"/>
      <c r="AJ39" s="187"/>
      <c r="AK39" s="187"/>
      <c r="AL39" s="184"/>
      <c r="AM39" s="181"/>
      <c r="AN39" s="612"/>
      <c r="AO39" s="187"/>
      <c r="AP39" s="187"/>
      <c r="AQ39" s="184"/>
      <c r="AR39" s="181"/>
      <c r="AS39" s="612"/>
      <c r="AT39" s="187"/>
      <c r="AU39" s="187"/>
      <c r="AV39" s="184"/>
      <c r="AW39" s="181"/>
      <c r="AX39" s="612"/>
    </row>
    <row r="40" spans="2:50" ht="14.25" customHeight="1">
      <c r="B40" s="611"/>
      <c r="C40" s="179">
        <v>14</v>
      </c>
      <c r="D40" s="182"/>
      <c r="E40" s="179"/>
      <c r="F40" s="179"/>
      <c r="G40" s="184"/>
      <c r="H40" s="612"/>
      <c r="I40" s="185"/>
      <c r="J40" s="185"/>
      <c r="K40" s="186"/>
      <c r="L40" s="613"/>
      <c r="M40" s="185"/>
      <c r="N40" s="611"/>
      <c r="O40" s="611"/>
      <c r="P40" s="187"/>
      <c r="Q40" s="187"/>
      <c r="R40" s="184"/>
      <c r="S40" s="181"/>
      <c r="T40" s="612"/>
      <c r="U40" s="187"/>
      <c r="V40" s="187"/>
      <c r="W40" s="184"/>
      <c r="X40" s="181"/>
      <c r="Y40" s="612"/>
      <c r="Z40" s="187"/>
      <c r="AA40" s="187"/>
      <c r="AB40" s="184"/>
      <c r="AC40" s="181"/>
      <c r="AD40" s="612"/>
      <c r="AE40" s="187"/>
      <c r="AF40" s="187"/>
      <c r="AG40" s="184"/>
      <c r="AH40" s="181"/>
      <c r="AI40" s="612"/>
      <c r="AJ40" s="187"/>
      <c r="AK40" s="187"/>
      <c r="AL40" s="184"/>
      <c r="AM40" s="181"/>
      <c r="AN40" s="612"/>
      <c r="AO40" s="187"/>
      <c r="AP40" s="187"/>
      <c r="AQ40" s="184"/>
      <c r="AR40" s="181"/>
      <c r="AS40" s="612"/>
      <c r="AT40" s="187"/>
      <c r="AU40" s="187"/>
      <c r="AV40" s="184"/>
      <c r="AW40" s="181"/>
      <c r="AX40" s="612"/>
    </row>
    <row r="41" spans="2:50" ht="14.25" customHeight="1">
      <c r="B41" s="611"/>
      <c r="C41" s="179">
        <v>15</v>
      </c>
      <c r="D41" s="182"/>
      <c r="E41" s="179"/>
      <c r="F41" s="179"/>
      <c r="G41" s="184"/>
      <c r="H41" s="612"/>
      <c r="I41" s="185"/>
      <c r="J41" s="185"/>
      <c r="K41" s="186"/>
      <c r="L41" s="613"/>
      <c r="M41" s="185"/>
      <c r="N41" s="611"/>
      <c r="O41" s="611"/>
      <c r="P41" s="187"/>
      <c r="Q41" s="187"/>
      <c r="R41" s="184"/>
      <c r="S41" s="181"/>
      <c r="T41" s="612"/>
      <c r="U41" s="187"/>
      <c r="V41" s="187"/>
      <c r="W41" s="184"/>
      <c r="X41" s="181"/>
      <c r="Y41" s="612"/>
      <c r="Z41" s="187"/>
      <c r="AA41" s="187"/>
      <c r="AB41" s="184"/>
      <c r="AC41" s="181"/>
      <c r="AD41" s="612"/>
      <c r="AE41" s="187"/>
      <c r="AF41" s="187"/>
      <c r="AG41" s="184"/>
      <c r="AH41" s="181"/>
      <c r="AI41" s="612"/>
      <c r="AJ41" s="187"/>
      <c r="AK41" s="187"/>
      <c r="AL41" s="184"/>
      <c r="AM41" s="181"/>
      <c r="AN41" s="612"/>
      <c r="AO41" s="187"/>
      <c r="AP41" s="187"/>
      <c r="AQ41" s="184"/>
      <c r="AR41" s="181"/>
      <c r="AS41" s="612"/>
      <c r="AT41" s="187"/>
      <c r="AU41" s="187"/>
      <c r="AV41" s="184"/>
      <c r="AW41" s="181"/>
      <c r="AX41" s="612"/>
    </row>
    <row r="42" spans="2:50" ht="14.25" customHeight="1">
      <c r="B42" s="640" t="s">
        <v>800</v>
      </c>
      <c r="C42" s="641"/>
      <c r="D42" s="641"/>
      <c r="E42" s="641"/>
      <c r="F42" s="641"/>
      <c r="G42" s="641"/>
      <c r="H42" s="641"/>
      <c r="I42" s="641"/>
      <c r="J42" s="641"/>
      <c r="K42" s="641"/>
      <c r="L42" s="641"/>
      <c r="M42" s="642"/>
      <c r="N42" s="645" t="s">
        <v>363</v>
      </c>
      <c r="O42" s="645" t="s">
        <v>105</v>
      </c>
      <c r="P42" s="632">
        <v>46217</v>
      </c>
      <c r="Q42" s="633"/>
      <c r="R42" s="633"/>
      <c r="S42" s="633"/>
      <c r="T42" s="633"/>
      <c r="U42" s="634">
        <v>46218</v>
      </c>
      <c r="V42" s="635"/>
      <c r="W42" s="635"/>
      <c r="X42" s="635"/>
      <c r="Y42" s="635"/>
      <c r="Z42" s="632">
        <v>46219</v>
      </c>
      <c r="AA42" s="633"/>
      <c r="AB42" s="633"/>
      <c r="AC42" s="633"/>
      <c r="AD42" s="633"/>
      <c r="AE42" s="634">
        <v>46220</v>
      </c>
      <c r="AF42" s="635"/>
      <c r="AG42" s="635"/>
      <c r="AH42" s="635"/>
      <c r="AI42" s="635"/>
      <c r="AJ42" s="616">
        <v>46221</v>
      </c>
      <c r="AK42" s="617"/>
      <c r="AL42" s="617"/>
      <c r="AM42" s="617"/>
      <c r="AN42" s="618"/>
      <c r="AO42" s="634">
        <v>46222</v>
      </c>
      <c r="AP42" s="635"/>
      <c r="AQ42" s="635"/>
      <c r="AR42" s="635"/>
      <c r="AS42" s="635"/>
      <c r="AT42" s="616">
        <v>46223</v>
      </c>
      <c r="AU42" s="617"/>
      <c r="AV42" s="617"/>
      <c r="AW42" s="617"/>
      <c r="AX42" s="618"/>
    </row>
    <row r="43" spans="2:50" ht="14.25" customHeight="1"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4"/>
      <c r="N43" s="646"/>
      <c r="O43" s="646"/>
      <c r="P43" s="619">
        <v>46196</v>
      </c>
      <c r="Q43" s="619"/>
      <c r="R43" s="619"/>
      <c r="S43" s="619"/>
      <c r="T43" s="619"/>
      <c r="U43" s="620">
        <v>46197</v>
      </c>
      <c r="V43" s="620"/>
      <c r="W43" s="620"/>
      <c r="X43" s="620"/>
      <c r="Y43" s="620"/>
      <c r="Z43" s="619">
        <v>46198</v>
      </c>
      <c r="AA43" s="619"/>
      <c r="AB43" s="619"/>
      <c r="AC43" s="619"/>
      <c r="AD43" s="619"/>
      <c r="AE43" s="620">
        <v>46199</v>
      </c>
      <c r="AF43" s="620"/>
      <c r="AG43" s="620"/>
      <c r="AH43" s="620"/>
      <c r="AI43" s="620"/>
      <c r="AJ43" s="621">
        <v>46200</v>
      </c>
      <c r="AK43" s="622"/>
      <c r="AL43" s="622"/>
      <c r="AM43" s="622"/>
      <c r="AN43" s="623"/>
      <c r="AO43" s="620">
        <v>46201</v>
      </c>
      <c r="AP43" s="620"/>
      <c r="AQ43" s="620"/>
      <c r="AR43" s="620"/>
      <c r="AS43" s="620"/>
      <c r="AT43" s="621">
        <v>46202</v>
      </c>
      <c r="AU43" s="622"/>
      <c r="AV43" s="622"/>
      <c r="AW43" s="622"/>
      <c r="AX43" s="623"/>
    </row>
    <row r="44" spans="2:50" ht="14.25" customHeight="1">
      <c r="B44" s="611" t="s">
        <v>162</v>
      </c>
      <c r="C44" s="611" t="s">
        <v>157</v>
      </c>
      <c r="D44" s="611"/>
      <c r="E44" s="611" t="s">
        <v>158</v>
      </c>
      <c r="F44" s="611"/>
      <c r="G44" s="611"/>
      <c r="H44" s="611" t="s">
        <v>163</v>
      </c>
      <c r="I44" s="615" t="s">
        <v>364</v>
      </c>
      <c r="J44" s="615"/>
      <c r="K44" s="615"/>
      <c r="L44" s="615" t="s">
        <v>163</v>
      </c>
      <c r="M44" s="615" t="s">
        <v>165</v>
      </c>
      <c r="N44" s="611"/>
      <c r="O44" s="611" t="s">
        <v>164</v>
      </c>
      <c r="P44" s="611" t="s">
        <v>160</v>
      </c>
      <c r="Q44" s="611"/>
      <c r="R44" s="611"/>
      <c r="S44" s="611"/>
      <c r="T44" s="611" t="s">
        <v>163</v>
      </c>
      <c r="U44" s="611" t="s">
        <v>160</v>
      </c>
      <c r="V44" s="611"/>
      <c r="W44" s="611"/>
      <c r="X44" s="611"/>
      <c r="Y44" s="611" t="s">
        <v>163</v>
      </c>
      <c r="Z44" s="611" t="s">
        <v>160</v>
      </c>
      <c r="AA44" s="611"/>
      <c r="AB44" s="611"/>
      <c r="AC44" s="611"/>
      <c r="AD44" s="611" t="s">
        <v>163</v>
      </c>
      <c r="AE44" s="611" t="s">
        <v>160</v>
      </c>
      <c r="AF44" s="611"/>
      <c r="AG44" s="611"/>
      <c r="AH44" s="611"/>
      <c r="AI44" s="611" t="s">
        <v>163</v>
      </c>
      <c r="AJ44" s="611" t="s">
        <v>160</v>
      </c>
      <c r="AK44" s="611"/>
      <c r="AL44" s="611"/>
      <c r="AM44" s="611"/>
      <c r="AN44" s="611" t="s">
        <v>163</v>
      </c>
      <c r="AO44" s="611" t="s">
        <v>160</v>
      </c>
      <c r="AP44" s="611"/>
      <c r="AQ44" s="611"/>
      <c r="AR44" s="611"/>
      <c r="AS44" s="611" t="s">
        <v>163</v>
      </c>
      <c r="AT44" s="611" t="s">
        <v>160</v>
      </c>
      <c r="AU44" s="611"/>
      <c r="AV44" s="611"/>
      <c r="AW44" s="611"/>
      <c r="AX44" s="611" t="s">
        <v>163</v>
      </c>
    </row>
    <row r="45" spans="2:50" ht="14.25" customHeight="1">
      <c r="B45" s="611"/>
      <c r="C45" s="611"/>
      <c r="D45" s="611"/>
      <c r="E45" s="611" t="s">
        <v>365</v>
      </c>
      <c r="F45" s="611"/>
      <c r="G45" s="611"/>
      <c r="H45" s="611"/>
      <c r="I45" s="615" t="s">
        <v>365</v>
      </c>
      <c r="J45" s="615"/>
      <c r="K45" s="615"/>
      <c r="L45" s="615"/>
      <c r="M45" s="615"/>
      <c r="N45" s="611"/>
      <c r="O45" s="611"/>
      <c r="P45" s="611" t="s">
        <v>366</v>
      </c>
      <c r="Q45" s="611"/>
      <c r="R45" s="611"/>
      <c r="S45" s="611"/>
      <c r="T45" s="611"/>
      <c r="U45" s="611" t="s">
        <v>366</v>
      </c>
      <c r="V45" s="611"/>
      <c r="W45" s="611"/>
      <c r="X45" s="611"/>
      <c r="Y45" s="611"/>
      <c r="Z45" s="611" t="s">
        <v>366</v>
      </c>
      <c r="AA45" s="611"/>
      <c r="AB45" s="611"/>
      <c r="AC45" s="611"/>
      <c r="AD45" s="611"/>
      <c r="AE45" s="611" t="s">
        <v>366</v>
      </c>
      <c r="AF45" s="611"/>
      <c r="AG45" s="611"/>
      <c r="AH45" s="611"/>
      <c r="AI45" s="611"/>
      <c r="AJ45" s="611" t="s">
        <v>366</v>
      </c>
      <c r="AK45" s="611"/>
      <c r="AL45" s="611"/>
      <c r="AM45" s="611"/>
      <c r="AN45" s="611"/>
      <c r="AO45" s="611" t="s">
        <v>366</v>
      </c>
      <c r="AP45" s="611"/>
      <c r="AQ45" s="611"/>
      <c r="AR45" s="611"/>
      <c r="AS45" s="611"/>
      <c r="AT45" s="611" t="s">
        <v>366</v>
      </c>
      <c r="AU45" s="611"/>
      <c r="AV45" s="611"/>
      <c r="AW45" s="611"/>
      <c r="AX45" s="611"/>
    </row>
    <row r="46" spans="2:50" ht="14.25" customHeight="1">
      <c r="B46" s="611"/>
      <c r="C46" s="611"/>
      <c r="D46" s="611"/>
      <c r="E46" s="179" t="s">
        <v>159</v>
      </c>
      <c r="F46" s="179" t="s">
        <v>367</v>
      </c>
      <c r="G46" s="179" t="s">
        <v>161</v>
      </c>
      <c r="H46" s="611"/>
      <c r="I46" s="180" t="s">
        <v>159</v>
      </c>
      <c r="J46" s="180" t="s">
        <v>367</v>
      </c>
      <c r="K46" s="180" t="s">
        <v>161</v>
      </c>
      <c r="L46" s="615"/>
      <c r="M46" s="615"/>
      <c r="N46" s="611"/>
      <c r="O46" s="611"/>
      <c r="P46" s="179" t="s">
        <v>159</v>
      </c>
      <c r="Q46" s="179" t="s">
        <v>367</v>
      </c>
      <c r="R46" s="179" t="s">
        <v>161</v>
      </c>
      <c r="S46" s="181" t="s">
        <v>165</v>
      </c>
      <c r="T46" s="611"/>
      <c r="U46" s="179" t="s">
        <v>159</v>
      </c>
      <c r="V46" s="179" t="s">
        <v>367</v>
      </c>
      <c r="W46" s="179" t="s">
        <v>161</v>
      </c>
      <c r="X46" s="181" t="s">
        <v>165</v>
      </c>
      <c r="Y46" s="611"/>
      <c r="Z46" s="179" t="s">
        <v>159</v>
      </c>
      <c r="AA46" s="179" t="s">
        <v>367</v>
      </c>
      <c r="AB46" s="179" t="s">
        <v>161</v>
      </c>
      <c r="AC46" s="181" t="s">
        <v>165</v>
      </c>
      <c r="AD46" s="611"/>
      <c r="AE46" s="179" t="s">
        <v>159</v>
      </c>
      <c r="AF46" s="179" t="s">
        <v>367</v>
      </c>
      <c r="AG46" s="179" t="s">
        <v>161</v>
      </c>
      <c r="AH46" s="181" t="s">
        <v>165</v>
      </c>
      <c r="AI46" s="611"/>
      <c r="AJ46" s="179" t="s">
        <v>159</v>
      </c>
      <c r="AK46" s="179" t="s">
        <v>367</v>
      </c>
      <c r="AL46" s="179" t="s">
        <v>161</v>
      </c>
      <c r="AM46" s="181" t="s">
        <v>165</v>
      </c>
      <c r="AN46" s="611"/>
      <c r="AO46" s="179" t="s">
        <v>159</v>
      </c>
      <c r="AP46" s="179" t="s">
        <v>367</v>
      </c>
      <c r="AQ46" s="179" t="s">
        <v>161</v>
      </c>
      <c r="AR46" s="181" t="s">
        <v>165</v>
      </c>
      <c r="AS46" s="611"/>
      <c r="AT46" s="179" t="s">
        <v>159</v>
      </c>
      <c r="AU46" s="179" t="s">
        <v>367</v>
      </c>
      <c r="AV46" s="179" t="s">
        <v>161</v>
      </c>
      <c r="AW46" s="181" t="s">
        <v>165</v>
      </c>
      <c r="AX46" s="611"/>
    </row>
    <row r="47" spans="2:50" ht="14.25" customHeight="1">
      <c r="B47" s="611" t="s">
        <v>348</v>
      </c>
      <c r="C47" s="179">
        <v>1</v>
      </c>
      <c r="D47" s="182" t="s">
        <v>342</v>
      </c>
      <c r="E47" s="183">
        <v>24</v>
      </c>
      <c r="F47" s="179">
        <v>2000</v>
      </c>
      <c r="G47" s="184">
        <f t="shared" ref="G47:G55" si="33">IFERROR(F47/E47,"")</f>
        <v>83.333333333333329</v>
      </c>
      <c r="H47" s="612">
        <f>AVERAGE(G47:G61)</f>
        <v>94.153055747258634</v>
      </c>
      <c r="I47" s="185">
        <f>AVERAGE(P47,U47,Z47,AE47,AJ47,AO47,AT47)</f>
        <v>24</v>
      </c>
      <c r="J47" s="185">
        <f>AVERAGE(Q47,V47,AA47,AF47,AK47,AP47,AU47)</f>
        <v>1789.0260157321027</v>
      </c>
      <c r="K47" s="186">
        <f>AVERAGE(R47,W47,AB47,AG47,AL47,AQ47,AV47)</f>
        <v>74.542750655504278</v>
      </c>
      <c r="L47" s="613">
        <f>IFERROR(AVERAGE(K47:K61),"-")</f>
        <v>85.849102045717643</v>
      </c>
      <c r="M47" s="185">
        <f>RANK(K47, K$47:$K$61)</f>
        <v>9</v>
      </c>
      <c r="N47" s="611"/>
      <c r="O47" s="611"/>
      <c r="P47" s="187">
        <v>24</v>
      </c>
      <c r="Q47" s="187">
        <v>1789.740301446388</v>
      </c>
      <c r="R47" s="184">
        <f>IFERROR(Q47/P47,"")</f>
        <v>74.572512560266162</v>
      </c>
      <c r="S47" s="181">
        <f>RANK(R47, R$47:R$61)</f>
        <v>8</v>
      </c>
      <c r="T47" s="612">
        <f>AVERAGE(R47:R61)</f>
        <v>85.48297910173676</v>
      </c>
      <c r="U47" s="187">
        <v>24</v>
      </c>
      <c r="V47" s="187">
        <v>1790.540301446388</v>
      </c>
      <c r="W47" s="184">
        <f t="shared" ref="W47:W55" si="34">IFERROR(V47/U47,"")</f>
        <v>74.605845893599493</v>
      </c>
      <c r="X47" s="181">
        <f>RANK(W47, W$47:W$61)</f>
        <v>7</v>
      </c>
      <c r="Y47" s="612">
        <f>AVERAGE(W47:W61)</f>
        <v>83.94556116021495</v>
      </c>
      <c r="Z47" s="187">
        <v>24</v>
      </c>
      <c r="AA47" s="187">
        <v>1789.740301446388</v>
      </c>
      <c r="AB47" s="184">
        <f>IFERROR(AA47/Z47,"")</f>
        <v>74.572512560266162</v>
      </c>
      <c r="AC47" s="181">
        <f>RANK(AB47, AB$47:AB$61)</f>
        <v>8</v>
      </c>
      <c r="AD47" s="612">
        <f>AVERAGE(AB47:AB61)</f>
        <v>84.163126812775005</v>
      </c>
      <c r="AE47" s="187">
        <v>24</v>
      </c>
      <c r="AF47" s="187">
        <v>1789.3403014463879</v>
      </c>
      <c r="AG47" s="184">
        <f>IFERROR(AF47/AE47,"")</f>
        <v>74.555845893599496</v>
      </c>
      <c r="AH47" s="181">
        <f>RANK(AG47, AG$47:AG$61)</f>
        <v>8</v>
      </c>
      <c r="AI47" s="612">
        <f>AVERAGE(AG47:AG61)</f>
        <v>84.297821713700827</v>
      </c>
      <c r="AJ47" s="187">
        <v>24</v>
      </c>
      <c r="AK47" s="187">
        <v>1788.3403014463888</v>
      </c>
      <c r="AL47" s="184">
        <f>IFERROR(AK47/AJ47,"")</f>
        <v>74.514179226932868</v>
      </c>
      <c r="AM47" s="181">
        <f>RANK(AL47, AL$47:AL$61)</f>
        <v>8</v>
      </c>
      <c r="AN47" s="612">
        <f>AVERAGE(AL47:AL61)</f>
        <v>84.31637044519708</v>
      </c>
      <c r="AO47" s="187">
        <v>24</v>
      </c>
      <c r="AP47" s="187">
        <v>1788.1403014463888</v>
      </c>
      <c r="AQ47" s="184">
        <f>IFERROR(AP47/AO47,"")</f>
        <v>74.505845893599528</v>
      </c>
      <c r="AR47" s="181">
        <f>RANK(AQ47, AQ$47:AQ$61)</f>
        <v>8</v>
      </c>
      <c r="AS47" s="612">
        <f>AVERAGE(AQ47:AQ61)</f>
        <v>84.321914585550985</v>
      </c>
      <c r="AT47" s="187">
        <v>24</v>
      </c>
      <c r="AU47" s="187">
        <v>1787.3403014463888</v>
      </c>
      <c r="AV47" s="184">
        <f>IFERROR(AU47/AT47,"")</f>
        <v>74.472512560266196</v>
      </c>
      <c r="AW47" s="181">
        <f>RANK(AV47, AV$47:AV$61)</f>
        <v>8</v>
      </c>
      <c r="AX47" s="612">
        <f>AVERAGE(AV47:AV61)</f>
        <v>84.327127681307033</v>
      </c>
    </row>
    <row r="48" spans="2:50" ht="14.25" customHeight="1">
      <c r="B48" s="611"/>
      <c r="C48" s="179">
        <v>2</v>
      </c>
      <c r="D48" s="182" t="s">
        <v>751</v>
      </c>
      <c r="E48" s="179">
        <v>21</v>
      </c>
      <c r="F48" s="179">
        <v>1800</v>
      </c>
      <c r="G48" s="184">
        <f t="shared" si="33"/>
        <v>85.714285714285708</v>
      </c>
      <c r="H48" s="612"/>
      <c r="I48" s="185">
        <f t="shared" ref="I48:K55" si="35">AVERAGE(P48,U48,Z48,AE48,AJ48,AO48,AT48)</f>
        <v>21</v>
      </c>
      <c r="J48" s="185">
        <f t="shared" si="35"/>
        <v>1593.4397803180686</v>
      </c>
      <c r="K48" s="186">
        <f t="shared" si="35"/>
        <v>75.878084777050873</v>
      </c>
      <c r="L48" s="613"/>
      <c r="M48" s="185">
        <f>RANK(K48, K$47:$K$61)</f>
        <v>8</v>
      </c>
      <c r="N48" s="611"/>
      <c r="O48" s="611"/>
      <c r="P48" s="187">
        <v>21</v>
      </c>
      <c r="Q48" s="187">
        <v>1523.826239557857</v>
      </c>
      <c r="R48" s="184">
        <f t="shared" ref="R48:R55" si="36">IFERROR(Q48/P48,"")</f>
        <v>72.563154264659858</v>
      </c>
      <c r="S48" s="181">
        <f>RANK(R48, R$47:R$61)</f>
        <v>9</v>
      </c>
      <c r="T48" s="612"/>
      <c r="U48" s="187">
        <v>21</v>
      </c>
      <c r="V48" s="187">
        <v>1556.8446225438238</v>
      </c>
      <c r="W48" s="184">
        <f t="shared" si="34"/>
        <v>74.135458216372555</v>
      </c>
      <c r="X48" s="181">
        <f>RANK(W48, W$47:W$61)</f>
        <v>8</v>
      </c>
      <c r="Y48" s="612"/>
      <c r="Z48" s="187">
        <v>21</v>
      </c>
      <c r="AA48" s="187">
        <v>1593</v>
      </c>
      <c r="AB48" s="184">
        <f t="shared" ref="AB48:AB55" si="37">IFERROR(AA48/Z48,"")</f>
        <v>75.857142857142861</v>
      </c>
      <c r="AC48" s="181">
        <f>RANK(AB48, AB$47:AB$61)</f>
        <v>7</v>
      </c>
      <c r="AD48" s="612"/>
      <c r="AE48" s="187">
        <v>21</v>
      </c>
      <c r="AF48" s="187">
        <v>1616.891786833799</v>
      </c>
      <c r="AG48" s="184">
        <f t="shared" ref="AG48:AG55" si="38">IFERROR(AF48/AE48,"")</f>
        <v>76.99484699208567</v>
      </c>
      <c r="AH48" s="181">
        <f>RANK(AG48, AG$47:AG$61)</f>
        <v>7</v>
      </c>
      <c r="AI48" s="612"/>
      <c r="AJ48" s="187">
        <v>21</v>
      </c>
      <c r="AK48" s="187">
        <v>1620.8829737251697</v>
      </c>
      <c r="AL48" s="184">
        <f t="shared" ref="AL48:AL55" si="39">IFERROR(AK48/AJ48,"")</f>
        <v>77.184903510722364</v>
      </c>
      <c r="AM48" s="181">
        <f>RANK(AL48, AL$47:AL$61)</f>
        <v>7</v>
      </c>
      <c r="AN48" s="612"/>
      <c r="AO48" s="187">
        <v>21</v>
      </c>
      <c r="AP48" s="187">
        <v>1621.2589545220158</v>
      </c>
      <c r="AQ48" s="184">
        <f t="shared" ref="AQ48:AQ55" si="40">IFERROR(AP48/AO48,"")</f>
        <v>77.202807358191222</v>
      </c>
      <c r="AR48" s="181">
        <f>RANK(AQ48, AQ$47:AQ$61)</f>
        <v>7</v>
      </c>
      <c r="AS48" s="612"/>
      <c r="AT48" s="187">
        <v>21</v>
      </c>
      <c r="AU48" s="187">
        <v>1621.3738850438153</v>
      </c>
      <c r="AV48" s="184">
        <f t="shared" ref="AV48:AV55" si="41">IFERROR(AU48/AT48,"")</f>
        <v>77.208280240181679</v>
      </c>
      <c r="AW48" s="181">
        <f>RANK(AV48, AV$47:AV$61)</f>
        <v>7</v>
      </c>
      <c r="AX48" s="612"/>
    </row>
    <row r="49" spans="2:50" ht="14.25" customHeight="1">
      <c r="B49" s="611"/>
      <c r="C49" s="179">
        <v>3</v>
      </c>
      <c r="D49" s="182" t="s">
        <v>341</v>
      </c>
      <c r="E49" s="179">
        <v>23</v>
      </c>
      <c r="F49" s="179">
        <v>2000</v>
      </c>
      <c r="G49" s="184">
        <f t="shared" si="33"/>
        <v>86.956521739130437</v>
      </c>
      <c r="H49" s="612"/>
      <c r="I49" s="185">
        <f t="shared" si="35"/>
        <v>23</v>
      </c>
      <c r="J49" s="185">
        <f t="shared" si="35"/>
        <v>1791.1952881066375</v>
      </c>
      <c r="K49" s="186">
        <f t="shared" si="35"/>
        <v>77.878056004636392</v>
      </c>
      <c r="L49" s="613"/>
      <c r="M49" s="185">
        <f>RANK(K49, K$47:$K$61)</f>
        <v>7</v>
      </c>
      <c r="N49" s="611"/>
      <c r="O49" s="611"/>
      <c r="P49" s="187">
        <v>23</v>
      </c>
      <c r="Q49" s="187">
        <v>1789.8524309637805</v>
      </c>
      <c r="R49" s="184">
        <f t="shared" si="36"/>
        <v>77.81967091146872</v>
      </c>
      <c r="S49" s="181">
        <f t="shared" ref="S49:S51" si="42">RANK(R49, R$47:R$61)</f>
        <v>7</v>
      </c>
      <c r="T49" s="612"/>
      <c r="U49" s="187">
        <v>23</v>
      </c>
      <c r="V49" s="187">
        <v>1790.0524309637804</v>
      </c>
      <c r="W49" s="184">
        <f t="shared" si="34"/>
        <v>77.828366563642618</v>
      </c>
      <c r="X49" s="181">
        <f t="shared" ref="X49:X51" si="43">RANK(W49, W$47:W$61)</f>
        <v>6</v>
      </c>
      <c r="Y49" s="612"/>
      <c r="Z49" s="187">
        <v>23</v>
      </c>
      <c r="AA49" s="187">
        <v>1791.0524309637801</v>
      </c>
      <c r="AB49" s="184">
        <f t="shared" si="37"/>
        <v>77.871844824512181</v>
      </c>
      <c r="AC49" s="181">
        <f t="shared" ref="AC49:AC51" si="44">RANK(AB49, AB$47:AB$61)</f>
        <v>6</v>
      </c>
      <c r="AD49" s="612"/>
      <c r="AE49" s="187">
        <v>23</v>
      </c>
      <c r="AF49" s="187">
        <v>1790.8524309637801</v>
      </c>
      <c r="AG49" s="184">
        <f t="shared" si="38"/>
        <v>77.863149172338268</v>
      </c>
      <c r="AH49" s="181">
        <f t="shared" ref="AH49:AH51" si="45">RANK(AG49, AG$47:AG$61)</f>
        <v>6</v>
      </c>
      <c r="AI49" s="612"/>
      <c r="AJ49" s="187">
        <v>23</v>
      </c>
      <c r="AK49" s="187">
        <v>1791.65243096378</v>
      </c>
      <c r="AL49" s="184">
        <f t="shared" si="39"/>
        <v>77.897931781033918</v>
      </c>
      <c r="AM49" s="181">
        <f t="shared" ref="AM49:AM51" si="46">RANK(AL49, AL$47:AL$61)</f>
        <v>6</v>
      </c>
      <c r="AN49" s="612"/>
      <c r="AO49" s="187">
        <v>23</v>
      </c>
      <c r="AP49" s="187">
        <v>1792.4524309637798</v>
      </c>
      <c r="AQ49" s="184">
        <f t="shared" si="40"/>
        <v>77.932714389729554</v>
      </c>
      <c r="AR49" s="181">
        <f t="shared" ref="AR49:AR51" si="47">RANK(AQ49, AQ$47:AQ$61)</f>
        <v>5</v>
      </c>
      <c r="AS49" s="612"/>
      <c r="AT49" s="187">
        <v>23</v>
      </c>
      <c r="AU49" s="187">
        <v>1792.4524309637798</v>
      </c>
      <c r="AV49" s="184">
        <f t="shared" si="41"/>
        <v>77.932714389729554</v>
      </c>
      <c r="AW49" s="181">
        <f t="shared" ref="AW49:AW51" si="48">RANK(AV49, AV$47:AV$61)</f>
        <v>6</v>
      </c>
      <c r="AX49" s="612"/>
    </row>
    <row r="50" spans="2:50" ht="14.25" customHeight="1">
      <c r="B50" s="611"/>
      <c r="C50" s="179">
        <v>4</v>
      </c>
      <c r="D50" s="182" t="s">
        <v>349</v>
      </c>
      <c r="E50" s="179">
        <v>23</v>
      </c>
      <c r="F50" s="179">
        <v>2000</v>
      </c>
      <c r="G50" s="184">
        <f t="shared" si="33"/>
        <v>86.956521739130437</v>
      </c>
      <c r="H50" s="612"/>
      <c r="I50" s="185">
        <f t="shared" si="35"/>
        <v>23</v>
      </c>
      <c r="J50" s="185">
        <f t="shared" si="35"/>
        <v>1792.4464754263661</v>
      </c>
      <c r="K50" s="186">
        <f t="shared" si="35"/>
        <v>77.932455453320273</v>
      </c>
      <c r="L50" s="613"/>
      <c r="M50" s="185">
        <f>RANK(K50, K$47:$K$61)</f>
        <v>6</v>
      </c>
      <c r="N50" s="611"/>
      <c r="O50" s="611"/>
      <c r="P50" s="187">
        <v>23</v>
      </c>
      <c r="Q50" s="187">
        <v>1792.3607611406526</v>
      </c>
      <c r="R50" s="184">
        <f t="shared" si="36"/>
        <v>77.928728745245763</v>
      </c>
      <c r="S50" s="181">
        <f t="shared" si="42"/>
        <v>6</v>
      </c>
      <c r="T50" s="612"/>
      <c r="U50" s="187">
        <v>23</v>
      </c>
      <c r="V50" s="187">
        <v>1792.3607611406521</v>
      </c>
      <c r="W50" s="184">
        <f t="shared" si="34"/>
        <v>77.928728745245749</v>
      </c>
      <c r="X50" s="181">
        <f t="shared" si="43"/>
        <v>5</v>
      </c>
      <c r="Y50" s="612"/>
      <c r="Z50" s="187">
        <v>23</v>
      </c>
      <c r="AA50" s="187">
        <v>1793.1607611406521</v>
      </c>
      <c r="AB50" s="184">
        <f t="shared" si="37"/>
        <v>77.963511353941399</v>
      </c>
      <c r="AC50" s="181">
        <f t="shared" si="44"/>
        <v>5</v>
      </c>
      <c r="AD50" s="612"/>
      <c r="AE50" s="187">
        <v>23</v>
      </c>
      <c r="AF50" s="187">
        <v>1792.760761140652</v>
      </c>
      <c r="AG50" s="184">
        <f t="shared" si="38"/>
        <v>77.94612004959356</v>
      </c>
      <c r="AH50" s="181">
        <f t="shared" si="45"/>
        <v>5</v>
      </c>
      <c r="AI50" s="612"/>
      <c r="AJ50" s="187">
        <v>23</v>
      </c>
      <c r="AK50" s="187">
        <v>1791.9607611406518</v>
      </c>
      <c r="AL50" s="184">
        <f t="shared" si="39"/>
        <v>77.91133744089791</v>
      </c>
      <c r="AM50" s="181">
        <f t="shared" si="46"/>
        <v>5</v>
      </c>
      <c r="AN50" s="612"/>
      <c r="AO50" s="187">
        <v>23</v>
      </c>
      <c r="AP50" s="187">
        <v>1791.7607611406518</v>
      </c>
      <c r="AQ50" s="184">
        <f t="shared" si="40"/>
        <v>77.902641788723983</v>
      </c>
      <c r="AR50" s="181">
        <f t="shared" si="47"/>
        <v>6</v>
      </c>
      <c r="AS50" s="612"/>
      <c r="AT50" s="187">
        <v>23</v>
      </c>
      <c r="AU50" s="187">
        <v>1792.7607611406515</v>
      </c>
      <c r="AV50" s="184">
        <f t="shared" si="41"/>
        <v>77.946120049593546</v>
      </c>
      <c r="AW50" s="181">
        <f t="shared" si="48"/>
        <v>5</v>
      </c>
      <c r="AX50" s="612"/>
    </row>
    <row r="51" spans="2:50" ht="14.25" customHeight="1">
      <c r="B51" s="611"/>
      <c r="C51" s="179">
        <v>5</v>
      </c>
      <c r="D51" s="182" t="s">
        <v>343</v>
      </c>
      <c r="E51" s="179">
        <v>23</v>
      </c>
      <c r="F51" s="179">
        <v>2000</v>
      </c>
      <c r="G51" s="184">
        <f t="shared" si="33"/>
        <v>86.956521739130437</v>
      </c>
      <c r="H51" s="612"/>
      <c r="I51" s="185">
        <f t="shared" si="35"/>
        <v>23</v>
      </c>
      <c r="J51" s="185">
        <f t="shared" si="35"/>
        <v>1795.0132557002505</v>
      </c>
      <c r="K51" s="186">
        <f t="shared" si="35"/>
        <v>78.044054595663056</v>
      </c>
      <c r="L51" s="613"/>
      <c r="M51" s="185">
        <f>RANK(K51, K$47:$K$61)</f>
        <v>5</v>
      </c>
      <c r="N51" s="611"/>
      <c r="O51" s="611"/>
      <c r="P51" s="187">
        <v>23</v>
      </c>
      <c r="Q51" s="187">
        <v>1796.2132557002503</v>
      </c>
      <c r="R51" s="184">
        <f t="shared" si="36"/>
        <v>78.096228508706531</v>
      </c>
      <c r="S51" s="181">
        <f t="shared" si="42"/>
        <v>5</v>
      </c>
      <c r="T51" s="612"/>
      <c r="U51" s="187">
        <v>23</v>
      </c>
      <c r="V51" s="187">
        <v>1795.4132557002501</v>
      </c>
      <c r="W51" s="184">
        <f t="shared" si="34"/>
        <v>78.061445900010881</v>
      </c>
      <c r="X51" s="181">
        <f t="shared" si="43"/>
        <v>4</v>
      </c>
      <c r="Y51" s="612"/>
      <c r="Z51" s="187">
        <v>23</v>
      </c>
      <c r="AA51" s="187">
        <v>1794.8132557002502</v>
      </c>
      <c r="AB51" s="184">
        <f t="shared" si="37"/>
        <v>78.035358943489143</v>
      </c>
      <c r="AC51" s="181">
        <f t="shared" si="44"/>
        <v>4</v>
      </c>
      <c r="AD51" s="612"/>
      <c r="AE51" s="187">
        <v>23</v>
      </c>
      <c r="AF51" s="187">
        <v>1794.4132557002506</v>
      </c>
      <c r="AG51" s="184">
        <f t="shared" si="38"/>
        <v>78.017967639141332</v>
      </c>
      <c r="AH51" s="181">
        <f t="shared" si="45"/>
        <v>4</v>
      </c>
      <c r="AI51" s="612"/>
      <c r="AJ51" s="187">
        <v>23</v>
      </c>
      <c r="AK51" s="187">
        <v>1794.4132557002508</v>
      </c>
      <c r="AL51" s="184">
        <f t="shared" si="39"/>
        <v>78.017967639141347</v>
      </c>
      <c r="AM51" s="181">
        <f t="shared" si="46"/>
        <v>4</v>
      </c>
      <c r="AN51" s="612"/>
      <c r="AO51" s="187">
        <v>23</v>
      </c>
      <c r="AP51" s="187">
        <v>1794.6132557002506</v>
      </c>
      <c r="AQ51" s="184">
        <f t="shared" si="40"/>
        <v>78.026663291315245</v>
      </c>
      <c r="AR51" s="181">
        <f t="shared" si="47"/>
        <v>4</v>
      </c>
      <c r="AS51" s="612"/>
      <c r="AT51" s="187">
        <v>23</v>
      </c>
      <c r="AU51" s="187">
        <v>1795.2132557002503</v>
      </c>
      <c r="AV51" s="184">
        <f t="shared" si="41"/>
        <v>78.052750247836968</v>
      </c>
      <c r="AW51" s="181">
        <f t="shared" si="48"/>
        <v>4</v>
      </c>
      <c r="AX51" s="612"/>
    </row>
    <row r="52" spans="2:50" ht="14.25" customHeight="1">
      <c r="B52" s="611"/>
      <c r="C52" s="179">
        <v>6</v>
      </c>
      <c r="D52" s="182" t="s">
        <v>473</v>
      </c>
      <c r="E52" s="179">
        <v>20</v>
      </c>
      <c r="F52" s="179">
        <v>2000</v>
      </c>
      <c r="G52" s="184">
        <f t="shared" si="33"/>
        <v>100</v>
      </c>
      <c r="H52" s="612"/>
      <c r="I52" s="185">
        <f t="shared" si="35"/>
        <v>19</v>
      </c>
      <c r="J52" s="185">
        <f t="shared" si="35"/>
        <v>1790</v>
      </c>
      <c r="K52" s="186">
        <f t="shared" si="35"/>
        <v>94.21052631578948</v>
      </c>
      <c r="L52" s="613"/>
      <c r="M52" s="185">
        <f>RANK(K52, K$47:$K$61)</f>
        <v>3</v>
      </c>
      <c r="N52" s="611"/>
      <c r="O52" s="611"/>
      <c r="P52" s="187">
        <v>19</v>
      </c>
      <c r="Q52" s="187">
        <v>1790.0000000000002</v>
      </c>
      <c r="R52" s="184">
        <f t="shared" si="36"/>
        <v>94.21052631578948</v>
      </c>
      <c r="S52" s="181">
        <f>RANK(R52, R$47:R$61)</f>
        <v>3</v>
      </c>
      <c r="T52" s="612"/>
      <c r="U52" s="187">
        <v>19</v>
      </c>
      <c r="V52" s="187">
        <v>1790.0000000000002</v>
      </c>
      <c r="W52" s="184">
        <f t="shared" si="34"/>
        <v>94.21052631578948</v>
      </c>
      <c r="X52" s="181">
        <f>RANK(W52, W$47:W$61)</f>
        <v>2</v>
      </c>
      <c r="Y52" s="612"/>
      <c r="Z52" s="187">
        <v>19</v>
      </c>
      <c r="AA52" s="187">
        <v>1790</v>
      </c>
      <c r="AB52" s="184">
        <f t="shared" si="37"/>
        <v>94.21052631578948</v>
      </c>
      <c r="AC52" s="181">
        <f>RANK(AB52, AB$47:AB$61)</f>
        <v>2</v>
      </c>
      <c r="AD52" s="612"/>
      <c r="AE52" s="187">
        <v>19</v>
      </c>
      <c r="AF52" s="187">
        <v>1790</v>
      </c>
      <c r="AG52" s="184">
        <f t="shared" si="38"/>
        <v>94.21052631578948</v>
      </c>
      <c r="AH52" s="181">
        <f>RANK(AG52, AG$47:AG$61)</f>
        <v>2</v>
      </c>
      <c r="AI52" s="612"/>
      <c r="AJ52" s="187">
        <v>19</v>
      </c>
      <c r="AK52" s="187">
        <v>1790</v>
      </c>
      <c r="AL52" s="184">
        <f t="shared" si="39"/>
        <v>94.21052631578948</v>
      </c>
      <c r="AM52" s="181">
        <f>RANK(AL52, AL$47:AL$61)</f>
        <v>2</v>
      </c>
      <c r="AN52" s="612"/>
      <c r="AO52" s="187">
        <v>19</v>
      </c>
      <c r="AP52" s="187">
        <v>1790</v>
      </c>
      <c r="AQ52" s="184">
        <f t="shared" si="40"/>
        <v>94.21052631578948</v>
      </c>
      <c r="AR52" s="181">
        <f>RANK(AQ52, AQ$47:AQ$61)</f>
        <v>2</v>
      </c>
      <c r="AS52" s="612"/>
      <c r="AT52" s="187">
        <v>19</v>
      </c>
      <c r="AU52" s="187">
        <v>1790.0000000000002</v>
      </c>
      <c r="AV52" s="184">
        <f t="shared" si="41"/>
        <v>94.21052631578948</v>
      </c>
      <c r="AW52" s="181">
        <f>RANK(AV52, AV$47:AV$61)</f>
        <v>2</v>
      </c>
      <c r="AX52" s="612"/>
    </row>
    <row r="53" spans="2:50" ht="14.25" customHeight="1">
      <c r="B53" s="611"/>
      <c r="C53" s="179">
        <v>7</v>
      </c>
      <c r="D53" s="182" t="s">
        <v>566</v>
      </c>
      <c r="E53" s="179">
        <v>18</v>
      </c>
      <c r="F53" s="179">
        <v>2000</v>
      </c>
      <c r="G53" s="184">
        <f t="shared" si="33"/>
        <v>111.11111111111111</v>
      </c>
      <c r="H53" s="612"/>
      <c r="I53" s="185">
        <f t="shared" si="35"/>
        <v>17</v>
      </c>
      <c r="J53" s="185">
        <f t="shared" si="35"/>
        <v>1790</v>
      </c>
      <c r="K53" s="186">
        <f t="shared" si="35"/>
        <v>105.29411764705881</v>
      </c>
      <c r="L53" s="613"/>
      <c r="M53" s="185">
        <f>RANK(K53, K$47:$K$61)</f>
        <v>1</v>
      </c>
      <c r="N53" s="611"/>
      <c r="O53" s="611"/>
      <c r="P53" s="187">
        <v>17</v>
      </c>
      <c r="Q53" s="187">
        <v>1790</v>
      </c>
      <c r="R53" s="184">
        <f t="shared" si="36"/>
        <v>105.29411764705883</v>
      </c>
      <c r="S53" s="181">
        <f>RANK(R53, R$47:R$61)</f>
        <v>1</v>
      </c>
      <c r="T53" s="612"/>
      <c r="U53" s="187">
        <v>17</v>
      </c>
      <c r="V53" s="187">
        <v>1790</v>
      </c>
      <c r="W53" s="184">
        <f t="shared" si="34"/>
        <v>105.29411764705883</v>
      </c>
      <c r="X53" s="181">
        <f>RANK(W53, W$47:W$61)</f>
        <v>1</v>
      </c>
      <c r="Y53" s="612"/>
      <c r="Z53" s="187">
        <v>17</v>
      </c>
      <c r="AA53" s="187">
        <v>1789.9999999999998</v>
      </c>
      <c r="AB53" s="184">
        <f t="shared" si="37"/>
        <v>105.29411764705881</v>
      </c>
      <c r="AC53" s="181">
        <f>RANK(AB53, AB$47:AB$61)</f>
        <v>1</v>
      </c>
      <c r="AD53" s="612"/>
      <c r="AE53" s="187">
        <v>17</v>
      </c>
      <c r="AF53" s="187">
        <v>1790</v>
      </c>
      <c r="AG53" s="184">
        <f t="shared" si="38"/>
        <v>105.29411764705883</v>
      </c>
      <c r="AH53" s="181">
        <f>RANK(AG53, AG$47:AG$61)</f>
        <v>1</v>
      </c>
      <c r="AI53" s="612"/>
      <c r="AJ53" s="187">
        <v>17</v>
      </c>
      <c r="AK53" s="187">
        <v>1790</v>
      </c>
      <c r="AL53" s="184">
        <f t="shared" si="39"/>
        <v>105.29411764705883</v>
      </c>
      <c r="AM53" s="181">
        <f>RANK(AL53, AL$47:AL$61)</f>
        <v>1</v>
      </c>
      <c r="AN53" s="612"/>
      <c r="AO53" s="187">
        <v>17</v>
      </c>
      <c r="AP53" s="187">
        <v>1790.0000000000002</v>
      </c>
      <c r="AQ53" s="184">
        <f t="shared" si="40"/>
        <v>105.29411764705884</v>
      </c>
      <c r="AR53" s="181">
        <f>RANK(AQ53, AQ$47:AQ$61)</f>
        <v>1</v>
      </c>
      <c r="AS53" s="612"/>
      <c r="AT53" s="187">
        <v>17</v>
      </c>
      <c r="AU53" s="187">
        <v>1789.9999999999998</v>
      </c>
      <c r="AV53" s="184">
        <f t="shared" si="41"/>
        <v>105.29411764705881</v>
      </c>
      <c r="AW53" s="181">
        <f>RANK(AV53, AV$47:AV$61)</f>
        <v>1</v>
      </c>
      <c r="AX53" s="612"/>
    </row>
    <row r="54" spans="2:50" ht="14.25" customHeight="1">
      <c r="B54" s="611"/>
      <c r="C54" s="179">
        <v>8</v>
      </c>
      <c r="D54" s="182" t="s">
        <v>649</v>
      </c>
      <c r="E54" s="179">
        <v>18</v>
      </c>
      <c r="F54" s="179">
        <v>2000</v>
      </c>
      <c r="G54" s="184">
        <f t="shared" si="33"/>
        <v>111.11111111111111</v>
      </c>
      <c r="H54" s="612"/>
      <c r="I54" s="185">
        <f t="shared" si="35"/>
        <v>18</v>
      </c>
      <c r="J54" s="185">
        <f t="shared" si="35"/>
        <v>1788.5137133238395</v>
      </c>
      <c r="K54" s="186">
        <f t="shared" si="35"/>
        <v>99.361872962435527</v>
      </c>
      <c r="L54" s="613"/>
      <c r="M54" s="185">
        <f>RANK(K54, K$47:$K$61)</f>
        <v>2</v>
      </c>
      <c r="N54" s="611"/>
      <c r="O54" s="611"/>
      <c r="P54" s="187">
        <v>18</v>
      </c>
      <c r="Q54" s="187">
        <v>1788.5137133238395</v>
      </c>
      <c r="R54" s="184">
        <f t="shared" si="36"/>
        <v>99.361872962435527</v>
      </c>
      <c r="S54" s="181">
        <f t="shared" ref="S54:S55" si="49">RANK(R54, R$47:R$61)</f>
        <v>2</v>
      </c>
      <c r="T54" s="612"/>
      <c r="U54" s="187"/>
      <c r="V54" s="187"/>
      <c r="W54" s="184"/>
      <c r="X54" s="181"/>
      <c r="Y54" s="612"/>
      <c r="Z54" s="187"/>
      <c r="AA54" s="187"/>
      <c r="AB54" s="184"/>
      <c r="AC54" s="181"/>
      <c r="AD54" s="612"/>
      <c r="AE54" s="187"/>
      <c r="AF54" s="187"/>
      <c r="AG54" s="184"/>
      <c r="AH54" s="181"/>
      <c r="AI54" s="612"/>
      <c r="AJ54" s="187"/>
      <c r="AK54" s="187"/>
      <c r="AL54" s="184"/>
      <c r="AM54" s="181"/>
      <c r="AN54" s="612"/>
      <c r="AO54" s="187"/>
      <c r="AP54" s="187"/>
      <c r="AQ54" s="184"/>
      <c r="AR54" s="181"/>
      <c r="AS54" s="612"/>
      <c r="AT54" s="187"/>
      <c r="AU54" s="187"/>
      <c r="AV54" s="184"/>
      <c r="AW54" s="181"/>
      <c r="AX54" s="612"/>
    </row>
    <row r="55" spans="2:50" ht="14.25" customHeight="1">
      <c r="B55" s="611"/>
      <c r="C55" s="179">
        <v>9</v>
      </c>
      <c r="D55" s="182" t="s">
        <v>664</v>
      </c>
      <c r="E55" s="179">
        <v>21</v>
      </c>
      <c r="F55" s="179">
        <v>2000</v>
      </c>
      <c r="G55" s="184">
        <f t="shared" si="33"/>
        <v>95.238095238095241</v>
      </c>
      <c r="H55" s="612"/>
      <c r="I55" s="185">
        <f t="shared" si="35"/>
        <v>20</v>
      </c>
      <c r="J55" s="185">
        <f t="shared" si="35"/>
        <v>1790</v>
      </c>
      <c r="K55" s="186">
        <f t="shared" si="35"/>
        <v>89.5</v>
      </c>
      <c r="L55" s="613"/>
      <c r="M55" s="185">
        <f>RANK(K55, K$47:$K$61)</f>
        <v>4</v>
      </c>
      <c r="N55" s="611"/>
      <c r="O55" s="611"/>
      <c r="P55" s="187">
        <v>20</v>
      </c>
      <c r="Q55" s="187">
        <v>1790</v>
      </c>
      <c r="R55" s="184">
        <f t="shared" si="36"/>
        <v>89.5</v>
      </c>
      <c r="S55" s="181">
        <f t="shared" si="49"/>
        <v>4</v>
      </c>
      <c r="T55" s="612"/>
      <c r="U55" s="187">
        <v>20</v>
      </c>
      <c r="V55" s="187">
        <v>1790.0000000000002</v>
      </c>
      <c r="W55" s="184">
        <f t="shared" si="34"/>
        <v>89.500000000000014</v>
      </c>
      <c r="X55" s="181">
        <f t="shared" ref="X55" si="50">RANK(W55, W$47:W$61)</f>
        <v>3</v>
      </c>
      <c r="Y55" s="612"/>
      <c r="Z55" s="187">
        <v>20</v>
      </c>
      <c r="AA55" s="187">
        <v>1790</v>
      </c>
      <c r="AB55" s="184">
        <f t="shared" si="37"/>
        <v>89.5</v>
      </c>
      <c r="AC55" s="181">
        <f t="shared" ref="AC55" si="51">RANK(AB55, AB$47:AB$61)</f>
        <v>3</v>
      </c>
      <c r="AD55" s="612"/>
      <c r="AE55" s="187">
        <v>20</v>
      </c>
      <c r="AF55" s="187">
        <v>1790</v>
      </c>
      <c r="AG55" s="184">
        <f t="shared" si="38"/>
        <v>89.5</v>
      </c>
      <c r="AH55" s="181">
        <f t="shared" ref="AH55" si="52">RANK(AG55, AG$47:AG$61)</f>
        <v>3</v>
      </c>
      <c r="AI55" s="612"/>
      <c r="AJ55" s="187">
        <v>20</v>
      </c>
      <c r="AK55" s="187">
        <v>1789.9999999999998</v>
      </c>
      <c r="AL55" s="184">
        <f t="shared" si="39"/>
        <v>89.499999999999986</v>
      </c>
      <c r="AM55" s="181">
        <f t="shared" ref="AM55" si="53">RANK(AL55, AL$47:AL$61)</f>
        <v>3</v>
      </c>
      <c r="AN55" s="612"/>
      <c r="AO55" s="187">
        <v>20</v>
      </c>
      <c r="AP55" s="187">
        <v>1790.0000000000002</v>
      </c>
      <c r="AQ55" s="184">
        <f t="shared" si="40"/>
        <v>89.500000000000014</v>
      </c>
      <c r="AR55" s="181">
        <f t="shared" ref="AR55" si="54">RANK(AQ55, AQ$47:AQ$61)</f>
        <v>3</v>
      </c>
      <c r="AS55" s="612"/>
      <c r="AT55" s="187">
        <v>20</v>
      </c>
      <c r="AU55" s="187">
        <v>1790.0000000000005</v>
      </c>
      <c r="AV55" s="184">
        <f t="shared" si="41"/>
        <v>89.500000000000028</v>
      </c>
      <c r="AW55" s="181">
        <f t="shared" ref="AW55" si="55">RANK(AV55, AV$47:AV$61)</f>
        <v>3</v>
      </c>
      <c r="AX55" s="612"/>
    </row>
    <row r="56" spans="2:50" ht="14.25" customHeight="1">
      <c r="B56" s="611"/>
      <c r="C56" s="179">
        <v>10</v>
      </c>
      <c r="D56" s="182"/>
      <c r="E56" s="179"/>
      <c r="F56" s="179"/>
      <c r="G56" s="184"/>
      <c r="H56" s="612"/>
      <c r="I56" s="185"/>
      <c r="J56" s="185"/>
      <c r="K56" s="186"/>
      <c r="L56" s="613"/>
      <c r="M56" s="185"/>
      <c r="N56" s="611"/>
      <c r="O56" s="611"/>
      <c r="P56" s="187"/>
      <c r="Q56" s="187"/>
      <c r="R56" s="184"/>
      <c r="S56" s="181"/>
      <c r="T56" s="612"/>
      <c r="U56" s="187"/>
      <c r="V56" s="187"/>
      <c r="W56" s="184"/>
      <c r="X56" s="181"/>
      <c r="Y56" s="612"/>
      <c r="Z56" s="187"/>
      <c r="AA56" s="187"/>
      <c r="AB56" s="184"/>
      <c r="AC56" s="181"/>
      <c r="AD56" s="612"/>
      <c r="AE56" s="187"/>
      <c r="AF56" s="187"/>
      <c r="AG56" s="184"/>
      <c r="AH56" s="181"/>
      <c r="AI56" s="612"/>
      <c r="AJ56" s="187"/>
      <c r="AK56" s="187"/>
      <c r="AL56" s="184"/>
      <c r="AM56" s="181"/>
      <c r="AN56" s="612"/>
      <c r="AO56" s="187"/>
      <c r="AP56" s="187"/>
      <c r="AQ56" s="184"/>
      <c r="AR56" s="181"/>
      <c r="AS56" s="612"/>
      <c r="AT56" s="187"/>
      <c r="AU56" s="187"/>
      <c r="AV56" s="184"/>
      <c r="AW56" s="181"/>
      <c r="AX56" s="612"/>
    </row>
    <row r="57" spans="2:50" ht="14.25" customHeight="1">
      <c r="B57" s="611"/>
      <c r="C57" s="179">
        <v>11</v>
      </c>
      <c r="D57" s="182"/>
      <c r="E57" s="179"/>
      <c r="F57" s="179"/>
      <c r="G57" s="184"/>
      <c r="H57" s="612"/>
      <c r="I57" s="185"/>
      <c r="J57" s="185"/>
      <c r="K57" s="186"/>
      <c r="L57" s="613"/>
      <c r="M57" s="185"/>
      <c r="N57" s="611"/>
      <c r="O57" s="611"/>
      <c r="P57" s="187"/>
      <c r="Q57" s="187"/>
      <c r="R57" s="184"/>
      <c r="S57" s="181"/>
      <c r="T57" s="612"/>
      <c r="U57" s="187"/>
      <c r="V57" s="187"/>
      <c r="W57" s="184"/>
      <c r="X57" s="181"/>
      <c r="Y57" s="612"/>
      <c r="Z57" s="187"/>
      <c r="AA57" s="187"/>
      <c r="AB57" s="184"/>
      <c r="AC57" s="181"/>
      <c r="AD57" s="612"/>
      <c r="AE57" s="187"/>
      <c r="AF57" s="187"/>
      <c r="AG57" s="184"/>
      <c r="AH57" s="181"/>
      <c r="AI57" s="612"/>
      <c r="AJ57" s="187"/>
      <c r="AK57" s="187"/>
      <c r="AL57" s="184"/>
      <c r="AM57" s="181"/>
      <c r="AN57" s="612"/>
      <c r="AO57" s="187"/>
      <c r="AP57" s="187"/>
      <c r="AQ57" s="184"/>
      <c r="AR57" s="181"/>
      <c r="AS57" s="612"/>
      <c r="AT57" s="187"/>
      <c r="AU57" s="187"/>
      <c r="AV57" s="184"/>
      <c r="AW57" s="181"/>
      <c r="AX57" s="612"/>
    </row>
    <row r="58" spans="2:50" ht="14.25" customHeight="1">
      <c r="B58" s="611"/>
      <c r="C58" s="179">
        <v>12</v>
      </c>
      <c r="D58" s="182"/>
      <c r="E58" s="179"/>
      <c r="F58" s="179"/>
      <c r="G58" s="184"/>
      <c r="H58" s="612"/>
      <c r="I58" s="185"/>
      <c r="J58" s="185"/>
      <c r="K58" s="186"/>
      <c r="L58" s="613"/>
      <c r="M58" s="185"/>
      <c r="N58" s="611"/>
      <c r="O58" s="611"/>
      <c r="P58" s="187"/>
      <c r="Q58" s="187"/>
      <c r="R58" s="184"/>
      <c r="S58" s="181"/>
      <c r="T58" s="612"/>
      <c r="U58" s="187"/>
      <c r="V58" s="187"/>
      <c r="W58" s="184"/>
      <c r="X58" s="181"/>
      <c r="Y58" s="612"/>
      <c r="Z58" s="187"/>
      <c r="AA58" s="187"/>
      <c r="AB58" s="184"/>
      <c r="AC58" s="181"/>
      <c r="AD58" s="612"/>
      <c r="AE58" s="187"/>
      <c r="AF58" s="187"/>
      <c r="AG58" s="184"/>
      <c r="AH58" s="181"/>
      <c r="AI58" s="612"/>
      <c r="AJ58" s="187"/>
      <c r="AK58" s="187"/>
      <c r="AL58" s="184"/>
      <c r="AM58" s="181"/>
      <c r="AN58" s="612"/>
      <c r="AO58" s="187"/>
      <c r="AP58" s="187"/>
      <c r="AQ58" s="184"/>
      <c r="AR58" s="181"/>
      <c r="AS58" s="612"/>
      <c r="AT58" s="187"/>
      <c r="AU58" s="187"/>
      <c r="AV58" s="184"/>
      <c r="AW58" s="181"/>
      <c r="AX58" s="612"/>
    </row>
    <row r="59" spans="2:50" ht="14.25" customHeight="1">
      <c r="B59" s="611"/>
      <c r="C59" s="179">
        <v>13</v>
      </c>
      <c r="D59" s="182"/>
      <c r="E59" s="179"/>
      <c r="F59" s="179"/>
      <c r="G59" s="184"/>
      <c r="H59" s="612"/>
      <c r="I59" s="185"/>
      <c r="J59" s="185"/>
      <c r="K59" s="186"/>
      <c r="L59" s="613"/>
      <c r="M59" s="185"/>
      <c r="N59" s="611"/>
      <c r="O59" s="611"/>
      <c r="P59" s="187"/>
      <c r="Q59" s="187"/>
      <c r="R59" s="184"/>
      <c r="S59" s="181"/>
      <c r="T59" s="612"/>
      <c r="U59" s="187"/>
      <c r="V59" s="187"/>
      <c r="W59" s="184"/>
      <c r="X59" s="181"/>
      <c r="Y59" s="612"/>
      <c r="Z59" s="187"/>
      <c r="AA59" s="187"/>
      <c r="AB59" s="184"/>
      <c r="AC59" s="181"/>
      <c r="AD59" s="612"/>
      <c r="AE59" s="187"/>
      <c r="AF59" s="187"/>
      <c r="AG59" s="184"/>
      <c r="AH59" s="181"/>
      <c r="AI59" s="612"/>
      <c r="AJ59" s="187"/>
      <c r="AK59" s="187"/>
      <c r="AL59" s="184"/>
      <c r="AM59" s="181"/>
      <c r="AN59" s="612"/>
      <c r="AO59" s="187"/>
      <c r="AP59" s="187"/>
      <c r="AQ59" s="184"/>
      <c r="AR59" s="181"/>
      <c r="AS59" s="612"/>
      <c r="AT59" s="187"/>
      <c r="AU59" s="187"/>
      <c r="AV59" s="184"/>
      <c r="AW59" s="181"/>
      <c r="AX59" s="612"/>
    </row>
    <row r="60" spans="2:50" ht="14.25" customHeight="1">
      <c r="B60" s="611"/>
      <c r="C60" s="179">
        <v>14</v>
      </c>
      <c r="D60" s="182"/>
      <c r="E60" s="179"/>
      <c r="F60" s="179"/>
      <c r="G60" s="184"/>
      <c r="H60" s="612"/>
      <c r="I60" s="185"/>
      <c r="J60" s="185"/>
      <c r="K60" s="186"/>
      <c r="L60" s="613"/>
      <c r="M60" s="185"/>
      <c r="N60" s="611"/>
      <c r="O60" s="611"/>
      <c r="P60" s="187"/>
      <c r="Q60" s="187"/>
      <c r="R60" s="184"/>
      <c r="S60" s="181"/>
      <c r="T60" s="612"/>
      <c r="U60" s="187"/>
      <c r="V60" s="187"/>
      <c r="W60" s="184"/>
      <c r="X60" s="181"/>
      <c r="Y60" s="612"/>
      <c r="Z60" s="187"/>
      <c r="AA60" s="187"/>
      <c r="AB60" s="184"/>
      <c r="AC60" s="181"/>
      <c r="AD60" s="612"/>
      <c r="AE60" s="187"/>
      <c r="AF60" s="187"/>
      <c r="AG60" s="184"/>
      <c r="AH60" s="181"/>
      <c r="AI60" s="612"/>
      <c r="AJ60" s="187"/>
      <c r="AK60" s="187"/>
      <c r="AL60" s="184"/>
      <c r="AM60" s="181"/>
      <c r="AN60" s="612"/>
      <c r="AO60" s="187"/>
      <c r="AP60" s="187"/>
      <c r="AQ60" s="184"/>
      <c r="AR60" s="181"/>
      <c r="AS60" s="612"/>
      <c r="AT60" s="187"/>
      <c r="AU60" s="187"/>
      <c r="AV60" s="184"/>
      <c r="AW60" s="181"/>
      <c r="AX60" s="612"/>
    </row>
    <row r="61" spans="2:50" ht="14.25" customHeight="1">
      <c r="B61" s="611"/>
      <c r="C61" s="179">
        <v>15</v>
      </c>
      <c r="D61" s="182"/>
      <c r="E61" s="179"/>
      <c r="F61" s="179"/>
      <c r="G61" s="184"/>
      <c r="H61" s="612"/>
      <c r="I61" s="185"/>
      <c r="J61" s="185"/>
      <c r="K61" s="186"/>
      <c r="L61" s="613"/>
      <c r="M61" s="185"/>
      <c r="N61" s="611"/>
      <c r="O61" s="611"/>
      <c r="P61" s="187"/>
      <c r="Q61" s="187"/>
      <c r="R61" s="184"/>
      <c r="S61" s="181"/>
      <c r="T61" s="612"/>
      <c r="U61" s="187"/>
      <c r="V61" s="187"/>
      <c r="W61" s="184"/>
      <c r="X61" s="181"/>
      <c r="Y61" s="612"/>
      <c r="Z61" s="187"/>
      <c r="AA61" s="187"/>
      <c r="AB61" s="184"/>
      <c r="AC61" s="181"/>
      <c r="AD61" s="612"/>
      <c r="AE61" s="187"/>
      <c r="AF61" s="187"/>
      <c r="AG61" s="184"/>
      <c r="AH61" s="181"/>
      <c r="AI61" s="612"/>
      <c r="AJ61" s="187"/>
      <c r="AK61" s="187"/>
      <c r="AL61" s="184"/>
      <c r="AM61" s="181"/>
      <c r="AN61" s="612"/>
      <c r="AO61" s="187"/>
      <c r="AP61" s="187"/>
      <c r="AQ61" s="184"/>
      <c r="AR61" s="181"/>
      <c r="AS61" s="612"/>
      <c r="AT61" s="187"/>
      <c r="AU61" s="187"/>
      <c r="AV61" s="184"/>
      <c r="AW61" s="181"/>
      <c r="AX61" s="612"/>
    </row>
    <row r="62" spans="2:50" ht="14.25" customHeight="1">
      <c r="B62" s="640" t="s">
        <v>848</v>
      </c>
      <c r="C62" s="641"/>
      <c r="D62" s="641"/>
      <c r="E62" s="641"/>
      <c r="F62" s="641"/>
      <c r="G62" s="641"/>
      <c r="H62" s="641"/>
      <c r="I62" s="641"/>
      <c r="J62" s="641"/>
      <c r="K62" s="641"/>
      <c r="L62" s="641"/>
      <c r="M62" s="642"/>
      <c r="N62" s="645" t="s">
        <v>363</v>
      </c>
      <c r="O62" s="645" t="s">
        <v>105</v>
      </c>
      <c r="P62" s="632">
        <v>46224</v>
      </c>
      <c r="Q62" s="633"/>
      <c r="R62" s="633"/>
      <c r="S62" s="633"/>
      <c r="T62" s="633"/>
      <c r="U62" s="634">
        <v>46225</v>
      </c>
      <c r="V62" s="635"/>
      <c r="W62" s="635"/>
      <c r="X62" s="635"/>
      <c r="Y62" s="635"/>
      <c r="Z62" s="632">
        <v>46226</v>
      </c>
      <c r="AA62" s="633"/>
      <c r="AB62" s="633"/>
      <c r="AC62" s="633"/>
      <c r="AD62" s="633"/>
      <c r="AE62" s="634">
        <v>46227</v>
      </c>
      <c r="AF62" s="635"/>
      <c r="AG62" s="635"/>
      <c r="AH62" s="635"/>
      <c r="AI62" s="635"/>
      <c r="AJ62" s="616">
        <v>46228</v>
      </c>
      <c r="AK62" s="617"/>
      <c r="AL62" s="617"/>
      <c r="AM62" s="617"/>
      <c r="AN62" s="618"/>
      <c r="AO62" s="634">
        <v>46229</v>
      </c>
      <c r="AP62" s="635"/>
      <c r="AQ62" s="635"/>
      <c r="AR62" s="635"/>
      <c r="AS62" s="635"/>
      <c r="AT62" s="616">
        <v>46230</v>
      </c>
      <c r="AU62" s="617"/>
      <c r="AV62" s="617"/>
      <c r="AW62" s="617"/>
      <c r="AX62" s="618"/>
    </row>
    <row r="63" spans="2:50" ht="14.25" customHeight="1">
      <c r="B63" s="643"/>
      <c r="C63" s="643"/>
      <c r="D63" s="643"/>
      <c r="E63" s="643"/>
      <c r="F63" s="643"/>
      <c r="G63" s="643"/>
      <c r="H63" s="643"/>
      <c r="I63" s="643"/>
      <c r="J63" s="643"/>
      <c r="K63" s="643"/>
      <c r="L63" s="643"/>
      <c r="M63" s="644"/>
      <c r="N63" s="646"/>
      <c r="O63" s="646"/>
      <c r="P63" s="619">
        <v>46196</v>
      </c>
      <c r="Q63" s="619"/>
      <c r="R63" s="619"/>
      <c r="S63" s="619"/>
      <c r="T63" s="619"/>
      <c r="U63" s="620">
        <v>46197</v>
      </c>
      <c r="V63" s="620"/>
      <c r="W63" s="620"/>
      <c r="X63" s="620"/>
      <c r="Y63" s="620"/>
      <c r="Z63" s="619">
        <v>46198</v>
      </c>
      <c r="AA63" s="619"/>
      <c r="AB63" s="619"/>
      <c r="AC63" s="619"/>
      <c r="AD63" s="619"/>
      <c r="AE63" s="620">
        <v>46199</v>
      </c>
      <c r="AF63" s="620"/>
      <c r="AG63" s="620"/>
      <c r="AH63" s="620"/>
      <c r="AI63" s="620"/>
      <c r="AJ63" s="621">
        <v>46200</v>
      </c>
      <c r="AK63" s="622"/>
      <c r="AL63" s="622"/>
      <c r="AM63" s="622"/>
      <c r="AN63" s="623"/>
      <c r="AO63" s="620">
        <v>46201</v>
      </c>
      <c r="AP63" s="620"/>
      <c r="AQ63" s="620"/>
      <c r="AR63" s="620"/>
      <c r="AS63" s="620"/>
      <c r="AT63" s="621">
        <v>46202</v>
      </c>
      <c r="AU63" s="622"/>
      <c r="AV63" s="622"/>
      <c r="AW63" s="622"/>
      <c r="AX63" s="623"/>
    </row>
    <row r="64" spans="2:50" ht="14.25" customHeight="1">
      <c r="B64" s="611" t="s">
        <v>162</v>
      </c>
      <c r="C64" s="611" t="s">
        <v>157</v>
      </c>
      <c r="D64" s="611"/>
      <c r="E64" s="611" t="s">
        <v>158</v>
      </c>
      <c r="F64" s="611"/>
      <c r="G64" s="611"/>
      <c r="H64" s="611" t="s">
        <v>163</v>
      </c>
      <c r="I64" s="615" t="s">
        <v>364</v>
      </c>
      <c r="J64" s="615"/>
      <c r="K64" s="615"/>
      <c r="L64" s="615" t="s">
        <v>163</v>
      </c>
      <c r="M64" s="615" t="s">
        <v>165</v>
      </c>
      <c r="N64" s="611"/>
      <c r="O64" s="611" t="s">
        <v>164</v>
      </c>
      <c r="P64" s="611" t="s">
        <v>160</v>
      </c>
      <c r="Q64" s="611"/>
      <c r="R64" s="611"/>
      <c r="S64" s="611"/>
      <c r="T64" s="611" t="s">
        <v>163</v>
      </c>
      <c r="U64" s="611" t="s">
        <v>160</v>
      </c>
      <c r="V64" s="611"/>
      <c r="W64" s="611"/>
      <c r="X64" s="611"/>
      <c r="Y64" s="611" t="s">
        <v>163</v>
      </c>
      <c r="Z64" s="611" t="s">
        <v>160</v>
      </c>
      <c r="AA64" s="611"/>
      <c r="AB64" s="611"/>
      <c r="AC64" s="611"/>
      <c r="AD64" s="611" t="s">
        <v>163</v>
      </c>
      <c r="AE64" s="611" t="s">
        <v>160</v>
      </c>
      <c r="AF64" s="611"/>
      <c r="AG64" s="611"/>
      <c r="AH64" s="611"/>
      <c r="AI64" s="611" t="s">
        <v>163</v>
      </c>
      <c r="AJ64" s="611" t="s">
        <v>160</v>
      </c>
      <c r="AK64" s="611"/>
      <c r="AL64" s="611"/>
      <c r="AM64" s="611"/>
      <c r="AN64" s="611" t="s">
        <v>163</v>
      </c>
      <c r="AO64" s="611" t="s">
        <v>160</v>
      </c>
      <c r="AP64" s="611"/>
      <c r="AQ64" s="611"/>
      <c r="AR64" s="611"/>
      <c r="AS64" s="611" t="s">
        <v>163</v>
      </c>
      <c r="AT64" s="611" t="s">
        <v>160</v>
      </c>
      <c r="AU64" s="611"/>
      <c r="AV64" s="611"/>
      <c r="AW64" s="611"/>
      <c r="AX64" s="611" t="s">
        <v>163</v>
      </c>
    </row>
    <row r="65" spans="2:50" ht="14.25" customHeight="1">
      <c r="B65" s="611"/>
      <c r="C65" s="611"/>
      <c r="D65" s="611"/>
      <c r="E65" s="611" t="s">
        <v>365</v>
      </c>
      <c r="F65" s="611"/>
      <c r="G65" s="611"/>
      <c r="H65" s="611"/>
      <c r="I65" s="615" t="s">
        <v>365</v>
      </c>
      <c r="J65" s="615"/>
      <c r="K65" s="615"/>
      <c r="L65" s="615"/>
      <c r="M65" s="615"/>
      <c r="N65" s="611"/>
      <c r="O65" s="611"/>
      <c r="P65" s="611" t="s">
        <v>366</v>
      </c>
      <c r="Q65" s="611"/>
      <c r="R65" s="611"/>
      <c r="S65" s="611"/>
      <c r="T65" s="611"/>
      <c r="U65" s="611" t="s">
        <v>366</v>
      </c>
      <c r="V65" s="611"/>
      <c r="W65" s="611"/>
      <c r="X65" s="611"/>
      <c r="Y65" s="611"/>
      <c r="Z65" s="611" t="s">
        <v>366</v>
      </c>
      <c r="AA65" s="611"/>
      <c r="AB65" s="611"/>
      <c r="AC65" s="611"/>
      <c r="AD65" s="611"/>
      <c r="AE65" s="611" t="s">
        <v>366</v>
      </c>
      <c r="AF65" s="611"/>
      <c r="AG65" s="611"/>
      <c r="AH65" s="611"/>
      <c r="AI65" s="611"/>
      <c r="AJ65" s="611" t="s">
        <v>366</v>
      </c>
      <c r="AK65" s="611"/>
      <c r="AL65" s="611"/>
      <c r="AM65" s="611"/>
      <c r="AN65" s="611"/>
      <c r="AO65" s="611" t="s">
        <v>366</v>
      </c>
      <c r="AP65" s="611"/>
      <c r="AQ65" s="611"/>
      <c r="AR65" s="611"/>
      <c r="AS65" s="611"/>
      <c r="AT65" s="611" t="s">
        <v>366</v>
      </c>
      <c r="AU65" s="611"/>
      <c r="AV65" s="611"/>
      <c r="AW65" s="611"/>
      <c r="AX65" s="611"/>
    </row>
    <row r="66" spans="2:50" ht="14.25" customHeight="1">
      <c r="B66" s="611"/>
      <c r="C66" s="611"/>
      <c r="D66" s="611"/>
      <c r="E66" s="179" t="s">
        <v>159</v>
      </c>
      <c r="F66" s="179" t="s">
        <v>367</v>
      </c>
      <c r="G66" s="179" t="s">
        <v>161</v>
      </c>
      <c r="H66" s="611"/>
      <c r="I66" s="180" t="s">
        <v>159</v>
      </c>
      <c r="J66" s="180" t="s">
        <v>367</v>
      </c>
      <c r="K66" s="180" t="s">
        <v>161</v>
      </c>
      <c r="L66" s="615"/>
      <c r="M66" s="615"/>
      <c r="N66" s="611"/>
      <c r="O66" s="611"/>
      <c r="P66" s="179" t="s">
        <v>159</v>
      </c>
      <c r="Q66" s="179" t="s">
        <v>367</v>
      </c>
      <c r="R66" s="179" t="s">
        <v>161</v>
      </c>
      <c r="S66" s="181" t="s">
        <v>165</v>
      </c>
      <c r="T66" s="611"/>
      <c r="U66" s="179" t="s">
        <v>159</v>
      </c>
      <c r="V66" s="179" t="s">
        <v>367</v>
      </c>
      <c r="W66" s="179" t="s">
        <v>161</v>
      </c>
      <c r="X66" s="181" t="s">
        <v>165</v>
      </c>
      <c r="Y66" s="611"/>
      <c r="Z66" s="179" t="s">
        <v>159</v>
      </c>
      <c r="AA66" s="179" t="s">
        <v>367</v>
      </c>
      <c r="AB66" s="179" t="s">
        <v>161</v>
      </c>
      <c r="AC66" s="181" t="s">
        <v>165</v>
      </c>
      <c r="AD66" s="611"/>
      <c r="AE66" s="179" t="s">
        <v>159</v>
      </c>
      <c r="AF66" s="179" t="s">
        <v>367</v>
      </c>
      <c r="AG66" s="179" t="s">
        <v>161</v>
      </c>
      <c r="AH66" s="181" t="s">
        <v>165</v>
      </c>
      <c r="AI66" s="611"/>
      <c r="AJ66" s="179" t="s">
        <v>159</v>
      </c>
      <c r="AK66" s="179" t="s">
        <v>367</v>
      </c>
      <c r="AL66" s="179" t="s">
        <v>161</v>
      </c>
      <c r="AM66" s="181" t="s">
        <v>165</v>
      </c>
      <c r="AN66" s="611"/>
      <c r="AO66" s="179" t="s">
        <v>159</v>
      </c>
      <c r="AP66" s="179" t="s">
        <v>367</v>
      </c>
      <c r="AQ66" s="179" t="s">
        <v>161</v>
      </c>
      <c r="AR66" s="181" t="s">
        <v>165</v>
      </c>
      <c r="AS66" s="611"/>
      <c r="AT66" s="179" t="s">
        <v>159</v>
      </c>
      <c r="AU66" s="179" t="s">
        <v>367</v>
      </c>
      <c r="AV66" s="179" t="s">
        <v>161</v>
      </c>
      <c r="AW66" s="181" t="s">
        <v>165</v>
      </c>
      <c r="AX66" s="611"/>
    </row>
    <row r="67" spans="2:50" ht="14.25" customHeight="1">
      <c r="B67" s="611" t="s">
        <v>348</v>
      </c>
      <c r="C67" s="179">
        <v>1</v>
      </c>
      <c r="D67" s="182" t="s">
        <v>342</v>
      </c>
      <c r="E67" s="183">
        <v>24</v>
      </c>
      <c r="F67" s="179">
        <v>2000</v>
      </c>
      <c r="G67" s="184">
        <f t="shared" ref="G67:G74" si="56">IFERROR(F67/E67,"")</f>
        <v>83.333333333333329</v>
      </c>
      <c r="H67" s="612">
        <f>AVERAGE(G67:G81)</f>
        <v>92.03329882677707</v>
      </c>
      <c r="I67" s="185">
        <f>AVERAGE(P67,U67,Z67,AE67,AJ67,AO67,AT67)</f>
        <v>24</v>
      </c>
      <c r="J67" s="185">
        <f>AVERAGE(Q67,V67,AA67,AF67,AK67,AP67,AU67)</f>
        <v>1790.1686175007592</v>
      </c>
      <c r="K67" s="186">
        <f>AVERAGE(R67,W67,AB67,AG67,AL67,AQ67,AV67)</f>
        <v>74.590359062531633</v>
      </c>
      <c r="L67" s="613">
        <f>IFERROR(AVERAGE(K67:K81),"-")</f>
        <v>84.372195591997368</v>
      </c>
      <c r="M67" s="185">
        <f>RANK(K67, K$67:$K$81)</f>
        <v>8</v>
      </c>
      <c r="N67" s="611"/>
      <c r="O67" s="611"/>
      <c r="P67" s="187">
        <v>24</v>
      </c>
      <c r="Q67" s="187">
        <v>1787.9403014463892</v>
      </c>
      <c r="R67" s="184">
        <f>IFERROR(Q67/P67,"")</f>
        <v>74.497512560266216</v>
      </c>
      <c r="S67" s="181">
        <f>RANK(R67, R$67:R$81)</f>
        <v>8</v>
      </c>
      <c r="T67" s="612">
        <f>AVERAGE(R67:R81)</f>
        <v>84.343432049631531</v>
      </c>
      <c r="U67" s="187">
        <v>24</v>
      </c>
      <c r="V67" s="187">
        <v>1788.3403014463893</v>
      </c>
      <c r="W67" s="184">
        <f t="shared" ref="W67:W74" si="57">IFERROR(V67/U67,"")</f>
        <v>74.514179226932882</v>
      </c>
      <c r="X67" s="181">
        <f>RANK(W67, W$67:W$81)</f>
        <v>8</v>
      </c>
      <c r="Y67" s="612">
        <f>AVERAGE(W67:W81)</f>
        <v>84.352293776410875</v>
      </c>
      <c r="Z67" s="187">
        <v>24</v>
      </c>
      <c r="AA67" s="187">
        <v>1788.5403014463891</v>
      </c>
      <c r="AB67" s="184">
        <f>IFERROR(AA67/Z67,"")</f>
        <v>74.522512560266208</v>
      </c>
      <c r="AC67" s="181">
        <f>RANK(AB67, AB$67:AB$81)</f>
        <v>8</v>
      </c>
      <c r="AD67" s="612">
        <f>AVERAGE(AB67:AB81)</f>
        <v>84.353382026928472</v>
      </c>
      <c r="AE67" s="187">
        <v>24</v>
      </c>
      <c r="AF67" s="187">
        <v>1789.140301446389</v>
      </c>
      <c r="AG67" s="184">
        <f>IFERROR(AF67/AE67,"")</f>
        <v>74.547512560266213</v>
      </c>
      <c r="AH67" s="181">
        <f>RANK(AG67, AG$67:AG$81)</f>
        <v>8</v>
      </c>
      <c r="AI67" s="612">
        <f>AVERAGE(AG67:AG81)</f>
        <v>84.355466654257654</v>
      </c>
      <c r="AJ67" s="187">
        <v>24</v>
      </c>
      <c r="AK67" s="187">
        <v>1789.1403014463888</v>
      </c>
      <c r="AL67" s="184">
        <f>IFERROR(AK67/AJ67,"")</f>
        <v>74.547512560266199</v>
      </c>
      <c r="AM67" s="181">
        <f>RANK(AL67, AL$67:AL$81)</f>
        <v>8</v>
      </c>
      <c r="AN67" s="612">
        <f>AVERAGE(AL67:AL81)</f>
        <v>84.368508687746314</v>
      </c>
      <c r="AO67" s="187">
        <v>24</v>
      </c>
      <c r="AP67" s="187">
        <v>1793.3729902491116</v>
      </c>
      <c r="AQ67" s="184">
        <f>IFERROR(AP67/AO67,"")</f>
        <v>74.723874593712978</v>
      </c>
      <c r="AR67" s="181">
        <f>RANK(AQ67, AQ$67:AQ$81)</f>
        <v>8</v>
      </c>
      <c r="AS67" s="612">
        <f>AVERAGE(AQ67:AQ81)</f>
        <v>84.393814811492376</v>
      </c>
      <c r="AT67" s="187">
        <v>24</v>
      </c>
      <c r="AU67" s="187">
        <v>1794.7058250242576</v>
      </c>
      <c r="AV67" s="184">
        <f>IFERROR(AU67/AT67,"")</f>
        <v>74.779409376010733</v>
      </c>
      <c r="AW67" s="181">
        <f>RANK(AV67, AV$67:AV$81)</f>
        <v>8</v>
      </c>
      <c r="AX67" s="612">
        <f>AVERAGE(AV67:AV81)</f>
        <v>84.438471137514341</v>
      </c>
    </row>
    <row r="68" spans="2:50" ht="14.25" customHeight="1">
      <c r="B68" s="611"/>
      <c r="C68" s="179">
        <v>2</v>
      </c>
      <c r="D68" s="182" t="s">
        <v>751</v>
      </c>
      <c r="E68" s="179">
        <v>21</v>
      </c>
      <c r="F68" s="179">
        <v>1800</v>
      </c>
      <c r="G68" s="184">
        <f t="shared" si="56"/>
        <v>85.714285714285708</v>
      </c>
      <c r="H68" s="612"/>
      <c r="I68" s="185">
        <f t="shared" ref="I68:K74" si="58">AVERAGE(P68,U68,Z68,AE68,AJ68,AO68,AT68)</f>
        <v>21</v>
      </c>
      <c r="J68" s="185">
        <f t="shared" si="58"/>
        <v>1622.5638793313556</v>
      </c>
      <c r="K68" s="186">
        <f t="shared" si="58"/>
        <v>77.264946634826444</v>
      </c>
      <c r="L68" s="613"/>
      <c r="M68" s="185">
        <f>RANK(K68, K$67:$K$81)</f>
        <v>7</v>
      </c>
      <c r="N68" s="611"/>
      <c r="O68" s="611"/>
      <c r="P68" s="187">
        <v>21</v>
      </c>
      <c r="Q68" s="187">
        <v>1622.492366748419</v>
      </c>
      <c r="R68" s="184">
        <f t="shared" ref="R68:R74" si="59">IFERROR(Q68/P68,"")</f>
        <v>77.261541273734238</v>
      </c>
      <c r="S68" s="181">
        <f t="shared" ref="S68:S74" si="60">RANK(R68, R$67:R$81)</f>
        <v>7</v>
      </c>
      <c r="T68" s="612"/>
      <c r="U68" s="187">
        <v>21</v>
      </c>
      <c r="V68" s="187">
        <v>1622.5354846734358</v>
      </c>
      <c r="W68" s="184">
        <f t="shared" si="57"/>
        <v>77.263594508258848</v>
      </c>
      <c r="X68" s="181">
        <f t="shared" ref="X68:X74" si="61">RANK(W68, W$67:W$81)</f>
        <v>7</v>
      </c>
      <c r="Y68" s="612"/>
      <c r="Z68" s="187">
        <v>21</v>
      </c>
      <c r="AA68" s="187">
        <v>1621.9954846734358</v>
      </c>
      <c r="AB68" s="184">
        <f t="shared" ref="AB68:AB74" si="62">IFERROR(AA68/Z68,"")</f>
        <v>77.237880222544561</v>
      </c>
      <c r="AC68" s="181">
        <f t="shared" ref="AC68:AC74" si="63">RANK(AB68, AB$67:AB$81)</f>
        <v>7</v>
      </c>
      <c r="AD68" s="612"/>
      <c r="AE68" s="187">
        <v>21</v>
      </c>
      <c r="AF68" s="187">
        <v>1621.4554846734359</v>
      </c>
      <c r="AG68" s="184">
        <f t="shared" ref="AG68:AG74" si="64">IFERROR(AF68/AE68,"")</f>
        <v>77.212165936830274</v>
      </c>
      <c r="AH68" s="181">
        <f t="shared" ref="AH68:AH74" si="65">RANK(AG68, AG$67:AG$81)</f>
        <v>7</v>
      </c>
      <c r="AI68" s="612"/>
      <c r="AJ68" s="187">
        <v>21</v>
      </c>
      <c r="AK68" s="187">
        <v>1622.9161115169209</v>
      </c>
      <c r="AL68" s="184">
        <f t="shared" ref="AL68:AL74" si="66">IFERROR(AK68/AJ68,"")</f>
        <v>77.281719596043857</v>
      </c>
      <c r="AM68" s="181">
        <f t="shared" ref="AM68:AM74" si="67">RANK(AL68, AL$67:AL$81)</f>
        <v>7</v>
      </c>
      <c r="AN68" s="612"/>
      <c r="AO68" s="187">
        <v>21</v>
      </c>
      <c r="AP68" s="187">
        <v>1622.9161115169209</v>
      </c>
      <c r="AQ68" s="184">
        <f t="shared" ref="AQ68:AQ74" si="68">IFERROR(AP68/AO68,"")</f>
        <v>77.281719596043857</v>
      </c>
      <c r="AR68" s="181">
        <f t="shared" ref="AR68:AR74" si="69">RANK(AQ68, AQ$67:AQ$81)</f>
        <v>7</v>
      </c>
      <c r="AS68" s="612"/>
      <c r="AT68" s="187">
        <v>21</v>
      </c>
      <c r="AU68" s="187">
        <v>1623.6361115169207</v>
      </c>
      <c r="AV68" s="184">
        <f t="shared" ref="AV68:AV74" si="70">IFERROR(AU68/AT68,"")</f>
        <v>77.316005310329558</v>
      </c>
      <c r="AW68" s="181">
        <f t="shared" ref="AW68:AW74" si="71">RANK(AV68, AV$67:AV$81)</f>
        <v>7</v>
      </c>
      <c r="AX68" s="612"/>
    </row>
    <row r="69" spans="2:50" ht="14.25" customHeight="1">
      <c r="B69" s="611"/>
      <c r="C69" s="179">
        <v>3</v>
      </c>
      <c r="D69" s="182" t="s">
        <v>341</v>
      </c>
      <c r="E69" s="179">
        <v>23</v>
      </c>
      <c r="F69" s="179">
        <v>2000</v>
      </c>
      <c r="G69" s="184">
        <f t="shared" si="56"/>
        <v>86.956521739130437</v>
      </c>
      <c r="H69" s="612"/>
      <c r="I69" s="185">
        <f t="shared" si="58"/>
        <v>23</v>
      </c>
      <c r="J69" s="185">
        <f t="shared" si="58"/>
        <v>1794.0305816075384</v>
      </c>
      <c r="K69" s="186">
        <f t="shared" si="58"/>
        <v>78.001329635110352</v>
      </c>
      <c r="L69" s="613"/>
      <c r="M69" s="185">
        <f>RANK(K69, K$67:$K$81)</f>
        <v>6</v>
      </c>
      <c r="N69" s="611"/>
      <c r="O69" s="611"/>
      <c r="P69" s="187">
        <v>23</v>
      </c>
      <c r="Q69" s="187">
        <v>1792.8524309637796</v>
      </c>
      <c r="R69" s="184">
        <f t="shared" si="59"/>
        <v>77.950105694077379</v>
      </c>
      <c r="S69" s="181">
        <f t="shared" si="60"/>
        <v>6</v>
      </c>
      <c r="T69" s="612"/>
      <c r="U69" s="187">
        <v>23</v>
      </c>
      <c r="V69" s="187">
        <v>1793.2524309637797</v>
      </c>
      <c r="W69" s="184">
        <f t="shared" si="57"/>
        <v>77.967496998425204</v>
      </c>
      <c r="X69" s="181">
        <f t="shared" si="61"/>
        <v>6</v>
      </c>
      <c r="Y69" s="612"/>
      <c r="Z69" s="187">
        <v>23</v>
      </c>
      <c r="AA69" s="187">
        <v>1793.6524309637798</v>
      </c>
      <c r="AB69" s="184">
        <f t="shared" si="62"/>
        <v>77.98488830277303</v>
      </c>
      <c r="AC69" s="181">
        <f t="shared" si="63"/>
        <v>5</v>
      </c>
      <c r="AD69" s="612"/>
      <c r="AE69" s="187">
        <v>23</v>
      </c>
      <c r="AF69" s="187">
        <v>1793.8524309637796</v>
      </c>
      <c r="AG69" s="184">
        <f t="shared" si="64"/>
        <v>77.993583954946942</v>
      </c>
      <c r="AH69" s="181">
        <f t="shared" si="65"/>
        <v>5</v>
      </c>
      <c r="AI69" s="612"/>
      <c r="AJ69" s="187">
        <v>23</v>
      </c>
      <c r="AK69" s="187">
        <v>1794.0524309637794</v>
      </c>
      <c r="AL69" s="184">
        <f t="shared" si="66"/>
        <v>78.00227960712084</v>
      </c>
      <c r="AM69" s="181">
        <f t="shared" si="67"/>
        <v>5</v>
      </c>
      <c r="AN69" s="612"/>
      <c r="AO69" s="187">
        <v>23</v>
      </c>
      <c r="AP69" s="187">
        <v>1794.2524309637797</v>
      </c>
      <c r="AQ69" s="184">
        <f t="shared" si="68"/>
        <v>78.010975259294767</v>
      </c>
      <c r="AR69" s="181">
        <f t="shared" si="69"/>
        <v>5</v>
      </c>
      <c r="AS69" s="612"/>
      <c r="AT69" s="187">
        <v>23</v>
      </c>
      <c r="AU69" s="187">
        <v>1796.2994854700892</v>
      </c>
      <c r="AV69" s="184">
        <f t="shared" si="70"/>
        <v>78.099977629134315</v>
      </c>
      <c r="AW69" s="181">
        <f t="shared" si="71"/>
        <v>6</v>
      </c>
      <c r="AX69" s="612"/>
    </row>
    <row r="70" spans="2:50" ht="14.25" customHeight="1">
      <c r="B70" s="611"/>
      <c r="C70" s="179">
        <v>4</v>
      </c>
      <c r="D70" s="182" t="s">
        <v>349</v>
      </c>
      <c r="E70" s="179">
        <v>23</v>
      </c>
      <c r="F70" s="179">
        <v>2000</v>
      </c>
      <c r="G70" s="184">
        <f t="shared" si="56"/>
        <v>86.956521739130437</v>
      </c>
      <c r="H70" s="612"/>
      <c r="I70" s="185">
        <f t="shared" si="58"/>
        <v>23</v>
      </c>
      <c r="J70" s="185">
        <f t="shared" si="58"/>
        <v>1794.0692793597937</v>
      </c>
      <c r="K70" s="186">
        <f t="shared" si="58"/>
        <v>78.003012146077978</v>
      </c>
      <c r="L70" s="613"/>
      <c r="M70" s="185">
        <f>RANK(K70, K$67:$K$81)</f>
        <v>5</v>
      </c>
      <c r="N70" s="611"/>
      <c r="O70" s="611"/>
      <c r="P70" s="187">
        <v>23</v>
      </c>
      <c r="Q70" s="187">
        <v>1792.9607611406516</v>
      </c>
      <c r="R70" s="184">
        <f t="shared" si="59"/>
        <v>77.954815701767458</v>
      </c>
      <c r="S70" s="181">
        <f t="shared" si="60"/>
        <v>5</v>
      </c>
      <c r="T70" s="612"/>
      <c r="U70" s="187">
        <v>23</v>
      </c>
      <c r="V70" s="187">
        <v>1793.5607611406515</v>
      </c>
      <c r="W70" s="184">
        <f t="shared" si="57"/>
        <v>77.980902658289196</v>
      </c>
      <c r="X70" s="181">
        <f t="shared" si="61"/>
        <v>5</v>
      </c>
      <c r="Y70" s="612"/>
      <c r="Z70" s="187">
        <v>23</v>
      </c>
      <c r="AA70" s="187">
        <v>1793.5607611406513</v>
      </c>
      <c r="AB70" s="184">
        <f t="shared" si="62"/>
        <v>77.980902658289182</v>
      </c>
      <c r="AC70" s="181">
        <f t="shared" si="63"/>
        <v>6</v>
      </c>
      <c r="AD70" s="612"/>
      <c r="AE70" s="187">
        <v>23</v>
      </c>
      <c r="AF70" s="187">
        <v>1793.560761140651</v>
      </c>
      <c r="AG70" s="184">
        <f t="shared" si="64"/>
        <v>77.980902658289182</v>
      </c>
      <c r="AH70" s="181">
        <f t="shared" si="65"/>
        <v>6</v>
      </c>
      <c r="AI70" s="612"/>
      <c r="AJ70" s="187">
        <v>23</v>
      </c>
      <c r="AK70" s="187">
        <v>1793.9607611406509</v>
      </c>
      <c r="AL70" s="184">
        <f t="shared" si="66"/>
        <v>77.998293962636993</v>
      </c>
      <c r="AM70" s="181">
        <f t="shared" si="67"/>
        <v>6</v>
      </c>
      <c r="AN70" s="612"/>
      <c r="AO70" s="187">
        <v>23</v>
      </c>
      <c r="AP70" s="187">
        <v>1794.1607611406507</v>
      </c>
      <c r="AQ70" s="184">
        <f t="shared" si="68"/>
        <v>78.006989614810905</v>
      </c>
      <c r="AR70" s="181">
        <f t="shared" si="69"/>
        <v>6</v>
      </c>
      <c r="AS70" s="612"/>
      <c r="AT70" s="187">
        <v>23</v>
      </c>
      <c r="AU70" s="187">
        <v>1796.7203886746483</v>
      </c>
      <c r="AV70" s="184">
        <f t="shared" si="70"/>
        <v>78.118277768462974</v>
      </c>
      <c r="AW70" s="181">
        <f t="shared" si="71"/>
        <v>5</v>
      </c>
      <c r="AX70" s="612"/>
    </row>
    <row r="71" spans="2:50" ht="14.25" customHeight="1">
      <c r="B71" s="611"/>
      <c r="C71" s="179">
        <v>5</v>
      </c>
      <c r="D71" s="182" t="s">
        <v>343</v>
      </c>
      <c r="E71" s="179">
        <v>23</v>
      </c>
      <c r="F71" s="179">
        <v>2000</v>
      </c>
      <c r="G71" s="184">
        <f t="shared" si="56"/>
        <v>86.956521739130437</v>
      </c>
      <c r="H71" s="612"/>
      <c r="I71" s="185">
        <f t="shared" si="58"/>
        <v>23</v>
      </c>
      <c r="J71" s="185">
        <f t="shared" si="58"/>
        <v>1796.4703985573926</v>
      </c>
      <c r="K71" s="186">
        <f t="shared" si="58"/>
        <v>78.107408632930102</v>
      </c>
      <c r="L71" s="613"/>
      <c r="M71" s="185">
        <f>RANK(K71, K$67:$K$81)</f>
        <v>4</v>
      </c>
      <c r="N71" s="611"/>
      <c r="O71" s="611"/>
      <c r="P71" s="187">
        <v>23</v>
      </c>
      <c r="Q71" s="187">
        <v>1795.8132557002502</v>
      </c>
      <c r="R71" s="184">
        <f t="shared" si="59"/>
        <v>78.078837204358706</v>
      </c>
      <c r="S71" s="181">
        <f t="shared" si="60"/>
        <v>4</v>
      </c>
      <c r="T71" s="612"/>
      <c r="U71" s="187">
        <v>23</v>
      </c>
      <c r="V71" s="187">
        <v>1796.0132557002501</v>
      </c>
      <c r="W71" s="184">
        <f t="shared" si="57"/>
        <v>78.087532856532604</v>
      </c>
      <c r="X71" s="181">
        <f t="shared" si="61"/>
        <v>4</v>
      </c>
      <c r="Y71" s="612"/>
      <c r="Z71" s="187">
        <v>23</v>
      </c>
      <c r="AA71" s="187">
        <v>1796.2132557002496</v>
      </c>
      <c r="AB71" s="184">
        <f t="shared" si="62"/>
        <v>78.096228508706503</v>
      </c>
      <c r="AC71" s="181">
        <f t="shared" si="63"/>
        <v>4</v>
      </c>
      <c r="AD71" s="612"/>
      <c r="AE71" s="187">
        <v>23</v>
      </c>
      <c r="AF71" s="187">
        <v>1796.4132557002492</v>
      </c>
      <c r="AG71" s="184">
        <f t="shared" si="64"/>
        <v>78.104924160880401</v>
      </c>
      <c r="AH71" s="181">
        <f t="shared" si="65"/>
        <v>4</v>
      </c>
      <c r="AI71" s="612"/>
      <c r="AJ71" s="187">
        <v>23</v>
      </c>
      <c r="AK71" s="187">
        <v>1796.6132557002493</v>
      </c>
      <c r="AL71" s="184">
        <f t="shared" si="66"/>
        <v>78.113619813054314</v>
      </c>
      <c r="AM71" s="181">
        <f t="shared" si="67"/>
        <v>4</v>
      </c>
      <c r="AN71" s="612"/>
      <c r="AO71" s="187">
        <v>23</v>
      </c>
      <c r="AP71" s="187">
        <v>1796.8132557002493</v>
      </c>
      <c r="AQ71" s="184">
        <f t="shared" si="68"/>
        <v>78.122315465228226</v>
      </c>
      <c r="AR71" s="181">
        <f t="shared" si="69"/>
        <v>4</v>
      </c>
      <c r="AS71" s="612"/>
      <c r="AT71" s="187">
        <v>23</v>
      </c>
      <c r="AU71" s="187">
        <v>1797.413255700249</v>
      </c>
      <c r="AV71" s="184">
        <f t="shared" si="70"/>
        <v>78.148402421749964</v>
      </c>
      <c r="AW71" s="181">
        <f t="shared" si="71"/>
        <v>4</v>
      </c>
      <c r="AX71" s="612"/>
    </row>
    <row r="72" spans="2:50" ht="14.25" customHeight="1">
      <c r="B72" s="611"/>
      <c r="C72" s="179">
        <v>6</v>
      </c>
      <c r="D72" s="182" t="s">
        <v>473</v>
      </c>
      <c r="E72" s="179">
        <v>20</v>
      </c>
      <c r="F72" s="179">
        <v>2000</v>
      </c>
      <c r="G72" s="184">
        <f t="shared" si="56"/>
        <v>100</v>
      </c>
      <c r="H72" s="612"/>
      <c r="I72" s="185">
        <f t="shared" si="58"/>
        <v>19</v>
      </c>
      <c r="J72" s="185">
        <f t="shared" si="58"/>
        <v>1790.0571428571427</v>
      </c>
      <c r="K72" s="186">
        <f t="shared" si="58"/>
        <v>94.213533834586471</v>
      </c>
      <c r="L72" s="613"/>
      <c r="M72" s="185">
        <f>RANK(K72, K$67:$K$81)</f>
        <v>2</v>
      </c>
      <c r="N72" s="611"/>
      <c r="O72" s="611"/>
      <c r="P72" s="187">
        <v>19</v>
      </c>
      <c r="Q72" s="187">
        <v>1790.0000000000002</v>
      </c>
      <c r="R72" s="184">
        <f t="shared" si="59"/>
        <v>94.21052631578948</v>
      </c>
      <c r="S72" s="181">
        <f t="shared" si="60"/>
        <v>2</v>
      </c>
      <c r="T72" s="612"/>
      <c r="U72" s="187">
        <v>19</v>
      </c>
      <c r="V72" s="187">
        <v>1790.0000000000002</v>
      </c>
      <c r="W72" s="184">
        <f t="shared" si="57"/>
        <v>94.21052631578948</v>
      </c>
      <c r="X72" s="181">
        <f t="shared" si="61"/>
        <v>2</v>
      </c>
      <c r="Y72" s="612"/>
      <c r="Z72" s="187">
        <v>19</v>
      </c>
      <c r="AA72" s="187">
        <v>1790</v>
      </c>
      <c r="AB72" s="184">
        <f t="shared" si="62"/>
        <v>94.21052631578948</v>
      </c>
      <c r="AC72" s="181">
        <f t="shared" si="63"/>
        <v>2</v>
      </c>
      <c r="AD72" s="612"/>
      <c r="AE72" s="187">
        <v>19</v>
      </c>
      <c r="AF72" s="187">
        <v>1789.9999999999998</v>
      </c>
      <c r="AG72" s="184">
        <f t="shared" si="64"/>
        <v>94.210526315789465</v>
      </c>
      <c r="AH72" s="181">
        <f t="shared" si="65"/>
        <v>2</v>
      </c>
      <c r="AI72" s="612"/>
      <c r="AJ72" s="187">
        <v>19</v>
      </c>
      <c r="AK72" s="187">
        <v>1789.9999999999998</v>
      </c>
      <c r="AL72" s="184">
        <f t="shared" si="66"/>
        <v>94.210526315789465</v>
      </c>
      <c r="AM72" s="181">
        <f t="shared" si="67"/>
        <v>2</v>
      </c>
      <c r="AN72" s="612"/>
      <c r="AO72" s="187">
        <v>19</v>
      </c>
      <c r="AP72" s="187">
        <v>1790</v>
      </c>
      <c r="AQ72" s="184">
        <f t="shared" si="68"/>
        <v>94.21052631578948</v>
      </c>
      <c r="AR72" s="181">
        <f t="shared" si="69"/>
        <v>2</v>
      </c>
      <c r="AS72" s="612"/>
      <c r="AT72" s="187">
        <v>19</v>
      </c>
      <c r="AU72" s="187">
        <v>1790.4</v>
      </c>
      <c r="AV72" s="184">
        <f t="shared" si="70"/>
        <v>94.231578947368419</v>
      </c>
      <c r="AW72" s="181">
        <f t="shared" si="71"/>
        <v>2</v>
      </c>
      <c r="AX72" s="612"/>
    </row>
    <row r="73" spans="2:50" ht="14.25" customHeight="1">
      <c r="B73" s="611"/>
      <c r="C73" s="179">
        <v>7</v>
      </c>
      <c r="D73" s="182" t="s">
        <v>566</v>
      </c>
      <c r="E73" s="179">
        <v>18</v>
      </c>
      <c r="F73" s="179">
        <v>2000</v>
      </c>
      <c r="G73" s="184">
        <f t="shared" si="56"/>
        <v>111.11111111111111</v>
      </c>
      <c r="H73" s="612"/>
      <c r="I73" s="185">
        <f t="shared" si="58"/>
        <v>17</v>
      </c>
      <c r="J73" s="185">
        <f t="shared" si="58"/>
        <v>1790</v>
      </c>
      <c r="K73" s="186">
        <f t="shared" si="58"/>
        <v>105.29411764705881</v>
      </c>
      <c r="L73" s="613"/>
      <c r="M73" s="185">
        <f>RANK(K73, K$67:$K$81)</f>
        <v>1</v>
      </c>
      <c r="N73" s="611"/>
      <c r="O73" s="611"/>
      <c r="P73" s="187">
        <v>17</v>
      </c>
      <c r="Q73" s="187">
        <v>1790</v>
      </c>
      <c r="R73" s="184">
        <f t="shared" si="59"/>
        <v>105.29411764705883</v>
      </c>
      <c r="S73" s="181">
        <f t="shared" si="60"/>
        <v>1</v>
      </c>
      <c r="T73" s="612"/>
      <c r="U73" s="187">
        <v>17</v>
      </c>
      <c r="V73" s="187">
        <v>1790.0000000000002</v>
      </c>
      <c r="W73" s="184">
        <f t="shared" si="57"/>
        <v>105.29411764705884</v>
      </c>
      <c r="X73" s="181">
        <f t="shared" si="61"/>
        <v>1</v>
      </c>
      <c r="Y73" s="612"/>
      <c r="Z73" s="187">
        <v>17</v>
      </c>
      <c r="AA73" s="187">
        <v>1790.0000000000002</v>
      </c>
      <c r="AB73" s="184">
        <f t="shared" si="62"/>
        <v>105.29411764705884</v>
      </c>
      <c r="AC73" s="181">
        <f t="shared" si="63"/>
        <v>1</v>
      </c>
      <c r="AD73" s="612"/>
      <c r="AE73" s="187">
        <v>17</v>
      </c>
      <c r="AF73" s="187">
        <v>1790</v>
      </c>
      <c r="AG73" s="184">
        <f t="shared" si="64"/>
        <v>105.29411764705883</v>
      </c>
      <c r="AH73" s="181">
        <f t="shared" si="65"/>
        <v>1</v>
      </c>
      <c r="AI73" s="612"/>
      <c r="AJ73" s="187">
        <v>17</v>
      </c>
      <c r="AK73" s="187">
        <v>1790</v>
      </c>
      <c r="AL73" s="184">
        <f t="shared" si="66"/>
        <v>105.29411764705883</v>
      </c>
      <c r="AM73" s="181">
        <f t="shared" si="67"/>
        <v>1</v>
      </c>
      <c r="AN73" s="612"/>
      <c r="AO73" s="187">
        <v>17</v>
      </c>
      <c r="AP73" s="187">
        <v>1789.9999999999998</v>
      </c>
      <c r="AQ73" s="184">
        <f t="shared" si="68"/>
        <v>105.29411764705881</v>
      </c>
      <c r="AR73" s="181">
        <f t="shared" si="69"/>
        <v>1</v>
      </c>
      <c r="AS73" s="612"/>
      <c r="AT73" s="187">
        <v>17</v>
      </c>
      <c r="AU73" s="187">
        <v>1790.0000000000002</v>
      </c>
      <c r="AV73" s="184">
        <f t="shared" si="70"/>
        <v>105.29411764705884</v>
      </c>
      <c r="AW73" s="181">
        <f t="shared" si="71"/>
        <v>1</v>
      </c>
      <c r="AX73" s="612"/>
    </row>
    <row r="74" spans="2:50" ht="14.25" customHeight="1">
      <c r="B74" s="611"/>
      <c r="C74" s="179">
        <v>8</v>
      </c>
      <c r="D74" s="182" t="s">
        <v>664</v>
      </c>
      <c r="E74" s="179">
        <v>21</v>
      </c>
      <c r="F74" s="179">
        <v>2000</v>
      </c>
      <c r="G74" s="184">
        <f t="shared" si="56"/>
        <v>95.238095238095241</v>
      </c>
      <c r="H74" s="612"/>
      <c r="I74" s="185">
        <f t="shared" si="58"/>
        <v>20</v>
      </c>
      <c r="J74" s="185">
        <f t="shared" si="58"/>
        <v>1790.0571428571427</v>
      </c>
      <c r="K74" s="186">
        <f t="shared" si="58"/>
        <v>89.502857142857138</v>
      </c>
      <c r="L74" s="613"/>
      <c r="M74" s="185">
        <f>RANK(K74, K$67:$K$81)</f>
        <v>3</v>
      </c>
      <c r="N74" s="611"/>
      <c r="O74" s="611"/>
      <c r="P74" s="187">
        <v>20</v>
      </c>
      <c r="Q74" s="187">
        <v>1790.0000000000002</v>
      </c>
      <c r="R74" s="184">
        <f t="shared" si="59"/>
        <v>89.500000000000014</v>
      </c>
      <c r="S74" s="181">
        <f t="shared" si="60"/>
        <v>3</v>
      </c>
      <c r="T74" s="612"/>
      <c r="U74" s="187">
        <v>20</v>
      </c>
      <c r="V74" s="187">
        <v>1790</v>
      </c>
      <c r="W74" s="184">
        <f t="shared" si="57"/>
        <v>89.5</v>
      </c>
      <c r="X74" s="181">
        <f t="shared" si="61"/>
        <v>3</v>
      </c>
      <c r="Y74" s="612"/>
      <c r="Z74" s="187">
        <v>20</v>
      </c>
      <c r="AA74" s="187">
        <v>1790.0000000000002</v>
      </c>
      <c r="AB74" s="184">
        <f t="shared" si="62"/>
        <v>89.500000000000014</v>
      </c>
      <c r="AC74" s="181">
        <f t="shared" si="63"/>
        <v>3</v>
      </c>
      <c r="AD74" s="612"/>
      <c r="AE74" s="187">
        <v>20</v>
      </c>
      <c r="AF74" s="187">
        <v>1790</v>
      </c>
      <c r="AG74" s="184">
        <f t="shared" si="64"/>
        <v>89.5</v>
      </c>
      <c r="AH74" s="181">
        <f t="shared" si="65"/>
        <v>3</v>
      </c>
      <c r="AI74" s="612"/>
      <c r="AJ74" s="187">
        <v>20</v>
      </c>
      <c r="AK74" s="187">
        <v>1790.0000000000002</v>
      </c>
      <c r="AL74" s="184">
        <f t="shared" si="66"/>
        <v>89.500000000000014</v>
      </c>
      <c r="AM74" s="181">
        <f t="shared" si="67"/>
        <v>3</v>
      </c>
      <c r="AN74" s="612"/>
      <c r="AO74" s="187">
        <v>20</v>
      </c>
      <c r="AP74" s="187">
        <v>1790.0000000000002</v>
      </c>
      <c r="AQ74" s="184">
        <f t="shared" si="68"/>
        <v>89.500000000000014</v>
      </c>
      <c r="AR74" s="181">
        <f t="shared" si="69"/>
        <v>3</v>
      </c>
      <c r="AS74" s="612"/>
      <c r="AT74" s="187">
        <v>20</v>
      </c>
      <c r="AU74" s="187">
        <v>1790.4</v>
      </c>
      <c r="AV74" s="184">
        <f t="shared" si="70"/>
        <v>89.52000000000001</v>
      </c>
      <c r="AW74" s="181">
        <f t="shared" si="71"/>
        <v>3</v>
      </c>
      <c r="AX74" s="612"/>
    </row>
    <row r="75" spans="2:50" ht="14.25" customHeight="1">
      <c r="B75" s="611"/>
      <c r="C75" s="179">
        <v>9</v>
      </c>
      <c r="D75" s="182"/>
      <c r="E75" s="179"/>
      <c r="F75" s="179"/>
      <c r="G75" s="184"/>
      <c r="H75" s="612"/>
      <c r="I75" s="185"/>
      <c r="J75" s="185"/>
      <c r="K75" s="186"/>
      <c r="L75" s="613"/>
      <c r="M75" s="185"/>
      <c r="N75" s="611"/>
      <c r="O75" s="611"/>
      <c r="P75" s="187"/>
      <c r="Q75" s="187"/>
      <c r="R75" s="184"/>
      <c r="S75" s="181"/>
      <c r="T75" s="612"/>
      <c r="U75" s="187"/>
      <c r="V75" s="187"/>
      <c r="W75" s="184"/>
      <c r="X75" s="181"/>
      <c r="Y75" s="612"/>
      <c r="Z75" s="187"/>
      <c r="AA75" s="187"/>
      <c r="AB75" s="184"/>
      <c r="AC75" s="181"/>
      <c r="AD75" s="612"/>
      <c r="AE75" s="187"/>
      <c r="AF75" s="187"/>
      <c r="AG75" s="184"/>
      <c r="AH75" s="181"/>
      <c r="AI75" s="612"/>
      <c r="AJ75" s="187"/>
      <c r="AK75" s="187"/>
      <c r="AL75" s="184"/>
      <c r="AM75" s="181"/>
      <c r="AN75" s="612"/>
      <c r="AO75" s="187"/>
      <c r="AP75" s="187"/>
      <c r="AQ75" s="184"/>
      <c r="AR75" s="181"/>
      <c r="AS75" s="612"/>
      <c r="AT75" s="187"/>
      <c r="AU75" s="187"/>
      <c r="AV75" s="184"/>
      <c r="AW75" s="181"/>
      <c r="AX75" s="612"/>
    </row>
    <row r="76" spans="2:50" ht="14.25" customHeight="1">
      <c r="B76" s="611"/>
      <c r="C76" s="179">
        <v>10</v>
      </c>
      <c r="D76" s="182"/>
      <c r="E76" s="179"/>
      <c r="F76" s="179"/>
      <c r="G76" s="184"/>
      <c r="H76" s="612"/>
      <c r="I76" s="185"/>
      <c r="J76" s="185"/>
      <c r="K76" s="186"/>
      <c r="L76" s="613"/>
      <c r="M76" s="185"/>
      <c r="N76" s="611"/>
      <c r="O76" s="611"/>
      <c r="P76" s="187"/>
      <c r="Q76" s="187"/>
      <c r="R76" s="184"/>
      <c r="S76" s="181"/>
      <c r="T76" s="612"/>
      <c r="U76" s="187"/>
      <c r="V76" s="187"/>
      <c r="W76" s="184"/>
      <c r="X76" s="181"/>
      <c r="Y76" s="612"/>
      <c r="Z76" s="187"/>
      <c r="AA76" s="187"/>
      <c r="AB76" s="184"/>
      <c r="AC76" s="181"/>
      <c r="AD76" s="612"/>
      <c r="AE76" s="187"/>
      <c r="AF76" s="187"/>
      <c r="AG76" s="184"/>
      <c r="AH76" s="181"/>
      <c r="AI76" s="612"/>
      <c r="AJ76" s="187"/>
      <c r="AK76" s="187"/>
      <c r="AL76" s="184"/>
      <c r="AM76" s="181"/>
      <c r="AN76" s="612"/>
      <c r="AO76" s="187"/>
      <c r="AP76" s="187"/>
      <c r="AQ76" s="184"/>
      <c r="AR76" s="181"/>
      <c r="AS76" s="612"/>
      <c r="AT76" s="187"/>
      <c r="AU76" s="187"/>
      <c r="AV76" s="184"/>
      <c r="AW76" s="181"/>
      <c r="AX76" s="612"/>
    </row>
    <row r="77" spans="2:50" ht="14.25" customHeight="1">
      <c r="B77" s="611"/>
      <c r="C77" s="179">
        <v>11</v>
      </c>
      <c r="D77" s="182"/>
      <c r="E77" s="179"/>
      <c r="F77" s="179"/>
      <c r="G77" s="184"/>
      <c r="H77" s="612"/>
      <c r="I77" s="185"/>
      <c r="J77" s="185"/>
      <c r="K77" s="186"/>
      <c r="L77" s="613"/>
      <c r="M77" s="185"/>
      <c r="N77" s="611"/>
      <c r="O77" s="611"/>
      <c r="P77" s="187"/>
      <c r="Q77" s="187"/>
      <c r="R77" s="184"/>
      <c r="S77" s="181"/>
      <c r="T77" s="612"/>
      <c r="U77" s="187"/>
      <c r="V77" s="187"/>
      <c r="W77" s="184"/>
      <c r="X77" s="181"/>
      <c r="Y77" s="612"/>
      <c r="Z77" s="187"/>
      <c r="AA77" s="187"/>
      <c r="AB77" s="184"/>
      <c r="AC77" s="181"/>
      <c r="AD77" s="612"/>
      <c r="AE77" s="187"/>
      <c r="AF77" s="187"/>
      <c r="AG77" s="184"/>
      <c r="AH77" s="181"/>
      <c r="AI77" s="612"/>
      <c r="AJ77" s="187"/>
      <c r="AK77" s="187"/>
      <c r="AL77" s="184"/>
      <c r="AM77" s="181"/>
      <c r="AN77" s="612"/>
      <c r="AO77" s="187"/>
      <c r="AP77" s="187"/>
      <c r="AQ77" s="184"/>
      <c r="AR77" s="181"/>
      <c r="AS77" s="612"/>
      <c r="AT77" s="187"/>
      <c r="AU77" s="187"/>
      <c r="AV77" s="184"/>
      <c r="AW77" s="181"/>
      <c r="AX77" s="612"/>
    </row>
    <row r="78" spans="2:50" ht="14.25" customHeight="1">
      <c r="B78" s="611"/>
      <c r="C78" s="179">
        <v>12</v>
      </c>
      <c r="D78" s="182"/>
      <c r="E78" s="179"/>
      <c r="F78" s="179"/>
      <c r="G78" s="184"/>
      <c r="H78" s="612"/>
      <c r="I78" s="185"/>
      <c r="J78" s="185"/>
      <c r="K78" s="186"/>
      <c r="L78" s="613"/>
      <c r="M78" s="185"/>
      <c r="N78" s="611"/>
      <c r="O78" s="611"/>
      <c r="P78" s="187"/>
      <c r="Q78" s="187"/>
      <c r="R78" s="184"/>
      <c r="S78" s="181"/>
      <c r="T78" s="612"/>
      <c r="U78" s="187"/>
      <c r="V78" s="187"/>
      <c r="W78" s="184"/>
      <c r="X78" s="181"/>
      <c r="Y78" s="612"/>
      <c r="Z78" s="187"/>
      <c r="AA78" s="187"/>
      <c r="AB78" s="184"/>
      <c r="AC78" s="181"/>
      <c r="AD78" s="612"/>
      <c r="AE78" s="187"/>
      <c r="AF78" s="187"/>
      <c r="AG78" s="184"/>
      <c r="AH78" s="181"/>
      <c r="AI78" s="612"/>
      <c r="AJ78" s="187"/>
      <c r="AK78" s="187"/>
      <c r="AL78" s="184"/>
      <c r="AM78" s="181"/>
      <c r="AN78" s="612"/>
      <c r="AO78" s="187"/>
      <c r="AP78" s="187"/>
      <c r="AQ78" s="184"/>
      <c r="AR78" s="181"/>
      <c r="AS78" s="612"/>
      <c r="AT78" s="187"/>
      <c r="AU78" s="187"/>
      <c r="AV78" s="184"/>
      <c r="AW78" s="181"/>
      <c r="AX78" s="612"/>
    </row>
    <row r="79" spans="2:50" ht="14.25" customHeight="1">
      <c r="B79" s="611"/>
      <c r="C79" s="179">
        <v>13</v>
      </c>
      <c r="D79" s="182"/>
      <c r="E79" s="179"/>
      <c r="F79" s="179"/>
      <c r="G79" s="184"/>
      <c r="H79" s="612"/>
      <c r="I79" s="185"/>
      <c r="J79" s="185"/>
      <c r="K79" s="186"/>
      <c r="L79" s="613"/>
      <c r="M79" s="185"/>
      <c r="N79" s="611"/>
      <c r="O79" s="611"/>
      <c r="P79" s="187"/>
      <c r="Q79" s="187"/>
      <c r="R79" s="184"/>
      <c r="S79" s="181"/>
      <c r="T79" s="612"/>
      <c r="U79" s="187"/>
      <c r="V79" s="187"/>
      <c r="W79" s="184"/>
      <c r="X79" s="181"/>
      <c r="Y79" s="612"/>
      <c r="Z79" s="187"/>
      <c r="AA79" s="187"/>
      <c r="AB79" s="184"/>
      <c r="AC79" s="181"/>
      <c r="AD79" s="612"/>
      <c r="AE79" s="187"/>
      <c r="AF79" s="187"/>
      <c r="AG79" s="184"/>
      <c r="AH79" s="181"/>
      <c r="AI79" s="612"/>
      <c r="AJ79" s="187"/>
      <c r="AK79" s="187"/>
      <c r="AL79" s="184"/>
      <c r="AM79" s="181"/>
      <c r="AN79" s="612"/>
      <c r="AO79" s="187"/>
      <c r="AP79" s="187"/>
      <c r="AQ79" s="184"/>
      <c r="AR79" s="181"/>
      <c r="AS79" s="612"/>
      <c r="AT79" s="187"/>
      <c r="AU79" s="187"/>
      <c r="AV79" s="184"/>
      <c r="AW79" s="181"/>
      <c r="AX79" s="612"/>
    </row>
    <row r="80" spans="2:50" ht="14.25" customHeight="1">
      <c r="B80" s="611"/>
      <c r="C80" s="179">
        <v>14</v>
      </c>
      <c r="D80" s="182"/>
      <c r="E80" s="179"/>
      <c r="F80" s="179"/>
      <c r="G80" s="184"/>
      <c r="H80" s="612"/>
      <c r="I80" s="185"/>
      <c r="J80" s="185"/>
      <c r="K80" s="186"/>
      <c r="L80" s="613"/>
      <c r="M80" s="185"/>
      <c r="N80" s="611"/>
      <c r="O80" s="611"/>
      <c r="P80" s="187"/>
      <c r="Q80" s="187"/>
      <c r="R80" s="184"/>
      <c r="S80" s="181"/>
      <c r="T80" s="612"/>
      <c r="U80" s="187"/>
      <c r="V80" s="187"/>
      <c r="W80" s="184"/>
      <c r="X80" s="181"/>
      <c r="Y80" s="612"/>
      <c r="Z80" s="187"/>
      <c r="AA80" s="187"/>
      <c r="AB80" s="184"/>
      <c r="AC80" s="181"/>
      <c r="AD80" s="612"/>
      <c r="AE80" s="187"/>
      <c r="AF80" s="187"/>
      <c r="AG80" s="184"/>
      <c r="AH80" s="181"/>
      <c r="AI80" s="612"/>
      <c r="AJ80" s="187"/>
      <c r="AK80" s="187"/>
      <c r="AL80" s="184"/>
      <c r="AM80" s="181"/>
      <c r="AN80" s="612"/>
      <c r="AO80" s="187"/>
      <c r="AP80" s="187"/>
      <c r="AQ80" s="184"/>
      <c r="AR80" s="181"/>
      <c r="AS80" s="612"/>
      <c r="AT80" s="187"/>
      <c r="AU80" s="187"/>
      <c r="AV80" s="184"/>
      <c r="AW80" s="181"/>
      <c r="AX80" s="612"/>
    </row>
    <row r="81" spans="2:50" ht="14.25" customHeight="1">
      <c r="B81" s="611"/>
      <c r="C81" s="179">
        <v>15</v>
      </c>
      <c r="D81" s="182"/>
      <c r="E81" s="179"/>
      <c r="F81" s="179"/>
      <c r="G81" s="184"/>
      <c r="H81" s="612"/>
      <c r="I81" s="185"/>
      <c r="J81" s="185"/>
      <c r="K81" s="186"/>
      <c r="L81" s="613"/>
      <c r="M81" s="185"/>
      <c r="N81" s="611"/>
      <c r="O81" s="611"/>
      <c r="P81" s="187"/>
      <c r="Q81" s="187"/>
      <c r="R81" s="184"/>
      <c r="S81" s="181"/>
      <c r="T81" s="612"/>
      <c r="U81" s="187"/>
      <c r="V81" s="187"/>
      <c r="W81" s="184"/>
      <c r="X81" s="181"/>
      <c r="Y81" s="612"/>
      <c r="Z81" s="187"/>
      <c r="AA81" s="187"/>
      <c r="AB81" s="184"/>
      <c r="AC81" s="181"/>
      <c r="AD81" s="612"/>
      <c r="AE81" s="187"/>
      <c r="AF81" s="187"/>
      <c r="AG81" s="184"/>
      <c r="AH81" s="181"/>
      <c r="AI81" s="612"/>
      <c r="AJ81" s="187"/>
      <c r="AK81" s="187"/>
      <c r="AL81" s="184"/>
      <c r="AM81" s="181"/>
      <c r="AN81" s="612"/>
      <c r="AO81" s="187"/>
      <c r="AP81" s="187"/>
      <c r="AQ81" s="184"/>
      <c r="AR81" s="181"/>
      <c r="AS81" s="612"/>
      <c r="AT81" s="187"/>
      <c r="AU81" s="187"/>
      <c r="AV81" s="184"/>
      <c r="AW81" s="181"/>
      <c r="AX81" s="612"/>
    </row>
    <row r="82" spans="2:50" ht="14.25" customHeight="1">
      <c r="B82" s="640" t="s">
        <v>878</v>
      </c>
      <c r="C82" s="641"/>
      <c r="D82" s="641"/>
      <c r="E82" s="641"/>
      <c r="F82" s="641"/>
      <c r="G82" s="641"/>
      <c r="H82" s="641"/>
      <c r="I82" s="641"/>
      <c r="J82" s="641"/>
      <c r="K82" s="641"/>
      <c r="L82" s="641"/>
      <c r="M82" s="642"/>
      <c r="N82" s="645" t="s">
        <v>363</v>
      </c>
      <c r="O82" s="645" t="s">
        <v>105</v>
      </c>
      <c r="P82" s="632">
        <v>46231</v>
      </c>
      <c r="Q82" s="633"/>
      <c r="R82" s="633"/>
      <c r="S82" s="633"/>
      <c r="T82" s="633"/>
      <c r="U82" s="634">
        <v>46232</v>
      </c>
      <c r="V82" s="635"/>
      <c r="W82" s="635"/>
      <c r="X82" s="635"/>
      <c r="Y82" s="635"/>
      <c r="Z82" s="632">
        <v>46233</v>
      </c>
      <c r="AA82" s="633"/>
      <c r="AB82" s="633"/>
      <c r="AC82" s="633"/>
      <c r="AD82" s="633"/>
      <c r="AE82" s="634">
        <v>46234</v>
      </c>
      <c r="AF82" s="635"/>
      <c r="AG82" s="635"/>
      <c r="AH82" s="635"/>
      <c r="AI82" s="635"/>
      <c r="AJ82" s="616">
        <v>46235</v>
      </c>
      <c r="AK82" s="617"/>
      <c r="AL82" s="617"/>
      <c r="AM82" s="617"/>
      <c r="AN82" s="618"/>
      <c r="AO82" s="634">
        <v>46236</v>
      </c>
      <c r="AP82" s="635"/>
      <c r="AQ82" s="635"/>
      <c r="AR82" s="635"/>
      <c r="AS82" s="635"/>
      <c r="AT82" s="616">
        <v>46237</v>
      </c>
      <c r="AU82" s="617"/>
      <c r="AV82" s="617"/>
      <c r="AW82" s="617"/>
      <c r="AX82" s="618"/>
    </row>
    <row r="83" spans="2:50" ht="14.25" customHeight="1">
      <c r="B83" s="643"/>
      <c r="C83" s="643"/>
      <c r="D83" s="643"/>
      <c r="E83" s="643"/>
      <c r="F83" s="643"/>
      <c r="G83" s="643"/>
      <c r="H83" s="643"/>
      <c r="I83" s="643"/>
      <c r="J83" s="643"/>
      <c r="K83" s="643"/>
      <c r="L83" s="643"/>
      <c r="M83" s="644"/>
      <c r="N83" s="646"/>
      <c r="O83" s="646"/>
      <c r="P83" s="619">
        <v>46196</v>
      </c>
      <c r="Q83" s="619"/>
      <c r="R83" s="619"/>
      <c r="S83" s="619"/>
      <c r="T83" s="619"/>
      <c r="U83" s="620">
        <v>46197</v>
      </c>
      <c r="V83" s="620"/>
      <c r="W83" s="620"/>
      <c r="X83" s="620"/>
      <c r="Y83" s="620"/>
      <c r="Z83" s="619">
        <v>46198</v>
      </c>
      <c r="AA83" s="619"/>
      <c r="AB83" s="619"/>
      <c r="AC83" s="619"/>
      <c r="AD83" s="619"/>
      <c r="AE83" s="620">
        <v>46199</v>
      </c>
      <c r="AF83" s="620"/>
      <c r="AG83" s="620"/>
      <c r="AH83" s="620"/>
      <c r="AI83" s="620"/>
      <c r="AJ83" s="621">
        <v>46200</v>
      </c>
      <c r="AK83" s="622"/>
      <c r="AL83" s="622"/>
      <c r="AM83" s="622"/>
      <c r="AN83" s="623"/>
      <c r="AO83" s="620">
        <v>46201</v>
      </c>
      <c r="AP83" s="620"/>
      <c r="AQ83" s="620"/>
      <c r="AR83" s="620"/>
      <c r="AS83" s="620"/>
      <c r="AT83" s="621">
        <v>46202</v>
      </c>
      <c r="AU83" s="622"/>
      <c r="AV83" s="622"/>
      <c r="AW83" s="622"/>
      <c r="AX83" s="623"/>
    </row>
    <row r="84" spans="2:50" ht="14.25" customHeight="1">
      <c r="B84" s="611" t="s">
        <v>162</v>
      </c>
      <c r="C84" s="611" t="s">
        <v>157</v>
      </c>
      <c r="D84" s="611"/>
      <c r="E84" s="611" t="s">
        <v>158</v>
      </c>
      <c r="F84" s="611"/>
      <c r="G84" s="611"/>
      <c r="H84" s="611" t="s">
        <v>163</v>
      </c>
      <c r="I84" s="615" t="s">
        <v>364</v>
      </c>
      <c r="J84" s="615"/>
      <c r="K84" s="615"/>
      <c r="L84" s="615" t="s">
        <v>163</v>
      </c>
      <c r="M84" s="615" t="s">
        <v>165</v>
      </c>
      <c r="N84" s="611"/>
      <c r="O84" s="611" t="s">
        <v>164</v>
      </c>
      <c r="P84" s="611" t="s">
        <v>160</v>
      </c>
      <c r="Q84" s="611"/>
      <c r="R84" s="611"/>
      <c r="S84" s="611"/>
      <c r="T84" s="611" t="s">
        <v>163</v>
      </c>
      <c r="U84" s="611" t="s">
        <v>160</v>
      </c>
      <c r="V84" s="611"/>
      <c r="W84" s="611"/>
      <c r="X84" s="611"/>
      <c r="Y84" s="611" t="s">
        <v>163</v>
      </c>
      <c r="Z84" s="611" t="s">
        <v>160</v>
      </c>
      <c r="AA84" s="611"/>
      <c r="AB84" s="611"/>
      <c r="AC84" s="611"/>
      <c r="AD84" s="611" t="s">
        <v>163</v>
      </c>
      <c r="AE84" s="611" t="s">
        <v>160</v>
      </c>
      <c r="AF84" s="611"/>
      <c r="AG84" s="611"/>
      <c r="AH84" s="611"/>
      <c r="AI84" s="611" t="s">
        <v>163</v>
      </c>
      <c r="AJ84" s="611" t="s">
        <v>160</v>
      </c>
      <c r="AK84" s="611"/>
      <c r="AL84" s="611"/>
      <c r="AM84" s="611"/>
      <c r="AN84" s="611" t="s">
        <v>163</v>
      </c>
      <c r="AO84" s="611" t="s">
        <v>160</v>
      </c>
      <c r="AP84" s="611"/>
      <c r="AQ84" s="611"/>
      <c r="AR84" s="611"/>
      <c r="AS84" s="611" t="s">
        <v>163</v>
      </c>
      <c r="AT84" s="611" t="s">
        <v>160</v>
      </c>
      <c r="AU84" s="611"/>
      <c r="AV84" s="611"/>
      <c r="AW84" s="611"/>
      <c r="AX84" s="611" t="s">
        <v>163</v>
      </c>
    </row>
    <row r="85" spans="2:50" ht="14.25" customHeight="1">
      <c r="B85" s="611"/>
      <c r="C85" s="611"/>
      <c r="D85" s="611"/>
      <c r="E85" s="611" t="s">
        <v>365</v>
      </c>
      <c r="F85" s="611"/>
      <c r="G85" s="611"/>
      <c r="H85" s="611"/>
      <c r="I85" s="615" t="s">
        <v>365</v>
      </c>
      <c r="J85" s="615"/>
      <c r="K85" s="615"/>
      <c r="L85" s="615"/>
      <c r="M85" s="615"/>
      <c r="N85" s="611"/>
      <c r="O85" s="611"/>
      <c r="P85" s="611" t="s">
        <v>366</v>
      </c>
      <c r="Q85" s="611"/>
      <c r="R85" s="611"/>
      <c r="S85" s="611"/>
      <c r="T85" s="611"/>
      <c r="U85" s="611" t="s">
        <v>366</v>
      </c>
      <c r="V85" s="611"/>
      <c r="W85" s="611"/>
      <c r="X85" s="611"/>
      <c r="Y85" s="611"/>
      <c r="Z85" s="611" t="s">
        <v>366</v>
      </c>
      <c r="AA85" s="611"/>
      <c r="AB85" s="611"/>
      <c r="AC85" s="611"/>
      <c r="AD85" s="611"/>
      <c r="AE85" s="611" t="s">
        <v>366</v>
      </c>
      <c r="AF85" s="611"/>
      <c r="AG85" s="611"/>
      <c r="AH85" s="611"/>
      <c r="AI85" s="611"/>
      <c r="AJ85" s="611" t="s">
        <v>366</v>
      </c>
      <c r="AK85" s="611"/>
      <c r="AL85" s="611"/>
      <c r="AM85" s="611"/>
      <c r="AN85" s="611"/>
      <c r="AO85" s="611" t="s">
        <v>366</v>
      </c>
      <c r="AP85" s="611"/>
      <c r="AQ85" s="611"/>
      <c r="AR85" s="611"/>
      <c r="AS85" s="611"/>
      <c r="AT85" s="611" t="s">
        <v>366</v>
      </c>
      <c r="AU85" s="611"/>
      <c r="AV85" s="611"/>
      <c r="AW85" s="611"/>
      <c r="AX85" s="611"/>
    </row>
    <row r="86" spans="2:50" ht="14.25" customHeight="1">
      <c r="B86" s="611"/>
      <c r="C86" s="611"/>
      <c r="D86" s="611"/>
      <c r="E86" s="179" t="s">
        <v>159</v>
      </c>
      <c r="F86" s="179" t="s">
        <v>367</v>
      </c>
      <c r="G86" s="179" t="s">
        <v>161</v>
      </c>
      <c r="H86" s="611"/>
      <c r="I86" s="180" t="s">
        <v>159</v>
      </c>
      <c r="J86" s="180" t="s">
        <v>367</v>
      </c>
      <c r="K86" s="180" t="s">
        <v>161</v>
      </c>
      <c r="L86" s="615"/>
      <c r="M86" s="615"/>
      <c r="N86" s="611"/>
      <c r="O86" s="611"/>
      <c r="P86" s="179" t="s">
        <v>159</v>
      </c>
      <c r="Q86" s="179" t="s">
        <v>367</v>
      </c>
      <c r="R86" s="179" t="s">
        <v>161</v>
      </c>
      <c r="S86" s="181" t="s">
        <v>165</v>
      </c>
      <c r="T86" s="611"/>
      <c r="U86" s="179" t="s">
        <v>159</v>
      </c>
      <c r="V86" s="179" t="s">
        <v>367</v>
      </c>
      <c r="W86" s="179" t="s">
        <v>161</v>
      </c>
      <c r="X86" s="181" t="s">
        <v>165</v>
      </c>
      <c r="Y86" s="611"/>
      <c r="Z86" s="179" t="s">
        <v>159</v>
      </c>
      <c r="AA86" s="179" t="s">
        <v>367</v>
      </c>
      <c r="AB86" s="179" t="s">
        <v>161</v>
      </c>
      <c r="AC86" s="181" t="s">
        <v>165</v>
      </c>
      <c r="AD86" s="611"/>
      <c r="AE86" s="179" t="s">
        <v>159</v>
      </c>
      <c r="AF86" s="179" t="s">
        <v>367</v>
      </c>
      <c r="AG86" s="179" t="s">
        <v>161</v>
      </c>
      <c r="AH86" s="181" t="s">
        <v>165</v>
      </c>
      <c r="AI86" s="611"/>
      <c r="AJ86" s="179" t="s">
        <v>159</v>
      </c>
      <c r="AK86" s="179" t="s">
        <v>367</v>
      </c>
      <c r="AL86" s="179" t="s">
        <v>161</v>
      </c>
      <c r="AM86" s="181" t="s">
        <v>165</v>
      </c>
      <c r="AN86" s="611"/>
      <c r="AO86" s="179" t="s">
        <v>159</v>
      </c>
      <c r="AP86" s="179" t="s">
        <v>367</v>
      </c>
      <c r="AQ86" s="179" t="s">
        <v>161</v>
      </c>
      <c r="AR86" s="181" t="s">
        <v>165</v>
      </c>
      <c r="AS86" s="611"/>
      <c r="AT86" s="179" t="s">
        <v>159</v>
      </c>
      <c r="AU86" s="179" t="s">
        <v>367</v>
      </c>
      <c r="AV86" s="179" t="s">
        <v>161</v>
      </c>
      <c r="AW86" s="181" t="s">
        <v>165</v>
      </c>
      <c r="AX86" s="611"/>
    </row>
    <row r="87" spans="2:50" ht="14.25" customHeight="1">
      <c r="B87" s="611" t="s">
        <v>348</v>
      </c>
      <c r="C87" s="179">
        <v>1</v>
      </c>
      <c r="D87" s="182" t="s">
        <v>342</v>
      </c>
      <c r="E87" s="183">
        <v>24</v>
      </c>
      <c r="F87" s="179">
        <v>2000</v>
      </c>
      <c r="G87" s="184">
        <f t="shared" ref="G87:G94" si="72">IFERROR(F87/E87,"")</f>
        <v>83.333333333333329</v>
      </c>
      <c r="H87" s="612">
        <f>AVERAGE(G87:G101)</f>
        <v>92.03329882677707</v>
      </c>
      <c r="I87" s="185">
        <f>AVERAGE(P87,U87,Z87,AE87,AJ87,AO87,AT87)</f>
        <v>24</v>
      </c>
      <c r="J87" s="185">
        <f>AVERAGE(Q87,V87,AA87,AF87,AK87,AP87,AU87)</f>
        <v>1798.893059770608</v>
      </c>
      <c r="K87" s="186">
        <f>AVERAGE(R87,W87,AB87,AG87,AL87,AQ87,AV87)</f>
        <v>74.953877490442011</v>
      </c>
      <c r="L87" s="613">
        <f>IFERROR(AVERAGE(K87:K101),"-")</f>
        <v>84.597094492730079</v>
      </c>
      <c r="M87" s="185">
        <f>RANK(K87, K$87:$K$101)</f>
        <v>8</v>
      </c>
      <c r="N87" s="611"/>
      <c r="O87" s="611"/>
      <c r="P87" s="187">
        <v>24</v>
      </c>
      <c r="Q87" s="187">
        <v>1796.7735272345521</v>
      </c>
      <c r="R87" s="184">
        <f>IFERROR(Q87/P87,"")</f>
        <v>74.865563634773011</v>
      </c>
      <c r="S87" s="181">
        <f>RANK(R87, R$87:R$101)</f>
        <v>8</v>
      </c>
      <c r="T87" s="612">
        <f>AVERAGE(R87:R101)</f>
        <v>84.458295268323042</v>
      </c>
      <c r="U87" s="187">
        <v>24</v>
      </c>
      <c r="V87" s="187">
        <v>1797.1735272345522</v>
      </c>
      <c r="W87" s="184">
        <f t="shared" ref="W87:W94" si="73">IFERROR(V87/U87,"")</f>
        <v>74.882230301439677</v>
      </c>
      <c r="X87" s="181">
        <f>RANK(W87, W$87:W$101)</f>
        <v>8</v>
      </c>
      <c r="Y87" s="612">
        <f>AVERAGE(W87:W101)</f>
        <v>84.463161301692907</v>
      </c>
      <c r="Z87" s="187">
        <v>24</v>
      </c>
      <c r="AA87" s="187">
        <v>1797.3735272345521</v>
      </c>
      <c r="AB87" s="184">
        <f>IFERROR(AA87/Z87,"")</f>
        <v>74.890563634773002</v>
      </c>
      <c r="AC87" s="181">
        <f>RANK(AB87, AB$87:AB$101)</f>
        <v>8</v>
      </c>
      <c r="AD87" s="612">
        <f>AVERAGE(AB87:AB101)</f>
        <v>84.553317335506165</v>
      </c>
      <c r="AE87" s="187">
        <v>24</v>
      </c>
      <c r="AF87" s="187">
        <v>1799.6827091726502</v>
      </c>
      <c r="AG87" s="184">
        <f>IFERROR(AF87/AE87,"")</f>
        <v>74.986779548860426</v>
      </c>
      <c r="AH87" s="181">
        <f>RANK(AG87, AG$87:AG$101)</f>
        <v>8</v>
      </c>
      <c r="AI87" s="612">
        <f>AVERAGE(AG87:AG101)</f>
        <v>84.614982039067883</v>
      </c>
      <c r="AJ87" s="187">
        <v>24</v>
      </c>
      <c r="AK87" s="187">
        <v>1800.0827091726503</v>
      </c>
      <c r="AL87" s="184">
        <f>IFERROR(AK87/AJ87,"")</f>
        <v>75.003446215527092</v>
      </c>
      <c r="AM87" s="181">
        <f>RANK(AL87, AL$87:AL$101)</f>
        <v>8</v>
      </c>
      <c r="AN87" s="612">
        <f>AVERAGE(AL87:AL101)</f>
        <v>84.656503195862612</v>
      </c>
      <c r="AO87" s="187">
        <v>24</v>
      </c>
      <c r="AP87" s="187">
        <v>1800.4827091726504</v>
      </c>
      <c r="AQ87" s="184">
        <f>IFERROR(AP87/AO87,"")</f>
        <v>75.020112882193771</v>
      </c>
      <c r="AR87" s="181">
        <f>RANK(AQ87, AQ$87:AQ$101)</f>
        <v>8</v>
      </c>
      <c r="AS87" s="612">
        <f>AVERAGE(AQ87:AQ101)</f>
        <v>84.703713776828067</v>
      </c>
      <c r="AT87" s="187">
        <v>24</v>
      </c>
      <c r="AU87" s="187">
        <v>1800.6827091726502</v>
      </c>
      <c r="AV87" s="184">
        <f>IFERROR(AU87/AT87,"")</f>
        <v>75.028446215527097</v>
      </c>
      <c r="AW87" s="181">
        <f>RANK(AV87, AV$87:AV$101)</f>
        <v>8</v>
      </c>
      <c r="AX87" s="612">
        <f>AVERAGE(AV87:AV101)</f>
        <v>84.729688531829822</v>
      </c>
    </row>
    <row r="88" spans="2:50" ht="14.25" customHeight="1">
      <c r="B88" s="611"/>
      <c r="C88" s="179">
        <v>2</v>
      </c>
      <c r="D88" s="182" t="s">
        <v>751</v>
      </c>
      <c r="E88" s="179">
        <v>21</v>
      </c>
      <c r="F88" s="179">
        <v>1800</v>
      </c>
      <c r="G88" s="184">
        <f t="shared" si="72"/>
        <v>85.714285714285708</v>
      </c>
      <c r="H88" s="612"/>
      <c r="I88" s="185">
        <f t="shared" ref="I88:K94" si="74">AVERAGE(P88,U88,Z88,AE88,AJ88,AO88,AT88)</f>
        <v>21</v>
      </c>
      <c r="J88" s="185">
        <f t="shared" si="74"/>
        <v>1622.6332543740639</v>
      </c>
      <c r="K88" s="186">
        <f t="shared" si="74"/>
        <v>77.268250208288762</v>
      </c>
      <c r="L88" s="613"/>
      <c r="M88" s="185">
        <f>RANK(K88, K$87:$K$101)</f>
        <v>7</v>
      </c>
      <c r="N88" s="611"/>
      <c r="O88" s="611"/>
      <c r="P88" s="187">
        <v>21</v>
      </c>
      <c r="Q88" s="187">
        <v>1623.2761115169208</v>
      </c>
      <c r="R88" s="184">
        <f t="shared" ref="R88:R94" si="75">IFERROR(Q88/P88,"")</f>
        <v>77.2988624531867</v>
      </c>
      <c r="S88" s="181">
        <f t="shared" ref="S88:S94" si="76">RANK(R88, R$87:R$101)</f>
        <v>7</v>
      </c>
      <c r="T88" s="612"/>
      <c r="U88" s="187">
        <v>21</v>
      </c>
      <c r="V88" s="187">
        <v>1622.5561115169212</v>
      </c>
      <c r="W88" s="184">
        <f t="shared" si="73"/>
        <v>77.264576738901013</v>
      </c>
      <c r="X88" s="181">
        <f t="shared" ref="X88:X94" si="77">RANK(W88, W$87:W$101)</f>
        <v>7</v>
      </c>
      <c r="Y88" s="612"/>
      <c r="Z88" s="187">
        <v>21</v>
      </c>
      <c r="AA88" s="187">
        <v>1623.2761115169212</v>
      </c>
      <c r="AB88" s="184">
        <f t="shared" ref="AB88:AB94" si="78">IFERROR(AA88/Z88,"")</f>
        <v>77.298862453186729</v>
      </c>
      <c r="AC88" s="181">
        <f t="shared" ref="AC88:AC94" si="79">RANK(AB88, AB$87:AB$101)</f>
        <v>7</v>
      </c>
      <c r="AD88" s="612"/>
      <c r="AE88" s="187">
        <v>21</v>
      </c>
      <c r="AF88" s="187">
        <v>1622.5561115169214</v>
      </c>
      <c r="AG88" s="184">
        <f t="shared" ref="AG88:AG94" si="80">IFERROR(AF88/AE88,"")</f>
        <v>77.264576738901013</v>
      </c>
      <c r="AH88" s="181">
        <f t="shared" ref="AH88:AH94" si="81">RANK(AG88, AG$87:AG$101)</f>
        <v>7</v>
      </c>
      <c r="AI88" s="612"/>
      <c r="AJ88" s="187">
        <v>21</v>
      </c>
      <c r="AK88" s="187">
        <v>1622.0161115169212</v>
      </c>
      <c r="AL88" s="184">
        <f t="shared" ref="AL88:AL94" si="82">IFERROR(AK88/AJ88,"")</f>
        <v>77.238862453186726</v>
      </c>
      <c r="AM88" s="181">
        <f t="shared" ref="AM88:AM94" si="83">RANK(AL88, AL$87:AL$101)</f>
        <v>7</v>
      </c>
      <c r="AN88" s="612"/>
      <c r="AO88" s="187">
        <v>21</v>
      </c>
      <c r="AP88" s="187">
        <v>1622.0161115169212</v>
      </c>
      <c r="AQ88" s="184">
        <f t="shared" ref="AQ88:AQ94" si="84">IFERROR(AP88/AO88,"")</f>
        <v>77.238862453186726</v>
      </c>
      <c r="AR88" s="181">
        <f t="shared" ref="AR88:AR94" si="85">RANK(AQ88, AQ$87:AQ$101)</f>
        <v>7</v>
      </c>
      <c r="AS88" s="612"/>
      <c r="AT88" s="187">
        <v>21</v>
      </c>
      <c r="AU88" s="187">
        <v>1622.7361115169213</v>
      </c>
      <c r="AV88" s="184">
        <f t="shared" ref="AV88:AV94" si="86">IFERROR(AU88/AT88,"")</f>
        <v>77.273148167472442</v>
      </c>
      <c r="AW88" s="181">
        <f t="shared" ref="AW88:AW94" si="87">RANK(AV88, AV$87:AV$101)</f>
        <v>7</v>
      </c>
      <c r="AX88" s="612"/>
    </row>
    <row r="89" spans="2:50" ht="14.25" customHeight="1">
      <c r="B89" s="611"/>
      <c r="C89" s="179">
        <v>3</v>
      </c>
      <c r="D89" s="182" t="s">
        <v>341</v>
      </c>
      <c r="E89" s="179">
        <v>23</v>
      </c>
      <c r="F89" s="179">
        <v>2000</v>
      </c>
      <c r="G89" s="184">
        <f t="shared" si="72"/>
        <v>86.956521739130437</v>
      </c>
      <c r="H89" s="612"/>
      <c r="I89" s="185">
        <f t="shared" si="74"/>
        <v>23</v>
      </c>
      <c r="J89" s="185">
        <f t="shared" si="74"/>
        <v>1799.4841797594167</v>
      </c>
      <c r="K89" s="186">
        <f t="shared" si="74"/>
        <v>78.238442598235537</v>
      </c>
      <c r="L89" s="613"/>
      <c r="M89" s="185">
        <f>RANK(K89, K$87:$K$101)</f>
        <v>5</v>
      </c>
      <c r="N89" s="611"/>
      <c r="O89" s="611"/>
      <c r="P89" s="187">
        <v>23</v>
      </c>
      <c r="Q89" s="187">
        <v>1797.4892750663485</v>
      </c>
      <c r="R89" s="184">
        <f t="shared" si="75"/>
        <v>78.151707611580363</v>
      </c>
      <c r="S89" s="181">
        <f t="shared" si="76"/>
        <v>5</v>
      </c>
      <c r="T89" s="612"/>
      <c r="U89" s="187">
        <v>23</v>
      </c>
      <c r="V89" s="187">
        <v>1797.6892750663483</v>
      </c>
      <c r="W89" s="184">
        <f t="shared" si="73"/>
        <v>78.160403263754276</v>
      </c>
      <c r="X89" s="181">
        <f t="shared" si="77"/>
        <v>5</v>
      </c>
      <c r="Y89" s="612"/>
      <c r="Z89" s="187">
        <v>23</v>
      </c>
      <c r="AA89" s="187">
        <v>1798.289275066348</v>
      </c>
      <c r="AB89" s="184">
        <f t="shared" si="78"/>
        <v>78.186490220275999</v>
      </c>
      <c r="AC89" s="181">
        <f t="shared" si="79"/>
        <v>4</v>
      </c>
      <c r="AD89" s="612"/>
      <c r="AE89" s="187">
        <v>23</v>
      </c>
      <c r="AF89" s="187">
        <v>1800.4303582792186</v>
      </c>
      <c r="AG89" s="184">
        <f t="shared" si="80"/>
        <v>78.27958079474864</v>
      </c>
      <c r="AH89" s="181">
        <f t="shared" si="81"/>
        <v>4</v>
      </c>
      <c r="AI89" s="612"/>
      <c r="AJ89" s="187">
        <v>23</v>
      </c>
      <c r="AK89" s="187">
        <v>1800.6303582792186</v>
      </c>
      <c r="AL89" s="184">
        <f t="shared" si="82"/>
        <v>78.288276446922552</v>
      </c>
      <c r="AM89" s="181">
        <f t="shared" si="83"/>
        <v>4</v>
      </c>
      <c r="AN89" s="612"/>
      <c r="AO89" s="187">
        <v>23</v>
      </c>
      <c r="AP89" s="187">
        <v>1800.8303582792187</v>
      </c>
      <c r="AQ89" s="184">
        <f t="shared" si="84"/>
        <v>78.296972099096465</v>
      </c>
      <c r="AR89" s="181">
        <f t="shared" si="85"/>
        <v>5</v>
      </c>
      <c r="AS89" s="612"/>
      <c r="AT89" s="187">
        <v>23</v>
      </c>
      <c r="AU89" s="187">
        <v>1801.0303582792189</v>
      </c>
      <c r="AV89" s="184">
        <f t="shared" si="86"/>
        <v>78.305667751270391</v>
      </c>
      <c r="AW89" s="181">
        <f t="shared" si="87"/>
        <v>5</v>
      </c>
      <c r="AX89" s="612"/>
    </row>
    <row r="90" spans="2:50" ht="14.25" customHeight="1">
      <c r="B90" s="611"/>
      <c r="C90" s="179">
        <v>4</v>
      </c>
      <c r="D90" s="182" t="s">
        <v>349</v>
      </c>
      <c r="E90" s="179">
        <v>23</v>
      </c>
      <c r="F90" s="179">
        <v>2000</v>
      </c>
      <c r="G90" s="184">
        <f t="shared" si="72"/>
        <v>86.956521739130437</v>
      </c>
      <c r="H90" s="612"/>
      <c r="I90" s="185">
        <f t="shared" si="74"/>
        <v>23</v>
      </c>
      <c r="J90" s="185">
        <f t="shared" si="74"/>
        <v>1798.2785907695647</v>
      </c>
      <c r="K90" s="186">
        <f t="shared" si="74"/>
        <v>78.18602568563324</v>
      </c>
      <c r="L90" s="613"/>
      <c r="M90" s="185">
        <f>RANK(K90, K$87:$K$101)</f>
        <v>6</v>
      </c>
      <c r="N90" s="611"/>
      <c r="O90" s="611"/>
      <c r="P90" s="187">
        <v>23</v>
      </c>
      <c r="Q90" s="187">
        <v>1797.120388674648</v>
      </c>
      <c r="R90" s="184">
        <f t="shared" si="75"/>
        <v>78.135669072810785</v>
      </c>
      <c r="S90" s="181">
        <f t="shared" si="76"/>
        <v>6</v>
      </c>
      <c r="T90" s="612"/>
      <c r="U90" s="187">
        <v>23</v>
      </c>
      <c r="V90" s="187">
        <v>1797.7203886746477</v>
      </c>
      <c r="W90" s="184">
        <f t="shared" si="73"/>
        <v>78.161756029332508</v>
      </c>
      <c r="X90" s="181">
        <f t="shared" si="77"/>
        <v>4</v>
      </c>
      <c r="Y90" s="612"/>
      <c r="Z90" s="187">
        <v>23</v>
      </c>
      <c r="AA90" s="187">
        <v>1797.9203886746475</v>
      </c>
      <c r="AB90" s="184">
        <f t="shared" si="78"/>
        <v>78.170451681506407</v>
      </c>
      <c r="AC90" s="181">
        <f t="shared" si="79"/>
        <v>5</v>
      </c>
      <c r="AD90" s="612"/>
      <c r="AE90" s="187">
        <v>23</v>
      </c>
      <c r="AF90" s="187">
        <v>1798.1203886746475</v>
      </c>
      <c r="AG90" s="184">
        <f t="shared" si="80"/>
        <v>78.179147333680334</v>
      </c>
      <c r="AH90" s="181">
        <f t="shared" si="81"/>
        <v>6</v>
      </c>
      <c r="AI90" s="612"/>
      <c r="AJ90" s="187">
        <v>23</v>
      </c>
      <c r="AK90" s="187">
        <v>1798.3203886746478</v>
      </c>
      <c r="AL90" s="184">
        <f t="shared" si="82"/>
        <v>78.187842985854246</v>
      </c>
      <c r="AM90" s="181">
        <f t="shared" si="83"/>
        <v>6</v>
      </c>
      <c r="AN90" s="612"/>
      <c r="AO90" s="187">
        <v>23</v>
      </c>
      <c r="AP90" s="187">
        <v>1799.1740960068569</v>
      </c>
      <c r="AQ90" s="184">
        <f t="shared" si="84"/>
        <v>78.224960695950301</v>
      </c>
      <c r="AR90" s="181">
        <f t="shared" si="85"/>
        <v>6</v>
      </c>
      <c r="AS90" s="612"/>
      <c r="AT90" s="187">
        <v>23</v>
      </c>
      <c r="AU90" s="187">
        <v>1799.574096006857</v>
      </c>
      <c r="AV90" s="184">
        <f t="shared" si="86"/>
        <v>78.242352000298126</v>
      </c>
      <c r="AW90" s="181">
        <f t="shared" si="87"/>
        <v>6</v>
      </c>
      <c r="AX90" s="612"/>
    </row>
    <row r="91" spans="2:50" ht="14.25" customHeight="1">
      <c r="B91" s="611"/>
      <c r="C91" s="179">
        <v>5</v>
      </c>
      <c r="D91" s="182" t="s">
        <v>343</v>
      </c>
      <c r="E91" s="179">
        <v>23</v>
      </c>
      <c r="F91" s="179">
        <v>2000</v>
      </c>
      <c r="G91" s="184">
        <f t="shared" si="72"/>
        <v>86.956521739130437</v>
      </c>
      <c r="H91" s="612"/>
      <c r="I91" s="185">
        <f t="shared" si="74"/>
        <v>23</v>
      </c>
      <c r="J91" s="185">
        <f t="shared" si="74"/>
        <v>1799.5063717140899</v>
      </c>
      <c r="K91" s="186">
        <f t="shared" si="74"/>
        <v>78.239407465830013</v>
      </c>
      <c r="L91" s="613"/>
      <c r="M91" s="185">
        <f>RANK(K91, K$87:$K$101)</f>
        <v>4</v>
      </c>
      <c r="N91" s="611"/>
      <c r="O91" s="611"/>
      <c r="P91" s="187">
        <v>23</v>
      </c>
      <c r="Q91" s="187">
        <v>1797.6132557002491</v>
      </c>
      <c r="R91" s="184">
        <f t="shared" si="75"/>
        <v>78.157098073923876</v>
      </c>
      <c r="S91" s="181">
        <f t="shared" si="76"/>
        <v>4</v>
      </c>
      <c r="T91" s="612"/>
      <c r="U91" s="187">
        <v>23</v>
      </c>
      <c r="V91" s="187">
        <v>1797.6132557002491</v>
      </c>
      <c r="W91" s="184">
        <f t="shared" si="73"/>
        <v>78.157098073923876</v>
      </c>
      <c r="X91" s="181">
        <f t="shared" si="77"/>
        <v>6</v>
      </c>
      <c r="Y91" s="612"/>
      <c r="Z91" s="187">
        <v>23</v>
      </c>
      <c r="AA91" s="187">
        <v>1797.8132557002489</v>
      </c>
      <c r="AB91" s="184">
        <f t="shared" si="78"/>
        <v>78.165793726097775</v>
      </c>
      <c r="AC91" s="181">
        <f t="shared" si="79"/>
        <v>6</v>
      </c>
      <c r="AD91" s="612"/>
      <c r="AE91" s="187">
        <v>23</v>
      </c>
      <c r="AF91" s="187">
        <v>1800.4262087244713</v>
      </c>
      <c r="AG91" s="184">
        <f t="shared" si="80"/>
        <v>78.279400379324841</v>
      </c>
      <c r="AH91" s="181">
        <f t="shared" si="81"/>
        <v>5</v>
      </c>
      <c r="AI91" s="612"/>
      <c r="AJ91" s="187">
        <v>23</v>
      </c>
      <c r="AK91" s="187">
        <v>1800.6262087244713</v>
      </c>
      <c r="AL91" s="184">
        <f t="shared" si="82"/>
        <v>78.288096031498753</v>
      </c>
      <c r="AM91" s="181">
        <f t="shared" si="83"/>
        <v>5</v>
      </c>
      <c r="AN91" s="612"/>
      <c r="AO91" s="187">
        <v>23</v>
      </c>
      <c r="AP91" s="187">
        <v>1801.026208724471</v>
      </c>
      <c r="AQ91" s="184">
        <f t="shared" si="84"/>
        <v>78.305487335846564</v>
      </c>
      <c r="AR91" s="181">
        <f t="shared" si="85"/>
        <v>4</v>
      </c>
      <c r="AS91" s="612"/>
      <c r="AT91" s="187">
        <v>23</v>
      </c>
      <c r="AU91" s="187">
        <v>1801.4262087244708</v>
      </c>
      <c r="AV91" s="184">
        <f t="shared" si="86"/>
        <v>78.322878640194389</v>
      </c>
      <c r="AW91" s="181">
        <f t="shared" si="87"/>
        <v>4</v>
      </c>
      <c r="AX91" s="612"/>
    </row>
    <row r="92" spans="2:50" ht="14.25" customHeight="1">
      <c r="B92" s="611"/>
      <c r="C92" s="179">
        <v>6</v>
      </c>
      <c r="D92" s="182" t="s">
        <v>473</v>
      </c>
      <c r="E92" s="179">
        <v>20</v>
      </c>
      <c r="F92" s="179">
        <v>2000</v>
      </c>
      <c r="G92" s="184">
        <f t="shared" si="72"/>
        <v>100</v>
      </c>
      <c r="H92" s="612"/>
      <c r="I92" s="185">
        <f t="shared" si="74"/>
        <v>19</v>
      </c>
      <c r="J92" s="185">
        <f t="shared" si="74"/>
        <v>1795.4511960520019</v>
      </c>
      <c r="K92" s="186">
        <f t="shared" si="74"/>
        <v>94.497431371158001</v>
      </c>
      <c r="L92" s="613"/>
      <c r="M92" s="185">
        <f>RANK(K92, K$87:$K$101)</f>
        <v>2</v>
      </c>
      <c r="N92" s="611"/>
      <c r="O92" s="611"/>
      <c r="P92" s="187">
        <v>19</v>
      </c>
      <c r="Q92" s="187">
        <v>1790.4</v>
      </c>
      <c r="R92" s="184">
        <f t="shared" si="75"/>
        <v>94.231578947368419</v>
      </c>
      <c r="S92" s="181">
        <f t="shared" si="76"/>
        <v>2</v>
      </c>
      <c r="T92" s="612"/>
      <c r="U92" s="187">
        <v>19</v>
      </c>
      <c r="V92" s="187">
        <v>1790.4</v>
      </c>
      <c r="W92" s="184">
        <f t="shared" si="73"/>
        <v>94.231578947368419</v>
      </c>
      <c r="X92" s="181">
        <f t="shared" si="77"/>
        <v>2</v>
      </c>
      <c r="Y92" s="612"/>
      <c r="Z92" s="187">
        <v>19</v>
      </c>
      <c r="AA92" s="187">
        <v>1793.1423312570246</v>
      </c>
      <c r="AB92" s="184">
        <f t="shared" si="78"/>
        <v>94.375912171422343</v>
      </c>
      <c r="AC92" s="181">
        <f t="shared" si="79"/>
        <v>2</v>
      </c>
      <c r="AD92" s="612"/>
      <c r="AE92" s="187">
        <v>19</v>
      </c>
      <c r="AF92" s="187">
        <v>1796.1999999999998</v>
      </c>
      <c r="AG92" s="184">
        <f t="shared" si="80"/>
        <v>94.536842105263148</v>
      </c>
      <c r="AH92" s="181">
        <f t="shared" si="81"/>
        <v>2</v>
      </c>
      <c r="AI92" s="612"/>
      <c r="AJ92" s="187">
        <v>19</v>
      </c>
      <c r="AK92" s="187">
        <v>1798.4846757520409</v>
      </c>
      <c r="AL92" s="184">
        <f t="shared" si="82"/>
        <v>94.657088197475829</v>
      </c>
      <c r="AM92" s="181">
        <f t="shared" si="83"/>
        <v>2</v>
      </c>
      <c r="AN92" s="612"/>
      <c r="AO92" s="187">
        <v>19</v>
      </c>
      <c r="AP92" s="187">
        <v>1799.331365354949</v>
      </c>
      <c r="AQ92" s="184">
        <f t="shared" si="84"/>
        <v>94.701650808155208</v>
      </c>
      <c r="AR92" s="181">
        <f t="shared" si="85"/>
        <v>2</v>
      </c>
      <c r="AS92" s="612"/>
      <c r="AT92" s="187">
        <v>19</v>
      </c>
      <c r="AU92" s="187">
        <v>1800.2000000000003</v>
      </c>
      <c r="AV92" s="184">
        <f t="shared" si="86"/>
        <v>94.747368421052641</v>
      </c>
      <c r="AW92" s="181">
        <f t="shared" si="87"/>
        <v>2</v>
      </c>
      <c r="AX92" s="612"/>
    </row>
    <row r="93" spans="2:50" ht="14.25" customHeight="1">
      <c r="B93" s="611"/>
      <c r="C93" s="179">
        <v>7</v>
      </c>
      <c r="D93" s="182" t="s">
        <v>566</v>
      </c>
      <c r="E93" s="179">
        <v>18</v>
      </c>
      <c r="F93" s="179">
        <v>2000</v>
      </c>
      <c r="G93" s="184">
        <f t="shared" si="72"/>
        <v>111.11111111111111</v>
      </c>
      <c r="H93" s="612"/>
      <c r="I93" s="185">
        <f t="shared" si="74"/>
        <v>17</v>
      </c>
      <c r="J93" s="185">
        <f t="shared" si="74"/>
        <v>1795.6351185148455</v>
      </c>
      <c r="K93" s="186">
        <f t="shared" si="74"/>
        <v>105.62559520675561</v>
      </c>
      <c r="L93" s="613"/>
      <c r="M93" s="185">
        <f>RANK(K93, K$87:$K$101)</f>
        <v>1</v>
      </c>
      <c r="N93" s="611"/>
      <c r="O93" s="611"/>
      <c r="P93" s="187">
        <v>17</v>
      </c>
      <c r="Q93" s="187">
        <v>1790.2</v>
      </c>
      <c r="R93" s="184">
        <f t="shared" si="75"/>
        <v>105.30588235294118</v>
      </c>
      <c r="S93" s="181">
        <f t="shared" si="76"/>
        <v>1</v>
      </c>
      <c r="T93" s="612"/>
      <c r="U93" s="187">
        <v>17</v>
      </c>
      <c r="V93" s="187">
        <v>1790.4</v>
      </c>
      <c r="W93" s="184">
        <f t="shared" si="73"/>
        <v>105.31764705882354</v>
      </c>
      <c r="X93" s="181">
        <f t="shared" si="77"/>
        <v>1</v>
      </c>
      <c r="Y93" s="612"/>
      <c r="Z93" s="187">
        <v>17</v>
      </c>
      <c r="AA93" s="187">
        <v>1795.2265582544769</v>
      </c>
      <c r="AB93" s="184">
        <f t="shared" si="78"/>
        <v>105.60156225026334</v>
      </c>
      <c r="AC93" s="181">
        <f t="shared" si="79"/>
        <v>1</v>
      </c>
      <c r="AD93" s="612"/>
      <c r="AE93" s="187">
        <v>17</v>
      </c>
      <c r="AF93" s="187">
        <v>1795.6</v>
      </c>
      <c r="AG93" s="184">
        <f t="shared" si="80"/>
        <v>105.62352941176471</v>
      </c>
      <c r="AH93" s="181">
        <f t="shared" si="81"/>
        <v>1</v>
      </c>
      <c r="AI93" s="612"/>
      <c r="AJ93" s="187">
        <v>17</v>
      </c>
      <c r="AK93" s="187">
        <v>1797.5415435217242</v>
      </c>
      <c r="AL93" s="184">
        <f t="shared" si="82"/>
        <v>105.73773785421906</v>
      </c>
      <c r="AM93" s="181">
        <f t="shared" si="83"/>
        <v>1</v>
      </c>
      <c r="AN93" s="612"/>
      <c r="AO93" s="187">
        <v>17</v>
      </c>
      <c r="AP93" s="187">
        <v>1799.8777278277169</v>
      </c>
      <c r="AQ93" s="184">
        <f t="shared" si="84"/>
        <v>105.87516046045393</v>
      </c>
      <c r="AR93" s="181">
        <f t="shared" si="85"/>
        <v>1</v>
      </c>
      <c r="AS93" s="612"/>
      <c r="AT93" s="187">
        <v>17</v>
      </c>
      <c r="AU93" s="187">
        <v>1800.6</v>
      </c>
      <c r="AV93" s="184">
        <f t="shared" si="86"/>
        <v>105.91764705882352</v>
      </c>
      <c r="AW93" s="181">
        <f t="shared" si="87"/>
        <v>1</v>
      </c>
      <c r="AX93" s="612"/>
    </row>
    <row r="94" spans="2:50" ht="14.25" customHeight="1">
      <c r="B94" s="611"/>
      <c r="C94" s="179">
        <v>8</v>
      </c>
      <c r="D94" s="182" t="s">
        <v>664</v>
      </c>
      <c r="E94" s="179">
        <v>21</v>
      </c>
      <c r="F94" s="179">
        <v>2000</v>
      </c>
      <c r="G94" s="184">
        <f t="shared" si="72"/>
        <v>95.238095238095241</v>
      </c>
      <c r="H94" s="612"/>
      <c r="I94" s="185">
        <f t="shared" si="74"/>
        <v>20</v>
      </c>
      <c r="J94" s="185">
        <f t="shared" si="74"/>
        <v>1795.3545183099479</v>
      </c>
      <c r="K94" s="186">
        <f t="shared" si="74"/>
        <v>89.767725915497394</v>
      </c>
      <c r="L94" s="613"/>
      <c r="M94" s="185">
        <f>RANK(K94, K$87:$K$101)</f>
        <v>3</v>
      </c>
      <c r="N94" s="611"/>
      <c r="O94" s="611"/>
      <c r="P94" s="187">
        <v>20</v>
      </c>
      <c r="Q94" s="187">
        <v>1790.4</v>
      </c>
      <c r="R94" s="184">
        <f t="shared" si="75"/>
        <v>89.52000000000001</v>
      </c>
      <c r="S94" s="181">
        <f t="shared" si="76"/>
        <v>3</v>
      </c>
      <c r="T94" s="612"/>
      <c r="U94" s="187">
        <v>20</v>
      </c>
      <c r="V94" s="187">
        <v>1790.6</v>
      </c>
      <c r="W94" s="184">
        <f t="shared" si="73"/>
        <v>89.53</v>
      </c>
      <c r="X94" s="181">
        <f t="shared" si="77"/>
        <v>3</v>
      </c>
      <c r="Y94" s="612"/>
      <c r="Z94" s="187">
        <v>20</v>
      </c>
      <c r="AA94" s="187">
        <v>1794.7380509304744</v>
      </c>
      <c r="AB94" s="184">
        <f t="shared" si="78"/>
        <v>89.736902546523723</v>
      </c>
      <c r="AC94" s="181">
        <f t="shared" si="79"/>
        <v>3</v>
      </c>
      <c r="AD94" s="612"/>
      <c r="AE94" s="187">
        <v>20</v>
      </c>
      <c r="AF94" s="187">
        <v>1795.3999999999999</v>
      </c>
      <c r="AG94" s="184">
        <f t="shared" si="80"/>
        <v>89.77</v>
      </c>
      <c r="AH94" s="181">
        <f t="shared" si="81"/>
        <v>3</v>
      </c>
      <c r="AI94" s="612"/>
      <c r="AJ94" s="187">
        <v>20</v>
      </c>
      <c r="AK94" s="187">
        <v>1797.0135076443314</v>
      </c>
      <c r="AL94" s="184">
        <f t="shared" si="82"/>
        <v>89.850675382216565</v>
      </c>
      <c r="AM94" s="181">
        <f t="shared" si="83"/>
        <v>3</v>
      </c>
      <c r="AN94" s="612"/>
      <c r="AO94" s="187">
        <v>20</v>
      </c>
      <c r="AP94" s="187">
        <v>1799.330069594829</v>
      </c>
      <c r="AQ94" s="184">
        <f t="shared" si="84"/>
        <v>89.966503479741448</v>
      </c>
      <c r="AR94" s="181">
        <f t="shared" si="85"/>
        <v>3</v>
      </c>
      <c r="AS94" s="612"/>
      <c r="AT94" s="187">
        <v>20</v>
      </c>
      <c r="AU94" s="187">
        <v>1800</v>
      </c>
      <c r="AV94" s="184">
        <f t="shared" si="86"/>
        <v>90</v>
      </c>
      <c r="AW94" s="181">
        <f t="shared" si="87"/>
        <v>3</v>
      </c>
      <c r="AX94" s="612"/>
    </row>
    <row r="95" spans="2:50" ht="14.25" customHeight="1">
      <c r="B95" s="611"/>
      <c r="C95" s="179">
        <v>9</v>
      </c>
      <c r="D95" s="182"/>
      <c r="E95" s="179"/>
      <c r="F95" s="179"/>
      <c r="G95" s="184"/>
      <c r="H95" s="612"/>
      <c r="I95" s="185"/>
      <c r="J95" s="185"/>
      <c r="K95" s="186"/>
      <c r="L95" s="613"/>
      <c r="M95" s="185"/>
      <c r="N95" s="611"/>
      <c r="O95" s="611"/>
      <c r="P95" s="187"/>
      <c r="Q95" s="187"/>
      <c r="R95" s="184"/>
      <c r="S95" s="181"/>
      <c r="T95" s="612"/>
      <c r="U95" s="187"/>
      <c r="V95" s="187"/>
      <c r="W95" s="184"/>
      <c r="X95" s="181"/>
      <c r="Y95" s="612"/>
      <c r="Z95" s="187"/>
      <c r="AA95" s="187"/>
      <c r="AB95" s="184"/>
      <c r="AC95" s="181"/>
      <c r="AD95" s="612"/>
      <c r="AE95" s="187"/>
      <c r="AF95" s="187"/>
      <c r="AG95" s="184"/>
      <c r="AH95" s="181"/>
      <c r="AI95" s="612"/>
      <c r="AJ95" s="187"/>
      <c r="AK95" s="187"/>
      <c r="AL95" s="184"/>
      <c r="AM95" s="181"/>
      <c r="AN95" s="612"/>
      <c r="AO95" s="187"/>
      <c r="AP95" s="187"/>
      <c r="AQ95" s="184"/>
      <c r="AR95" s="181"/>
      <c r="AS95" s="612"/>
      <c r="AT95" s="187"/>
      <c r="AU95" s="187"/>
      <c r="AV95" s="184"/>
      <c r="AW95" s="181"/>
      <c r="AX95" s="612"/>
    </row>
    <row r="96" spans="2:50" ht="14.25" customHeight="1">
      <c r="B96" s="611"/>
      <c r="C96" s="179">
        <v>10</v>
      </c>
      <c r="D96" s="182"/>
      <c r="E96" s="179"/>
      <c r="F96" s="179"/>
      <c r="G96" s="184"/>
      <c r="H96" s="612"/>
      <c r="I96" s="185"/>
      <c r="J96" s="185"/>
      <c r="K96" s="186"/>
      <c r="L96" s="613"/>
      <c r="M96" s="185"/>
      <c r="N96" s="611"/>
      <c r="O96" s="611"/>
      <c r="P96" s="187"/>
      <c r="Q96" s="187"/>
      <c r="R96" s="184"/>
      <c r="S96" s="181"/>
      <c r="T96" s="612"/>
      <c r="U96" s="187"/>
      <c r="V96" s="187"/>
      <c r="W96" s="184"/>
      <c r="X96" s="181"/>
      <c r="Y96" s="612"/>
      <c r="Z96" s="187"/>
      <c r="AA96" s="187"/>
      <c r="AB96" s="184"/>
      <c r="AC96" s="181"/>
      <c r="AD96" s="612"/>
      <c r="AE96" s="187"/>
      <c r="AF96" s="187"/>
      <c r="AG96" s="184"/>
      <c r="AH96" s="181"/>
      <c r="AI96" s="612"/>
      <c r="AJ96" s="187"/>
      <c r="AK96" s="187"/>
      <c r="AL96" s="184"/>
      <c r="AM96" s="181"/>
      <c r="AN96" s="612"/>
      <c r="AO96" s="187"/>
      <c r="AP96" s="187"/>
      <c r="AQ96" s="184"/>
      <c r="AR96" s="181"/>
      <c r="AS96" s="612"/>
      <c r="AT96" s="187"/>
      <c r="AU96" s="187"/>
      <c r="AV96" s="184"/>
      <c r="AW96" s="181"/>
      <c r="AX96" s="612"/>
    </row>
    <row r="97" spans="2:50" ht="14.25" customHeight="1">
      <c r="B97" s="611"/>
      <c r="C97" s="179">
        <v>11</v>
      </c>
      <c r="D97" s="182"/>
      <c r="E97" s="179"/>
      <c r="F97" s="179"/>
      <c r="G97" s="184"/>
      <c r="H97" s="612"/>
      <c r="I97" s="185"/>
      <c r="J97" s="185"/>
      <c r="K97" s="186"/>
      <c r="L97" s="613"/>
      <c r="M97" s="185"/>
      <c r="N97" s="611"/>
      <c r="O97" s="611"/>
      <c r="P97" s="187"/>
      <c r="Q97" s="187"/>
      <c r="R97" s="184"/>
      <c r="S97" s="181"/>
      <c r="T97" s="612"/>
      <c r="U97" s="187"/>
      <c r="V97" s="187"/>
      <c r="W97" s="184"/>
      <c r="X97" s="181"/>
      <c r="Y97" s="612"/>
      <c r="Z97" s="187"/>
      <c r="AA97" s="187"/>
      <c r="AB97" s="184"/>
      <c r="AC97" s="181"/>
      <c r="AD97" s="612"/>
      <c r="AE97" s="187"/>
      <c r="AF97" s="187"/>
      <c r="AG97" s="184"/>
      <c r="AH97" s="181"/>
      <c r="AI97" s="612"/>
      <c r="AJ97" s="187"/>
      <c r="AK97" s="187"/>
      <c r="AL97" s="184"/>
      <c r="AM97" s="181"/>
      <c r="AN97" s="612"/>
      <c r="AO97" s="187"/>
      <c r="AP97" s="187"/>
      <c r="AQ97" s="184"/>
      <c r="AR97" s="181"/>
      <c r="AS97" s="612"/>
      <c r="AT97" s="187"/>
      <c r="AU97" s="187"/>
      <c r="AV97" s="184"/>
      <c r="AW97" s="181"/>
      <c r="AX97" s="612"/>
    </row>
    <row r="98" spans="2:50" ht="14.25" customHeight="1">
      <c r="B98" s="611"/>
      <c r="C98" s="179">
        <v>12</v>
      </c>
      <c r="D98" s="182"/>
      <c r="E98" s="179"/>
      <c r="F98" s="179"/>
      <c r="G98" s="184"/>
      <c r="H98" s="612"/>
      <c r="I98" s="185"/>
      <c r="J98" s="185"/>
      <c r="K98" s="186"/>
      <c r="L98" s="613"/>
      <c r="M98" s="185"/>
      <c r="N98" s="611"/>
      <c r="O98" s="611"/>
      <c r="P98" s="187"/>
      <c r="Q98" s="187"/>
      <c r="R98" s="184"/>
      <c r="S98" s="181"/>
      <c r="T98" s="612"/>
      <c r="U98" s="187"/>
      <c r="V98" s="187"/>
      <c r="W98" s="184"/>
      <c r="X98" s="181"/>
      <c r="Y98" s="612"/>
      <c r="Z98" s="187"/>
      <c r="AA98" s="187"/>
      <c r="AB98" s="184"/>
      <c r="AC98" s="181"/>
      <c r="AD98" s="612"/>
      <c r="AE98" s="187"/>
      <c r="AF98" s="187"/>
      <c r="AG98" s="184"/>
      <c r="AH98" s="181"/>
      <c r="AI98" s="612"/>
      <c r="AJ98" s="187"/>
      <c r="AK98" s="187"/>
      <c r="AL98" s="184"/>
      <c r="AM98" s="181"/>
      <c r="AN98" s="612"/>
      <c r="AO98" s="187"/>
      <c r="AP98" s="187"/>
      <c r="AQ98" s="184"/>
      <c r="AR98" s="181"/>
      <c r="AS98" s="612"/>
      <c r="AT98" s="187"/>
      <c r="AU98" s="187"/>
      <c r="AV98" s="184"/>
      <c r="AW98" s="181"/>
      <c r="AX98" s="612"/>
    </row>
    <row r="99" spans="2:50" ht="14.25" customHeight="1">
      <c r="B99" s="611"/>
      <c r="C99" s="179">
        <v>13</v>
      </c>
      <c r="D99" s="182"/>
      <c r="E99" s="179"/>
      <c r="F99" s="179"/>
      <c r="G99" s="184"/>
      <c r="H99" s="612"/>
      <c r="I99" s="185"/>
      <c r="J99" s="185"/>
      <c r="K99" s="186"/>
      <c r="L99" s="613"/>
      <c r="M99" s="185"/>
      <c r="N99" s="611"/>
      <c r="O99" s="611"/>
      <c r="P99" s="187"/>
      <c r="Q99" s="187"/>
      <c r="R99" s="184"/>
      <c r="S99" s="181"/>
      <c r="T99" s="612"/>
      <c r="U99" s="187"/>
      <c r="V99" s="187"/>
      <c r="W99" s="184"/>
      <c r="X99" s="181"/>
      <c r="Y99" s="612"/>
      <c r="Z99" s="187"/>
      <c r="AA99" s="187"/>
      <c r="AB99" s="184"/>
      <c r="AC99" s="181"/>
      <c r="AD99" s="612"/>
      <c r="AE99" s="187"/>
      <c r="AF99" s="187"/>
      <c r="AG99" s="184"/>
      <c r="AH99" s="181"/>
      <c r="AI99" s="612"/>
      <c r="AJ99" s="187"/>
      <c r="AK99" s="187"/>
      <c r="AL99" s="184"/>
      <c r="AM99" s="181"/>
      <c r="AN99" s="612"/>
      <c r="AO99" s="187"/>
      <c r="AP99" s="187"/>
      <c r="AQ99" s="184"/>
      <c r="AR99" s="181"/>
      <c r="AS99" s="612"/>
      <c r="AT99" s="187"/>
      <c r="AU99" s="187"/>
      <c r="AV99" s="184"/>
      <c r="AW99" s="181"/>
      <c r="AX99" s="612"/>
    </row>
    <row r="100" spans="2:50" ht="14.25" customHeight="1">
      <c r="B100" s="611"/>
      <c r="C100" s="179">
        <v>14</v>
      </c>
      <c r="D100" s="182"/>
      <c r="E100" s="179"/>
      <c r="F100" s="179"/>
      <c r="G100" s="184"/>
      <c r="H100" s="612"/>
      <c r="I100" s="185"/>
      <c r="J100" s="185"/>
      <c r="K100" s="186"/>
      <c r="L100" s="613"/>
      <c r="M100" s="185"/>
      <c r="N100" s="611"/>
      <c r="O100" s="611"/>
      <c r="P100" s="187"/>
      <c r="Q100" s="187"/>
      <c r="R100" s="184"/>
      <c r="S100" s="181"/>
      <c r="T100" s="612"/>
      <c r="U100" s="187"/>
      <c r="V100" s="187"/>
      <c r="W100" s="184"/>
      <c r="X100" s="181"/>
      <c r="Y100" s="612"/>
      <c r="Z100" s="187"/>
      <c r="AA100" s="187"/>
      <c r="AB100" s="184"/>
      <c r="AC100" s="181"/>
      <c r="AD100" s="612"/>
      <c r="AE100" s="187"/>
      <c r="AF100" s="187"/>
      <c r="AG100" s="184"/>
      <c r="AH100" s="181"/>
      <c r="AI100" s="612"/>
      <c r="AJ100" s="187"/>
      <c r="AK100" s="187"/>
      <c r="AL100" s="184"/>
      <c r="AM100" s="181"/>
      <c r="AN100" s="612"/>
      <c r="AO100" s="187"/>
      <c r="AP100" s="187"/>
      <c r="AQ100" s="184"/>
      <c r="AR100" s="181"/>
      <c r="AS100" s="612"/>
      <c r="AT100" s="187"/>
      <c r="AU100" s="187"/>
      <c r="AV100" s="184"/>
      <c r="AW100" s="181"/>
      <c r="AX100" s="612"/>
    </row>
    <row r="101" spans="2:50" ht="14.25" customHeight="1">
      <c r="B101" s="611"/>
      <c r="C101" s="179">
        <v>15</v>
      </c>
      <c r="D101" s="182"/>
      <c r="E101" s="179"/>
      <c r="F101" s="179"/>
      <c r="G101" s="184"/>
      <c r="H101" s="612"/>
      <c r="I101" s="185"/>
      <c r="J101" s="185"/>
      <c r="K101" s="186"/>
      <c r="L101" s="613"/>
      <c r="M101" s="185"/>
      <c r="N101" s="611"/>
      <c r="O101" s="611"/>
      <c r="P101" s="187"/>
      <c r="Q101" s="187"/>
      <c r="R101" s="184"/>
      <c r="S101" s="181"/>
      <c r="T101" s="612"/>
      <c r="U101" s="187"/>
      <c r="V101" s="187"/>
      <c r="W101" s="184"/>
      <c r="X101" s="181"/>
      <c r="Y101" s="612"/>
      <c r="Z101" s="187"/>
      <c r="AA101" s="187"/>
      <c r="AB101" s="184"/>
      <c r="AC101" s="181"/>
      <c r="AD101" s="612"/>
      <c r="AE101" s="187"/>
      <c r="AF101" s="187"/>
      <c r="AG101" s="184"/>
      <c r="AH101" s="181"/>
      <c r="AI101" s="612"/>
      <c r="AJ101" s="187"/>
      <c r="AK101" s="187"/>
      <c r="AL101" s="184"/>
      <c r="AM101" s="181"/>
      <c r="AN101" s="612"/>
      <c r="AO101" s="187"/>
      <c r="AP101" s="187"/>
      <c r="AQ101" s="184"/>
      <c r="AR101" s="181"/>
      <c r="AS101" s="612"/>
      <c r="AT101" s="187"/>
      <c r="AU101" s="187"/>
      <c r="AV101" s="184"/>
      <c r="AW101" s="181"/>
      <c r="AX101" s="612"/>
    </row>
  </sheetData>
  <mergeCells count="295"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AE45:AH45"/>
    <mergeCell ref="AJ45:AM45"/>
    <mergeCell ref="AO45:AR45"/>
    <mergeCell ref="AT45:AW45"/>
    <mergeCell ref="M44:M46"/>
    <mergeCell ref="N44:N61"/>
    <mergeCell ref="O44:O61"/>
    <mergeCell ref="P44:S44"/>
    <mergeCell ref="T44:T46"/>
    <mergeCell ref="U44:X44"/>
    <mergeCell ref="Y44:Y46"/>
    <mergeCell ref="AX47:AX61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I44:K44"/>
    <mergeCell ref="L44:L46"/>
    <mergeCell ref="Z44:AC44"/>
    <mergeCell ref="AD44:AD46"/>
    <mergeCell ref="Z45:AC45"/>
    <mergeCell ref="B42:M43"/>
    <mergeCell ref="N42:N43"/>
    <mergeCell ref="O42:O43"/>
    <mergeCell ref="P42:T42"/>
    <mergeCell ref="U42:Y42"/>
    <mergeCell ref="Z42:AD42"/>
    <mergeCell ref="B44:B46"/>
    <mergeCell ref="C44:D46"/>
    <mergeCell ref="E44:G44"/>
    <mergeCell ref="H44:H46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tabColor rgb="FFFFFFCC"/>
  </sheetPr>
  <dimension ref="A1:AX101"/>
  <sheetViews>
    <sheetView zoomScaleNormal="100" workbookViewId="0">
      <pane xSplit="13" ySplit="1" topLeftCell="AI71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AU101" sqref="AU101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456" t="s">
        <v>720</v>
      </c>
      <c r="C1" s="174">
        <f>AVERAGE(L7,L27,L47,L67,L87)</f>
        <v>79.472250627696354</v>
      </c>
    </row>
    <row r="2" spans="1:50" ht="14.25" customHeight="1">
      <c r="B2" s="640" t="s">
        <v>709</v>
      </c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2"/>
      <c r="N2" s="645" t="s">
        <v>363</v>
      </c>
      <c r="O2" s="630" t="s">
        <v>105</v>
      </c>
      <c r="P2" s="632">
        <v>46203</v>
      </c>
      <c r="Q2" s="633"/>
      <c r="R2" s="633"/>
      <c r="S2" s="633"/>
      <c r="T2" s="633"/>
      <c r="U2" s="634">
        <v>46204</v>
      </c>
      <c r="V2" s="635"/>
      <c r="W2" s="635"/>
      <c r="X2" s="635"/>
      <c r="Y2" s="635"/>
      <c r="Z2" s="632">
        <v>46205</v>
      </c>
      <c r="AA2" s="633"/>
      <c r="AB2" s="633"/>
      <c r="AC2" s="633"/>
      <c r="AD2" s="633"/>
      <c r="AE2" s="634">
        <v>46206</v>
      </c>
      <c r="AF2" s="635"/>
      <c r="AG2" s="635"/>
      <c r="AH2" s="635"/>
      <c r="AI2" s="635"/>
      <c r="AJ2" s="616">
        <v>46207</v>
      </c>
      <c r="AK2" s="617"/>
      <c r="AL2" s="617"/>
      <c r="AM2" s="617"/>
      <c r="AN2" s="618"/>
      <c r="AO2" s="634">
        <v>46208</v>
      </c>
      <c r="AP2" s="635"/>
      <c r="AQ2" s="635"/>
      <c r="AR2" s="635"/>
      <c r="AS2" s="635"/>
      <c r="AT2" s="616">
        <v>46209</v>
      </c>
      <c r="AU2" s="617"/>
      <c r="AV2" s="617"/>
      <c r="AW2" s="617"/>
      <c r="AX2" s="618"/>
    </row>
    <row r="3" spans="1:50" ht="14.25" customHeight="1">
      <c r="B3" s="643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4"/>
      <c r="N3" s="646"/>
      <c r="O3" s="631"/>
      <c r="P3" s="619">
        <v>46196</v>
      </c>
      <c r="Q3" s="619"/>
      <c r="R3" s="619"/>
      <c r="S3" s="619"/>
      <c r="T3" s="619"/>
      <c r="U3" s="620">
        <v>46197</v>
      </c>
      <c r="V3" s="620"/>
      <c r="W3" s="620"/>
      <c r="X3" s="620"/>
      <c r="Y3" s="620"/>
      <c r="Z3" s="619">
        <v>46198</v>
      </c>
      <c r="AA3" s="619"/>
      <c r="AB3" s="619"/>
      <c r="AC3" s="619"/>
      <c r="AD3" s="619"/>
      <c r="AE3" s="620">
        <v>46199</v>
      </c>
      <c r="AF3" s="620"/>
      <c r="AG3" s="620"/>
      <c r="AH3" s="620"/>
      <c r="AI3" s="620"/>
      <c r="AJ3" s="621">
        <v>46200</v>
      </c>
      <c r="AK3" s="622"/>
      <c r="AL3" s="622"/>
      <c r="AM3" s="622"/>
      <c r="AN3" s="623"/>
      <c r="AO3" s="620">
        <v>46201</v>
      </c>
      <c r="AP3" s="620"/>
      <c r="AQ3" s="620"/>
      <c r="AR3" s="620"/>
      <c r="AS3" s="620"/>
      <c r="AT3" s="621">
        <v>46202</v>
      </c>
      <c r="AU3" s="622"/>
      <c r="AV3" s="622"/>
      <c r="AW3" s="622"/>
      <c r="AX3" s="623"/>
    </row>
    <row r="4" spans="1:50" ht="14.25" customHeight="1">
      <c r="B4" s="611" t="s">
        <v>162</v>
      </c>
      <c r="C4" s="611" t="s">
        <v>157</v>
      </c>
      <c r="D4" s="611"/>
      <c r="E4" s="611" t="s">
        <v>158</v>
      </c>
      <c r="F4" s="611"/>
      <c r="G4" s="611"/>
      <c r="H4" s="611" t="s">
        <v>163</v>
      </c>
      <c r="I4" s="615" t="s">
        <v>364</v>
      </c>
      <c r="J4" s="615"/>
      <c r="K4" s="615"/>
      <c r="L4" s="615" t="s">
        <v>163</v>
      </c>
      <c r="M4" s="615" t="s">
        <v>165</v>
      </c>
      <c r="N4" s="611"/>
      <c r="O4" s="611" t="s">
        <v>164</v>
      </c>
      <c r="P4" s="611" t="s">
        <v>160</v>
      </c>
      <c r="Q4" s="611"/>
      <c r="R4" s="611"/>
      <c r="S4" s="611"/>
      <c r="T4" s="611" t="s">
        <v>163</v>
      </c>
      <c r="U4" s="611" t="s">
        <v>160</v>
      </c>
      <c r="V4" s="611"/>
      <c r="W4" s="611"/>
      <c r="X4" s="611"/>
      <c r="Y4" s="611" t="s">
        <v>163</v>
      </c>
      <c r="Z4" s="611" t="s">
        <v>160</v>
      </c>
      <c r="AA4" s="611"/>
      <c r="AB4" s="611"/>
      <c r="AC4" s="611"/>
      <c r="AD4" s="611" t="s">
        <v>163</v>
      </c>
      <c r="AE4" s="611" t="s">
        <v>160</v>
      </c>
      <c r="AF4" s="611"/>
      <c r="AG4" s="611"/>
      <c r="AH4" s="611"/>
      <c r="AI4" s="611" t="s">
        <v>163</v>
      </c>
      <c r="AJ4" s="611" t="s">
        <v>160</v>
      </c>
      <c r="AK4" s="611"/>
      <c r="AL4" s="611"/>
      <c r="AM4" s="611"/>
      <c r="AN4" s="611" t="s">
        <v>163</v>
      </c>
      <c r="AO4" s="611" t="s">
        <v>160</v>
      </c>
      <c r="AP4" s="611"/>
      <c r="AQ4" s="611"/>
      <c r="AR4" s="611"/>
      <c r="AS4" s="611" t="s">
        <v>163</v>
      </c>
      <c r="AT4" s="611" t="s">
        <v>160</v>
      </c>
      <c r="AU4" s="611"/>
      <c r="AV4" s="611"/>
      <c r="AW4" s="611"/>
      <c r="AX4" s="611" t="s">
        <v>163</v>
      </c>
    </row>
    <row r="5" spans="1:50" ht="14.25" customHeight="1">
      <c r="B5" s="611"/>
      <c r="C5" s="611"/>
      <c r="D5" s="611"/>
      <c r="E5" s="611" t="s">
        <v>365</v>
      </c>
      <c r="F5" s="611"/>
      <c r="G5" s="611"/>
      <c r="H5" s="611"/>
      <c r="I5" s="615" t="s">
        <v>365</v>
      </c>
      <c r="J5" s="615"/>
      <c r="K5" s="615"/>
      <c r="L5" s="615"/>
      <c r="M5" s="615"/>
      <c r="N5" s="611"/>
      <c r="O5" s="611"/>
      <c r="P5" s="611" t="s">
        <v>366</v>
      </c>
      <c r="Q5" s="611"/>
      <c r="R5" s="611"/>
      <c r="S5" s="611"/>
      <c r="T5" s="611"/>
      <c r="U5" s="611" t="s">
        <v>366</v>
      </c>
      <c r="V5" s="611"/>
      <c r="W5" s="611"/>
      <c r="X5" s="611"/>
      <c r="Y5" s="611"/>
      <c r="Z5" s="611" t="s">
        <v>366</v>
      </c>
      <c r="AA5" s="611"/>
      <c r="AB5" s="611"/>
      <c r="AC5" s="611"/>
      <c r="AD5" s="611"/>
      <c r="AE5" s="611" t="s">
        <v>366</v>
      </c>
      <c r="AF5" s="611"/>
      <c r="AG5" s="611"/>
      <c r="AH5" s="611"/>
      <c r="AI5" s="611"/>
      <c r="AJ5" s="611" t="s">
        <v>366</v>
      </c>
      <c r="AK5" s="611"/>
      <c r="AL5" s="611"/>
      <c r="AM5" s="611"/>
      <c r="AN5" s="611"/>
      <c r="AO5" s="611" t="s">
        <v>366</v>
      </c>
      <c r="AP5" s="611"/>
      <c r="AQ5" s="611"/>
      <c r="AR5" s="611"/>
      <c r="AS5" s="611"/>
      <c r="AT5" s="611" t="s">
        <v>366</v>
      </c>
      <c r="AU5" s="611"/>
      <c r="AV5" s="611"/>
      <c r="AW5" s="611"/>
      <c r="AX5" s="611"/>
    </row>
    <row r="6" spans="1:50" ht="14.25" customHeight="1">
      <c r="B6" s="611"/>
      <c r="C6" s="611"/>
      <c r="D6" s="611"/>
      <c r="E6" s="179" t="s">
        <v>159</v>
      </c>
      <c r="F6" s="179" t="s">
        <v>367</v>
      </c>
      <c r="G6" s="179" t="s">
        <v>161</v>
      </c>
      <c r="H6" s="611"/>
      <c r="I6" s="180" t="s">
        <v>159</v>
      </c>
      <c r="J6" s="180" t="s">
        <v>367</v>
      </c>
      <c r="K6" s="180" t="s">
        <v>161</v>
      </c>
      <c r="L6" s="615"/>
      <c r="M6" s="615"/>
      <c r="N6" s="611"/>
      <c r="O6" s="611"/>
      <c r="P6" s="179" t="s">
        <v>159</v>
      </c>
      <c r="Q6" s="179" t="s">
        <v>367</v>
      </c>
      <c r="R6" s="179" t="s">
        <v>161</v>
      </c>
      <c r="S6" s="181" t="s">
        <v>165</v>
      </c>
      <c r="T6" s="611"/>
      <c r="U6" s="179" t="s">
        <v>159</v>
      </c>
      <c r="V6" s="179" t="s">
        <v>367</v>
      </c>
      <c r="W6" s="179" t="s">
        <v>161</v>
      </c>
      <c r="X6" s="181" t="s">
        <v>165</v>
      </c>
      <c r="Y6" s="611"/>
      <c r="Z6" s="179" t="s">
        <v>159</v>
      </c>
      <c r="AA6" s="179" t="s">
        <v>367</v>
      </c>
      <c r="AB6" s="179" t="s">
        <v>161</v>
      </c>
      <c r="AC6" s="181" t="s">
        <v>165</v>
      </c>
      <c r="AD6" s="611"/>
      <c r="AE6" s="179" t="s">
        <v>159</v>
      </c>
      <c r="AF6" s="179" t="s">
        <v>367</v>
      </c>
      <c r="AG6" s="179" t="s">
        <v>161</v>
      </c>
      <c r="AH6" s="181" t="s">
        <v>165</v>
      </c>
      <c r="AI6" s="611"/>
      <c r="AJ6" s="179" t="s">
        <v>159</v>
      </c>
      <c r="AK6" s="179" t="s">
        <v>367</v>
      </c>
      <c r="AL6" s="179" t="s">
        <v>161</v>
      </c>
      <c r="AM6" s="181" t="s">
        <v>165</v>
      </c>
      <c r="AN6" s="611"/>
      <c r="AO6" s="179" t="s">
        <v>159</v>
      </c>
      <c r="AP6" s="179" t="s">
        <v>367</v>
      </c>
      <c r="AQ6" s="179" t="s">
        <v>161</v>
      </c>
      <c r="AR6" s="181" t="s">
        <v>165</v>
      </c>
      <c r="AS6" s="611"/>
      <c r="AT6" s="179" t="s">
        <v>159</v>
      </c>
      <c r="AU6" s="179" t="s">
        <v>367</v>
      </c>
      <c r="AV6" s="179" t="s">
        <v>161</v>
      </c>
      <c r="AW6" s="181" t="s">
        <v>165</v>
      </c>
      <c r="AX6" s="611"/>
    </row>
    <row r="7" spans="1:50" ht="14.25" customHeight="1">
      <c r="B7" s="611" t="s">
        <v>137</v>
      </c>
      <c r="C7" s="179">
        <v>1</v>
      </c>
      <c r="D7" s="182" t="s">
        <v>351</v>
      </c>
      <c r="E7" s="183">
        <v>24</v>
      </c>
      <c r="F7" s="179">
        <v>2000</v>
      </c>
      <c r="G7" s="184">
        <f>IFERROR(F7/E7,"")</f>
        <v>83.333333333333329</v>
      </c>
      <c r="H7" s="612">
        <f>AVERAGE(G7:G21)</f>
        <v>88.540184453227937</v>
      </c>
      <c r="I7" s="185">
        <f>AVERAGE(P7,U7,Z7,AE7,AJ7,AO7,AT7)</f>
        <v>24</v>
      </c>
      <c r="J7" s="185">
        <f>AVERAGE(Q7,V7,AA7,AF7,AK7,AP7,AU7)</f>
        <v>1796.9259582202544</v>
      </c>
      <c r="K7" s="186">
        <f>AVERAGE(R7,W7,AB7,AG7,AL7,AQ7,AV7)</f>
        <v>74.871914925843953</v>
      </c>
      <c r="L7" s="613">
        <f>IFERROR(AVERAGE(K7:K21),"-")</f>
        <v>79.037204816541205</v>
      </c>
      <c r="M7" s="185">
        <f>RANK(K7, K$7:$K$21)</f>
        <v>8</v>
      </c>
      <c r="N7" s="611"/>
      <c r="O7" s="611"/>
      <c r="P7" s="187">
        <v>24</v>
      </c>
      <c r="Q7" s="187">
        <v>1796.011672505969</v>
      </c>
      <c r="R7" s="184">
        <f>IFERROR(Q7/P7,"")</f>
        <v>74.833819687748715</v>
      </c>
      <c r="S7" s="181">
        <f>RANK(R7, R$7:R$21)</f>
        <v>8</v>
      </c>
      <c r="T7" s="612">
        <f>AVERAGE(R7:R21)</f>
        <v>78.648337007525399</v>
      </c>
      <c r="U7" s="187">
        <v>24</v>
      </c>
      <c r="V7" s="187">
        <v>1796.8116725059688</v>
      </c>
      <c r="W7" s="184">
        <f t="shared" ref="W7:W16" si="0">IFERROR(V7/U7,"")</f>
        <v>74.867153021082032</v>
      </c>
      <c r="X7" s="181">
        <f>RANK(W7, W$7:W$21)</f>
        <v>7</v>
      </c>
      <c r="Y7" s="612">
        <f>AVERAGE(W7:W21)</f>
        <v>78.893547613946879</v>
      </c>
      <c r="Z7" s="187">
        <v>24</v>
      </c>
      <c r="AA7" s="187">
        <v>1797.0116725059688</v>
      </c>
      <c r="AB7" s="184">
        <f>IFERROR(AA7/Z7,"")</f>
        <v>74.875486354415372</v>
      </c>
      <c r="AC7" s="181">
        <f>RANK(AB7, AB$7:AB$21)</f>
        <v>7</v>
      </c>
      <c r="AD7" s="612">
        <f>AVERAGE(AB7:AB21)</f>
        <v>79.059555405912704</v>
      </c>
      <c r="AE7" s="187">
        <v>24</v>
      </c>
      <c r="AF7" s="187">
        <v>1797.011672505969</v>
      </c>
      <c r="AG7" s="184">
        <f>IFERROR(AF7/AE7,"")</f>
        <v>74.875486354415372</v>
      </c>
      <c r="AH7" s="181">
        <f>RANK(AG7, AG$7:AG$21)</f>
        <v>7</v>
      </c>
      <c r="AI7" s="612">
        <f>AVERAGE(AG7:AG21)</f>
        <v>79.208369857318004</v>
      </c>
      <c r="AJ7" s="187">
        <v>24</v>
      </c>
      <c r="AK7" s="187">
        <v>1796.6116725059692</v>
      </c>
      <c r="AL7" s="184">
        <f>IFERROR(AK7/AJ7,"")</f>
        <v>74.858819687748721</v>
      </c>
      <c r="AM7" s="181">
        <f>RANK(AL7, AL$7:AL$21)</f>
        <v>7</v>
      </c>
      <c r="AN7" s="612">
        <f>AVERAGE(AL7:AL21)</f>
        <v>79.365109375117171</v>
      </c>
      <c r="AO7" s="187">
        <v>24</v>
      </c>
      <c r="AP7" s="187">
        <v>1797.6116725059692</v>
      </c>
      <c r="AQ7" s="184">
        <f>IFERROR(AP7/AO7,"")</f>
        <v>74.900486354415378</v>
      </c>
      <c r="AR7" s="181">
        <f>RANK(AQ7, AQ$7:AQ$21)</f>
        <v>7</v>
      </c>
      <c r="AS7" s="612">
        <f>AVERAGE(AQ7:AQ21)</f>
        <v>79.448039801749601</v>
      </c>
      <c r="AT7" s="187">
        <v>24</v>
      </c>
      <c r="AU7" s="187">
        <v>1797.4116725059691</v>
      </c>
      <c r="AV7" s="184">
        <f>IFERROR(AU7/AT7,"")</f>
        <v>74.892153021082052</v>
      </c>
      <c r="AW7" s="181">
        <f>RANK(AV7, AV$7:AV$21)</f>
        <v>7</v>
      </c>
      <c r="AX7" s="612">
        <f>AVERAGE(AV7:AV21)</f>
        <v>79.456488681458239</v>
      </c>
    </row>
    <row r="8" spans="1:50" ht="14.25" customHeight="1">
      <c r="B8" s="611"/>
      <c r="C8" s="179">
        <v>2</v>
      </c>
      <c r="D8" s="182" t="s">
        <v>352</v>
      </c>
      <c r="E8" s="179">
        <v>23</v>
      </c>
      <c r="F8" s="179">
        <v>2000</v>
      </c>
      <c r="G8" s="184">
        <f t="shared" ref="G8:G16" si="1">IFERROR(F8/E8,"")</f>
        <v>86.956521739130437</v>
      </c>
      <c r="H8" s="612"/>
      <c r="I8" s="185">
        <f>AVERAGE(P8,U8,Z8,AE8,AJ8,AO8,AT8)</f>
        <v>23</v>
      </c>
      <c r="J8" s="185">
        <f t="shared" ref="J8:K16" si="2">AVERAGE(Q8,V8,AA8,AF8,AK8,AP8,AU8)</f>
        <v>1787.2314929140468</v>
      </c>
      <c r="K8" s="186">
        <f t="shared" si="2"/>
        <v>77.705717083219426</v>
      </c>
      <c r="L8" s="613"/>
      <c r="M8" s="185">
        <f>RANK(K8, K$7:$K$21)</f>
        <v>7</v>
      </c>
      <c r="N8" s="611"/>
      <c r="O8" s="611"/>
      <c r="P8" s="187">
        <v>23</v>
      </c>
      <c r="Q8" s="187">
        <v>1787.1743500569037</v>
      </c>
      <c r="R8" s="184">
        <f t="shared" ref="R8:R16" si="3">IFERROR(Q8/P8,"")</f>
        <v>77.703232611169724</v>
      </c>
      <c r="S8" s="181">
        <f t="shared" ref="S8:S16" si="4">RANK(R8, R$7:R$21)</f>
        <v>7</v>
      </c>
      <c r="T8" s="612"/>
      <c r="U8" s="187">
        <v>23</v>
      </c>
      <c r="V8" s="187">
        <v>1786.1743500569041</v>
      </c>
      <c r="W8" s="184">
        <f t="shared" si="0"/>
        <v>77.659754350300176</v>
      </c>
      <c r="X8" s="181">
        <f t="shared" ref="X8:X16" si="5">RANK(W8, W$7:W$21)</f>
        <v>6</v>
      </c>
      <c r="Y8" s="612"/>
      <c r="Z8" s="187">
        <v>23</v>
      </c>
      <c r="AA8" s="187">
        <v>1787.1743500569041</v>
      </c>
      <c r="AB8" s="184">
        <f t="shared" ref="AB8:AB16" si="6">IFERROR(AA8/Z8,"")</f>
        <v>77.703232611169739</v>
      </c>
      <c r="AC8" s="181">
        <f t="shared" ref="AC8:AC16" si="7">RANK(AB8, AB$7:AB$21)</f>
        <v>6</v>
      </c>
      <c r="AD8" s="612"/>
      <c r="AE8" s="187">
        <v>23</v>
      </c>
      <c r="AF8" s="187">
        <v>1787.1743500569044</v>
      </c>
      <c r="AG8" s="184">
        <f t="shared" ref="AG8:AG16" si="8">IFERROR(AF8/AE8,"")</f>
        <v>77.703232611169753</v>
      </c>
      <c r="AH8" s="181">
        <f t="shared" ref="AH8:AH16" si="9">RANK(AG8, AG$7:AG$21)</f>
        <v>6</v>
      </c>
      <c r="AI8" s="612"/>
      <c r="AJ8" s="187">
        <v>23</v>
      </c>
      <c r="AK8" s="187">
        <v>1787.7743500569038</v>
      </c>
      <c r="AL8" s="184">
        <f t="shared" ref="AL8:AL16" si="10">IFERROR(AK8/AJ8,"")</f>
        <v>77.729319567691476</v>
      </c>
      <c r="AM8" s="181">
        <f t="shared" ref="AM8:AM16" si="11">RANK(AL8, AL$7:AL$21)</f>
        <v>6</v>
      </c>
      <c r="AN8" s="612"/>
      <c r="AO8" s="187">
        <v>23</v>
      </c>
      <c r="AP8" s="187">
        <v>1787.774350056904</v>
      </c>
      <c r="AQ8" s="184">
        <f t="shared" ref="AQ8:AQ16" si="12">IFERROR(AP8/AO8,"")</f>
        <v>77.729319567691476</v>
      </c>
      <c r="AR8" s="181">
        <f t="shared" ref="AR8:AR16" si="13">RANK(AQ8, AQ$7:AQ$21)</f>
        <v>6</v>
      </c>
      <c r="AS8" s="612"/>
      <c r="AT8" s="187">
        <v>23</v>
      </c>
      <c r="AU8" s="187">
        <v>1787.3743500569039</v>
      </c>
      <c r="AV8" s="184">
        <f t="shared" ref="AV8:AV16" si="14">IFERROR(AU8/AT8,"")</f>
        <v>77.711928263343651</v>
      </c>
      <c r="AW8" s="181">
        <f t="shared" ref="AW8:AW16" si="15">RANK(AV8, AV$7:AV$21)</f>
        <v>6</v>
      </c>
      <c r="AX8" s="612"/>
    </row>
    <row r="9" spans="1:50" ht="14.25" customHeight="1">
      <c r="B9" s="611"/>
      <c r="C9" s="179">
        <v>3</v>
      </c>
      <c r="D9" s="182" t="s">
        <v>350</v>
      </c>
      <c r="E9" s="179">
        <v>23</v>
      </c>
      <c r="F9" s="179">
        <v>2000</v>
      </c>
      <c r="G9" s="184">
        <f t="shared" si="1"/>
        <v>86.956521739130437</v>
      </c>
      <c r="H9" s="612"/>
      <c r="I9" s="185">
        <f>AVERAGE(P9,U9,Z9,AE9,AJ9,AO9,AT9)</f>
        <v>23</v>
      </c>
      <c r="J9" s="185">
        <f t="shared" si="2"/>
        <v>1794.9906582798924</v>
      </c>
      <c r="K9" s="186">
        <f t="shared" si="2"/>
        <v>78.043072099125752</v>
      </c>
      <c r="L9" s="613"/>
      <c r="M9" s="185">
        <f>RANK(K9, K$7:$K$21)</f>
        <v>5</v>
      </c>
      <c r="N9" s="611"/>
      <c r="O9" s="611"/>
      <c r="P9" s="187">
        <v>23</v>
      </c>
      <c r="Q9" s="187">
        <v>1796.8192297084638</v>
      </c>
      <c r="R9" s="184">
        <f t="shared" si="3"/>
        <v>78.122575204715815</v>
      </c>
      <c r="S9" s="181">
        <f t="shared" si="4"/>
        <v>4</v>
      </c>
      <c r="T9" s="612"/>
      <c r="U9" s="187">
        <v>23</v>
      </c>
      <c r="V9" s="187">
        <v>1795.8192297084638</v>
      </c>
      <c r="W9" s="184">
        <f t="shared" si="0"/>
        <v>78.079096943846253</v>
      </c>
      <c r="X9" s="181">
        <f t="shared" si="5"/>
        <v>4</v>
      </c>
      <c r="Y9" s="612"/>
      <c r="Z9" s="187">
        <v>23</v>
      </c>
      <c r="AA9" s="187">
        <v>1795.8192297084638</v>
      </c>
      <c r="AB9" s="184">
        <f t="shared" si="6"/>
        <v>78.079096943846253</v>
      </c>
      <c r="AC9" s="181">
        <f t="shared" si="7"/>
        <v>4</v>
      </c>
      <c r="AD9" s="612"/>
      <c r="AE9" s="187">
        <v>23</v>
      </c>
      <c r="AF9" s="187">
        <v>1795.0192297084639</v>
      </c>
      <c r="AG9" s="184">
        <f t="shared" si="8"/>
        <v>78.044314335150602</v>
      </c>
      <c r="AH9" s="181">
        <f t="shared" si="9"/>
        <v>5</v>
      </c>
      <c r="AI9" s="612"/>
      <c r="AJ9" s="187">
        <v>23</v>
      </c>
      <c r="AK9" s="187">
        <v>1794.6192297084638</v>
      </c>
      <c r="AL9" s="184">
        <f t="shared" si="10"/>
        <v>78.026923030802777</v>
      </c>
      <c r="AM9" s="181">
        <f t="shared" si="11"/>
        <v>5</v>
      </c>
      <c r="AN9" s="612"/>
      <c r="AO9" s="187">
        <v>23</v>
      </c>
      <c r="AP9" s="187">
        <v>1793.8192297084638</v>
      </c>
      <c r="AQ9" s="184">
        <f t="shared" si="12"/>
        <v>77.992140422107127</v>
      </c>
      <c r="AR9" s="181">
        <f t="shared" si="13"/>
        <v>5</v>
      </c>
      <c r="AS9" s="612"/>
      <c r="AT9" s="187">
        <v>23</v>
      </c>
      <c r="AU9" s="187">
        <v>1793.0192297084636</v>
      </c>
      <c r="AV9" s="184">
        <f t="shared" si="14"/>
        <v>77.957357813411463</v>
      </c>
      <c r="AW9" s="181">
        <f t="shared" si="15"/>
        <v>5</v>
      </c>
      <c r="AX9" s="612"/>
    </row>
    <row r="10" spans="1:50" ht="14.25" customHeight="1">
      <c r="B10" s="611"/>
      <c r="C10" s="179">
        <v>4</v>
      </c>
      <c r="D10" s="182" t="s">
        <v>433</v>
      </c>
      <c r="E10" s="179">
        <v>23</v>
      </c>
      <c r="F10" s="179">
        <v>2000</v>
      </c>
      <c r="G10" s="184">
        <f t="shared" si="1"/>
        <v>86.956521739130437</v>
      </c>
      <c r="H10" s="612"/>
      <c r="I10" s="185">
        <f t="shared" ref="I10:I16" si="16">AVERAGE(P10,U10,Z10,AE10,AJ10,AO10,AT10)</f>
        <v>23</v>
      </c>
      <c r="J10" s="185">
        <f t="shared" si="2"/>
        <v>1795.6290322028235</v>
      </c>
      <c r="K10" s="186">
        <f t="shared" si="2"/>
        <v>78.070827487079285</v>
      </c>
      <c r="L10" s="613"/>
      <c r="M10" s="185">
        <f>RANK(K10, K$7:$K$21)</f>
        <v>4</v>
      </c>
      <c r="N10" s="611"/>
      <c r="O10" s="611"/>
      <c r="P10" s="187">
        <v>23</v>
      </c>
      <c r="Q10" s="187">
        <v>1794.6576036313952</v>
      </c>
      <c r="R10" s="184">
        <f t="shared" si="3"/>
        <v>78.028591462234573</v>
      </c>
      <c r="S10" s="181">
        <f t="shared" si="4"/>
        <v>5</v>
      </c>
      <c r="T10" s="612"/>
      <c r="U10" s="187">
        <v>23</v>
      </c>
      <c r="V10" s="187">
        <v>1794.4576036313952</v>
      </c>
      <c r="W10" s="184">
        <f t="shared" si="0"/>
        <v>78.01989581006066</v>
      </c>
      <c r="X10" s="181">
        <f t="shared" si="5"/>
        <v>5</v>
      </c>
      <c r="Y10" s="612"/>
      <c r="Z10" s="187">
        <v>23</v>
      </c>
      <c r="AA10" s="187">
        <v>1795.4576036313949</v>
      </c>
      <c r="AB10" s="184">
        <f t="shared" si="6"/>
        <v>78.063374070930209</v>
      </c>
      <c r="AC10" s="181">
        <f t="shared" si="7"/>
        <v>5</v>
      </c>
      <c r="AD10" s="612"/>
      <c r="AE10" s="187">
        <v>23</v>
      </c>
      <c r="AF10" s="187">
        <v>1795.657603631395</v>
      </c>
      <c r="AG10" s="184">
        <f t="shared" si="8"/>
        <v>78.072069723104136</v>
      </c>
      <c r="AH10" s="181">
        <f t="shared" si="9"/>
        <v>4</v>
      </c>
      <c r="AI10" s="612"/>
      <c r="AJ10" s="187">
        <v>23</v>
      </c>
      <c r="AK10" s="187">
        <v>1796.657603631395</v>
      </c>
      <c r="AL10" s="184">
        <f t="shared" si="10"/>
        <v>78.115547983973698</v>
      </c>
      <c r="AM10" s="181">
        <f t="shared" si="11"/>
        <v>4</v>
      </c>
      <c r="AN10" s="612"/>
      <c r="AO10" s="187">
        <v>23</v>
      </c>
      <c r="AP10" s="187">
        <v>1796.2576036313951</v>
      </c>
      <c r="AQ10" s="184">
        <f t="shared" si="12"/>
        <v>78.098156679625873</v>
      </c>
      <c r="AR10" s="181">
        <f t="shared" si="13"/>
        <v>4</v>
      </c>
      <c r="AS10" s="612"/>
      <c r="AT10" s="187">
        <v>23</v>
      </c>
      <c r="AU10" s="187">
        <v>1796.2576036313949</v>
      </c>
      <c r="AV10" s="184">
        <f t="shared" si="14"/>
        <v>78.098156679625859</v>
      </c>
      <c r="AW10" s="181">
        <f t="shared" si="15"/>
        <v>4</v>
      </c>
      <c r="AX10" s="612"/>
    </row>
    <row r="11" spans="1:50" ht="14.25" customHeight="1">
      <c r="B11" s="611"/>
      <c r="C11" s="179">
        <v>5</v>
      </c>
      <c r="D11" s="182" t="s">
        <v>435</v>
      </c>
      <c r="E11" s="179">
        <v>22</v>
      </c>
      <c r="F11" s="179">
        <v>2000</v>
      </c>
      <c r="G11" s="184">
        <f t="shared" si="1"/>
        <v>90.909090909090907</v>
      </c>
      <c r="H11" s="612"/>
      <c r="I11" s="185">
        <f t="shared" si="16"/>
        <v>22</v>
      </c>
      <c r="J11" s="185">
        <f t="shared" si="2"/>
        <v>1788.3167970196664</v>
      </c>
      <c r="K11" s="186">
        <f t="shared" si="2"/>
        <v>81.287127137257571</v>
      </c>
      <c r="L11" s="613"/>
      <c r="M11" s="185">
        <f>RANK(K11, K$7:$K$21)</f>
        <v>3</v>
      </c>
      <c r="N11" s="611"/>
      <c r="O11" s="611"/>
      <c r="P11" s="187">
        <v>22</v>
      </c>
      <c r="Q11" s="187">
        <v>1786.7377198173044</v>
      </c>
      <c r="R11" s="184">
        <f t="shared" si="3"/>
        <v>81.215350900786561</v>
      </c>
      <c r="S11" s="181">
        <f t="shared" si="4"/>
        <v>3</v>
      </c>
      <c r="T11" s="612"/>
      <c r="U11" s="187">
        <v>22</v>
      </c>
      <c r="V11" s="187">
        <v>1786.5377198173044</v>
      </c>
      <c r="W11" s="184">
        <f t="shared" si="0"/>
        <v>81.20625999169566</v>
      </c>
      <c r="X11" s="181">
        <f t="shared" si="5"/>
        <v>3</v>
      </c>
      <c r="Y11" s="612"/>
      <c r="Z11" s="187">
        <v>22</v>
      </c>
      <c r="AA11" s="187">
        <v>1787.3377198173043</v>
      </c>
      <c r="AB11" s="184">
        <f t="shared" si="6"/>
        <v>81.242623628059292</v>
      </c>
      <c r="AC11" s="181">
        <f t="shared" si="7"/>
        <v>3</v>
      </c>
      <c r="AD11" s="612"/>
      <c r="AE11" s="187">
        <v>22</v>
      </c>
      <c r="AF11" s="187">
        <v>1788.1511049214378</v>
      </c>
      <c r="AG11" s="184">
        <f t="shared" si="8"/>
        <v>81.279595678247176</v>
      </c>
      <c r="AH11" s="181">
        <f t="shared" si="9"/>
        <v>3</v>
      </c>
      <c r="AI11" s="612"/>
      <c r="AJ11" s="187">
        <v>22</v>
      </c>
      <c r="AK11" s="187">
        <v>1789.1511049214378</v>
      </c>
      <c r="AL11" s="184">
        <f t="shared" si="10"/>
        <v>81.325050223701723</v>
      </c>
      <c r="AM11" s="181">
        <f t="shared" si="11"/>
        <v>3</v>
      </c>
      <c r="AN11" s="612"/>
      <c r="AO11" s="187">
        <v>22</v>
      </c>
      <c r="AP11" s="187">
        <v>1789.9511049214379</v>
      </c>
      <c r="AQ11" s="184">
        <f t="shared" si="12"/>
        <v>81.361413860065355</v>
      </c>
      <c r="AR11" s="181">
        <f t="shared" si="13"/>
        <v>3</v>
      </c>
      <c r="AS11" s="612"/>
      <c r="AT11" s="187">
        <v>22</v>
      </c>
      <c r="AU11" s="187">
        <v>1790.3511049214378</v>
      </c>
      <c r="AV11" s="184">
        <f t="shared" si="14"/>
        <v>81.379595678247171</v>
      </c>
      <c r="AW11" s="181">
        <f t="shared" si="15"/>
        <v>3</v>
      </c>
      <c r="AX11" s="612"/>
    </row>
    <row r="12" spans="1:50" ht="14.25" customHeight="1">
      <c r="B12" s="611"/>
      <c r="C12" s="179">
        <v>6</v>
      </c>
      <c r="D12" s="182" t="s">
        <v>437</v>
      </c>
      <c r="E12" s="179">
        <v>20</v>
      </c>
      <c r="F12" s="179">
        <v>2000</v>
      </c>
      <c r="G12" s="184">
        <f t="shared" si="1"/>
        <v>100</v>
      </c>
      <c r="H12" s="612"/>
      <c r="I12" s="185">
        <f t="shared" si="16"/>
        <v>20</v>
      </c>
      <c r="J12" s="185">
        <f t="shared" si="2"/>
        <v>1787.2952118528442</v>
      </c>
      <c r="K12" s="186">
        <f t="shared" si="2"/>
        <v>89.364760592642227</v>
      </c>
      <c r="L12" s="613"/>
      <c r="M12" s="185">
        <f>RANK(K12, K$7:$K$21)</f>
        <v>2</v>
      </c>
      <c r="N12" s="611"/>
      <c r="O12" s="611"/>
      <c r="P12" s="187">
        <v>20</v>
      </c>
      <c r="Q12" s="187">
        <v>1788.1672514041902</v>
      </c>
      <c r="R12" s="184">
        <f t="shared" si="3"/>
        <v>89.408362570209505</v>
      </c>
      <c r="S12" s="181">
        <f t="shared" si="4"/>
        <v>2</v>
      </c>
      <c r="T12" s="612"/>
      <c r="U12" s="187">
        <v>20</v>
      </c>
      <c r="V12" s="187">
        <v>1787.1672514041904</v>
      </c>
      <c r="W12" s="184">
        <f t="shared" si="0"/>
        <v>89.358362570209522</v>
      </c>
      <c r="X12" s="181">
        <f t="shared" si="5"/>
        <v>2</v>
      </c>
      <c r="Y12" s="612"/>
      <c r="Z12" s="187">
        <v>20</v>
      </c>
      <c r="AA12" s="187">
        <v>1787.9672514041904</v>
      </c>
      <c r="AB12" s="184">
        <f t="shared" si="6"/>
        <v>89.398362570209514</v>
      </c>
      <c r="AC12" s="181">
        <f t="shared" si="7"/>
        <v>2</v>
      </c>
      <c r="AD12" s="612"/>
      <c r="AE12" s="187">
        <v>20</v>
      </c>
      <c r="AF12" s="187">
        <v>1787.1672514041904</v>
      </c>
      <c r="AG12" s="184">
        <f t="shared" si="8"/>
        <v>89.358362570209522</v>
      </c>
      <c r="AH12" s="181">
        <f t="shared" si="9"/>
        <v>2</v>
      </c>
      <c r="AI12" s="612"/>
      <c r="AJ12" s="187">
        <v>20</v>
      </c>
      <c r="AK12" s="187">
        <v>1786.1672514041907</v>
      </c>
      <c r="AL12" s="184">
        <f t="shared" si="10"/>
        <v>89.308362570209539</v>
      </c>
      <c r="AM12" s="181">
        <f t="shared" si="11"/>
        <v>2</v>
      </c>
      <c r="AN12" s="612"/>
      <c r="AO12" s="187">
        <v>20</v>
      </c>
      <c r="AP12" s="187">
        <v>1786.7672514041908</v>
      </c>
      <c r="AQ12" s="184">
        <f t="shared" si="12"/>
        <v>89.33836257020954</v>
      </c>
      <c r="AR12" s="181">
        <f t="shared" si="13"/>
        <v>2</v>
      </c>
      <c r="AS12" s="612"/>
      <c r="AT12" s="187">
        <v>20</v>
      </c>
      <c r="AU12" s="187">
        <v>1787.6629745447669</v>
      </c>
      <c r="AV12" s="184">
        <f t="shared" si="14"/>
        <v>89.38314872723835</v>
      </c>
      <c r="AW12" s="181">
        <f t="shared" si="15"/>
        <v>2</v>
      </c>
      <c r="AX12" s="612"/>
    </row>
    <row r="13" spans="1:50" ht="14.25" customHeight="1">
      <c r="B13" s="611"/>
      <c r="C13" s="179">
        <v>7</v>
      </c>
      <c r="D13" s="182" t="s">
        <v>353</v>
      </c>
      <c r="E13" s="179">
        <v>23</v>
      </c>
      <c r="F13" s="179">
        <v>2000</v>
      </c>
      <c r="G13" s="184">
        <f t="shared" si="1"/>
        <v>86.956521739130437</v>
      </c>
      <c r="H13" s="612"/>
      <c r="I13" s="185">
        <f t="shared" si="16"/>
        <v>23</v>
      </c>
      <c r="J13" s="185">
        <f t="shared" si="2"/>
        <v>1791.0903867752415</v>
      </c>
      <c r="K13" s="186">
        <f t="shared" si="2"/>
        <v>77.873495077184415</v>
      </c>
      <c r="L13" s="613"/>
      <c r="M13" s="185">
        <f>RANK(K13, K$7:$K$21)</f>
        <v>6</v>
      </c>
      <c r="N13" s="611"/>
      <c r="O13" s="611"/>
      <c r="P13" s="187">
        <v>23</v>
      </c>
      <c r="Q13" s="187">
        <v>1791.0903867752415</v>
      </c>
      <c r="R13" s="184">
        <f t="shared" si="3"/>
        <v>77.873495077184415</v>
      </c>
      <c r="S13" s="181">
        <f t="shared" si="4"/>
        <v>6</v>
      </c>
      <c r="T13" s="612"/>
      <c r="U13" s="187"/>
      <c r="V13" s="187"/>
      <c r="W13" s="184"/>
      <c r="X13" s="181"/>
      <c r="Y13" s="612"/>
      <c r="Z13" s="187"/>
      <c r="AA13" s="187"/>
      <c r="AB13" s="184"/>
      <c r="AC13" s="181"/>
      <c r="AD13" s="612"/>
      <c r="AE13" s="187"/>
      <c r="AF13" s="187"/>
      <c r="AG13" s="184"/>
      <c r="AH13" s="181"/>
      <c r="AI13" s="612"/>
      <c r="AJ13" s="187"/>
      <c r="AK13" s="187"/>
      <c r="AL13" s="184"/>
      <c r="AM13" s="181"/>
      <c r="AN13" s="612"/>
      <c r="AO13" s="187"/>
      <c r="AP13" s="187"/>
      <c r="AQ13" s="184"/>
      <c r="AR13" s="181"/>
      <c r="AS13" s="612"/>
      <c r="AT13" s="187"/>
      <c r="AU13" s="187"/>
      <c r="AV13" s="184"/>
      <c r="AW13" s="181"/>
      <c r="AX13" s="612"/>
    </row>
    <row r="14" spans="1:50" ht="14.25" customHeight="1">
      <c r="B14" s="611"/>
      <c r="C14" s="179">
        <v>8</v>
      </c>
      <c r="D14" s="182" t="s">
        <v>508</v>
      </c>
      <c r="E14" s="179">
        <v>25</v>
      </c>
      <c r="F14" s="179">
        <v>2000</v>
      </c>
      <c r="G14" s="184">
        <f t="shared" si="1"/>
        <v>80</v>
      </c>
      <c r="H14" s="612"/>
      <c r="I14" s="185">
        <f t="shared" si="16"/>
        <v>25</v>
      </c>
      <c r="J14" s="185">
        <f t="shared" si="2"/>
        <v>1788.1971759908881</v>
      </c>
      <c r="K14" s="186">
        <f t="shared" si="2"/>
        <v>71.52788703963553</v>
      </c>
      <c r="L14" s="613"/>
      <c r="M14" s="185">
        <f>RANK(K14, K$7:$K$21)</f>
        <v>10</v>
      </c>
      <c r="N14" s="611"/>
      <c r="O14" s="611"/>
      <c r="P14" s="187">
        <v>25</v>
      </c>
      <c r="Q14" s="187">
        <v>1787.8323683027768</v>
      </c>
      <c r="R14" s="184">
        <f t="shared" si="3"/>
        <v>71.513294732111078</v>
      </c>
      <c r="S14" s="181">
        <f t="shared" si="4"/>
        <v>9</v>
      </c>
      <c r="T14" s="612"/>
      <c r="U14" s="187">
        <v>25</v>
      </c>
      <c r="V14" s="187">
        <v>1788.832368302777</v>
      </c>
      <c r="W14" s="184">
        <f t="shared" si="0"/>
        <v>71.553294732111084</v>
      </c>
      <c r="X14" s="181">
        <f t="shared" si="5"/>
        <v>8</v>
      </c>
      <c r="Y14" s="612"/>
      <c r="Z14" s="187">
        <v>25</v>
      </c>
      <c r="AA14" s="187">
        <v>1788.2323683027771</v>
      </c>
      <c r="AB14" s="184">
        <f t="shared" si="6"/>
        <v>71.529294732111083</v>
      </c>
      <c r="AC14" s="181">
        <f t="shared" si="7"/>
        <v>8</v>
      </c>
      <c r="AD14" s="612"/>
      <c r="AE14" s="187">
        <v>25</v>
      </c>
      <c r="AF14" s="187">
        <v>1787.6323683027767</v>
      </c>
      <c r="AG14" s="184">
        <f t="shared" si="8"/>
        <v>71.505294732111068</v>
      </c>
      <c r="AH14" s="181">
        <f t="shared" si="9"/>
        <v>9</v>
      </c>
      <c r="AI14" s="612"/>
      <c r="AJ14" s="187">
        <v>25</v>
      </c>
      <c r="AK14" s="187">
        <v>1787.0323683027768</v>
      </c>
      <c r="AL14" s="184">
        <f t="shared" si="10"/>
        <v>71.481294732111067</v>
      </c>
      <c r="AM14" s="181">
        <f t="shared" si="11"/>
        <v>9</v>
      </c>
      <c r="AN14" s="612"/>
      <c r="AO14" s="187">
        <v>25</v>
      </c>
      <c r="AP14" s="187">
        <v>1787.4323683027769</v>
      </c>
      <c r="AQ14" s="184">
        <f t="shared" si="12"/>
        <v>71.497294732111072</v>
      </c>
      <c r="AR14" s="181">
        <f t="shared" si="13"/>
        <v>9</v>
      </c>
      <c r="AS14" s="612"/>
      <c r="AT14" s="187">
        <v>25</v>
      </c>
      <c r="AU14" s="187">
        <v>1790.3860221195553</v>
      </c>
      <c r="AV14" s="184">
        <f t="shared" si="14"/>
        <v>71.615440884782217</v>
      </c>
      <c r="AW14" s="181">
        <f t="shared" si="15"/>
        <v>9</v>
      </c>
      <c r="AX14" s="612"/>
    </row>
    <row r="15" spans="1:50" ht="14.25" customHeight="1">
      <c r="B15" s="611"/>
      <c r="C15" s="179">
        <v>9</v>
      </c>
      <c r="D15" s="182" t="s">
        <v>580</v>
      </c>
      <c r="E15" s="179">
        <v>20</v>
      </c>
      <c r="F15" s="179">
        <v>2000</v>
      </c>
      <c r="G15" s="184">
        <f t="shared" si="1"/>
        <v>100</v>
      </c>
      <c r="H15" s="612"/>
      <c r="I15" s="185">
        <f t="shared" si="16"/>
        <v>20</v>
      </c>
      <c r="J15" s="185">
        <f t="shared" si="2"/>
        <v>1791.5170144394017</v>
      </c>
      <c r="K15" s="186">
        <f t="shared" si="2"/>
        <v>89.57585072197007</v>
      </c>
      <c r="L15" s="613"/>
      <c r="M15" s="185">
        <f>RANK(K15, K$7:$K$21)</f>
        <v>1</v>
      </c>
      <c r="N15" s="611"/>
      <c r="O15" s="611"/>
      <c r="P15" s="187">
        <v>20</v>
      </c>
      <c r="Q15" s="187">
        <v>1793.1455858679722</v>
      </c>
      <c r="R15" s="184">
        <f t="shared" si="3"/>
        <v>89.657279293398602</v>
      </c>
      <c r="S15" s="181">
        <f t="shared" si="4"/>
        <v>1</v>
      </c>
      <c r="T15" s="612"/>
      <c r="U15" s="187">
        <v>20</v>
      </c>
      <c r="V15" s="187">
        <v>1792.5455858679722</v>
      </c>
      <c r="W15" s="184">
        <f t="shared" si="0"/>
        <v>89.627279293398615</v>
      </c>
      <c r="X15" s="181">
        <f t="shared" si="5"/>
        <v>1</v>
      </c>
      <c r="Y15" s="612"/>
      <c r="Z15" s="187">
        <v>20</v>
      </c>
      <c r="AA15" s="187">
        <v>1791.9455858679728</v>
      </c>
      <c r="AB15" s="184">
        <f t="shared" si="6"/>
        <v>89.597279293398643</v>
      </c>
      <c r="AC15" s="181">
        <f t="shared" si="7"/>
        <v>1</v>
      </c>
      <c r="AD15" s="612"/>
      <c r="AE15" s="187">
        <v>20</v>
      </c>
      <c r="AF15" s="187">
        <v>1791.5455858679732</v>
      </c>
      <c r="AG15" s="184">
        <f t="shared" si="8"/>
        <v>89.577279293398661</v>
      </c>
      <c r="AH15" s="181">
        <f t="shared" si="9"/>
        <v>1</v>
      </c>
      <c r="AI15" s="612"/>
      <c r="AJ15" s="187">
        <v>20</v>
      </c>
      <c r="AK15" s="187">
        <v>1791.1455858679733</v>
      </c>
      <c r="AL15" s="184">
        <f t="shared" si="10"/>
        <v>89.557279293398665</v>
      </c>
      <c r="AM15" s="181">
        <f t="shared" si="11"/>
        <v>1</v>
      </c>
      <c r="AN15" s="612"/>
      <c r="AO15" s="187">
        <v>20</v>
      </c>
      <c r="AP15" s="187">
        <v>1790.3455858679733</v>
      </c>
      <c r="AQ15" s="184">
        <f t="shared" si="12"/>
        <v>89.517279293398673</v>
      </c>
      <c r="AR15" s="181">
        <f t="shared" si="13"/>
        <v>1</v>
      </c>
      <c r="AS15" s="612"/>
      <c r="AT15" s="187">
        <v>20</v>
      </c>
      <c r="AU15" s="187">
        <v>1789.9455858679735</v>
      </c>
      <c r="AV15" s="184">
        <f t="shared" si="14"/>
        <v>89.497279293398677</v>
      </c>
      <c r="AW15" s="181">
        <f t="shared" si="15"/>
        <v>1</v>
      </c>
      <c r="AX15" s="612"/>
    </row>
    <row r="16" spans="1:50" ht="14.25" customHeight="1">
      <c r="B16" s="611"/>
      <c r="C16" s="179">
        <v>10</v>
      </c>
      <c r="D16" s="182" t="s">
        <v>710</v>
      </c>
      <c r="E16" s="179">
        <v>24</v>
      </c>
      <c r="F16" s="179">
        <v>2000</v>
      </c>
      <c r="G16" s="184">
        <f t="shared" si="1"/>
        <v>83.333333333333329</v>
      </c>
      <c r="H16" s="612"/>
      <c r="I16" s="185">
        <f t="shared" si="16"/>
        <v>24</v>
      </c>
      <c r="J16" s="185">
        <f t="shared" si="2"/>
        <v>1729.233504034891</v>
      </c>
      <c r="K16" s="186">
        <f t="shared" si="2"/>
        <v>72.051396001453796</v>
      </c>
      <c r="L16" s="613"/>
      <c r="M16" s="185">
        <f>RANK(K16, K$7:$K$21)</f>
        <v>9</v>
      </c>
      <c r="N16" s="611"/>
      <c r="O16" s="611"/>
      <c r="P16" s="187">
        <v>24</v>
      </c>
      <c r="Q16" s="187">
        <v>1635.056844856681</v>
      </c>
      <c r="R16" s="184">
        <f t="shared" si="3"/>
        <v>68.127368535695041</v>
      </c>
      <c r="S16" s="181">
        <f t="shared" si="4"/>
        <v>10</v>
      </c>
      <c r="T16" s="612"/>
      <c r="U16" s="187">
        <v>24</v>
      </c>
      <c r="V16" s="187">
        <v>1672.0999635076303</v>
      </c>
      <c r="W16" s="184">
        <f t="shared" si="0"/>
        <v>69.670831812817923</v>
      </c>
      <c r="X16" s="181">
        <f t="shared" si="5"/>
        <v>9</v>
      </c>
      <c r="Y16" s="612"/>
      <c r="Z16" s="187">
        <v>24</v>
      </c>
      <c r="AA16" s="187">
        <v>1705.1339627777829</v>
      </c>
      <c r="AB16" s="184">
        <f t="shared" si="6"/>
        <v>71.047248449074289</v>
      </c>
      <c r="AC16" s="181">
        <f t="shared" si="7"/>
        <v>9</v>
      </c>
      <c r="AD16" s="612"/>
      <c r="AE16" s="187">
        <v>24</v>
      </c>
      <c r="AF16" s="187">
        <v>1739.0326420333386</v>
      </c>
      <c r="AG16" s="184">
        <f t="shared" si="8"/>
        <v>72.459693418055778</v>
      </c>
      <c r="AH16" s="181">
        <f t="shared" si="9"/>
        <v>8</v>
      </c>
      <c r="AI16" s="612"/>
      <c r="AJ16" s="187">
        <v>24</v>
      </c>
      <c r="AK16" s="187">
        <v>1773.2012948740057</v>
      </c>
      <c r="AL16" s="184">
        <f t="shared" si="10"/>
        <v>73.883387286416905</v>
      </c>
      <c r="AM16" s="181">
        <f t="shared" si="11"/>
        <v>8</v>
      </c>
      <c r="AN16" s="612"/>
      <c r="AO16" s="187">
        <v>24</v>
      </c>
      <c r="AP16" s="187">
        <v>1790.3497136669271</v>
      </c>
      <c r="AQ16" s="184">
        <f t="shared" si="12"/>
        <v>74.597904736121961</v>
      </c>
      <c r="AR16" s="181">
        <f t="shared" si="13"/>
        <v>8</v>
      </c>
      <c r="AS16" s="612"/>
      <c r="AT16" s="187">
        <v>24</v>
      </c>
      <c r="AU16" s="187">
        <v>1789.7601065278723</v>
      </c>
      <c r="AV16" s="184">
        <f t="shared" si="14"/>
        <v>74.573337771994673</v>
      </c>
      <c r="AW16" s="181">
        <f t="shared" si="15"/>
        <v>8</v>
      </c>
      <c r="AX16" s="612"/>
    </row>
    <row r="17" spans="2:50" ht="14.25" customHeight="1">
      <c r="B17" s="611"/>
      <c r="C17" s="179">
        <v>11</v>
      </c>
      <c r="D17" s="182"/>
      <c r="E17" s="179"/>
      <c r="F17" s="179"/>
      <c r="G17" s="184"/>
      <c r="H17" s="612"/>
      <c r="I17" s="185"/>
      <c r="J17" s="185"/>
      <c r="K17" s="186"/>
      <c r="L17" s="613"/>
      <c r="M17" s="185"/>
      <c r="N17" s="611"/>
      <c r="O17" s="611"/>
      <c r="P17" s="187"/>
      <c r="Q17" s="187"/>
      <c r="R17" s="184"/>
      <c r="S17" s="181"/>
      <c r="T17" s="612"/>
      <c r="U17" s="187"/>
      <c r="V17" s="187"/>
      <c r="W17" s="184"/>
      <c r="X17" s="181"/>
      <c r="Y17" s="612"/>
      <c r="Z17" s="187"/>
      <c r="AA17" s="187"/>
      <c r="AB17" s="184"/>
      <c r="AC17" s="181"/>
      <c r="AD17" s="612"/>
      <c r="AE17" s="187"/>
      <c r="AF17" s="187"/>
      <c r="AG17" s="184"/>
      <c r="AH17" s="181"/>
      <c r="AI17" s="612"/>
      <c r="AJ17" s="187"/>
      <c r="AK17" s="187"/>
      <c r="AL17" s="184"/>
      <c r="AM17" s="181"/>
      <c r="AN17" s="612"/>
      <c r="AO17" s="187"/>
      <c r="AP17" s="187"/>
      <c r="AQ17" s="184"/>
      <c r="AR17" s="181"/>
      <c r="AS17" s="612"/>
      <c r="AT17" s="187"/>
      <c r="AU17" s="187"/>
      <c r="AV17" s="184"/>
      <c r="AW17" s="181"/>
      <c r="AX17" s="612"/>
    </row>
    <row r="18" spans="2:50" ht="14.25" customHeight="1">
      <c r="B18" s="611"/>
      <c r="C18" s="179">
        <v>12</v>
      </c>
      <c r="D18" s="182"/>
      <c r="E18" s="179"/>
      <c r="F18" s="179"/>
      <c r="G18" s="184"/>
      <c r="H18" s="612"/>
      <c r="I18" s="185"/>
      <c r="J18" s="185"/>
      <c r="K18" s="186"/>
      <c r="L18" s="613"/>
      <c r="M18" s="185"/>
      <c r="N18" s="611"/>
      <c r="O18" s="611"/>
      <c r="P18" s="187"/>
      <c r="Q18" s="187"/>
      <c r="R18" s="184"/>
      <c r="S18" s="181"/>
      <c r="T18" s="612"/>
      <c r="U18" s="187"/>
      <c r="V18" s="187"/>
      <c r="W18" s="184"/>
      <c r="X18" s="181"/>
      <c r="Y18" s="612"/>
      <c r="Z18" s="187"/>
      <c r="AA18" s="187"/>
      <c r="AB18" s="184"/>
      <c r="AC18" s="181"/>
      <c r="AD18" s="612"/>
      <c r="AE18" s="187"/>
      <c r="AF18" s="187"/>
      <c r="AG18" s="184"/>
      <c r="AH18" s="181"/>
      <c r="AI18" s="612"/>
      <c r="AJ18" s="187"/>
      <c r="AK18" s="187"/>
      <c r="AL18" s="184"/>
      <c r="AM18" s="181"/>
      <c r="AN18" s="612"/>
      <c r="AO18" s="187"/>
      <c r="AP18" s="187"/>
      <c r="AQ18" s="184"/>
      <c r="AR18" s="181"/>
      <c r="AS18" s="612"/>
      <c r="AT18" s="187"/>
      <c r="AU18" s="187"/>
      <c r="AV18" s="184"/>
      <c r="AW18" s="181"/>
      <c r="AX18" s="612"/>
    </row>
    <row r="19" spans="2:50" ht="14.25" customHeight="1">
      <c r="B19" s="611"/>
      <c r="C19" s="179">
        <v>13</v>
      </c>
      <c r="D19" s="182"/>
      <c r="E19" s="179"/>
      <c r="F19" s="179"/>
      <c r="G19" s="184"/>
      <c r="H19" s="612"/>
      <c r="I19" s="185"/>
      <c r="J19" s="185"/>
      <c r="K19" s="186"/>
      <c r="L19" s="613"/>
      <c r="M19" s="185"/>
      <c r="N19" s="611"/>
      <c r="O19" s="611"/>
      <c r="P19" s="187"/>
      <c r="Q19" s="187"/>
      <c r="R19" s="184"/>
      <c r="S19" s="181"/>
      <c r="T19" s="612"/>
      <c r="U19" s="187"/>
      <c r="V19" s="187"/>
      <c r="W19" s="184"/>
      <c r="X19" s="181"/>
      <c r="Y19" s="612"/>
      <c r="Z19" s="187"/>
      <c r="AA19" s="187"/>
      <c r="AB19" s="184"/>
      <c r="AC19" s="181"/>
      <c r="AD19" s="612"/>
      <c r="AE19" s="187"/>
      <c r="AF19" s="187"/>
      <c r="AG19" s="184"/>
      <c r="AH19" s="181"/>
      <c r="AI19" s="612"/>
      <c r="AJ19" s="187"/>
      <c r="AK19" s="187"/>
      <c r="AL19" s="184"/>
      <c r="AM19" s="181"/>
      <c r="AN19" s="612"/>
      <c r="AO19" s="187"/>
      <c r="AP19" s="187"/>
      <c r="AQ19" s="184"/>
      <c r="AR19" s="181"/>
      <c r="AS19" s="612"/>
      <c r="AT19" s="187"/>
      <c r="AU19" s="187"/>
      <c r="AV19" s="184"/>
      <c r="AW19" s="181"/>
      <c r="AX19" s="612"/>
    </row>
    <row r="20" spans="2:50" ht="14.25" customHeight="1">
      <c r="B20" s="611"/>
      <c r="C20" s="179">
        <v>14</v>
      </c>
      <c r="D20" s="182"/>
      <c r="E20" s="179"/>
      <c r="F20" s="179"/>
      <c r="G20" s="184"/>
      <c r="H20" s="612"/>
      <c r="I20" s="185"/>
      <c r="J20" s="185"/>
      <c r="K20" s="186"/>
      <c r="L20" s="613"/>
      <c r="M20" s="185"/>
      <c r="N20" s="611"/>
      <c r="O20" s="611"/>
      <c r="P20" s="187"/>
      <c r="Q20" s="187"/>
      <c r="R20" s="184"/>
      <c r="S20" s="181"/>
      <c r="T20" s="612"/>
      <c r="U20" s="187"/>
      <c r="V20" s="187"/>
      <c r="W20" s="184"/>
      <c r="X20" s="181"/>
      <c r="Y20" s="612"/>
      <c r="Z20" s="187"/>
      <c r="AA20" s="187"/>
      <c r="AB20" s="184"/>
      <c r="AC20" s="181"/>
      <c r="AD20" s="612"/>
      <c r="AE20" s="187"/>
      <c r="AF20" s="187"/>
      <c r="AG20" s="184"/>
      <c r="AH20" s="181"/>
      <c r="AI20" s="612"/>
      <c r="AJ20" s="187"/>
      <c r="AK20" s="187"/>
      <c r="AL20" s="184"/>
      <c r="AM20" s="181"/>
      <c r="AN20" s="612"/>
      <c r="AO20" s="187"/>
      <c r="AP20" s="187"/>
      <c r="AQ20" s="184"/>
      <c r="AR20" s="181"/>
      <c r="AS20" s="612"/>
      <c r="AT20" s="187"/>
      <c r="AU20" s="187"/>
      <c r="AV20" s="184"/>
      <c r="AW20" s="181"/>
      <c r="AX20" s="612"/>
    </row>
    <row r="21" spans="2:50" ht="14.25" customHeight="1">
      <c r="B21" s="611"/>
      <c r="C21" s="179">
        <v>15</v>
      </c>
      <c r="D21" s="182"/>
      <c r="E21" s="179"/>
      <c r="F21" s="179"/>
      <c r="G21" s="184"/>
      <c r="H21" s="612"/>
      <c r="I21" s="185"/>
      <c r="J21" s="185"/>
      <c r="K21" s="186"/>
      <c r="L21" s="613"/>
      <c r="M21" s="185"/>
      <c r="N21" s="611"/>
      <c r="O21" s="611"/>
      <c r="P21" s="187"/>
      <c r="Q21" s="187"/>
      <c r="R21" s="184"/>
      <c r="S21" s="181"/>
      <c r="T21" s="612"/>
      <c r="U21" s="187"/>
      <c r="V21" s="187"/>
      <c r="W21" s="184"/>
      <c r="X21" s="181"/>
      <c r="Y21" s="612"/>
      <c r="Z21" s="187"/>
      <c r="AA21" s="187"/>
      <c r="AB21" s="184"/>
      <c r="AC21" s="181"/>
      <c r="AD21" s="612"/>
      <c r="AE21" s="187"/>
      <c r="AF21" s="187"/>
      <c r="AG21" s="184"/>
      <c r="AH21" s="181"/>
      <c r="AI21" s="612"/>
      <c r="AJ21" s="187"/>
      <c r="AK21" s="187"/>
      <c r="AL21" s="184"/>
      <c r="AM21" s="181"/>
      <c r="AN21" s="612"/>
      <c r="AO21" s="187"/>
      <c r="AP21" s="187"/>
      <c r="AQ21" s="184"/>
      <c r="AR21" s="181"/>
      <c r="AS21" s="612"/>
      <c r="AT21" s="187"/>
      <c r="AU21" s="187"/>
      <c r="AV21" s="184"/>
      <c r="AW21" s="181"/>
      <c r="AX21" s="612"/>
    </row>
    <row r="22" spans="2:50" ht="14.25" customHeight="1">
      <c r="B22" s="640" t="s">
        <v>749</v>
      </c>
      <c r="C22" s="641"/>
      <c r="D22" s="641"/>
      <c r="E22" s="641"/>
      <c r="F22" s="641"/>
      <c r="G22" s="641"/>
      <c r="H22" s="641"/>
      <c r="I22" s="641"/>
      <c r="J22" s="641"/>
      <c r="K22" s="641"/>
      <c r="L22" s="641"/>
      <c r="M22" s="642"/>
      <c r="N22" s="645" t="s">
        <v>363</v>
      </c>
      <c r="O22" s="645" t="s">
        <v>105</v>
      </c>
      <c r="P22" s="632">
        <v>46210</v>
      </c>
      <c r="Q22" s="633"/>
      <c r="R22" s="633"/>
      <c r="S22" s="633"/>
      <c r="T22" s="633"/>
      <c r="U22" s="634">
        <v>46211</v>
      </c>
      <c r="V22" s="635"/>
      <c r="W22" s="635"/>
      <c r="X22" s="635"/>
      <c r="Y22" s="635"/>
      <c r="Z22" s="632">
        <v>46212</v>
      </c>
      <c r="AA22" s="633"/>
      <c r="AB22" s="633"/>
      <c r="AC22" s="633"/>
      <c r="AD22" s="633"/>
      <c r="AE22" s="634">
        <v>46213</v>
      </c>
      <c r="AF22" s="635"/>
      <c r="AG22" s="635"/>
      <c r="AH22" s="635"/>
      <c r="AI22" s="635"/>
      <c r="AJ22" s="616">
        <v>46214</v>
      </c>
      <c r="AK22" s="617"/>
      <c r="AL22" s="617"/>
      <c r="AM22" s="617"/>
      <c r="AN22" s="618"/>
      <c r="AO22" s="634">
        <v>46215</v>
      </c>
      <c r="AP22" s="635"/>
      <c r="AQ22" s="635"/>
      <c r="AR22" s="635"/>
      <c r="AS22" s="635"/>
      <c r="AT22" s="616">
        <v>46216</v>
      </c>
      <c r="AU22" s="617"/>
      <c r="AV22" s="617"/>
      <c r="AW22" s="617"/>
      <c r="AX22" s="618"/>
    </row>
    <row r="23" spans="2:50" ht="14.25" customHeight="1">
      <c r="B23" s="643"/>
      <c r="C23" s="643"/>
      <c r="D23" s="643"/>
      <c r="E23" s="643"/>
      <c r="F23" s="643"/>
      <c r="G23" s="643"/>
      <c r="H23" s="643"/>
      <c r="I23" s="643"/>
      <c r="J23" s="643"/>
      <c r="K23" s="643"/>
      <c r="L23" s="643"/>
      <c r="M23" s="644"/>
      <c r="N23" s="646"/>
      <c r="O23" s="646"/>
      <c r="P23" s="619">
        <v>46196</v>
      </c>
      <c r="Q23" s="619"/>
      <c r="R23" s="619"/>
      <c r="S23" s="619"/>
      <c r="T23" s="619"/>
      <c r="U23" s="620">
        <v>46197</v>
      </c>
      <c r="V23" s="620"/>
      <c r="W23" s="620"/>
      <c r="X23" s="620"/>
      <c r="Y23" s="620"/>
      <c r="Z23" s="619">
        <v>46198</v>
      </c>
      <c r="AA23" s="619"/>
      <c r="AB23" s="619"/>
      <c r="AC23" s="619"/>
      <c r="AD23" s="619"/>
      <c r="AE23" s="620">
        <v>46199</v>
      </c>
      <c r="AF23" s="620"/>
      <c r="AG23" s="620"/>
      <c r="AH23" s="620"/>
      <c r="AI23" s="620"/>
      <c r="AJ23" s="621">
        <v>46200</v>
      </c>
      <c r="AK23" s="622"/>
      <c r="AL23" s="622"/>
      <c r="AM23" s="622"/>
      <c r="AN23" s="623"/>
      <c r="AO23" s="620">
        <v>46201</v>
      </c>
      <c r="AP23" s="620"/>
      <c r="AQ23" s="620"/>
      <c r="AR23" s="620"/>
      <c r="AS23" s="620"/>
      <c r="AT23" s="621">
        <v>46202</v>
      </c>
      <c r="AU23" s="622"/>
      <c r="AV23" s="622"/>
      <c r="AW23" s="622"/>
      <c r="AX23" s="623"/>
    </row>
    <row r="24" spans="2:50" ht="14.25" customHeight="1">
      <c r="B24" s="611" t="s">
        <v>162</v>
      </c>
      <c r="C24" s="611" t="s">
        <v>157</v>
      </c>
      <c r="D24" s="611"/>
      <c r="E24" s="611" t="s">
        <v>158</v>
      </c>
      <c r="F24" s="611"/>
      <c r="G24" s="611"/>
      <c r="H24" s="611" t="s">
        <v>163</v>
      </c>
      <c r="I24" s="615" t="s">
        <v>364</v>
      </c>
      <c r="J24" s="615"/>
      <c r="K24" s="615"/>
      <c r="L24" s="615" t="s">
        <v>163</v>
      </c>
      <c r="M24" s="615" t="s">
        <v>165</v>
      </c>
      <c r="N24" s="611"/>
      <c r="O24" s="611" t="s">
        <v>164</v>
      </c>
      <c r="P24" s="611" t="s">
        <v>160</v>
      </c>
      <c r="Q24" s="611"/>
      <c r="R24" s="611"/>
      <c r="S24" s="611"/>
      <c r="T24" s="611" t="s">
        <v>163</v>
      </c>
      <c r="U24" s="611" t="s">
        <v>160</v>
      </c>
      <c r="V24" s="611"/>
      <c r="W24" s="611"/>
      <c r="X24" s="611"/>
      <c r="Y24" s="611" t="s">
        <v>163</v>
      </c>
      <c r="Z24" s="611" t="s">
        <v>160</v>
      </c>
      <c r="AA24" s="611"/>
      <c r="AB24" s="611"/>
      <c r="AC24" s="611"/>
      <c r="AD24" s="611" t="s">
        <v>163</v>
      </c>
      <c r="AE24" s="611" t="s">
        <v>160</v>
      </c>
      <c r="AF24" s="611"/>
      <c r="AG24" s="611"/>
      <c r="AH24" s="611"/>
      <c r="AI24" s="611" t="s">
        <v>163</v>
      </c>
      <c r="AJ24" s="611" t="s">
        <v>160</v>
      </c>
      <c r="AK24" s="611"/>
      <c r="AL24" s="611"/>
      <c r="AM24" s="611"/>
      <c r="AN24" s="611" t="s">
        <v>163</v>
      </c>
      <c r="AO24" s="611" t="s">
        <v>160</v>
      </c>
      <c r="AP24" s="611"/>
      <c r="AQ24" s="611"/>
      <c r="AR24" s="611"/>
      <c r="AS24" s="611" t="s">
        <v>163</v>
      </c>
      <c r="AT24" s="611" t="s">
        <v>160</v>
      </c>
      <c r="AU24" s="611"/>
      <c r="AV24" s="611"/>
      <c r="AW24" s="611"/>
      <c r="AX24" s="611" t="s">
        <v>163</v>
      </c>
    </row>
    <row r="25" spans="2:50" ht="14.25" customHeight="1">
      <c r="B25" s="611"/>
      <c r="C25" s="611"/>
      <c r="D25" s="611"/>
      <c r="E25" s="611" t="s">
        <v>365</v>
      </c>
      <c r="F25" s="611"/>
      <c r="G25" s="611"/>
      <c r="H25" s="611"/>
      <c r="I25" s="615" t="s">
        <v>365</v>
      </c>
      <c r="J25" s="615"/>
      <c r="K25" s="615"/>
      <c r="L25" s="615"/>
      <c r="M25" s="615"/>
      <c r="N25" s="611"/>
      <c r="O25" s="611"/>
      <c r="P25" s="611" t="s">
        <v>366</v>
      </c>
      <c r="Q25" s="611"/>
      <c r="R25" s="611"/>
      <c r="S25" s="611"/>
      <c r="T25" s="611"/>
      <c r="U25" s="611" t="s">
        <v>366</v>
      </c>
      <c r="V25" s="611"/>
      <c r="W25" s="611"/>
      <c r="X25" s="611"/>
      <c r="Y25" s="611"/>
      <c r="Z25" s="611" t="s">
        <v>366</v>
      </c>
      <c r="AA25" s="611"/>
      <c r="AB25" s="611"/>
      <c r="AC25" s="611"/>
      <c r="AD25" s="611"/>
      <c r="AE25" s="611" t="s">
        <v>366</v>
      </c>
      <c r="AF25" s="611"/>
      <c r="AG25" s="611"/>
      <c r="AH25" s="611"/>
      <c r="AI25" s="611"/>
      <c r="AJ25" s="611" t="s">
        <v>366</v>
      </c>
      <c r="AK25" s="611"/>
      <c r="AL25" s="611"/>
      <c r="AM25" s="611"/>
      <c r="AN25" s="611"/>
      <c r="AO25" s="611" t="s">
        <v>366</v>
      </c>
      <c r="AP25" s="611"/>
      <c r="AQ25" s="611"/>
      <c r="AR25" s="611"/>
      <c r="AS25" s="611"/>
      <c r="AT25" s="611" t="s">
        <v>366</v>
      </c>
      <c r="AU25" s="611"/>
      <c r="AV25" s="611"/>
      <c r="AW25" s="611"/>
      <c r="AX25" s="611"/>
    </row>
    <row r="26" spans="2:50" ht="14.25" customHeight="1">
      <c r="B26" s="611"/>
      <c r="C26" s="611"/>
      <c r="D26" s="611"/>
      <c r="E26" s="179" t="s">
        <v>159</v>
      </c>
      <c r="F26" s="179" t="s">
        <v>367</v>
      </c>
      <c r="G26" s="179" t="s">
        <v>161</v>
      </c>
      <c r="H26" s="611"/>
      <c r="I26" s="180" t="s">
        <v>159</v>
      </c>
      <c r="J26" s="180" t="s">
        <v>367</v>
      </c>
      <c r="K26" s="180" t="s">
        <v>161</v>
      </c>
      <c r="L26" s="615"/>
      <c r="M26" s="615"/>
      <c r="N26" s="611"/>
      <c r="O26" s="611"/>
      <c r="P26" s="179" t="s">
        <v>159</v>
      </c>
      <c r="Q26" s="179" t="s">
        <v>367</v>
      </c>
      <c r="R26" s="179" t="s">
        <v>161</v>
      </c>
      <c r="S26" s="181" t="s">
        <v>165</v>
      </c>
      <c r="T26" s="611"/>
      <c r="U26" s="179" t="s">
        <v>159</v>
      </c>
      <c r="V26" s="179" t="s">
        <v>367</v>
      </c>
      <c r="W26" s="179" t="s">
        <v>161</v>
      </c>
      <c r="X26" s="181" t="s">
        <v>165</v>
      </c>
      <c r="Y26" s="611"/>
      <c r="Z26" s="179" t="s">
        <v>159</v>
      </c>
      <c r="AA26" s="179" t="s">
        <v>367</v>
      </c>
      <c r="AB26" s="179" t="s">
        <v>161</v>
      </c>
      <c r="AC26" s="181" t="s">
        <v>165</v>
      </c>
      <c r="AD26" s="611"/>
      <c r="AE26" s="179" t="s">
        <v>159</v>
      </c>
      <c r="AF26" s="179" t="s">
        <v>367</v>
      </c>
      <c r="AG26" s="179" t="s">
        <v>161</v>
      </c>
      <c r="AH26" s="181" t="s">
        <v>165</v>
      </c>
      <c r="AI26" s="611"/>
      <c r="AJ26" s="179" t="s">
        <v>159</v>
      </c>
      <c r="AK26" s="179" t="s">
        <v>367</v>
      </c>
      <c r="AL26" s="179" t="s">
        <v>161</v>
      </c>
      <c r="AM26" s="181" t="s">
        <v>165</v>
      </c>
      <c r="AN26" s="611"/>
      <c r="AO26" s="179" t="s">
        <v>159</v>
      </c>
      <c r="AP26" s="179" t="s">
        <v>367</v>
      </c>
      <c r="AQ26" s="179" t="s">
        <v>161</v>
      </c>
      <c r="AR26" s="181" t="s">
        <v>165</v>
      </c>
      <c r="AS26" s="611"/>
      <c r="AT26" s="179" t="s">
        <v>159</v>
      </c>
      <c r="AU26" s="179" t="s">
        <v>367</v>
      </c>
      <c r="AV26" s="179" t="s">
        <v>161</v>
      </c>
      <c r="AW26" s="181" t="s">
        <v>165</v>
      </c>
      <c r="AX26" s="611"/>
    </row>
    <row r="27" spans="2:50" ht="14.25" customHeight="1">
      <c r="B27" s="611" t="s">
        <v>137</v>
      </c>
      <c r="C27" s="179">
        <v>1</v>
      </c>
      <c r="D27" s="182" t="s">
        <v>351</v>
      </c>
      <c r="E27" s="183">
        <v>24</v>
      </c>
      <c r="F27" s="179">
        <v>2000</v>
      </c>
      <c r="G27" s="184">
        <f t="shared" ref="G27:G35" si="17">IFERROR(F27/E27,"")</f>
        <v>83.333333333333329</v>
      </c>
      <c r="H27" s="612">
        <f>AVERAGE(G27:G41)</f>
        <v>88.716146977016535</v>
      </c>
      <c r="I27" s="185">
        <f>AVERAGE(P27,U27,Z27,AE27,AJ27,AO27,AT27)</f>
        <v>24</v>
      </c>
      <c r="J27" s="185">
        <f>AVERAGE(Q27,V27,AA27,AF27,AK27,AP27,AU27)</f>
        <v>1797.3831010773981</v>
      </c>
      <c r="K27" s="186">
        <f>AVERAGE(R27,W27,AB27,AG27,AL27,AQ27,AV27)</f>
        <v>74.890962544891607</v>
      </c>
      <c r="L27" s="613">
        <f>IFERROR(AVERAGE(K27:K41),"-")</f>
        <v>79.487088211303117</v>
      </c>
      <c r="M27" s="185">
        <f>RANK(K27, K$27:$K$41)</f>
        <v>7</v>
      </c>
      <c r="N27" s="611"/>
      <c r="O27" s="611"/>
      <c r="P27" s="187">
        <v>24</v>
      </c>
      <c r="Q27" s="187">
        <v>1797.4116725059696</v>
      </c>
      <c r="R27" s="184">
        <f>IFERROR(Q27/P27,"")</f>
        <v>74.892153021082066</v>
      </c>
      <c r="S27" s="181">
        <f>RANK(R27, R$27:R$41)</f>
        <v>7</v>
      </c>
      <c r="T27" s="612">
        <f>AVERAGE(R27:R41)</f>
        <v>79.462885987855529</v>
      </c>
      <c r="U27" s="187">
        <v>24</v>
      </c>
      <c r="V27" s="187">
        <v>1797.0116725059697</v>
      </c>
      <c r="W27" s="184">
        <f t="shared" ref="W27:W35" si="18">IFERROR(V27/U27,"")</f>
        <v>74.875486354415401</v>
      </c>
      <c r="X27" s="181">
        <f>RANK(W27, W$27:W$41)</f>
        <v>7</v>
      </c>
      <c r="Y27" s="612">
        <f>AVERAGE(W27:W41)</f>
        <v>79.470172329533199</v>
      </c>
      <c r="Z27" s="187">
        <v>24</v>
      </c>
      <c r="AA27" s="187">
        <v>1797.6116725059696</v>
      </c>
      <c r="AB27" s="184">
        <f>IFERROR(AA27/Z27,"")</f>
        <v>74.900486354415406</v>
      </c>
      <c r="AC27" s="181">
        <f>RANK(AB27, AB$27:AB$41)</f>
        <v>7</v>
      </c>
      <c r="AD27" s="612">
        <f>AVERAGE(AB27:AB41)</f>
        <v>79.484484143323257</v>
      </c>
      <c r="AE27" s="187">
        <v>24</v>
      </c>
      <c r="AF27" s="187">
        <v>1798.0116725059697</v>
      </c>
      <c r="AG27" s="184">
        <f>IFERROR(AF27/AE27,"")</f>
        <v>74.917153021082072</v>
      </c>
      <c r="AH27" s="181">
        <f>RANK(AG27, AG$27:AG$41)</f>
        <v>7</v>
      </c>
      <c r="AI27" s="612">
        <f>AVERAGE(AG27:AG41)</f>
        <v>79.495223385529783</v>
      </c>
      <c r="AJ27" s="187">
        <v>24</v>
      </c>
      <c r="AK27" s="187">
        <v>1797.4116725059698</v>
      </c>
      <c r="AL27" s="184">
        <f>IFERROR(AK27/AJ27,"")</f>
        <v>74.89215302108208</v>
      </c>
      <c r="AM27" s="181">
        <f>RANK(AL27, AL$27:AL$41)</f>
        <v>7</v>
      </c>
      <c r="AN27" s="612">
        <f>AVERAGE(AL27:AL41)</f>
        <v>79.496999554447328</v>
      </c>
      <c r="AO27" s="187">
        <v>24</v>
      </c>
      <c r="AP27" s="187">
        <v>1797.2116725059702</v>
      </c>
      <c r="AQ27" s="184">
        <f>IFERROR(AP27/AO27,"")</f>
        <v>74.883819687748755</v>
      </c>
      <c r="AR27" s="181">
        <f>RANK(AQ27, AQ$27:AQ$41)</f>
        <v>7</v>
      </c>
      <c r="AS27" s="612">
        <f>AVERAGE(AQ27:AQ41)</f>
        <v>79.497873850664163</v>
      </c>
      <c r="AT27" s="187">
        <v>24</v>
      </c>
      <c r="AU27" s="187">
        <v>1797.0116725059704</v>
      </c>
      <c r="AV27" s="184">
        <f>IFERROR(AU27/AT27,"")</f>
        <v>74.875486354415429</v>
      </c>
      <c r="AW27" s="181">
        <f>RANK(AV27, AV$27:AV$41)</f>
        <v>7</v>
      </c>
      <c r="AX27" s="612">
        <f>AVERAGE(AV27:AV41)</f>
        <v>79.501978227768532</v>
      </c>
    </row>
    <row r="28" spans="2:50" ht="14.25" customHeight="1">
      <c r="B28" s="611"/>
      <c r="C28" s="179">
        <v>2</v>
      </c>
      <c r="D28" s="182" t="s">
        <v>352</v>
      </c>
      <c r="E28" s="179">
        <v>23</v>
      </c>
      <c r="F28" s="179">
        <v>2000</v>
      </c>
      <c r="G28" s="184">
        <f t="shared" si="17"/>
        <v>86.956521739130437</v>
      </c>
      <c r="H28" s="612"/>
      <c r="I28" s="185">
        <f t="shared" ref="I28:K35" si="19">AVERAGE(P28,U28,Z28,AE28,AJ28,AO28,AT28)</f>
        <v>23</v>
      </c>
      <c r="J28" s="185">
        <f t="shared" si="19"/>
        <v>1790.4281604436248</v>
      </c>
      <c r="K28" s="186">
        <f t="shared" si="19"/>
        <v>77.844702627983679</v>
      </c>
      <c r="L28" s="613"/>
      <c r="M28" s="185">
        <f>RANK(K28, K$27:$K$41)</f>
        <v>6</v>
      </c>
      <c r="N28" s="611"/>
      <c r="O28" s="611"/>
      <c r="P28" s="187">
        <v>23</v>
      </c>
      <c r="Q28" s="187">
        <v>1787.9743500569039</v>
      </c>
      <c r="R28" s="184">
        <f t="shared" ref="R28:R35" si="20">IFERROR(Q28/P28,"")</f>
        <v>77.738015219865389</v>
      </c>
      <c r="S28" s="181">
        <f t="shared" ref="S28:S35" si="21">RANK(R28, R$27:R$41)</f>
        <v>6</v>
      </c>
      <c r="T28" s="612"/>
      <c r="U28" s="187">
        <v>23</v>
      </c>
      <c r="V28" s="187">
        <v>1788.3743500569037</v>
      </c>
      <c r="W28" s="184">
        <f t="shared" si="18"/>
        <v>77.7554065242132</v>
      </c>
      <c r="X28" s="181">
        <f t="shared" ref="X28:X35" si="22">RANK(W28, W$27:W$41)</f>
        <v>6</v>
      </c>
      <c r="Y28" s="612"/>
      <c r="Z28" s="187">
        <v>23</v>
      </c>
      <c r="AA28" s="187">
        <v>1788.9743500569039</v>
      </c>
      <c r="AB28" s="184">
        <f t="shared" ref="AB28:AB35" si="23">IFERROR(AA28/Z28,"")</f>
        <v>77.781493480734952</v>
      </c>
      <c r="AC28" s="181">
        <f t="shared" ref="AC28:AC35" si="24">RANK(AB28, AB$27:AB$41)</f>
        <v>6</v>
      </c>
      <c r="AD28" s="612"/>
      <c r="AE28" s="187">
        <v>23</v>
      </c>
      <c r="AF28" s="187">
        <v>1789.5292935022926</v>
      </c>
      <c r="AG28" s="184">
        <f t="shared" ref="AG28:AG35" si="25">IFERROR(AF28/AE28,"")</f>
        <v>77.805621456621424</v>
      </c>
      <c r="AH28" s="181">
        <f t="shared" ref="AH28:AH35" si="26">RANK(AG28, AG$27:AG$41)</f>
        <v>6</v>
      </c>
      <c r="AI28" s="612"/>
      <c r="AJ28" s="187">
        <v>23</v>
      </c>
      <c r="AK28" s="187">
        <v>1791.4686574379161</v>
      </c>
      <c r="AL28" s="184">
        <f t="shared" ref="AL28:AL35" si="27">IFERROR(AK28/AJ28,"")</f>
        <v>77.889941627735482</v>
      </c>
      <c r="AM28" s="181">
        <f t="shared" ref="AM28:AM35" si="28">RANK(AL28, AL$27:AL$41)</f>
        <v>6</v>
      </c>
      <c r="AN28" s="612"/>
      <c r="AO28" s="187">
        <v>23</v>
      </c>
      <c r="AP28" s="187">
        <v>1792.9380609972263</v>
      </c>
      <c r="AQ28" s="184">
        <f t="shared" ref="AQ28:AQ35" si="29">IFERROR(AP28/AO28,"")</f>
        <v>77.953828739009836</v>
      </c>
      <c r="AR28" s="181">
        <f t="shared" ref="AR28:AR35" si="30">RANK(AQ28, AQ$27:AQ$41)</f>
        <v>6</v>
      </c>
      <c r="AS28" s="612"/>
      <c r="AT28" s="187">
        <v>23</v>
      </c>
      <c r="AU28" s="187">
        <v>1793.7380609972261</v>
      </c>
      <c r="AV28" s="184">
        <f t="shared" ref="AV28:AV35" si="31">IFERROR(AU28/AT28,"")</f>
        <v>77.988611347705486</v>
      </c>
      <c r="AW28" s="181">
        <f t="shared" ref="AW28:AW35" si="32">RANK(AV28, AV$27:AV$41)</f>
        <v>5</v>
      </c>
      <c r="AX28" s="612"/>
    </row>
    <row r="29" spans="2:50" ht="14.25" customHeight="1">
      <c r="B29" s="611"/>
      <c r="C29" s="179">
        <v>3</v>
      </c>
      <c r="D29" s="182" t="s">
        <v>350</v>
      </c>
      <c r="E29" s="179">
        <v>23</v>
      </c>
      <c r="F29" s="179">
        <v>2000</v>
      </c>
      <c r="G29" s="184">
        <f t="shared" si="17"/>
        <v>86.956521739130437</v>
      </c>
      <c r="H29" s="612"/>
      <c r="I29" s="185">
        <f t="shared" si="19"/>
        <v>23</v>
      </c>
      <c r="J29" s="185">
        <f t="shared" si="19"/>
        <v>1793.5620868513204</v>
      </c>
      <c r="K29" s="186">
        <f t="shared" si="19"/>
        <v>77.980960297883513</v>
      </c>
      <c r="L29" s="613"/>
      <c r="M29" s="185">
        <f>RANK(K29, K$27:$K$41)</f>
        <v>5</v>
      </c>
      <c r="N29" s="611"/>
      <c r="O29" s="611"/>
      <c r="P29" s="187">
        <v>23</v>
      </c>
      <c r="Q29" s="187">
        <v>1793.4192297084635</v>
      </c>
      <c r="R29" s="184">
        <f t="shared" si="20"/>
        <v>77.974749117759288</v>
      </c>
      <c r="S29" s="181">
        <f t="shared" si="21"/>
        <v>5</v>
      </c>
      <c r="T29" s="612"/>
      <c r="U29" s="187">
        <v>23</v>
      </c>
      <c r="V29" s="187">
        <v>1793.0192297084636</v>
      </c>
      <c r="W29" s="184">
        <f t="shared" si="18"/>
        <v>77.957357813411463</v>
      </c>
      <c r="X29" s="181">
        <f t="shared" si="22"/>
        <v>5</v>
      </c>
      <c r="Y29" s="612"/>
      <c r="Z29" s="187">
        <v>23</v>
      </c>
      <c r="AA29" s="187">
        <v>1793.4192297084635</v>
      </c>
      <c r="AB29" s="184">
        <f t="shared" si="23"/>
        <v>77.974749117759288</v>
      </c>
      <c r="AC29" s="181">
        <f t="shared" si="24"/>
        <v>5</v>
      </c>
      <c r="AD29" s="612"/>
      <c r="AE29" s="187">
        <v>23</v>
      </c>
      <c r="AF29" s="187">
        <v>1794.0192297084634</v>
      </c>
      <c r="AG29" s="184">
        <f t="shared" si="25"/>
        <v>78.000836074281011</v>
      </c>
      <c r="AH29" s="181">
        <f t="shared" si="26"/>
        <v>5</v>
      </c>
      <c r="AI29" s="612"/>
      <c r="AJ29" s="187">
        <v>23</v>
      </c>
      <c r="AK29" s="187">
        <v>1794.2192297084632</v>
      </c>
      <c r="AL29" s="184">
        <f t="shared" si="27"/>
        <v>78.009531726454924</v>
      </c>
      <c r="AM29" s="181">
        <f t="shared" si="28"/>
        <v>5</v>
      </c>
      <c r="AN29" s="612"/>
      <c r="AO29" s="187">
        <v>23</v>
      </c>
      <c r="AP29" s="187">
        <v>1793.4192297084635</v>
      </c>
      <c r="AQ29" s="184">
        <f t="shared" si="29"/>
        <v>77.974749117759288</v>
      </c>
      <c r="AR29" s="181">
        <f t="shared" si="30"/>
        <v>5</v>
      </c>
      <c r="AS29" s="612"/>
      <c r="AT29" s="187">
        <v>23</v>
      </c>
      <c r="AU29" s="187">
        <v>1793.4192297084635</v>
      </c>
      <c r="AV29" s="184">
        <f t="shared" si="31"/>
        <v>77.974749117759288</v>
      </c>
      <c r="AW29" s="181">
        <f t="shared" si="32"/>
        <v>6</v>
      </c>
      <c r="AX29" s="612"/>
    </row>
    <row r="30" spans="2:50" ht="14.25" customHeight="1">
      <c r="B30" s="611"/>
      <c r="C30" s="179">
        <v>4</v>
      </c>
      <c r="D30" s="182" t="s">
        <v>433</v>
      </c>
      <c r="E30" s="179">
        <v>23</v>
      </c>
      <c r="F30" s="179">
        <v>2000</v>
      </c>
      <c r="G30" s="184">
        <f t="shared" si="17"/>
        <v>86.956521739130437</v>
      </c>
      <c r="H30" s="612"/>
      <c r="I30" s="185">
        <f t="shared" si="19"/>
        <v>23</v>
      </c>
      <c r="J30" s="185">
        <f t="shared" si="19"/>
        <v>1795.143317917109</v>
      </c>
      <c r="K30" s="186">
        <f t="shared" si="19"/>
        <v>78.049709474656908</v>
      </c>
      <c r="L30" s="613"/>
      <c r="M30" s="185">
        <f>RANK(K30, K$27:$K$41)</f>
        <v>4</v>
      </c>
      <c r="N30" s="611"/>
      <c r="O30" s="611"/>
      <c r="P30" s="187">
        <v>23</v>
      </c>
      <c r="Q30" s="187">
        <v>1795.2576036313947</v>
      </c>
      <c r="R30" s="184">
        <f t="shared" si="20"/>
        <v>78.054678418756296</v>
      </c>
      <c r="S30" s="181">
        <f t="shared" si="21"/>
        <v>4</v>
      </c>
      <c r="T30" s="612"/>
      <c r="U30" s="187">
        <v>23</v>
      </c>
      <c r="V30" s="187">
        <v>1795.0576036313948</v>
      </c>
      <c r="W30" s="184">
        <f t="shared" si="18"/>
        <v>78.045982766582384</v>
      </c>
      <c r="X30" s="181">
        <f t="shared" si="22"/>
        <v>4</v>
      </c>
      <c r="Y30" s="612"/>
      <c r="Z30" s="187">
        <v>23</v>
      </c>
      <c r="AA30" s="187">
        <v>1795.8576036313948</v>
      </c>
      <c r="AB30" s="184">
        <f t="shared" si="23"/>
        <v>78.080765375278034</v>
      </c>
      <c r="AC30" s="181">
        <f t="shared" si="24"/>
        <v>4</v>
      </c>
      <c r="AD30" s="612"/>
      <c r="AE30" s="187">
        <v>23</v>
      </c>
      <c r="AF30" s="187">
        <v>1795.6576036313945</v>
      </c>
      <c r="AG30" s="184">
        <f t="shared" si="25"/>
        <v>78.072069723104107</v>
      </c>
      <c r="AH30" s="181">
        <f t="shared" si="26"/>
        <v>4</v>
      </c>
      <c r="AI30" s="612"/>
      <c r="AJ30" s="187">
        <v>23</v>
      </c>
      <c r="AK30" s="187">
        <v>1795.6576036313945</v>
      </c>
      <c r="AL30" s="184">
        <f t="shared" si="27"/>
        <v>78.072069723104107</v>
      </c>
      <c r="AM30" s="181">
        <f t="shared" si="28"/>
        <v>4</v>
      </c>
      <c r="AN30" s="612"/>
      <c r="AO30" s="187">
        <v>23</v>
      </c>
      <c r="AP30" s="187">
        <v>1794.6576036313945</v>
      </c>
      <c r="AQ30" s="184">
        <f t="shared" si="29"/>
        <v>78.028591462234544</v>
      </c>
      <c r="AR30" s="181">
        <f t="shared" si="30"/>
        <v>4</v>
      </c>
      <c r="AS30" s="612"/>
      <c r="AT30" s="187">
        <v>23</v>
      </c>
      <c r="AU30" s="187">
        <v>1793.8576036313946</v>
      </c>
      <c r="AV30" s="184">
        <f t="shared" si="31"/>
        <v>77.993808853538894</v>
      </c>
      <c r="AW30" s="181">
        <f t="shared" si="32"/>
        <v>4</v>
      </c>
      <c r="AX30" s="612"/>
    </row>
    <row r="31" spans="2:50" ht="14.25" customHeight="1">
      <c r="B31" s="611"/>
      <c r="C31" s="179">
        <v>5</v>
      </c>
      <c r="D31" s="182" t="s">
        <v>435</v>
      </c>
      <c r="E31" s="179">
        <v>22</v>
      </c>
      <c r="F31" s="179">
        <v>2000</v>
      </c>
      <c r="G31" s="184">
        <f t="shared" si="17"/>
        <v>90.909090909090907</v>
      </c>
      <c r="H31" s="612"/>
      <c r="I31" s="185">
        <f t="shared" si="19"/>
        <v>22</v>
      </c>
      <c r="J31" s="185">
        <f t="shared" si="19"/>
        <v>1789.9796763500092</v>
      </c>
      <c r="K31" s="186">
        <f t="shared" si="19"/>
        <v>81.362712561364063</v>
      </c>
      <c r="L31" s="613"/>
      <c r="M31" s="185">
        <f>RANK(K31, K$27:$K$41)</f>
        <v>3</v>
      </c>
      <c r="N31" s="611"/>
      <c r="O31" s="611"/>
      <c r="P31" s="187">
        <v>22</v>
      </c>
      <c r="Q31" s="187">
        <v>1790.1511049214378</v>
      </c>
      <c r="R31" s="184">
        <f t="shared" si="20"/>
        <v>81.370504769156256</v>
      </c>
      <c r="S31" s="181">
        <f t="shared" si="21"/>
        <v>3</v>
      </c>
      <c r="T31" s="612"/>
      <c r="U31" s="187">
        <v>22</v>
      </c>
      <c r="V31" s="187">
        <v>1790.7511049214374</v>
      </c>
      <c r="W31" s="184">
        <f t="shared" si="18"/>
        <v>81.397777496428972</v>
      </c>
      <c r="X31" s="181">
        <f t="shared" si="22"/>
        <v>3</v>
      </c>
      <c r="Y31" s="612"/>
      <c r="Z31" s="187">
        <v>22</v>
      </c>
      <c r="AA31" s="187">
        <v>1789.7511049214377</v>
      </c>
      <c r="AB31" s="184">
        <f t="shared" si="23"/>
        <v>81.35232295097444</v>
      </c>
      <c r="AC31" s="181">
        <f t="shared" si="24"/>
        <v>3</v>
      </c>
      <c r="AD31" s="612"/>
      <c r="AE31" s="187">
        <v>22</v>
      </c>
      <c r="AF31" s="187">
        <v>1790.3511049214376</v>
      </c>
      <c r="AG31" s="184">
        <f t="shared" si="25"/>
        <v>81.379595678247156</v>
      </c>
      <c r="AH31" s="181">
        <f t="shared" si="26"/>
        <v>3</v>
      </c>
      <c r="AI31" s="612"/>
      <c r="AJ31" s="187">
        <v>22</v>
      </c>
      <c r="AK31" s="187">
        <v>1789.5511049214376</v>
      </c>
      <c r="AL31" s="184">
        <f t="shared" si="27"/>
        <v>81.343232041883525</v>
      </c>
      <c r="AM31" s="181">
        <f t="shared" si="28"/>
        <v>3</v>
      </c>
      <c r="AN31" s="612"/>
      <c r="AO31" s="187">
        <v>22</v>
      </c>
      <c r="AP31" s="187">
        <v>1789.3511049214376</v>
      </c>
      <c r="AQ31" s="184">
        <f t="shared" si="29"/>
        <v>81.334141132792624</v>
      </c>
      <c r="AR31" s="181">
        <f t="shared" si="30"/>
        <v>3</v>
      </c>
      <c r="AS31" s="612"/>
      <c r="AT31" s="187">
        <v>22</v>
      </c>
      <c r="AU31" s="187">
        <v>1789.9511049214377</v>
      </c>
      <c r="AV31" s="184">
        <f t="shared" si="31"/>
        <v>81.361413860065355</v>
      </c>
      <c r="AW31" s="181">
        <f t="shared" si="32"/>
        <v>3</v>
      </c>
      <c r="AX31" s="612"/>
    </row>
    <row r="32" spans="2:50" ht="14.25" customHeight="1">
      <c r="B32" s="611"/>
      <c r="C32" s="179">
        <v>6</v>
      </c>
      <c r="D32" s="182" t="s">
        <v>437</v>
      </c>
      <c r="E32" s="179">
        <v>20</v>
      </c>
      <c r="F32" s="179">
        <v>2000</v>
      </c>
      <c r="G32" s="184">
        <f t="shared" si="17"/>
        <v>100</v>
      </c>
      <c r="H32" s="612"/>
      <c r="I32" s="185">
        <f t="shared" si="19"/>
        <v>20</v>
      </c>
      <c r="J32" s="185">
        <f t="shared" si="19"/>
        <v>1789.5201174019098</v>
      </c>
      <c r="K32" s="186">
        <f t="shared" si="19"/>
        <v>89.476005870095491</v>
      </c>
      <c r="L32" s="613"/>
      <c r="M32" s="185">
        <f>RANK(K32, K$27:$K$41)</f>
        <v>2</v>
      </c>
      <c r="N32" s="611"/>
      <c r="O32" s="611"/>
      <c r="P32" s="187">
        <v>20</v>
      </c>
      <c r="Q32" s="187">
        <v>1788.6629745447672</v>
      </c>
      <c r="R32" s="184">
        <f t="shared" si="20"/>
        <v>89.433148727238361</v>
      </c>
      <c r="S32" s="181">
        <f t="shared" si="21"/>
        <v>2</v>
      </c>
      <c r="T32" s="612"/>
      <c r="U32" s="187">
        <v>20</v>
      </c>
      <c r="V32" s="187">
        <v>1789.0629745447673</v>
      </c>
      <c r="W32" s="184">
        <f t="shared" si="18"/>
        <v>89.453148727238357</v>
      </c>
      <c r="X32" s="181">
        <f t="shared" si="22"/>
        <v>2</v>
      </c>
      <c r="Y32" s="612"/>
      <c r="Z32" s="187">
        <v>20</v>
      </c>
      <c r="AA32" s="187">
        <v>1789.862974544767</v>
      </c>
      <c r="AB32" s="184">
        <f t="shared" si="23"/>
        <v>89.493148727238349</v>
      </c>
      <c r="AC32" s="181">
        <f t="shared" si="24"/>
        <v>2</v>
      </c>
      <c r="AD32" s="612"/>
      <c r="AE32" s="187">
        <v>20</v>
      </c>
      <c r="AF32" s="187">
        <v>1789.4629745447669</v>
      </c>
      <c r="AG32" s="184">
        <f t="shared" si="25"/>
        <v>89.473148727238339</v>
      </c>
      <c r="AH32" s="181">
        <f t="shared" si="26"/>
        <v>2</v>
      </c>
      <c r="AI32" s="612"/>
      <c r="AJ32" s="187">
        <v>20</v>
      </c>
      <c r="AK32" s="187">
        <v>1789.4629745447669</v>
      </c>
      <c r="AL32" s="184">
        <f t="shared" si="27"/>
        <v>89.473148727238339</v>
      </c>
      <c r="AM32" s="181">
        <f t="shared" si="28"/>
        <v>2</v>
      </c>
      <c r="AN32" s="612"/>
      <c r="AO32" s="187">
        <v>20</v>
      </c>
      <c r="AP32" s="187">
        <v>1790.2629745447666</v>
      </c>
      <c r="AQ32" s="184">
        <f t="shared" si="29"/>
        <v>89.513148727238331</v>
      </c>
      <c r="AR32" s="181">
        <f t="shared" si="30"/>
        <v>2</v>
      </c>
      <c r="AS32" s="612"/>
      <c r="AT32" s="187">
        <v>20</v>
      </c>
      <c r="AU32" s="187">
        <v>1789.8629745447665</v>
      </c>
      <c r="AV32" s="184">
        <f t="shared" si="31"/>
        <v>89.493148727238321</v>
      </c>
      <c r="AW32" s="181">
        <f t="shared" si="32"/>
        <v>2</v>
      </c>
      <c r="AX32" s="612"/>
    </row>
    <row r="33" spans="2:50" ht="14.25" customHeight="1">
      <c r="B33" s="611"/>
      <c r="C33" s="179">
        <v>7</v>
      </c>
      <c r="D33" s="182" t="s">
        <v>508</v>
      </c>
      <c r="E33" s="179">
        <v>25</v>
      </c>
      <c r="F33" s="179">
        <v>2000</v>
      </c>
      <c r="G33" s="184">
        <f t="shared" si="17"/>
        <v>80</v>
      </c>
      <c r="H33" s="612"/>
      <c r="I33" s="185">
        <f t="shared" si="19"/>
        <v>25</v>
      </c>
      <c r="J33" s="185">
        <f t="shared" si="19"/>
        <v>1790.8431649766985</v>
      </c>
      <c r="K33" s="186">
        <f t="shared" si="19"/>
        <v>71.633726599067941</v>
      </c>
      <c r="L33" s="613"/>
      <c r="M33" s="185">
        <f>RANK(K33, K$27:$K$41)</f>
        <v>9</v>
      </c>
      <c r="N33" s="611"/>
      <c r="O33" s="611"/>
      <c r="P33" s="187">
        <v>25</v>
      </c>
      <c r="Q33" s="187">
        <v>1790.3860221195555</v>
      </c>
      <c r="R33" s="184">
        <f t="shared" si="20"/>
        <v>71.615440884782217</v>
      </c>
      <c r="S33" s="181">
        <f t="shared" si="21"/>
        <v>9</v>
      </c>
      <c r="T33" s="612"/>
      <c r="U33" s="187">
        <v>25</v>
      </c>
      <c r="V33" s="187">
        <v>1791.1860221195554</v>
      </c>
      <c r="W33" s="184">
        <f t="shared" si="18"/>
        <v>71.647440884782213</v>
      </c>
      <c r="X33" s="181">
        <f t="shared" si="22"/>
        <v>9</v>
      </c>
      <c r="Y33" s="612"/>
      <c r="Z33" s="187">
        <v>25</v>
      </c>
      <c r="AA33" s="187">
        <v>1791.5860221195553</v>
      </c>
      <c r="AB33" s="184">
        <f t="shared" si="23"/>
        <v>71.663440884782219</v>
      </c>
      <c r="AC33" s="181">
        <f t="shared" si="24"/>
        <v>9</v>
      </c>
      <c r="AD33" s="612"/>
      <c r="AE33" s="187">
        <v>25</v>
      </c>
      <c r="AF33" s="187">
        <v>1790.9860221195554</v>
      </c>
      <c r="AG33" s="184">
        <f t="shared" si="25"/>
        <v>71.639440884782218</v>
      </c>
      <c r="AH33" s="181">
        <f t="shared" si="26"/>
        <v>9</v>
      </c>
      <c r="AI33" s="612"/>
      <c r="AJ33" s="187">
        <v>25</v>
      </c>
      <c r="AK33" s="187">
        <v>1790.3860221195557</v>
      </c>
      <c r="AL33" s="184">
        <f t="shared" si="27"/>
        <v>71.615440884782231</v>
      </c>
      <c r="AM33" s="181">
        <f t="shared" si="28"/>
        <v>9</v>
      </c>
      <c r="AN33" s="612"/>
      <c r="AO33" s="187">
        <v>25</v>
      </c>
      <c r="AP33" s="187">
        <v>1790.5860221195558</v>
      </c>
      <c r="AQ33" s="184">
        <f t="shared" si="29"/>
        <v>71.623440884782227</v>
      </c>
      <c r="AR33" s="181">
        <f t="shared" si="30"/>
        <v>9</v>
      </c>
      <c r="AS33" s="612"/>
      <c r="AT33" s="187">
        <v>25</v>
      </c>
      <c r="AU33" s="187">
        <v>1790.7860221195556</v>
      </c>
      <c r="AV33" s="184">
        <f t="shared" si="31"/>
        <v>71.631440884782222</v>
      </c>
      <c r="AW33" s="181">
        <f t="shared" si="32"/>
        <v>9</v>
      </c>
      <c r="AX33" s="612"/>
    </row>
    <row r="34" spans="2:50" ht="14.25" customHeight="1">
      <c r="B34" s="611"/>
      <c r="C34" s="179">
        <v>8</v>
      </c>
      <c r="D34" s="182" t="s">
        <v>580</v>
      </c>
      <c r="E34" s="179">
        <v>20</v>
      </c>
      <c r="F34" s="179">
        <v>2000</v>
      </c>
      <c r="G34" s="184">
        <f t="shared" si="17"/>
        <v>100</v>
      </c>
      <c r="H34" s="612"/>
      <c r="I34" s="185">
        <f t="shared" si="19"/>
        <v>20</v>
      </c>
      <c r="J34" s="185">
        <f t="shared" si="19"/>
        <v>1791.9455858679733</v>
      </c>
      <c r="K34" s="186">
        <f t="shared" si="19"/>
        <v>89.597279293398643</v>
      </c>
      <c r="L34" s="613"/>
      <c r="M34" s="185">
        <f>RANK(K34, K$27:$K$41)</f>
        <v>1</v>
      </c>
      <c r="N34" s="611"/>
      <c r="O34" s="611"/>
      <c r="P34" s="187">
        <v>20</v>
      </c>
      <c r="Q34" s="187">
        <v>1790.9455858679737</v>
      </c>
      <c r="R34" s="184">
        <f t="shared" si="20"/>
        <v>89.547279293398688</v>
      </c>
      <c r="S34" s="181">
        <f t="shared" si="21"/>
        <v>1</v>
      </c>
      <c r="T34" s="612"/>
      <c r="U34" s="187">
        <v>20</v>
      </c>
      <c r="V34" s="187">
        <v>1791.3455858679736</v>
      </c>
      <c r="W34" s="184">
        <f t="shared" si="18"/>
        <v>89.567279293398684</v>
      </c>
      <c r="X34" s="181">
        <f t="shared" si="22"/>
        <v>1</v>
      </c>
      <c r="Y34" s="612"/>
      <c r="Z34" s="187">
        <v>20</v>
      </c>
      <c r="AA34" s="187">
        <v>1792.1455858679733</v>
      </c>
      <c r="AB34" s="184">
        <f t="shared" si="23"/>
        <v>89.607279293398662</v>
      </c>
      <c r="AC34" s="181">
        <f t="shared" si="24"/>
        <v>1</v>
      </c>
      <c r="AD34" s="612"/>
      <c r="AE34" s="187">
        <v>20</v>
      </c>
      <c r="AF34" s="187">
        <v>1792.1455858679731</v>
      </c>
      <c r="AG34" s="184">
        <f t="shared" si="25"/>
        <v>89.607279293398648</v>
      </c>
      <c r="AH34" s="181">
        <f t="shared" si="26"/>
        <v>1</v>
      </c>
      <c r="AI34" s="612"/>
      <c r="AJ34" s="187">
        <v>20</v>
      </c>
      <c r="AK34" s="187">
        <v>1792.1455858679728</v>
      </c>
      <c r="AL34" s="184">
        <f t="shared" si="27"/>
        <v>89.607279293398648</v>
      </c>
      <c r="AM34" s="181">
        <f t="shared" si="28"/>
        <v>1</v>
      </c>
      <c r="AN34" s="612"/>
      <c r="AO34" s="187">
        <v>20</v>
      </c>
      <c r="AP34" s="187">
        <v>1792.1455858679728</v>
      </c>
      <c r="AQ34" s="184">
        <f t="shared" si="29"/>
        <v>89.607279293398648</v>
      </c>
      <c r="AR34" s="181">
        <f t="shared" si="30"/>
        <v>1</v>
      </c>
      <c r="AS34" s="612"/>
      <c r="AT34" s="187">
        <v>20</v>
      </c>
      <c r="AU34" s="187">
        <v>1792.7455858679725</v>
      </c>
      <c r="AV34" s="184">
        <f t="shared" si="31"/>
        <v>89.63727929339862</v>
      </c>
      <c r="AW34" s="181">
        <f t="shared" si="32"/>
        <v>1</v>
      </c>
      <c r="AX34" s="612"/>
    </row>
    <row r="35" spans="2:50" ht="14.25" customHeight="1">
      <c r="B35" s="611"/>
      <c r="C35" s="179">
        <v>9</v>
      </c>
      <c r="D35" s="182" t="s">
        <v>710</v>
      </c>
      <c r="E35" s="179">
        <v>24</v>
      </c>
      <c r="F35" s="179">
        <v>2000</v>
      </c>
      <c r="G35" s="184">
        <f t="shared" si="17"/>
        <v>83.333333333333329</v>
      </c>
      <c r="H35" s="612"/>
      <c r="I35" s="185">
        <f t="shared" si="19"/>
        <v>24</v>
      </c>
      <c r="J35" s="185">
        <f t="shared" si="19"/>
        <v>1789.145631177269</v>
      </c>
      <c r="K35" s="186">
        <f t="shared" si="19"/>
        <v>74.547734632386209</v>
      </c>
      <c r="L35" s="613"/>
      <c r="M35" s="185">
        <f>RANK(K35, K$27:$K$41)</f>
        <v>8</v>
      </c>
      <c r="N35" s="611"/>
      <c r="O35" s="611"/>
      <c r="P35" s="187">
        <v>24</v>
      </c>
      <c r="Q35" s="187">
        <v>1788.9601065278723</v>
      </c>
      <c r="R35" s="184">
        <f t="shared" si="20"/>
        <v>74.540004438661342</v>
      </c>
      <c r="S35" s="181">
        <f t="shared" si="21"/>
        <v>8</v>
      </c>
      <c r="T35" s="612"/>
      <c r="U35" s="187">
        <v>24</v>
      </c>
      <c r="V35" s="187">
        <v>1788.7601065278727</v>
      </c>
      <c r="W35" s="184">
        <f t="shared" si="18"/>
        <v>74.53167110532803</v>
      </c>
      <c r="X35" s="181">
        <f t="shared" si="22"/>
        <v>8</v>
      </c>
      <c r="Y35" s="612"/>
      <c r="Z35" s="187">
        <v>24</v>
      </c>
      <c r="AA35" s="187">
        <v>1788.160106527873</v>
      </c>
      <c r="AB35" s="184">
        <f t="shared" si="23"/>
        <v>74.506671105328039</v>
      </c>
      <c r="AC35" s="181">
        <f t="shared" si="24"/>
        <v>8</v>
      </c>
      <c r="AD35" s="612"/>
      <c r="AE35" s="187">
        <v>24</v>
      </c>
      <c r="AF35" s="187">
        <v>1789.4847746643161</v>
      </c>
      <c r="AG35" s="184">
        <f t="shared" si="25"/>
        <v>74.561865611013175</v>
      </c>
      <c r="AH35" s="181">
        <f t="shared" si="26"/>
        <v>8</v>
      </c>
      <c r="AI35" s="612"/>
      <c r="AJ35" s="187">
        <v>24</v>
      </c>
      <c r="AK35" s="187">
        <v>1789.6847746643161</v>
      </c>
      <c r="AL35" s="184">
        <f t="shared" si="27"/>
        <v>74.570198944346501</v>
      </c>
      <c r="AM35" s="181">
        <f t="shared" si="28"/>
        <v>8</v>
      </c>
      <c r="AN35" s="612"/>
      <c r="AO35" s="187">
        <v>24</v>
      </c>
      <c r="AP35" s="187">
        <v>1789.4847746643161</v>
      </c>
      <c r="AQ35" s="184">
        <f t="shared" si="29"/>
        <v>74.561865611013175</v>
      </c>
      <c r="AR35" s="181">
        <f t="shared" si="30"/>
        <v>8</v>
      </c>
      <c r="AS35" s="612"/>
      <c r="AT35" s="187">
        <v>24</v>
      </c>
      <c r="AU35" s="187">
        <v>1789.4847746643165</v>
      </c>
      <c r="AV35" s="184">
        <f t="shared" si="31"/>
        <v>74.561865611013189</v>
      </c>
      <c r="AW35" s="181">
        <f t="shared" si="32"/>
        <v>8</v>
      </c>
      <c r="AX35" s="612"/>
    </row>
    <row r="36" spans="2:50" ht="14.25" customHeight="1">
      <c r="B36" s="611"/>
      <c r="C36" s="179">
        <v>10</v>
      </c>
      <c r="D36" s="182"/>
      <c r="E36" s="179"/>
      <c r="F36" s="179"/>
      <c r="G36" s="184"/>
      <c r="H36" s="612"/>
      <c r="I36" s="185"/>
      <c r="J36" s="185"/>
      <c r="K36" s="186"/>
      <c r="L36" s="613"/>
      <c r="M36" s="185"/>
      <c r="N36" s="611"/>
      <c r="O36" s="611"/>
      <c r="P36" s="187"/>
      <c r="Q36" s="187"/>
      <c r="R36" s="184"/>
      <c r="S36" s="181"/>
      <c r="T36" s="612"/>
      <c r="U36" s="187"/>
      <c r="V36" s="187"/>
      <c r="W36" s="184"/>
      <c r="X36" s="181"/>
      <c r="Y36" s="612"/>
      <c r="Z36" s="187"/>
      <c r="AA36" s="187"/>
      <c r="AB36" s="184"/>
      <c r="AC36" s="181"/>
      <c r="AD36" s="612"/>
      <c r="AE36" s="187"/>
      <c r="AF36" s="187"/>
      <c r="AG36" s="184"/>
      <c r="AH36" s="181"/>
      <c r="AI36" s="612"/>
      <c r="AJ36" s="187"/>
      <c r="AK36" s="187"/>
      <c r="AL36" s="184"/>
      <c r="AM36" s="181"/>
      <c r="AN36" s="612"/>
      <c r="AO36" s="187"/>
      <c r="AP36" s="187"/>
      <c r="AQ36" s="184"/>
      <c r="AR36" s="181"/>
      <c r="AS36" s="612"/>
      <c r="AT36" s="187"/>
      <c r="AU36" s="187"/>
      <c r="AV36" s="184"/>
      <c r="AW36" s="181"/>
      <c r="AX36" s="612"/>
    </row>
    <row r="37" spans="2:50" ht="14.25" customHeight="1">
      <c r="B37" s="611"/>
      <c r="C37" s="179">
        <v>11</v>
      </c>
      <c r="D37" s="182"/>
      <c r="E37" s="179"/>
      <c r="F37" s="179"/>
      <c r="G37" s="184"/>
      <c r="H37" s="612"/>
      <c r="I37" s="185"/>
      <c r="J37" s="185"/>
      <c r="K37" s="186"/>
      <c r="L37" s="613"/>
      <c r="M37" s="185"/>
      <c r="N37" s="611"/>
      <c r="O37" s="611"/>
      <c r="P37" s="187"/>
      <c r="Q37" s="187"/>
      <c r="R37" s="184"/>
      <c r="S37" s="181"/>
      <c r="T37" s="612"/>
      <c r="U37" s="187"/>
      <c r="V37" s="187"/>
      <c r="W37" s="184"/>
      <c r="X37" s="181"/>
      <c r="Y37" s="612"/>
      <c r="Z37" s="187"/>
      <c r="AA37" s="187"/>
      <c r="AB37" s="184"/>
      <c r="AC37" s="181"/>
      <c r="AD37" s="612"/>
      <c r="AE37" s="187"/>
      <c r="AF37" s="187"/>
      <c r="AG37" s="184"/>
      <c r="AH37" s="181"/>
      <c r="AI37" s="612"/>
      <c r="AJ37" s="187"/>
      <c r="AK37" s="187"/>
      <c r="AL37" s="184"/>
      <c r="AM37" s="181"/>
      <c r="AN37" s="612"/>
      <c r="AO37" s="187"/>
      <c r="AP37" s="187"/>
      <c r="AQ37" s="184"/>
      <c r="AR37" s="181"/>
      <c r="AS37" s="612"/>
      <c r="AT37" s="187"/>
      <c r="AU37" s="187"/>
      <c r="AV37" s="184"/>
      <c r="AW37" s="181"/>
      <c r="AX37" s="612"/>
    </row>
    <row r="38" spans="2:50" ht="14.25" customHeight="1">
      <c r="B38" s="611"/>
      <c r="C38" s="179">
        <v>12</v>
      </c>
      <c r="D38" s="182"/>
      <c r="E38" s="179"/>
      <c r="F38" s="179"/>
      <c r="G38" s="184"/>
      <c r="H38" s="612"/>
      <c r="I38" s="185"/>
      <c r="J38" s="185"/>
      <c r="K38" s="186"/>
      <c r="L38" s="613"/>
      <c r="M38" s="185"/>
      <c r="N38" s="611"/>
      <c r="O38" s="611"/>
      <c r="P38" s="187"/>
      <c r="Q38" s="187"/>
      <c r="R38" s="184"/>
      <c r="S38" s="181"/>
      <c r="T38" s="612"/>
      <c r="U38" s="187"/>
      <c r="V38" s="187"/>
      <c r="W38" s="184"/>
      <c r="X38" s="181"/>
      <c r="Y38" s="612"/>
      <c r="Z38" s="187"/>
      <c r="AA38" s="187"/>
      <c r="AB38" s="184"/>
      <c r="AC38" s="181"/>
      <c r="AD38" s="612"/>
      <c r="AE38" s="187"/>
      <c r="AF38" s="187"/>
      <c r="AG38" s="184"/>
      <c r="AH38" s="181"/>
      <c r="AI38" s="612"/>
      <c r="AJ38" s="187"/>
      <c r="AK38" s="187"/>
      <c r="AL38" s="184"/>
      <c r="AM38" s="181"/>
      <c r="AN38" s="612"/>
      <c r="AO38" s="187"/>
      <c r="AP38" s="187"/>
      <c r="AQ38" s="184"/>
      <c r="AR38" s="181"/>
      <c r="AS38" s="612"/>
      <c r="AT38" s="187"/>
      <c r="AU38" s="187"/>
      <c r="AV38" s="184"/>
      <c r="AW38" s="181"/>
      <c r="AX38" s="612"/>
    </row>
    <row r="39" spans="2:50" ht="14.25" customHeight="1">
      <c r="B39" s="611"/>
      <c r="C39" s="179">
        <v>13</v>
      </c>
      <c r="D39" s="182"/>
      <c r="E39" s="179"/>
      <c r="F39" s="179"/>
      <c r="G39" s="184"/>
      <c r="H39" s="612"/>
      <c r="I39" s="185"/>
      <c r="J39" s="185"/>
      <c r="K39" s="186"/>
      <c r="L39" s="613"/>
      <c r="M39" s="185"/>
      <c r="N39" s="611"/>
      <c r="O39" s="611"/>
      <c r="P39" s="187"/>
      <c r="Q39" s="187"/>
      <c r="R39" s="184"/>
      <c r="S39" s="181"/>
      <c r="T39" s="612"/>
      <c r="U39" s="187"/>
      <c r="V39" s="187"/>
      <c r="W39" s="184"/>
      <c r="X39" s="181"/>
      <c r="Y39" s="612"/>
      <c r="Z39" s="187"/>
      <c r="AA39" s="187"/>
      <c r="AB39" s="184"/>
      <c r="AC39" s="181"/>
      <c r="AD39" s="612"/>
      <c r="AE39" s="187"/>
      <c r="AF39" s="187"/>
      <c r="AG39" s="184"/>
      <c r="AH39" s="181"/>
      <c r="AI39" s="612"/>
      <c r="AJ39" s="187"/>
      <c r="AK39" s="187"/>
      <c r="AL39" s="184"/>
      <c r="AM39" s="181"/>
      <c r="AN39" s="612"/>
      <c r="AO39" s="187"/>
      <c r="AP39" s="187"/>
      <c r="AQ39" s="184"/>
      <c r="AR39" s="181"/>
      <c r="AS39" s="612"/>
      <c r="AT39" s="187"/>
      <c r="AU39" s="187"/>
      <c r="AV39" s="184"/>
      <c r="AW39" s="181"/>
      <c r="AX39" s="612"/>
    </row>
    <row r="40" spans="2:50" ht="14.25" customHeight="1">
      <c r="B40" s="611"/>
      <c r="C40" s="179">
        <v>14</v>
      </c>
      <c r="D40" s="182"/>
      <c r="E40" s="179"/>
      <c r="F40" s="179"/>
      <c r="G40" s="184"/>
      <c r="H40" s="612"/>
      <c r="I40" s="185"/>
      <c r="J40" s="185"/>
      <c r="K40" s="186"/>
      <c r="L40" s="613"/>
      <c r="M40" s="185"/>
      <c r="N40" s="611"/>
      <c r="O40" s="611"/>
      <c r="P40" s="187"/>
      <c r="Q40" s="187"/>
      <c r="R40" s="184"/>
      <c r="S40" s="181"/>
      <c r="T40" s="612"/>
      <c r="U40" s="187"/>
      <c r="V40" s="187"/>
      <c r="W40" s="184"/>
      <c r="X40" s="181"/>
      <c r="Y40" s="612"/>
      <c r="Z40" s="187"/>
      <c r="AA40" s="187"/>
      <c r="AB40" s="184"/>
      <c r="AC40" s="181"/>
      <c r="AD40" s="612"/>
      <c r="AE40" s="187"/>
      <c r="AF40" s="187"/>
      <c r="AG40" s="184"/>
      <c r="AH40" s="181"/>
      <c r="AI40" s="612"/>
      <c r="AJ40" s="187"/>
      <c r="AK40" s="187"/>
      <c r="AL40" s="184"/>
      <c r="AM40" s="181"/>
      <c r="AN40" s="612"/>
      <c r="AO40" s="187"/>
      <c r="AP40" s="187"/>
      <c r="AQ40" s="184"/>
      <c r="AR40" s="181"/>
      <c r="AS40" s="612"/>
      <c r="AT40" s="187"/>
      <c r="AU40" s="187"/>
      <c r="AV40" s="184"/>
      <c r="AW40" s="181"/>
      <c r="AX40" s="612"/>
    </row>
    <row r="41" spans="2:50" ht="14.25" customHeight="1">
      <c r="B41" s="611"/>
      <c r="C41" s="179">
        <v>15</v>
      </c>
      <c r="D41" s="182"/>
      <c r="E41" s="179"/>
      <c r="F41" s="179"/>
      <c r="G41" s="184"/>
      <c r="H41" s="612"/>
      <c r="I41" s="185"/>
      <c r="J41" s="185"/>
      <c r="K41" s="186"/>
      <c r="L41" s="613"/>
      <c r="M41" s="185"/>
      <c r="N41" s="611"/>
      <c r="O41" s="611"/>
      <c r="P41" s="187"/>
      <c r="Q41" s="187"/>
      <c r="R41" s="184"/>
      <c r="S41" s="181"/>
      <c r="T41" s="612"/>
      <c r="U41" s="187"/>
      <c r="V41" s="187"/>
      <c r="W41" s="184"/>
      <c r="X41" s="181"/>
      <c r="Y41" s="612"/>
      <c r="Z41" s="187"/>
      <c r="AA41" s="187"/>
      <c r="AB41" s="184"/>
      <c r="AC41" s="181"/>
      <c r="AD41" s="612"/>
      <c r="AE41" s="187"/>
      <c r="AF41" s="187"/>
      <c r="AG41" s="184"/>
      <c r="AH41" s="181"/>
      <c r="AI41" s="612"/>
      <c r="AJ41" s="187"/>
      <c r="AK41" s="187"/>
      <c r="AL41" s="184"/>
      <c r="AM41" s="181"/>
      <c r="AN41" s="612"/>
      <c r="AO41" s="187"/>
      <c r="AP41" s="187"/>
      <c r="AQ41" s="184"/>
      <c r="AR41" s="181"/>
      <c r="AS41" s="612"/>
      <c r="AT41" s="187"/>
      <c r="AU41" s="187"/>
      <c r="AV41" s="184"/>
      <c r="AW41" s="181"/>
      <c r="AX41" s="612"/>
    </row>
    <row r="42" spans="2:50" ht="14.25" customHeight="1">
      <c r="B42" s="640" t="s">
        <v>800</v>
      </c>
      <c r="C42" s="641"/>
      <c r="D42" s="641"/>
      <c r="E42" s="641"/>
      <c r="F42" s="641"/>
      <c r="G42" s="641"/>
      <c r="H42" s="641"/>
      <c r="I42" s="641"/>
      <c r="J42" s="641"/>
      <c r="K42" s="641"/>
      <c r="L42" s="641"/>
      <c r="M42" s="642"/>
      <c r="N42" s="645" t="s">
        <v>363</v>
      </c>
      <c r="O42" s="645" t="s">
        <v>105</v>
      </c>
      <c r="P42" s="632">
        <v>46217</v>
      </c>
      <c r="Q42" s="633"/>
      <c r="R42" s="633"/>
      <c r="S42" s="633"/>
      <c r="T42" s="633"/>
      <c r="U42" s="634">
        <v>46218</v>
      </c>
      <c r="V42" s="635"/>
      <c r="W42" s="635"/>
      <c r="X42" s="635"/>
      <c r="Y42" s="635"/>
      <c r="Z42" s="632">
        <v>46219</v>
      </c>
      <c r="AA42" s="633"/>
      <c r="AB42" s="633"/>
      <c r="AC42" s="633"/>
      <c r="AD42" s="633"/>
      <c r="AE42" s="634">
        <v>46220</v>
      </c>
      <c r="AF42" s="635"/>
      <c r="AG42" s="635"/>
      <c r="AH42" s="635"/>
      <c r="AI42" s="635"/>
      <c r="AJ42" s="616">
        <v>46221</v>
      </c>
      <c r="AK42" s="617"/>
      <c r="AL42" s="617"/>
      <c r="AM42" s="617"/>
      <c r="AN42" s="618"/>
      <c r="AO42" s="634">
        <v>46222</v>
      </c>
      <c r="AP42" s="635"/>
      <c r="AQ42" s="635"/>
      <c r="AR42" s="635"/>
      <c r="AS42" s="635"/>
      <c r="AT42" s="616">
        <v>46223</v>
      </c>
      <c r="AU42" s="617"/>
      <c r="AV42" s="617"/>
      <c r="AW42" s="617"/>
      <c r="AX42" s="618"/>
    </row>
    <row r="43" spans="2:50" ht="14.25" customHeight="1"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4"/>
      <c r="N43" s="646"/>
      <c r="O43" s="646"/>
      <c r="P43" s="619">
        <v>46196</v>
      </c>
      <c r="Q43" s="619"/>
      <c r="R43" s="619"/>
      <c r="S43" s="619"/>
      <c r="T43" s="619"/>
      <c r="U43" s="620">
        <v>46197</v>
      </c>
      <c r="V43" s="620"/>
      <c r="W43" s="620"/>
      <c r="X43" s="620"/>
      <c r="Y43" s="620"/>
      <c r="Z43" s="619">
        <v>46198</v>
      </c>
      <c r="AA43" s="619"/>
      <c r="AB43" s="619"/>
      <c r="AC43" s="619"/>
      <c r="AD43" s="619"/>
      <c r="AE43" s="620">
        <v>46199</v>
      </c>
      <c r="AF43" s="620"/>
      <c r="AG43" s="620"/>
      <c r="AH43" s="620"/>
      <c r="AI43" s="620"/>
      <c r="AJ43" s="621">
        <v>46200</v>
      </c>
      <c r="AK43" s="622"/>
      <c r="AL43" s="622"/>
      <c r="AM43" s="622"/>
      <c r="AN43" s="623"/>
      <c r="AO43" s="620">
        <v>46201</v>
      </c>
      <c r="AP43" s="620"/>
      <c r="AQ43" s="620"/>
      <c r="AR43" s="620"/>
      <c r="AS43" s="620"/>
      <c r="AT43" s="621">
        <v>46202</v>
      </c>
      <c r="AU43" s="622"/>
      <c r="AV43" s="622"/>
      <c r="AW43" s="622"/>
      <c r="AX43" s="623"/>
    </row>
    <row r="44" spans="2:50" ht="14.25" customHeight="1">
      <c r="B44" s="611" t="s">
        <v>162</v>
      </c>
      <c r="C44" s="611" t="s">
        <v>157</v>
      </c>
      <c r="D44" s="611"/>
      <c r="E44" s="611" t="s">
        <v>158</v>
      </c>
      <c r="F44" s="611"/>
      <c r="G44" s="611"/>
      <c r="H44" s="611" t="s">
        <v>163</v>
      </c>
      <c r="I44" s="615" t="s">
        <v>364</v>
      </c>
      <c r="J44" s="615"/>
      <c r="K44" s="615"/>
      <c r="L44" s="615" t="s">
        <v>163</v>
      </c>
      <c r="M44" s="615" t="s">
        <v>165</v>
      </c>
      <c r="N44" s="611"/>
      <c r="O44" s="611" t="s">
        <v>164</v>
      </c>
      <c r="P44" s="611" t="s">
        <v>160</v>
      </c>
      <c r="Q44" s="611"/>
      <c r="R44" s="611"/>
      <c r="S44" s="611"/>
      <c r="T44" s="611" t="s">
        <v>163</v>
      </c>
      <c r="U44" s="611" t="s">
        <v>160</v>
      </c>
      <c r="V44" s="611"/>
      <c r="W44" s="611"/>
      <c r="X44" s="611"/>
      <c r="Y44" s="611" t="s">
        <v>163</v>
      </c>
      <c r="Z44" s="611" t="s">
        <v>160</v>
      </c>
      <c r="AA44" s="611"/>
      <c r="AB44" s="611"/>
      <c r="AC44" s="611"/>
      <c r="AD44" s="611" t="s">
        <v>163</v>
      </c>
      <c r="AE44" s="611" t="s">
        <v>160</v>
      </c>
      <c r="AF44" s="611"/>
      <c r="AG44" s="611"/>
      <c r="AH44" s="611"/>
      <c r="AI44" s="611" t="s">
        <v>163</v>
      </c>
      <c r="AJ44" s="611" t="s">
        <v>160</v>
      </c>
      <c r="AK44" s="611"/>
      <c r="AL44" s="611"/>
      <c r="AM44" s="611"/>
      <c r="AN44" s="611" t="s">
        <v>163</v>
      </c>
      <c r="AO44" s="611" t="s">
        <v>160</v>
      </c>
      <c r="AP44" s="611"/>
      <c r="AQ44" s="611"/>
      <c r="AR44" s="611"/>
      <c r="AS44" s="611" t="s">
        <v>163</v>
      </c>
      <c r="AT44" s="611" t="s">
        <v>160</v>
      </c>
      <c r="AU44" s="611"/>
      <c r="AV44" s="611"/>
      <c r="AW44" s="611"/>
      <c r="AX44" s="611" t="s">
        <v>163</v>
      </c>
    </row>
    <row r="45" spans="2:50" ht="14.25" customHeight="1">
      <c r="B45" s="611"/>
      <c r="C45" s="611"/>
      <c r="D45" s="611"/>
      <c r="E45" s="611" t="s">
        <v>365</v>
      </c>
      <c r="F45" s="611"/>
      <c r="G45" s="611"/>
      <c r="H45" s="611"/>
      <c r="I45" s="615" t="s">
        <v>365</v>
      </c>
      <c r="J45" s="615"/>
      <c r="K45" s="615"/>
      <c r="L45" s="615"/>
      <c r="M45" s="615"/>
      <c r="N45" s="611"/>
      <c r="O45" s="611"/>
      <c r="P45" s="611" t="s">
        <v>366</v>
      </c>
      <c r="Q45" s="611"/>
      <c r="R45" s="611"/>
      <c r="S45" s="611"/>
      <c r="T45" s="611"/>
      <c r="U45" s="611" t="s">
        <v>366</v>
      </c>
      <c r="V45" s="611"/>
      <c r="W45" s="611"/>
      <c r="X45" s="611"/>
      <c r="Y45" s="611"/>
      <c r="Z45" s="611" t="s">
        <v>366</v>
      </c>
      <c r="AA45" s="611"/>
      <c r="AB45" s="611"/>
      <c r="AC45" s="611"/>
      <c r="AD45" s="611"/>
      <c r="AE45" s="611" t="s">
        <v>366</v>
      </c>
      <c r="AF45" s="611"/>
      <c r="AG45" s="611"/>
      <c r="AH45" s="611"/>
      <c r="AI45" s="611"/>
      <c r="AJ45" s="611" t="s">
        <v>366</v>
      </c>
      <c r="AK45" s="611"/>
      <c r="AL45" s="611"/>
      <c r="AM45" s="611"/>
      <c r="AN45" s="611"/>
      <c r="AO45" s="611" t="s">
        <v>366</v>
      </c>
      <c r="AP45" s="611"/>
      <c r="AQ45" s="611"/>
      <c r="AR45" s="611"/>
      <c r="AS45" s="611"/>
      <c r="AT45" s="611" t="s">
        <v>366</v>
      </c>
      <c r="AU45" s="611"/>
      <c r="AV45" s="611"/>
      <c r="AW45" s="611"/>
      <c r="AX45" s="611"/>
    </row>
    <row r="46" spans="2:50" ht="14.25" customHeight="1">
      <c r="B46" s="611"/>
      <c r="C46" s="611"/>
      <c r="D46" s="611"/>
      <c r="E46" s="179" t="s">
        <v>159</v>
      </c>
      <c r="F46" s="179" t="s">
        <v>367</v>
      </c>
      <c r="G46" s="179" t="s">
        <v>161</v>
      </c>
      <c r="H46" s="611"/>
      <c r="I46" s="180" t="s">
        <v>159</v>
      </c>
      <c r="J46" s="180" t="s">
        <v>367</v>
      </c>
      <c r="K46" s="180" t="s">
        <v>161</v>
      </c>
      <c r="L46" s="615"/>
      <c r="M46" s="615"/>
      <c r="N46" s="611"/>
      <c r="O46" s="611"/>
      <c r="P46" s="179" t="s">
        <v>159</v>
      </c>
      <c r="Q46" s="179" t="s">
        <v>367</v>
      </c>
      <c r="R46" s="179" t="s">
        <v>161</v>
      </c>
      <c r="S46" s="181" t="s">
        <v>165</v>
      </c>
      <c r="T46" s="611"/>
      <c r="U46" s="179" t="s">
        <v>159</v>
      </c>
      <c r="V46" s="179" t="s">
        <v>367</v>
      </c>
      <c r="W46" s="179" t="s">
        <v>161</v>
      </c>
      <c r="X46" s="181" t="s">
        <v>165</v>
      </c>
      <c r="Y46" s="611"/>
      <c r="Z46" s="179" t="s">
        <v>159</v>
      </c>
      <c r="AA46" s="179" t="s">
        <v>367</v>
      </c>
      <c r="AB46" s="179" t="s">
        <v>161</v>
      </c>
      <c r="AC46" s="181" t="s">
        <v>165</v>
      </c>
      <c r="AD46" s="611"/>
      <c r="AE46" s="179" t="s">
        <v>159</v>
      </c>
      <c r="AF46" s="179" t="s">
        <v>367</v>
      </c>
      <c r="AG46" s="179" t="s">
        <v>161</v>
      </c>
      <c r="AH46" s="181" t="s">
        <v>165</v>
      </c>
      <c r="AI46" s="611"/>
      <c r="AJ46" s="179" t="s">
        <v>159</v>
      </c>
      <c r="AK46" s="179" t="s">
        <v>367</v>
      </c>
      <c r="AL46" s="179" t="s">
        <v>161</v>
      </c>
      <c r="AM46" s="181" t="s">
        <v>165</v>
      </c>
      <c r="AN46" s="611"/>
      <c r="AO46" s="179" t="s">
        <v>159</v>
      </c>
      <c r="AP46" s="179" t="s">
        <v>367</v>
      </c>
      <c r="AQ46" s="179" t="s">
        <v>161</v>
      </c>
      <c r="AR46" s="181" t="s">
        <v>165</v>
      </c>
      <c r="AS46" s="611"/>
      <c r="AT46" s="179" t="s">
        <v>159</v>
      </c>
      <c r="AU46" s="179" t="s">
        <v>367</v>
      </c>
      <c r="AV46" s="179" t="s">
        <v>161</v>
      </c>
      <c r="AW46" s="181" t="s">
        <v>165</v>
      </c>
      <c r="AX46" s="611"/>
    </row>
    <row r="47" spans="2:50" ht="14.25" customHeight="1">
      <c r="B47" s="611" t="s">
        <v>137</v>
      </c>
      <c r="C47" s="179">
        <v>1</v>
      </c>
      <c r="D47" s="182" t="s">
        <v>351</v>
      </c>
      <c r="E47" s="183">
        <v>24</v>
      </c>
      <c r="F47" s="179">
        <v>2000</v>
      </c>
      <c r="G47" s="184">
        <f t="shared" ref="G47:G55" si="33">IFERROR(F47/E47,"")</f>
        <v>83.333333333333329</v>
      </c>
      <c r="H47" s="612">
        <f>AVERAGE(G47:G61)</f>
        <v>88.716146977016535</v>
      </c>
      <c r="I47" s="185">
        <f>AVERAGE(P47,U47,Z47,AE47,AJ47,AO47,AT47)</f>
        <v>24</v>
      </c>
      <c r="J47" s="185">
        <f>AVERAGE(Q47,V47,AA47,AF47,AK47,AP47,AU47)</f>
        <v>1796.0116725059713</v>
      </c>
      <c r="K47" s="186">
        <f>AVERAGE(R47,W47,AB47,AG47,AL47,AQ47,AV47)</f>
        <v>74.8338196877488</v>
      </c>
      <c r="L47" s="613">
        <f>IFERROR(AVERAGE(K47:K61),"-")</f>
        <v>79.518358448192245</v>
      </c>
      <c r="M47" s="185">
        <f>RANK(K47, K$47:$K$61)</f>
        <v>7</v>
      </c>
      <c r="N47" s="611"/>
      <c r="O47" s="611"/>
      <c r="P47" s="187">
        <v>24</v>
      </c>
      <c r="Q47" s="187">
        <v>1796.0116725059704</v>
      </c>
      <c r="R47" s="184">
        <f>IFERROR(Q47/P47,"")</f>
        <v>74.833819687748772</v>
      </c>
      <c r="S47" s="181">
        <f>RANK(R47, R$47:R$61)</f>
        <v>7</v>
      </c>
      <c r="T47" s="612">
        <f>AVERAGE(R47:R61)</f>
        <v>79.518832275492144</v>
      </c>
      <c r="U47" s="187">
        <v>24</v>
      </c>
      <c r="V47" s="187">
        <v>1796.8116725059708</v>
      </c>
      <c r="W47" s="184">
        <f t="shared" ref="W47:W55" si="34">IFERROR(V47/U47,"")</f>
        <v>74.867153021082117</v>
      </c>
      <c r="X47" s="181">
        <f>RANK(W47, W$47:W$61)</f>
        <v>7</v>
      </c>
      <c r="Y47" s="612">
        <f>AVERAGE(W47:W61)</f>
        <v>79.528192691243873</v>
      </c>
      <c r="Z47" s="187">
        <v>24</v>
      </c>
      <c r="AA47" s="187">
        <v>1795.8116725059713</v>
      </c>
      <c r="AB47" s="184">
        <f>IFERROR(AA47/Z47,"")</f>
        <v>74.825486354415474</v>
      </c>
      <c r="AC47" s="181">
        <f>RANK(AB47, AB$47:AB$61)</f>
        <v>7</v>
      </c>
      <c r="AD47" s="612">
        <f>AVERAGE(AB47:AB61)</f>
        <v>79.515832861057945</v>
      </c>
      <c r="AE47" s="187">
        <v>24</v>
      </c>
      <c r="AF47" s="187">
        <v>1796.4116725059716</v>
      </c>
      <c r="AG47" s="184">
        <f>IFERROR(AF47/AE47,"")</f>
        <v>74.85048635441548</v>
      </c>
      <c r="AH47" s="181">
        <f>RANK(AG47, AG$47:AG$61)</f>
        <v>7</v>
      </c>
      <c r="AI47" s="612">
        <f>AVERAGE(AG47:AG61)</f>
        <v>79.512823492005111</v>
      </c>
      <c r="AJ47" s="187">
        <v>24</v>
      </c>
      <c r="AK47" s="187">
        <v>1796.2116725059716</v>
      </c>
      <c r="AL47" s="184">
        <f>IFERROR(AK47/AJ47,"")</f>
        <v>74.842153021082154</v>
      </c>
      <c r="AM47" s="181">
        <f>RANK(AL47, AL$47:AL$61)</f>
        <v>7</v>
      </c>
      <c r="AN47" s="612">
        <f>AVERAGE(AL47:AL61)</f>
        <v>79.517871069226601</v>
      </c>
      <c r="AO47" s="187">
        <v>24</v>
      </c>
      <c r="AP47" s="187">
        <v>1795.4116725059719</v>
      </c>
      <c r="AQ47" s="184">
        <f>IFERROR(AP47/AO47,"")</f>
        <v>74.808819687748823</v>
      </c>
      <c r="AR47" s="181">
        <f>RANK(AQ47, AQ$47:AQ$61)</f>
        <v>7</v>
      </c>
      <c r="AS47" s="612">
        <f>AVERAGE(AQ47:AQ61)</f>
        <v>79.5192490519524</v>
      </c>
      <c r="AT47" s="187">
        <v>24</v>
      </c>
      <c r="AU47" s="187">
        <v>1795.4116725059719</v>
      </c>
      <c r="AV47" s="184">
        <f>IFERROR(AU47/AT47,"")</f>
        <v>74.808819687748823</v>
      </c>
      <c r="AW47" s="181">
        <f>RANK(AV47, AV$47:AV$61)</f>
        <v>7</v>
      </c>
      <c r="AX47" s="612">
        <f>AVERAGE(AV47:AV61)</f>
        <v>79.515707696367571</v>
      </c>
    </row>
    <row r="48" spans="2:50" ht="14.25" customHeight="1">
      <c r="B48" s="611"/>
      <c r="C48" s="179">
        <v>2</v>
      </c>
      <c r="D48" s="182" t="s">
        <v>352</v>
      </c>
      <c r="E48" s="179">
        <v>23</v>
      </c>
      <c r="F48" s="179">
        <v>2000</v>
      </c>
      <c r="G48" s="184">
        <f t="shared" si="33"/>
        <v>86.956521739130437</v>
      </c>
      <c r="H48" s="612"/>
      <c r="I48" s="185">
        <f t="shared" ref="I48:K55" si="35">AVERAGE(P48,U48,Z48,AE48,AJ48,AO48,AT48)</f>
        <v>23</v>
      </c>
      <c r="J48" s="185">
        <f t="shared" si="35"/>
        <v>1792.7094895686553</v>
      </c>
      <c r="K48" s="186">
        <f t="shared" si="35"/>
        <v>77.943890850811087</v>
      </c>
      <c r="L48" s="613"/>
      <c r="M48" s="185">
        <f>RANK(K48, K$47:$K$61)</f>
        <v>6</v>
      </c>
      <c r="N48" s="611"/>
      <c r="O48" s="611"/>
      <c r="P48" s="187">
        <v>23</v>
      </c>
      <c r="Q48" s="187">
        <v>1794.3380609972264</v>
      </c>
      <c r="R48" s="184">
        <f t="shared" ref="R48:R55" si="36">IFERROR(Q48/P48,"")</f>
        <v>78.014698304227238</v>
      </c>
      <c r="S48" s="181">
        <f>RANK(R48, R$47:R$61)</f>
        <v>4</v>
      </c>
      <c r="T48" s="612"/>
      <c r="U48" s="187">
        <v>23</v>
      </c>
      <c r="V48" s="187">
        <v>1793.7380609972265</v>
      </c>
      <c r="W48" s="184">
        <f t="shared" si="34"/>
        <v>77.988611347705501</v>
      </c>
      <c r="X48" s="181">
        <f>RANK(W48, W$47:W$61)</f>
        <v>5</v>
      </c>
      <c r="Y48" s="612"/>
      <c r="Z48" s="187">
        <v>23</v>
      </c>
      <c r="AA48" s="187">
        <v>1793.3380609972269</v>
      </c>
      <c r="AB48" s="184">
        <f t="shared" ref="AB48:AB55" si="37">IFERROR(AA48/Z48,"")</f>
        <v>77.97122004335769</v>
      </c>
      <c r="AC48" s="181">
        <f>RANK(AB48, AB$47:AB$61)</f>
        <v>5</v>
      </c>
      <c r="AD48" s="612"/>
      <c r="AE48" s="187">
        <v>23</v>
      </c>
      <c r="AF48" s="187">
        <v>1792.5380609972269</v>
      </c>
      <c r="AG48" s="184">
        <f t="shared" ref="AG48:AG55" si="38">IFERROR(AF48/AE48,"")</f>
        <v>77.936437434662039</v>
      </c>
      <c r="AH48" s="181">
        <f>RANK(AG48, AG$47:AG$61)</f>
        <v>6</v>
      </c>
      <c r="AI48" s="612"/>
      <c r="AJ48" s="187">
        <v>23</v>
      </c>
      <c r="AK48" s="187">
        <v>1792.1380609972268</v>
      </c>
      <c r="AL48" s="184">
        <f t="shared" ref="AL48:AL55" si="39">IFERROR(AK48/AJ48,"")</f>
        <v>77.919046130314214</v>
      </c>
      <c r="AM48" s="181">
        <f>RANK(AL48, AL$47:AL$61)</f>
        <v>6</v>
      </c>
      <c r="AN48" s="612"/>
      <c r="AO48" s="187">
        <v>23</v>
      </c>
      <c r="AP48" s="187">
        <v>1791.3380609972269</v>
      </c>
      <c r="AQ48" s="184">
        <f t="shared" ref="AQ48:AQ55" si="40">IFERROR(AP48/AO48,"")</f>
        <v>77.884263521618564</v>
      </c>
      <c r="AR48" s="181">
        <f>RANK(AQ48, AQ$47:AQ$61)</f>
        <v>6</v>
      </c>
      <c r="AS48" s="612"/>
      <c r="AT48" s="187">
        <v>23</v>
      </c>
      <c r="AU48" s="187">
        <v>1791.5380609972269</v>
      </c>
      <c r="AV48" s="184">
        <f t="shared" ref="AV48:AV55" si="41">IFERROR(AU48/AT48,"")</f>
        <v>77.892959173792477</v>
      </c>
      <c r="AW48" s="181">
        <f>RANK(AV48, AV$47:AV$61)</f>
        <v>6</v>
      </c>
      <c r="AX48" s="612"/>
    </row>
    <row r="49" spans="2:50" ht="14.25" customHeight="1">
      <c r="B49" s="611"/>
      <c r="C49" s="179">
        <v>3</v>
      </c>
      <c r="D49" s="182" t="s">
        <v>350</v>
      </c>
      <c r="E49" s="179">
        <v>23</v>
      </c>
      <c r="F49" s="179">
        <v>2000</v>
      </c>
      <c r="G49" s="184">
        <f t="shared" si="33"/>
        <v>86.956521739130437</v>
      </c>
      <c r="H49" s="612"/>
      <c r="I49" s="185">
        <f t="shared" si="35"/>
        <v>23</v>
      </c>
      <c r="J49" s="185">
        <f t="shared" si="35"/>
        <v>1793.1620868513201</v>
      </c>
      <c r="K49" s="186">
        <f t="shared" si="35"/>
        <v>77.96356899353566</v>
      </c>
      <c r="L49" s="613"/>
      <c r="M49" s="185">
        <f>RANK(K49, K$47:$K$61)</f>
        <v>5</v>
      </c>
      <c r="N49" s="611"/>
      <c r="O49" s="611"/>
      <c r="P49" s="187">
        <v>23</v>
      </c>
      <c r="Q49" s="187">
        <v>1794.0192297084634</v>
      </c>
      <c r="R49" s="184">
        <f t="shared" si="36"/>
        <v>78.000836074281011</v>
      </c>
      <c r="S49" s="181">
        <f t="shared" ref="S49:S51" si="42">RANK(R49, R$47:R$61)</f>
        <v>6</v>
      </c>
      <c r="T49" s="612"/>
      <c r="U49" s="187">
        <v>23</v>
      </c>
      <c r="V49" s="187">
        <v>1793.419229708463</v>
      </c>
      <c r="W49" s="184">
        <f t="shared" si="34"/>
        <v>77.974749117759259</v>
      </c>
      <c r="X49" s="181">
        <f t="shared" ref="X49:X51" si="43">RANK(W49, W$47:W$61)</f>
        <v>6</v>
      </c>
      <c r="Y49" s="612"/>
      <c r="Z49" s="187">
        <v>23</v>
      </c>
      <c r="AA49" s="187">
        <v>1793.0192297084632</v>
      </c>
      <c r="AB49" s="184">
        <f t="shared" si="37"/>
        <v>77.957357813411448</v>
      </c>
      <c r="AC49" s="181">
        <f t="shared" ref="AC49:AC51" si="44">RANK(AB49, AB$47:AB$61)</f>
        <v>6</v>
      </c>
      <c r="AD49" s="612"/>
      <c r="AE49" s="187">
        <v>23</v>
      </c>
      <c r="AF49" s="187">
        <v>1793.4192297084633</v>
      </c>
      <c r="AG49" s="184">
        <f t="shared" si="38"/>
        <v>77.974749117759274</v>
      </c>
      <c r="AH49" s="181">
        <f t="shared" ref="AH49:AH51" si="45">RANK(AG49, AG$47:AG$61)</f>
        <v>5</v>
      </c>
      <c r="AI49" s="612"/>
      <c r="AJ49" s="187">
        <v>23</v>
      </c>
      <c r="AK49" s="187">
        <v>1792.6192297084633</v>
      </c>
      <c r="AL49" s="184">
        <f t="shared" si="39"/>
        <v>77.939966509063623</v>
      </c>
      <c r="AM49" s="181">
        <f t="shared" ref="AM49:AM51" si="46">RANK(AL49, AL$47:AL$61)</f>
        <v>5</v>
      </c>
      <c r="AN49" s="612"/>
      <c r="AO49" s="187">
        <v>23</v>
      </c>
      <c r="AP49" s="187">
        <v>1793.219229708463</v>
      </c>
      <c r="AQ49" s="184">
        <f t="shared" si="40"/>
        <v>77.966053465585347</v>
      </c>
      <c r="AR49" s="181">
        <f t="shared" ref="AR49:AR51" si="47">RANK(AQ49, AQ$47:AQ$61)</f>
        <v>5</v>
      </c>
      <c r="AS49" s="612"/>
      <c r="AT49" s="187">
        <v>23</v>
      </c>
      <c r="AU49" s="187">
        <v>1792.4192297084626</v>
      </c>
      <c r="AV49" s="184">
        <f t="shared" si="41"/>
        <v>77.931270856889682</v>
      </c>
      <c r="AW49" s="181">
        <f t="shared" ref="AW49:AW51" si="48">RANK(AV49, AV$47:AV$61)</f>
        <v>5</v>
      </c>
      <c r="AX49" s="612"/>
    </row>
    <row r="50" spans="2:50" ht="14.25" customHeight="1">
      <c r="B50" s="611"/>
      <c r="C50" s="179">
        <v>4</v>
      </c>
      <c r="D50" s="182" t="s">
        <v>433</v>
      </c>
      <c r="E50" s="179">
        <v>23</v>
      </c>
      <c r="F50" s="179">
        <v>2000</v>
      </c>
      <c r="G50" s="184">
        <f t="shared" si="33"/>
        <v>86.956521739130437</v>
      </c>
      <c r="H50" s="612"/>
      <c r="I50" s="185">
        <f t="shared" si="35"/>
        <v>23</v>
      </c>
      <c r="J50" s="185">
        <f t="shared" si="35"/>
        <v>1794.8290322028229</v>
      </c>
      <c r="K50" s="186">
        <f t="shared" si="35"/>
        <v>78.036044878383606</v>
      </c>
      <c r="L50" s="613"/>
      <c r="M50" s="185">
        <f>RANK(K50, K$47:$K$61)</f>
        <v>4</v>
      </c>
      <c r="N50" s="611"/>
      <c r="O50" s="611"/>
      <c r="P50" s="187">
        <v>23</v>
      </c>
      <c r="Q50" s="187">
        <v>1794.2576036313944</v>
      </c>
      <c r="R50" s="184">
        <f t="shared" si="36"/>
        <v>78.011200157886719</v>
      </c>
      <c r="S50" s="181">
        <f t="shared" si="42"/>
        <v>5</v>
      </c>
      <c r="T50" s="612"/>
      <c r="U50" s="187">
        <v>23</v>
      </c>
      <c r="V50" s="187">
        <v>1795.2576036313944</v>
      </c>
      <c r="W50" s="184">
        <f t="shared" si="34"/>
        <v>78.054678418756282</v>
      </c>
      <c r="X50" s="181">
        <f t="shared" si="43"/>
        <v>4</v>
      </c>
      <c r="Y50" s="612"/>
      <c r="Z50" s="187">
        <v>23</v>
      </c>
      <c r="AA50" s="187">
        <v>1795.4576036313942</v>
      </c>
      <c r="AB50" s="184">
        <f t="shared" si="37"/>
        <v>78.06337407093018</v>
      </c>
      <c r="AC50" s="181">
        <f t="shared" si="44"/>
        <v>4</v>
      </c>
      <c r="AD50" s="612"/>
      <c r="AE50" s="187">
        <v>23</v>
      </c>
      <c r="AF50" s="187">
        <v>1794.8576036313943</v>
      </c>
      <c r="AG50" s="184">
        <f t="shared" si="38"/>
        <v>78.037287114408443</v>
      </c>
      <c r="AH50" s="181">
        <f t="shared" si="45"/>
        <v>4</v>
      </c>
      <c r="AI50" s="612"/>
      <c r="AJ50" s="187">
        <v>23</v>
      </c>
      <c r="AK50" s="187">
        <v>1795.457603631394</v>
      </c>
      <c r="AL50" s="184">
        <f t="shared" si="39"/>
        <v>78.06337407093018</v>
      </c>
      <c r="AM50" s="181">
        <f t="shared" si="46"/>
        <v>4</v>
      </c>
      <c r="AN50" s="612"/>
      <c r="AO50" s="187">
        <v>23</v>
      </c>
      <c r="AP50" s="187">
        <v>1794.4576036313942</v>
      </c>
      <c r="AQ50" s="184">
        <f t="shared" si="40"/>
        <v>78.019895810060618</v>
      </c>
      <c r="AR50" s="181">
        <f t="shared" si="47"/>
        <v>4</v>
      </c>
      <c r="AS50" s="612"/>
      <c r="AT50" s="187">
        <v>23</v>
      </c>
      <c r="AU50" s="187">
        <v>1794.0576036313942</v>
      </c>
      <c r="AV50" s="184">
        <f t="shared" si="41"/>
        <v>78.002504505712793</v>
      </c>
      <c r="AW50" s="181">
        <f t="shared" si="48"/>
        <v>4</v>
      </c>
      <c r="AX50" s="612"/>
    </row>
    <row r="51" spans="2:50" ht="14.25" customHeight="1">
      <c r="B51" s="611"/>
      <c r="C51" s="179">
        <v>5</v>
      </c>
      <c r="D51" s="182" t="s">
        <v>435</v>
      </c>
      <c r="E51" s="179">
        <v>22</v>
      </c>
      <c r="F51" s="179">
        <v>2000</v>
      </c>
      <c r="G51" s="184">
        <f t="shared" si="33"/>
        <v>90.909090909090907</v>
      </c>
      <c r="H51" s="612"/>
      <c r="I51" s="185">
        <f t="shared" si="35"/>
        <v>22</v>
      </c>
      <c r="J51" s="185">
        <f t="shared" si="35"/>
        <v>1791.608247778581</v>
      </c>
      <c r="K51" s="186">
        <f t="shared" si="35"/>
        <v>81.436738535390063</v>
      </c>
      <c r="L51" s="613"/>
      <c r="M51" s="185">
        <f>RANK(K51, K$47:$K$61)</f>
        <v>3</v>
      </c>
      <c r="N51" s="611"/>
      <c r="O51" s="611"/>
      <c r="P51" s="187">
        <v>22</v>
      </c>
      <c r="Q51" s="187">
        <v>1790.9511049214379</v>
      </c>
      <c r="R51" s="184">
        <f t="shared" si="36"/>
        <v>81.406868405519901</v>
      </c>
      <c r="S51" s="181">
        <f t="shared" si="42"/>
        <v>3</v>
      </c>
      <c r="T51" s="612"/>
      <c r="U51" s="187">
        <v>22</v>
      </c>
      <c r="V51" s="187">
        <v>1791.5511049214383</v>
      </c>
      <c r="W51" s="184">
        <f t="shared" si="34"/>
        <v>81.434141132792647</v>
      </c>
      <c r="X51" s="181">
        <f t="shared" si="43"/>
        <v>3</v>
      </c>
      <c r="Y51" s="612"/>
      <c r="Z51" s="187">
        <v>22</v>
      </c>
      <c r="AA51" s="187">
        <v>1791.9511049214382</v>
      </c>
      <c r="AB51" s="184">
        <f t="shared" si="37"/>
        <v>81.452322950974462</v>
      </c>
      <c r="AC51" s="181">
        <f t="shared" si="44"/>
        <v>3</v>
      </c>
      <c r="AD51" s="612"/>
      <c r="AE51" s="187">
        <v>22</v>
      </c>
      <c r="AF51" s="187">
        <v>1791.3511049214383</v>
      </c>
      <c r="AG51" s="184">
        <f t="shared" si="38"/>
        <v>81.425050223701746</v>
      </c>
      <c r="AH51" s="181">
        <f t="shared" si="45"/>
        <v>3</v>
      </c>
      <c r="AI51" s="612"/>
      <c r="AJ51" s="187">
        <v>22</v>
      </c>
      <c r="AK51" s="187">
        <v>1791.7511049214386</v>
      </c>
      <c r="AL51" s="184">
        <f t="shared" si="39"/>
        <v>81.443232041883576</v>
      </c>
      <c r="AM51" s="181">
        <f t="shared" si="46"/>
        <v>3</v>
      </c>
      <c r="AN51" s="612"/>
      <c r="AO51" s="187">
        <v>22</v>
      </c>
      <c r="AP51" s="187">
        <v>1791.5511049214388</v>
      </c>
      <c r="AQ51" s="184">
        <f t="shared" si="40"/>
        <v>81.434141132792675</v>
      </c>
      <c r="AR51" s="181">
        <f t="shared" si="47"/>
        <v>3</v>
      </c>
      <c r="AS51" s="612"/>
      <c r="AT51" s="187">
        <v>22</v>
      </c>
      <c r="AU51" s="187">
        <v>1792.1511049214389</v>
      </c>
      <c r="AV51" s="184">
        <f t="shared" si="41"/>
        <v>81.461413860065406</v>
      </c>
      <c r="AW51" s="181">
        <f t="shared" si="48"/>
        <v>3</v>
      </c>
      <c r="AX51" s="612"/>
    </row>
    <row r="52" spans="2:50" ht="14.25" customHeight="1">
      <c r="B52" s="611"/>
      <c r="C52" s="179">
        <v>6</v>
      </c>
      <c r="D52" s="182" t="s">
        <v>437</v>
      </c>
      <c r="E52" s="179">
        <v>20</v>
      </c>
      <c r="F52" s="179">
        <v>2000</v>
      </c>
      <c r="G52" s="184">
        <f t="shared" si="33"/>
        <v>100</v>
      </c>
      <c r="H52" s="612"/>
      <c r="I52" s="185">
        <f t="shared" si="35"/>
        <v>20</v>
      </c>
      <c r="J52" s="185">
        <f t="shared" si="35"/>
        <v>1791.0344031161947</v>
      </c>
      <c r="K52" s="186">
        <f t="shared" si="35"/>
        <v>89.551720155809718</v>
      </c>
      <c r="L52" s="613"/>
      <c r="M52" s="185">
        <f>RANK(K52, K$47:$K$61)</f>
        <v>2</v>
      </c>
      <c r="N52" s="611"/>
      <c r="O52" s="611"/>
      <c r="P52" s="187">
        <v>20</v>
      </c>
      <c r="Q52" s="187">
        <v>1790.6629745447665</v>
      </c>
      <c r="R52" s="184">
        <f t="shared" si="36"/>
        <v>89.533148727238327</v>
      </c>
      <c r="S52" s="181">
        <f>RANK(R52, R$47:R$61)</f>
        <v>2</v>
      </c>
      <c r="T52" s="612"/>
      <c r="U52" s="187">
        <v>20</v>
      </c>
      <c r="V52" s="187">
        <v>1791.0629745447666</v>
      </c>
      <c r="W52" s="184">
        <f t="shared" si="34"/>
        <v>89.553148727238323</v>
      </c>
      <c r="X52" s="181">
        <f>RANK(W52, W$47:W$61)</f>
        <v>2</v>
      </c>
      <c r="Y52" s="612"/>
      <c r="Z52" s="187">
        <v>20</v>
      </c>
      <c r="AA52" s="187">
        <v>1791.0629745447661</v>
      </c>
      <c r="AB52" s="184">
        <f t="shared" si="37"/>
        <v>89.553148727238309</v>
      </c>
      <c r="AC52" s="181">
        <f>RANK(AB52, AB$47:AB$61)</f>
        <v>2</v>
      </c>
      <c r="AD52" s="612"/>
      <c r="AE52" s="187">
        <v>20</v>
      </c>
      <c r="AF52" s="187">
        <v>1790.462974544766</v>
      </c>
      <c r="AG52" s="184">
        <f t="shared" si="38"/>
        <v>89.523148727238294</v>
      </c>
      <c r="AH52" s="181">
        <f>RANK(AG52, AG$47:AG$61)</f>
        <v>2</v>
      </c>
      <c r="AI52" s="612"/>
      <c r="AJ52" s="187">
        <v>20</v>
      </c>
      <c r="AK52" s="187">
        <v>1791.0629745447657</v>
      </c>
      <c r="AL52" s="184">
        <f t="shared" si="39"/>
        <v>89.55314872723828</v>
      </c>
      <c r="AM52" s="181">
        <f>RANK(AL52, AL$47:AL$61)</f>
        <v>2</v>
      </c>
      <c r="AN52" s="612"/>
      <c r="AO52" s="187">
        <v>20</v>
      </c>
      <c r="AP52" s="187">
        <v>1791.8629745447656</v>
      </c>
      <c r="AQ52" s="184">
        <f t="shared" si="40"/>
        <v>89.593148727238287</v>
      </c>
      <c r="AR52" s="181">
        <f>RANK(AQ52, AQ$47:AQ$61)</f>
        <v>2</v>
      </c>
      <c r="AS52" s="612"/>
      <c r="AT52" s="187">
        <v>20</v>
      </c>
      <c r="AU52" s="187">
        <v>1791.0629745447659</v>
      </c>
      <c r="AV52" s="184">
        <f t="shared" si="41"/>
        <v>89.553148727238295</v>
      </c>
      <c r="AW52" s="181">
        <f>RANK(AV52, AV$47:AV$61)</f>
        <v>2</v>
      </c>
      <c r="AX52" s="612"/>
    </row>
    <row r="53" spans="2:50" ht="14.25" customHeight="1">
      <c r="B53" s="611"/>
      <c r="C53" s="179">
        <v>7</v>
      </c>
      <c r="D53" s="182" t="s">
        <v>508</v>
      </c>
      <c r="E53" s="179">
        <v>25</v>
      </c>
      <c r="F53" s="179">
        <v>2000</v>
      </c>
      <c r="G53" s="184">
        <f t="shared" si="33"/>
        <v>80</v>
      </c>
      <c r="H53" s="612"/>
      <c r="I53" s="185">
        <f t="shared" si="35"/>
        <v>25</v>
      </c>
      <c r="J53" s="185">
        <f t="shared" si="35"/>
        <v>1791.614593548127</v>
      </c>
      <c r="K53" s="186">
        <f t="shared" si="35"/>
        <v>71.6645837419251</v>
      </c>
      <c r="L53" s="613"/>
      <c r="M53" s="185">
        <f>RANK(K53, K$47:$K$61)</f>
        <v>9</v>
      </c>
      <c r="N53" s="611"/>
      <c r="O53" s="611"/>
      <c r="P53" s="187">
        <v>25</v>
      </c>
      <c r="Q53" s="187">
        <v>1790.7860221195556</v>
      </c>
      <c r="R53" s="184">
        <f t="shared" si="36"/>
        <v>71.631440884782222</v>
      </c>
      <c r="S53" s="181">
        <f>RANK(R53, R$47:R$61)</f>
        <v>9</v>
      </c>
      <c r="T53" s="612"/>
      <c r="U53" s="187">
        <v>25</v>
      </c>
      <c r="V53" s="187">
        <v>1791.3860221195555</v>
      </c>
      <c r="W53" s="184">
        <f t="shared" si="34"/>
        <v>71.655440884782223</v>
      </c>
      <c r="X53" s="181">
        <f>RANK(W53, W$47:W$61)</f>
        <v>9</v>
      </c>
      <c r="Y53" s="612"/>
      <c r="Z53" s="187">
        <v>25</v>
      </c>
      <c r="AA53" s="187">
        <v>1791.3860221195555</v>
      </c>
      <c r="AB53" s="184">
        <f t="shared" si="37"/>
        <v>71.655440884782223</v>
      </c>
      <c r="AC53" s="181">
        <f>RANK(AB53, AB$47:AB$61)</f>
        <v>9</v>
      </c>
      <c r="AD53" s="612"/>
      <c r="AE53" s="187">
        <v>25</v>
      </c>
      <c r="AF53" s="187">
        <v>1792.1860221195557</v>
      </c>
      <c r="AG53" s="184">
        <f t="shared" si="38"/>
        <v>71.687440884782234</v>
      </c>
      <c r="AH53" s="181">
        <f>RANK(AG53, AG$47:AG$61)</f>
        <v>9</v>
      </c>
      <c r="AI53" s="612"/>
      <c r="AJ53" s="187">
        <v>25</v>
      </c>
      <c r="AK53" s="187">
        <v>1792.1860221195557</v>
      </c>
      <c r="AL53" s="184">
        <f t="shared" si="39"/>
        <v>71.687440884782234</v>
      </c>
      <c r="AM53" s="181">
        <f>RANK(AL53, AL$47:AL$61)</f>
        <v>9</v>
      </c>
      <c r="AN53" s="612"/>
      <c r="AO53" s="187">
        <v>25</v>
      </c>
      <c r="AP53" s="187">
        <v>1791.9860221195559</v>
      </c>
      <c r="AQ53" s="184">
        <f t="shared" si="40"/>
        <v>71.679440884782238</v>
      </c>
      <c r="AR53" s="181">
        <f>RANK(AQ53, AQ$47:AQ$61)</f>
        <v>9</v>
      </c>
      <c r="AS53" s="612"/>
      <c r="AT53" s="187">
        <v>25</v>
      </c>
      <c r="AU53" s="187">
        <v>1791.3860221195559</v>
      </c>
      <c r="AV53" s="184">
        <f t="shared" si="41"/>
        <v>71.655440884782237</v>
      </c>
      <c r="AW53" s="181">
        <f>RANK(AV53, AV$47:AV$61)</f>
        <v>9</v>
      </c>
      <c r="AX53" s="612"/>
    </row>
    <row r="54" spans="2:50" ht="14.25" customHeight="1">
      <c r="B54" s="611"/>
      <c r="C54" s="179">
        <v>8</v>
      </c>
      <c r="D54" s="182" t="s">
        <v>580</v>
      </c>
      <c r="E54" s="179">
        <v>20</v>
      </c>
      <c r="F54" s="179">
        <v>2000</v>
      </c>
      <c r="G54" s="184">
        <f t="shared" si="33"/>
        <v>100</v>
      </c>
      <c r="H54" s="612"/>
      <c r="I54" s="185">
        <f t="shared" si="35"/>
        <v>20</v>
      </c>
      <c r="J54" s="185">
        <f t="shared" si="35"/>
        <v>1794.8884430108296</v>
      </c>
      <c r="K54" s="186">
        <f t="shared" si="35"/>
        <v>89.744422150541482</v>
      </c>
      <c r="L54" s="613"/>
      <c r="M54" s="185">
        <f>RANK(K54, K$47:$K$61)</f>
        <v>1</v>
      </c>
      <c r="N54" s="611"/>
      <c r="O54" s="611"/>
      <c r="P54" s="187">
        <v>20</v>
      </c>
      <c r="Q54" s="187">
        <v>1793.3455858679724</v>
      </c>
      <c r="R54" s="184">
        <f t="shared" si="36"/>
        <v>89.667279293398622</v>
      </c>
      <c r="S54" s="181">
        <f t="shared" ref="S54:S55" si="49">RANK(R54, R$47:R$61)</f>
        <v>1</v>
      </c>
      <c r="T54" s="612"/>
      <c r="U54" s="187">
        <v>20</v>
      </c>
      <c r="V54" s="187">
        <v>1793.9455858679723</v>
      </c>
      <c r="W54" s="184">
        <f t="shared" si="34"/>
        <v>89.697279293398623</v>
      </c>
      <c r="X54" s="181">
        <f t="shared" ref="X54:X55" si="50">RANK(W54, W$47:W$61)</f>
        <v>1</v>
      </c>
      <c r="Y54" s="612"/>
      <c r="Z54" s="187">
        <v>20</v>
      </c>
      <c r="AA54" s="187">
        <v>1793.5455858679722</v>
      </c>
      <c r="AB54" s="184">
        <f t="shared" si="37"/>
        <v>89.677279293398612</v>
      </c>
      <c r="AC54" s="181">
        <f t="shared" ref="AC54:AC55" si="51">RANK(AB54, AB$47:AB$61)</f>
        <v>1</v>
      </c>
      <c r="AD54" s="612"/>
      <c r="AE54" s="187">
        <v>20</v>
      </c>
      <c r="AF54" s="187">
        <v>1794.5455858679722</v>
      </c>
      <c r="AG54" s="184">
        <f t="shared" si="38"/>
        <v>89.72727929339861</v>
      </c>
      <c r="AH54" s="181">
        <f t="shared" ref="AH54:AH55" si="52">RANK(AG54, AG$47:AG$61)</f>
        <v>1</v>
      </c>
      <c r="AI54" s="612"/>
      <c r="AJ54" s="187">
        <v>20</v>
      </c>
      <c r="AK54" s="187">
        <v>1795.345585867972</v>
      </c>
      <c r="AL54" s="184">
        <f t="shared" si="39"/>
        <v>89.767279293398602</v>
      </c>
      <c r="AM54" s="181">
        <f t="shared" ref="AM54:AM55" si="53">RANK(AL54, AL$47:AL$61)</f>
        <v>1</v>
      </c>
      <c r="AN54" s="612"/>
      <c r="AO54" s="187">
        <v>20</v>
      </c>
      <c r="AP54" s="187">
        <v>1796.345585867972</v>
      </c>
      <c r="AQ54" s="184">
        <f t="shared" si="40"/>
        <v>89.817279293398599</v>
      </c>
      <c r="AR54" s="181">
        <f t="shared" ref="AR54:AR55" si="54">RANK(AQ54, AQ$47:AQ$61)</f>
        <v>1</v>
      </c>
      <c r="AS54" s="612"/>
      <c r="AT54" s="187">
        <v>20</v>
      </c>
      <c r="AU54" s="187">
        <v>1797.1455858679719</v>
      </c>
      <c r="AV54" s="184">
        <f t="shared" si="41"/>
        <v>89.857279293398591</v>
      </c>
      <c r="AW54" s="181">
        <f t="shared" ref="AW54:AW55" si="55">RANK(AV54, AV$47:AV$61)</f>
        <v>1</v>
      </c>
      <c r="AX54" s="612"/>
    </row>
    <row r="55" spans="2:50" ht="14.25" customHeight="1">
      <c r="B55" s="611"/>
      <c r="C55" s="179">
        <v>9</v>
      </c>
      <c r="D55" s="182" t="s">
        <v>710</v>
      </c>
      <c r="E55" s="179">
        <v>24</v>
      </c>
      <c r="F55" s="179">
        <v>2000</v>
      </c>
      <c r="G55" s="184">
        <f t="shared" si="33"/>
        <v>83.333333333333329</v>
      </c>
      <c r="H55" s="612"/>
      <c r="I55" s="185">
        <f t="shared" si="35"/>
        <v>24</v>
      </c>
      <c r="J55" s="185">
        <f t="shared" si="35"/>
        <v>1787.770488950031</v>
      </c>
      <c r="K55" s="186">
        <f t="shared" si="35"/>
        <v>74.49043703958462</v>
      </c>
      <c r="L55" s="613"/>
      <c r="M55" s="185">
        <f>RANK(K55, K$47:$K$61)</f>
        <v>8</v>
      </c>
      <c r="N55" s="611"/>
      <c r="O55" s="611"/>
      <c r="P55" s="187">
        <v>24</v>
      </c>
      <c r="Q55" s="187">
        <v>1789.6847746643164</v>
      </c>
      <c r="R55" s="184">
        <f t="shared" si="36"/>
        <v>74.570198944346515</v>
      </c>
      <c r="S55" s="181">
        <f t="shared" si="49"/>
        <v>8</v>
      </c>
      <c r="T55" s="612"/>
      <c r="U55" s="187">
        <v>24</v>
      </c>
      <c r="V55" s="187">
        <v>1788.6847746643164</v>
      </c>
      <c r="W55" s="184">
        <f t="shared" si="34"/>
        <v>74.528532277679844</v>
      </c>
      <c r="X55" s="181">
        <f t="shared" si="50"/>
        <v>8</v>
      </c>
      <c r="Y55" s="612"/>
      <c r="Z55" s="187">
        <v>24</v>
      </c>
      <c r="AA55" s="187">
        <v>1787.6847746643166</v>
      </c>
      <c r="AB55" s="184">
        <f t="shared" si="37"/>
        <v>74.486865611013187</v>
      </c>
      <c r="AC55" s="181">
        <f t="shared" si="51"/>
        <v>8</v>
      </c>
      <c r="AD55" s="612"/>
      <c r="AE55" s="187">
        <v>24</v>
      </c>
      <c r="AF55" s="187">
        <v>1786.8847746643166</v>
      </c>
      <c r="AG55" s="184">
        <f t="shared" si="38"/>
        <v>74.453532277679855</v>
      </c>
      <c r="AH55" s="181">
        <f t="shared" si="52"/>
        <v>8</v>
      </c>
      <c r="AI55" s="612"/>
      <c r="AJ55" s="187">
        <v>24</v>
      </c>
      <c r="AK55" s="187">
        <v>1786.6847746643166</v>
      </c>
      <c r="AL55" s="184">
        <f t="shared" si="39"/>
        <v>74.445198944346529</v>
      </c>
      <c r="AM55" s="181">
        <f t="shared" si="53"/>
        <v>8</v>
      </c>
      <c r="AN55" s="612"/>
      <c r="AO55" s="187">
        <v>24</v>
      </c>
      <c r="AP55" s="187">
        <v>1787.284774664317</v>
      </c>
      <c r="AQ55" s="184">
        <f t="shared" si="40"/>
        <v>74.470198944346535</v>
      </c>
      <c r="AR55" s="181">
        <f t="shared" si="54"/>
        <v>8</v>
      </c>
      <c r="AS55" s="612"/>
      <c r="AT55" s="187">
        <v>24</v>
      </c>
      <c r="AU55" s="187">
        <v>1787.484774664317</v>
      </c>
      <c r="AV55" s="184">
        <f t="shared" si="41"/>
        <v>74.478532277679875</v>
      </c>
      <c r="AW55" s="181">
        <f t="shared" si="55"/>
        <v>8</v>
      </c>
      <c r="AX55" s="612"/>
    </row>
    <row r="56" spans="2:50" ht="14.25" customHeight="1">
      <c r="B56" s="611"/>
      <c r="C56" s="179">
        <v>10</v>
      </c>
      <c r="D56" s="182"/>
      <c r="E56" s="179"/>
      <c r="F56" s="179"/>
      <c r="G56" s="184"/>
      <c r="H56" s="612"/>
      <c r="I56" s="185"/>
      <c r="J56" s="185"/>
      <c r="K56" s="186"/>
      <c r="L56" s="613"/>
      <c r="M56" s="185"/>
      <c r="N56" s="611"/>
      <c r="O56" s="611"/>
      <c r="P56" s="187"/>
      <c r="Q56" s="187"/>
      <c r="R56" s="184"/>
      <c r="S56" s="181"/>
      <c r="T56" s="612"/>
      <c r="U56" s="187"/>
      <c r="V56" s="187"/>
      <c r="W56" s="184"/>
      <c r="X56" s="181"/>
      <c r="Y56" s="612"/>
      <c r="Z56" s="187"/>
      <c r="AA56" s="187"/>
      <c r="AB56" s="184"/>
      <c r="AC56" s="181"/>
      <c r="AD56" s="612"/>
      <c r="AE56" s="187"/>
      <c r="AF56" s="187"/>
      <c r="AG56" s="184"/>
      <c r="AH56" s="181"/>
      <c r="AI56" s="612"/>
      <c r="AJ56" s="187"/>
      <c r="AK56" s="187"/>
      <c r="AL56" s="184"/>
      <c r="AM56" s="181"/>
      <c r="AN56" s="612"/>
      <c r="AO56" s="187"/>
      <c r="AP56" s="187"/>
      <c r="AQ56" s="184"/>
      <c r="AR56" s="181"/>
      <c r="AS56" s="612"/>
      <c r="AT56" s="187"/>
      <c r="AU56" s="187"/>
      <c r="AV56" s="184"/>
      <c r="AW56" s="181"/>
      <c r="AX56" s="612"/>
    </row>
    <row r="57" spans="2:50" ht="14.25" customHeight="1">
      <c r="B57" s="611"/>
      <c r="C57" s="179">
        <v>11</v>
      </c>
      <c r="D57" s="182"/>
      <c r="E57" s="179"/>
      <c r="F57" s="179"/>
      <c r="G57" s="184"/>
      <c r="H57" s="612"/>
      <c r="I57" s="185"/>
      <c r="J57" s="185"/>
      <c r="K57" s="186"/>
      <c r="L57" s="613"/>
      <c r="M57" s="185"/>
      <c r="N57" s="611"/>
      <c r="O57" s="611"/>
      <c r="P57" s="187"/>
      <c r="Q57" s="187"/>
      <c r="R57" s="184"/>
      <c r="S57" s="181"/>
      <c r="T57" s="612"/>
      <c r="U57" s="187"/>
      <c r="V57" s="187"/>
      <c r="W57" s="184"/>
      <c r="X57" s="181"/>
      <c r="Y57" s="612"/>
      <c r="Z57" s="187"/>
      <c r="AA57" s="187"/>
      <c r="AB57" s="184"/>
      <c r="AC57" s="181"/>
      <c r="AD57" s="612"/>
      <c r="AE57" s="187"/>
      <c r="AF57" s="187"/>
      <c r="AG57" s="184"/>
      <c r="AH57" s="181"/>
      <c r="AI57" s="612"/>
      <c r="AJ57" s="187"/>
      <c r="AK57" s="187"/>
      <c r="AL57" s="184"/>
      <c r="AM57" s="181"/>
      <c r="AN57" s="612"/>
      <c r="AO57" s="187"/>
      <c r="AP57" s="187"/>
      <c r="AQ57" s="184"/>
      <c r="AR57" s="181"/>
      <c r="AS57" s="612"/>
      <c r="AT57" s="187"/>
      <c r="AU57" s="187"/>
      <c r="AV57" s="184"/>
      <c r="AW57" s="181"/>
      <c r="AX57" s="612"/>
    </row>
    <row r="58" spans="2:50" ht="14.25" customHeight="1">
      <c r="B58" s="611"/>
      <c r="C58" s="179">
        <v>12</v>
      </c>
      <c r="D58" s="182"/>
      <c r="E58" s="179"/>
      <c r="F58" s="179"/>
      <c r="G58" s="184"/>
      <c r="H58" s="612"/>
      <c r="I58" s="185"/>
      <c r="J58" s="185"/>
      <c r="K58" s="186"/>
      <c r="L58" s="613"/>
      <c r="M58" s="185"/>
      <c r="N58" s="611"/>
      <c r="O58" s="611"/>
      <c r="P58" s="187"/>
      <c r="Q58" s="187"/>
      <c r="R58" s="184"/>
      <c r="S58" s="181"/>
      <c r="T58" s="612"/>
      <c r="U58" s="187"/>
      <c r="V58" s="187"/>
      <c r="W58" s="184"/>
      <c r="X58" s="181"/>
      <c r="Y58" s="612"/>
      <c r="Z58" s="187"/>
      <c r="AA58" s="187"/>
      <c r="AB58" s="184"/>
      <c r="AC58" s="181"/>
      <c r="AD58" s="612"/>
      <c r="AE58" s="187"/>
      <c r="AF58" s="187"/>
      <c r="AG58" s="184"/>
      <c r="AH58" s="181"/>
      <c r="AI58" s="612"/>
      <c r="AJ58" s="187"/>
      <c r="AK58" s="187"/>
      <c r="AL58" s="184"/>
      <c r="AM58" s="181"/>
      <c r="AN58" s="612"/>
      <c r="AO58" s="187"/>
      <c r="AP58" s="187"/>
      <c r="AQ58" s="184"/>
      <c r="AR58" s="181"/>
      <c r="AS58" s="612"/>
      <c r="AT58" s="187"/>
      <c r="AU58" s="187"/>
      <c r="AV58" s="184"/>
      <c r="AW58" s="181"/>
      <c r="AX58" s="612"/>
    </row>
    <row r="59" spans="2:50" ht="14.25" customHeight="1">
      <c r="B59" s="611"/>
      <c r="C59" s="179">
        <v>13</v>
      </c>
      <c r="D59" s="182"/>
      <c r="E59" s="179"/>
      <c r="F59" s="179"/>
      <c r="G59" s="184"/>
      <c r="H59" s="612"/>
      <c r="I59" s="185"/>
      <c r="J59" s="185"/>
      <c r="K59" s="186"/>
      <c r="L59" s="613"/>
      <c r="M59" s="185"/>
      <c r="N59" s="611"/>
      <c r="O59" s="611"/>
      <c r="P59" s="187"/>
      <c r="Q59" s="187"/>
      <c r="R59" s="184"/>
      <c r="S59" s="181"/>
      <c r="T59" s="612"/>
      <c r="U59" s="187"/>
      <c r="V59" s="187"/>
      <c r="W59" s="184"/>
      <c r="X59" s="181"/>
      <c r="Y59" s="612"/>
      <c r="Z59" s="187"/>
      <c r="AA59" s="187"/>
      <c r="AB59" s="184"/>
      <c r="AC59" s="181"/>
      <c r="AD59" s="612"/>
      <c r="AE59" s="187"/>
      <c r="AF59" s="187"/>
      <c r="AG59" s="184"/>
      <c r="AH59" s="181"/>
      <c r="AI59" s="612"/>
      <c r="AJ59" s="187"/>
      <c r="AK59" s="187"/>
      <c r="AL59" s="184"/>
      <c r="AM59" s="181"/>
      <c r="AN59" s="612"/>
      <c r="AO59" s="187"/>
      <c r="AP59" s="187"/>
      <c r="AQ59" s="184"/>
      <c r="AR59" s="181"/>
      <c r="AS59" s="612"/>
      <c r="AT59" s="187"/>
      <c r="AU59" s="187"/>
      <c r="AV59" s="184"/>
      <c r="AW59" s="181"/>
      <c r="AX59" s="612"/>
    </row>
    <row r="60" spans="2:50" ht="14.25" customHeight="1">
      <c r="B60" s="611"/>
      <c r="C60" s="179">
        <v>14</v>
      </c>
      <c r="D60" s="182"/>
      <c r="E60" s="179"/>
      <c r="F60" s="179"/>
      <c r="G60" s="184"/>
      <c r="H60" s="612"/>
      <c r="I60" s="185"/>
      <c r="J60" s="185"/>
      <c r="K60" s="186"/>
      <c r="L60" s="613"/>
      <c r="M60" s="185"/>
      <c r="N60" s="611"/>
      <c r="O60" s="611"/>
      <c r="P60" s="187"/>
      <c r="Q60" s="187"/>
      <c r="R60" s="184"/>
      <c r="S60" s="181"/>
      <c r="T60" s="612"/>
      <c r="U60" s="187"/>
      <c r="V60" s="187"/>
      <c r="W60" s="184"/>
      <c r="X60" s="181"/>
      <c r="Y60" s="612"/>
      <c r="Z60" s="187"/>
      <c r="AA60" s="187"/>
      <c r="AB60" s="184"/>
      <c r="AC60" s="181"/>
      <c r="AD60" s="612"/>
      <c r="AE60" s="187"/>
      <c r="AF60" s="187"/>
      <c r="AG60" s="184"/>
      <c r="AH60" s="181"/>
      <c r="AI60" s="612"/>
      <c r="AJ60" s="187"/>
      <c r="AK60" s="187"/>
      <c r="AL60" s="184"/>
      <c r="AM60" s="181"/>
      <c r="AN60" s="612"/>
      <c r="AO60" s="187"/>
      <c r="AP60" s="187"/>
      <c r="AQ60" s="184"/>
      <c r="AR60" s="181"/>
      <c r="AS60" s="612"/>
      <c r="AT60" s="187"/>
      <c r="AU60" s="187"/>
      <c r="AV60" s="184"/>
      <c r="AW60" s="181"/>
      <c r="AX60" s="612"/>
    </row>
    <row r="61" spans="2:50" ht="14.25" customHeight="1">
      <c r="B61" s="611"/>
      <c r="C61" s="179">
        <v>15</v>
      </c>
      <c r="D61" s="182"/>
      <c r="E61" s="179"/>
      <c r="F61" s="179"/>
      <c r="G61" s="184"/>
      <c r="H61" s="612"/>
      <c r="I61" s="185"/>
      <c r="J61" s="185"/>
      <c r="K61" s="186"/>
      <c r="L61" s="613"/>
      <c r="M61" s="185"/>
      <c r="N61" s="611"/>
      <c r="O61" s="611"/>
      <c r="P61" s="187"/>
      <c r="Q61" s="187"/>
      <c r="R61" s="184"/>
      <c r="S61" s="181"/>
      <c r="T61" s="612"/>
      <c r="U61" s="187"/>
      <c r="V61" s="187"/>
      <c r="W61" s="184"/>
      <c r="X61" s="181"/>
      <c r="Y61" s="612"/>
      <c r="Z61" s="187"/>
      <c r="AA61" s="187"/>
      <c r="AB61" s="184"/>
      <c r="AC61" s="181"/>
      <c r="AD61" s="612"/>
      <c r="AE61" s="187"/>
      <c r="AF61" s="187"/>
      <c r="AG61" s="184"/>
      <c r="AH61" s="181"/>
      <c r="AI61" s="612"/>
      <c r="AJ61" s="187"/>
      <c r="AK61" s="187"/>
      <c r="AL61" s="184"/>
      <c r="AM61" s="181"/>
      <c r="AN61" s="612"/>
      <c r="AO61" s="187"/>
      <c r="AP61" s="187"/>
      <c r="AQ61" s="184"/>
      <c r="AR61" s="181"/>
      <c r="AS61" s="612"/>
      <c r="AT61" s="187"/>
      <c r="AU61" s="187"/>
      <c r="AV61" s="184"/>
      <c r="AW61" s="181"/>
      <c r="AX61" s="612"/>
    </row>
    <row r="62" spans="2:50" ht="14.25" customHeight="1">
      <c r="B62" s="640" t="s">
        <v>848</v>
      </c>
      <c r="C62" s="641"/>
      <c r="D62" s="641"/>
      <c r="E62" s="641"/>
      <c r="F62" s="641"/>
      <c r="G62" s="641"/>
      <c r="H62" s="641"/>
      <c r="I62" s="641"/>
      <c r="J62" s="641"/>
      <c r="K62" s="641"/>
      <c r="L62" s="641"/>
      <c r="M62" s="642"/>
      <c r="N62" s="645" t="s">
        <v>363</v>
      </c>
      <c r="O62" s="645" t="s">
        <v>105</v>
      </c>
      <c r="P62" s="632">
        <v>46224</v>
      </c>
      <c r="Q62" s="633"/>
      <c r="R62" s="633"/>
      <c r="S62" s="633"/>
      <c r="T62" s="633"/>
      <c r="U62" s="634">
        <v>46225</v>
      </c>
      <c r="V62" s="635"/>
      <c r="W62" s="635"/>
      <c r="X62" s="635"/>
      <c r="Y62" s="635"/>
      <c r="Z62" s="632">
        <v>46226</v>
      </c>
      <c r="AA62" s="633"/>
      <c r="AB62" s="633"/>
      <c r="AC62" s="633"/>
      <c r="AD62" s="633"/>
      <c r="AE62" s="634">
        <v>46227</v>
      </c>
      <c r="AF62" s="635"/>
      <c r="AG62" s="635"/>
      <c r="AH62" s="635"/>
      <c r="AI62" s="635"/>
      <c r="AJ62" s="616">
        <v>46228</v>
      </c>
      <c r="AK62" s="617"/>
      <c r="AL62" s="617"/>
      <c r="AM62" s="617"/>
      <c r="AN62" s="618"/>
      <c r="AO62" s="634">
        <v>46229</v>
      </c>
      <c r="AP62" s="635"/>
      <c r="AQ62" s="635"/>
      <c r="AR62" s="635"/>
      <c r="AS62" s="635"/>
      <c r="AT62" s="616">
        <v>46230</v>
      </c>
      <c r="AU62" s="617"/>
      <c r="AV62" s="617"/>
      <c r="AW62" s="617"/>
      <c r="AX62" s="618"/>
    </row>
    <row r="63" spans="2:50" ht="14.25" customHeight="1">
      <c r="B63" s="643"/>
      <c r="C63" s="643"/>
      <c r="D63" s="643"/>
      <c r="E63" s="643"/>
      <c r="F63" s="643"/>
      <c r="G63" s="643"/>
      <c r="H63" s="643"/>
      <c r="I63" s="643"/>
      <c r="J63" s="643"/>
      <c r="K63" s="643"/>
      <c r="L63" s="643"/>
      <c r="M63" s="644"/>
      <c r="N63" s="646"/>
      <c r="O63" s="646"/>
      <c r="P63" s="619">
        <v>46196</v>
      </c>
      <c r="Q63" s="619"/>
      <c r="R63" s="619"/>
      <c r="S63" s="619"/>
      <c r="T63" s="619"/>
      <c r="U63" s="620">
        <v>46197</v>
      </c>
      <c r="V63" s="620"/>
      <c r="W63" s="620"/>
      <c r="X63" s="620"/>
      <c r="Y63" s="620"/>
      <c r="Z63" s="619">
        <v>46198</v>
      </c>
      <c r="AA63" s="619"/>
      <c r="AB63" s="619"/>
      <c r="AC63" s="619"/>
      <c r="AD63" s="619"/>
      <c r="AE63" s="620">
        <v>46199</v>
      </c>
      <c r="AF63" s="620"/>
      <c r="AG63" s="620"/>
      <c r="AH63" s="620"/>
      <c r="AI63" s="620"/>
      <c r="AJ63" s="621">
        <v>46200</v>
      </c>
      <c r="AK63" s="622"/>
      <c r="AL63" s="622"/>
      <c r="AM63" s="622"/>
      <c r="AN63" s="623"/>
      <c r="AO63" s="620">
        <v>46201</v>
      </c>
      <c r="AP63" s="620"/>
      <c r="AQ63" s="620"/>
      <c r="AR63" s="620"/>
      <c r="AS63" s="620"/>
      <c r="AT63" s="621">
        <v>46202</v>
      </c>
      <c r="AU63" s="622"/>
      <c r="AV63" s="622"/>
      <c r="AW63" s="622"/>
      <c r="AX63" s="623"/>
    </row>
    <row r="64" spans="2:50" ht="14.25" customHeight="1">
      <c r="B64" s="611" t="s">
        <v>162</v>
      </c>
      <c r="C64" s="611" t="s">
        <v>157</v>
      </c>
      <c r="D64" s="611"/>
      <c r="E64" s="611" t="s">
        <v>158</v>
      </c>
      <c r="F64" s="611"/>
      <c r="G64" s="611"/>
      <c r="H64" s="611" t="s">
        <v>163</v>
      </c>
      <c r="I64" s="615" t="s">
        <v>364</v>
      </c>
      <c r="J64" s="615"/>
      <c r="K64" s="615"/>
      <c r="L64" s="615" t="s">
        <v>163</v>
      </c>
      <c r="M64" s="615" t="s">
        <v>165</v>
      </c>
      <c r="N64" s="611"/>
      <c r="O64" s="611" t="s">
        <v>164</v>
      </c>
      <c r="P64" s="611" t="s">
        <v>160</v>
      </c>
      <c r="Q64" s="611"/>
      <c r="R64" s="611"/>
      <c r="S64" s="611"/>
      <c r="T64" s="611" t="s">
        <v>163</v>
      </c>
      <c r="U64" s="611" t="s">
        <v>160</v>
      </c>
      <c r="V64" s="611"/>
      <c r="W64" s="611"/>
      <c r="X64" s="611"/>
      <c r="Y64" s="611" t="s">
        <v>163</v>
      </c>
      <c r="Z64" s="611" t="s">
        <v>160</v>
      </c>
      <c r="AA64" s="611"/>
      <c r="AB64" s="611"/>
      <c r="AC64" s="611"/>
      <c r="AD64" s="611" t="s">
        <v>163</v>
      </c>
      <c r="AE64" s="611" t="s">
        <v>160</v>
      </c>
      <c r="AF64" s="611"/>
      <c r="AG64" s="611"/>
      <c r="AH64" s="611"/>
      <c r="AI64" s="611" t="s">
        <v>163</v>
      </c>
      <c r="AJ64" s="611" t="s">
        <v>160</v>
      </c>
      <c r="AK64" s="611"/>
      <c r="AL64" s="611"/>
      <c r="AM64" s="611"/>
      <c r="AN64" s="611" t="s">
        <v>163</v>
      </c>
      <c r="AO64" s="611" t="s">
        <v>160</v>
      </c>
      <c r="AP64" s="611"/>
      <c r="AQ64" s="611"/>
      <c r="AR64" s="611"/>
      <c r="AS64" s="611" t="s">
        <v>163</v>
      </c>
      <c r="AT64" s="611" t="s">
        <v>160</v>
      </c>
      <c r="AU64" s="611"/>
      <c r="AV64" s="611"/>
      <c r="AW64" s="611"/>
      <c r="AX64" s="611" t="s">
        <v>163</v>
      </c>
    </row>
    <row r="65" spans="2:50" ht="14.25" customHeight="1">
      <c r="B65" s="611"/>
      <c r="C65" s="611"/>
      <c r="D65" s="611"/>
      <c r="E65" s="611" t="s">
        <v>365</v>
      </c>
      <c r="F65" s="611"/>
      <c r="G65" s="611"/>
      <c r="H65" s="611"/>
      <c r="I65" s="615" t="s">
        <v>365</v>
      </c>
      <c r="J65" s="615"/>
      <c r="K65" s="615"/>
      <c r="L65" s="615"/>
      <c r="M65" s="615"/>
      <c r="N65" s="611"/>
      <c r="O65" s="611"/>
      <c r="P65" s="611" t="s">
        <v>366</v>
      </c>
      <c r="Q65" s="611"/>
      <c r="R65" s="611"/>
      <c r="S65" s="611"/>
      <c r="T65" s="611"/>
      <c r="U65" s="611" t="s">
        <v>366</v>
      </c>
      <c r="V65" s="611"/>
      <c r="W65" s="611"/>
      <c r="X65" s="611"/>
      <c r="Y65" s="611"/>
      <c r="Z65" s="611" t="s">
        <v>366</v>
      </c>
      <c r="AA65" s="611"/>
      <c r="AB65" s="611"/>
      <c r="AC65" s="611"/>
      <c r="AD65" s="611"/>
      <c r="AE65" s="611" t="s">
        <v>366</v>
      </c>
      <c r="AF65" s="611"/>
      <c r="AG65" s="611"/>
      <c r="AH65" s="611"/>
      <c r="AI65" s="611"/>
      <c r="AJ65" s="611" t="s">
        <v>366</v>
      </c>
      <c r="AK65" s="611"/>
      <c r="AL65" s="611"/>
      <c r="AM65" s="611"/>
      <c r="AN65" s="611"/>
      <c r="AO65" s="611" t="s">
        <v>366</v>
      </c>
      <c r="AP65" s="611"/>
      <c r="AQ65" s="611"/>
      <c r="AR65" s="611"/>
      <c r="AS65" s="611"/>
      <c r="AT65" s="611" t="s">
        <v>366</v>
      </c>
      <c r="AU65" s="611"/>
      <c r="AV65" s="611"/>
      <c r="AW65" s="611"/>
      <c r="AX65" s="611"/>
    </row>
    <row r="66" spans="2:50" ht="14.25" customHeight="1">
      <c r="B66" s="611"/>
      <c r="C66" s="611"/>
      <c r="D66" s="611"/>
      <c r="E66" s="179" t="s">
        <v>159</v>
      </c>
      <c r="F66" s="179" t="s">
        <v>367</v>
      </c>
      <c r="G66" s="179" t="s">
        <v>161</v>
      </c>
      <c r="H66" s="611"/>
      <c r="I66" s="180" t="s">
        <v>159</v>
      </c>
      <c r="J66" s="180" t="s">
        <v>367</v>
      </c>
      <c r="K66" s="180" t="s">
        <v>161</v>
      </c>
      <c r="L66" s="615"/>
      <c r="M66" s="615"/>
      <c r="N66" s="611"/>
      <c r="O66" s="611"/>
      <c r="P66" s="179" t="s">
        <v>159</v>
      </c>
      <c r="Q66" s="179" t="s">
        <v>367</v>
      </c>
      <c r="R66" s="179" t="s">
        <v>161</v>
      </c>
      <c r="S66" s="181" t="s">
        <v>165</v>
      </c>
      <c r="T66" s="611"/>
      <c r="U66" s="179" t="s">
        <v>159</v>
      </c>
      <c r="V66" s="179" t="s">
        <v>367</v>
      </c>
      <c r="W66" s="179" t="s">
        <v>161</v>
      </c>
      <c r="X66" s="181" t="s">
        <v>165</v>
      </c>
      <c r="Y66" s="611"/>
      <c r="Z66" s="179" t="s">
        <v>159</v>
      </c>
      <c r="AA66" s="179" t="s">
        <v>367</v>
      </c>
      <c r="AB66" s="179" t="s">
        <v>161</v>
      </c>
      <c r="AC66" s="181" t="s">
        <v>165</v>
      </c>
      <c r="AD66" s="611"/>
      <c r="AE66" s="179" t="s">
        <v>159</v>
      </c>
      <c r="AF66" s="179" t="s">
        <v>367</v>
      </c>
      <c r="AG66" s="179" t="s">
        <v>161</v>
      </c>
      <c r="AH66" s="181" t="s">
        <v>165</v>
      </c>
      <c r="AI66" s="611"/>
      <c r="AJ66" s="179" t="s">
        <v>159</v>
      </c>
      <c r="AK66" s="179" t="s">
        <v>367</v>
      </c>
      <c r="AL66" s="179" t="s">
        <v>161</v>
      </c>
      <c r="AM66" s="181" t="s">
        <v>165</v>
      </c>
      <c r="AN66" s="611"/>
      <c r="AO66" s="179" t="s">
        <v>159</v>
      </c>
      <c r="AP66" s="179" t="s">
        <v>367</v>
      </c>
      <c r="AQ66" s="179" t="s">
        <v>161</v>
      </c>
      <c r="AR66" s="181" t="s">
        <v>165</v>
      </c>
      <c r="AS66" s="611"/>
      <c r="AT66" s="179" t="s">
        <v>159</v>
      </c>
      <c r="AU66" s="179" t="s">
        <v>367</v>
      </c>
      <c r="AV66" s="179" t="s">
        <v>161</v>
      </c>
      <c r="AW66" s="181" t="s">
        <v>165</v>
      </c>
      <c r="AX66" s="611"/>
    </row>
    <row r="67" spans="2:50" ht="14.25" customHeight="1">
      <c r="B67" s="611" t="s">
        <v>137</v>
      </c>
      <c r="C67" s="179">
        <v>1</v>
      </c>
      <c r="D67" s="182" t="s">
        <v>351</v>
      </c>
      <c r="E67" s="183">
        <v>24</v>
      </c>
      <c r="F67" s="179">
        <v>2000</v>
      </c>
      <c r="G67" s="184">
        <f t="shared" ref="G67:G75" si="56">IFERROR(F67/E67,"")</f>
        <v>83.333333333333329</v>
      </c>
      <c r="H67" s="612">
        <f>AVERAGE(G67:G81)</f>
        <v>88.716146977016535</v>
      </c>
      <c r="I67" s="185">
        <f>AVERAGE(P67,U67,Z67,AE67,AJ67,AO67,AT67)</f>
        <v>24.142857142857142</v>
      </c>
      <c r="J67" s="185">
        <f>AVERAGE(Q67,V67,AA67,AF67,AK67,AP67,AU67)</f>
        <v>1796.5831010774011</v>
      </c>
      <c r="K67" s="186">
        <f>AVERAGE(R67,W67,AB67,AG67,AL67,AQ67,AV67)</f>
        <v>74.429864527628382</v>
      </c>
      <c r="L67" s="613">
        <f>IFERROR(AVERAGE(K67:K81),"-")</f>
        <v>79.541627983101279</v>
      </c>
      <c r="M67" s="185">
        <f>RANK(K67, K$67:$K$81)</f>
        <v>8</v>
      </c>
      <c r="N67" s="611"/>
      <c r="O67" s="611"/>
      <c r="P67" s="187">
        <v>24</v>
      </c>
      <c r="Q67" s="187">
        <v>1795.6116725059719</v>
      </c>
      <c r="R67" s="184">
        <f>IFERROR(Q67/P67,"")</f>
        <v>74.817153021082163</v>
      </c>
      <c r="S67" s="181">
        <f>RANK(R67, R$67:R$81)</f>
        <v>7</v>
      </c>
      <c r="T67" s="612">
        <f>AVERAGE(R67:R81)</f>
        <v>79.527464979342255</v>
      </c>
      <c r="U67" s="187">
        <v>24</v>
      </c>
      <c r="V67" s="187">
        <v>1796.011672505972</v>
      </c>
      <c r="W67" s="184">
        <f t="shared" ref="W67:W75" si="57">IFERROR(V67/U67,"")</f>
        <v>74.833819687748829</v>
      </c>
      <c r="X67" s="181">
        <f>RANK(W67, W$67:W$81)</f>
        <v>7</v>
      </c>
      <c r="Y67" s="612">
        <f>AVERAGE(W67:W81)</f>
        <v>79.544985986515428</v>
      </c>
      <c r="Z67" s="187">
        <v>24</v>
      </c>
      <c r="AA67" s="187">
        <v>1796.2116725059723</v>
      </c>
      <c r="AB67" s="184">
        <f>IFERROR(AA67/Z67,"")</f>
        <v>74.842153021082183</v>
      </c>
      <c r="AC67" s="181">
        <f>RANK(AB67, AB$67:AB$81)</f>
        <v>7</v>
      </c>
      <c r="AD67" s="612">
        <f>AVERAGE(AB67:AB81)</f>
        <v>79.562082604872913</v>
      </c>
      <c r="AE67" s="187">
        <v>25</v>
      </c>
      <c r="AF67" s="187">
        <v>1796.6116725059724</v>
      </c>
      <c r="AG67" s="184">
        <f>IFERROR(AF67/AE67,"")</f>
        <v>71.864466900238895</v>
      </c>
      <c r="AH67" s="181">
        <f>RANK(AG67, AG$67:AG$81)</f>
        <v>8</v>
      </c>
      <c r="AI67" s="612">
        <f>AVERAGE(AG67:AG81)</f>
        <v>79.263329166607917</v>
      </c>
      <c r="AJ67" s="187">
        <v>24</v>
      </c>
      <c r="AK67" s="187">
        <v>1796.8116725059724</v>
      </c>
      <c r="AL67" s="184">
        <f>IFERROR(AK67/AJ67,"")</f>
        <v>74.867153021082189</v>
      </c>
      <c r="AM67" s="181">
        <f>RANK(AL67, AL$67:AL$81)</f>
        <v>7</v>
      </c>
      <c r="AN67" s="612">
        <f>AVERAGE(AL67:AL81)</f>
        <v>79.611798316910964</v>
      </c>
      <c r="AO67" s="187">
        <v>24</v>
      </c>
      <c r="AP67" s="187">
        <v>1797.2116725059725</v>
      </c>
      <c r="AQ67" s="184">
        <f>IFERROR(AP67/AO67,"")</f>
        <v>74.883819687748854</v>
      </c>
      <c r="AR67" s="181">
        <f>RANK(AQ67, AQ$67:AQ$81)</f>
        <v>7</v>
      </c>
      <c r="AS67" s="612">
        <f>AVERAGE(AQ67:AQ81)</f>
        <v>79.61681620272833</v>
      </c>
      <c r="AT67" s="187">
        <v>24</v>
      </c>
      <c r="AU67" s="187">
        <v>1797.6116725059726</v>
      </c>
      <c r="AV67" s="184">
        <f>IFERROR(AU67/AT67,"")</f>
        <v>74.90048635441552</v>
      </c>
      <c r="AW67" s="181">
        <f>RANK(AV67, AV$67:AV$81)</f>
        <v>7</v>
      </c>
      <c r="AX67" s="612">
        <f>AVERAGE(AV67:AV81)</f>
        <v>79.6649186247312</v>
      </c>
    </row>
    <row r="68" spans="2:50" ht="14.25" customHeight="1">
      <c r="B68" s="611"/>
      <c r="C68" s="179">
        <v>2</v>
      </c>
      <c r="D68" s="182" t="s">
        <v>352</v>
      </c>
      <c r="E68" s="179">
        <v>23</v>
      </c>
      <c r="F68" s="179">
        <v>2000</v>
      </c>
      <c r="G68" s="184">
        <f t="shared" si="56"/>
        <v>86.956521739130437</v>
      </c>
      <c r="H68" s="612"/>
      <c r="I68" s="185">
        <f t="shared" ref="I68:K75" si="58">AVERAGE(P68,U68,Z68,AE68,AJ68,AO68,AT68)</f>
        <v>23</v>
      </c>
      <c r="J68" s="185">
        <f t="shared" si="58"/>
        <v>1793.388976718207</v>
      </c>
      <c r="K68" s="186">
        <f t="shared" si="58"/>
        <v>77.973433770356806</v>
      </c>
      <c r="L68" s="613"/>
      <c r="M68" s="185">
        <f>RANK(K68, K$67:$K$81)</f>
        <v>6</v>
      </c>
      <c r="N68" s="611"/>
      <c r="O68" s="611"/>
      <c r="P68" s="187">
        <v>23</v>
      </c>
      <c r="Q68" s="187">
        <v>1791.5380609972274</v>
      </c>
      <c r="R68" s="184">
        <f t="shared" ref="R68:R75" si="59">IFERROR(Q68/P68,"")</f>
        <v>77.892959173792491</v>
      </c>
      <c r="S68" s="181">
        <f t="shared" ref="S68:S75" si="60">RANK(R68, R$67:R$81)</f>
        <v>6</v>
      </c>
      <c r="T68" s="612"/>
      <c r="U68" s="187">
        <v>23</v>
      </c>
      <c r="V68" s="187">
        <v>1792.1380609972273</v>
      </c>
      <c r="W68" s="184">
        <f t="shared" si="57"/>
        <v>77.919046130314229</v>
      </c>
      <c r="X68" s="181">
        <f t="shared" ref="X68:X75" si="61">RANK(W68, W$67:W$81)</f>
        <v>6</v>
      </c>
      <c r="Y68" s="612"/>
      <c r="Z68" s="187">
        <v>23</v>
      </c>
      <c r="AA68" s="187">
        <v>1792.7380609972274</v>
      </c>
      <c r="AB68" s="184">
        <f t="shared" ref="AB68:AB75" si="62">IFERROR(AA68/Z68,"")</f>
        <v>77.94513308683598</v>
      </c>
      <c r="AC68" s="181">
        <f t="shared" ref="AC68:AC75" si="63">RANK(AB68, AB$67:AB$81)</f>
        <v>6</v>
      </c>
      <c r="AD68" s="612"/>
      <c r="AE68" s="187">
        <v>23</v>
      </c>
      <c r="AF68" s="187">
        <v>1793.3380609972271</v>
      </c>
      <c r="AG68" s="184">
        <f t="shared" ref="AG68:AG75" si="64">IFERROR(AF68/AE68,"")</f>
        <v>77.971220043357704</v>
      </c>
      <c r="AH68" s="181">
        <f t="shared" ref="AH68:AH75" si="65">RANK(AG68, AG$67:AG$81)</f>
        <v>6</v>
      </c>
      <c r="AI68" s="612"/>
      <c r="AJ68" s="187">
        <v>23</v>
      </c>
      <c r="AK68" s="187">
        <v>1793.738060997227</v>
      </c>
      <c r="AL68" s="184">
        <f t="shared" ref="AL68:AL75" si="66">IFERROR(AK68/AJ68,"")</f>
        <v>77.988611347705515</v>
      </c>
      <c r="AM68" s="181">
        <f t="shared" ref="AM68:AM75" si="67">RANK(AL68, AL$67:AL$81)</f>
        <v>6</v>
      </c>
      <c r="AN68" s="612"/>
      <c r="AO68" s="187">
        <v>23</v>
      </c>
      <c r="AP68" s="187">
        <v>1794.1380609972266</v>
      </c>
      <c r="AQ68" s="184">
        <f t="shared" ref="AQ68:AQ75" si="68">IFERROR(AP68/AO68,"")</f>
        <v>78.006002652053326</v>
      </c>
      <c r="AR68" s="181">
        <f t="shared" ref="AR68:AR75" si="69">RANK(AQ68, AQ$67:AQ$81)</f>
        <v>6</v>
      </c>
      <c r="AS68" s="612"/>
      <c r="AT68" s="187">
        <v>23</v>
      </c>
      <c r="AU68" s="187">
        <v>1796.0944710440845</v>
      </c>
      <c r="AV68" s="184">
        <f t="shared" ref="AV68:AV75" si="70">IFERROR(AU68/AT68,"")</f>
        <v>78.091063958438454</v>
      </c>
      <c r="AW68" s="181">
        <f t="shared" ref="AW68:AW75" si="71">RANK(AV68, AV$67:AV$81)</f>
        <v>5</v>
      </c>
      <c r="AX68" s="612"/>
    </row>
    <row r="69" spans="2:50" ht="14.25" customHeight="1">
      <c r="B69" s="611"/>
      <c r="C69" s="179">
        <v>3</v>
      </c>
      <c r="D69" s="182" t="s">
        <v>350</v>
      </c>
      <c r="E69" s="179">
        <v>23</v>
      </c>
      <c r="F69" s="179">
        <v>2000</v>
      </c>
      <c r="G69" s="184">
        <f t="shared" si="56"/>
        <v>86.956521739130437</v>
      </c>
      <c r="H69" s="612"/>
      <c r="I69" s="185">
        <f t="shared" si="58"/>
        <v>23</v>
      </c>
      <c r="J69" s="185">
        <f t="shared" si="58"/>
        <v>1793.6698825135747</v>
      </c>
      <c r="K69" s="186">
        <f t="shared" si="58"/>
        <v>77.985647065807584</v>
      </c>
      <c r="L69" s="613"/>
      <c r="M69" s="185">
        <f>RANK(K69, K$67:$K$81)</f>
        <v>5</v>
      </c>
      <c r="N69" s="611"/>
      <c r="O69" s="611"/>
      <c r="P69" s="187">
        <v>23</v>
      </c>
      <c r="Q69" s="187">
        <v>1792.6192297084624</v>
      </c>
      <c r="R69" s="184">
        <f t="shared" si="59"/>
        <v>77.939966509063581</v>
      </c>
      <c r="S69" s="181">
        <f t="shared" si="60"/>
        <v>5</v>
      </c>
      <c r="T69" s="612"/>
      <c r="U69" s="187">
        <v>23</v>
      </c>
      <c r="V69" s="187">
        <v>1792.8192297084622</v>
      </c>
      <c r="W69" s="184">
        <f t="shared" si="57"/>
        <v>77.948662161237493</v>
      </c>
      <c r="X69" s="181">
        <f t="shared" si="61"/>
        <v>5</v>
      </c>
      <c r="Y69" s="612"/>
      <c r="Z69" s="187">
        <v>23</v>
      </c>
      <c r="AA69" s="187">
        <v>1793.4192297084621</v>
      </c>
      <c r="AB69" s="184">
        <f t="shared" si="62"/>
        <v>77.974749117759217</v>
      </c>
      <c r="AC69" s="181">
        <f t="shared" si="63"/>
        <v>5</v>
      </c>
      <c r="AD69" s="612"/>
      <c r="AE69" s="187">
        <v>23</v>
      </c>
      <c r="AF69" s="187">
        <v>1793.4192297084617</v>
      </c>
      <c r="AG69" s="184">
        <f t="shared" si="64"/>
        <v>77.974749117759202</v>
      </c>
      <c r="AH69" s="181">
        <f t="shared" si="65"/>
        <v>5</v>
      </c>
      <c r="AI69" s="612"/>
      <c r="AJ69" s="187">
        <v>23</v>
      </c>
      <c r="AK69" s="187">
        <v>1793.8192297084615</v>
      </c>
      <c r="AL69" s="184">
        <f t="shared" si="66"/>
        <v>77.992140422107028</v>
      </c>
      <c r="AM69" s="181">
        <f t="shared" si="67"/>
        <v>5</v>
      </c>
      <c r="AN69" s="612"/>
      <c r="AO69" s="187">
        <v>23</v>
      </c>
      <c r="AP69" s="187">
        <v>1794.2192297084616</v>
      </c>
      <c r="AQ69" s="184">
        <f t="shared" si="68"/>
        <v>78.009531726454853</v>
      </c>
      <c r="AR69" s="181">
        <f t="shared" si="69"/>
        <v>5</v>
      </c>
      <c r="AS69" s="612"/>
      <c r="AT69" s="187">
        <v>23</v>
      </c>
      <c r="AU69" s="187">
        <v>1795.3737993442496</v>
      </c>
      <c r="AV69" s="184">
        <f t="shared" si="70"/>
        <v>78.059730406271726</v>
      </c>
      <c r="AW69" s="181">
        <f t="shared" si="71"/>
        <v>6</v>
      </c>
      <c r="AX69" s="612"/>
    </row>
    <row r="70" spans="2:50" ht="14.25" customHeight="1">
      <c r="B70" s="611"/>
      <c r="C70" s="179">
        <v>4</v>
      </c>
      <c r="D70" s="182" t="s">
        <v>433</v>
      </c>
      <c r="E70" s="179">
        <v>23</v>
      </c>
      <c r="F70" s="179">
        <v>2000</v>
      </c>
      <c r="G70" s="184">
        <f t="shared" si="56"/>
        <v>86.956521739130437</v>
      </c>
      <c r="H70" s="612"/>
      <c r="I70" s="185">
        <f t="shared" si="58"/>
        <v>23</v>
      </c>
      <c r="J70" s="185">
        <f t="shared" si="58"/>
        <v>1795.4290322028223</v>
      </c>
      <c r="K70" s="186">
        <f t="shared" si="58"/>
        <v>78.06213183490533</v>
      </c>
      <c r="L70" s="613"/>
      <c r="M70" s="185">
        <f>RANK(K70, K$67:$K$81)</f>
        <v>4</v>
      </c>
      <c r="N70" s="611"/>
      <c r="O70" s="611"/>
      <c r="P70" s="187">
        <v>23</v>
      </c>
      <c r="Q70" s="187">
        <v>1794.257603631394</v>
      </c>
      <c r="R70" s="184">
        <f t="shared" si="59"/>
        <v>78.011200157886691</v>
      </c>
      <c r="S70" s="181">
        <f t="shared" si="60"/>
        <v>4</v>
      </c>
      <c r="T70" s="612"/>
      <c r="U70" s="187">
        <v>23</v>
      </c>
      <c r="V70" s="187">
        <v>1794.6576036313938</v>
      </c>
      <c r="W70" s="184">
        <f t="shared" si="57"/>
        <v>78.028591462234516</v>
      </c>
      <c r="X70" s="181">
        <f t="shared" si="61"/>
        <v>4</v>
      </c>
      <c r="Y70" s="612"/>
      <c r="Z70" s="187">
        <v>23</v>
      </c>
      <c r="AA70" s="187">
        <v>1794.8576036313941</v>
      </c>
      <c r="AB70" s="184">
        <f t="shared" si="62"/>
        <v>78.037287114408443</v>
      </c>
      <c r="AC70" s="181">
        <f t="shared" si="63"/>
        <v>4</v>
      </c>
      <c r="AD70" s="612"/>
      <c r="AE70" s="187">
        <v>23</v>
      </c>
      <c r="AF70" s="187">
        <v>1795.4576036313938</v>
      </c>
      <c r="AG70" s="184">
        <f t="shared" si="64"/>
        <v>78.063374070930166</v>
      </c>
      <c r="AH70" s="181">
        <f t="shared" si="65"/>
        <v>4</v>
      </c>
      <c r="AI70" s="612"/>
      <c r="AJ70" s="187">
        <v>23</v>
      </c>
      <c r="AK70" s="187">
        <v>1796.0576036313935</v>
      </c>
      <c r="AL70" s="184">
        <f t="shared" si="66"/>
        <v>78.08946102745189</v>
      </c>
      <c r="AM70" s="181">
        <f t="shared" si="67"/>
        <v>4</v>
      </c>
      <c r="AN70" s="612"/>
      <c r="AO70" s="187">
        <v>23</v>
      </c>
      <c r="AP70" s="187">
        <v>1796.2576036313935</v>
      </c>
      <c r="AQ70" s="184">
        <f t="shared" si="68"/>
        <v>78.098156679625802</v>
      </c>
      <c r="AR70" s="181">
        <f t="shared" si="69"/>
        <v>4</v>
      </c>
      <c r="AS70" s="612"/>
      <c r="AT70" s="187">
        <v>23</v>
      </c>
      <c r="AU70" s="187">
        <v>1796.4576036313933</v>
      </c>
      <c r="AV70" s="184">
        <f t="shared" si="70"/>
        <v>78.106852331799715</v>
      </c>
      <c r="AW70" s="181">
        <f t="shared" si="71"/>
        <v>4</v>
      </c>
      <c r="AX70" s="612"/>
    </row>
    <row r="71" spans="2:50" ht="14.25" customHeight="1">
      <c r="B71" s="611"/>
      <c r="C71" s="179">
        <v>5</v>
      </c>
      <c r="D71" s="182" t="s">
        <v>435</v>
      </c>
      <c r="E71" s="179">
        <v>22</v>
      </c>
      <c r="F71" s="179">
        <v>2000</v>
      </c>
      <c r="G71" s="184">
        <f t="shared" si="56"/>
        <v>90.909090909090907</v>
      </c>
      <c r="H71" s="612"/>
      <c r="I71" s="185">
        <f t="shared" si="58"/>
        <v>22</v>
      </c>
      <c r="J71" s="185">
        <f t="shared" si="58"/>
        <v>1793.2031372595541</v>
      </c>
      <c r="K71" s="186">
        <f t="shared" si="58"/>
        <v>81.509233511797916</v>
      </c>
      <c r="L71" s="613"/>
      <c r="M71" s="185">
        <f>RANK(K71, K$67:$K$81)</f>
        <v>3</v>
      </c>
      <c r="N71" s="611"/>
      <c r="O71" s="611"/>
      <c r="P71" s="187">
        <v>22</v>
      </c>
      <c r="Q71" s="187">
        <v>1792.3511049214387</v>
      </c>
      <c r="R71" s="184">
        <f t="shared" si="59"/>
        <v>81.470504769156307</v>
      </c>
      <c r="S71" s="181">
        <f t="shared" si="60"/>
        <v>3</v>
      </c>
      <c r="T71" s="612"/>
      <c r="U71" s="187">
        <v>22</v>
      </c>
      <c r="V71" s="187">
        <v>1792.7511049214386</v>
      </c>
      <c r="W71" s="184">
        <f t="shared" si="57"/>
        <v>81.488686587338123</v>
      </c>
      <c r="X71" s="181">
        <f t="shared" si="61"/>
        <v>3</v>
      </c>
      <c r="Y71" s="612"/>
      <c r="Z71" s="187">
        <v>22</v>
      </c>
      <c r="AA71" s="187">
        <v>1792.751104921439</v>
      </c>
      <c r="AB71" s="184">
        <f t="shared" si="62"/>
        <v>81.488686587338137</v>
      </c>
      <c r="AC71" s="181">
        <f t="shared" si="63"/>
        <v>3</v>
      </c>
      <c r="AD71" s="612"/>
      <c r="AE71" s="187">
        <v>22</v>
      </c>
      <c r="AF71" s="187">
        <v>1793.1511049214391</v>
      </c>
      <c r="AG71" s="184">
        <f t="shared" si="64"/>
        <v>81.506868405519967</v>
      </c>
      <c r="AH71" s="181">
        <f t="shared" si="65"/>
        <v>3</v>
      </c>
      <c r="AI71" s="612"/>
      <c r="AJ71" s="187">
        <v>22</v>
      </c>
      <c r="AK71" s="187">
        <v>1793.1511049214396</v>
      </c>
      <c r="AL71" s="184">
        <f t="shared" si="66"/>
        <v>81.506868405519981</v>
      </c>
      <c r="AM71" s="181">
        <f t="shared" si="67"/>
        <v>3</v>
      </c>
      <c r="AN71" s="612"/>
      <c r="AO71" s="187">
        <v>22</v>
      </c>
      <c r="AP71" s="187">
        <v>1793.15110492144</v>
      </c>
      <c r="AQ71" s="184">
        <f t="shared" si="68"/>
        <v>81.506868405519995</v>
      </c>
      <c r="AR71" s="181">
        <f t="shared" si="69"/>
        <v>3</v>
      </c>
      <c r="AS71" s="612"/>
      <c r="AT71" s="187">
        <v>22</v>
      </c>
      <c r="AU71" s="187">
        <v>1795.1153312882439</v>
      </c>
      <c r="AV71" s="184">
        <f t="shared" si="70"/>
        <v>81.596151422192904</v>
      </c>
      <c r="AW71" s="181">
        <f t="shared" si="71"/>
        <v>3</v>
      </c>
      <c r="AX71" s="612"/>
    </row>
    <row r="72" spans="2:50" ht="14.25" customHeight="1">
      <c r="B72" s="611"/>
      <c r="C72" s="179">
        <v>6</v>
      </c>
      <c r="D72" s="182" t="s">
        <v>437</v>
      </c>
      <c r="E72" s="179">
        <v>20</v>
      </c>
      <c r="F72" s="179">
        <v>2000</v>
      </c>
      <c r="G72" s="184">
        <f t="shared" si="56"/>
        <v>100</v>
      </c>
      <c r="H72" s="612"/>
      <c r="I72" s="185">
        <f t="shared" si="58"/>
        <v>20</v>
      </c>
      <c r="J72" s="185">
        <f t="shared" si="58"/>
        <v>1792.8174138417053</v>
      </c>
      <c r="K72" s="186">
        <f t="shared" si="58"/>
        <v>89.640870692085272</v>
      </c>
      <c r="L72" s="613"/>
      <c r="M72" s="185">
        <f>RANK(K72, K$67:$K$81)</f>
        <v>2</v>
      </c>
      <c r="N72" s="611"/>
      <c r="O72" s="611"/>
      <c r="P72" s="187">
        <v>20</v>
      </c>
      <c r="Q72" s="187">
        <v>1791.4629745447662</v>
      </c>
      <c r="R72" s="184">
        <f t="shared" si="59"/>
        <v>89.573148727238305</v>
      </c>
      <c r="S72" s="181">
        <f t="shared" si="60"/>
        <v>2</v>
      </c>
      <c r="T72" s="612"/>
      <c r="U72" s="187">
        <v>20</v>
      </c>
      <c r="V72" s="187">
        <v>1791.662974544766</v>
      </c>
      <c r="W72" s="184">
        <f t="shared" si="57"/>
        <v>89.583148727238296</v>
      </c>
      <c r="X72" s="181">
        <f t="shared" si="61"/>
        <v>2</v>
      </c>
      <c r="Y72" s="612"/>
      <c r="Z72" s="187">
        <v>20</v>
      </c>
      <c r="AA72" s="187">
        <v>1792.2629745447655</v>
      </c>
      <c r="AB72" s="184">
        <f t="shared" si="62"/>
        <v>89.613148727238269</v>
      </c>
      <c r="AC72" s="181">
        <f t="shared" si="63"/>
        <v>2</v>
      </c>
      <c r="AD72" s="612"/>
      <c r="AE72" s="187">
        <v>20</v>
      </c>
      <c r="AF72" s="187">
        <v>1792.6629745447656</v>
      </c>
      <c r="AG72" s="184">
        <f t="shared" si="64"/>
        <v>89.633148727238279</v>
      </c>
      <c r="AH72" s="181">
        <f t="shared" si="65"/>
        <v>2</v>
      </c>
      <c r="AI72" s="612"/>
      <c r="AJ72" s="187">
        <v>20</v>
      </c>
      <c r="AK72" s="187">
        <v>1793.2629745447655</v>
      </c>
      <c r="AL72" s="184">
        <f t="shared" si="66"/>
        <v>89.66314872723828</v>
      </c>
      <c r="AM72" s="181">
        <f t="shared" si="67"/>
        <v>2</v>
      </c>
      <c r="AN72" s="612"/>
      <c r="AO72" s="187">
        <v>20</v>
      </c>
      <c r="AP72" s="187">
        <v>1793.462974544766</v>
      </c>
      <c r="AQ72" s="184">
        <f t="shared" si="68"/>
        <v>89.673148727238299</v>
      </c>
      <c r="AR72" s="181">
        <f t="shared" si="69"/>
        <v>2</v>
      </c>
      <c r="AS72" s="612"/>
      <c r="AT72" s="187">
        <v>20</v>
      </c>
      <c r="AU72" s="187">
        <v>1794.9440496233431</v>
      </c>
      <c r="AV72" s="184">
        <f t="shared" si="70"/>
        <v>89.74720248116715</v>
      </c>
      <c r="AW72" s="181">
        <f t="shared" si="71"/>
        <v>2</v>
      </c>
      <c r="AX72" s="612"/>
    </row>
    <row r="73" spans="2:50" ht="14.25" customHeight="1">
      <c r="B73" s="611"/>
      <c r="C73" s="179">
        <v>7</v>
      </c>
      <c r="D73" s="182" t="s">
        <v>508</v>
      </c>
      <c r="E73" s="179">
        <v>25</v>
      </c>
      <c r="F73" s="179">
        <v>2000</v>
      </c>
      <c r="G73" s="184">
        <f t="shared" si="56"/>
        <v>80</v>
      </c>
      <c r="H73" s="612"/>
      <c r="I73" s="185">
        <f t="shared" si="58"/>
        <v>25</v>
      </c>
      <c r="J73" s="185">
        <f t="shared" si="58"/>
        <v>1792.8689429579988</v>
      </c>
      <c r="K73" s="186">
        <f t="shared" si="58"/>
        <v>71.714757718319945</v>
      </c>
      <c r="L73" s="613"/>
      <c r="M73" s="185">
        <f>RANK(K73, K$67:$K$81)</f>
        <v>9</v>
      </c>
      <c r="N73" s="611"/>
      <c r="O73" s="611"/>
      <c r="P73" s="187">
        <v>25</v>
      </c>
      <c r="Q73" s="187">
        <v>1791.7860221195558</v>
      </c>
      <c r="R73" s="184">
        <f t="shared" si="59"/>
        <v>71.671440884782228</v>
      </c>
      <c r="S73" s="181">
        <f t="shared" si="60"/>
        <v>9</v>
      </c>
      <c r="T73" s="612"/>
      <c r="U73" s="187">
        <v>25</v>
      </c>
      <c r="V73" s="187">
        <v>1792.3860221195553</v>
      </c>
      <c r="W73" s="184">
        <f t="shared" si="57"/>
        <v>71.695440884782215</v>
      </c>
      <c r="X73" s="181">
        <f t="shared" si="61"/>
        <v>9</v>
      </c>
      <c r="Y73" s="612"/>
      <c r="Z73" s="187">
        <v>25</v>
      </c>
      <c r="AA73" s="187">
        <v>1792.5860221195551</v>
      </c>
      <c r="AB73" s="184">
        <f t="shared" si="62"/>
        <v>71.703440884782196</v>
      </c>
      <c r="AC73" s="181">
        <f t="shared" si="63"/>
        <v>9</v>
      </c>
      <c r="AD73" s="612"/>
      <c r="AE73" s="187">
        <v>25</v>
      </c>
      <c r="AF73" s="187">
        <v>1792.7860221195549</v>
      </c>
      <c r="AG73" s="184">
        <f t="shared" si="64"/>
        <v>71.711440884782192</v>
      </c>
      <c r="AH73" s="181">
        <f t="shared" si="65"/>
        <v>9</v>
      </c>
      <c r="AI73" s="612"/>
      <c r="AJ73" s="187">
        <v>25</v>
      </c>
      <c r="AK73" s="187">
        <v>1793.1860221195548</v>
      </c>
      <c r="AL73" s="184">
        <f t="shared" si="66"/>
        <v>71.727440884782197</v>
      </c>
      <c r="AM73" s="181">
        <f t="shared" si="67"/>
        <v>9</v>
      </c>
      <c r="AN73" s="612"/>
      <c r="AO73" s="187">
        <v>25</v>
      </c>
      <c r="AP73" s="187">
        <v>1793.1860221195548</v>
      </c>
      <c r="AQ73" s="184">
        <f t="shared" si="68"/>
        <v>71.727440884782197</v>
      </c>
      <c r="AR73" s="181">
        <f t="shared" si="69"/>
        <v>9</v>
      </c>
      <c r="AS73" s="612"/>
      <c r="AT73" s="187">
        <v>25</v>
      </c>
      <c r="AU73" s="187">
        <v>1794.1664679886621</v>
      </c>
      <c r="AV73" s="184">
        <f t="shared" si="70"/>
        <v>71.766658719546484</v>
      </c>
      <c r="AW73" s="181">
        <f t="shared" si="71"/>
        <v>9</v>
      </c>
      <c r="AX73" s="612"/>
    </row>
    <row r="74" spans="2:50" ht="14.25" customHeight="1">
      <c r="B74" s="611"/>
      <c r="C74" s="179">
        <v>8</v>
      </c>
      <c r="D74" s="182" t="s">
        <v>580</v>
      </c>
      <c r="E74" s="179">
        <v>20</v>
      </c>
      <c r="F74" s="179">
        <v>2000</v>
      </c>
      <c r="G74" s="184">
        <f t="shared" si="56"/>
        <v>100</v>
      </c>
      <c r="H74" s="612"/>
      <c r="I74" s="185">
        <f t="shared" si="58"/>
        <v>20</v>
      </c>
      <c r="J74" s="185">
        <f t="shared" si="58"/>
        <v>1798.3171061240866</v>
      </c>
      <c r="K74" s="186">
        <f t="shared" si="58"/>
        <v>89.915855306204335</v>
      </c>
      <c r="L74" s="613"/>
      <c r="M74" s="185">
        <f>RANK(K74, K$67:$K$81)</f>
        <v>1</v>
      </c>
      <c r="N74" s="611"/>
      <c r="O74" s="611"/>
      <c r="P74" s="187">
        <v>20</v>
      </c>
      <c r="Q74" s="187">
        <v>1797.3455858679717</v>
      </c>
      <c r="R74" s="184">
        <f t="shared" si="59"/>
        <v>89.867279293398582</v>
      </c>
      <c r="S74" s="181">
        <f t="shared" si="60"/>
        <v>1</v>
      </c>
      <c r="T74" s="612"/>
      <c r="U74" s="187">
        <v>20</v>
      </c>
      <c r="V74" s="187">
        <v>1797.7455858679714</v>
      </c>
      <c r="W74" s="184">
        <f t="shared" si="57"/>
        <v>89.887279293398564</v>
      </c>
      <c r="X74" s="181">
        <f t="shared" si="61"/>
        <v>1</v>
      </c>
      <c r="Y74" s="612"/>
      <c r="Z74" s="187">
        <v>20</v>
      </c>
      <c r="AA74" s="187">
        <v>1798.3455858679711</v>
      </c>
      <c r="AB74" s="184">
        <f t="shared" si="62"/>
        <v>89.917279293398551</v>
      </c>
      <c r="AC74" s="181">
        <f t="shared" si="63"/>
        <v>1</v>
      </c>
      <c r="AD74" s="612"/>
      <c r="AE74" s="187">
        <v>20</v>
      </c>
      <c r="AF74" s="187">
        <v>1798.7455858679712</v>
      </c>
      <c r="AG74" s="184">
        <f t="shared" si="64"/>
        <v>89.937279293398561</v>
      </c>
      <c r="AH74" s="181">
        <f t="shared" si="65"/>
        <v>1</v>
      </c>
      <c r="AI74" s="612"/>
      <c r="AJ74" s="187">
        <v>20</v>
      </c>
      <c r="AK74" s="187">
        <v>1798.9455858679712</v>
      </c>
      <c r="AL74" s="184">
        <f t="shared" si="66"/>
        <v>89.947279293398566</v>
      </c>
      <c r="AM74" s="181">
        <f t="shared" si="67"/>
        <v>1</v>
      </c>
      <c r="AN74" s="612"/>
      <c r="AO74" s="187">
        <v>20</v>
      </c>
      <c r="AP74" s="187">
        <v>1798.4459067643756</v>
      </c>
      <c r="AQ74" s="184">
        <f t="shared" si="68"/>
        <v>89.922295338218788</v>
      </c>
      <c r="AR74" s="181">
        <f t="shared" si="69"/>
        <v>1</v>
      </c>
      <c r="AS74" s="612"/>
      <c r="AT74" s="187">
        <v>20</v>
      </c>
      <c r="AU74" s="187">
        <v>1798.6459067643755</v>
      </c>
      <c r="AV74" s="184">
        <f t="shared" si="70"/>
        <v>89.932295338218779</v>
      </c>
      <c r="AW74" s="181">
        <f t="shared" si="71"/>
        <v>1</v>
      </c>
      <c r="AX74" s="612"/>
    </row>
    <row r="75" spans="2:50" ht="14.25" customHeight="1">
      <c r="B75" s="611"/>
      <c r="C75" s="179">
        <v>9</v>
      </c>
      <c r="D75" s="182" t="s">
        <v>710</v>
      </c>
      <c r="E75" s="179">
        <v>24</v>
      </c>
      <c r="F75" s="179">
        <v>2000</v>
      </c>
      <c r="G75" s="184">
        <f t="shared" si="56"/>
        <v>83.333333333333329</v>
      </c>
      <c r="H75" s="612"/>
      <c r="I75" s="185">
        <f t="shared" si="58"/>
        <v>24</v>
      </c>
      <c r="J75" s="185">
        <f t="shared" si="58"/>
        <v>1791.4285780993446</v>
      </c>
      <c r="K75" s="186">
        <f t="shared" si="58"/>
        <v>74.64285742080601</v>
      </c>
      <c r="L75" s="613"/>
      <c r="M75" s="185">
        <f>RANK(K75, K$67:$K$81)</f>
        <v>7</v>
      </c>
      <c r="N75" s="611"/>
      <c r="O75" s="611"/>
      <c r="P75" s="187">
        <v>24</v>
      </c>
      <c r="Q75" s="187">
        <v>1788.0847746643174</v>
      </c>
      <c r="R75" s="184">
        <f t="shared" si="59"/>
        <v>74.503532277679895</v>
      </c>
      <c r="S75" s="181">
        <f t="shared" si="60"/>
        <v>8</v>
      </c>
      <c r="T75" s="612"/>
      <c r="U75" s="187">
        <v>24</v>
      </c>
      <c r="V75" s="187">
        <v>1788.4847746643177</v>
      </c>
      <c r="W75" s="184">
        <f t="shared" si="57"/>
        <v>74.520198944346575</v>
      </c>
      <c r="X75" s="181">
        <f t="shared" si="61"/>
        <v>8</v>
      </c>
      <c r="Y75" s="612"/>
      <c r="Z75" s="187">
        <v>24</v>
      </c>
      <c r="AA75" s="187">
        <v>1788.8847746643182</v>
      </c>
      <c r="AB75" s="184">
        <f t="shared" si="62"/>
        <v>74.536865611013255</v>
      </c>
      <c r="AC75" s="181">
        <f t="shared" si="63"/>
        <v>8</v>
      </c>
      <c r="AD75" s="612"/>
      <c r="AE75" s="187">
        <v>24</v>
      </c>
      <c r="AF75" s="187">
        <v>1792.9779613499124</v>
      </c>
      <c r="AG75" s="184">
        <f t="shared" si="64"/>
        <v>74.707415056246347</v>
      </c>
      <c r="AH75" s="181">
        <f t="shared" si="65"/>
        <v>7</v>
      </c>
      <c r="AI75" s="612"/>
      <c r="AJ75" s="187">
        <v>24</v>
      </c>
      <c r="AK75" s="187">
        <v>1793.3779613499123</v>
      </c>
      <c r="AL75" s="184">
        <f t="shared" si="66"/>
        <v>74.724081722913013</v>
      </c>
      <c r="AM75" s="181">
        <f t="shared" si="67"/>
        <v>8</v>
      </c>
      <c r="AN75" s="612"/>
      <c r="AO75" s="187">
        <v>24</v>
      </c>
      <c r="AP75" s="187">
        <v>1793.3779613499123</v>
      </c>
      <c r="AQ75" s="184">
        <f t="shared" si="68"/>
        <v>74.724081722913013</v>
      </c>
      <c r="AR75" s="181">
        <f t="shared" si="69"/>
        <v>8</v>
      </c>
      <c r="AS75" s="612"/>
      <c r="AT75" s="187">
        <v>24</v>
      </c>
      <c r="AU75" s="187">
        <v>1794.8118386527215</v>
      </c>
      <c r="AV75" s="184">
        <f t="shared" si="70"/>
        <v>74.783826610530056</v>
      </c>
      <c r="AW75" s="181">
        <f t="shared" si="71"/>
        <v>8</v>
      </c>
      <c r="AX75" s="612"/>
    </row>
    <row r="76" spans="2:50" ht="14.25" customHeight="1">
      <c r="B76" s="611"/>
      <c r="C76" s="179">
        <v>10</v>
      </c>
      <c r="D76" s="182"/>
      <c r="E76" s="179"/>
      <c r="F76" s="179"/>
      <c r="G76" s="184"/>
      <c r="H76" s="612"/>
      <c r="I76" s="185"/>
      <c r="J76" s="185"/>
      <c r="K76" s="186"/>
      <c r="L76" s="613"/>
      <c r="M76" s="185"/>
      <c r="N76" s="611"/>
      <c r="O76" s="611"/>
      <c r="P76" s="187"/>
      <c r="Q76" s="187"/>
      <c r="R76" s="184"/>
      <c r="S76" s="181"/>
      <c r="T76" s="612"/>
      <c r="U76" s="187"/>
      <c r="V76" s="187"/>
      <c r="W76" s="184"/>
      <c r="X76" s="181"/>
      <c r="Y76" s="612"/>
      <c r="Z76" s="187"/>
      <c r="AA76" s="187"/>
      <c r="AB76" s="184"/>
      <c r="AC76" s="181"/>
      <c r="AD76" s="612"/>
      <c r="AE76" s="187"/>
      <c r="AF76" s="187"/>
      <c r="AG76" s="184"/>
      <c r="AH76" s="181"/>
      <c r="AI76" s="612"/>
      <c r="AJ76" s="187"/>
      <c r="AK76" s="187"/>
      <c r="AL76" s="184"/>
      <c r="AM76" s="181"/>
      <c r="AN76" s="612"/>
      <c r="AO76" s="187"/>
      <c r="AP76" s="187"/>
      <c r="AQ76" s="184"/>
      <c r="AR76" s="181"/>
      <c r="AS76" s="612"/>
      <c r="AT76" s="187"/>
      <c r="AU76" s="187"/>
      <c r="AV76" s="184"/>
      <c r="AW76" s="181"/>
      <c r="AX76" s="612"/>
    </row>
    <row r="77" spans="2:50" ht="14.25" customHeight="1">
      <c r="B77" s="611"/>
      <c r="C77" s="179">
        <v>11</v>
      </c>
      <c r="D77" s="182"/>
      <c r="E77" s="179"/>
      <c r="F77" s="179"/>
      <c r="G77" s="184"/>
      <c r="H77" s="612"/>
      <c r="I77" s="185"/>
      <c r="J77" s="185"/>
      <c r="K77" s="186"/>
      <c r="L77" s="613"/>
      <c r="M77" s="185"/>
      <c r="N77" s="611"/>
      <c r="O77" s="611"/>
      <c r="P77" s="187"/>
      <c r="Q77" s="187"/>
      <c r="R77" s="184"/>
      <c r="S77" s="181"/>
      <c r="T77" s="612"/>
      <c r="U77" s="187"/>
      <c r="V77" s="187"/>
      <c r="W77" s="184"/>
      <c r="X77" s="181"/>
      <c r="Y77" s="612"/>
      <c r="Z77" s="187"/>
      <c r="AA77" s="187"/>
      <c r="AB77" s="184"/>
      <c r="AC77" s="181"/>
      <c r="AD77" s="612"/>
      <c r="AE77" s="187"/>
      <c r="AF77" s="187"/>
      <c r="AG77" s="184"/>
      <c r="AH77" s="181"/>
      <c r="AI77" s="612"/>
      <c r="AJ77" s="187"/>
      <c r="AK77" s="187"/>
      <c r="AL77" s="184"/>
      <c r="AM77" s="181"/>
      <c r="AN77" s="612"/>
      <c r="AO77" s="187"/>
      <c r="AP77" s="187"/>
      <c r="AQ77" s="184"/>
      <c r="AR77" s="181"/>
      <c r="AS77" s="612"/>
      <c r="AT77" s="187"/>
      <c r="AU77" s="187"/>
      <c r="AV77" s="184"/>
      <c r="AW77" s="181"/>
      <c r="AX77" s="612"/>
    </row>
    <row r="78" spans="2:50" ht="14.25" customHeight="1">
      <c r="B78" s="611"/>
      <c r="C78" s="179">
        <v>12</v>
      </c>
      <c r="D78" s="182"/>
      <c r="E78" s="179"/>
      <c r="F78" s="179"/>
      <c r="G78" s="184"/>
      <c r="H78" s="612"/>
      <c r="I78" s="185"/>
      <c r="J78" s="185"/>
      <c r="K78" s="186"/>
      <c r="L78" s="613"/>
      <c r="M78" s="185"/>
      <c r="N78" s="611"/>
      <c r="O78" s="611"/>
      <c r="P78" s="187"/>
      <c r="Q78" s="187"/>
      <c r="R78" s="184"/>
      <c r="S78" s="181"/>
      <c r="T78" s="612"/>
      <c r="U78" s="187"/>
      <c r="V78" s="187"/>
      <c r="W78" s="184"/>
      <c r="X78" s="181"/>
      <c r="Y78" s="612"/>
      <c r="Z78" s="187"/>
      <c r="AA78" s="187"/>
      <c r="AB78" s="184"/>
      <c r="AC78" s="181"/>
      <c r="AD78" s="612"/>
      <c r="AE78" s="187"/>
      <c r="AF78" s="187"/>
      <c r="AG78" s="184"/>
      <c r="AH78" s="181"/>
      <c r="AI78" s="612"/>
      <c r="AJ78" s="187"/>
      <c r="AK78" s="187"/>
      <c r="AL78" s="184"/>
      <c r="AM78" s="181"/>
      <c r="AN78" s="612"/>
      <c r="AO78" s="187"/>
      <c r="AP78" s="187"/>
      <c r="AQ78" s="184"/>
      <c r="AR78" s="181"/>
      <c r="AS78" s="612"/>
      <c r="AT78" s="187"/>
      <c r="AU78" s="187"/>
      <c r="AV78" s="184"/>
      <c r="AW78" s="181"/>
      <c r="AX78" s="612"/>
    </row>
    <row r="79" spans="2:50" ht="14.25" customHeight="1">
      <c r="B79" s="611"/>
      <c r="C79" s="179">
        <v>13</v>
      </c>
      <c r="D79" s="182"/>
      <c r="E79" s="179"/>
      <c r="F79" s="179"/>
      <c r="G79" s="184"/>
      <c r="H79" s="612"/>
      <c r="I79" s="185"/>
      <c r="J79" s="185"/>
      <c r="K79" s="186"/>
      <c r="L79" s="613"/>
      <c r="M79" s="185"/>
      <c r="N79" s="611"/>
      <c r="O79" s="611"/>
      <c r="P79" s="187"/>
      <c r="Q79" s="187"/>
      <c r="R79" s="184"/>
      <c r="S79" s="181"/>
      <c r="T79" s="612"/>
      <c r="U79" s="187"/>
      <c r="V79" s="187"/>
      <c r="W79" s="184"/>
      <c r="X79" s="181"/>
      <c r="Y79" s="612"/>
      <c r="Z79" s="187"/>
      <c r="AA79" s="187"/>
      <c r="AB79" s="184"/>
      <c r="AC79" s="181"/>
      <c r="AD79" s="612"/>
      <c r="AE79" s="187"/>
      <c r="AF79" s="187"/>
      <c r="AG79" s="184"/>
      <c r="AH79" s="181"/>
      <c r="AI79" s="612"/>
      <c r="AJ79" s="187"/>
      <c r="AK79" s="187"/>
      <c r="AL79" s="184"/>
      <c r="AM79" s="181"/>
      <c r="AN79" s="612"/>
      <c r="AO79" s="187"/>
      <c r="AP79" s="187"/>
      <c r="AQ79" s="184"/>
      <c r="AR79" s="181"/>
      <c r="AS79" s="612"/>
      <c r="AT79" s="187"/>
      <c r="AU79" s="187"/>
      <c r="AV79" s="184"/>
      <c r="AW79" s="181"/>
      <c r="AX79" s="612"/>
    </row>
    <row r="80" spans="2:50" ht="14.25" customHeight="1">
      <c r="B80" s="611"/>
      <c r="C80" s="179">
        <v>14</v>
      </c>
      <c r="D80" s="182"/>
      <c r="E80" s="179"/>
      <c r="F80" s="179"/>
      <c r="G80" s="184"/>
      <c r="H80" s="612"/>
      <c r="I80" s="185"/>
      <c r="J80" s="185"/>
      <c r="K80" s="186"/>
      <c r="L80" s="613"/>
      <c r="M80" s="185"/>
      <c r="N80" s="611"/>
      <c r="O80" s="611"/>
      <c r="P80" s="187"/>
      <c r="Q80" s="187"/>
      <c r="R80" s="184"/>
      <c r="S80" s="181"/>
      <c r="T80" s="612"/>
      <c r="U80" s="187"/>
      <c r="V80" s="187"/>
      <c r="W80" s="184"/>
      <c r="X80" s="181"/>
      <c r="Y80" s="612"/>
      <c r="Z80" s="187"/>
      <c r="AA80" s="187"/>
      <c r="AB80" s="184"/>
      <c r="AC80" s="181"/>
      <c r="AD80" s="612"/>
      <c r="AE80" s="187"/>
      <c r="AF80" s="187"/>
      <c r="AG80" s="184"/>
      <c r="AH80" s="181"/>
      <c r="AI80" s="612"/>
      <c r="AJ80" s="187"/>
      <c r="AK80" s="187"/>
      <c r="AL80" s="184"/>
      <c r="AM80" s="181"/>
      <c r="AN80" s="612"/>
      <c r="AO80" s="187"/>
      <c r="AP80" s="187"/>
      <c r="AQ80" s="184"/>
      <c r="AR80" s="181"/>
      <c r="AS80" s="612"/>
      <c r="AT80" s="187"/>
      <c r="AU80" s="187"/>
      <c r="AV80" s="184"/>
      <c r="AW80" s="181"/>
      <c r="AX80" s="612"/>
    </row>
    <row r="81" spans="2:50" ht="14.25" customHeight="1">
      <c r="B81" s="611"/>
      <c r="C81" s="179">
        <v>15</v>
      </c>
      <c r="D81" s="182"/>
      <c r="E81" s="179"/>
      <c r="F81" s="179"/>
      <c r="G81" s="184"/>
      <c r="H81" s="612"/>
      <c r="I81" s="185"/>
      <c r="J81" s="185"/>
      <c r="K81" s="186"/>
      <c r="L81" s="613"/>
      <c r="M81" s="185"/>
      <c r="N81" s="611"/>
      <c r="O81" s="611"/>
      <c r="P81" s="187"/>
      <c r="Q81" s="187"/>
      <c r="R81" s="184"/>
      <c r="S81" s="181"/>
      <c r="T81" s="612"/>
      <c r="U81" s="187"/>
      <c r="V81" s="187"/>
      <c r="W81" s="184"/>
      <c r="X81" s="181"/>
      <c r="Y81" s="612"/>
      <c r="Z81" s="187"/>
      <c r="AA81" s="187"/>
      <c r="AB81" s="184"/>
      <c r="AC81" s="181"/>
      <c r="AD81" s="612"/>
      <c r="AE81" s="187"/>
      <c r="AF81" s="187"/>
      <c r="AG81" s="184"/>
      <c r="AH81" s="181"/>
      <c r="AI81" s="612"/>
      <c r="AJ81" s="187"/>
      <c r="AK81" s="187"/>
      <c r="AL81" s="184"/>
      <c r="AM81" s="181"/>
      <c r="AN81" s="612"/>
      <c r="AO81" s="187"/>
      <c r="AP81" s="187"/>
      <c r="AQ81" s="184"/>
      <c r="AR81" s="181"/>
      <c r="AS81" s="612"/>
      <c r="AT81" s="187"/>
      <c r="AU81" s="187"/>
      <c r="AV81" s="184"/>
      <c r="AW81" s="181"/>
      <c r="AX81" s="612"/>
    </row>
    <row r="82" spans="2:50" ht="14.25" customHeight="1">
      <c r="B82" s="640" t="s">
        <v>878</v>
      </c>
      <c r="C82" s="641"/>
      <c r="D82" s="641"/>
      <c r="E82" s="641"/>
      <c r="F82" s="641"/>
      <c r="G82" s="641"/>
      <c r="H82" s="641"/>
      <c r="I82" s="641"/>
      <c r="J82" s="641"/>
      <c r="K82" s="641"/>
      <c r="L82" s="641"/>
      <c r="M82" s="642"/>
      <c r="N82" s="645" t="s">
        <v>363</v>
      </c>
      <c r="O82" s="645" t="s">
        <v>105</v>
      </c>
      <c r="P82" s="632">
        <v>46231</v>
      </c>
      <c r="Q82" s="633"/>
      <c r="R82" s="633"/>
      <c r="S82" s="633"/>
      <c r="T82" s="633"/>
      <c r="U82" s="634">
        <v>46232</v>
      </c>
      <c r="V82" s="635"/>
      <c r="W82" s="635"/>
      <c r="X82" s="635"/>
      <c r="Y82" s="635"/>
      <c r="Z82" s="632">
        <v>46233</v>
      </c>
      <c r="AA82" s="633"/>
      <c r="AB82" s="633"/>
      <c r="AC82" s="633"/>
      <c r="AD82" s="633"/>
      <c r="AE82" s="634">
        <v>46234</v>
      </c>
      <c r="AF82" s="635"/>
      <c r="AG82" s="635"/>
      <c r="AH82" s="635"/>
      <c r="AI82" s="635"/>
      <c r="AJ82" s="616">
        <v>46235</v>
      </c>
      <c r="AK82" s="617"/>
      <c r="AL82" s="617"/>
      <c r="AM82" s="617"/>
      <c r="AN82" s="618"/>
      <c r="AO82" s="634">
        <v>46236</v>
      </c>
      <c r="AP82" s="635"/>
      <c r="AQ82" s="635"/>
      <c r="AR82" s="635"/>
      <c r="AS82" s="635"/>
      <c r="AT82" s="616">
        <v>46237</v>
      </c>
      <c r="AU82" s="617"/>
      <c r="AV82" s="617"/>
      <c r="AW82" s="617"/>
      <c r="AX82" s="618"/>
    </row>
    <row r="83" spans="2:50" ht="14.25" customHeight="1">
      <c r="B83" s="643"/>
      <c r="C83" s="643"/>
      <c r="D83" s="643"/>
      <c r="E83" s="643"/>
      <c r="F83" s="643"/>
      <c r="G83" s="643"/>
      <c r="H83" s="643"/>
      <c r="I83" s="643"/>
      <c r="J83" s="643"/>
      <c r="K83" s="643"/>
      <c r="L83" s="643"/>
      <c r="M83" s="644"/>
      <c r="N83" s="646"/>
      <c r="O83" s="646"/>
      <c r="P83" s="619">
        <v>46196</v>
      </c>
      <c r="Q83" s="619"/>
      <c r="R83" s="619"/>
      <c r="S83" s="619"/>
      <c r="T83" s="619"/>
      <c r="U83" s="620">
        <v>46197</v>
      </c>
      <c r="V83" s="620"/>
      <c r="W83" s="620"/>
      <c r="X83" s="620"/>
      <c r="Y83" s="620"/>
      <c r="Z83" s="619">
        <v>46198</v>
      </c>
      <c r="AA83" s="619"/>
      <c r="AB83" s="619"/>
      <c r="AC83" s="619"/>
      <c r="AD83" s="619"/>
      <c r="AE83" s="620">
        <v>46199</v>
      </c>
      <c r="AF83" s="620"/>
      <c r="AG83" s="620"/>
      <c r="AH83" s="620"/>
      <c r="AI83" s="620"/>
      <c r="AJ83" s="621">
        <v>46200</v>
      </c>
      <c r="AK83" s="622"/>
      <c r="AL83" s="622"/>
      <c r="AM83" s="622"/>
      <c r="AN83" s="623"/>
      <c r="AO83" s="620">
        <v>46201</v>
      </c>
      <c r="AP83" s="620"/>
      <c r="AQ83" s="620"/>
      <c r="AR83" s="620"/>
      <c r="AS83" s="620"/>
      <c r="AT83" s="621">
        <v>46202</v>
      </c>
      <c r="AU83" s="622"/>
      <c r="AV83" s="622"/>
      <c r="AW83" s="622"/>
      <c r="AX83" s="623"/>
    </row>
    <row r="84" spans="2:50" ht="14.25" customHeight="1">
      <c r="B84" s="611" t="s">
        <v>162</v>
      </c>
      <c r="C84" s="611" t="s">
        <v>157</v>
      </c>
      <c r="D84" s="611"/>
      <c r="E84" s="611" t="s">
        <v>158</v>
      </c>
      <c r="F84" s="611"/>
      <c r="G84" s="611"/>
      <c r="H84" s="611" t="s">
        <v>163</v>
      </c>
      <c r="I84" s="615" t="s">
        <v>364</v>
      </c>
      <c r="J84" s="615"/>
      <c r="K84" s="615"/>
      <c r="L84" s="615" t="s">
        <v>163</v>
      </c>
      <c r="M84" s="615" t="s">
        <v>165</v>
      </c>
      <c r="N84" s="611"/>
      <c r="O84" s="611" t="s">
        <v>164</v>
      </c>
      <c r="P84" s="611" t="s">
        <v>160</v>
      </c>
      <c r="Q84" s="611"/>
      <c r="R84" s="611"/>
      <c r="S84" s="611"/>
      <c r="T84" s="611" t="s">
        <v>163</v>
      </c>
      <c r="U84" s="611" t="s">
        <v>160</v>
      </c>
      <c r="V84" s="611"/>
      <c r="W84" s="611"/>
      <c r="X84" s="611"/>
      <c r="Y84" s="611" t="s">
        <v>163</v>
      </c>
      <c r="Z84" s="611" t="s">
        <v>160</v>
      </c>
      <c r="AA84" s="611"/>
      <c r="AB84" s="611"/>
      <c r="AC84" s="611"/>
      <c r="AD84" s="611" t="s">
        <v>163</v>
      </c>
      <c r="AE84" s="611" t="s">
        <v>160</v>
      </c>
      <c r="AF84" s="611"/>
      <c r="AG84" s="611"/>
      <c r="AH84" s="611"/>
      <c r="AI84" s="611" t="s">
        <v>163</v>
      </c>
      <c r="AJ84" s="611" t="s">
        <v>160</v>
      </c>
      <c r="AK84" s="611"/>
      <c r="AL84" s="611"/>
      <c r="AM84" s="611"/>
      <c r="AN84" s="611" t="s">
        <v>163</v>
      </c>
      <c r="AO84" s="611" t="s">
        <v>160</v>
      </c>
      <c r="AP84" s="611"/>
      <c r="AQ84" s="611"/>
      <c r="AR84" s="611"/>
      <c r="AS84" s="611" t="s">
        <v>163</v>
      </c>
      <c r="AT84" s="611" t="s">
        <v>160</v>
      </c>
      <c r="AU84" s="611"/>
      <c r="AV84" s="611"/>
      <c r="AW84" s="611"/>
      <c r="AX84" s="611" t="s">
        <v>163</v>
      </c>
    </row>
    <row r="85" spans="2:50" ht="14.25" customHeight="1">
      <c r="B85" s="611"/>
      <c r="C85" s="611"/>
      <c r="D85" s="611"/>
      <c r="E85" s="611" t="s">
        <v>365</v>
      </c>
      <c r="F85" s="611"/>
      <c r="G85" s="611"/>
      <c r="H85" s="611"/>
      <c r="I85" s="615" t="s">
        <v>365</v>
      </c>
      <c r="J85" s="615"/>
      <c r="K85" s="615"/>
      <c r="L85" s="615"/>
      <c r="M85" s="615"/>
      <c r="N85" s="611"/>
      <c r="O85" s="611"/>
      <c r="P85" s="611" t="s">
        <v>366</v>
      </c>
      <c r="Q85" s="611"/>
      <c r="R85" s="611"/>
      <c r="S85" s="611"/>
      <c r="T85" s="611"/>
      <c r="U85" s="611" t="s">
        <v>366</v>
      </c>
      <c r="V85" s="611"/>
      <c r="W85" s="611"/>
      <c r="X85" s="611"/>
      <c r="Y85" s="611"/>
      <c r="Z85" s="611" t="s">
        <v>366</v>
      </c>
      <c r="AA85" s="611"/>
      <c r="AB85" s="611"/>
      <c r="AC85" s="611"/>
      <c r="AD85" s="611"/>
      <c r="AE85" s="611" t="s">
        <v>366</v>
      </c>
      <c r="AF85" s="611"/>
      <c r="AG85" s="611"/>
      <c r="AH85" s="611"/>
      <c r="AI85" s="611"/>
      <c r="AJ85" s="611" t="s">
        <v>366</v>
      </c>
      <c r="AK85" s="611"/>
      <c r="AL85" s="611"/>
      <c r="AM85" s="611"/>
      <c r="AN85" s="611"/>
      <c r="AO85" s="611" t="s">
        <v>366</v>
      </c>
      <c r="AP85" s="611"/>
      <c r="AQ85" s="611"/>
      <c r="AR85" s="611"/>
      <c r="AS85" s="611"/>
      <c r="AT85" s="611" t="s">
        <v>366</v>
      </c>
      <c r="AU85" s="611"/>
      <c r="AV85" s="611"/>
      <c r="AW85" s="611"/>
      <c r="AX85" s="611"/>
    </row>
    <row r="86" spans="2:50" ht="14.25" customHeight="1">
      <c r="B86" s="611"/>
      <c r="C86" s="611"/>
      <c r="D86" s="611"/>
      <c r="E86" s="179" t="s">
        <v>159</v>
      </c>
      <c r="F86" s="179" t="s">
        <v>367</v>
      </c>
      <c r="G86" s="179" t="s">
        <v>161</v>
      </c>
      <c r="H86" s="611"/>
      <c r="I86" s="180" t="s">
        <v>159</v>
      </c>
      <c r="J86" s="180" t="s">
        <v>367</v>
      </c>
      <c r="K86" s="180" t="s">
        <v>161</v>
      </c>
      <c r="L86" s="615"/>
      <c r="M86" s="615"/>
      <c r="N86" s="611"/>
      <c r="O86" s="611"/>
      <c r="P86" s="179" t="s">
        <v>159</v>
      </c>
      <c r="Q86" s="179" t="s">
        <v>367</v>
      </c>
      <c r="R86" s="179" t="s">
        <v>161</v>
      </c>
      <c r="S86" s="181" t="s">
        <v>165</v>
      </c>
      <c r="T86" s="611"/>
      <c r="U86" s="179" t="s">
        <v>159</v>
      </c>
      <c r="V86" s="179" t="s">
        <v>367</v>
      </c>
      <c r="W86" s="179" t="s">
        <v>161</v>
      </c>
      <c r="X86" s="181" t="s">
        <v>165</v>
      </c>
      <c r="Y86" s="611"/>
      <c r="Z86" s="179" t="s">
        <v>159</v>
      </c>
      <c r="AA86" s="179" t="s">
        <v>367</v>
      </c>
      <c r="AB86" s="179" t="s">
        <v>161</v>
      </c>
      <c r="AC86" s="181" t="s">
        <v>165</v>
      </c>
      <c r="AD86" s="611"/>
      <c r="AE86" s="179" t="s">
        <v>159</v>
      </c>
      <c r="AF86" s="179" t="s">
        <v>367</v>
      </c>
      <c r="AG86" s="179" t="s">
        <v>161</v>
      </c>
      <c r="AH86" s="181" t="s">
        <v>165</v>
      </c>
      <c r="AI86" s="611"/>
      <c r="AJ86" s="179" t="s">
        <v>159</v>
      </c>
      <c r="AK86" s="179" t="s">
        <v>367</v>
      </c>
      <c r="AL86" s="179" t="s">
        <v>161</v>
      </c>
      <c r="AM86" s="181" t="s">
        <v>165</v>
      </c>
      <c r="AN86" s="611"/>
      <c r="AO86" s="179" t="s">
        <v>159</v>
      </c>
      <c r="AP86" s="179" t="s">
        <v>367</v>
      </c>
      <c r="AQ86" s="179" t="s">
        <v>161</v>
      </c>
      <c r="AR86" s="181" t="s">
        <v>165</v>
      </c>
      <c r="AS86" s="611"/>
      <c r="AT86" s="179" t="s">
        <v>159</v>
      </c>
      <c r="AU86" s="179" t="s">
        <v>367</v>
      </c>
      <c r="AV86" s="179" t="s">
        <v>161</v>
      </c>
      <c r="AW86" s="181" t="s">
        <v>165</v>
      </c>
      <c r="AX86" s="611"/>
    </row>
    <row r="87" spans="2:50" ht="14.25" customHeight="1">
      <c r="B87" s="611" t="s">
        <v>137</v>
      </c>
      <c r="C87" s="179">
        <v>1</v>
      </c>
      <c r="D87" s="182" t="s">
        <v>351</v>
      </c>
      <c r="E87" s="183">
        <v>24</v>
      </c>
      <c r="F87" s="179">
        <v>2000</v>
      </c>
      <c r="G87" s="184">
        <f t="shared" ref="G87:G95" si="72">IFERROR(F87/E87,"")</f>
        <v>83.333333333333329</v>
      </c>
      <c r="H87" s="612">
        <f>AVERAGE(G87:G101)</f>
        <v>88.716146977016535</v>
      </c>
      <c r="I87" s="185">
        <f>AVERAGE(P87,U87,Z87,AE87,AJ87,AO87,AT87)</f>
        <v>24</v>
      </c>
      <c r="J87" s="185">
        <f>AVERAGE(Q87,V87,AA87,AF87,AK87,AP87,AU87)</f>
        <v>1799.7255861173473</v>
      </c>
      <c r="K87" s="186">
        <f>AVERAGE(R87,W87,AB87,AG87,AL87,AQ87,AV87)</f>
        <v>74.988566088222811</v>
      </c>
      <c r="L87" s="613">
        <f>IFERROR(AVERAGE(K87:K101),"-")</f>
        <v>79.776973679343911</v>
      </c>
      <c r="M87" s="185">
        <f>RANK(K87, K$87:$K$101)</f>
        <v>7</v>
      </c>
      <c r="N87" s="611"/>
      <c r="O87" s="611"/>
      <c r="P87" s="187">
        <v>24</v>
      </c>
      <c r="Q87" s="187">
        <v>1798.0116725059725</v>
      </c>
      <c r="R87" s="184">
        <f>IFERROR(Q87/P87,"")</f>
        <v>74.917153021082186</v>
      </c>
      <c r="S87" s="181">
        <f>RANK(R87, R$87:R$101)</f>
        <v>7</v>
      </c>
      <c r="T87" s="612">
        <f>AVERAGE(R87:R101)</f>
        <v>79.714393949650059</v>
      </c>
      <c r="U87" s="187">
        <v>24</v>
      </c>
      <c r="V87" s="187">
        <v>1798.6116725059726</v>
      </c>
      <c r="W87" s="184">
        <f t="shared" ref="W87:W95" si="73">IFERROR(V87/U87,"")</f>
        <v>74.942153021082191</v>
      </c>
      <c r="X87" s="181">
        <f>RANK(W87, W$87:W$101)</f>
        <v>7</v>
      </c>
      <c r="Y87" s="612">
        <f>AVERAGE(W87:W101)</f>
        <v>79.725925789790594</v>
      </c>
      <c r="Z87" s="187">
        <v>24</v>
      </c>
      <c r="AA87" s="187">
        <v>1799.2116725059727</v>
      </c>
      <c r="AB87" s="184">
        <f>IFERROR(AA87/Z87,"")</f>
        <v>74.967153021082197</v>
      </c>
      <c r="AC87" s="181">
        <f>RANK(AB87, AB$87:AB$101)</f>
        <v>7</v>
      </c>
      <c r="AD87" s="612">
        <f>AVERAGE(AB87:AB101)</f>
        <v>79.739648817165801</v>
      </c>
      <c r="AE87" s="187">
        <v>24</v>
      </c>
      <c r="AF87" s="187">
        <v>1799.6116725059728</v>
      </c>
      <c r="AG87" s="184">
        <f>IFERROR(AF87/AE87,"")</f>
        <v>74.983819687748863</v>
      </c>
      <c r="AH87" s="181">
        <f>RANK(AG87, AG$87:AG$101)</f>
        <v>7</v>
      </c>
      <c r="AI87" s="612">
        <f>AVERAGE(AG87:AG101)</f>
        <v>79.770372065335138</v>
      </c>
      <c r="AJ87" s="187">
        <v>24</v>
      </c>
      <c r="AK87" s="187">
        <v>1800.0116725059727</v>
      </c>
      <c r="AL87" s="184">
        <f>IFERROR(AK87/AJ87,"")</f>
        <v>75.000486354415528</v>
      </c>
      <c r="AM87" s="181">
        <f>RANK(AL87, AL$87:AL$101)</f>
        <v>7</v>
      </c>
      <c r="AN87" s="612">
        <f>AVERAGE(AL87:AL101)</f>
        <v>79.785068156683394</v>
      </c>
      <c r="AO87" s="187">
        <v>24</v>
      </c>
      <c r="AP87" s="187">
        <v>1801.3103701457844</v>
      </c>
      <c r="AQ87" s="184">
        <f>IFERROR(AP87/AO87,"")</f>
        <v>75.054598756074355</v>
      </c>
      <c r="AR87" s="181">
        <f>RANK(AQ87, AQ$87:AQ$101)</f>
        <v>7</v>
      </c>
      <c r="AS87" s="612">
        <f>AVERAGE(AQ87:AQ101)</f>
        <v>79.844134475798938</v>
      </c>
      <c r="AT87" s="187">
        <v>24</v>
      </c>
      <c r="AU87" s="187">
        <v>1801.3103701457846</v>
      </c>
      <c r="AV87" s="184">
        <f>IFERROR(AU87/AT87,"")</f>
        <v>75.054598756074355</v>
      </c>
      <c r="AW87" s="181">
        <f>RANK(AV87, AV$87:AV$101)</f>
        <v>7</v>
      </c>
      <c r="AX87" s="612">
        <f>AVERAGE(AV87:AV101)</f>
        <v>79.859272500983536</v>
      </c>
    </row>
    <row r="88" spans="2:50" ht="14.25" customHeight="1">
      <c r="B88" s="611"/>
      <c r="C88" s="179">
        <v>2</v>
      </c>
      <c r="D88" s="182" t="s">
        <v>352</v>
      </c>
      <c r="E88" s="179">
        <v>23</v>
      </c>
      <c r="F88" s="179">
        <v>2000</v>
      </c>
      <c r="G88" s="184">
        <f t="shared" si="72"/>
        <v>86.956521739130437</v>
      </c>
      <c r="H88" s="612"/>
      <c r="I88" s="185">
        <f t="shared" ref="I88:K95" si="74">AVERAGE(P88,U88,Z88,AE88,AJ88,AO88,AT88)</f>
        <v>23</v>
      </c>
      <c r="J88" s="185">
        <f t="shared" si="74"/>
        <v>1798.047943840837</v>
      </c>
      <c r="K88" s="186">
        <f t="shared" si="74"/>
        <v>78.175997558297254</v>
      </c>
      <c r="L88" s="613"/>
      <c r="M88" s="185">
        <f>RANK(K88, K$87:$K$101)</f>
        <v>5</v>
      </c>
      <c r="N88" s="611"/>
      <c r="O88" s="611"/>
      <c r="P88" s="187">
        <v>23</v>
      </c>
      <c r="Q88" s="187">
        <v>1796.2544326799957</v>
      </c>
      <c r="R88" s="184">
        <f t="shared" ref="R88:R95" si="75">IFERROR(Q88/P88,"")</f>
        <v>78.09801881217372</v>
      </c>
      <c r="S88" s="181">
        <f t="shared" ref="S88:S95" si="76">RANK(R88, R$87:R$101)</f>
        <v>6</v>
      </c>
      <c r="T88" s="612"/>
      <c r="U88" s="187">
        <v>23</v>
      </c>
      <c r="V88" s="187">
        <v>1796.2544326799959</v>
      </c>
      <c r="W88" s="184">
        <f t="shared" si="73"/>
        <v>78.098018812173734</v>
      </c>
      <c r="X88" s="181">
        <f t="shared" ref="X88:X95" si="77">RANK(W88, W$87:W$101)</f>
        <v>6</v>
      </c>
      <c r="Y88" s="612"/>
      <c r="Z88" s="187">
        <v>23</v>
      </c>
      <c r="AA88" s="187">
        <v>1796.6544326799958</v>
      </c>
      <c r="AB88" s="184">
        <f t="shared" ref="AB88:AB95" si="78">IFERROR(AA88/Z88,"")</f>
        <v>78.115410116521559</v>
      </c>
      <c r="AC88" s="181">
        <f t="shared" ref="AC88:AC95" si="79">RANK(AB88, AB$87:AB$101)</f>
        <v>6</v>
      </c>
      <c r="AD88" s="612"/>
      <c r="AE88" s="187">
        <v>23</v>
      </c>
      <c r="AF88" s="187">
        <v>1798.1619808337709</v>
      </c>
      <c r="AG88" s="184">
        <f t="shared" ref="AG88:AG95" si="80">IFERROR(AF88/AE88,"")</f>
        <v>78.180955688424817</v>
      </c>
      <c r="AH88" s="181">
        <f t="shared" ref="AH88:AH95" si="81">RANK(AG88, AG$87:AG$101)</f>
        <v>5</v>
      </c>
      <c r="AI88" s="612"/>
      <c r="AJ88" s="187">
        <v>23</v>
      </c>
      <c r="AK88" s="187">
        <v>1798.5619808337708</v>
      </c>
      <c r="AL88" s="184">
        <f t="shared" ref="AL88:AL95" si="82">IFERROR(AK88/AJ88,"")</f>
        <v>78.198346992772642</v>
      </c>
      <c r="AM88" s="181">
        <f t="shared" ref="AM88:AM95" si="83">RANK(AL88, AL$87:AL$101)</f>
        <v>5</v>
      </c>
      <c r="AN88" s="612"/>
      <c r="AO88" s="187">
        <v>23</v>
      </c>
      <c r="AP88" s="187">
        <v>1799.786766770437</v>
      </c>
      <c r="AQ88" s="184">
        <f t="shared" ref="AQ88:AQ95" si="84">IFERROR(AP88/AO88,"")</f>
        <v>78.251598555236384</v>
      </c>
      <c r="AR88" s="181">
        <f t="shared" ref="AR88:AR95" si="85">RANK(AQ88, AQ$87:AQ$101)</f>
        <v>4</v>
      </c>
      <c r="AS88" s="612"/>
      <c r="AT88" s="187">
        <v>23</v>
      </c>
      <c r="AU88" s="187">
        <v>1800.6615804078915</v>
      </c>
      <c r="AV88" s="184">
        <f t="shared" ref="AV88:AV95" si="86">IFERROR(AU88/AT88,"")</f>
        <v>78.289633930777896</v>
      </c>
      <c r="AW88" s="181">
        <f t="shared" ref="AW88:AW95" si="87">RANK(AV88, AV$87:AV$101)</f>
        <v>4</v>
      </c>
      <c r="AX88" s="612"/>
    </row>
    <row r="89" spans="2:50" ht="14.25" customHeight="1">
      <c r="B89" s="611"/>
      <c r="C89" s="179">
        <v>3</v>
      </c>
      <c r="D89" s="182" t="s">
        <v>350</v>
      </c>
      <c r="E89" s="179">
        <v>23</v>
      </c>
      <c r="F89" s="179">
        <v>2000</v>
      </c>
      <c r="G89" s="184">
        <f t="shared" si="72"/>
        <v>86.956521739130437</v>
      </c>
      <c r="H89" s="612"/>
      <c r="I89" s="185">
        <f t="shared" si="74"/>
        <v>23</v>
      </c>
      <c r="J89" s="185">
        <f t="shared" si="74"/>
        <v>1798.4173487769492</v>
      </c>
      <c r="K89" s="186">
        <f t="shared" si="74"/>
        <v>78.192058642476042</v>
      </c>
      <c r="L89" s="613"/>
      <c r="M89" s="185">
        <f>RANK(K89, K$87:$K$101)</f>
        <v>4</v>
      </c>
      <c r="N89" s="611"/>
      <c r="O89" s="611"/>
      <c r="P89" s="187">
        <v>23</v>
      </c>
      <c r="Q89" s="187">
        <v>1797.4080972519832</v>
      </c>
      <c r="R89" s="184">
        <f t="shared" si="75"/>
        <v>78.148178141390574</v>
      </c>
      <c r="S89" s="181">
        <f t="shared" si="76"/>
        <v>4</v>
      </c>
      <c r="T89" s="612"/>
      <c r="U89" s="187">
        <v>23</v>
      </c>
      <c r="V89" s="187">
        <v>1797.6080972519833</v>
      </c>
      <c r="W89" s="184">
        <f t="shared" si="73"/>
        <v>78.156873793564486</v>
      </c>
      <c r="X89" s="181">
        <f t="shared" si="77"/>
        <v>4</v>
      </c>
      <c r="Y89" s="612"/>
      <c r="Z89" s="187">
        <v>23</v>
      </c>
      <c r="AA89" s="187">
        <v>1798.2080972519834</v>
      </c>
      <c r="AB89" s="184">
        <f t="shared" si="78"/>
        <v>78.182960750086238</v>
      </c>
      <c r="AC89" s="181">
        <f t="shared" si="79"/>
        <v>4</v>
      </c>
      <c r="AD89" s="612"/>
      <c r="AE89" s="187">
        <v>23</v>
      </c>
      <c r="AF89" s="187">
        <v>1798.6080972519831</v>
      </c>
      <c r="AG89" s="184">
        <f t="shared" si="80"/>
        <v>78.200352054434049</v>
      </c>
      <c r="AH89" s="181">
        <f t="shared" si="81"/>
        <v>4</v>
      </c>
      <c r="AI89" s="612"/>
      <c r="AJ89" s="187">
        <v>23</v>
      </c>
      <c r="AK89" s="187">
        <v>1798.8080972519831</v>
      </c>
      <c r="AL89" s="184">
        <f t="shared" si="82"/>
        <v>78.209047706607961</v>
      </c>
      <c r="AM89" s="181">
        <f t="shared" si="83"/>
        <v>4</v>
      </c>
      <c r="AN89" s="612"/>
      <c r="AO89" s="187">
        <v>23</v>
      </c>
      <c r="AP89" s="187">
        <v>1799.0404775893642</v>
      </c>
      <c r="AQ89" s="184">
        <f t="shared" si="84"/>
        <v>78.219151199537578</v>
      </c>
      <c r="AR89" s="181">
        <f t="shared" si="85"/>
        <v>6</v>
      </c>
      <c r="AS89" s="612"/>
      <c r="AT89" s="187">
        <v>23</v>
      </c>
      <c r="AU89" s="187">
        <v>1799.2404775893642</v>
      </c>
      <c r="AV89" s="184">
        <f t="shared" si="86"/>
        <v>78.22784685171149</v>
      </c>
      <c r="AW89" s="181">
        <f t="shared" si="87"/>
        <v>6</v>
      </c>
      <c r="AX89" s="612"/>
    </row>
    <row r="90" spans="2:50" ht="14.25" customHeight="1">
      <c r="B90" s="611"/>
      <c r="C90" s="179">
        <v>4</v>
      </c>
      <c r="D90" s="182" t="s">
        <v>433</v>
      </c>
      <c r="E90" s="179">
        <v>23</v>
      </c>
      <c r="F90" s="179">
        <v>2000</v>
      </c>
      <c r="G90" s="184">
        <f t="shared" si="72"/>
        <v>86.956521739130437</v>
      </c>
      <c r="H90" s="612"/>
      <c r="I90" s="185">
        <f t="shared" si="74"/>
        <v>23</v>
      </c>
      <c r="J90" s="185">
        <f t="shared" si="74"/>
        <v>1797.9481808238481</v>
      </c>
      <c r="K90" s="186">
        <f t="shared" si="74"/>
        <v>78.171660035819485</v>
      </c>
      <c r="L90" s="613"/>
      <c r="M90" s="185">
        <f>RANK(K90, K$87:$K$101)</f>
        <v>6</v>
      </c>
      <c r="N90" s="611"/>
      <c r="O90" s="611"/>
      <c r="P90" s="187">
        <v>23</v>
      </c>
      <c r="Q90" s="187">
        <v>1796.8576036313932</v>
      </c>
      <c r="R90" s="184">
        <f t="shared" si="75"/>
        <v>78.124243636147526</v>
      </c>
      <c r="S90" s="181">
        <f t="shared" si="76"/>
        <v>5</v>
      </c>
      <c r="T90" s="612"/>
      <c r="U90" s="187">
        <v>23</v>
      </c>
      <c r="V90" s="187">
        <v>1796.857603631393</v>
      </c>
      <c r="W90" s="184">
        <f t="shared" si="73"/>
        <v>78.124243636147526</v>
      </c>
      <c r="X90" s="181">
        <f t="shared" si="77"/>
        <v>5</v>
      </c>
      <c r="Y90" s="612"/>
      <c r="Z90" s="187">
        <v>23</v>
      </c>
      <c r="AA90" s="187">
        <v>1797.057603631393</v>
      </c>
      <c r="AB90" s="184">
        <f t="shared" si="78"/>
        <v>78.132939288321438</v>
      </c>
      <c r="AC90" s="181">
        <f t="shared" si="79"/>
        <v>5</v>
      </c>
      <c r="AD90" s="612"/>
      <c r="AE90" s="187">
        <v>23</v>
      </c>
      <c r="AF90" s="187">
        <v>1797.6576036313927</v>
      </c>
      <c r="AG90" s="184">
        <f t="shared" si="80"/>
        <v>78.159026244843162</v>
      </c>
      <c r="AH90" s="181">
        <f t="shared" si="81"/>
        <v>6</v>
      </c>
      <c r="AI90" s="612"/>
      <c r="AJ90" s="187">
        <v>23</v>
      </c>
      <c r="AK90" s="187">
        <v>1798.2576036313926</v>
      </c>
      <c r="AL90" s="184">
        <f t="shared" si="82"/>
        <v>78.185113201364899</v>
      </c>
      <c r="AM90" s="181">
        <f t="shared" si="83"/>
        <v>6</v>
      </c>
      <c r="AN90" s="612"/>
      <c r="AO90" s="187">
        <v>23</v>
      </c>
      <c r="AP90" s="187">
        <v>1799.1746238049861</v>
      </c>
      <c r="AQ90" s="184">
        <f t="shared" si="84"/>
        <v>78.224983643695055</v>
      </c>
      <c r="AR90" s="181">
        <f t="shared" si="85"/>
        <v>5</v>
      </c>
      <c r="AS90" s="612"/>
      <c r="AT90" s="187">
        <v>23</v>
      </c>
      <c r="AU90" s="187">
        <v>1799.7746238049858</v>
      </c>
      <c r="AV90" s="184">
        <f t="shared" si="86"/>
        <v>78.251070600216778</v>
      </c>
      <c r="AW90" s="181">
        <f t="shared" si="87"/>
        <v>5</v>
      </c>
      <c r="AX90" s="612"/>
    </row>
    <row r="91" spans="2:50" ht="14.25" customHeight="1">
      <c r="B91" s="611"/>
      <c r="C91" s="179">
        <v>5</v>
      </c>
      <c r="D91" s="182" t="s">
        <v>435</v>
      </c>
      <c r="E91" s="179">
        <v>22</v>
      </c>
      <c r="F91" s="179">
        <v>2000</v>
      </c>
      <c r="G91" s="184">
        <f t="shared" si="72"/>
        <v>90.909090909090907</v>
      </c>
      <c r="H91" s="612"/>
      <c r="I91" s="185">
        <f t="shared" si="74"/>
        <v>22</v>
      </c>
      <c r="J91" s="185">
        <f t="shared" si="74"/>
        <v>1798.0689357827664</v>
      </c>
      <c r="K91" s="186">
        <f t="shared" si="74"/>
        <v>81.73040617194394</v>
      </c>
      <c r="L91" s="613"/>
      <c r="M91" s="185">
        <f>RANK(K91, K$87:$K$101)</f>
        <v>3</v>
      </c>
      <c r="N91" s="611"/>
      <c r="O91" s="611"/>
      <c r="P91" s="187">
        <v>22</v>
      </c>
      <c r="Q91" s="187">
        <v>1797.0029044857413</v>
      </c>
      <c r="R91" s="184">
        <f t="shared" si="75"/>
        <v>81.68195020389733</v>
      </c>
      <c r="S91" s="181">
        <f t="shared" si="76"/>
        <v>3</v>
      </c>
      <c r="T91" s="612"/>
      <c r="U91" s="187">
        <v>22</v>
      </c>
      <c r="V91" s="187">
        <v>1797.2029044857411</v>
      </c>
      <c r="W91" s="184">
        <f t="shared" si="73"/>
        <v>81.691041112988231</v>
      </c>
      <c r="X91" s="181">
        <f t="shared" si="77"/>
        <v>3</v>
      </c>
      <c r="Y91" s="612"/>
      <c r="Z91" s="187">
        <v>22</v>
      </c>
      <c r="AA91" s="187">
        <v>1797.2029044857413</v>
      </c>
      <c r="AB91" s="184">
        <f t="shared" si="78"/>
        <v>81.691041112988245</v>
      </c>
      <c r="AC91" s="181">
        <f t="shared" si="79"/>
        <v>3</v>
      </c>
      <c r="AD91" s="612"/>
      <c r="AE91" s="187">
        <v>22</v>
      </c>
      <c r="AF91" s="187">
        <v>1797.8029044857412</v>
      </c>
      <c r="AG91" s="184">
        <f t="shared" si="80"/>
        <v>81.718313840260961</v>
      </c>
      <c r="AH91" s="181">
        <f t="shared" si="81"/>
        <v>3</v>
      </c>
      <c r="AI91" s="612"/>
      <c r="AJ91" s="187">
        <v>22</v>
      </c>
      <c r="AK91" s="187">
        <v>1798.0029044857411</v>
      </c>
      <c r="AL91" s="184">
        <f t="shared" si="82"/>
        <v>81.727404749351862</v>
      </c>
      <c r="AM91" s="181">
        <f t="shared" si="83"/>
        <v>3</v>
      </c>
      <c r="AN91" s="612"/>
      <c r="AO91" s="187">
        <v>22</v>
      </c>
      <c r="AP91" s="187">
        <v>1799.5340140253297</v>
      </c>
      <c r="AQ91" s="184">
        <f t="shared" si="84"/>
        <v>81.797000637514984</v>
      </c>
      <c r="AR91" s="181">
        <f t="shared" si="85"/>
        <v>3</v>
      </c>
      <c r="AS91" s="612"/>
      <c r="AT91" s="187">
        <v>22</v>
      </c>
      <c r="AU91" s="187">
        <v>1799.7340140253298</v>
      </c>
      <c r="AV91" s="184">
        <f t="shared" si="86"/>
        <v>81.806091546605899</v>
      </c>
      <c r="AW91" s="181">
        <f t="shared" si="87"/>
        <v>3</v>
      </c>
      <c r="AX91" s="612"/>
    </row>
    <row r="92" spans="2:50" ht="14.25" customHeight="1">
      <c r="B92" s="611"/>
      <c r="C92" s="179">
        <v>6</v>
      </c>
      <c r="D92" s="182" t="s">
        <v>437</v>
      </c>
      <c r="E92" s="179">
        <v>20</v>
      </c>
      <c r="F92" s="179">
        <v>2000</v>
      </c>
      <c r="G92" s="184">
        <f t="shared" si="72"/>
        <v>100</v>
      </c>
      <c r="H92" s="612"/>
      <c r="I92" s="185">
        <f t="shared" si="74"/>
        <v>20</v>
      </c>
      <c r="J92" s="185">
        <f t="shared" si="74"/>
        <v>1797.09388324867</v>
      </c>
      <c r="K92" s="186">
        <f t="shared" si="74"/>
        <v>89.854694162433503</v>
      </c>
      <c r="L92" s="613"/>
      <c r="M92" s="185">
        <f>RANK(K92, K$87:$K$101)</f>
        <v>2</v>
      </c>
      <c r="N92" s="611"/>
      <c r="O92" s="611"/>
      <c r="P92" s="187">
        <v>20</v>
      </c>
      <c r="Q92" s="187">
        <v>1795.3440496233434</v>
      </c>
      <c r="R92" s="184">
        <f t="shared" si="75"/>
        <v>89.767202481167175</v>
      </c>
      <c r="S92" s="181">
        <f t="shared" si="76"/>
        <v>2</v>
      </c>
      <c r="T92" s="612"/>
      <c r="U92" s="187">
        <v>20</v>
      </c>
      <c r="V92" s="187">
        <v>1795.5440496233432</v>
      </c>
      <c r="W92" s="184">
        <f t="shared" si="73"/>
        <v>89.777202481167166</v>
      </c>
      <c r="X92" s="181">
        <f t="shared" si="77"/>
        <v>2</v>
      </c>
      <c r="Y92" s="612"/>
      <c r="Z92" s="187">
        <v>20</v>
      </c>
      <c r="AA92" s="187">
        <v>1795.744049623343</v>
      </c>
      <c r="AB92" s="184">
        <f t="shared" si="78"/>
        <v>89.787202481167157</v>
      </c>
      <c r="AC92" s="181">
        <f t="shared" si="79"/>
        <v>2</v>
      </c>
      <c r="AD92" s="612"/>
      <c r="AE92" s="187">
        <v>20</v>
      </c>
      <c r="AF92" s="187">
        <v>1797.121636426243</v>
      </c>
      <c r="AG92" s="184">
        <f t="shared" si="80"/>
        <v>89.856081821312145</v>
      </c>
      <c r="AH92" s="181">
        <f t="shared" si="81"/>
        <v>2</v>
      </c>
      <c r="AI92" s="612"/>
      <c r="AJ92" s="187">
        <v>20</v>
      </c>
      <c r="AK92" s="187">
        <v>1797.321636426243</v>
      </c>
      <c r="AL92" s="184">
        <f t="shared" si="82"/>
        <v>89.86608182131215</v>
      </c>
      <c r="AM92" s="181">
        <f t="shared" si="83"/>
        <v>2</v>
      </c>
      <c r="AN92" s="612"/>
      <c r="AO92" s="187">
        <v>20</v>
      </c>
      <c r="AP92" s="187">
        <v>1799.1908805090873</v>
      </c>
      <c r="AQ92" s="184">
        <f t="shared" si="84"/>
        <v>89.959544025454363</v>
      </c>
      <c r="AR92" s="181">
        <f t="shared" si="85"/>
        <v>2</v>
      </c>
      <c r="AS92" s="612"/>
      <c r="AT92" s="187">
        <v>20</v>
      </c>
      <c r="AU92" s="187">
        <v>1799.3908805090875</v>
      </c>
      <c r="AV92" s="184">
        <f t="shared" si="86"/>
        <v>89.969544025454383</v>
      </c>
      <c r="AW92" s="181">
        <f t="shared" si="87"/>
        <v>2</v>
      </c>
      <c r="AX92" s="612"/>
    </row>
    <row r="93" spans="2:50" ht="14.25" customHeight="1">
      <c r="B93" s="611"/>
      <c r="C93" s="179">
        <v>7</v>
      </c>
      <c r="D93" s="182" t="s">
        <v>508</v>
      </c>
      <c r="E93" s="179">
        <v>25</v>
      </c>
      <c r="F93" s="179">
        <v>2000</v>
      </c>
      <c r="G93" s="184">
        <f t="shared" si="72"/>
        <v>80</v>
      </c>
      <c r="H93" s="612"/>
      <c r="I93" s="185">
        <f t="shared" si="74"/>
        <v>25</v>
      </c>
      <c r="J93" s="185">
        <f t="shared" si="74"/>
        <v>1798.3579812124076</v>
      </c>
      <c r="K93" s="186">
        <f t="shared" si="74"/>
        <v>71.934319248496294</v>
      </c>
      <c r="L93" s="613"/>
      <c r="M93" s="185">
        <f>RANK(K93, K$87:$K$101)</f>
        <v>9</v>
      </c>
      <c r="N93" s="611"/>
      <c r="O93" s="611"/>
      <c r="P93" s="187">
        <v>25</v>
      </c>
      <c r="Q93" s="187">
        <v>1796.6925320816308</v>
      </c>
      <c r="R93" s="184">
        <f t="shared" si="75"/>
        <v>71.867701283265234</v>
      </c>
      <c r="S93" s="181">
        <f t="shared" si="76"/>
        <v>9</v>
      </c>
      <c r="T93" s="612"/>
      <c r="U93" s="187">
        <v>25</v>
      </c>
      <c r="V93" s="187">
        <v>1797.0925320816311</v>
      </c>
      <c r="W93" s="184">
        <f t="shared" si="73"/>
        <v>71.883701283265239</v>
      </c>
      <c r="X93" s="181">
        <f t="shared" si="77"/>
        <v>9</v>
      </c>
      <c r="Y93" s="612"/>
      <c r="Z93" s="187">
        <v>25</v>
      </c>
      <c r="AA93" s="187">
        <v>1797.292532081631</v>
      </c>
      <c r="AB93" s="184">
        <f t="shared" si="78"/>
        <v>71.891701283265235</v>
      </c>
      <c r="AC93" s="181">
        <f t="shared" si="79"/>
        <v>9</v>
      </c>
      <c r="AD93" s="612"/>
      <c r="AE93" s="187">
        <v>25</v>
      </c>
      <c r="AF93" s="187">
        <v>1797.492532081631</v>
      </c>
      <c r="AG93" s="184">
        <f t="shared" si="80"/>
        <v>71.899701283265244</v>
      </c>
      <c r="AH93" s="181">
        <f t="shared" si="81"/>
        <v>9</v>
      </c>
      <c r="AI93" s="612"/>
      <c r="AJ93" s="187">
        <v>25</v>
      </c>
      <c r="AK93" s="187">
        <v>1797.8925320816309</v>
      </c>
      <c r="AL93" s="184">
        <f t="shared" si="82"/>
        <v>71.915701283265236</v>
      </c>
      <c r="AM93" s="181">
        <f t="shared" si="83"/>
        <v>9</v>
      </c>
      <c r="AN93" s="612"/>
      <c r="AO93" s="187">
        <v>25</v>
      </c>
      <c r="AP93" s="187">
        <v>1800.8216040393497</v>
      </c>
      <c r="AQ93" s="184">
        <f t="shared" si="84"/>
        <v>72.032864161573983</v>
      </c>
      <c r="AR93" s="181">
        <f t="shared" si="85"/>
        <v>9</v>
      </c>
      <c r="AS93" s="612"/>
      <c r="AT93" s="187">
        <v>25</v>
      </c>
      <c r="AU93" s="187">
        <v>1801.2216040393496</v>
      </c>
      <c r="AV93" s="184">
        <f t="shared" si="86"/>
        <v>72.048864161573988</v>
      </c>
      <c r="AW93" s="181">
        <f t="shared" si="87"/>
        <v>9</v>
      </c>
      <c r="AX93" s="612"/>
    </row>
    <row r="94" spans="2:50" ht="14.25" customHeight="1">
      <c r="B94" s="611"/>
      <c r="C94" s="179">
        <v>8</v>
      </c>
      <c r="D94" s="182" t="s">
        <v>580</v>
      </c>
      <c r="E94" s="179">
        <v>20</v>
      </c>
      <c r="F94" s="179">
        <v>2000</v>
      </c>
      <c r="G94" s="184">
        <f t="shared" si="72"/>
        <v>100</v>
      </c>
      <c r="H94" s="612"/>
      <c r="I94" s="185">
        <f t="shared" si="74"/>
        <v>20</v>
      </c>
      <c r="J94" s="185">
        <f t="shared" si="74"/>
        <v>1799.6744781929467</v>
      </c>
      <c r="K94" s="186">
        <f t="shared" si="74"/>
        <v>89.983723909647338</v>
      </c>
      <c r="L94" s="613"/>
      <c r="M94" s="185">
        <f>RANK(K94, K$87:$K$101)</f>
        <v>1</v>
      </c>
      <c r="N94" s="611"/>
      <c r="O94" s="611"/>
      <c r="P94" s="187">
        <v>20</v>
      </c>
      <c r="Q94" s="187">
        <v>1798.6459067643755</v>
      </c>
      <c r="R94" s="184">
        <f t="shared" si="75"/>
        <v>89.932295338218779</v>
      </c>
      <c r="S94" s="181">
        <f t="shared" si="76"/>
        <v>1</v>
      </c>
      <c r="T94" s="612"/>
      <c r="U94" s="187">
        <v>20</v>
      </c>
      <c r="V94" s="187">
        <v>1798.8459067643753</v>
      </c>
      <c r="W94" s="184">
        <f t="shared" si="73"/>
        <v>89.94229533821877</v>
      </c>
      <c r="X94" s="181">
        <f t="shared" si="77"/>
        <v>1</v>
      </c>
      <c r="Y94" s="612"/>
      <c r="Z94" s="187">
        <v>20</v>
      </c>
      <c r="AA94" s="187">
        <v>1799.2459067643754</v>
      </c>
      <c r="AB94" s="184">
        <f t="shared" si="78"/>
        <v>89.962295338218766</v>
      </c>
      <c r="AC94" s="181">
        <f t="shared" si="79"/>
        <v>1</v>
      </c>
      <c r="AD94" s="612"/>
      <c r="AE94" s="187">
        <v>20</v>
      </c>
      <c r="AF94" s="187">
        <v>1799.8459067643753</v>
      </c>
      <c r="AG94" s="184">
        <f t="shared" si="80"/>
        <v>89.992295338218767</v>
      </c>
      <c r="AH94" s="181">
        <f t="shared" si="81"/>
        <v>1</v>
      </c>
      <c r="AI94" s="612"/>
      <c r="AJ94" s="187">
        <v>20</v>
      </c>
      <c r="AK94" s="187">
        <v>1800.2459067643754</v>
      </c>
      <c r="AL94" s="184">
        <f t="shared" si="82"/>
        <v>90.012295338218763</v>
      </c>
      <c r="AM94" s="181">
        <f t="shared" si="83"/>
        <v>1</v>
      </c>
      <c r="AN94" s="612"/>
      <c r="AO94" s="187">
        <v>20</v>
      </c>
      <c r="AP94" s="187">
        <v>1800.2459067643751</v>
      </c>
      <c r="AQ94" s="184">
        <f t="shared" si="84"/>
        <v>90.012295338218763</v>
      </c>
      <c r="AR94" s="181">
        <f t="shared" si="85"/>
        <v>1</v>
      </c>
      <c r="AS94" s="612"/>
      <c r="AT94" s="187">
        <v>20</v>
      </c>
      <c r="AU94" s="187">
        <v>1800.6459067643752</v>
      </c>
      <c r="AV94" s="184">
        <f t="shared" si="86"/>
        <v>90.032295338218759</v>
      </c>
      <c r="AW94" s="181">
        <f t="shared" si="87"/>
        <v>1</v>
      </c>
      <c r="AX94" s="612"/>
    </row>
    <row r="95" spans="2:50" ht="14.25" customHeight="1">
      <c r="B95" s="611"/>
      <c r="C95" s="179">
        <v>9</v>
      </c>
      <c r="D95" s="182" t="s">
        <v>710</v>
      </c>
      <c r="E95" s="179">
        <v>24</v>
      </c>
      <c r="F95" s="179">
        <v>2000</v>
      </c>
      <c r="G95" s="184">
        <f t="shared" si="72"/>
        <v>83.333333333333329</v>
      </c>
      <c r="H95" s="612"/>
      <c r="I95" s="185">
        <f t="shared" si="74"/>
        <v>24</v>
      </c>
      <c r="J95" s="185">
        <f t="shared" si="74"/>
        <v>1799.0720951222054</v>
      </c>
      <c r="K95" s="186">
        <f t="shared" si="74"/>
        <v>74.961337296758558</v>
      </c>
      <c r="L95" s="613"/>
      <c r="M95" s="185">
        <f>RANK(K95, K$87:$K$101)</f>
        <v>8</v>
      </c>
      <c r="N95" s="611"/>
      <c r="O95" s="611"/>
      <c r="P95" s="187">
        <v>24</v>
      </c>
      <c r="Q95" s="187">
        <v>1797.4272631081922</v>
      </c>
      <c r="R95" s="184">
        <f t="shared" si="75"/>
        <v>74.892802629508012</v>
      </c>
      <c r="S95" s="181">
        <f t="shared" si="76"/>
        <v>8</v>
      </c>
      <c r="T95" s="612"/>
      <c r="U95" s="187">
        <v>24</v>
      </c>
      <c r="V95" s="187">
        <v>1798.0272631081925</v>
      </c>
      <c r="W95" s="184">
        <f t="shared" si="73"/>
        <v>74.917802629508017</v>
      </c>
      <c r="X95" s="181">
        <f t="shared" si="77"/>
        <v>8</v>
      </c>
      <c r="Y95" s="612"/>
      <c r="Z95" s="187">
        <v>24</v>
      </c>
      <c r="AA95" s="187">
        <v>1798.2272631081928</v>
      </c>
      <c r="AB95" s="184">
        <f t="shared" si="78"/>
        <v>74.926135962841371</v>
      </c>
      <c r="AC95" s="181">
        <f t="shared" si="79"/>
        <v>8</v>
      </c>
      <c r="AD95" s="612"/>
      <c r="AE95" s="187">
        <v>24</v>
      </c>
      <c r="AF95" s="187">
        <v>1798.6272631081929</v>
      </c>
      <c r="AG95" s="184">
        <f t="shared" si="80"/>
        <v>74.942802629508037</v>
      </c>
      <c r="AH95" s="181">
        <f t="shared" si="81"/>
        <v>8</v>
      </c>
      <c r="AI95" s="612"/>
      <c r="AJ95" s="187">
        <v>24</v>
      </c>
      <c r="AK95" s="187">
        <v>1798.8272631081929</v>
      </c>
      <c r="AL95" s="184">
        <f t="shared" si="82"/>
        <v>74.951135962841377</v>
      </c>
      <c r="AM95" s="181">
        <f t="shared" si="83"/>
        <v>8</v>
      </c>
      <c r="AN95" s="612"/>
      <c r="AO95" s="187">
        <v>24</v>
      </c>
      <c r="AP95" s="187">
        <v>1801.0841751572375</v>
      </c>
      <c r="AQ95" s="184">
        <f t="shared" si="84"/>
        <v>75.045173964884896</v>
      </c>
      <c r="AR95" s="181">
        <f t="shared" si="85"/>
        <v>8</v>
      </c>
      <c r="AS95" s="612"/>
      <c r="AT95" s="187">
        <v>24</v>
      </c>
      <c r="AU95" s="187">
        <v>1801.2841751572373</v>
      </c>
      <c r="AV95" s="184">
        <f t="shared" si="86"/>
        <v>75.053507298218221</v>
      </c>
      <c r="AW95" s="181">
        <f t="shared" si="87"/>
        <v>8</v>
      </c>
      <c r="AX95" s="612"/>
    </row>
    <row r="96" spans="2:50" ht="14.25" customHeight="1">
      <c r="B96" s="611"/>
      <c r="C96" s="179">
        <v>10</v>
      </c>
      <c r="D96" s="182"/>
      <c r="E96" s="179"/>
      <c r="F96" s="179"/>
      <c r="G96" s="184"/>
      <c r="H96" s="612"/>
      <c r="I96" s="185"/>
      <c r="J96" s="185"/>
      <c r="K96" s="186"/>
      <c r="L96" s="613"/>
      <c r="M96" s="185"/>
      <c r="N96" s="611"/>
      <c r="O96" s="611"/>
      <c r="P96" s="187"/>
      <c r="Q96" s="187"/>
      <c r="R96" s="184"/>
      <c r="S96" s="181"/>
      <c r="T96" s="612"/>
      <c r="U96" s="187"/>
      <c r="V96" s="187"/>
      <c r="W96" s="184"/>
      <c r="X96" s="181"/>
      <c r="Y96" s="612"/>
      <c r="Z96" s="187"/>
      <c r="AA96" s="187"/>
      <c r="AB96" s="184"/>
      <c r="AC96" s="181"/>
      <c r="AD96" s="612"/>
      <c r="AE96" s="187"/>
      <c r="AF96" s="187"/>
      <c r="AG96" s="184"/>
      <c r="AH96" s="181"/>
      <c r="AI96" s="612"/>
      <c r="AJ96" s="187"/>
      <c r="AK96" s="187"/>
      <c r="AL96" s="184"/>
      <c r="AM96" s="181"/>
      <c r="AN96" s="612"/>
      <c r="AO96" s="187"/>
      <c r="AP96" s="187"/>
      <c r="AQ96" s="184"/>
      <c r="AR96" s="181"/>
      <c r="AS96" s="612"/>
      <c r="AT96" s="187"/>
      <c r="AU96" s="187"/>
      <c r="AV96" s="184"/>
      <c r="AW96" s="181"/>
      <c r="AX96" s="612"/>
    </row>
    <row r="97" spans="2:50" ht="14.25" customHeight="1">
      <c r="B97" s="611"/>
      <c r="C97" s="179">
        <v>11</v>
      </c>
      <c r="D97" s="182"/>
      <c r="E97" s="179"/>
      <c r="F97" s="179"/>
      <c r="G97" s="184"/>
      <c r="H97" s="612"/>
      <c r="I97" s="185"/>
      <c r="J97" s="185"/>
      <c r="K97" s="186"/>
      <c r="L97" s="613"/>
      <c r="M97" s="185"/>
      <c r="N97" s="611"/>
      <c r="O97" s="611"/>
      <c r="P97" s="187"/>
      <c r="Q97" s="187"/>
      <c r="R97" s="184"/>
      <c r="S97" s="181"/>
      <c r="T97" s="612"/>
      <c r="U97" s="187"/>
      <c r="V97" s="187"/>
      <c r="W97" s="184"/>
      <c r="X97" s="181"/>
      <c r="Y97" s="612"/>
      <c r="Z97" s="187"/>
      <c r="AA97" s="187"/>
      <c r="AB97" s="184"/>
      <c r="AC97" s="181"/>
      <c r="AD97" s="612"/>
      <c r="AE97" s="187"/>
      <c r="AF97" s="187"/>
      <c r="AG97" s="184"/>
      <c r="AH97" s="181"/>
      <c r="AI97" s="612"/>
      <c r="AJ97" s="187"/>
      <c r="AK97" s="187"/>
      <c r="AL97" s="184"/>
      <c r="AM97" s="181"/>
      <c r="AN97" s="612"/>
      <c r="AO97" s="187"/>
      <c r="AP97" s="187"/>
      <c r="AQ97" s="184"/>
      <c r="AR97" s="181"/>
      <c r="AS97" s="612"/>
      <c r="AT97" s="187"/>
      <c r="AU97" s="187"/>
      <c r="AV97" s="184"/>
      <c r="AW97" s="181"/>
      <c r="AX97" s="612"/>
    </row>
    <row r="98" spans="2:50" ht="14.25" customHeight="1">
      <c r="B98" s="611"/>
      <c r="C98" s="179">
        <v>12</v>
      </c>
      <c r="D98" s="182"/>
      <c r="E98" s="179"/>
      <c r="F98" s="179"/>
      <c r="G98" s="184"/>
      <c r="H98" s="612"/>
      <c r="I98" s="185"/>
      <c r="J98" s="185"/>
      <c r="K98" s="186"/>
      <c r="L98" s="613"/>
      <c r="M98" s="185"/>
      <c r="N98" s="611"/>
      <c r="O98" s="611"/>
      <c r="P98" s="187"/>
      <c r="Q98" s="187"/>
      <c r="R98" s="184"/>
      <c r="S98" s="181"/>
      <c r="T98" s="612"/>
      <c r="U98" s="187"/>
      <c r="V98" s="187"/>
      <c r="W98" s="184"/>
      <c r="X98" s="181"/>
      <c r="Y98" s="612"/>
      <c r="Z98" s="187"/>
      <c r="AA98" s="187"/>
      <c r="AB98" s="184"/>
      <c r="AC98" s="181"/>
      <c r="AD98" s="612"/>
      <c r="AE98" s="187"/>
      <c r="AF98" s="187"/>
      <c r="AG98" s="184"/>
      <c r="AH98" s="181"/>
      <c r="AI98" s="612"/>
      <c r="AJ98" s="187"/>
      <c r="AK98" s="187"/>
      <c r="AL98" s="184"/>
      <c r="AM98" s="181"/>
      <c r="AN98" s="612"/>
      <c r="AO98" s="187"/>
      <c r="AP98" s="187"/>
      <c r="AQ98" s="184"/>
      <c r="AR98" s="181"/>
      <c r="AS98" s="612"/>
      <c r="AT98" s="187"/>
      <c r="AU98" s="187"/>
      <c r="AV98" s="184"/>
      <c r="AW98" s="181"/>
      <c r="AX98" s="612"/>
    </row>
    <row r="99" spans="2:50" ht="14.25" customHeight="1">
      <c r="B99" s="611"/>
      <c r="C99" s="179">
        <v>13</v>
      </c>
      <c r="D99" s="182"/>
      <c r="E99" s="179"/>
      <c r="F99" s="179"/>
      <c r="G99" s="184"/>
      <c r="H99" s="612"/>
      <c r="I99" s="185"/>
      <c r="J99" s="185"/>
      <c r="K99" s="186"/>
      <c r="L99" s="613"/>
      <c r="M99" s="185"/>
      <c r="N99" s="611"/>
      <c r="O99" s="611"/>
      <c r="P99" s="187"/>
      <c r="Q99" s="187"/>
      <c r="R99" s="184"/>
      <c r="S99" s="181"/>
      <c r="T99" s="612"/>
      <c r="U99" s="187"/>
      <c r="V99" s="187"/>
      <c r="W99" s="184"/>
      <c r="X99" s="181"/>
      <c r="Y99" s="612"/>
      <c r="Z99" s="187"/>
      <c r="AA99" s="187"/>
      <c r="AB99" s="184"/>
      <c r="AC99" s="181"/>
      <c r="AD99" s="612"/>
      <c r="AE99" s="187"/>
      <c r="AF99" s="187"/>
      <c r="AG99" s="184"/>
      <c r="AH99" s="181"/>
      <c r="AI99" s="612"/>
      <c r="AJ99" s="187"/>
      <c r="AK99" s="187"/>
      <c r="AL99" s="184"/>
      <c r="AM99" s="181"/>
      <c r="AN99" s="612"/>
      <c r="AO99" s="187"/>
      <c r="AP99" s="187"/>
      <c r="AQ99" s="184"/>
      <c r="AR99" s="181"/>
      <c r="AS99" s="612"/>
      <c r="AT99" s="187"/>
      <c r="AU99" s="187"/>
      <c r="AV99" s="184"/>
      <c r="AW99" s="181"/>
      <c r="AX99" s="612"/>
    </row>
    <row r="100" spans="2:50" ht="14.25" customHeight="1">
      <c r="B100" s="611"/>
      <c r="C100" s="179">
        <v>14</v>
      </c>
      <c r="D100" s="182"/>
      <c r="E100" s="179"/>
      <c r="F100" s="179"/>
      <c r="G100" s="184"/>
      <c r="H100" s="612"/>
      <c r="I100" s="185"/>
      <c r="J100" s="185"/>
      <c r="K100" s="186"/>
      <c r="L100" s="613"/>
      <c r="M100" s="185"/>
      <c r="N100" s="611"/>
      <c r="O100" s="611"/>
      <c r="P100" s="187"/>
      <c r="Q100" s="187"/>
      <c r="R100" s="184"/>
      <c r="S100" s="181"/>
      <c r="T100" s="612"/>
      <c r="U100" s="187"/>
      <c r="V100" s="187"/>
      <c r="W100" s="184"/>
      <c r="X100" s="181"/>
      <c r="Y100" s="612"/>
      <c r="Z100" s="187"/>
      <c r="AA100" s="187"/>
      <c r="AB100" s="184"/>
      <c r="AC100" s="181"/>
      <c r="AD100" s="612"/>
      <c r="AE100" s="187"/>
      <c r="AF100" s="187"/>
      <c r="AG100" s="184"/>
      <c r="AH100" s="181"/>
      <c r="AI100" s="612"/>
      <c r="AJ100" s="187"/>
      <c r="AK100" s="187"/>
      <c r="AL100" s="184"/>
      <c r="AM100" s="181"/>
      <c r="AN100" s="612"/>
      <c r="AO100" s="187"/>
      <c r="AP100" s="187"/>
      <c r="AQ100" s="184"/>
      <c r="AR100" s="181"/>
      <c r="AS100" s="612"/>
      <c r="AT100" s="187"/>
      <c r="AU100" s="187"/>
      <c r="AV100" s="184"/>
      <c r="AW100" s="181"/>
      <c r="AX100" s="612"/>
    </row>
    <row r="101" spans="2:50" ht="14.25" customHeight="1">
      <c r="B101" s="611"/>
      <c r="C101" s="179">
        <v>15</v>
      </c>
      <c r="D101" s="182"/>
      <c r="E101" s="179"/>
      <c r="F101" s="179"/>
      <c r="G101" s="184"/>
      <c r="H101" s="612"/>
      <c r="I101" s="185"/>
      <c r="J101" s="185"/>
      <c r="K101" s="186"/>
      <c r="L101" s="613"/>
      <c r="M101" s="185"/>
      <c r="N101" s="611"/>
      <c r="O101" s="611"/>
      <c r="P101" s="187"/>
      <c r="Q101" s="187"/>
      <c r="R101" s="184"/>
      <c r="S101" s="181"/>
      <c r="T101" s="612"/>
      <c r="U101" s="187"/>
      <c r="V101" s="187"/>
      <c r="W101" s="184"/>
      <c r="X101" s="181"/>
      <c r="Y101" s="612"/>
      <c r="Z101" s="187"/>
      <c r="AA101" s="187"/>
      <c r="AB101" s="184"/>
      <c r="AC101" s="181"/>
      <c r="AD101" s="612"/>
      <c r="AE101" s="187"/>
      <c r="AF101" s="187"/>
      <c r="AG101" s="184"/>
      <c r="AH101" s="181"/>
      <c r="AI101" s="612"/>
      <c r="AJ101" s="187"/>
      <c r="AK101" s="187"/>
      <c r="AL101" s="184"/>
      <c r="AM101" s="181"/>
      <c r="AN101" s="612"/>
      <c r="AO101" s="187"/>
      <c r="AP101" s="187"/>
      <c r="AQ101" s="184"/>
      <c r="AR101" s="181"/>
      <c r="AS101" s="612"/>
      <c r="AT101" s="187"/>
      <c r="AU101" s="187"/>
      <c r="AV101" s="184"/>
      <c r="AW101" s="181"/>
      <c r="AX101" s="612"/>
    </row>
  </sheetData>
  <mergeCells count="295"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AE45:AH45"/>
    <mergeCell ref="AJ45:AM45"/>
    <mergeCell ref="AO45:AR45"/>
    <mergeCell ref="AT45:AW45"/>
    <mergeCell ref="M44:M46"/>
    <mergeCell ref="N44:N61"/>
    <mergeCell ref="O44:O61"/>
    <mergeCell ref="P44:S44"/>
    <mergeCell ref="T44:T46"/>
    <mergeCell ref="U44:X44"/>
    <mergeCell ref="Y44:Y46"/>
    <mergeCell ref="AX47:AX61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I44:K44"/>
    <mergeCell ref="L44:L46"/>
    <mergeCell ref="Z44:AC44"/>
    <mergeCell ref="AD44:AD46"/>
    <mergeCell ref="Z45:AC45"/>
    <mergeCell ref="B42:M43"/>
    <mergeCell ref="N42:N43"/>
    <mergeCell ref="O42:O43"/>
    <mergeCell ref="P42:T42"/>
    <mergeCell ref="U42:Y42"/>
    <mergeCell ref="Z42:AD42"/>
    <mergeCell ref="B44:B46"/>
    <mergeCell ref="C44:D46"/>
    <mergeCell ref="E44:G44"/>
    <mergeCell ref="H44:H46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tabColor rgb="FFFFFFCC"/>
  </sheetPr>
  <dimension ref="A1:AX101"/>
  <sheetViews>
    <sheetView zoomScaleNormal="100" workbookViewId="0">
      <pane xSplit="13" ySplit="1" topLeftCell="N69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P83" sqref="P83:T83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456" t="s">
        <v>720</v>
      </c>
      <c r="C1" s="174"/>
    </row>
    <row r="2" spans="1:50" ht="14.25" customHeight="1">
      <c r="B2" s="640" t="s">
        <v>709</v>
      </c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2"/>
      <c r="N2" s="645" t="s">
        <v>363</v>
      </c>
      <c r="O2" s="630" t="s">
        <v>105</v>
      </c>
      <c r="P2" s="632">
        <v>46203</v>
      </c>
      <c r="Q2" s="633"/>
      <c r="R2" s="633"/>
      <c r="S2" s="633"/>
      <c r="T2" s="633"/>
      <c r="U2" s="634">
        <f>P2+1</f>
        <v>46204</v>
      </c>
      <c r="V2" s="635"/>
      <c r="W2" s="635"/>
      <c r="X2" s="635"/>
      <c r="Y2" s="635"/>
      <c r="Z2" s="632">
        <f t="shared" ref="Z2" si="0">U2+1</f>
        <v>46205</v>
      </c>
      <c r="AA2" s="633"/>
      <c r="AB2" s="633"/>
      <c r="AC2" s="633"/>
      <c r="AD2" s="633"/>
      <c r="AE2" s="634">
        <f t="shared" ref="AE2" si="1">Z2+1</f>
        <v>46206</v>
      </c>
      <c r="AF2" s="635"/>
      <c r="AG2" s="635"/>
      <c r="AH2" s="635"/>
      <c r="AI2" s="635"/>
      <c r="AJ2" s="616">
        <f t="shared" ref="AJ2" si="2">AE2+1</f>
        <v>46207</v>
      </c>
      <c r="AK2" s="617"/>
      <c r="AL2" s="617"/>
      <c r="AM2" s="617"/>
      <c r="AN2" s="618"/>
      <c r="AO2" s="634">
        <f t="shared" ref="AO2" si="3">AJ2+1</f>
        <v>46208</v>
      </c>
      <c r="AP2" s="635"/>
      <c r="AQ2" s="635"/>
      <c r="AR2" s="635"/>
      <c r="AS2" s="635"/>
      <c r="AT2" s="616">
        <f t="shared" ref="AT2" si="4">AO2+1</f>
        <v>46209</v>
      </c>
      <c r="AU2" s="617"/>
      <c r="AV2" s="617"/>
      <c r="AW2" s="617"/>
      <c r="AX2" s="618"/>
    </row>
    <row r="3" spans="1:50" ht="14.25" customHeight="1">
      <c r="B3" s="643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4"/>
      <c r="N3" s="646"/>
      <c r="O3" s="631"/>
      <c r="P3" s="619">
        <v>46196</v>
      </c>
      <c r="Q3" s="619"/>
      <c r="R3" s="619"/>
      <c r="S3" s="619"/>
      <c r="T3" s="619"/>
      <c r="U3" s="620">
        <v>46197</v>
      </c>
      <c r="V3" s="620"/>
      <c r="W3" s="620"/>
      <c r="X3" s="620"/>
      <c r="Y3" s="620"/>
      <c r="Z3" s="619">
        <v>46198</v>
      </c>
      <c r="AA3" s="619"/>
      <c r="AB3" s="619"/>
      <c r="AC3" s="619"/>
      <c r="AD3" s="619"/>
      <c r="AE3" s="620">
        <v>46199</v>
      </c>
      <c r="AF3" s="620"/>
      <c r="AG3" s="620"/>
      <c r="AH3" s="620"/>
      <c r="AI3" s="620"/>
      <c r="AJ3" s="621">
        <v>46200</v>
      </c>
      <c r="AK3" s="622"/>
      <c r="AL3" s="622"/>
      <c r="AM3" s="622"/>
      <c r="AN3" s="623"/>
      <c r="AO3" s="620">
        <v>46201</v>
      </c>
      <c r="AP3" s="620"/>
      <c r="AQ3" s="620"/>
      <c r="AR3" s="620"/>
      <c r="AS3" s="620"/>
      <c r="AT3" s="621">
        <v>46202</v>
      </c>
      <c r="AU3" s="622"/>
      <c r="AV3" s="622"/>
      <c r="AW3" s="622"/>
      <c r="AX3" s="623"/>
    </row>
    <row r="4" spans="1:50" ht="14.25" customHeight="1">
      <c r="B4" s="611" t="s">
        <v>162</v>
      </c>
      <c r="C4" s="611" t="s">
        <v>157</v>
      </c>
      <c r="D4" s="611"/>
      <c r="E4" s="611" t="s">
        <v>158</v>
      </c>
      <c r="F4" s="611"/>
      <c r="G4" s="611"/>
      <c r="H4" s="611" t="s">
        <v>163</v>
      </c>
      <c r="I4" s="615" t="s">
        <v>364</v>
      </c>
      <c r="J4" s="615"/>
      <c r="K4" s="615"/>
      <c r="L4" s="615" t="s">
        <v>163</v>
      </c>
      <c r="M4" s="615" t="s">
        <v>165</v>
      </c>
      <c r="N4" s="611"/>
      <c r="O4" s="611" t="s">
        <v>164</v>
      </c>
      <c r="P4" s="611" t="s">
        <v>160</v>
      </c>
      <c r="Q4" s="611"/>
      <c r="R4" s="611"/>
      <c r="S4" s="611"/>
      <c r="T4" s="611" t="s">
        <v>163</v>
      </c>
      <c r="U4" s="611" t="s">
        <v>160</v>
      </c>
      <c r="V4" s="611"/>
      <c r="W4" s="611"/>
      <c r="X4" s="611"/>
      <c r="Y4" s="611" t="s">
        <v>163</v>
      </c>
      <c r="Z4" s="611" t="s">
        <v>160</v>
      </c>
      <c r="AA4" s="611"/>
      <c r="AB4" s="611"/>
      <c r="AC4" s="611"/>
      <c r="AD4" s="611" t="s">
        <v>163</v>
      </c>
      <c r="AE4" s="611" t="s">
        <v>160</v>
      </c>
      <c r="AF4" s="611"/>
      <c r="AG4" s="611"/>
      <c r="AH4" s="611"/>
      <c r="AI4" s="611" t="s">
        <v>163</v>
      </c>
      <c r="AJ4" s="611" t="s">
        <v>160</v>
      </c>
      <c r="AK4" s="611"/>
      <c r="AL4" s="611"/>
      <c r="AM4" s="611"/>
      <c r="AN4" s="611" t="s">
        <v>163</v>
      </c>
      <c r="AO4" s="611" t="s">
        <v>160</v>
      </c>
      <c r="AP4" s="611"/>
      <c r="AQ4" s="611"/>
      <c r="AR4" s="611"/>
      <c r="AS4" s="611" t="s">
        <v>163</v>
      </c>
      <c r="AT4" s="611" t="s">
        <v>160</v>
      </c>
      <c r="AU4" s="611"/>
      <c r="AV4" s="611"/>
      <c r="AW4" s="611"/>
      <c r="AX4" s="611" t="s">
        <v>163</v>
      </c>
    </row>
    <row r="5" spans="1:50" ht="14.25" customHeight="1">
      <c r="B5" s="611"/>
      <c r="C5" s="611"/>
      <c r="D5" s="611"/>
      <c r="E5" s="611" t="s">
        <v>365</v>
      </c>
      <c r="F5" s="611"/>
      <c r="G5" s="611"/>
      <c r="H5" s="611"/>
      <c r="I5" s="615" t="s">
        <v>365</v>
      </c>
      <c r="J5" s="615"/>
      <c r="K5" s="615"/>
      <c r="L5" s="615"/>
      <c r="M5" s="615"/>
      <c r="N5" s="611"/>
      <c r="O5" s="611"/>
      <c r="P5" s="611" t="s">
        <v>366</v>
      </c>
      <c r="Q5" s="611"/>
      <c r="R5" s="611"/>
      <c r="S5" s="611"/>
      <c r="T5" s="611"/>
      <c r="U5" s="611" t="s">
        <v>366</v>
      </c>
      <c r="V5" s="611"/>
      <c r="W5" s="611"/>
      <c r="X5" s="611"/>
      <c r="Y5" s="611"/>
      <c r="Z5" s="611" t="s">
        <v>366</v>
      </c>
      <c r="AA5" s="611"/>
      <c r="AB5" s="611"/>
      <c r="AC5" s="611"/>
      <c r="AD5" s="611"/>
      <c r="AE5" s="611" t="s">
        <v>366</v>
      </c>
      <c r="AF5" s="611"/>
      <c r="AG5" s="611"/>
      <c r="AH5" s="611"/>
      <c r="AI5" s="611"/>
      <c r="AJ5" s="611" t="s">
        <v>366</v>
      </c>
      <c r="AK5" s="611"/>
      <c r="AL5" s="611"/>
      <c r="AM5" s="611"/>
      <c r="AN5" s="611"/>
      <c r="AO5" s="611" t="s">
        <v>366</v>
      </c>
      <c r="AP5" s="611"/>
      <c r="AQ5" s="611"/>
      <c r="AR5" s="611"/>
      <c r="AS5" s="611"/>
      <c r="AT5" s="611" t="s">
        <v>366</v>
      </c>
      <c r="AU5" s="611"/>
      <c r="AV5" s="611"/>
      <c r="AW5" s="611"/>
      <c r="AX5" s="611"/>
    </row>
    <row r="6" spans="1:50" ht="14.25" customHeight="1">
      <c r="B6" s="611"/>
      <c r="C6" s="611"/>
      <c r="D6" s="611"/>
      <c r="E6" s="179" t="s">
        <v>159</v>
      </c>
      <c r="F6" s="179" t="s">
        <v>367</v>
      </c>
      <c r="G6" s="179" t="s">
        <v>161</v>
      </c>
      <c r="H6" s="611"/>
      <c r="I6" s="180" t="s">
        <v>159</v>
      </c>
      <c r="J6" s="180" t="s">
        <v>367</v>
      </c>
      <c r="K6" s="180" t="s">
        <v>161</v>
      </c>
      <c r="L6" s="615"/>
      <c r="M6" s="615"/>
      <c r="N6" s="611"/>
      <c r="O6" s="611"/>
      <c r="P6" s="179" t="s">
        <v>159</v>
      </c>
      <c r="Q6" s="179" t="s">
        <v>367</v>
      </c>
      <c r="R6" s="179" t="s">
        <v>161</v>
      </c>
      <c r="S6" s="181" t="s">
        <v>165</v>
      </c>
      <c r="T6" s="611"/>
      <c r="U6" s="179" t="s">
        <v>159</v>
      </c>
      <c r="V6" s="179" t="s">
        <v>367</v>
      </c>
      <c r="W6" s="179" t="s">
        <v>161</v>
      </c>
      <c r="X6" s="181" t="s">
        <v>165</v>
      </c>
      <c r="Y6" s="611"/>
      <c r="Z6" s="179" t="s">
        <v>159</v>
      </c>
      <c r="AA6" s="179" t="s">
        <v>367</v>
      </c>
      <c r="AB6" s="179" t="s">
        <v>161</v>
      </c>
      <c r="AC6" s="181" t="s">
        <v>165</v>
      </c>
      <c r="AD6" s="611"/>
      <c r="AE6" s="179" t="s">
        <v>159</v>
      </c>
      <c r="AF6" s="179" t="s">
        <v>367</v>
      </c>
      <c r="AG6" s="179" t="s">
        <v>161</v>
      </c>
      <c r="AH6" s="181" t="s">
        <v>165</v>
      </c>
      <c r="AI6" s="611"/>
      <c r="AJ6" s="179" t="s">
        <v>159</v>
      </c>
      <c r="AK6" s="179" t="s">
        <v>367</v>
      </c>
      <c r="AL6" s="179" t="s">
        <v>161</v>
      </c>
      <c r="AM6" s="181" t="s">
        <v>165</v>
      </c>
      <c r="AN6" s="611"/>
      <c r="AO6" s="179" t="s">
        <v>159</v>
      </c>
      <c r="AP6" s="179" t="s">
        <v>367</v>
      </c>
      <c r="AQ6" s="179" t="s">
        <v>161</v>
      </c>
      <c r="AR6" s="181" t="s">
        <v>165</v>
      </c>
      <c r="AS6" s="611"/>
      <c r="AT6" s="179" t="s">
        <v>159</v>
      </c>
      <c r="AU6" s="179" t="s">
        <v>367</v>
      </c>
      <c r="AV6" s="179" t="s">
        <v>161</v>
      </c>
      <c r="AW6" s="181" t="s">
        <v>165</v>
      </c>
      <c r="AX6" s="611"/>
    </row>
    <row r="7" spans="1:50" ht="14.25" customHeight="1">
      <c r="B7" s="611" t="s">
        <v>426</v>
      </c>
      <c r="C7" s="179">
        <v>1</v>
      </c>
      <c r="D7" s="182"/>
      <c r="E7" s="183"/>
      <c r="F7" s="179"/>
      <c r="G7" s="184"/>
      <c r="H7" s="612"/>
      <c r="I7" s="185"/>
      <c r="J7" s="185"/>
      <c r="K7" s="186"/>
      <c r="L7" s="613"/>
      <c r="M7" s="185"/>
      <c r="N7" s="611"/>
      <c r="O7" s="611"/>
      <c r="P7" s="187"/>
      <c r="Q7" s="187"/>
      <c r="R7" s="184"/>
      <c r="S7" s="181"/>
      <c r="T7" s="612"/>
      <c r="U7" s="187"/>
      <c r="V7" s="187"/>
      <c r="W7" s="184"/>
      <c r="X7" s="181"/>
      <c r="Y7" s="612"/>
      <c r="Z7" s="187"/>
      <c r="AA7" s="187"/>
      <c r="AB7" s="184"/>
      <c r="AC7" s="181"/>
      <c r="AD7" s="612"/>
      <c r="AE7" s="187"/>
      <c r="AF7" s="187"/>
      <c r="AG7" s="184"/>
      <c r="AH7" s="181"/>
      <c r="AI7" s="612"/>
      <c r="AJ7" s="187"/>
      <c r="AK7" s="187"/>
      <c r="AL7" s="184"/>
      <c r="AM7" s="181"/>
      <c r="AN7" s="612"/>
      <c r="AO7" s="187"/>
      <c r="AP7" s="187"/>
      <c r="AQ7" s="184"/>
      <c r="AR7" s="181"/>
      <c r="AS7" s="612"/>
      <c r="AT7" s="187"/>
      <c r="AU7" s="187"/>
      <c r="AV7" s="184"/>
      <c r="AW7" s="181"/>
      <c r="AX7" s="612"/>
    </row>
    <row r="8" spans="1:50" ht="14.25" customHeight="1">
      <c r="B8" s="611"/>
      <c r="C8" s="179">
        <v>2</v>
      </c>
      <c r="D8" s="182"/>
      <c r="E8" s="179"/>
      <c r="F8" s="179"/>
      <c r="G8" s="184"/>
      <c r="H8" s="612"/>
      <c r="I8" s="185"/>
      <c r="J8" s="185"/>
      <c r="K8" s="186"/>
      <c r="L8" s="613"/>
      <c r="M8" s="185"/>
      <c r="N8" s="611"/>
      <c r="O8" s="611"/>
      <c r="P8" s="187"/>
      <c r="Q8" s="187"/>
      <c r="R8" s="184"/>
      <c r="S8" s="181"/>
      <c r="T8" s="612"/>
      <c r="U8" s="187"/>
      <c r="V8" s="187"/>
      <c r="W8" s="184"/>
      <c r="X8" s="181"/>
      <c r="Y8" s="612"/>
      <c r="Z8" s="187"/>
      <c r="AA8" s="187"/>
      <c r="AB8" s="184"/>
      <c r="AC8" s="181"/>
      <c r="AD8" s="612"/>
      <c r="AE8" s="187"/>
      <c r="AF8" s="187"/>
      <c r="AG8" s="184"/>
      <c r="AH8" s="181"/>
      <c r="AI8" s="612"/>
      <c r="AJ8" s="187"/>
      <c r="AK8" s="187"/>
      <c r="AL8" s="184"/>
      <c r="AM8" s="181"/>
      <c r="AN8" s="612"/>
      <c r="AO8" s="187"/>
      <c r="AP8" s="187"/>
      <c r="AQ8" s="184"/>
      <c r="AR8" s="181"/>
      <c r="AS8" s="612"/>
      <c r="AT8" s="187"/>
      <c r="AU8" s="187"/>
      <c r="AV8" s="184"/>
      <c r="AW8" s="181"/>
      <c r="AX8" s="612"/>
    </row>
    <row r="9" spans="1:50" ht="14.25" customHeight="1">
      <c r="B9" s="611"/>
      <c r="C9" s="179">
        <v>3</v>
      </c>
      <c r="D9" s="182"/>
      <c r="E9" s="179"/>
      <c r="F9" s="179"/>
      <c r="G9" s="184"/>
      <c r="H9" s="612"/>
      <c r="I9" s="185"/>
      <c r="J9" s="185"/>
      <c r="K9" s="186"/>
      <c r="L9" s="613"/>
      <c r="M9" s="185"/>
      <c r="N9" s="611"/>
      <c r="O9" s="611"/>
      <c r="P9" s="187"/>
      <c r="Q9" s="187"/>
      <c r="R9" s="184"/>
      <c r="S9" s="181"/>
      <c r="T9" s="612"/>
      <c r="U9" s="187"/>
      <c r="V9" s="187"/>
      <c r="W9" s="184"/>
      <c r="X9" s="181"/>
      <c r="Y9" s="612"/>
      <c r="Z9" s="187"/>
      <c r="AA9" s="187"/>
      <c r="AB9" s="184"/>
      <c r="AC9" s="181"/>
      <c r="AD9" s="612"/>
      <c r="AE9" s="187"/>
      <c r="AF9" s="187"/>
      <c r="AG9" s="184"/>
      <c r="AH9" s="181"/>
      <c r="AI9" s="612"/>
      <c r="AJ9" s="187"/>
      <c r="AK9" s="187"/>
      <c r="AL9" s="184"/>
      <c r="AM9" s="181"/>
      <c r="AN9" s="612"/>
      <c r="AO9" s="187"/>
      <c r="AP9" s="187"/>
      <c r="AQ9" s="184"/>
      <c r="AR9" s="181"/>
      <c r="AS9" s="612"/>
      <c r="AT9" s="187"/>
      <c r="AU9" s="187"/>
      <c r="AV9" s="184"/>
      <c r="AW9" s="181"/>
      <c r="AX9" s="612"/>
    </row>
    <row r="10" spans="1:50" ht="14.25" customHeight="1">
      <c r="B10" s="611"/>
      <c r="C10" s="179">
        <v>4</v>
      </c>
      <c r="D10" s="182"/>
      <c r="E10" s="179"/>
      <c r="F10" s="179"/>
      <c r="G10" s="184"/>
      <c r="H10" s="612"/>
      <c r="I10" s="185"/>
      <c r="J10" s="185"/>
      <c r="K10" s="186"/>
      <c r="L10" s="613"/>
      <c r="M10" s="185"/>
      <c r="N10" s="611"/>
      <c r="O10" s="611"/>
      <c r="P10" s="187"/>
      <c r="Q10" s="187"/>
      <c r="R10" s="184"/>
      <c r="S10" s="181"/>
      <c r="T10" s="612"/>
      <c r="U10" s="187"/>
      <c r="V10" s="187"/>
      <c r="W10" s="184"/>
      <c r="X10" s="181"/>
      <c r="Y10" s="612"/>
      <c r="Z10" s="187"/>
      <c r="AA10" s="187"/>
      <c r="AB10" s="184"/>
      <c r="AC10" s="181"/>
      <c r="AD10" s="612"/>
      <c r="AE10" s="187"/>
      <c r="AF10" s="187"/>
      <c r="AG10" s="184"/>
      <c r="AH10" s="181"/>
      <c r="AI10" s="612"/>
      <c r="AJ10" s="187"/>
      <c r="AK10" s="187"/>
      <c r="AL10" s="184"/>
      <c r="AM10" s="181"/>
      <c r="AN10" s="612"/>
      <c r="AO10" s="187"/>
      <c r="AP10" s="187"/>
      <c r="AQ10" s="184"/>
      <c r="AR10" s="181"/>
      <c r="AS10" s="612"/>
      <c r="AT10" s="187"/>
      <c r="AU10" s="187"/>
      <c r="AV10" s="184"/>
      <c r="AW10" s="181"/>
      <c r="AX10" s="612"/>
    </row>
    <row r="11" spans="1:50" ht="14.25" customHeight="1">
      <c r="B11" s="611"/>
      <c r="C11" s="179">
        <v>5</v>
      </c>
      <c r="D11" s="182"/>
      <c r="E11" s="179"/>
      <c r="F11" s="179"/>
      <c r="G11" s="184"/>
      <c r="H11" s="612"/>
      <c r="I11" s="185"/>
      <c r="J11" s="185"/>
      <c r="K11" s="186"/>
      <c r="L11" s="613"/>
      <c r="M11" s="185"/>
      <c r="N11" s="611"/>
      <c r="O11" s="611"/>
      <c r="P11" s="187"/>
      <c r="Q11" s="187"/>
      <c r="R11" s="184"/>
      <c r="S11" s="181"/>
      <c r="T11" s="612"/>
      <c r="U11" s="187"/>
      <c r="V11" s="187"/>
      <c r="W11" s="184"/>
      <c r="X11" s="181"/>
      <c r="Y11" s="612"/>
      <c r="Z11" s="187"/>
      <c r="AA11" s="187"/>
      <c r="AB11" s="184"/>
      <c r="AC11" s="181"/>
      <c r="AD11" s="612"/>
      <c r="AE11" s="187"/>
      <c r="AF11" s="187"/>
      <c r="AG11" s="184"/>
      <c r="AH11" s="181"/>
      <c r="AI11" s="612"/>
      <c r="AJ11" s="187"/>
      <c r="AK11" s="187"/>
      <c r="AL11" s="184"/>
      <c r="AM11" s="181"/>
      <c r="AN11" s="612"/>
      <c r="AO11" s="187"/>
      <c r="AP11" s="187"/>
      <c r="AQ11" s="184"/>
      <c r="AR11" s="181"/>
      <c r="AS11" s="612"/>
      <c r="AT11" s="187"/>
      <c r="AU11" s="187"/>
      <c r="AV11" s="184"/>
      <c r="AW11" s="181"/>
      <c r="AX11" s="612"/>
    </row>
    <row r="12" spans="1:50" ht="14.25" customHeight="1">
      <c r="B12" s="611"/>
      <c r="C12" s="179">
        <v>6</v>
      </c>
      <c r="D12" s="182"/>
      <c r="E12" s="179"/>
      <c r="F12" s="179"/>
      <c r="G12" s="184"/>
      <c r="H12" s="612"/>
      <c r="I12" s="185"/>
      <c r="J12" s="185"/>
      <c r="K12" s="186"/>
      <c r="L12" s="613"/>
      <c r="M12" s="185"/>
      <c r="N12" s="611"/>
      <c r="O12" s="611"/>
      <c r="P12" s="187"/>
      <c r="Q12" s="187"/>
      <c r="R12" s="184"/>
      <c r="S12" s="181"/>
      <c r="T12" s="612"/>
      <c r="U12" s="187"/>
      <c r="V12" s="187"/>
      <c r="W12" s="184"/>
      <c r="X12" s="181"/>
      <c r="Y12" s="612"/>
      <c r="Z12" s="187"/>
      <c r="AA12" s="187"/>
      <c r="AB12" s="184"/>
      <c r="AC12" s="181"/>
      <c r="AD12" s="612"/>
      <c r="AE12" s="187"/>
      <c r="AF12" s="187"/>
      <c r="AG12" s="184"/>
      <c r="AH12" s="181"/>
      <c r="AI12" s="612"/>
      <c r="AJ12" s="187"/>
      <c r="AK12" s="187"/>
      <c r="AL12" s="184"/>
      <c r="AM12" s="181"/>
      <c r="AN12" s="612"/>
      <c r="AO12" s="187"/>
      <c r="AP12" s="187"/>
      <c r="AQ12" s="184"/>
      <c r="AR12" s="181"/>
      <c r="AS12" s="612"/>
      <c r="AT12" s="187"/>
      <c r="AU12" s="187"/>
      <c r="AV12" s="184"/>
      <c r="AW12" s="181"/>
      <c r="AX12" s="612"/>
    </row>
    <row r="13" spans="1:50" ht="14.25" customHeight="1">
      <c r="B13" s="611"/>
      <c r="C13" s="179">
        <v>7</v>
      </c>
      <c r="D13" s="182"/>
      <c r="E13" s="179"/>
      <c r="F13" s="179"/>
      <c r="G13" s="184"/>
      <c r="H13" s="612"/>
      <c r="I13" s="185"/>
      <c r="J13" s="185"/>
      <c r="K13" s="186"/>
      <c r="L13" s="613"/>
      <c r="M13" s="185"/>
      <c r="N13" s="611"/>
      <c r="O13" s="611"/>
      <c r="P13" s="187"/>
      <c r="Q13" s="187"/>
      <c r="R13" s="184"/>
      <c r="S13" s="181"/>
      <c r="T13" s="612"/>
      <c r="U13" s="187"/>
      <c r="V13" s="187"/>
      <c r="W13" s="184"/>
      <c r="X13" s="181"/>
      <c r="Y13" s="612"/>
      <c r="Z13" s="187"/>
      <c r="AA13" s="187"/>
      <c r="AB13" s="184"/>
      <c r="AC13" s="181"/>
      <c r="AD13" s="612"/>
      <c r="AE13" s="187"/>
      <c r="AF13" s="187"/>
      <c r="AG13" s="184"/>
      <c r="AH13" s="181"/>
      <c r="AI13" s="612"/>
      <c r="AJ13" s="187"/>
      <c r="AK13" s="187"/>
      <c r="AL13" s="184"/>
      <c r="AM13" s="181"/>
      <c r="AN13" s="612"/>
      <c r="AO13" s="187"/>
      <c r="AP13" s="187"/>
      <c r="AQ13" s="184"/>
      <c r="AR13" s="181"/>
      <c r="AS13" s="612"/>
      <c r="AT13" s="187"/>
      <c r="AU13" s="187"/>
      <c r="AV13" s="184"/>
      <c r="AW13" s="181"/>
      <c r="AX13" s="612"/>
    </row>
    <row r="14" spans="1:50" ht="14.25" customHeight="1">
      <c r="B14" s="611"/>
      <c r="C14" s="179">
        <v>8</v>
      </c>
      <c r="D14" s="182"/>
      <c r="E14" s="179"/>
      <c r="F14" s="179"/>
      <c r="G14" s="184"/>
      <c r="H14" s="612"/>
      <c r="I14" s="185"/>
      <c r="J14" s="185"/>
      <c r="K14" s="186"/>
      <c r="L14" s="613"/>
      <c r="M14" s="185"/>
      <c r="N14" s="611"/>
      <c r="O14" s="611"/>
      <c r="P14" s="187"/>
      <c r="Q14" s="187"/>
      <c r="R14" s="184"/>
      <c r="S14" s="181"/>
      <c r="T14" s="612"/>
      <c r="U14" s="187"/>
      <c r="V14" s="187"/>
      <c r="W14" s="184"/>
      <c r="X14" s="181"/>
      <c r="Y14" s="612"/>
      <c r="Z14" s="187"/>
      <c r="AA14" s="187"/>
      <c r="AB14" s="184"/>
      <c r="AC14" s="181"/>
      <c r="AD14" s="612"/>
      <c r="AE14" s="187"/>
      <c r="AF14" s="187"/>
      <c r="AG14" s="184"/>
      <c r="AH14" s="181"/>
      <c r="AI14" s="612"/>
      <c r="AJ14" s="187"/>
      <c r="AK14" s="187"/>
      <c r="AL14" s="184"/>
      <c r="AM14" s="181"/>
      <c r="AN14" s="612"/>
      <c r="AO14" s="187"/>
      <c r="AP14" s="187"/>
      <c r="AQ14" s="184"/>
      <c r="AR14" s="181"/>
      <c r="AS14" s="612"/>
      <c r="AT14" s="187"/>
      <c r="AU14" s="187"/>
      <c r="AV14" s="184"/>
      <c r="AW14" s="181"/>
      <c r="AX14" s="612"/>
    </row>
    <row r="15" spans="1:50" ht="14.25" customHeight="1">
      <c r="B15" s="611"/>
      <c r="C15" s="179">
        <v>9</v>
      </c>
      <c r="D15" s="182"/>
      <c r="E15" s="179"/>
      <c r="F15" s="179"/>
      <c r="G15" s="184"/>
      <c r="H15" s="612"/>
      <c r="I15" s="185"/>
      <c r="J15" s="185"/>
      <c r="K15" s="186"/>
      <c r="L15" s="613"/>
      <c r="M15" s="185"/>
      <c r="N15" s="611"/>
      <c r="O15" s="611"/>
      <c r="P15" s="187"/>
      <c r="Q15" s="187"/>
      <c r="R15" s="184"/>
      <c r="S15" s="181"/>
      <c r="T15" s="612"/>
      <c r="U15" s="187"/>
      <c r="V15" s="187"/>
      <c r="W15" s="184"/>
      <c r="X15" s="181"/>
      <c r="Y15" s="612"/>
      <c r="Z15" s="187"/>
      <c r="AA15" s="187"/>
      <c r="AB15" s="184"/>
      <c r="AC15" s="181"/>
      <c r="AD15" s="612"/>
      <c r="AE15" s="187"/>
      <c r="AF15" s="187"/>
      <c r="AG15" s="184"/>
      <c r="AH15" s="181"/>
      <c r="AI15" s="612"/>
      <c r="AJ15" s="187"/>
      <c r="AK15" s="187"/>
      <c r="AL15" s="184"/>
      <c r="AM15" s="181"/>
      <c r="AN15" s="612"/>
      <c r="AO15" s="187"/>
      <c r="AP15" s="187"/>
      <c r="AQ15" s="184"/>
      <c r="AR15" s="181"/>
      <c r="AS15" s="612"/>
      <c r="AT15" s="187"/>
      <c r="AU15" s="187"/>
      <c r="AV15" s="184"/>
      <c r="AW15" s="181"/>
      <c r="AX15" s="612"/>
    </row>
    <row r="16" spans="1:50" ht="14.25" customHeight="1">
      <c r="B16" s="611"/>
      <c r="C16" s="179">
        <v>10</v>
      </c>
      <c r="D16" s="182"/>
      <c r="E16" s="179"/>
      <c r="F16" s="179"/>
      <c r="G16" s="184"/>
      <c r="H16" s="612"/>
      <c r="I16" s="185"/>
      <c r="J16" s="185"/>
      <c r="K16" s="186"/>
      <c r="L16" s="613"/>
      <c r="M16" s="185"/>
      <c r="N16" s="611"/>
      <c r="O16" s="611"/>
      <c r="P16" s="187"/>
      <c r="Q16" s="187"/>
      <c r="R16" s="184"/>
      <c r="S16" s="181"/>
      <c r="T16" s="612"/>
      <c r="U16" s="187"/>
      <c r="V16" s="187"/>
      <c r="W16" s="184"/>
      <c r="X16" s="181"/>
      <c r="Y16" s="612"/>
      <c r="Z16" s="187"/>
      <c r="AA16" s="187"/>
      <c r="AB16" s="184"/>
      <c r="AC16" s="181"/>
      <c r="AD16" s="612"/>
      <c r="AE16" s="187"/>
      <c r="AF16" s="187"/>
      <c r="AG16" s="184"/>
      <c r="AH16" s="181"/>
      <c r="AI16" s="612"/>
      <c r="AJ16" s="187"/>
      <c r="AK16" s="187"/>
      <c r="AL16" s="184"/>
      <c r="AM16" s="181"/>
      <c r="AN16" s="612"/>
      <c r="AO16" s="187"/>
      <c r="AP16" s="187"/>
      <c r="AQ16" s="184"/>
      <c r="AR16" s="181"/>
      <c r="AS16" s="612"/>
      <c r="AT16" s="187"/>
      <c r="AU16" s="187"/>
      <c r="AV16" s="184"/>
      <c r="AW16" s="181"/>
      <c r="AX16" s="612"/>
    </row>
    <row r="17" spans="2:50" ht="14.25" customHeight="1">
      <c r="B17" s="611"/>
      <c r="C17" s="179">
        <v>11</v>
      </c>
      <c r="D17" s="182"/>
      <c r="E17" s="179"/>
      <c r="F17" s="179"/>
      <c r="G17" s="184"/>
      <c r="H17" s="612"/>
      <c r="I17" s="185"/>
      <c r="J17" s="185"/>
      <c r="K17" s="186"/>
      <c r="L17" s="613"/>
      <c r="M17" s="185"/>
      <c r="N17" s="611"/>
      <c r="O17" s="611"/>
      <c r="P17" s="187"/>
      <c r="Q17" s="187"/>
      <c r="R17" s="184"/>
      <c r="S17" s="181"/>
      <c r="T17" s="612"/>
      <c r="U17" s="187"/>
      <c r="V17" s="187"/>
      <c r="W17" s="184"/>
      <c r="X17" s="181"/>
      <c r="Y17" s="612"/>
      <c r="Z17" s="187"/>
      <c r="AA17" s="187"/>
      <c r="AB17" s="184"/>
      <c r="AC17" s="181"/>
      <c r="AD17" s="612"/>
      <c r="AE17" s="187"/>
      <c r="AF17" s="187"/>
      <c r="AG17" s="184"/>
      <c r="AH17" s="181"/>
      <c r="AI17" s="612"/>
      <c r="AJ17" s="187"/>
      <c r="AK17" s="187"/>
      <c r="AL17" s="184"/>
      <c r="AM17" s="181"/>
      <c r="AN17" s="612"/>
      <c r="AO17" s="187"/>
      <c r="AP17" s="187"/>
      <c r="AQ17" s="184"/>
      <c r="AR17" s="181"/>
      <c r="AS17" s="612"/>
      <c r="AT17" s="187"/>
      <c r="AU17" s="187"/>
      <c r="AV17" s="184"/>
      <c r="AW17" s="181"/>
      <c r="AX17" s="612"/>
    </row>
    <row r="18" spans="2:50" ht="14.25" customHeight="1">
      <c r="B18" s="611"/>
      <c r="C18" s="179">
        <v>12</v>
      </c>
      <c r="D18" s="182"/>
      <c r="E18" s="179"/>
      <c r="F18" s="179"/>
      <c r="G18" s="184"/>
      <c r="H18" s="612"/>
      <c r="I18" s="185"/>
      <c r="J18" s="185"/>
      <c r="K18" s="186"/>
      <c r="L18" s="613"/>
      <c r="M18" s="185"/>
      <c r="N18" s="611"/>
      <c r="O18" s="611"/>
      <c r="P18" s="187"/>
      <c r="Q18" s="187"/>
      <c r="R18" s="184"/>
      <c r="S18" s="181"/>
      <c r="T18" s="612"/>
      <c r="U18" s="187"/>
      <c r="V18" s="187"/>
      <c r="W18" s="184"/>
      <c r="X18" s="181"/>
      <c r="Y18" s="612"/>
      <c r="Z18" s="187"/>
      <c r="AA18" s="187"/>
      <c r="AB18" s="184"/>
      <c r="AC18" s="181"/>
      <c r="AD18" s="612"/>
      <c r="AE18" s="187"/>
      <c r="AF18" s="187"/>
      <c r="AG18" s="184"/>
      <c r="AH18" s="181"/>
      <c r="AI18" s="612"/>
      <c r="AJ18" s="187"/>
      <c r="AK18" s="187"/>
      <c r="AL18" s="184"/>
      <c r="AM18" s="181"/>
      <c r="AN18" s="612"/>
      <c r="AO18" s="187"/>
      <c r="AP18" s="187"/>
      <c r="AQ18" s="184"/>
      <c r="AR18" s="181"/>
      <c r="AS18" s="612"/>
      <c r="AT18" s="187"/>
      <c r="AU18" s="187"/>
      <c r="AV18" s="184"/>
      <c r="AW18" s="181"/>
      <c r="AX18" s="612"/>
    </row>
    <row r="19" spans="2:50" ht="14.25" customHeight="1">
      <c r="B19" s="611"/>
      <c r="C19" s="179">
        <v>13</v>
      </c>
      <c r="D19" s="182"/>
      <c r="E19" s="179"/>
      <c r="F19" s="179"/>
      <c r="G19" s="184"/>
      <c r="H19" s="612"/>
      <c r="I19" s="185"/>
      <c r="J19" s="185"/>
      <c r="K19" s="186"/>
      <c r="L19" s="613"/>
      <c r="M19" s="185"/>
      <c r="N19" s="611"/>
      <c r="O19" s="611"/>
      <c r="P19" s="187"/>
      <c r="Q19" s="187"/>
      <c r="R19" s="184"/>
      <c r="S19" s="181"/>
      <c r="T19" s="612"/>
      <c r="U19" s="187"/>
      <c r="V19" s="187"/>
      <c r="W19" s="184"/>
      <c r="X19" s="181"/>
      <c r="Y19" s="612"/>
      <c r="Z19" s="187"/>
      <c r="AA19" s="187"/>
      <c r="AB19" s="184"/>
      <c r="AC19" s="181"/>
      <c r="AD19" s="612"/>
      <c r="AE19" s="187"/>
      <c r="AF19" s="187"/>
      <c r="AG19" s="184"/>
      <c r="AH19" s="181"/>
      <c r="AI19" s="612"/>
      <c r="AJ19" s="187"/>
      <c r="AK19" s="187"/>
      <c r="AL19" s="184"/>
      <c r="AM19" s="181"/>
      <c r="AN19" s="612"/>
      <c r="AO19" s="187"/>
      <c r="AP19" s="187"/>
      <c r="AQ19" s="184"/>
      <c r="AR19" s="181"/>
      <c r="AS19" s="612"/>
      <c r="AT19" s="187"/>
      <c r="AU19" s="187"/>
      <c r="AV19" s="184"/>
      <c r="AW19" s="181"/>
      <c r="AX19" s="612"/>
    </row>
    <row r="20" spans="2:50" ht="14.25" customHeight="1">
      <c r="B20" s="611"/>
      <c r="C20" s="179">
        <v>14</v>
      </c>
      <c r="D20" s="182"/>
      <c r="E20" s="179"/>
      <c r="F20" s="179"/>
      <c r="G20" s="184"/>
      <c r="H20" s="612"/>
      <c r="I20" s="185"/>
      <c r="J20" s="185"/>
      <c r="K20" s="186"/>
      <c r="L20" s="613"/>
      <c r="M20" s="185"/>
      <c r="N20" s="611"/>
      <c r="O20" s="611"/>
      <c r="P20" s="187"/>
      <c r="Q20" s="187"/>
      <c r="R20" s="184"/>
      <c r="S20" s="181"/>
      <c r="T20" s="612"/>
      <c r="U20" s="187"/>
      <c r="V20" s="187"/>
      <c r="W20" s="184"/>
      <c r="X20" s="181"/>
      <c r="Y20" s="612"/>
      <c r="Z20" s="187"/>
      <c r="AA20" s="187"/>
      <c r="AB20" s="184"/>
      <c r="AC20" s="181"/>
      <c r="AD20" s="612"/>
      <c r="AE20" s="187"/>
      <c r="AF20" s="187"/>
      <c r="AG20" s="184"/>
      <c r="AH20" s="181"/>
      <c r="AI20" s="612"/>
      <c r="AJ20" s="187"/>
      <c r="AK20" s="187"/>
      <c r="AL20" s="184"/>
      <c r="AM20" s="181"/>
      <c r="AN20" s="612"/>
      <c r="AO20" s="187"/>
      <c r="AP20" s="187"/>
      <c r="AQ20" s="184"/>
      <c r="AR20" s="181"/>
      <c r="AS20" s="612"/>
      <c r="AT20" s="187"/>
      <c r="AU20" s="187"/>
      <c r="AV20" s="184"/>
      <c r="AW20" s="181"/>
      <c r="AX20" s="612"/>
    </row>
    <row r="21" spans="2:50" ht="14.25" customHeight="1">
      <c r="B21" s="611"/>
      <c r="C21" s="179">
        <v>15</v>
      </c>
      <c r="D21" s="182"/>
      <c r="E21" s="179"/>
      <c r="F21" s="179"/>
      <c r="G21" s="184"/>
      <c r="H21" s="612"/>
      <c r="I21" s="185"/>
      <c r="J21" s="185"/>
      <c r="K21" s="186"/>
      <c r="L21" s="613"/>
      <c r="M21" s="185"/>
      <c r="N21" s="611"/>
      <c r="O21" s="611"/>
      <c r="P21" s="187"/>
      <c r="Q21" s="187"/>
      <c r="R21" s="184"/>
      <c r="S21" s="181"/>
      <c r="T21" s="612"/>
      <c r="U21" s="187"/>
      <c r="V21" s="187"/>
      <c r="W21" s="184"/>
      <c r="X21" s="181"/>
      <c r="Y21" s="612"/>
      <c r="Z21" s="187"/>
      <c r="AA21" s="187"/>
      <c r="AB21" s="184"/>
      <c r="AC21" s="181"/>
      <c r="AD21" s="612"/>
      <c r="AE21" s="187"/>
      <c r="AF21" s="187"/>
      <c r="AG21" s="184"/>
      <c r="AH21" s="181"/>
      <c r="AI21" s="612"/>
      <c r="AJ21" s="187"/>
      <c r="AK21" s="187"/>
      <c r="AL21" s="184"/>
      <c r="AM21" s="181"/>
      <c r="AN21" s="612"/>
      <c r="AO21" s="187"/>
      <c r="AP21" s="187"/>
      <c r="AQ21" s="184"/>
      <c r="AR21" s="181"/>
      <c r="AS21" s="612"/>
      <c r="AT21" s="187"/>
      <c r="AU21" s="187"/>
      <c r="AV21" s="184"/>
      <c r="AW21" s="181"/>
      <c r="AX21" s="612"/>
    </row>
    <row r="22" spans="2:50" ht="14.25" customHeight="1">
      <c r="B22" s="640" t="s">
        <v>749</v>
      </c>
      <c r="C22" s="641"/>
      <c r="D22" s="641"/>
      <c r="E22" s="641"/>
      <c r="F22" s="641"/>
      <c r="G22" s="641"/>
      <c r="H22" s="641"/>
      <c r="I22" s="641"/>
      <c r="J22" s="641"/>
      <c r="K22" s="641"/>
      <c r="L22" s="641"/>
      <c r="M22" s="642"/>
      <c r="N22" s="645" t="s">
        <v>363</v>
      </c>
      <c r="O22" s="645" t="s">
        <v>105</v>
      </c>
      <c r="P22" s="632">
        <v>46210</v>
      </c>
      <c r="Q22" s="633"/>
      <c r="R22" s="633"/>
      <c r="S22" s="633"/>
      <c r="T22" s="633"/>
      <c r="U22" s="634">
        <f>P22+1</f>
        <v>46211</v>
      </c>
      <c r="V22" s="635"/>
      <c r="W22" s="635"/>
      <c r="X22" s="635"/>
      <c r="Y22" s="635"/>
      <c r="Z22" s="632">
        <f t="shared" ref="Z22" si="5">U22+1</f>
        <v>46212</v>
      </c>
      <c r="AA22" s="633"/>
      <c r="AB22" s="633"/>
      <c r="AC22" s="633"/>
      <c r="AD22" s="633"/>
      <c r="AE22" s="634">
        <f t="shared" ref="AE22" si="6">Z22+1</f>
        <v>46213</v>
      </c>
      <c r="AF22" s="635"/>
      <c r="AG22" s="635"/>
      <c r="AH22" s="635"/>
      <c r="AI22" s="635"/>
      <c r="AJ22" s="616">
        <f t="shared" ref="AJ22" si="7">AE22+1</f>
        <v>46214</v>
      </c>
      <c r="AK22" s="617"/>
      <c r="AL22" s="617"/>
      <c r="AM22" s="617"/>
      <c r="AN22" s="618"/>
      <c r="AO22" s="634">
        <f t="shared" ref="AO22" si="8">AJ22+1</f>
        <v>46215</v>
      </c>
      <c r="AP22" s="635"/>
      <c r="AQ22" s="635"/>
      <c r="AR22" s="635"/>
      <c r="AS22" s="635"/>
      <c r="AT22" s="616">
        <f t="shared" ref="AT22" si="9">AO22+1</f>
        <v>46216</v>
      </c>
      <c r="AU22" s="617"/>
      <c r="AV22" s="617"/>
      <c r="AW22" s="617"/>
      <c r="AX22" s="618"/>
    </row>
    <row r="23" spans="2:50" ht="14.25" customHeight="1">
      <c r="B23" s="643"/>
      <c r="C23" s="643"/>
      <c r="D23" s="643"/>
      <c r="E23" s="643"/>
      <c r="F23" s="643"/>
      <c r="G23" s="643"/>
      <c r="H23" s="643"/>
      <c r="I23" s="643"/>
      <c r="J23" s="643"/>
      <c r="K23" s="643"/>
      <c r="L23" s="643"/>
      <c r="M23" s="644"/>
      <c r="N23" s="646"/>
      <c r="O23" s="646"/>
      <c r="P23" s="619">
        <v>46196</v>
      </c>
      <c r="Q23" s="619"/>
      <c r="R23" s="619"/>
      <c r="S23" s="619"/>
      <c r="T23" s="619"/>
      <c r="U23" s="620">
        <v>46197</v>
      </c>
      <c r="V23" s="620"/>
      <c r="W23" s="620"/>
      <c r="X23" s="620"/>
      <c r="Y23" s="620"/>
      <c r="Z23" s="619">
        <v>46198</v>
      </c>
      <c r="AA23" s="619"/>
      <c r="AB23" s="619"/>
      <c r="AC23" s="619"/>
      <c r="AD23" s="619"/>
      <c r="AE23" s="620">
        <v>46199</v>
      </c>
      <c r="AF23" s="620"/>
      <c r="AG23" s="620"/>
      <c r="AH23" s="620"/>
      <c r="AI23" s="620"/>
      <c r="AJ23" s="621">
        <v>46200</v>
      </c>
      <c r="AK23" s="622"/>
      <c r="AL23" s="622"/>
      <c r="AM23" s="622"/>
      <c r="AN23" s="623"/>
      <c r="AO23" s="620">
        <v>46201</v>
      </c>
      <c r="AP23" s="620"/>
      <c r="AQ23" s="620"/>
      <c r="AR23" s="620"/>
      <c r="AS23" s="620"/>
      <c r="AT23" s="621">
        <v>46202</v>
      </c>
      <c r="AU23" s="622"/>
      <c r="AV23" s="622"/>
      <c r="AW23" s="622"/>
      <c r="AX23" s="623"/>
    </row>
    <row r="24" spans="2:50" ht="14.25" customHeight="1">
      <c r="B24" s="611" t="s">
        <v>162</v>
      </c>
      <c r="C24" s="611" t="s">
        <v>157</v>
      </c>
      <c r="D24" s="611"/>
      <c r="E24" s="611" t="s">
        <v>158</v>
      </c>
      <c r="F24" s="611"/>
      <c r="G24" s="611"/>
      <c r="H24" s="611" t="s">
        <v>163</v>
      </c>
      <c r="I24" s="615" t="s">
        <v>364</v>
      </c>
      <c r="J24" s="615"/>
      <c r="K24" s="615"/>
      <c r="L24" s="615" t="s">
        <v>163</v>
      </c>
      <c r="M24" s="615" t="s">
        <v>165</v>
      </c>
      <c r="N24" s="611"/>
      <c r="O24" s="611" t="s">
        <v>164</v>
      </c>
      <c r="P24" s="611" t="s">
        <v>160</v>
      </c>
      <c r="Q24" s="611"/>
      <c r="R24" s="611"/>
      <c r="S24" s="611"/>
      <c r="T24" s="611" t="s">
        <v>163</v>
      </c>
      <c r="U24" s="611" t="s">
        <v>160</v>
      </c>
      <c r="V24" s="611"/>
      <c r="W24" s="611"/>
      <c r="X24" s="611"/>
      <c r="Y24" s="611" t="s">
        <v>163</v>
      </c>
      <c r="Z24" s="611" t="s">
        <v>160</v>
      </c>
      <c r="AA24" s="611"/>
      <c r="AB24" s="611"/>
      <c r="AC24" s="611"/>
      <c r="AD24" s="611" t="s">
        <v>163</v>
      </c>
      <c r="AE24" s="611" t="s">
        <v>160</v>
      </c>
      <c r="AF24" s="611"/>
      <c r="AG24" s="611"/>
      <c r="AH24" s="611"/>
      <c r="AI24" s="611" t="s">
        <v>163</v>
      </c>
      <c r="AJ24" s="611" t="s">
        <v>160</v>
      </c>
      <c r="AK24" s="611"/>
      <c r="AL24" s="611"/>
      <c r="AM24" s="611"/>
      <c r="AN24" s="611" t="s">
        <v>163</v>
      </c>
      <c r="AO24" s="611" t="s">
        <v>160</v>
      </c>
      <c r="AP24" s="611"/>
      <c r="AQ24" s="611"/>
      <c r="AR24" s="611"/>
      <c r="AS24" s="611" t="s">
        <v>163</v>
      </c>
      <c r="AT24" s="611" t="s">
        <v>160</v>
      </c>
      <c r="AU24" s="611"/>
      <c r="AV24" s="611"/>
      <c r="AW24" s="611"/>
      <c r="AX24" s="611" t="s">
        <v>163</v>
      </c>
    </row>
    <row r="25" spans="2:50" ht="14.25" customHeight="1">
      <c r="B25" s="611"/>
      <c r="C25" s="611"/>
      <c r="D25" s="611"/>
      <c r="E25" s="611" t="s">
        <v>365</v>
      </c>
      <c r="F25" s="611"/>
      <c r="G25" s="611"/>
      <c r="H25" s="611"/>
      <c r="I25" s="615" t="s">
        <v>365</v>
      </c>
      <c r="J25" s="615"/>
      <c r="K25" s="615"/>
      <c r="L25" s="615"/>
      <c r="M25" s="615"/>
      <c r="N25" s="611"/>
      <c r="O25" s="611"/>
      <c r="P25" s="611" t="s">
        <v>366</v>
      </c>
      <c r="Q25" s="611"/>
      <c r="R25" s="611"/>
      <c r="S25" s="611"/>
      <c r="T25" s="611"/>
      <c r="U25" s="611" t="s">
        <v>366</v>
      </c>
      <c r="V25" s="611"/>
      <c r="W25" s="611"/>
      <c r="X25" s="611"/>
      <c r="Y25" s="611"/>
      <c r="Z25" s="611" t="s">
        <v>366</v>
      </c>
      <c r="AA25" s="611"/>
      <c r="AB25" s="611"/>
      <c r="AC25" s="611"/>
      <c r="AD25" s="611"/>
      <c r="AE25" s="611" t="s">
        <v>366</v>
      </c>
      <c r="AF25" s="611"/>
      <c r="AG25" s="611"/>
      <c r="AH25" s="611"/>
      <c r="AI25" s="611"/>
      <c r="AJ25" s="611" t="s">
        <v>366</v>
      </c>
      <c r="AK25" s="611"/>
      <c r="AL25" s="611"/>
      <c r="AM25" s="611"/>
      <c r="AN25" s="611"/>
      <c r="AO25" s="611" t="s">
        <v>366</v>
      </c>
      <c r="AP25" s="611"/>
      <c r="AQ25" s="611"/>
      <c r="AR25" s="611"/>
      <c r="AS25" s="611"/>
      <c r="AT25" s="611" t="s">
        <v>366</v>
      </c>
      <c r="AU25" s="611"/>
      <c r="AV25" s="611"/>
      <c r="AW25" s="611"/>
      <c r="AX25" s="611"/>
    </row>
    <row r="26" spans="2:50" ht="14.25" customHeight="1">
      <c r="B26" s="611"/>
      <c r="C26" s="611"/>
      <c r="D26" s="611"/>
      <c r="E26" s="179" t="s">
        <v>159</v>
      </c>
      <c r="F26" s="179" t="s">
        <v>367</v>
      </c>
      <c r="G26" s="179" t="s">
        <v>161</v>
      </c>
      <c r="H26" s="611"/>
      <c r="I26" s="180" t="s">
        <v>159</v>
      </c>
      <c r="J26" s="180" t="s">
        <v>367</v>
      </c>
      <c r="K26" s="180" t="s">
        <v>161</v>
      </c>
      <c r="L26" s="615"/>
      <c r="M26" s="615"/>
      <c r="N26" s="611"/>
      <c r="O26" s="611"/>
      <c r="P26" s="179" t="s">
        <v>159</v>
      </c>
      <c r="Q26" s="179" t="s">
        <v>367</v>
      </c>
      <c r="R26" s="179" t="s">
        <v>161</v>
      </c>
      <c r="S26" s="181" t="s">
        <v>165</v>
      </c>
      <c r="T26" s="611"/>
      <c r="U26" s="179" t="s">
        <v>159</v>
      </c>
      <c r="V26" s="179" t="s">
        <v>367</v>
      </c>
      <c r="W26" s="179" t="s">
        <v>161</v>
      </c>
      <c r="X26" s="181" t="s">
        <v>165</v>
      </c>
      <c r="Y26" s="611"/>
      <c r="Z26" s="179" t="s">
        <v>159</v>
      </c>
      <c r="AA26" s="179" t="s">
        <v>367</v>
      </c>
      <c r="AB26" s="179" t="s">
        <v>161</v>
      </c>
      <c r="AC26" s="181" t="s">
        <v>165</v>
      </c>
      <c r="AD26" s="611"/>
      <c r="AE26" s="179" t="s">
        <v>159</v>
      </c>
      <c r="AF26" s="179" t="s">
        <v>367</v>
      </c>
      <c r="AG26" s="179" t="s">
        <v>161</v>
      </c>
      <c r="AH26" s="181" t="s">
        <v>165</v>
      </c>
      <c r="AI26" s="611"/>
      <c r="AJ26" s="179" t="s">
        <v>159</v>
      </c>
      <c r="AK26" s="179" t="s">
        <v>367</v>
      </c>
      <c r="AL26" s="179" t="s">
        <v>161</v>
      </c>
      <c r="AM26" s="181" t="s">
        <v>165</v>
      </c>
      <c r="AN26" s="611"/>
      <c r="AO26" s="179" t="s">
        <v>159</v>
      </c>
      <c r="AP26" s="179" t="s">
        <v>367</v>
      </c>
      <c r="AQ26" s="179" t="s">
        <v>161</v>
      </c>
      <c r="AR26" s="181" t="s">
        <v>165</v>
      </c>
      <c r="AS26" s="611"/>
      <c r="AT26" s="179" t="s">
        <v>159</v>
      </c>
      <c r="AU26" s="179" t="s">
        <v>367</v>
      </c>
      <c r="AV26" s="179" t="s">
        <v>161</v>
      </c>
      <c r="AW26" s="181" t="s">
        <v>165</v>
      </c>
      <c r="AX26" s="611"/>
    </row>
    <row r="27" spans="2:50" ht="14.25" customHeight="1">
      <c r="B27" s="611" t="s">
        <v>426</v>
      </c>
      <c r="C27" s="179">
        <v>1</v>
      </c>
      <c r="D27" s="182"/>
      <c r="E27" s="183"/>
      <c r="F27" s="179"/>
      <c r="G27" s="184"/>
      <c r="H27" s="612"/>
      <c r="I27" s="185"/>
      <c r="J27" s="185"/>
      <c r="K27" s="186"/>
      <c r="L27" s="613"/>
      <c r="M27" s="185"/>
      <c r="N27" s="611"/>
      <c r="O27" s="611"/>
      <c r="P27" s="187"/>
      <c r="Q27" s="187"/>
      <c r="R27" s="184"/>
      <c r="S27" s="181"/>
      <c r="T27" s="612"/>
      <c r="U27" s="187"/>
      <c r="V27" s="187"/>
      <c r="W27" s="184"/>
      <c r="X27" s="181"/>
      <c r="Y27" s="612"/>
      <c r="Z27" s="187"/>
      <c r="AA27" s="187"/>
      <c r="AB27" s="184"/>
      <c r="AC27" s="181"/>
      <c r="AD27" s="612"/>
      <c r="AE27" s="187"/>
      <c r="AF27" s="187"/>
      <c r="AG27" s="184"/>
      <c r="AH27" s="181"/>
      <c r="AI27" s="612"/>
      <c r="AJ27" s="187"/>
      <c r="AK27" s="187"/>
      <c r="AL27" s="184"/>
      <c r="AM27" s="181"/>
      <c r="AN27" s="612"/>
      <c r="AO27" s="187"/>
      <c r="AP27" s="187"/>
      <c r="AQ27" s="184"/>
      <c r="AR27" s="181"/>
      <c r="AS27" s="612"/>
      <c r="AT27" s="187"/>
      <c r="AU27" s="187"/>
      <c r="AV27" s="184"/>
      <c r="AW27" s="181"/>
      <c r="AX27" s="612"/>
    </row>
    <row r="28" spans="2:50" ht="14.25" customHeight="1">
      <c r="B28" s="611"/>
      <c r="C28" s="179">
        <v>2</v>
      </c>
      <c r="D28" s="182"/>
      <c r="E28" s="179"/>
      <c r="F28" s="179"/>
      <c r="G28" s="184"/>
      <c r="H28" s="612"/>
      <c r="I28" s="185"/>
      <c r="J28" s="185"/>
      <c r="K28" s="186"/>
      <c r="L28" s="613"/>
      <c r="M28" s="185"/>
      <c r="N28" s="611"/>
      <c r="O28" s="611"/>
      <c r="P28" s="187"/>
      <c r="Q28" s="187"/>
      <c r="R28" s="184"/>
      <c r="S28" s="181"/>
      <c r="T28" s="612"/>
      <c r="U28" s="187"/>
      <c r="V28" s="187"/>
      <c r="W28" s="184"/>
      <c r="X28" s="181"/>
      <c r="Y28" s="612"/>
      <c r="Z28" s="187"/>
      <c r="AA28" s="187"/>
      <c r="AB28" s="184"/>
      <c r="AC28" s="181"/>
      <c r="AD28" s="612"/>
      <c r="AE28" s="187"/>
      <c r="AF28" s="187"/>
      <c r="AG28" s="184"/>
      <c r="AH28" s="181"/>
      <c r="AI28" s="612"/>
      <c r="AJ28" s="187"/>
      <c r="AK28" s="187"/>
      <c r="AL28" s="184"/>
      <c r="AM28" s="181"/>
      <c r="AN28" s="612"/>
      <c r="AO28" s="187"/>
      <c r="AP28" s="187"/>
      <c r="AQ28" s="184"/>
      <c r="AR28" s="181"/>
      <c r="AS28" s="612"/>
      <c r="AT28" s="187"/>
      <c r="AU28" s="187"/>
      <c r="AV28" s="184"/>
      <c r="AW28" s="181"/>
      <c r="AX28" s="612"/>
    </row>
    <row r="29" spans="2:50" ht="14.25" customHeight="1">
      <c r="B29" s="611"/>
      <c r="C29" s="179">
        <v>3</v>
      </c>
      <c r="D29" s="182"/>
      <c r="E29" s="179"/>
      <c r="F29" s="179"/>
      <c r="G29" s="184"/>
      <c r="H29" s="612"/>
      <c r="I29" s="185"/>
      <c r="J29" s="185"/>
      <c r="K29" s="186"/>
      <c r="L29" s="613"/>
      <c r="M29" s="185"/>
      <c r="N29" s="611"/>
      <c r="O29" s="611"/>
      <c r="P29" s="187"/>
      <c r="Q29" s="187"/>
      <c r="R29" s="184"/>
      <c r="S29" s="181"/>
      <c r="T29" s="612"/>
      <c r="U29" s="187"/>
      <c r="V29" s="187"/>
      <c r="W29" s="184"/>
      <c r="X29" s="181"/>
      <c r="Y29" s="612"/>
      <c r="Z29" s="187"/>
      <c r="AA29" s="187"/>
      <c r="AB29" s="184"/>
      <c r="AC29" s="181"/>
      <c r="AD29" s="612"/>
      <c r="AE29" s="187"/>
      <c r="AF29" s="187"/>
      <c r="AG29" s="184"/>
      <c r="AH29" s="181"/>
      <c r="AI29" s="612"/>
      <c r="AJ29" s="187"/>
      <c r="AK29" s="187"/>
      <c r="AL29" s="184"/>
      <c r="AM29" s="181"/>
      <c r="AN29" s="612"/>
      <c r="AO29" s="187"/>
      <c r="AP29" s="187"/>
      <c r="AQ29" s="184"/>
      <c r="AR29" s="181"/>
      <c r="AS29" s="612"/>
      <c r="AT29" s="187"/>
      <c r="AU29" s="187"/>
      <c r="AV29" s="184"/>
      <c r="AW29" s="181"/>
      <c r="AX29" s="612"/>
    </row>
    <row r="30" spans="2:50" ht="14.25" customHeight="1">
      <c r="B30" s="611"/>
      <c r="C30" s="179">
        <v>4</v>
      </c>
      <c r="D30" s="182"/>
      <c r="E30" s="179"/>
      <c r="F30" s="179"/>
      <c r="G30" s="184"/>
      <c r="H30" s="612"/>
      <c r="I30" s="185"/>
      <c r="J30" s="185"/>
      <c r="K30" s="186"/>
      <c r="L30" s="613"/>
      <c r="M30" s="185"/>
      <c r="N30" s="611"/>
      <c r="O30" s="611"/>
      <c r="P30" s="187"/>
      <c r="Q30" s="187"/>
      <c r="R30" s="184"/>
      <c r="S30" s="181"/>
      <c r="T30" s="612"/>
      <c r="U30" s="187"/>
      <c r="V30" s="187"/>
      <c r="W30" s="184"/>
      <c r="X30" s="181"/>
      <c r="Y30" s="612"/>
      <c r="Z30" s="187"/>
      <c r="AA30" s="187"/>
      <c r="AB30" s="184"/>
      <c r="AC30" s="181"/>
      <c r="AD30" s="612"/>
      <c r="AE30" s="187"/>
      <c r="AF30" s="187"/>
      <c r="AG30" s="184"/>
      <c r="AH30" s="181"/>
      <c r="AI30" s="612"/>
      <c r="AJ30" s="187"/>
      <c r="AK30" s="187"/>
      <c r="AL30" s="184"/>
      <c r="AM30" s="181"/>
      <c r="AN30" s="612"/>
      <c r="AO30" s="187"/>
      <c r="AP30" s="187"/>
      <c r="AQ30" s="184"/>
      <c r="AR30" s="181"/>
      <c r="AS30" s="612"/>
      <c r="AT30" s="187"/>
      <c r="AU30" s="187"/>
      <c r="AV30" s="184"/>
      <c r="AW30" s="181"/>
      <c r="AX30" s="612"/>
    </row>
    <row r="31" spans="2:50" ht="14.25" customHeight="1">
      <c r="B31" s="611"/>
      <c r="C31" s="179">
        <v>5</v>
      </c>
      <c r="D31" s="182"/>
      <c r="E31" s="179"/>
      <c r="F31" s="179"/>
      <c r="G31" s="184"/>
      <c r="H31" s="612"/>
      <c r="I31" s="185"/>
      <c r="J31" s="185"/>
      <c r="K31" s="186"/>
      <c r="L31" s="613"/>
      <c r="M31" s="185"/>
      <c r="N31" s="611"/>
      <c r="O31" s="611"/>
      <c r="P31" s="187"/>
      <c r="Q31" s="187"/>
      <c r="R31" s="184"/>
      <c r="S31" s="181"/>
      <c r="T31" s="612"/>
      <c r="U31" s="187"/>
      <c r="V31" s="187"/>
      <c r="W31" s="184"/>
      <c r="X31" s="181"/>
      <c r="Y31" s="612"/>
      <c r="Z31" s="187"/>
      <c r="AA31" s="187"/>
      <c r="AB31" s="184"/>
      <c r="AC31" s="181"/>
      <c r="AD31" s="612"/>
      <c r="AE31" s="187"/>
      <c r="AF31" s="187"/>
      <c r="AG31" s="184"/>
      <c r="AH31" s="181"/>
      <c r="AI31" s="612"/>
      <c r="AJ31" s="187"/>
      <c r="AK31" s="187"/>
      <c r="AL31" s="184"/>
      <c r="AM31" s="181"/>
      <c r="AN31" s="612"/>
      <c r="AO31" s="187"/>
      <c r="AP31" s="187"/>
      <c r="AQ31" s="184"/>
      <c r="AR31" s="181"/>
      <c r="AS31" s="612"/>
      <c r="AT31" s="187"/>
      <c r="AU31" s="187"/>
      <c r="AV31" s="184"/>
      <c r="AW31" s="181"/>
      <c r="AX31" s="612"/>
    </row>
    <row r="32" spans="2:50" ht="14.25" customHeight="1">
      <c r="B32" s="611"/>
      <c r="C32" s="179">
        <v>6</v>
      </c>
      <c r="D32" s="182"/>
      <c r="E32" s="179"/>
      <c r="F32" s="179"/>
      <c r="G32" s="184"/>
      <c r="H32" s="612"/>
      <c r="I32" s="185"/>
      <c r="J32" s="185"/>
      <c r="K32" s="186"/>
      <c r="L32" s="613"/>
      <c r="M32" s="185"/>
      <c r="N32" s="611"/>
      <c r="O32" s="611"/>
      <c r="P32" s="187"/>
      <c r="Q32" s="187"/>
      <c r="R32" s="184"/>
      <c r="S32" s="181"/>
      <c r="T32" s="612"/>
      <c r="U32" s="187"/>
      <c r="V32" s="187"/>
      <c r="W32" s="184"/>
      <c r="X32" s="181"/>
      <c r="Y32" s="612"/>
      <c r="Z32" s="187"/>
      <c r="AA32" s="187"/>
      <c r="AB32" s="184"/>
      <c r="AC32" s="181"/>
      <c r="AD32" s="612"/>
      <c r="AE32" s="187"/>
      <c r="AF32" s="187"/>
      <c r="AG32" s="184"/>
      <c r="AH32" s="181"/>
      <c r="AI32" s="612"/>
      <c r="AJ32" s="187"/>
      <c r="AK32" s="187"/>
      <c r="AL32" s="184"/>
      <c r="AM32" s="181"/>
      <c r="AN32" s="612"/>
      <c r="AO32" s="187"/>
      <c r="AP32" s="187"/>
      <c r="AQ32" s="184"/>
      <c r="AR32" s="181"/>
      <c r="AS32" s="612"/>
      <c r="AT32" s="187"/>
      <c r="AU32" s="187"/>
      <c r="AV32" s="184"/>
      <c r="AW32" s="181"/>
      <c r="AX32" s="612"/>
    </row>
    <row r="33" spans="2:50" ht="14.25" customHeight="1">
      <c r="B33" s="611"/>
      <c r="C33" s="179">
        <v>7</v>
      </c>
      <c r="D33" s="182"/>
      <c r="E33" s="179"/>
      <c r="F33" s="179"/>
      <c r="G33" s="184"/>
      <c r="H33" s="612"/>
      <c r="I33" s="185"/>
      <c r="J33" s="185"/>
      <c r="K33" s="186"/>
      <c r="L33" s="613"/>
      <c r="M33" s="185"/>
      <c r="N33" s="611"/>
      <c r="O33" s="611"/>
      <c r="P33" s="187"/>
      <c r="Q33" s="187"/>
      <c r="R33" s="184"/>
      <c r="S33" s="181"/>
      <c r="T33" s="612"/>
      <c r="U33" s="187"/>
      <c r="V33" s="187"/>
      <c r="W33" s="184"/>
      <c r="X33" s="181"/>
      <c r="Y33" s="612"/>
      <c r="Z33" s="187"/>
      <c r="AA33" s="187"/>
      <c r="AB33" s="184"/>
      <c r="AC33" s="181"/>
      <c r="AD33" s="612"/>
      <c r="AE33" s="187"/>
      <c r="AF33" s="187"/>
      <c r="AG33" s="184"/>
      <c r="AH33" s="181"/>
      <c r="AI33" s="612"/>
      <c r="AJ33" s="187"/>
      <c r="AK33" s="187"/>
      <c r="AL33" s="184"/>
      <c r="AM33" s="181"/>
      <c r="AN33" s="612"/>
      <c r="AO33" s="187"/>
      <c r="AP33" s="187"/>
      <c r="AQ33" s="184"/>
      <c r="AR33" s="181"/>
      <c r="AS33" s="612"/>
      <c r="AT33" s="187"/>
      <c r="AU33" s="187"/>
      <c r="AV33" s="184"/>
      <c r="AW33" s="181"/>
      <c r="AX33" s="612"/>
    </row>
    <row r="34" spans="2:50" ht="14.25" customHeight="1">
      <c r="B34" s="611"/>
      <c r="C34" s="179">
        <v>8</v>
      </c>
      <c r="D34" s="182"/>
      <c r="E34" s="179"/>
      <c r="F34" s="179"/>
      <c r="G34" s="184"/>
      <c r="H34" s="612"/>
      <c r="I34" s="185"/>
      <c r="J34" s="185"/>
      <c r="K34" s="186"/>
      <c r="L34" s="613"/>
      <c r="M34" s="185"/>
      <c r="N34" s="611"/>
      <c r="O34" s="611"/>
      <c r="P34" s="187"/>
      <c r="Q34" s="187"/>
      <c r="R34" s="184"/>
      <c r="S34" s="181"/>
      <c r="T34" s="612"/>
      <c r="U34" s="187"/>
      <c r="V34" s="187"/>
      <c r="W34" s="184"/>
      <c r="X34" s="181"/>
      <c r="Y34" s="612"/>
      <c r="Z34" s="187"/>
      <c r="AA34" s="187"/>
      <c r="AB34" s="184"/>
      <c r="AC34" s="181"/>
      <c r="AD34" s="612"/>
      <c r="AE34" s="187"/>
      <c r="AF34" s="187"/>
      <c r="AG34" s="184"/>
      <c r="AH34" s="181"/>
      <c r="AI34" s="612"/>
      <c r="AJ34" s="187"/>
      <c r="AK34" s="187"/>
      <c r="AL34" s="184"/>
      <c r="AM34" s="181"/>
      <c r="AN34" s="612"/>
      <c r="AO34" s="187"/>
      <c r="AP34" s="187"/>
      <c r="AQ34" s="184"/>
      <c r="AR34" s="181"/>
      <c r="AS34" s="612"/>
      <c r="AT34" s="187"/>
      <c r="AU34" s="187"/>
      <c r="AV34" s="184"/>
      <c r="AW34" s="181"/>
      <c r="AX34" s="612"/>
    </row>
    <row r="35" spans="2:50" ht="14.25" customHeight="1">
      <c r="B35" s="611"/>
      <c r="C35" s="179">
        <v>9</v>
      </c>
      <c r="D35" s="182"/>
      <c r="E35" s="179"/>
      <c r="F35" s="179"/>
      <c r="G35" s="184"/>
      <c r="H35" s="612"/>
      <c r="I35" s="185"/>
      <c r="J35" s="185"/>
      <c r="K35" s="186"/>
      <c r="L35" s="613"/>
      <c r="M35" s="185"/>
      <c r="N35" s="611"/>
      <c r="O35" s="611"/>
      <c r="P35" s="187"/>
      <c r="Q35" s="187"/>
      <c r="R35" s="184"/>
      <c r="S35" s="181"/>
      <c r="T35" s="612"/>
      <c r="U35" s="187"/>
      <c r="V35" s="187"/>
      <c r="W35" s="184"/>
      <c r="X35" s="181"/>
      <c r="Y35" s="612"/>
      <c r="Z35" s="187"/>
      <c r="AA35" s="187"/>
      <c r="AB35" s="184"/>
      <c r="AC35" s="181"/>
      <c r="AD35" s="612"/>
      <c r="AE35" s="187"/>
      <c r="AF35" s="187"/>
      <c r="AG35" s="184"/>
      <c r="AH35" s="181"/>
      <c r="AI35" s="612"/>
      <c r="AJ35" s="187"/>
      <c r="AK35" s="187"/>
      <c r="AL35" s="184"/>
      <c r="AM35" s="181"/>
      <c r="AN35" s="612"/>
      <c r="AO35" s="187"/>
      <c r="AP35" s="187"/>
      <c r="AQ35" s="184"/>
      <c r="AR35" s="181"/>
      <c r="AS35" s="612"/>
      <c r="AT35" s="187"/>
      <c r="AU35" s="187"/>
      <c r="AV35" s="184"/>
      <c r="AW35" s="181"/>
      <c r="AX35" s="612"/>
    </row>
    <row r="36" spans="2:50" ht="14.25" customHeight="1">
      <c r="B36" s="611"/>
      <c r="C36" s="179">
        <v>10</v>
      </c>
      <c r="D36" s="182"/>
      <c r="E36" s="179"/>
      <c r="F36" s="179"/>
      <c r="G36" s="184"/>
      <c r="H36" s="612"/>
      <c r="I36" s="185"/>
      <c r="J36" s="185"/>
      <c r="K36" s="186"/>
      <c r="L36" s="613"/>
      <c r="M36" s="185"/>
      <c r="N36" s="611"/>
      <c r="O36" s="611"/>
      <c r="P36" s="187"/>
      <c r="Q36" s="187"/>
      <c r="R36" s="184"/>
      <c r="S36" s="181"/>
      <c r="T36" s="612"/>
      <c r="U36" s="187"/>
      <c r="V36" s="187"/>
      <c r="W36" s="184"/>
      <c r="X36" s="181"/>
      <c r="Y36" s="612"/>
      <c r="Z36" s="187"/>
      <c r="AA36" s="187"/>
      <c r="AB36" s="184"/>
      <c r="AC36" s="181"/>
      <c r="AD36" s="612"/>
      <c r="AE36" s="187"/>
      <c r="AF36" s="187"/>
      <c r="AG36" s="184"/>
      <c r="AH36" s="181"/>
      <c r="AI36" s="612"/>
      <c r="AJ36" s="187"/>
      <c r="AK36" s="187"/>
      <c r="AL36" s="184"/>
      <c r="AM36" s="181"/>
      <c r="AN36" s="612"/>
      <c r="AO36" s="187"/>
      <c r="AP36" s="187"/>
      <c r="AQ36" s="184"/>
      <c r="AR36" s="181"/>
      <c r="AS36" s="612"/>
      <c r="AT36" s="187"/>
      <c r="AU36" s="187"/>
      <c r="AV36" s="184"/>
      <c r="AW36" s="181"/>
      <c r="AX36" s="612"/>
    </row>
    <row r="37" spans="2:50" ht="14.25" customHeight="1">
      <c r="B37" s="611"/>
      <c r="C37" s="179">
        <v>11</v>
      </c>
      <c r="D37" s="182"/>
      <c r="E37" s="179"/>
      <c r="F37" s="179"/>
      <c r="G37" s="184"/>
      <c r="H37" s="612"/>
      <c r="I37" s="185"/>
      <c r="J37" s="185"/>
      <c r="K37" s="186"/>
      <c r="L37" s="613"/>
      <c r="M37" s="185"/>
      <c r="N37" s="611"/>
      <c r="O37" s="611"/>
      <c r="P37" s="187"/>
      <c r="Q37" s="187"/>
      <c r="R37" s="184"/>
      <c r="S37" s="181"/>
      <c r="T37" s="612"/>
      <c r="U37" s="187"/>
      <c r="V37" s="187"/>
      <c r="W37" s="184"/>
      <c r="X37" s="181"/>
      <c r="Y37" s="612"/>
      <c r="Z37" s="187"/>
      <c r="AA37" s="187"/>
      <c r="AB37" s="184"/>
      <c r="AC37" s="181"/>
      <c r="AD37" s="612"/>
      <c r="AE37" s="187"/>
      <c r="AF37" s="187"/>
      <c r="AG37" s="184"/>
      <c r="AH37" s="181"/>
      <c r="AI37" s="612"/>
      <c r="AJ37" s="187"/>
      <c r="AK37" s="187"/>
      <c r="AL37" s="184"/>
      <c r="AM37" s="181"/>
      <c r="AN37" s="612"/>
      <c r="AO37" s="187"/>
      <c r="AP37" s="187"/>
      <c r="AQ37" s="184"/>
      <c r="AR37" s="181"/>
      <c r="AS37" s="612"/>
      <c r="AT37" s="187"/>
      <c r="AU37" s="187"/>
      <c r="AV37" s="184"/>
      <c r="AW37" s="181"/>
      <c r="AX37" s="612"/>
    </row>
    <row r="38" spans="2:50" ht="14.25" customHeight="1">
      <c r="B38" s="611"/>
      <c r="C38" s="179">
        <v>12</v>
      </c>
      <c r="D38" s="182"/>
      <c r="E38" s="179"/>
      <c r="F38" s="179"/>
      <c r="G38" s="184"/>
      <c r="H38" s="612"/>
      <c r="I38" s="185"/>
      <c r="J38" s="185"/>
      <c r="K38" s="186"/>
      <c r="L38" s="613"/>
      <c r="M38" s="185"/>
      <c r="N38" s="611"/>
      <c r="O38" s="611"/>
      <c r="P38" s="187"/>
      <c r="Q38" s="187"/>
      <c r="R38" s="184"/>
      <c r="S38" s="181"/>
      <c r="T38" s="612"/>
      <c r="U38" s="187"/>
      <c r="V38" s="187"/>
      <c r="W38" s="184"/>
      <c r="X38" s="181"/>
      <c r="Y38" s="612"/>
      <c r="Z38" s="187"/>
      <c r="AA38" s="187"/>
      <c r="AB38" s="184"/>
      <c r="AC38" s="181"/>
      <c r="AD38" s="612"/>
      <c r="AE38" s="187"/>
      <c r="AF38" s="187"/>
      <c r="AG38" s="184"/>
      <c r="AH38" s="181"/>
      <c r="AI38" s="612"/>
      <c r="AJ38" s="187"/>
      <c r="AK38" s="187"/>
      <c r="AL38" s="184"/>
      <c r="AM38" s="181"/>
      <c r="AN38" s="612"/>
      <c r="AO38" s="187"/>
      <c r="AP38" s="187"/>
      <c r="AQ38" s="184"/>
      <c r="AR38" s="181"/>
      <c r="AS38" s="612"/>
      <c r="AT38" s="187"/>
      <c r="AU38" s="187"/>
      <c r="AV38" s="184"/>
      <c r="AW38" s="181"/>
      <c r="AX38" s="612"/>
    </row>
    <row r="39" spans="2:50" ht="14.25" customHeight="1">
      <c r="B39" s="611"/>
      <c r="C39" s="179">
        <v>13</v>
      </c>
      <c r="D39" s="182"/>
      <c r="E39" s="179"/>
      <c r="F39" s="179"/>
      <c r="G39" s="184"/>
      <c r="H39" s="612"/>
      <c r="I39" s="185"/>
      <c r="J39" s="185"/>
      <c r="K39" s="186"/>
      <c r="L39" s="613"/>
      <c r="M39" s="185"/>
      <c r="N39" s="611"/>
      <c r="O39" s="611"/>
      <c r="P39" s="187"/>
      <c r="Q39" s="187"/>
      <c r="R39" s="184"/>
      <c r="S39" s="181"/>
      <c r="T39" s="612"/>
      <c r="U39" s="187"/>
      <c r="V39" s="187"/>
      <c r="W39" s="184"/>
      <c r="X39" s="181"/>
      <c r="Y39" s="612"/>
      <c r="Z39" s="187"/>
      <c r="AA39" s="187"/>
      <c r="AB39" s="184"/>
      <c r="AC39" s="181"/>
      <c r="AD39" s="612"/>
      <c r="AE39" s="187"/>
      <c r="AF39" s="187"/>
      <c r="AG39" s="184"/>
      <c r="AH39" s="181"/>
      <c r="AI39" s="612"/>
      <c r="AJ39" s="187"/>
      <c r="AK39" s="187"/>
      <c r="AL39" s="184"/>
      <c r="AM39" s="181"/>
      <c r="AN39" s="612"/>
      <c r="AO39" s="187"/>
      <c r="AP39" s="187"/>
      <c r="AQ39" s="184"/>
      <c r="AR39" s="181"/>
      <c r="AS39" s="612"/>
      <c r="AT39" s="187"/>
      <c r="AU39" s="187"/>
      <c r="AV39" s="184"/>
      <c r="AW39" s="181"/>
      <c r="AX39" s="612"/>
    </row>
    <row r="40" spans="2:50" ht="14.25" customHeight="1">
      <c r="B40" s="611"/>
      <c r="C40" s="179">
        <v>14</v>
      </c>
      <c r="D40" s="182"/>
      <c r="E40" s="179"/>
      <c r="F40" s="179"/>
      <c r="G40" s="184"/>
      <c r="H40" s="612"/>
      <c r="I40" s="185"/>
      <c r="J40" s="185"/>
      <c r="K40" s="186"/>
      <c r="L40" s="613"/>
      <c r="M40" s="185"/>
      <c r="N40" s="611"/>
      <c r="O40" s="611"/>
      <c r="P40" s="187"/>
      <c r="Q40" s="187"/>
      <c r="R40" s="184"/>
      <c r="S40" s="181"/>
      <c r="T40" s="612"/>
      <c r="U40" s="187"/>
      <c r="V40" s="187"/>
      <c r="W40" s="184"/>
      <c r="X40" s="181"/>
      <c r="Y40" s="612"/>
      <c r="Z40" s="187"/>
      <c r="AA40" s="187"/>
      <c r="AB40" s="184"/>
      <c r="AC40" s="181"/>
      <c r="AD40" s="612"/>
      <c r="AE40" s="187"/>
      <c r="AF40" s="187"/>
      <c r="AG40" s="184"/>
      <c r="AH40" s="181"/>
      <c r="AI40" s="612"/>
      <c r="AJ40" s="187"/>
      <c r="AK40" s="187"/>
      <c r="AL40" s="184"/>
      <c r="AM40" s="181"/>
      <c r="AN40" s="612"/>
      <c r="AO40" s="187"/>
      <c r="AP40" s="187"/>
      <c r="AQ40" s="184"/>
      <c r="AR40" s="181"/>
      <c r="AS40" s="612"/>
      <c r="AT40" s="187"/>
      <c r="AU40" s="187"/>
      <c r="AV40" s="184"/>
      <c r="AW40" s="181"/>
      <c r="AX40" s="612"/>
    </row>
    <row r="41" spans="2:50" ht="14.25" customHeight="1">
      <c r="B41" s="611"/>
      <c r="C41" s="179">
        <v>15</v>
      </c>
      <c r="D41" s="182"/>
      <c r="E41" s="179"/>
      <c r="F41" s="179"/>
      <c r="G41" s="184"/>
      <c r="H41" s="612"/>
      <c r="I41" s="185"/>
      <c r="J41" s="185"/>
      <c r="K41" s="186"/>
      <c r="L41" s="613"/>
      <c r="M41" s="185"/>
      <c r="N41" s="611"/>
      <c r="O41" s="611"/>
      <c r="P41" s="187"/>
      <c r="Q41" s="187"/>
      <c r="R41" s="184"/>
      <c r="S41" s="181"/>
      <c r="T41" s="612"/>
      <c r="U41" s="187"/>
      <c r="V41" s="187"/>
      <c r="W41" s="184"/>
      <c r="X41" s="181"/>
      <c r="Y41" s="612"/>
      <c r="Z41" s="187"/>
      <c r="AA41" s="187"/>
      <c r="AB41" s="184"/>
      <c r="AC41" s="181"/>
      <c r="AD41" s="612"/>
      <c r="AE41" s="187"/>
      <c r="AF41" s="187"/>
      <c r="AG41" s="184"/>
      <c r="AH41" s="181"/>
      <c r="AI41" s="612"/>
      <c r="AJ41" s="187"/>
      <c r="AK41" s="187"/>
      <c r="AL41" s="184"/>
      <c r="AM41" s="181"/>
      <c r="AN41" s="612"/>
      <c r="AO41" s="187"/>
      <c r="AP41" s="187"/>
      <c r="AQ41" s="184"/>
      <c r="AR41" s="181"/>
      <c r="AS41" s="612"/>
      <c r="AT41" s="187"/>
      <c r="AU41" s="187"/>
      <c r="AV41" s="184"/>
      <c r="AW41" s="181"/>
      <c r="AX41" s="612"/>
    </row>
    <row r="42" spans="2:50" ht="14.25" customHeight="1">
      <c r="B42" s="640" t="s">
        <v>800</v>
      </c>
      <c r="C42" s="641"/>
      <c r="D42" s="641"/>
      <c r="E42" s="641"/>
      <c r="F42" s="641"/>
      <c r="G42" s="641"/>
      <c r="H42" s="641"/>
      <c r="I42" s="641"/>
      <c r="J42" s="641"/>
      <c r="K42" s="641"/>
      <c r="L42" s="641"/>
      <c r="M42" s="642"/>
      <c r="N42" s="645" t="s">
        <v>363</v>
      </c>
      <c r="O42" s="645" t="s">
        <v>105</v>
      </c>
      <c r="P42" s="632">
        <v>46217</v>
      </c>
      <c r="Q42" s="633"/>
      <c r="R42" s="633"/>
      <c r="S42" s="633"/>
      <c r="T42" s="633"/>
      <c r="U42" s="634">
        <f>P42+1</f>
        <v>46218</v>
      </c>
      <c r="V42" s="635"/>
      <c r="W42" s="635"/>
      <c r="X42" s="635"/>
      <c r="Y42" s="635"/>
      <c r="Z42" s="632">
        <f t="shared" ref="Z42" si="10">U42+1</f>
        <v>46219</v>
      </c>
      <c r="AA42" s="633"/>
      <c r="AB42" s="633"/>
      <c r="AC42" s="633"/>
      <c r="AD42" s="633"/>
      <c r="AE42" s="634">
        <f t="shared" ref="AE42" si="11">Z42+1</f>
        <v>46220</v>
      </c>
      <c r="AF42" s="635"/>
      <c r="AG42" s="635"/>
      <c r="AH42" s="635"/>
      <c r="AI42" s="635"/>
      <c r="AJ42" s="616">
        <f t="shared" ref="AJ42" si="12">AE42+1</f>
        <v>46221</v>
      </c>
      <c r="AK42" s="617"/>
      <c r="AL42" s="617"/>
      <c r="AM42" s="617"/>
      <c r="AN42" s="618"/>
      <c r="AO42" s="634">
        <f t="shared" ref="AO42" si="13">AJ42+1</f>
        <v>46222</v>
      </c>
      <c r="AP42" s="635"/>
      <c r="AQ42" s="635"/>
      <c r="AR42" s="635"/>
      <c r="AS42" s="635"/>
      <c r="AT42" s="616">
        <f t="shared" ref="AT42" si="14">AO42+1</f>
        <v>46223</v>
      </c>
      <c r="AU42" s="617"/>
      <c r="AV42" s="617"/>
      <c r="AW42" s="617"/>
      <c r="AX42" s="618"/>
    </row>
    <row r="43" spans="2:50" ht="14.25" customHeight="1"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4"/>
      <c r="N43" s="646"/>
      <c r="O43" s="646"/>
      <c r="P43" s="619">
        <v>46196</v>
      </c>
      <c r="Q43" s="619"/>
      <c r="R43" s="619"/>
      <c r="S43" s="619"/>
      <c r="T43" s="619"/>
      <c r="U43" s="620">
        <v>46197</v>
      </c>
      <c r="V43" s="620"/>
      <c r="W43" s="620"/>
      <c r="X43" s="620"/>
      <c r="Y43" s="620"/>
      <c r="Z43" s="619">
        <v>46198</v>
      </c>
      <c r="AA43" s="619"/>
      <c r="AB43" s="619"/>
      <c r="AC43" s="619"/>
      <c r="AD43" s="619"/>
      <c r="AE43" s="620">
        <v>46199</v>
      </c>
      <c r="AF43" s="620"/>
      <c r="AG43" s="620"/>
      <c r="AH43" s="620"/>
      <c r="AI43" s="620"/>
      <c r="AJ43" s="621">
        <v>46200</v>
      </c>
      <c r="AK43" s="622"/>
      <c r="AL43" s="622"/>
      <c r="AM43" s="622"/>
      <c r="AN43" s="623"/>
      <c r="AO43" s="620">
        <v>46201</v>
      </c>
      <c r="AP43" s="620"/>
      <c r="AQ43" s="620"/>
      <c r="AR43" s="620"/>
      <c r="AS43" s="620"/>
      <c r="AT43" s="621">
        <v>46202</v>
      </c>
      <c r="AU43" s="622"/>
      <c r="AV43" s="622"/>
      <c r="AW43" s="622"/>
      <c r="AX43" s="623"/>
    </row>
    <row r="44" spans="2:50" ht="14.25" customHeight="1">
      <c r="B44" s="611" t="s">
        <v>162</v>
      </c>
      <c r="C44" s="611" t="s">
        <v>157</v>
      </c>
      <c r="D44" s="611"/>
      <c r="E44" s="611" t="s">
        <v>158</v>
      </c>
      <c r="F44" s="611"/>
      <c r="G44" s="611"/>
      <c r="H44" s="611" t="s">
        <v>163</v>
      </c>
      <c r="I44" s="615" t="s">
        <v>364</v>
      </c>
      <c r="J44" s="615"/>
      <c r="K44" s="615"/>
      <c r="L44" s="615" t="s">
        <v>163</v>
      </c>
      <c r="M44" s="615" t="s">
        <v>165</v>
      </c>
      <c r="N44" s="611"/>
      <c r="O44" s="611" t="s">
        <v>164</v>
      </c>
      <c r="P44" s="611" t="s">
        <v>160</v>
      </c>
      <c r="Q44" s="611"/>
      <c r="R44" s="611"/>
      <c r="S44" s="611"/>
      <c r="T44" s="611" t="s">
        <v>163</v>
      </c>
      <c r="U44" s="611" t="s">
        <v>160</v>
      </c>
      <c r="V44" s="611"/>
      <c r="W44" s="611"/>
      <c r="X44" s="611"/>
      <c r="Y44" s="611" t="s">
        <v>163</v>
      </c>
      <c r="Z44" s="611" t="s">
        <v>160</v>
      </c>
      <c r="AA44" s="611"/>
      <c r="AB44" s="611"/>
      <c r="AC44" s="611"/>
      <c r="AD44" s="611" t="s">
        <v>163</v>
      </c>
      <c r="AE44" s="611" t="s">
        <v>160</v>
      </c>
      <c r="AF44" s="611"/>
      <c r="AG44" s="611"/>
      <c r="AH44" s="611"/>
      <c r="AI44" s="611" t="s">
        <v>163</v>
      </c>
      <c r="AJ44" s="611" t="s">
        <v>160</v>
      </c>
      <c r="AK44" s="611"/>
      <c r="AL44" s="611"/>
      <c r="AM44" s="611"/>
      <c r="AN44" s="611" t="s">
        <v>163</v>
      </c>
      <c r="AO44" s="611" t="s">
        <v>160</v>
      </c>
      <c r="AP44" s="611"/>
      <c r="AQ44" s="611"/>
      <c r="AR44" s="611"/>
      <c r="AS44" s="611" t="s">
        <v>163</v>
      </c>
      <c r="AT44" s="611" t="s">
        <v>160</v>
      </c>
      <c r="AU44" s="611"/>
      <c r="AV44" s="611"/>
      <c r="AW44" s="611"/>
      <c r="AX44" s="611" t="s">
        <v>163</v>
      </c>
    </row>
    <row r="45" spans="2:50" ht="14.25" customHeight="1">
      <c r="B45" s="611"/>
      <c r="C45" s="611"/>
      <c r="D45" s="611"/>
      <c r="E45" s="611" t="s">
        <v>365</v>
      </c>
      <c r="F45" s="611"/>
      <c r="G45" s="611"/>
      <c r="H45" s="611"/>
      <c r="I45" s="615" t="s">
        <v>365</v>
      </c>
      <c r="J45" s="615"/>
      <c r="K45" s="615"/>
      <c r="L45" s="615"/>
      <c r="M45" s="615"/>
      <c r="N45" s="611"/>
      <c r="O45" s="611"/>
      <c r="P45" s="611" t="s">
        <v>366</v>
      </c>
      <c r="Q45" s="611"/>
      <c r="R45" s="611"/>
      <c r="S45" s="611"/>
      <c r="T45" s="611"/>
      <c r="U45" s="611" t="s">
        <v>366</v>
      </c>
      <c r="V45" s="611"/>
      <c r="W45" s="611"/>
      <c r="X45" s="611"/>
      <c r="Y45" s="611"/>
      <c r="Z45" s="611" t="s">
        <v>366</v>
      </c>
      <c r="AA45" s="611"/>
      <c r="AB45" s="611"/>
      <c r="AC45" s="611"/>
      <c r="AD45" s="611"/>
      <c r="AE45" s="611" t="s">
        <v>366</v>
      </c>
      <c r="AF45" s="611"/>
      <c r="AG45" s="611"/>
      <c r="AH45" s="611"/>
      <c r="AI45" s="611"/>
      <c r="AJ45" s="611" t="s">
        <v>366</v>
      </c>
      <c r="AK45" s="611"/>
      <c r="AL45" s="611"/>
      <c r="AM45" s="611"/>
      <c r="AN45" s="611"/>
      <c r="AO45" s="611" t="s">
        <v>366</v>
      </c>
      <c r="AP45" s="611"/>
      <c r="AQ45" s="611"/>
      <c r="AR45" s="611"/>
      <c r="AS45" s="611"/>
      <c r="AT45" s="611" t="s">
        <v>366</v>
      </c>
      <c r="AU45" s="611"/>
      <c r="AV45" s="611"/>
      <c r="AW45" s="611"/>
      <c r="AX45" s="611"/>
    </row>
    <row r="46" spans="2:50" ht="14.25" customHeight="1">
      <c r="B46" s="611"/>
      <c r="C46" s="611"/>
      <c r="D46" s="611"/>
      <c r="E46" s="179" t="s">
        <v>159</v>
      </c>
      <c r="F46" s="179" t="s">
        <v>367</v>
      </c>
      <c r="G46" s="179" t="s">
        <v>161</v>
      </c>
      <c r="H46" s="611"/>
      <c r="I46" s="180" t="s">
        <v>159</v>
      </c>
      <c r="J46" s="180" t="s">
        <v>367</v>
      </c>
      <c r="K46" s="180" t="s">
        <v>161</v>
      </c>
      <c r="L46" s="615"/>
      <c r="M46" s="615"/>
      <c r="N46" s="611"/>
      <c r="O46" s="611"/>
      <c r="P46" s="179" t="s">
        <v>159</v>
      </c>
      <c r="Q46" s="179" t="s">
        <v>367</v>
      </c>
      <c r="R46" s="179" t="s">
        <v>161</v>
      </c>
      <c r="S46" s="181" t="s">
        <v>165</v>
      </c>
      <c r="T46" s="611"/>
      <c r="U46" s="179" t="s">
        <v>159</v>
      </c>
      <c r="V46" s="179" t="s">
        <v>367</v>
      </c>
      <c r="W46" s="179" t="s">
        <v>161</v>
      </c>
      <c r="X46" s="181" t="s">
        <v>165</v>
      </c>
      <c r="Y46" s="611"/>
      <c r="Z46" s="179" t="s">
        <v>159</v>
      </c>
      <c r="AA46" s="179" t="s">
        <v>367</v>
      </c>
      <c r="AB46" s="179" t="s">
        <v>161</v>
      </c>
      <c r="AC46" s="181" t="s">
        <v>165</v>
      </c>
      <c r="AD46" s="611"/>
      <c r="AE46" s="179" t="s">
        <v>159</v>
      </c>
      <c r="AF46" s="179" t="s">
        <v>367</v>
      </c>
      <c r="AG46" s="179" t="s">
        <v>161</v>
      </c>
      <c r="AH46" s="181" t="s">
        <v>165</v>
      </c>
      <c r="AI46" s="611"/>
      <c r="AJ46" s="179" t="s">
        <v>159</v>
      </c>
      <c r="AK46" s="179" t="s">
        <v>367</v>
      </c>
      <c r="AL46" s="179" t="s">
        <v>161</v>
      </c>
      <c r="AM46" s="181" t="s">
        <v>165</v>
      </c>
      <c r="AN46" s="611"/>
      <c r="AO46" s="179" t="s">
        <v>159</v>
      </c>
      <c r="AP46" s="179" t="s">
        <v>367</v>
      </c>
      <c r="AQ46" s="179" t="s">
        <v>161</v>
      </c>
      <c r="AR46" s="181" t="s">
        <v>165</v>
      </c>
      <c r="AS46" s="611"/>
      <c r="AT46" s="179" t="s">
        <v>159</v>
      </c>
      <c r="AU46" s="179" t="s">
        <v>367</v>
      </c>
      <c r="AV46" s="179" t="s">
        <v>161</v>
      </c>
      <c r="AW46" s="181" t="s">
        <v>165</v>
      </c>
      <c r="AX46" s="611"/>
    </row>
    <row r="47" spans="2:50" ht="14.25" customHeight="1">
      <c r="B47" s="611" t="s">
        <v>426</v>
      </c>
      <c r="C47" s="179">
        <v>1</v>
      </c>
      <c r="D47" s="182"/>
      <c r="E47" s="183"/>
      <c r="F47" s="179"/>
      <c r="G47" s="184"/>
      <c r="H47" s="612"/>
      <c r="I47" s="185"/>
      <c r="J47" s="185"/>
      <c r="K47" s="186"/>
      <c r="L47" s="613"/>
      <c r="M47" s="185"/>
      <c r="N47" s="611"/>
      <c r="O47" s="611"/>
      <c r="P47" s="187"/>
      <c r="Q47" s="187"/>
      <c r="R47" s="184"/>
      <c r="S47" s="181"/>
      <c r="T47" s="612"/>
      <c r="U47" s="187"/>
      <c r="V47" s="187"/>
      <c r="W47" s="184"/>
      <c r="X47" s="181"/>
      <c r="Y47" s="612"/>
      <c r="Z47" s="187"/>
      <c r="AA47" s="187"/>
      <c r="AB47" s="184"/>
      <c r="AC47" s="181"/>
      <c r="AD47" s="612"/>
      <c r="AE47" s="187"/>
      <c r="AF47" s="187"/>
      <c r="AG47" s="184"/>
      <c r="AH47" s="181"/>
      <c r="AI47" s="612"/>
      <c r="AJ47" s="187"/>
      <c r="AK47" s="187"/>
      <c r="AL47" s="184"/>
      <c r="AM47" s="181"/>
      <c r="AN47" s="612"/>
      <c r="AO47" s="187"/>
      <c r="AP47" s="187"/>
      <c r="AQ47" s="184"/>
      <c r="AR47" s="181"/>
      <c r="AS47" s="612"/>
      <c r="AT47" s="187"/>
      <c r="AU47" s="187"/>
      <c r="AV47" s="184"/>
      <c r="AW47" s="181"/>
      <c r="AX47" s="612"/>
    </row>
    <row r="48" spans="2:50" ht="14.25" customHeight="1">
      <c r="B48" s="611"/>
      <c r="C48" s="179">
        <v>2</v>
      </c>
      <c r="D48" s="182"/>
      <c r="E48" s="179"/>
      <c r="F48" s="179"/>
      <c r="G48" s="184"/>
      <c r="H48" s="612"/>
      <c r="I48" s="185"/>
      <c r="J48" s="185"/>
      <c r="K48" s="186"/>
      <c r="L48" s="613"/>
      <c r="M48" s="185"/>
      <c r="N48" s="611"/>
      <c r="O48" s="611"/>
      <c r="P48" s="187"/>
      <c r="Q48" s="187"/>
      <c r="R48" s="184"/>
      <c r="S48" s="181"/>
      <c r="T48" s="612"/>
      <c r="U48" s="187"/>
      <c r="V48" s="187"/>
      <c r="W48" s="184"/>
      <c r="X48" s="181"/>
      <c r="Y48" s="612"/>
      <c r="Z48" s="187"/>
      <c r="AA48" s="187"/>
      <c r="AB48" s="184"/>
      <c r="AC48" s="181"/>
      <c r="AD48" s="612"/>
      <c r="AE48" s="187"/>
      <c r="AF48" s="187"/>
      <c r="AG48" s="184"/>
      <c r="AH48" s="181"/>
      <c r="AI48" s="612"/>
      <c r="AJ48" s="187"/>
      <c r="AK48" s="187"/>
      <c r="AL48" s="184"/>
      <c r="AM48" s="181"/>
      <c r="AN48" s="612"/>
      <c r="AO48" s="187"/>
      <c r="AP48" s="187"/>
      <c r="AQ48" s="184"/>
      <c r="AR48" s="181"/>
      <c r="AS48" s="612"/>
      <c r="AT48" s="187"/>
      <c r="AU48" s="187"/>
      <c r="AV48" s="184"/>
      <c r="AW48" s="181"/>
      <c r="AX48" s="612"/>
    </row>
    <row r="49" spans="2:50" ht="14.25" customHeight="1">
      <c r="B49" s="611"/>
      <c r="C49" s="179">
        <v>3</v>
      </c>
      <c r="D49" s="182"/>
      <c r="E49" s="179"/>
      <c r="F49" s="179"/>
      <c r="G49" s="184"/>
      <c r="H49" s="612"/>
      <c r="I49" s="185"/>
      <c r="J49" s="185"/>
      <c r="K49" s="186"/>
      <c r="L49" s="613"/>
      <c r="M49" s="185"/>
      <c r="N49" s="611"/>
      <c r="O49" s="611"/>
      <c r="P49" s="187"/>
      <c r="Q49" s="187"/>
      <c r="R49" s="184"/>
      <c r="S49" s="181"/>
      <c r="T49" s="612"/>
      <c r="U49" s="187"/>
      <c r="V49" s="187"/>
      <c r="W49" s="184"/>
      <c r="X49" s="181"/>
      <c r="Y49" s="612"/>
      <c r="Z49" s="187"/>
      <c r="AA49" s="187"/>
      <c r="AB49" s="184"/>
      <c r="AC49" s="181"/>
      <c r="AD49" s="612"/>
      <c r="AE49" s="187"/>
      <c r="AF49" s="187"/>
      <c r="AG49" s="184"/>
      <c r="AH49" s="181"/>
      <c r="AI49" s="612"/>
      <c r="AJ49" s="187"/>
      <c r="AK49" s="187"/>
      <c r="AL49" s="184"/>
      <c r="AM49" s="181"/>
      <c r="AN49" s="612"/>
      <c r="AO49" s="187"/>
      <c r="AP49" s="187"/>
      <c r="AQ49" s="184"/>
      <c r="AR49" s="181"/>
      <c r="AS49" s="612"/>
      <c r="AT49" s="187"/>
      <c r="AU49" s="187"/>
      <c r="AV49" s="184"/>
      <c r="AW49" s="181"/>
      <c r="AX49" s="612"/>
    </row>
    <row r="50" spans="2:50" ht="14.25" customHeight="1">
      <c r="B50" s="611"/>
      <c r="C50" s="179">
        <v>4</v>
      </c>
      <c r="D50" s="182"/>
      <c r="E50" s="179"/>
      <c r="F50" s="179"/>
      <c r="G50" s="184"/>
      <c r="H50" s="612"/>
      <c r="I50" s="185"/>
      <c r="J50" s="185"/>
      <c r="K50" s="186"/>
      <c r="L50" s="613"/>
      <c r="M50" s="185"/>
      <c r="N50" s="611"/>
      <c r="O50" s="611"/>
      <c r="P50" s="187"/>
      <c r="Q50" s="187"/>
      <c r="R50" s="184"/>
      <c r="S50" s="181"/>
      <c r="T50" s="612"/>
      <c r="U50" s="187"/>
      <c r="V50" s="187"/>
      <c r="W50" s="184"/>
      <c r="X50" s="181"/>
      <c r="Y50" s="612"/>
      <c r="Z50" s="187"/>
      <c r="AA50" s="187"/>
      <c r="AB50" s="184"/>
      <c r="AC50" s="181"/>
      <c r="AD50" s="612"/>
      <c r="AE50" s="187"/>
      <c r="AF50" s="187"/>
      <c r="AG50" s="184"/>
      <c r="AH50" s="181"/>
      <c r="AI50" s="612"/>
      <c r="AJ50" s="187"/>
      <c r="AK50" s="187"/>
      <c r="AL50" s="184"/>
      <c r="AM50" s="181"/>
      <c r="AN50" s="612"/>
      <c r="AO50" s="187"/>
      <c r="AP50" s="187"/>
      <c r="AQ50" s="184"/>
      <c r="AR50" s="181"/>
      <c r="AS50" s="612"/>
      <c r="AT50" s="187"/>
      <c r="AU50" s="187"/>
      <c r="AV50" s="184"/>
      <c r="AW50" s="181"/>
      <c r="AX50" s="612"/>
    </row>
    <row r="51" spans="2:50" ht="14.25" customHeight="1">
      <c r="B51" s="611"/>
      <c r="C51" s="179">
        <v>5</v>
      </c>
      <c r="D51" s="182"/>
      <c r="E51" s="179"/>
      <c r="F51" s="179"/>
      <c r="G51" s="184"/>
      <c r="H51" s="612"/>
      <c r="I51" s="185"/>
      <c r="J51" s="185"/>
      <c r="K51" s="186"/>
      <c r="L51" s="613"/>
      <c r="M51" s="185"/>
      <c r="N51" s="611"/>
      <c r="O51" s="611"/>
      <c r="P51" s="187"/>
      <c r="Q51" s="187"/>
      <c r="R51" s="184"/>
      <c r="S51" s="181"/>
      <c r="T51" s="612"/>
      <c r="U51" s="187"/>
      <c r="V51" s="187"/>
      <c r="W51" s="184"/>
      <c r="X51" s="181"/>
      <c r="Y51" s="612"/>
      <c r="Z51" s="187"/>
      <c r="AA51" s="187"/>
      <c r="AB51" s="184"/>
      <c r="AC51" s="181"/>
      <c r="AD51" s="612"/>
      <c r="AE51" s="187"/>
      <c r="AF51" s="187"/>
      <c r="AG51" s="184"/>
      <c r="AH51" s="181"/>
      <c r="AI51" s="612"/>
      <c r="AJ51" s="187"/>
      <c r="AK51" s="187"/>
      <c r="AL51" s="184"/>
      <c r="AM51" s="181"/>
      <c r="AN51" s="612"/>
      <c r="AO51" s="187"/>
      <c r="AP51" s="187"/>
      <c r="AQ51" s="184"/>
      <c r="AR51" s="181"/>
      <c r="AS51" s="612"/>
      <c r="AT51" s="187"/>
      <c r="AU51" s="187"/>
      <c r="AV51" s="184"/>
      <c r="AW51" s="181"/>
      <c r="AX51" s="612"/>
    </row>
    <row r="52" spans="2:50" ht="14.25" customHeight="1">
      <c r="B52" s="611"/>
      <c r="C52" s="179">
        <v>6</v>
      </c>
      <c r="D52" s="182"/>
      <c r="E52" s="179"/>
      <c r="F52" s="179"/>
      <c r="G52" s="184"/>
      <c r="H52" s="612"/>
      <c r="I52" s="185"/>
      <c r="J52" s="185"/>
      <c r="K52" s="186"/>
      <c r="L52" s="613"/>
      <c r="M52" s="185"/>
      <c r="N52" s="611"/>
      <c r="O52" s="611"/>
      <c r="P52" s="187"/>
      <c r="Q52" s="187"/>
      <c r="R52" s="184"/>
      <c r="S52" s="181"/>
      <c r="T52" s="612"/>
      <c r="U52" s="187"/>
      <c r="V52" s="187"/>
      <c r="W52" s="184"/>
      <c r="X52" s="181"/>
      <c r="Y52" s="612"/>
      <c r="Z52" s="187"/>
      <c r="AA52" s="187"/>
      <c r="AB52" s="184"/>
      <c r="AC52" s="181"/>
      <c r="AD52" s="612"/>
      <c r="AE52" s="187"/>
      <c r="AF52" s="187"/>
      <c r="AG52" s="184"/>
      <c r="AH52" s="181"/>
      <c r="AI52" s="612"/>
      <c r="AJ52" s="187"/>
      <c r="AK52" s="187"/>
      <c r="AL52" s="184"/>
      <c r="AM52" s="181"/>
      <c r="AN52" s="612"/>
      <c r="AO52" s="187"/>
      <c r="AP52" s="187"/>
      <c r="AQ52" s="184"/>
      <c r="AR52" s="181"/>
      <c r="AS52" s="612"/>
      <c r="AT52" s="187"/>
      <c r="AU52" s="187"/>
      <c r="AV52" s="184"/>
      <c r="AW52" s="181"/>
      <c r="AX52" s="612"/>
    </row>
    <row r="53" spans="2:50" ht="14.25" customHeight="1">
      <c r="B53" s="611"/>
      <c r="C53" s="179">
        <v>7</v>
      </c>
      <c r="D53" s="182"/>
      <c r="E53" s="179"/>
      <c r="F53" s="179"/>
      <c r="G53" s="184"/>
      <c r="H53" s="612"/>
      <c r="I53" s="185"/>
      <c r="J53" s="185"/>
      <c r="K53" s="186"/>
      <c r="L53" s="613"/>
      <c r="M53" s="185"/>
      <c r="N53" s="611"/>
      <c r="O53" s="611"/>
      <c r="P53" s="187"/>
      <c r="Q53" s="187"/>
      <c r="R53" s="184"/>
      <c r="S53" s="181"/>
      <c r="T53" s="612"/>
      <c r="U53" s="187"/>
      <c r="V53" s="187"/>
      <c r="W53" s="184"/>
      <c r="X53" s="181"/>
      <c r="Y53" s="612"/>
      <c r="Z53" s="187"/>
      <c r="AA53" s="187"/>
      <c r="AB53" s="184"/>
      <c r="AC53" s="181"/>
      <c r="AD53" s="612"/>
      <c r="AE53" s="187"/>
      <c r="AF53" s="187"/>
      <c r="AG53" s="184"/>
      <c r="AH53" s="181"/>
      <c r="AI53" s="612"/>
      <c r="AJ53" s="187"/>
      <c r="AK53" s="187"/>
      <c r="AL53" s="184"/>
      <c r="AM53" s="181"/>
      <c r="AN53" s="612"/>
      <c r="AO53" s="187"/>
      <c r="AP53" s="187"/>
      <c r="AQ53" s="184"/>
      <c r="AR53" s="181"/>
      <c r="AS53" s="612"/>
      <c r="AT53" s="187"/>
      <c r="AU53" s="187"/>
      <c r="AV53" s="184"/>
      <c r="AW53" s="181"/>
      <c r="AX53" s="612"/>
    </row>
    <row r="54" spans="2:50" ht="14.25" customHeight="1">
      <c r="B54" s="611"/>
      <c r="C54" s="179">
        <v>8</v>
      </c>
      <c r="D54" s="182"/>
      <c r="E54" s="179"/>
      <c r="F54" s="179"/>
      <c r="G54" s="184"/>
      <c r="H54" s="612"/>
      <c r="I54" s="185"/>
      <c r="J54" s="185"/>
      <c r="K54" s="186"/>
      <c r="L54" s="613"/>
      <c r="M54" s="185"/>
      <c r="N54" s="611"/>
      <c r="O54" s="611"/>
      <c r="P54" s="187"/>
      <c r="Q54" s="187"/>
      <c r="R54" s="184"/>
      <c r="S54" s="181"/>
      <c r="T54" s="612"/>
      <c r="U54" s="187"/>
      <c r="V54" s="187"/>
      <c r="W54" s="184"/>
      <c r="X54" s="181"/>
      <c r="Y54" s="612"/>
      <c r="Z54" s="187"/>
      <c r="AA54" s="187"/>
      <c r="AB54" s="184"/>
      <c r="AC54" s="181"/>
      <c r="AD54" s="612"/>
      <c r="AE54" s="187"/>
      <c r="AF54" s="187"/>
      <c r="AG54" s="184"/>
      <c r="AH54" s="181"/>
      <c r="AI54" s="612"/>
      <c r="AJ54" s="187"/>
      <c r="AK54" s="187"/>
      <c r="AL54" s="184"/>
      <c r="AM54" s="181"/>
      <c r="AN54" s="612"/>
      <c r="AO54" s="187"/>
      <c r="AP54" s="187"/>
      <c r="AQ54" s="184"/>
      <c r="AR54" s="181"/>
      <c r="AS54" s="612"/>
      <c r="AT54" s="187"/>
      <c r="AU54" s="187"/>
      <c r="AV54" s="184"/>
      <c r="AW54" s="181"/>
      <c r="AX54" s="612"/>
    </row>
    <row r="55" spans="2:50" ht="14.25" customHeight="1">
      <c r="B55" s="611"/>
      <c r="C55" s="179">
        <v>9</v>
      </c>
      <c r="D55" s="182"/>
      <c r="E55" s="179"/>
      <c r="F55" s="179"/>
      <c r="G55" s="184"/>
      <c r="H55" s="612"/>
      <c r="I55" s="185"/>
      <c r="J55" s="185"/>
      <c r="K55" s="186"/>
      <c r="L55" s="613"/>
      <c r="M55" s="185"/>
      <c r="N55" s="611"/>
      <c r="O55" s="611"/>
      <c r="P55" s="187"/>
      <c r="Q55" s="187"/>
      <c r="R55" s="184"/>
      <c r="S55" s="181"/>
      <c r="T55" s="612"/>
      <c r="U55" s="187"/>
      <c r="V55" s="187"/>
      <c r="W55" s="184"/>
      <c r="X55" s="181"/>
      <c r="Y55" s="612"/>
      <c r="Z55" s="187"/>
      <c r="AA55" s="187"/>
      <c r="AB55" s="184"/>
      <c r="AC55" s="181"/>
      <c r="AD55" s="612"/>
      <c r="AE55" s="187"/>
      <c r="AF55" s="187"/>
      <c r="AG55" s="184"/>
      <c r="AH55" s="181"/>
      <c r="AI55" s="612"/>
      <c r="AJ55" s="187"/>
      <c r="AK55" s="187"/>
      <c r="AL55" s="184"/>
      <c r="AM55" s="181"/>
      <c r="AN55" s="612"/>
      <c r="AO55" s="187"/>
      <c r="AP55" s="187"/>
      <c r="AQ55" s="184"/>
      <c r="AR55" s="181"/>
      <c r="AS55" s="612"/>
      <c r="AT55" s="187"/>
      <c r="AU55" s="187"/>
      <c r="AV55" s="184"/>
      <c r="AW55" s="181"/>
      <c r="AX55" s="612"/>
    </row>
    <row r="56" spans="2:50" ht="14.25" customHeight="1">
      <c r="B56" s="611"/>
      <c r="C56" s="179">
        <v>10</v>
      </c>
      <c r="D56" s="182"/>
      <c r="E56" s="179"/>
      <c r="F56" s="179"/>
      <c r="G56" s="184"/>
      <c r="H56" s="612"/>
      <c r="I56" s="185"/>
      <c r="J56" s="185"/>
      <c r="K56" s="186"/>
      <c r="L56" s="613"/>
      <c r="M56" s="185"/>
      <c r="N56" s="611"/>
      <c r="O56" s="611"/>
      <c r="P56" s="187"/>
      <c r="Q56" s="187"/>
      <c r="R56" s="184"/>
      <c r="S56" s="181"/>
      <c r="T56" s="612"/>
      <c r="U56" s="187"/>
      <c r="V56" s="187"/>
      <c r="W56" s="184"/>
      <c r="X56" s="181"/>
      <c r="Y56" s="612"/>
      <c r="Z56" s="187"/>
      <c r="AA56" s="187"/>
      <c r="AB56" s="184"/>
      <c r="AC56" s="181"/>
      <c r="AD56" s="612"/>
      <c r="AE56" s="187"/>
      <c r="AF56" s="187"/>
      <c r="AG56" s="184"/>
      <c r="AH56" s="181"/>
      <c r="AI56" s="612"/>
      <c r="AJ56" s="187"/>
      <c r="AK56" s="187"/>
      <c r="AL56" s="184"/>
      <c r="AM56" s="181"/>
      <c r="AN56" s="612"/>
      <c r="AO56" s="187"/>
      <c r="AP56" s="187"/>
      <c r="AQ56" s="184"/>
      <c r="AR56" s="181"/>
      <c r="AS56" s="612"/>
      <c r="AT56" s="187"/>
      <c r="AU56" s="187"/>
      <c r="AV56" s="184"/>
      <c r="AW56" s="181"/>
      <c r="AX56" s="612"/>
    </row>
    <row r="57" spans="2:50" ht="14.25" customHeight="1">
      <c r="B57" s="611"/>
      <c r="C57" s="179">
        <v>11</v>
      </c>
      <c r="D57" s="182"/>
      <c r="E57" s="179"/>
      <c r="F57" s="179"/>
      <c r="G57" s="184"/>
      <c r="H57" s="612"/>
      <c r="I57" s="185"/>
      <c r="J57" s="185"/>
      <c r="K57" s="186"/>
      <c r="L57" s="613"/>
      <c r="M57" s="185"/>
      <c r="N57" s="611"/>
      <c r="O57" s="611"/>
      <c r="P57" s="187"/>
      <c r="Q57" s="187"/>
      <c r="R57" s="184"/>
      <c r="S57" s="181"/>
      <c r="T57" s="612"/>
      <c r="U57" s="187"/>
      <c r="V57" s="187"/>
      <c r="W57" s="184"/>
      <c r="X57" s="181"/>
      <c r="Y57" s="612"/>
      <c r="Z57" s="187"/>
      <c r="AA57" s="187"/>
      <c r="AB57" s="184"/>
      <c r="AC57" s="181"/>
      <c r="AD57" s="612"/>
      <c r="AE57" s="187"/>
      <c r="AF57" s="187"/>
      <c r="AG57" s="184"/>
      <c r="AH57" s="181"/>
      <c r="AI57" s="612"/>
      <c r="AJ57" s="187"/>
      <c r="AK57" s="187"/>
      <c r="AL57" s="184"/>
      <c r="AM57" s="181"/>
      <c r="AN57" s="612"/>
      <c r="AO57" s="187"/>
      <c r="AP57" s="187"/>
      <c r="AQ57" s="184"/>
      <c r="AR57" s="181"/>
      <c r="AS57" s="612"/>
      <c r="AT57" s="187"/>
      <c r="AU57" s="187"/>
      <c r="AV57" s="184"/>
      <c r="AW57" s="181"/>
      <c r="AX57" s="612"/>
    </row>
    <row r="58" spans="2:50" ht="14.25" customHeight="1">
      <c r="B58" s="611"/>
      <c r="C58" s="179">
        <v>12</v>
      </c>
      <c r="D58" s="182"/>
      <c r="E58" s="179"/>
      <c r="F58" s="179"/>
      <c r="G58" s="184"/>
      <c r="H58" s="612"/>
      <c r="I58" s="185"/>
      <c r="J58" s="185"/>
      <c r="K58" s="186"/>
      <c r="L58" s="613"/>
      <c r="M58" s="185"/>
      <c r="N58" s="611"/>
      <c r="O58" s="611"/>
      <c r="P58" s="187"/>
      <c r="Q58" s="187"/>
      <c r="R58" s="184"/>
      <c r="S58" s="181"/>
      <c r="T58" s="612"/>
      <c r="U58" s="187"/>
      <c r="V58" s="187"/>
      <c r="W58" s="184"/>
      <c r="X58" s="181"/>
      <c r="Y58" s="612"/>
      <c r="Z58" s="187"/>
      <c r="AA58" s="187"/>
      <c r="AB58" s="184"/>
      <c r="AC58" s="181"/>
      <c r="AD58" s="612"/>
      <c r="AE58" s="187"/>
      <c r="AF58" s="187"/>
      <c r="AG58" s="184"/>
      <c r="AH58" s="181"/>
      <c r="AI58" s="612"/>
      <c r="AJ58" s="187"/>
      <c r="AK58" s="187"/>
      <c r="AL58" s="184"/>
      <c r="AM58" s="181"/>
      <c r="AN58" s="612"/>
      <c r="AO58" s="187"/>
      <c r="AP58" s="187"/>
      <c r="AQ58" s="184"/>
      <c r="AR58" s="181"/>
      <c r="AS58" s="612"/>
      <c r="AT58" s="187"/>
      <c r="AU58" s="187"/>
      <c r="AV58" s="184"/>
      <c r="AW58" s="181"/>
      <c r="AX58" s="612"/>
    </row>
    <row r="59" spans="2:50" ht="14.25" customHeight="1">
      <c r="B59" s="611"/>
      <c r="C59" s="179">
        <v>13</v>
      </c>
      <c r="D59" s="182"/>
      <c r="E59" s="179"/>
      <c r="F59" s="179"/>
      <c r="G59" s="184"/>
      <c r="H59" s="612"/>
      <c r="I59" s="185"/>
      <c r="J59" s="185"/>
      <c r="K59" s="186"/>
      <c r="L59" s="613"/>
      <c r="M59" s="185"/>
      <c r="N59" s="611"/>
      <c r="O59" s="611"/>
      <c r="P59" s="187"/>
      <c r="Q59" s="187"/>
      <c r="R59" s="184"/>
      <c r="S59" s="181"/>
      <c r="T59" s="612"/>
      <c r="U59" s="187"/>
      <c r="V59" s="187"/>
      <c r="W59" s="184"/>
      <c r="X59" s="181"/>
      <c r="Y59" s="612"/>
      <c r="Z59" s="187"/>
      <c r="AA59" s="187"/>
      <c r="AB59" s="184"/>
      <c r="AC59" s="181"/>
      <c r="AD59" s="612"/>
      <c r="AE59" s="187"/>
      <c r="AF59" s="187"/>
      <c r="AG59" s="184"/>
      <c r="AH59" s="181"/>
      <c r="AI59" s="612"/>
      <c r="AJ59" s="187"/>
      <c r="AK59" s="187"/>
      <c r="AL59" s="184"/>
      <c r="AM59" s="181"/>
      <c r="AN59" s="612"/>
      <c r="AO59" s="187"/>
      <c r="AP59" s="187"/>
      <c r="AQ59" s="184"/>
      <c r="AR59" s="181"/>
      <c r="AS59" s="612"/>
      <c r="AT59" s="187"/>
      <c r="AU59" s="187"/>
      <c r="AV59" s="184"/>
      <c r="AW59" s="181"/>
      <c r="AX59" s="612"/>
    </row>
    <row r="60" spans="2:50" ht="14.25" customHeight="1">
      <c r="B60" s="611"/>
      <c r="C60" s="179">
        <v>14</v>
      </c>
      <c r="D60" s="182"/>
      <c r="E60" s="179"/>
      <c r="F60" s="179"/>
      <c r="G60" s="184"/>
      <c r="H60" s="612"/>
      <c r="I60" s="185"/>
      <c r="J60" s="185"/>
      <c r="K60" s="186"/>
      <c r="L60" s="613"/>
      <c r="M60" s="185"/>
      <c r="N60" s="611"/>
      <c r="O60" s="611"/>
      <c r="P60" s="187"/>
      <c r="Q60" s="187"/>
      <c r="R60" s="184"/>
      <c r="S60" s="181"/>
      <c r="T60" s="612"/>
      <c r="U60" s="187"/>
      <c r="V60" s="187"/>
      <c r="W60" s="184"/>
      <c r="X60" s="181"/>
      <c r="Y60" s="612"/>
      <c r="Z60" s="187"/>
      <c r="AA60" s="187"/>
      <c r="AB60" s="184"/>
      <c r="AC60" s="181"/>
      <c r="AD60" s="612"/>
      <c r="AE60" s="187"/>
      <c r="AF60" s="187"/>
      <c r="AG60" s="184"/>
      <c r="AH60" s="181"/>
      <c r="AI60" s="612"/>
      <c r="AJ60" s="187"/>
      <c r="AK60" s="187"/>
      <c r="AL60" s="184"/>
      <c r="AM60" s="181"/>
      <c r="AN60" s="612"/>
      <c r="AO60" s="187"/>
      <c r="AP60" s="187"/>
      <c r="AQ60" s="184"/>
      <c r="AR60" s="181"/>
      <c r="AS60" s="612"/>
      <c r="AT60" s="187"/>
      <c r="AU60" s="187"/>
      <c r="AV60" s="184"/>
      <c r="AW60" s="181"/>
      <c r="AX60" s="612"/>
    </row>
    <row r="61" spans="2:50" ht="14.25" customHeight="1">
      <c r="B61" s="611"/>
      <c r="C61" s="179">
        <v>15</v>
      </c>
      <c r="D61" s="182"/>
      <c r="E61" s="179"/>
      <c r="F61" s="179"/>
      <c r="G61" s="184"/>
      <c r="H61" s="612"/>
      <c r="I61" s="185"/>
      <c r="J61" s="185"/>
      <c r="K61" s="186"/>
      <c r="L61" s="613"/>
      <c r="M61" s="185"/>
      <c r="N61" s="611"/>
      <c r="O61" s="611"/>
      <c r="P61" s="187"/>
      <c r="Q61" s="187"/>
      <c r="R61" s="184"/>
      <c r="S61" s="181"/>
      <c r="T61" s="612"/>
      <c r="U61" s="187"/>
      <c r="V61" s="187"/>
      <c r="W61" s="184"/>
      <c r="X61" s="181"/>
      <c r="Y61" s="612"/>
      <c r="Z61" s="187"/>
      <c r="AA61" s="187"/>
      <c r="AB61" s="184"/>
      <c r="AC61" s="181"/>
      <c r="AD61" s="612"/>
      <c r="AE61" s="187"/>
      <c r="AF61" s="187"/>
      <c r="AG61" s="184"/>
      <c r="AH61" s="181"/>
      <c r="AI61" s="612"/>
      <c r="AJ61" s="187"/>
      <c r="AK61" s="187"/>
      <c r="AL61" s="184"/>
      <c r="AM61" s="181"/>
      <c r="AN61" s="612"/>
      <c r="AO61" s="187"/>
      <c r="AP61" s="187"/>
      <c r="AQ61" s="184"/>
      <c r="AR61" s="181"/>
      <c r="AS61" s="612"/>
      <c r="AT61" s="187"/>
      <c r="AU61" s="187"/>
      <c r="AV61" s="184"/>
      <c r="AW61" s="181"/>
      <c r="AX61" s="612"/>
    </row>
    <row r="62" spans="2:50" ht="14.25" customHeight="1">
      <c r="B62" s="640" t="s">
        <v>848</v>
      </c>
      <c r="C62" s="641"/>
      <c r="D62" s="641"/>
      <c r="E62" s="641"/>
      <c r="F62" s="641"/>
      <c r="G62" s="641"/>
      <c r="H62" s="641"/>
      <c r="I62" s="641"/>
      <c r="J62" s="641"/>
      <c r="K62" s="641"/>
      <c r="L62" s="641"/>
      <c r="M62" s="642"/>
      <c r="N62" s="645" t="s">
        <v>363</v>
      </c>
      <c r="O62" s="645" t="s">
        <v>105</v>
      </c>
      <c r="P62" s="632">
        <v>46224</v>
      </c>
      <c r="Q62" s="633"/>
      <c r="R62" s="633"/>
      <c r="S62" s="633"/>
      <c r="T62" s="633"/>
      <c r="U62" s="634">
        <f>P62+1</f>
        <v>46225</v>
      </c>
      <c r="V62" s="635"/>
      <c r="W62" s="635"/>
      <c r="X62" s="635"/>
      <c r="Y62" s="635"/>
      <c r="Z62" s="632">
        <f t="shared" ref="Z62" si="15">U62+1</f>
        <v>46226</v>
      </c>
      <c r="AA62" s="633"/>
      <c r="AB62" s="633"/>
      <c r="AC62" s="633"/>
      <c r="AD62" s="633"/>
      <c r="AE62" s="634">
        <f t="shared" ref="AE62" si="16">Z62+1</f>
        <v>46227</v>
      </c>
      <c r="AF62" s="635"/>
      <c r="AG62" s="635"/>
      <c r="AH62" s="635"/>
      <c r="AI62" s="635"/>
      <c r="AJ62" s="616">
        <f t="shared" ref="AJ62" si="17">AE62+1</f>
        <v>46228</v>
      </c>
      <c r="AK62" s="617"/>
      <c r="AL62" s="617"/>
      <c r="AM62" s="617"/>
      <c r="AN62" s="618"/>
      <c r="AO62" s="634">
        <f t="shared" ref="AO62" si="18">AJ62+1</f>
        <v>46229</v>
      </c>
      <c r="AP62" s="635"/>
      <c r="AQ62" s="635"/>
      <c r="AR62" s="635"/>
      <c r="AS62" s="635"/>
      <c r="AT62" s="616">
        <f t="shared" ref="AT62" si="19">AO62+1</f>
        <v>46230</v>
      </c>
      <c r="AU62" s="617"/>
      <c r="AV62" s="617"/>
      <c r="AW62" s="617"/>
      <c r="AX62" s="618"/>
    </row>
    <row r="63" spans="2:50" ht="14.25" customHeight="1">
      <c r="B63" s="643"/>
      <c r="C63" s="643"/>
      <c r="D63" s="643"/>
      <c r="E63" s="643"/>
      <c r="F63" s="643"/>
      <c r="G63" s="643"/>
      <c r="H63" s="643"/>
      <c r="I63" s="643"/>
      <c r="J63" s="643"/>
      <c r="K63" s="643"/>
      <c r="L63" s="643"/>
      <c r="M63" s="644"/>
      <c r="N63" s="646"/>
      <c r="O63" s="646"/>
      <c r="P63" s="619">
        <v>46196</v>
      </c>
      <c r="Q63" s="619"/>
      <c r="R63" s="619"/>
      <c r="S63" s="619"/>
      <c r="T63" s="619"/>
      <c r="U63" s="620">
        <v>46197</v>
      </c>
      <c r="V63" s="620"/>
      <c r="W63" s="620"/>
      <c r="X63" s="620"/>
      <c r="Y63" s="620"/>
      <c r="Z63" s="619">
        <v>46198</v>
      </c>
      <c r="AA63" s="619"/>
      <c r="AB63" s="619"/>
      <c r="AC63" s="619"/>
      <c r="AD63" s="619"/>
      <c r="AE63" s="620">
        <v>46199</v>
      </c>
      <c r="AF63" s="620"/>
      <c r="AG63" s="620"/>
      <c r="AH63" s="620"/>
      <c r="AI63" s="620"/>
      <c r="AJ63" s="621">
        <v>46200</v>
      </c>
      <c r="AK63" s="622"/>
      <c r="AL63" s="622"/>
      <c r="AM63" s="622"/>
      <c r="AN63" s="623"/>
      <c r="AO63" s="620">
        <v>46201</v>
      </c>
      <c r="AP63" s="620"/>
      <c r="AQ63" s="620"/>
      <c r="AR63" s="620"/>
      <c r="AS63" s="620"/>
      <c r="AT63" s="621">
        <v>46202</v>
      </c>
      <c r="AU63" s="622"/>
      <c r="AV63" s="622"/>
      <c r="AW63" s="622"/>
      <c r="AX63" s="623"/>
    </row>
    <row r="64" spans="2:50" ht="14.25" customHeight="1">
      <c r="B64" s="611" t="s">
        <v>162</v>
      </c>
      <c r="C64" s="611" t="s">
        <v>157</v>
      </c>
      <c r="D64" s="611"/>
      <c r="E64" s="611" t="s">
        <v>158</v>
      </c>
      <c r="F64" s="611"/>
      <c r="G64" s="611"/>
      <c r="H64" s="611" t="s">
        <v>163</v>
      </c>
      <c r="I64" s="615" t="s">
        <v>364</v>
      </c>
      <c r="J64" s="615"/>
      <c r="K64" s="615"/>
      <c r="L64" s="615" t="s">
        <v>163</v>
      </c>
      <c r="M64" s="615" t="s">
        <v>165</v>
      </c>
      <c r="N64" s="611"/>
      <c r="O64" s="611" t="s">
        <v>164</v>
      </c>
      <c r="P64" s="611" t="s">
        <v>160</v>
      </c>
      <c r="Q64" s="611"/>
      <c r="R64" s="611"/>
      <c r="S64" s="611"/>
      <c r="T64" s="611" t="s">
        <v>163</v>
      </c>
      <c r="U64" s="611" t="s">
        <v>160</v>
      </c>
      <c r="V64" s="611"/>
      <c r="W64" s="611"/>
      <c r="X64" s="611"/>
      <c r="Y64" s="611" t="s">
        <v>163</v>
      </c>
      <c r="Z64" s="611" t="s">
        <v>160</v>
      </c>
      <c r="AA64" s="611"/>
      <c r="AB64" s="611"/>
      <c r="AC64" s="611"/>
      <c r="AD64" s="611" t="s">
        <v>163</v>
      </c>
      <c r="AE64" s="611" t="s">
        <v>160</v>
      </c>
      <c r="AF64" s="611"/>
      <c r="AG64" s="611"/>
      <c r="AH64" s="611"/>
      <c r="AI64" s="611" t="s">
        <v>163</v>
      </c>
      <c r="AJ64" s="611" t="s">
        <v>160</v>
      </c>
      <c r="AK64" s="611"/>
      <c r="AL64" s="611"/>
      <c r="AM64" s="611"/>
      <c r="AN64" s="611" t="s">
        <v>163</v>
      </c>
      <c r="AO64" s="611" t="s">
        <v>160</v>
      </c>
      <c r="AP64" s="611"/>
      <c r="AQ64" s="611"/>
      <c r="AR64" s="611"/>
      <c r="AS64" s="611" t="s">
        <v>163</v>
      </c>
      <c r="AT64" s="611" t="s">
        <v>160</v>
      </c>
      <c r="AU64" s="611"/>
      <c r="AV64" s="611"/>
      <c r="AW64" s="611"/>
      <c r="AX64" s="611" t="s">
        <v>163</v>
      </c>
    </row>
    <row r="65" spans="2:50" ht="14.25" customHeight="1">
      <c r="B65" s="611"/>
      <c r="C65" s="611"/>
      <c r="D65" s="611"/>
      <c r="E65" s="611" t="s">
        <v>365</v>
      </c>
      <c r="F65" s="611"/>
      <c r="G65" s="611"/>
      <c r="H65" s="611"/>
      <c r="I65" s="615" t="s">
        <v>365</v>
      </c>
      <c r="J65" s="615"/>
      <c r="K65" s="615"/>
      <c r="L65" s="615"/>
      <c r="M65" s="615"/>
      <c r="N65" s="611"/>
      <c r="O65" s="611"/>
      <c r="P65" s="611" t="s">
        <v>366</v>
      </c>
      <c r="Q65" s="611"/>
      <c r="R65" s="611"/>
      <c r="S65" s="611"/>
      <c r="T65" s="611"/>
      <c r="U65" s="611" t="s">
        <v>366</v>
      </c>
      <c r="V65" s="611"/>
      <c r="W65" s="611"/>
      <c r="X65" s="611"/>
      <c r="Y65" s="611"/>
      <c r="Z65" s="611" t="s">
        <v>366</v>
      </c>
      <c r="AA65" s="611"/>
      <c r="AB65" s="611"/>
      <c r="AC65" s="611"/>
      <c r="AD65" s="611"/>
      <c r="AE65" s="611" t="s">
        <v>366</v>
      </c>
      <c r="AF65" s="611"/>
      <c r="AG65" s="611"/>
      <c r="AH65" s="611"/>
      <c r="AI65" s="611"/>
      <c r="AJ65" s="611" t="s">
        <v>366</v>
      </c>
      <c r="AK65" s="611"/>
      <c r="AL65" s="611"/>
      <c r="AM65" s="611"/>
      <c r="AN65" s="611"/>
      <c r="AO65" s="611" t="s">
        <v>366</v>
      </c>
      <c r="AP65" s="611"/>
      <c r="AQ65" s="611"/>
      <c r="AR65" s="611"/>
      <c r="AS65" s="611"/>
      <c r="AT65" s="611" t="s">
        <v>366</v>
      </c>
      <c r="AU65" s="611"/>
      <c r="AV65" s="611"/>
      <c r="AW65" s="611"/>
      <c r="AX65" s="611"/>
    </row>
    <row r="66" spans="2:50" ht="14.25" customHeight="1">
      <c r="B66" s="611"/>
      <c r="C66" s="611"/>
      <c r="D66" s="611"/>
      <c r="E66" s="179" t="s">
        <v>159</v>
      </c>
      <c r="F66" s="179" t="s">
        <v>367</v>
      </c>
      <c r="G66" s="179" t="s">
        <v>161</v>
      </c>
      <c r="H66" s="611"/>
      <c r="I66" s="180" t="s">
        <v>159</v>
      </c>
      <c r="J66" s="180" t="s">
        <v>367</v>
      </c>
      <c r="K66" s="180" t="s">
        <v>161</v>
      </c>
      <c r="L66" s="615"/>
      <c r="M66" s="615"/>
      <c r="N66" s="611"/>
      <c r="O66" s="611"/>
      <c r="P66" s="179" t="s">
        <v>159</v>
      </c>
      <c r="Q66" s="179" t="s">
        <v>367</v>
      </c>
      <c r="R66" s="179" t="s">
        <v>161</v>
      </c>
      <c r="S66" s="181" t="s">
        <v>165</v>
      </c>
      <c r="T66" s="611"/>
      <c r="U66" s="179" t="s">
        <v>159</v>
      </c>
      <c r="V66" s="179" t="s">
        <v>367</v>
      </c>
      <c r="W66" s="179" t="s">
        <v>161</v>
      </c>
      <c r="X66" s="181" t="s">
        <v>165</v>
      </c>
      <c r="Y66" s="611"/>
      <c r="Z66" s="179" t="s">
        <v>159</v>
      </c>
      <c r="AA66" s="179" t="s">
        <v>367</v>
      </c>
      <c r="AB66" s="179" t="s">
        <v>161</v>
      </c>
      <c r="AC66" s="181" t="s">
        <v>165</v>
      </c>
      <c r="AD66" s="611"/>
      <c r="AE66" s="179" t="s">
        <v>159</v>
      </c>
      <c r="AF66" s="179" t="s">
        <v>367</v>
      </c>
      <c r="AG66" s="179" t="s">
        <v>161</v>
      </c>
      <c r="AH66" s="181" t="s">
        <v>165</v>
      </c>
      <c r="AI66" s="611"/>
      <c r="AJ66" s="179" t="s">
        <v>159</v>
      </c>
      <c r="AK66" s="179" t="s">
        <v>367</v>
      </c>
      <c r="AL66" s="179" t="s">
        <v>161</v>
      </c>
      <c r="AM66" s="181" t="s">
        <v>165</v>
      </c>
      <c r="AN66" s="611"/>
      <c r="AO66" s="179" t="s">
        <v>159</v>
      </c>
      <c r="AP66" s="179" t="s">
        <v>367</v>
      </c>
      <c r="AQ66" s="179" t="s">
        <v>161</v>
      </c>
      <c r="AR66" s="181" t="s">
        <v>165</v>
      </c>
      <c r="AS66" s="611"/>
      <c r="AT66" s="179" t="s">
        <v>159</v>
      </c>
      <c r="AU66" s="179" t="s">
        <v>367</v>
      </c>
      <c r="AV66" s="179" t="s">
        <v>161</v>
      </c>
      <c r="AW66" s="181" t="s">
        <v>165</v>
      </c>
      <c r="AX66" s="611"/>
    </row>
    <row r="67" spans="2:50" ht="14.25" customHeight="1">
      <c r="B67" s="611" t="s">
        <v>426</v>
      </c>
      <c r="C67" s="179">
        <v>1</v>
      </c>
      <c r="D67" s="182"/>
      <c r="E67" s="183"/>
      <c r="F67" s="179"/>
      <c r="G67" s="184"/>
      <c r="H67" s="612"/>
      <c r="I67" s="185"/>
      <c r="J67" s="185"/>
      <c r="K67" s="186"/>
      <c r="L67" s="613"/>
      <c r="M67" s="185"/>
      <c r="N67" s="611"/>
      <c r="O67" s="611"/>
      <c r="P67" s="187"/>
      <c r="Q67" s="187"/>
      <c r="R67" s="184"/>
      <c r="S67" s="181"/>
      <c r="T67" s="612"/>
      <c r="U67" s="187"/>
      <c r="V67" s="187"/>
      <c r="W67" s="184"/>
      <c r="X67" s="181"/>
      <c r="Y67" s="612"/>
      <c r="Z67" s="187"/>
      <c r="AA67" s="187"/>
      <c r="AB67" s="184"/>
      <c r="AC67" s="181"/>
      <c r="AD67" s="612"/>
      <c r="AE67" s="187"/>
      <c r="AF67" s="187"/>
      <c r="AG67" s="184"/>
      <c r="AH67" s="181"/>
      <c r="AI67" s="612"/>
      <c r="AJ67" s="187"/>
      <c r="AK67" s="187"/>
      <c r="AL67" s="184"/>
      <c r="AM67" s="181"/>
      <c r="AN67" s="612"/>
      <c r="AO67" s="187"/>
      <c r="AP67" s="187"/>
      <c r="AQ67" s="184"/>
      <c r="AR67" s="181"/>
      <c r="AS67" s="612"/>
      <c r="AT67" s="187"/>
      <c r="AU67" s="187"/>
      <c r="AV67" s="184"/>
      <c r="AW67" s="181"/>
      <c r="AX67" s="612"/>
    </row>
    <row r="68" spans="2:50" ht="14.25" customHeight="1">
      <c r="B68" s="611"/>
      <c r="C68" s="179">
        <v>2</v>
      </c>
      <c r="D68" s="182"/>
      <c r="E68" s="179"/>
      <c r="F68" s="179"/>
      <c r="G68" s="184"/>
      <c r="H68" s="612"/>
      <c r="I68" s="185"/>
      <c r="J68" s="185"/>
      <c r="K68" s="186"/>
      <c r="L68" s="613"/>
      <c r="M68" s="185"/>
      <c r="N68" s="611"/>
      <c r="O68" s="611"/>
      <c r="P68" s="187"/>
      <c r="Q68" s="187"/>
      <c r="R68" s="184"/>
      <c r="S68" s="181"/>
      <c r="T68" s="612"/>
      <c r="U68" s="187"/>
      <c r="V68" s="187"/>
      <c r="W68" s="184"/>
      <c r="X68" s="181"/>
      <c r="Y68" s="612"/>
      <c r="Z68" s="187"/>
      <c r="AA68" s="187"/>
      <c r="AB68" s="184"/>
      <c r="AC68" s="181"/>
      <c r="AD68" s="612"/>
      <c r="AE68" s="187"/>
      <c r="AF68" s="187"/>
      <c r="AG68" s="184"/>
      <c r="AH68" s="181"/>
      <c r="AI68" s="612"/>
      <c r="AJ68" s="187"/>
      <c r="AK68" s="187"/>
      <c r="AL68" s="184"/>
      <c r="AM68" s="181"/>
      <c r="AN68" s="612"/>
      <c r="AO68" s="187"/>
      <c r="AP68" s="187"/>
      <c r="AQ68" s="184"/>
      <c r="AR68" s="181"/>
      <c r="AS68" s="612"/>
      <c r="AT68" s="187"/>
      <c r="AU68" s="187"/>
      <c r="AV68" s="184"/>
      <c r="AW68" s="181"/>
      <c r="AX68" s="612"/>
    </row>
    <row r="69" spans="2:50" ht="14.25" customHeight="1">
      <c r="B69" s="611"/>
      <c r="C69" s="179">
        <v>3</v>
      </c>
      <c r="D69" s="182"/>
      <c r="E69" s="179"/>
      <c r="F69" s="179"/>
      <c r="G69" s="184"/>
      <c r="H69" s="612"/>
      <c r="I69" s="185"/>
      <c r="J69" s="185"/>
      <c r="K69" s="186"/>
      <c r="L69" s="613"/>
      <c r="M69" s="185"/>
      <c r="N69" s="611"/>
      <c r="O69" s="611"/>
      <c r="P69" s="187"/>
      <c r="Q69" s="187"/>
      <c r="R69" s="184"/>
      <c r="S69" s="181"/>
      <c r="T69" s="612"/>
      <c r="U69" s="187"/>
      <c r="V69" s="187"/>
      <c r="W69" s="184"/>
      <c r="X69" s="181"/>
      <c r="Y69" s="612"/>
      <c r="Z69" s="187"/>
      <c r="AA69" s="187"/>
      <c r="AB69" s="184"/>
      <c r="AC69" s="181"/>
      <c r="AD69" s="612"/>
      <c r="AE69" s="187"/>
      <c r="AF69" s="187"/>
      <c r="AG69" s="184"/>
      <c r="AH69" s="181"/>
      <c r="AI69" s="612"/>
      <c r="AJ69" s="187"/>
      <c r="AK69" s="187"/>
      <c r="AL69" s="184"/>
      <c r="AM69" s="181"/>
      <c r="AN69" s="612"/>
      <c r="AO69" s="187"/>
      <c r="AP69" s="187"/>
      <c r="AQ69" s="184"/>
      <c r="AR69" s="181"/>
      <c r="AS69" s="612"/>
      <c r="AT69" s="187"/>
      <c r="AU69" s="187"/>
      <c r="AV69" s="184"/>
      <c r="AW69" s="181"/>
      <c r="AX69" s="612"/>
    </row>
    <row r="70" spans="2:50" ht="14.25" customHeight="1">
      <c r="B70" s="611"/>
      <c r="C70" s="179">
        <v>4</v>
      </c>
      <c r="D70" s="182"/>
      <c r="E70" s="179"/>
      <c r="F70" s="179"/>
      <c r="G70" s="184"/>
      <c r="H70" s="612"/>
      <c r="I70" s="185"/>
      <c r="J70" s="185"/>
      <c r="K70" s="186"/>
      <c r="L70" s="613"/>
      <c r="M70" s="185"/>
      <c r="N70" s="611"/>
      <c r="O70" s="611"/>
      <c r="P70" s="187"/>
      <c r="Q70" s="187"/>
      <c r="R70" s="184"/>
      <c r="S70" s="181"/>
      <c r="T70" s="612"/>
      <c r="U70" s="187"/>
      <c r="V70" s="187"/>
      <c r="W70" s="184"/>
      <c r="X70" s="181"/>
      <c r="Y70" s="612"/>
      <c r="Z70" s="187"/>
      <c r="AA70" s="187"/>
      <c r="AB70" s="184"/>
      <c r="AC70" s="181"/>
      <c r="AD70" s="612"/>
      <c r="AE70" s="187"/>
      <c r="AF70" s="187"/>
      <c r="AG70" s="184"/>
      <c r="AH70" s="181"/>
      <c r="AI70" s="612"/>
      <c r="AJ70" s="187"/>
      <c r="AK70" s="187"/>
      <c r="AL70" s="184"/>
      <c r="AM70" s="181"/>
      <c r="AN70" s="612"/>
      <c r="AO70" s="187"/>
      <c r="AP70" s="187"/>
      <c r="AQ70" s="184"/>
      <c r="AR70" s="181"/>
      <c r="AS70" s="612"/>
      <c r="AT70" s="187"/>
      <c r="AU70" s="187"/>
      <c r="AV70" s="184"/>
      <c r="AW70" s="181"/>
      <c r="AX70" s="612"/>
    </row>
    <row r="71" spans="2:50" ht="14.25" customHeight="1">
      <c r="B71" s="611"/>
      <c r="C71" s="179">
        <v>5</v>
      </c>
      <c r="D71" s="182"/>
      <c r="E71" s="179"/>
      <c r="F71" s="179"/>
      <c r="G71" s="184"/>
      <c r="H71" s="612"/>
      <c r="I71" s="185"/>
      <c r="J71" s="185"/>
      <c r="K71" s="186"/>
      <c r="L71" s="613"/>
      <c r="M71" s="185"/>
      <c r="N71" s="611"/>
      <c r="O71" s="611"/>
      <c r="P71" s="187"/>
      <c r="Q71" s="187"/>
      <c r="R71" s="184"/>
      <c r="S71" s="181"/>
      <c r="T71" s="612"/>
      <c r="U71" s="187"/>
      <c r="V71" s="187"/>
      <c r="W71" s="184"/>
      <c r="X71" s="181"/>
      <c r="Y71" s="612"/>
      <c r="Z71" s="187"/>
      <c r="AA71" s="187"/>
      <c r="AB71" s="184"/>
      <c r="AC71" s="181"/>
      <c r="AD71" s="612"/>
      <c r="AE71" s="187"/>
      <c r="AF71" s="187"/>
      <c r="AG71" s="184"/>
      <c r="AH71" s="181"/>
      <c r="AI71" s="612"/>
      <c r="AJ71" s="187"/>
      <c r="AK71" s="187"/>
      <c r="AL71" s="184"/>
      <c r="AM71" s="181"/>
      <c r="AN71" s="612"/>
      <c r="AO71" s="187"/>
      <c r="AP71" s="187"/>
      <c r="AQ71" s="184"/>
      <c r="AR71" s="181"/>
      <c r="AS71" s="612"/>
      <c r="AT71" s="187"/>
      <c r="AU71" s="187"/>
      <c r="AV71" s="184"/>
      <c r="AW71" s="181"/>
      <c r="AX71" s="612"/>
    </row>
    <row r="72" spans="2:50" ht="14.25" customHeight="1">
      <c r="B72" s="611"/>
      <c r="C72" s="179">
        <v>6</v>
      </c>
      <c r="D72" s="182"/>
      <c r="E72" s="179"/>
      <c r="F72" s="179"/>
      <c r="G72" s="184"/>
      <c r="H72" s="612"/>
      <c r="I72" s="185"/>
      <c r="J72" s="185"/>
      <c r="K72" s="186"/>
      <c r="L72" s="613"/>
      <c r="M72" s="185"/>
      <c r="N72" s="611"/>
      <c r="O72" s="611"/>
      <c r="P72" s="187"/>
      <c r="Q72" s="187"/>
      <c r="R72" s="184"/>
      <c r="S72" s="181"/>
      <c r="T72" s="612"/>
      <c r="U72" s="187"/>
      <c r="V72" s="187"/>
      <c r="W72" s="184"/>
      <c r="X72" s="181"/>
      <c r="Y72" s="612"/>
      <c r="Z72" s="187"/>
      <c r="AA72" s="187"/>
      <c r="AB72" s="184"/>
      <c r="AC72" s="181"/>
      <c r="AD72" s="612"/>
      <c r="AE72" s="187"/>
      <c r="AF72" s="187"/>
      <c r="AG72" s="184"/>
      <c r="AH72" s="181"/>
      <c r="AI72" s="612"/>
      <c r="AJ72" s="187"/>
      <c r="AK72" s="187"/>
      <c r="AL72" s="184"/>
      <c r="AM72" s="181"/>
      <c r="AN72" s="612"/>
      <c r="AO72" s="187"/>
      <c r="AP72" s="187"/>
      <c r="AQ72" s="184"/>
      <c r="AR72" s="181"/>
      <c r="AS72" s="612"/>
      <c r="AT72" s="187"/>
      <c r="AU72" s="187"/>
      <c r="AV72" s="184"/>
      <c r="AW72" s="181"/>
      <c r="AX72" s="612"/>
    </row>
    <row r="73" spans="2:50" ht="14.25" customHeight="1">
      <c r="B73" s="611"/>
      <c r="C73" s="179">
        <v>7</v>
      </c>
      <c r="D73" s="182"/>
      <c r="E73" s="179"/>
      <c r="F73" s="179"/>
      <c r="G73" s="184"/>
      <c r="H73" s="612"/>
      <c r="I73" s="185"/>
      <c r="J73" s="185"/>
      <c r="K73" s="186"/>
      <c r="L73" s="613"/>
      <c r="M73" s="185"/>
      <c r="N73" s="611"/>
      <c r="O73" s="611"/>
      <c r="P73" s="187"/>
      <c r="Q73" s="187"/>
      <c r="R73" s="184"/>
      <c r="S73" s="181"/>
      <c r="T73" s="612"/>
      <c r="U73" s="187"/>
      <c r="V73" s="187"/>
      <c r="W73" s="184"/>
      <c r="X73" s="181"/>
      <c r="Y73" s="612"/>
      <c r="Z73" s="187"/>
      <c r="AA73" s="187"/>
      <c r="AB73" s="184"/>
      <c r="AC73" s="181"/>
      <c r="AD73" s="612"/>
      <c r="AE73" s="187"/>
      <c r="AF73" s="187"/>
      <c r="AG73" s="184"/>
      <c r="AH73" s="181"/>
      <c r="AI73" s="612"/>
      <c r="AJ73" s="187"/>
      <c r="AK73" s="187"/>
      <c r="AL73" s="184"/>
      <c r="AM73" s="181"/>
      <c r="AN73" s="612"/>
      <c r="AO73" s="187"/>
      <c r="AP73" s="187"/>
      <c r="AQ73" s="184"/>
      <c r="AR73" s="181"/>
      <c r="AS73" s="612"/>
      <c r="AT73" s="187"/>
      <c r="AU73" s="187"/>
      <c r="AV73" s="184"/>
      <c r="AW73" s="181"/>
      <c r="AX73" s="612"/>
    </row>
    <row r="74" spans="2:50" ht="14.25" customHeight="1">
      <c r="B74" s="611"/>
      <c r="C74" s="179">
        <v>8</v>
      </c>
      <c r="D74" s="182"/>
      <c r="E74" s="179"/>
      <c r="F74" s="179"/>
      <c r="G74" s="184"/>
      <c r="H74" s="612"/>
      <c r="I74" s="185"/>
      <c r="J74" s="185"/>
      <c r="K74" s="186"/>
      <c r="L74" s="613"/>
      <c r="M74" s="185"/>
      <c r="N74" s="611"/>
      <c r="O74" s="611"/>
      <c r="P74" s="187"/>
      <c r="Q74" s="187"/>
      <c r="R74" s="184"/>
      <c r="S74" s="181"/>
      <c r="T74" s="612"/>
      <c r="U74" s="187"/>
      <c r="V74" s="187"/>
      <c r="W74" s="184"/>
      <c r="X74" s="181"/>
      <c r="Y74" s="612"/>
      <c r="Z74" s="187"/>
      <c r="AA74" s="187"/>
      <c r="AB74" s="184"/>
      <c r="AC74" s="181"/>
      <c r="AD74" s="612"/>
      <c r="AE74" s="187"/>
      <c r="AF74" s="187"/>
      <c r="AG74" s="184"/>
      <c r="AH74" s="181"/>
      <c r="AI74" s="612"/>
      <c r="AJ74" s="187"/>
      <c r="AK74" s="187"/>
      <c r="AL74" s="184"/>
      <c r="AM74" s="181"/>
      <c r="AN74" s="612"/>
      <c r="AO74" s="187"/>
      <c r="AP74" s="187"/>
      <c r="AQ74" s="184"/>
      <c r="AR74" s="181"/>
      <c r="AS74" s="612"/>
      <c r="AT74" s="187"/>
      <c r="AU74" s="187"/>
      <c r="AV74" s="184"/>
      <c r="AW74" s="181"/>
      <c r="AX74" s="612"/>
    </row>
    <row r="75" spans="2:50" ht="14.25" customHeight="1">
      <c r="B75" s="611"/>
      <c r="C75" s="179">
        <v>9</v>
      </c>
      <c r="D75" s="182"/>
      <c r="E75" s="179"/>
      <c r="F75" s="179"/>
      <c r="G75" s="184"/>
      <c r="H75" s="612"/>
      <c r="I75" s="185"/>
      <c r="J75" s="185"/>
      <c r="K75" s="186"/>
      <c r="L75" s="613"/>
      <c r="M75" s="185"/>
      <c r="N75" s="611"/>
      <c r="O75" s="611"/>
      <c r="P75" s="187"/>
      <c r="Q75" s="187"/>
      <c r="R75" s="184"/>
      <c r="S75" s="181"/>
      <c r="T75" s="612"/>
      <c r="U75" s="187"/>
      <c r="V75" s="187"/>
      <c r="W75" s="184"/>
      <c r="X75" s="181"/>
      <c r="Y75" s="612"/>
      <c r="Z75" s="187"/>
      <c r="AA75" s="187"/>
      <c r="AB75" s="184"/>
      <c r="AC75" s="181"/>
      <c r="AD75" s="612"/>
      <c r="AE75" s="187"/>
      <c r="AF75" s="187"/>
      <c r="AG75" s="184"/>
      <c r="AH75" s="181"/>
      <c r="AI75" s="612"/>
      <c r="AJ75" s="187"/>
      <c r="AK75" s="187"/>
      <c r="AL75" s="184"/>
      <c r="AM75" s="181"/>
      <c r="AN75" s="612"/>
      <c r="AO75" s="187"/>
      <c r="AP75" s="187"/>
      <c r="AQ75" s="184"/>
      <c r="AR75" s="181"/>
      <c r="AS75" s="612"/>
      <c r="AT75" s="187"/>
      <c r="AU75" s="187"/>
      <c r="AV75" s="184"/>
      <c r="AW75" s="181"/>
      <c r="AX75" s="612"/>
    </row>
    <row r="76" spans="2:50" ht="14.25" customHeight="1">
      <c r="B76" s="611"/>
      <c r="C76" s="179">
        <v>10</v>
      </c>
      <c r="D76" s="182"/>
      <c r="E76" s="179"/>
      <c r="F76" s="179"/>
      <c r="G76" s="184"/>
      <c r="H76" s="612"/>
      <c r="I76" s="185"/>
      <c r="J76" s="185"/>
      <c r="K76" s="186"/>
      <c r="L76" s="613"/>
      <c r="M76" s="185"/>
      <c r="N76" s="611"/>
      <c r="O76" s="611"/>
      <c r="P76" s="187"/>
      <c r="Q76" s="187"/>
      <c r="R76" s="184"/>
      <c r="S76" s="181"/>
      <c r="T76" s="612"/>
      <c r="U76" s="187"/>
      <c r="V76" s="187"/>
      <c r="W76" s="184"/>
      <c r="X76" s="181"/>
      <c r="Y76" s="612"/>
      <c r="Z76" s="187"/>
      <c r="AA76" s="187"/>
      <c r="AB76" s="184"/>
      <c r="AC76" s="181"/>
      <c r="AD76" s="612"/>
      <c r="AE76" s="187"/>
      <c r="AF76" s="187"/>
      <c r="AG76" s="184"/>
      <c r="AH76" s="181"/>
      <c r="AI76" s="612"/>
      <c r="AJ76" s="187"/>
      <c r="AK76" s="187"/>
      <c r="AL76" s="184"/>
      <c r="AM76" s="181"/>
      <c r="AN76" s="612"/>
      <c r="AO76" s="187"/>
      <c r="AP76" s="187"/>
      <c r="AQ76" s="184"/>
      <c r="AR76" s="181"/>
      <c r="AS76" s="612"/>
      <c r="AT76" s="187"/>
      <c r="AU76" s="187"/>
      <c r="AV76" s="184"/>
      <c r="AW76" s="181"/>
      <c r="AX76" s="612"/>
    </row>
    <row r="77" spans="2:50" ht="14.25" customHeight="1">
      <c r="B77" s="611"/>
      <c r="C77" s="179">
        <v>11</v>
      </c>
      <c r="D77" s="182"/>
      <c r="E77" s="179"/>
      <c r="F77" s="179"/>
      <c r="G77" s="184"/>
      <c r="H77" s="612"/>
      <c r="I77" s="185"/>
      <c r="J77" s="185"/>
      <c r="K77" s="186"/>
      <c r="L77" s="613"/>
      <c r="M77" s="185"/>
      <c r="N77" s="611"/>
      <c r="O77" s="611"/>
      <c r="P77" s="187"/>
      <c r="Q77" s="187"/>
      <c r="R77" s="184"/>
      <c r="S77" s="181"/>
      <c r="T77" s="612"/>
      <c r="U77" s="187"/>
      <c r="V77" s="187"/>
      <c r="W77" s="184"/>
      <c r="X77" s="181"/>
      <c r="Y77" s="612"/>
      <c r="Z77" s="187"/>
      <c r="AA77" s="187"/>
      <c r="AB77" s="184"/>
      <c r="AC77" s="181"/>
      <c r="AD77" s="612"/>
      <c r="AE77" s="187"/>
      <c r="AF77" s="187"/>
      <c r="AG77" s="184"/>
      <c r="AH77" s="181"/>
      <c r="AI77" s="612"/>
      <c r="AJ77" s="187"/>
      <c r="AK77" s="187"/>
      <c r="AL77" s="184"/>
      <c r="AM77" s="181"/>
      <c r="AN77" s="612"/>
      <c r="AO77" s="187"/>
      <c r="AP77" s="187"/>
      <c r="AQ77" s="184"/>
      <c r="AR77" s="181"/>
      <c r="AS77" s="612"/>
      <c r="AT77" s="187"/>
      <c r="AU77" s="187"/>
      <c r="AV77" s="184"/>
      <c r="AW77" s="181"/>
      <c r="AX77" s="612"/>
    </row>
    <row r="78" spans="2:50" ht="14.25" customHeight="1">
      <c r="B78" s="611"/>
      <c r="C78" s="179">
        <v>12</v>
      </c>
      <c r="D78" s="182"/>
      <c r="E78" s="179"/>
      <c r="F78" s="179"/>
      <c r="G78" s="184"/>
      <c r="H78" s="612"/>
      <c r="I78" s="185"/>
      <c r="J78" s="185"/>
      <c r="K78" s="186"/>
      <c r="L78" s="613"/>
      <c r="M78" s="185"/>
      <c r="N78" s="611"/>
      <c r="O78" s="611"/>
      <c r="P78" s="187"/>
      <c r="Q78" s="187"/>
      <c r="R78" s="184"/>
      <c r="S78" s="181"/>
      <c r="T78" s="612"/>
      <c r="U78" s="187"/>
      <c r="V78" s="187"/>
      <c r="W78" s="184"/>
      <c r="X78" s="181"/>
      <c r="Y78" s="612"/>
      <c r="Z78" s="187"/>
      <c r="AA78" s="187"/>
      <c r="AB78" s="184"/>
      <c r="AC78" s="181"/>
      <c r="AD78" s="612"/>
      <c r="AE78" s="187"/>
      <c r="AF78" s="187"/>
      <c r="AG78" s="184"/>
      <c r="AH78" s="181"/>
      <c r="AI78" s="612"/>
      <c r="AJ78" s="187"/>
      <c r="AK78" s="187"/>
      <c r="AL78" s="184"/>
      <c r="AM78" s="181"/>
      <c r="AN78" s="612"/>
      <c r="AO78" s="187"/>
      <c r="AP78" s="187"/>
      <c r="AQ78" s="184"/>
      <c r="AR78" s="181"/>
      <c r="AS78" s="612"/>
      <c r="AT78" s="187"/>
      <c r="AU78" s="187"/>
      <c r="AV78" s="184"/>
      <c r="AW78" s="181"/>
      <c r="AX78" s="612"/>
    </row>
    <row r="79" spans="2:50" ht="14.25" customHeight="1">
      <c r="B79" s="611"/>
      <c r="C79" s="179">
        <v>13</v>
      </c>
      <c r="D79" s="182"/>
      <c r="E79" s="179"/>
      <c r="F79" s="179"/>
      <c r="G79" s="184"/>
      <c r="H79" s="612"/>
      <c r="I79" s="185"/>
      <c r="J79" s="185"/>
      <c r="K79" s="186"/>
      <c r="L79" s="613"/>
      <c r="M79" s="185"/>
      <c r="N79" s="611"/>
      <c r="O79" s="611"/>
      <c r="P79" s="187"/>
      <c r="Q79" s="187"/>
      <c r="R79" s="184"/>
      <c r="S79" s="181"/>
      <c r="T79" s="612"/>
      <c r="U79" s="187"/>
      <c r="V79" s="187"/>
      <c r="W79" s="184"/>
      <c r="X79" s="181"/>
      <c r="Y79" s="612"/>
      <c r="Z79" s="187"/>
      <c r="AA79" s="187"/>
      <c r="AB79" s="184"/>
      <c r="AC79" s="181"/>
      <c r="AD79" s="612"/>
      <c r="AE79" s="187"/>
      <c r="AF79" s="187"/>
      <c r="AG79" s="184"/>
      <c r="AH79" s="181"/>
      <c r="AI79" s="612"/>
      <c r="AJ79" s="187"/>
      <c r="AK79" s="187"/>
      <c r="AL79" s="184"/>
      <c r="AM79" s="181"/>
      <c r="AN79" s="612"/>
      <c r="AO79" s="187"/>
      <c r="AP79" s="187"/>
      <c r="AQ79" s="184"/>
      <c r="AR79" s="181"/>
      <c r="AS79" s="612"/>
      <c r="AT79" s="187"/>
      <c r="AU79" s="187"/>
      <c r="AV79" s="184"/>
      <c r="AW79" s="181"/>
      <c r="AX79" s="612"/>
    </row>
    <row r="80" spans="2:50" ht="14.25" customHeight="1">
      <c r="B80" s="611"/>
      <c r="C80" s="179">
        <v>14</v>
      </c>
      <c r="D80" s="182"/>
      <c r="E80" s="179"/>
      <c r="F80" s="179"/>
      <c r="G80" s="184"/>
      <c r="H80" s="612"/>
      <c r="I80" s="185"/>
      <c r="J80" s="185"/>
      <c r="K80" s="186"/>
      <c r="L80" s="613"/>
      <c r="M80" s="185"/>
      <c r="N80" s="611"/>
      <c r="O80" s="611"/>
      <c r="P80" s="187"/>
      <c r="Q80" s="187"/>
      <c r="R80" s="184"/>
      <c r="S80" s="181"/>
      <c r="T80" s="612"/>
      <c r="U80" s="187"/>
      <c r="V80" s="187"/>
      <c r="W80" s="184"/>
      <c r="X80" s="181"/>
      <c r="Y80" s="612"/>
      <c r="Z80" s="187"/>
      <c r="AA80" s="187"/>
      <c r="AB80" s="184"/>
      <c r="AC80" s="181"/>
      <c r="AD80" s="612"/>
      <c r="AE80" s="187"/>
      <c r="AF80" s="187"/>
      <c r="AG80" s="184"/>
      <c r="AH80" s="181"/>
      <c r="AI80" s="612"/>
      <c r="AJ80" s="187"/>
      <c r="AK80" s="187"/>
      <c r="AL80" s="184"/>
      <c r="AM80" s="181"/>
      <c r="AN80" s="612"/>
      <c r="AO80" s="187"/>
      <c r="AP80" s="187"/>
      <c r="AQ80" s="184"/>
      <c r="AR80" s="181"/>
      <c r="AS80" s="612"/>
      <c r="AT80" s="187"/>
      <c r="AU80" s="187"/>
      <c r="AV80" s="184"/>
      <c r="AW80" s="181"/>
      <c r="AX80" s="612"/>
    </row>
    <row r="81" spans="2:50" ht="14.25" customHeight="1">
      <c r="B81" s="611"/>
      <c r="C81" s="179">
        <v>15</v>
      </c>
      <c r="D81" s="182"/>
      <c r="E81" s="179"/>
      <c r="F81" s="179"/>
      <c r="G81" s="184"/>
      <c r="H81" s="612"/>
      <c r="I81" s="185"/>
      <c r="J81" s="185"/>
      <c r="K81" s="186"/>
      <c r="L81" s="613"/>
      <c r="M81" s="185"/>
      <c r="N81" s="611"/>
      <c r="O81" s="611"/>
      <c r="P81" s="187"/>
      <c r="Q81" s="187"/>
      <c r="R81" s="184"/>
      <c r="S81" s="181"/>
      <c r="T81" s="612"/>
      <c r="U81" s="187"/>
      <c r="V81" s="187"/>
      <c r="W81" s="184"/>
      <c r="X81" s="181"/>
      <c r="Y81" s="612"/>
      <c r="Z81" s="187"/>
      <c r="AA81" s="187"/>
      <c r="AB81" s="184"/>
      <c r="AC81" s="181"/>
      <c r="AD81" s="612"/>
      <c r="AE81" s="187"/>
      <c r="AF81" s="187"/>
      <c r="AG81" s="184"/>
      <c r="AH81" s="181"/>
      <c r="AI81" s="612"/>
      <c r="AJ81" s="187"/>
      <c r="AK81" s="187"/>
      <c r="AL81" s="184"/>
      <c r="AM81" s="181"/>
      <c r="AN81" s="612"/>
      <c r="AO81" s="187"/>
      <c r="AP81" s="187"/>
      <c r="AQ81" s="184"/>
      <c r="AR81" s="181"/>
      <c r="AS81" s="612"/>
      <c r="AT81" s="187"/>
      <c r="AU81" s="187"/>
      <c r="AV81" s="184"/>
      <c r="AW81" s="181"/>
      <c r="AX81" s="612"/>
    </row>
    <row r="82" spans="2:50" ht="14.25" customHeight="1">
      <c r="B82" s="640" t="s">
        <v>880</v>
      </c>
      <c r="C82" s="641"/>
      <c r="D82" s="641"/>
      <c r="E82" s="641"/>
      <c r="F82" s="641"/>
      <c r="G82" s="641"/>
      <c r="H82" s="641"/>
      <c r="I82" s="641"/>
      <c r="J82" s="641"/>
      <c r="K82" s="641"/>
      <c r="L82" s="641"/>
      <c r="M82" s="642"/>
      <c r="N82" s="645" t="s">
        <v>363</v>
      </c>
      <c r="O82" s="645" t="s">
        <v>105</v>
      </c>
      <c r="P82" s="632">
        <v>46231</v>
      </c>
      <c r="Q82" s="633"/>
      <c r="R82" s="633"/>
      <c r="S82" s="633"/>
      <c r="T82" s="633"/>
      <c r="U82" s="634">
        <f>P82+1</f>
        <v>46232</v>
      </c>
      <c r="V82" s="635"/>
      <c r="W82" s="635"/>
      <c r="X82" s="635"/>
      <c r="Y82" s="635"/>
      <c r="Z82" s="632">
        <f t="shared" ref="Z82" si="20">U82+1</f>
        <v>46233</v>
      </c>
      <c r="AA82" s="633"/>
      <c r="AB82" s="633"/>
      <c r="AC82" s="633"/>
      <c r="AD82" s="633"/>
      <c r="AE82" s="634">
        <f t="shared" ref="AE82" si="21">Z82+1</f>
        <v>46234</v>
      </c>
      <c r="AF82" s="635"/>
      <c r="AG82" s="635"/>
      <c r="AH82" s="635"/>
      <c r="AI82" s="635"/>
      <c r="AJ82" s="616">
        <f t="shared" ref="AJ82" si="22">AE82+1</f>
        <v>46235</v>
      </c>
      <c r="AK82" s="617"/>
      <c r="AL82" s="617"/>
      <c r="AM82" s="617"/>
      <c r="AN82" s="618"/>
      <c r="AO82" s="634">
        <f t="shared" ref="AO82" si="23">AJ82+1</f>
        <v>46236</v>
      </c>
      <c r="AP82" s="635"/>
      <c r="AQ82" s="635"/>
      <c r="AR82" s="635"/>
      <c r="AS82" s="635"/>
      <c r="AT82" s="616">
        <f t="shared" ref="AT82" si="24">AO82+1</f>
        <v>46237</v>
      </c>
      <c r="AU82" s="617"/>
      <c r="AV82" s="617"/>
      <c r="AW82" s="617"/>
      <c r="AX82" s="618"/>
    </row>
    <row r="83" spans="2:50" ht="14.25" customHeight="1">
      <c r="B83" s="643"/>
      <c r="C83" s="643"/>
      <c r="D83" s="643"/>
      <c r="E83" s="643"/>
      <c r="F83" s="643"/>
      <c r="G83" s="643"/>
      <c r="H83" s="643"/>
      <c r="I83" s="643"/>
      <c r="J83" s="643"/>
      <c r="K83" s="643"/>
      <c r="L83" s="643"/>
      <c r="M83" s="644"/>
      <c r="N83" s="646"/>
      <c r="O83" s="646"/>
      <c r="P83" s="619">
        <v>46196</v>
      </c>
      <c r="Q83" s="619"/>
      <c r="R83" s="619"/>
      <c r="S83" s="619"/>
      <c r="T83" s="619"/>
      <c r="U83" s="620">
        <v>46197</v>
      </c>
      <c r="V83" s="620"/>
      <c r="W83" s="620"/>
      <c r="X83" s="620"/>
      <c r="Y83" s="620"/>
      <c r="Z83" s="619">
        <v>46198</v>
      </c>
      <c r="AA83" s="619"/>
      <c r="AB83" s="619"/>
      <c r="AC83" s="619"/>
      <c r="AD83" s="619"/>
      <c r="AE83" s="620">
        <v>46199</v>
      </c>
      <c r="AF83" s="620"/>
      <c r="AG83" s="620"/>
      <c r="AH83" s="620"/>
      <c r="AI83" s="620"/>
      <c r="AJ83" s="621">
        <v>46200</v>
      </c>
      <c r="AK83" s="622"/>
      <c r="AL83" s="622"/>
      <c r="AM83" s="622"/>
      <c r="AN83" s="623"/>
      <c r="AO83" s="620">
        <v>46201</v>
      </c>
      <c r="AP83" s="620"/>
      <c r="AQ83" s="620"/>
      <c r="AR83" s="620"/>
      <c r="AS83" s="620"/>
      <c r="AT83" s="621">
        <v>46202</v>
      </c>
      <c r="AU83" s="622"/>
      <c r="AV83" s="622"/>
      <c r="AW83" s="622"/>
      <c r="AX83" s="623"/>
    </row>
    <row r="84" spans="2:50" ht="14.25" customHeight="1">
      <c r="B84" s="611" t="s">
        <v>162</v>
      </c>
      <c r="C84" s="611" t="s">
        <v>157</v>
      </c>
      <c r="D84" s="611"/>
      <c r="E84" s="611" t="s">
        <v>158</v>
      </c>
      <c r="F84" s="611"/>
      <c r="G84" s="611"/>
      <c r="H84" s="611" t="s">
        <v>163</v>
      </c>
      <c r="I84" s="615" t="s">
        <v>364</v>
      </c>
      <c r="J84" s="615"/>
      <c r="K84" s="615"/>
      <c r="L84" s="615" t="s">
        <v>163</v>
      </c>
      <c r="M84" s="615" t="s">
        <v>165</v>
      </c>
      <c r="N84" s="611"/>
      <c r="O84" s="611" t="s">
        <v>164</v>
      </c>
      <c r="P84" s="611" t="s">
        <v>160</v>
      </c>
      <c r="Q84" s="611"/>
      <c r="R84" s="611"/>
      <c r="S84" s="611"/>
      <c r="T84" s="611" t="s">
        <v>163</v>
      </c>
      <c r="U84" s="611" t="s">
        <v>160</v>
      </c>
      <c r="V84" s="611"/>
      <c r="W84" s="611"/>
      <c r="X84" s="611"/>
      <c r="Y84" s="611" t="s">
        <v>163</v>
      </c>
      <c r="Z84" s="611" t="s">
        <v>160</v>
      </c>
      <c r="AA84" s="611"/>
      <c r="AB84" s="611"/>
      <c r="AC84" s="611"/>
      <c r="AD84" s="611" t="s">
        <v>163</v>
      </c>
      <c r="AE84" s="611" t="s">
        <v>160</v>
      </c>
      <c r="AF84" s="611"/>
      <c r="AG84" s="611"/>
      <c r="AH84" s="611"/>
      <c r="AI84" s="611" t="s">
        <v>163</v>
      </c>
      <c r="AJ84" s="611" t="s">
        <v>160</v>
      </c>
      <c r="AK84" s="611"/>
      <c r="AL84" s="611"/>
      <c r="AM84" s="611"/>
      <c r="AN84" s="611" t="s">
        <v>163</v>
      </c>
      <c r="AO84" s="611" t="s">
        <v>160</v>
      </c>
      <c r="AP84" s="611"/>
      <c r="AQ84" s="611"/>
      <c r="AR84" s="611"/>
      <c r="AS84" s="611" t="s">
        <v>163</v>
      </c>
      <c r="AT84" s="611" t="s">
        <v>160</v>
      </c>
      <c r="AU84" s="611"/>
      <c r="AV84" s="611"/>
      <c r="AW84" s="611"/>
      <c r="AX84" s="611" t="s">
        <v>163</v>
      </c>
    </row>
    <row r="85" spans="2:50" ht="14.25" customHeight="1">
      <c r="B85" s="611"/>
      <c r="C85" s="611"/>
      <c r="D85" s="611"/>
      <c r="E85" s="611" t="s">
        <v>365</v>
      </c>
      <c r="F85" s="611"/>
      <c r="G85" s="611"/>
      <c r="H85" s="611"/>
      <c r="I85" s="615" t="s">
        <v>365</v>
      </c>
      <c r="J85" s="615"/>
      <c r="K85" s="615"/>
      <c r="L85" s="615"/>
      <c r="M85" s="615"/>
      <c r="N85" s="611"/>
      <c r="O85" s="611"/>
      <c r="P85" s="611" t="s">
        <v>366</v>
      </c>
      <c r="Q85" s="611"/>
      <c r="R85" s="611"/>
      <c r="S85" s="611"/>
      <c r="T85" s="611"/>
      <c r="U85" s="611" t="s">
        <v>366</v>
      </c>
      <c r="V85" s="611"/>
      <c r="W85" s="611"/>
      <c r="X85" s="611"/>
      <c r="Y85" s="611"/>
      <c r="Z85" s="611" t="s">
        <v>366</v>
      </c>
      <c r="AA85" s="611"/>
      <c r="AB85" s="611"/>
      <c r="AC85" s="611"/>
      <c r="AD85" s="611"/>
      <c r="AE85" s="611" t="s">
        <v>366</v>
      </c>
      <c r="AF85" s="611"/>
      <c r="AG85" s="611"/>
      <c r="AH85" s="611"/>
      <c r="AI85" s="611"/>
      <c r="AJ85" s="611" t="s">
        <v>366</v>
      </c>
      <c r="AK85" s="611"/>
      <c r="AL85" s="611"/>
      <c r="AM85" s="611"/>
      <c r="AN85" s="611"/>
      <c r="AO85" s="611" t="s">
        <v>366</v>
      </c>
      <c r="AP85" s="611"/>
      <c r="AQ85" s="611"/>
      <c r="AR85" s="611"/>
      <c r="AS85" s="611"/>
      <c r="AT85" s="611" t="s">
        <v>366</v>
      </c>
      <c r="AU85" s="611"/>
      <c r="AV85" s="611"/>
      <c r="AW85" s="611"/>
      <c r="AX85" s="611"/>
    </row>
    <row r="86" spans="2:50" ht="14.25" customHeight="1">
      <c r="B86" s="611"/>
      <c r="C86" s="611"/>
      <c r="D86" s="611"/>
      <c r="E86" s="179" t="s">
        <v>159</v>
      </c>
      <c r="F86" s="179" t="s">
        <v>367</v>
      </c>
      <c r="G86" s="179" t="s">
        <v>161</v>
      </c>
      <c r="H86" s="611"/>
      <c r="I86" s="180" t="s">
        <v>159</v>
      </c>
      <c r="J86" s="180" t="s">
        <v>367</v>
      </c>
      <c r="K86" s="180" t="s">
        <v>161</v>
      </c>
      <c r="L86" s="615"/>
      <c r="M86" s="615"/>
      <c r="N86" s="611"/>
      <c r="O86" s="611"/>
      <c r="P86" s="179" t="s">
        <v>159</v>
      </c>
      <c r="Q86" s="179" t="s">
        <v>367</v>
      </c>
      <c r="R86" s="179" t="s">
        <v>161</v>
      </c>
      <c r="S86" s="181" t="s">
        <v>165</v>
      </c>
      <c r="T86" s="611"/>
      <c r="U86" s="179" t="s">
        <v>159</v>
      </c>
      <c r="V86" s="179" t="s">
        <v>367</v>
      </c>
      <c r="W86" s="179" t="s">
        <v>161</v>
      </c>
      <c r="X86" s="181" t="s">
        <v>165</v>
      </c>
      <c r="Y86" s="611"/>
      <c r="Z86" s="179" t="s">
        <v>159</v>
      </c>
      <c r="AA86" s="179" t="s">
        <v>367</v>
      </c>
      <c r="AB86" s="179" t="s">
        <v>161</v>
      </c>
      <c r="AC86" s="181" t="s">
        <v>165</v>
      </c>
      <c r="AD86" s="611"/>
      <c r="AE86" s="179" t="s">
        <v>159</v>
      </c>
      <c r="AF86" s="179" t="s">
        <v>367</v>
      </c>
      <c r="AG86" s="179" t="s">
        <v>161</v>
      </c>
      <c r="AH86" s="181" t="s">
        <v>165</v>
      </c>
      <c r="AI86" s="611"/>
      <c r="AJ86" s="179" t="s">
        <v>159</v>
      </c>
      <c r="AK86" s="179" t="s">
        <v>367</v>
      </c>
      <c r="AL86" s="179" t="s">
        <v>161</v>
      </c>
      <c r="AM86" s="181" t="s">
        <v>165</v>
      </c>
      <c r="AN86" s="611"/>
      <c r="AO86" s="179" t="s">
        <v>159</v>
      </c>
      <c r="AP86" s="179" t="s">
        <v>367</v>
      </c>
      <c r="AQ86" s="179" t="s">
        <v>161</v>
      </c>
      <c r="AR86" s="181" t="s">
        <v>165</v>
      </c>
      <c r="AS86" s="611"/>
      <c r="AT86" s="179" t="s">
        <v>159</v>
      </c>
      <c r="AU86" s="179" t="s">
        <v>367</v>
      </c>
      <c r="AV86" s="179" t="s">
        <v>161</v>
      </c>
      <c r="AW86" s="181" t="s">
        <v>165</v>
      </c>
      <c r="AX86" s="611"/>
    </row>
    <row r="87" spans="2:50" ht="14.25" customHeight="1">
      <c r="B87" s="611" t="s">
        <v>426</v>
      </c>
      <c r="C87" s="179">
        <v>1</v>
      </c>
      <c r="D87" s="182"/>
      <c r="E87" s="183"/>
      <c r="F87" s="179"/>
      <c r="G87" s="184"/>
      <c r="H87" s="612"/>
      <c r="I87" s="185"/>
      <c r="J87" s="185"/>
      <c r="K87" s="186"/>
      <c r="L87" s="613"/>
      <c r="M87" s="185"/>
      <c r="N87" s="611"/>
      <c r="O87" s="611"/>
      <c r="P87" s="187"/>
      <c r="Q87" s="187"/>
      <c r="R87" s="184"/>
      <c r="S87" s="181"/>
      <c r="T87" s="612"/>
      <c r="U87" s="187"/>
      <c r="V87" s="187"/>
      <c r="W87" s="184"/>
      <c r="X87" s="181"/>
      <c r="Y87" s="612"/>
      <c r="Z87" s="187"/>
      <c r="AA87" s="187"/>
      <c r="AB87" s="184"/>
      <c r="AC87" s="181"/>
      <c r="AD87" s="612"/>
      <c r="AE87" s="187"/>
      <c r="AF87" s="187"/>
      <c r="AG87" s="184"/>
      <c r="AH87" s="181"/>
      <c r="AI87" s="612"/>
      <c r="AJ87" s="187"/>
      <c r="AK87" s="187"/>
      <c r="AL87" s="184"/>
      <c r="AM87" s="181"/>
      <c r="AN87" s="612"/>
      <c r="AO87" s="187"/>
      <c r="AP87" s="187"/>
      <c r="AQ87" s="184"/>
      <c r="AR87" s="181"/>
      <c r="AS87" s="612"/>
      <c r="AT87" s="187"/>
      <c r="AU87" s="187"/>
      <c r="AV87" s="184"/>
      <c r="AW87" s="181"/>
      <c r="AX87" s="612"/>
    </row>
    <row r="88" spans="2:50" ht="14.25" customHeight="1">
      <c r="B88" s="611"/>
      <c r="C88" s="179">
        <v>2</v>
      </c>
      <c r="D88" s="182"/>
      <c r="E88" s="179"/>
      <c r="F88" s="179"/>
      <c r="G88" s="184"/>
      <c r="H88" s="612"/>
      <c r="I88" s="185"/>
      <c r="J88" s="185"/>
      <c r="K88" s="186"/>
      <c r="L88" s="613"/>
      <c r="M88" s="185"/>
      <c r="N88" s="611"/>
      <c r="O88" s="611"/>
      <c r="P88" s="187"/>
      <c r="Q88" s="187"/>
      <c r="R88" s="184"/>
      <c r="S88" s="181"/>
      <c r="T88" s="612"/>
      <c r="U88" s="187"/>
      <c r="V88" s="187"/>
      <c r="W88" s="184"/>
      <c r="X88" s="181"/>
      <c r="Y88" s="612"/>
      <c r="Z88" s="187"/>
      <c r="AA88" s="187"/>
      <c r="AB88" s="184"/>
      <c r="AC88" s="181"/>
      <c r="AD88" s="612"/>
      <c r="AE88" s="187"/>
      <c r="AF88" s="187"/>
      <c r="AG88" s="184"/>
      <c r="AH88" s="181"/>
      <c r="AI88" s="612"/>
      <c r="AJ88" s="187"/>
      <c r="AK88" s="187"/>
      <c r="AL88" s="184"/>
      <c r="AM88" s="181"/>
      <c r="AN88" s="612"/>
      <c r="AO88" s="187"/>
      <c r="AP88" s="187"/>
      <c r="AQ88" s="184"/>
      <c r="AR88" s="181"/>
      <c r="AS88" s="612"/>
      <c r="AT88" s="187"/>
      <c r="AU88" s="187"/>
      <c r="AV88" s="184"/>
      <c r="AW88" s="181"/>
      <c r="AX88" s="612"/>
    </row>
    <row r="89" spans="2:50" ht="14.25" customHeight="1">
      <c r="B89" s="611"/>
      <c r="C89" s="179">
        <v>3</v>
      </c>
      <c r="D89" s="182"/>
      <c r="E89" s="179"/>
      <c r="F89" s="179"/>
      <c r="G89" s="184"/>
      <c r="H89" s="612"/>
      <c r="I89" s="185"/>
      <c r="J89" s="185"/>
      <c r="K89" s="186"/>
      <c r="L89" s="613"/>
      <c r="M89" s="185"/>
      <c r="N89" s="611"/>
      <c r="O89" s="611"/>
      <c r="P89" s="187"/>
      <c r="Q89" s="187"/>
      <c r="R89" s="184"/>
      <c r="S89" s="181"/>
      <c r="T89" s="612"/>
      <c r="U89" s="187"/>
      <c r="V89" s="187"/>
      <c r="W89" s="184"/>
      <c r="X89" s="181"/>
      <c r="Y89" s="612"/>
      <c r="Z89" s="187"/>
      <c r="AA89" s="187"/>
      <c r="AB89" s="184"/>
      <c r="AC89" s="181"/>
      <c r="AD89" s="612"/>
      <c r="AE89" s="187"/>
      <c r="AF89" s="187"/>
      <c r="AG89" s="184"/>
      <c r="AH89" s="181"/>
      <c r="AI89" s="612"/>
      <c r="AJ89" s="187"/>
      <c r="AK89" s="187"/>
      <c r="AL89" s="184"/>
      <c r="AM89" s="181"/>
      <c r="AN89" s="612"/>
      <c r="AO89" s="187"/>
      <c r="AP89" s="187"/>
      <c r="AQ89" s="184"/>
      <c r="AR89" s="181"/>
      <c r="AS89" s="612"/>
      <c r="AT89" s="187"/>
      <c r="AU89" s="187"/>
      <c r="AV89" s="184"/>
      <c r="AW89" s="181"/>
      <c r="AX89" s="612"/>
    </row>
    <row r="90" spans="2:50" ht="14.25" customHeight="1">
      <c r="B90" s="611"/>
      <c r="C90" s="179">
        <v>4</v>
      </c>
      <c r="D90" s="182"/>
      <c r="E90" s="179"/>
      <c r="F90" s="179"/>
      <c r="G90" s="184"/>
      <c r="H90" s="612"/>
      <c r="I90" s="185"/>
      <c r="J90" s="185"/>
      <c r="K90" s="186"/>
      <c r="L90" s="613"/>
      <c r="M90" s="185"/>
      <c r="N90" s="611"/>
      <c r="O90" s="611"/>
      <c r="P90" s="187"/>
      <c r="Q90" s="187"/>
      <c r="R90" s="184"/>
      <c r="S90" s="181"/>
      <c r="T90" s="612"/>
      <c r="U90" s="187"/>
      <c r="V90" s="187"/>
      <c r="W90" s="184"/>
      <c r="X90" s="181"/>
      <c r="Y90" s="612"/>
      <c r="Z90" s="187"/>
      <c r="AA90" s="187"/>
      <c r="AB90" s="184"/>
      <c r="AC90" s="181"/>
      <c r="AD90" s="612"/>
      <c r="AE90" s="187"/>
      <c r="AF90" s="187"/>
      <c r="AG90" s="184"/>
      <c r="AH90" s="181"/>
      <c r="AI90" s="612"/>
      <c r="AJ90" s="187"/>
      <c r="AK90" s="187"/>
      <c r="AL90" s="184"/>
      <c r="AM90" s="181"/>
      <c r="AN90" s="612"/>
      <c r="AO90" s="187"/>
      <c r="AP90" s="187"/>
      <c r="AQ90" s="184"/>
      <c r="AR90" s="181"/>
      <c r="AS90" s="612"/>
      <c r="AT90" s="187"/>
      <c r="AU90" s="187"/>
      <c r="AV90" s="184"/>
      <c r="AW90" s="181"/>
      <c r="AX90" s="612"/>
    </row>
    <row r="91" spans="2:50" ht="14.25" customHeight="1">
      <c r="B91" s="611"/>
      <c r="C91" s="179">
        <v>5</v>
      </c>
      <c r="D91" s="182"/>
      <c r="E91" s="179"/>
      <c r="F91" s="179"/>
      <c r="G91" s="184"/>
      <c r="H91" s="612"/>
      <c r="I91" s="185"/>
      <c r="J91" s="185"/>
      <c r="K91" s="186"/>
      <c r="L91" s="613"/>
      <c r="M91" s="185"/>
      <c r="N91" s="611"/>
      <c r="O91" s="611"/>
      <c r="P91" s="187"/>
      <c r="Q91" s="187"/>
      <c r="R91" s="184"/>
      <c r="S91" s="181"/>
      <c r="T91" s="612"/>
      <c r="U91" s="187"/>
      <c r="V91" s="187"/>
      <c r="W91" s="184"/>
      <c r="X91" s="181"/>
      <c r="Y91" s="612"/>
      <c r="Z91" s="187"/>
      <c r="AA91" s="187"/>
      <c r="AB91" s="184"/>
      <c r="AC91" s="181"/>
      <c r="AD91" s="612"/>
      <c r="AE91" s="187"/>
      <c r="AF91" s="187"/>
      <c r="AG91" s="184"/>
      <c r="AH91" s="181"/>
      <c r="AI91" s="612"/>
      <c r="AJ91" s="187"/>
      <c r="AK91" s="187"/>
      <c r="AL91" s="184"/>
      <c r="AM91" s="181"/>
      <c r="AN91" s="612"/>
      <c r="AO91" s="187"/>
      <c r="AP91" s="187"/>
      <c r="AQ91" s="184"/>
      <c r="AR91" s="181"/>
      <c r="AS91" s="612"/>
      <c r="AT91" s="187"/>
      <c r="AU91" s="187"/>
      <c r="AV91" s="184"/>
      <c r="AW91" s="181"/>
      <c r="AX91" s="612"/>
    </row>
    <row r="92" spans="2:50" ht="14.25" customHeight="1">
      <c r="B92" s="611"/>
      <c r="C92" s="179">
        <v>6</v>
      </c>
      <c r="D92" s="182"/>
      <c r="E92" s="179"/>
      <c r="F92" s="179"/>
      <c r="G92" s="184"/>
      <c r="H92" s="612"/>
      <c r="I92" s="185"/>
      <c r="J92" s="185"/>
      <c r="K92" s="186"/>
      <c r="L92" s="613"/>
      <c r="M92" s="185"/>
      <c r="N92" s="611"/>
      <c r="O92" s="611"/>
      <c r="P92" s="187"/>
      <c r="Q92" s="187"/>
      <c r="R92" s="184"/>
      <c r="S92" s="181"/>
      <c r="T92" s="612"/>
      <c r="U92" s="187"/>
      <c r="V92" s="187"/>
      <c r="W92" s="184"/>
      <c r="X92" s="181"/>
      <c r="Y92" s="612"/>
      <c r="Z92" s="187"/>
      <c r="AA92" s="187"/>
      <c r="AB92" s="184"/>
      <c r="AC92" s="181"/>
      <c r="AD92" s="612"/>
      <c r="AE92" s="187"/>
      <c r="AF92" s="187"/>
      <c r="AG92" s="184"/>
      <c r="AH92" s="181"/>
      <c r="AI92" s="612"/>
      <c r="AJ92" s="187"/>
      <c r="AK92" s="187"/>
      <c r="AL92" s="184"/>
      <c r="AM92" s="181"/>
      <c r="AN92" s="612"/>
      <c r="AO92" s="187"/>
      <c r="AP92" s="187"/>
      <c r="AQ92" s="184"/>
      <c r="AR92" s="181"/>
      <c r="AS92" s="612"/>
      <c r="AT92" s="187"/>
      <c r="AU92" s="187"/>
      <c r="AV92" s="184"/>
      <c r="AW92" s="181"/>
      <c r="AX92" s="612"/>
    </row>
    <row r="93" spans="2:50" ht="14.25" customHeight="1">
      <c r="B93" s="611"/>
      <c r="C93" s="179">
        <v>7</v>
      </c>
      <c r="D93" s="182"/>
      <c r="E93" s="179"/>
      <c r="F93" s="179"/>
      <c r="G93" s="184"/>
      <c r="H93" s="612"/>
      <c r="I93" s="185"/>
      <c r="J93" s="185"/>
      <c r="K93" s="186"/>
      <c r="L93" s="613"/>
      <c r="M93" s="185"/>
      <c r="N93" s="611"/>
      <c r="O93" s="611"/>
      <c r="P93" s="187"/>
      <c r="Q93" s="187"/>
      <c r="R93" s="184"/>
      <c r="S93" s="181"/>
      <c r="T93" s="612"/>
      <c r="U93" s="187"/>
      <c r="V93" s="187"/>
      <c r="W93" s="184"/>
      <c r="X93" s="181"/>
      <c r="Y93" s="612"/>
      <c r="Z93" s="187"/>
      <c r="AA93" s="187"/>
      <c r="AB93" s="184"/>
      <c r="AC93" s="181"/>
      <c r="AD93" s="612"/>
      <c r="AE93" s="187"/>
      <c r="AF93" s="187"/>
      <c r="AG93" s="184"/>
      <c r="AH93" s="181"/>
      <c r="AI93" s="612"/>
      <c r="AJ93" s="187"/>
      <c r="AK93" s="187"/>
      <c r="AL93" s="184"/>
      <c r="AM93" s="181"/>
      <c r="AN93" s="612"/>
      <c r="AO93" s="187"/>
      <c r="AP93" s="187"/>
      <c r="AQ93" s="184"/>
      <c r="AR93" s="181"/>
      <c r="AS93" s="612"/>
      <c r="AT93" s="187"/>
      <c r="AU93" s="187"/>
      <c r="AV93" s="184"/>
      <c r="AW93" s="181"/>
      <c r="AX93" s="612"/>
    </row>
    <row r="94" spans="2:50" ht="14.25" customHeight="1">
      <c r="B94" s="611"/>
      <c r="C94" s="179">
        <v>8</v>
      </c>
      <c r="D94" s="182"/>
      <c r="E94" s="179"/>
      <c r="F94" s="179"/>
      <c r="G94" s="184"/>
      <c r="H94" s="612"/>
      <c r="I94" s="185"/>
      <c r="J94" s="185"/>
      <c r="K94" s="186"/>
      <c r="L94" s="613"/>
      <c r="M94" s="185"/>
      <c r="N94" s="611"/>
      <c r="O94" s="611"/>
      <c r="P94" s="187"/>
      <c r="Q94" s="187"/>
      <c r="R94" s="184"/>
      <c r="S94" s="181"/>
      <c r="T94" s="612"/>
      <c r="U94" s="187"/>
      <c r="V94" s="187"/>
      <c r="W94" s="184"/>
      <c r="X94" s="181"/>
      <c r="Y94" s="612"/>
      <c r="Z94" s="187"/>
      <c r="AA94" s="187"/>
      <c r="AB94" s="184"/>
      <c r="AC94" s="181"/>
      <c r="AD94" s="612"/>
      <c r="AE94" s="187"/>
      <c r="AF94" s="187"/>
      <c r="AG94" s="184"/>
      <c r="AH94" s="181"/>
      <c r="AI94" s="612"/>
      <c r="AJ94" s="187"/>
      <c r="AK94" s="187"/>
      <c r="AL94" s="184"/>
      <c r="AM94" s="181"/>
      <c r="AN94" s="612"/>
      <c r="AO94" s="187"/>
      <c r="AP94" s="187"/>
      <c r="AQ94" s="184"/>
      <c r="AR94" s="181"/>
      <c r="AS94" s="612"/>
      <c r="AT94" s="187"/>
      <c r="AU94" s="187"/>
      <c r="AV94" s="184"/>
      <c r="AW94" s="181"/>
      <c r="AX94" s="612"/>
    </row>
    <row r="95" spans="2:50" ht="14.25" customHeight="1">
      <c r="B95" s="611"/>
      <c r="C95" s="179">
        <v>9</v>
      </c>
      <c r="D95" s="182"/>
      <c r="E95" s="179"/>
      <c r="F95" s="179"/>
      <c r="G95" s="184"/>
      <c r="H95" s="612"/>
      <c r="I95" s="185"/>
      <c r="J95" s="185"/>
      <c r="K95" s="186"/>
      <c r="L95" s="613"/>
      <c r="M95" s="185"/>
      <c r="N95" s="611"/>
      <c r="O95" s="611"/>
      <c r="P95" s="187"/>
      <c r="Q95" s="187"/>
      <c r="R95" s="184"/>
      <c r="S95" s="181"/>
      <c r="T95" s="612"/>
      <c r="U95" s="187"/>
      <c r="V95" s="187"/>
      <c r="W95" s="184"/>
      <c r="X95" s="181"/>
      <c r="Y95" s="612"/>
      <c r="Z95" s="187"/>
      <c r="AA95" s="187"/>
      <c r="AB95" s="184"/>
      <c r="AC95" s="181"/>
      <c r="AD95" s="612"/>
      <c r="AE95" s="187"/>
      <c r="AF95" s="187"/>
      <c r="AG95" s="184"/>
      <c r="AH95" s="181"/>
      <c r="AI95" s="612"/>
      <c r="AJ95" s="187"/>
      <c r="AK95" s="187"/>
      <c r="AL95" s="184"/>
      <c r="AM95" s="181"/>
      <c r="AN95" s="612"/>
      <c r="AO95" s="187"/>
      <c r="AP95" s="187"/>
      <c r="AQ95" s="184"/>
      <c r="AR95" s="181"/>
      <c r="AS95" s="612"/>
      <c r="AT95" s="187"/>
      <c r="AU95" s="187"/>
      <c r="AV95" s="184"/>
      <c r="AW95" s="181"/>
      <c r="AX95" s="612"/>
    </row>
    <row r="96" spans="2:50" ht="14.25" customHeight="1">
      <c r="B96" s="611"/>
      <c r="C96" s="179">
        <v>10</v>
      </c>
      <c r="D96" s="182"/>
      <c r="E96" s="179"/>
      <c r="F96" s="179"/>
      <c r="G96" s="184"/>
      <c r="H96" s="612"/>
      <c r="I96" s="185"/>
      <c r="J96" s="185"/>
      <c r="K96" s="186"/>
      <c r="L96" s="613"/>
      <c r="M96" s="185"/>
      <c r="N96" s="611"/>
      <c r="O96" s="611"/>
      <c r="P96" s="187"/>
      <c r="Q96" s="187"/>
      <c r="R96" s="184"/>
      <c r="S96" s="181"/>
      <c r="T96" s="612"/>
      <c r="U96" s="187"/>
      <c r="V96" s="187"/>
      <c r="W96" s="184"/>
      <c r="X96" s="181"/>
      <c r="Y96" s="612"/>
      <c r="Z96" s="187"/>
      <c r="AA96" s="187"/>
      <c r="AB96" s="184"/>
      <c r="AC96" s="181"/>
      <c r="AD96" s="612"/>
      <c r="AE96" s="187"/>
      <c r="AF96" s="187"/>
      <c r="AG96" s="184"/>
      <c r="AH96" s="181"/>
      <c r="AI96" s="612"/>
      <c r="AJ96" s="187"/>
      <c r="AK96" s="187"/>
      <c r="AL96" s="184"/>
      <c r="AM96" s="181"/>
      <c r="AN96" s="612"/>
      <c r="AO96" s="187"/>
      <c r="AP96" s="187"/>
      <c r="AQ96" s="184"/>
      <c r="AR96" s="181"/>
      <c r="AS96" s="612"/>
      <c r="AT96" s="187"/>
      <c r="AU96" s="187"/>
      <c r="AV96" s="184"/>
      <c r="AW96" s="181"/>
      <c r="AX96" s="612"/>
    </row>
    <row r="97" spans="2:50" ht="14.25" customHeight="1">
      <c r="B97" s="611"/>
      <c r="C97" s="179">
        <v>11</v>
      </c>
      <c r="D97" s="182"/>
      <c r="E97" s="179"/>
      <c r="F97" s="179"/>
      <c r="G97" s="184"/>
      <c r="H97" s="612"/>
      <c r="I97" s="185"/>
      <c r="J97" s="185"/>
      <c r="K97" s="186"/>
      <c r="L97" s="613"/>
      <c r="M97" s="185"/>
      <c r="N97" s="611"/>
      <c r="O97" s="611"/>
      <c r="P97" s="187"/>
      <c r="Q97" s="187"/>
      <c r="R97" s="184"/>
      <c r="S97" s="181"/>
      <c r="T97" s="612"/>
      <c r="U97" s="187"/>
      <c r="V97" s="187"/>
      <c r="W97" s="184"/>
      <c r="X97" s="181"/>
      <c r="Y97" s="612"/>
      <c r="Z97" s="187"/>
      <c r="AA97" s="187"/>
      <c r="AB97" s="184"/>
      <c r="AC97" s="181"/>
      <c r="AD97" s="612"/>
      <c r="AE97" s="187"/>
      <c r="AF97" s="187"/>
      <c r="AG97" s="184"/>
      <c r="AH97" s="181"/>
      <c r="AI97" s="612"/>
      <c r="AJ97" s="187"/>
      <c r="AK97" s="187"/>
      <c r="AL97" s="184"/>
      <c r="AM97" s="181"/>
      <c r="AN97" s="612"/>
      <c r="AO97" s="187"/>
      <c r="AP97" s="187"/>
      <c r="AQ97" s="184"/>
      <c r="AR97" s="181"/>
      <c r="AS97" s="612"/>
      <c r="AT97" s="187"/>
      <c r="AU97" s="187"/>
      <c r="AV97" s="184"/>
      <c r="AW97" s="181"/>
      <c r="AX97" s="612"/>
    </row>
    <row r="98" spans="2:50" ht="14.25" customHeight="1">
      <c r="B98" s="611"/>
      <c r="C98" s="179">
        <v>12</v>
      </c>
      <c r="D98" s="182"/>
      <c r="E98" s="179"/>
      <c r="F98" s="179"/>
      <c r="G98" s="184"/>
      <c r="H98" s="612"/>
      <c r="I98" s="185"/>
      <c r="J98" s="185"/>
      <c r="K98" s="186"/>
      <c r="L98" s="613"/>
      <c r="M98" s="185"/>
      <c r="N98" s="611"/>
      <c r="O98" s="611"/>
      <c r="P98" s="187"/>
      <c r="Q98" s="187"/>
      <c r="R98" s="184"/>
      <c r="S98" s="181"/>
      <c r="T98" s="612"/>
      <c r="U98" s="187"/>
      <c r="V98" s="187"/>
      <c r="W98" s="184"/>
      <c r="X98" s="181"/>
      <c r="Y98" s="612"/>
      <c r="Z98" s="187"/>
      <c r="AA98" s="187"/>
      <c r="AB98" s="184"/>
      <c r="AC98" s="181"/>
      <c r="AD98" s="612"/>
      <c r="AE98" s="187"/>
      <c r="AF98" s="187"/>
      <c r="AG98" s="184"/>
      <c r="AH98" s="181"/>
      <c r="AI98" s="612"/>
      <c r="AJ98" s="187"/>
      <c r="AK98" s="187"/>
      <c r="AL98" s="184"/>
      <c r="AM98" s="181"/>
      <c r="AN98" s="612"/>
      <c r="AO98" s="187"/>
      <c r="AP98" s="187"/>
      <c r="AQ98" s="184"/>
      <c r="AR98" s="181"/>
      <c r="AS98" s="612"/>
      <c r="AT98" s="187"/>
      <c r="AU98" s="187"/>
      <c r="AV98" s="184"/>
      <c r="AW98" s="181"/>
      <c r="AX98" s="612"/>
    </row>
    <row r="99" spans="2:50" ht="14.25" customHeight="1">
      <c r="B99" s="611"/>
      <c r="C99" s="179">
        <v>13</v>
      </c>
      <c r="D99" s="182"/>
      <c r="E99" s="179"/>
      <c r="F99" s="179"/>
      <c r="G99" s="184"/>
      <c r="H99" s="612"/>
      <c r="I99" s="185"/>
      <c r="J99" s="185"/>
      <c r="K99" s="186"/>
      <c r="L99" s="613"/>
      <c r="M99" s="185"/>
      <c r="N99" s="611"/>
      <c r="O99" s="611"/>
      <c r="P99" s="187"/>
      <c r="Q99" s="187"/>
      <c r="R99" s="184"/>
      <c r="S99" s="181"/>
      <c r="T99" s="612"/>
      <c r="U99" s="187"/>
      <c r="V99" s="187"/>
      <c r="W99" s="184"/>
      <c r="X99" s="181"/>
      <c r="Y99" s="612"/>
      <c r="Z99" s="187"/>
      <c r="AA99" s="187"/>
      <c r="AB99" s="184"/>
      <c r="AC99" s="181"/>
      <c r="AD99" s="612"/>
      <c r="AE99" s="187"/>
      <c r="AF99" s="187"/>
      <c r="AG99" s="184"/>
      <c r="AH99" s="181"/>
      <c r="AI99" s="612"/>
      <c r="AJ99" s="187"/>
      <c r="AK99" s="187"/>
      <c r="AL99" s="184"/>
      <c r="AM99" s="181"/>
      <c r="AN99" s="612"/>
      <c r="AO99" s="187"/>
      <c r="AP99" s="187"/>
      <c r="AQ99" s="184"/>
      <c r="AR99" s="181"/>
      <c r="AS99" s="612"/>
      <c r="AT99" s="187"/>
      <c r="AU99" s="187"/>
      <c r="AV99" s="184"/>
      <c r="AW99" s="181"/>
      <c r="AX99" s="612"/>
    </row>
    <row r="100" spans="2:50" ht="14.25" customHeight="1">
      <c r="B100" s="611"/>
      <c r="C100" s="179">
        <v>14</v>
      </c>
      <c r="D100" s="182"/>
      <c r="E100" s="179"/>
      <c r="F100" s="179"/>
      <c r="G100" s="184"/>
      <c r="H100" s="612"/>
      <c r="I100" s="185"/>
      <c r="J100" s="185"/>
      <c r="K100" s="186"/>
      <c r="L100" s="613"/>
      <c r="M100" s="185"/>
      <c r="N100" s="611"/>
      <c r="O100" s="611"/>
      <c r="P100" s="187"/>
      <c r="Q100" s="187"/>
      <c r="R100" s="184"/>
      <c r="S100" s="181"/>
      <c r="T100" s="612"/>
      <c r="U100" s="187"/>
      <c r="V100" s="187"/>
      <c r="W100" s="184"/>
      <c r="X100" s="181"/>
      <c r="Y100" s="612"/>
      <c r="Z100" s="187"/>
      <c r="AA100" s="187"/>
      <c r="AB100" s="184"/>
      <c r="AC100" s="181"/>
      <c r="AD100" s="612"/>
      <c r="AE100" s="187"/>
      <c r="AF100" s="187"/>
      <c r="AG100" s="184"/>
      <c r="AH100" s="181"/>
      <c r="AI100" s="612"/>
      <c r="AJ100" s="187"/>
      <c r="AK100" s="187"/>
      <c r="AL100" s="184"/>
      <c r="AM100" s="181"/>
      <c r="AN100" s="612"/>
      <c r="AO100" s="187"/>
      <c r="AP100" s="187"/>
      <c r="AQ100" s="184"/>
      <c r="AR100" s="181"/>
      <c r="AS100" s="612"/>
      <c r="AT100" s="187"/>
      <c r="AU100" s="187"/>
      <c r="AV100" s="184"/>
      <c r="AW100" s="181"/>
      <c r="AX100" s="612"/>
    </row>
    <row r="101" spans="2:50" ht="14.25" customHeight="1">
      <c r="B101" s="611"/>
      <c r="C101" s="179">
        <v>15</v>
      </c>
      <c r="D101" s="182"/>
      <c r="E101" s="179"/>
      <c r="F101" s="179"/>
      <c r="G101" s="184"/>
      <c r="H101" s="612"/>
      <c r="I101" s="185"/>
      <c r="J101" s="185"/>
      <c r="K101" s="186"/>
      <c r="L101" s="613"/>
      <c r="M101" s="185"/>
      <c r="N101" s="611"/>
      <c r="O101" s="611"/>
      <c r="P101" s="187"/>
      <c r="Q101" s="187"/>
      <c r="R101" s="184"/>
      <c r="S101" s="181"/>
      <c r="T101" s="612"/>
      <c r="U101" s="187"/>
      <c r="V101" s="187"/>
      <c r="W101" s="184"/>
      <c r="X101" s="181"/>
      <c r="Y101" s="612"/>
      <c r="Z101" s="187"/>
      <c r="AA101" s="187"/>
      <c r="AB101" s="184"/>
      <c r="AC101" s="181"/>
      <c r="AD101" s="612"/>
      <c r="AE101" s="187"/>
      <c r="AF101" s="187"/>
      <c r="AG101" s="184"/>
      <c r="AH101" s="181"/>
      <c r="AI101" s="612"/>
      <c r="AJ101" s="187"/>
      <c r="AK101" s="187"/>
      <c r="AL101" s="184"/>
      <c r="AM101" s="181"/>
      <c r="AN101" s="612"/>
      <c r="AO101" s="187"/>
      <c r="AP101" s="187"/>
      <c r="AQ101" s="184"/>
      <c r="AR101" s="181"/>
      <c r="AS101" s="612"/>
      <c r="AT101" s="187"/>
      <c r="AU101" s="187"/>
      <c r="AV101" s="184"/>
      <c r="AW101" s="181"/>
      <c r="AX101" s="612"/>
    </row>
  </sheetData>
  <mergeCells count="295"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AE45:AH45"/>
    <mergeCell ref="AJ45:AM45"/>
    <mergeCell ref="AO45:AR45"/>
    <mergeCell ref="AT45:AW45"/>
    <mergeCell ref="M44:M46"/>
    <mergeCell ref="N44:N61"/>
    <mergeCell ref="O44:O61"/>
    <mergeCell ref="P44:S44"/>
    <mergeCell ref="T44:T46"/>
    <mergeCell ref="U44:X44"/>
    <mergeCell ref="Y44:Y46"/>
    <mergeCell ref="AX47:AX61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I44:K44"/>
    <mergeCell ref="L44:L46"/>
    <mergeCell ref="Z44:AC44"/>
    <mergeCell ref="AD44:AD46"/>
    <mergeCell ref="Z45:AC45"/>
    <mergeCell ref="B42:M43"/>
    <mergeCell ref="N42:N43"/>
    <mergeCell ref="O42:O43"/>
    <mergeCell ref="P42:T42"/>
    <mergeCell ref="U42:Y42"/>
    <mergeCell ref="Z42:AD42"/>
    <mergeCell ref="B44:B46"/>
    <mergeCell ref="C44:D46"/>
    <mergeCell ref="E44:G44"/>
    <mergeCell ref="H44:H46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>
    <tabColor rgb="FFFFFFCC"/>
  </sheetPr>
  <dimension ref="A1:AX101"/>
  <sheetViews>
    <sheetView zoomScaleNormal="100" workbookViewId="0">
      <pane xSplit="13" ySplit="1" topLeftCell="AK71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C1" sqref="C1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456" t="s">
        <v>720</v>
      </c>
      <c r="C1" s="174">
        <f>AVERAGE(L7,L27,L47,L67,L87)</f>
        <v>155.73662529229455</v>
      </c>
    </row>
    <row r="2" spans="1:50" ht="14.25" customHeight="1">
      <c r="B2" s="640" t="s">
        <v>709</v>
      </c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2"/>
      <c r="N2" s="645" t="s">
        <v>363</v>
      </c>
      <c r="O2" s="630" t="s">
        <v>105</v>
      </c>
      <c r="P2" s="632">
        <v>46203</v>
      </c>
      <c r="Q2" s="633"/>
      <c r="R2" s="633"/>
      <c r="S2" s="633"/>
      <c r="T2" s="633"/>
      <c r="U2" s="634">
        <v>46204</v>
      </c>
      <c r="V2" s="635"/>
      <c r="W2" s="635"/>
      <c r="X2" s="635"/>
      <c r="Y2" s="635"/>
      <c r="Z2" s="632">
        <v>46205</v>
      </c>
      <c r="AA2" s="633"/>
      <c r="AB2" s="633"/>
      <c r="AC2" s="633"/>
      <c r="AD2" s="633"/>
      <c r="AE2" s="634">
        <v>46206</v>
      </c>
      <c r="AF2" s="635"/>
      <c r="AG2" s="635"/>
      <c r="AH2" s="635"/>
      <c r="AI2" s="635"/>
      <c r="AJ2" s="616">
        <v>46207</v>
      </c>
      <c r="AK2" s="617"/>
      <c r="AL2" s="617"/>
      <c r="AM2" s="617"/>
      <c r="AN2" s="618"/>
      <c r="AO2" s="634">
        <v>46208</v>
      </c>
      <c r="AP2" s="635"/>
      <c r="AQ2" s="635"/>
      <c r="AR2" s="635"/>
      <c r="AS2" s="635"/>
      <c r="AT2" s="616">
        <v>46209</v>
      </c>
      <c r="AU2" s="617"/>
      <c r="AV2" s="617"/>
      <c r="AW2" s="617"/>
      <c r="AX2" s="618"/>
    </row>
    <row r="3" spans="1:50" ht="14.25" customHeight="1">
      <c r="B3" s="643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4"/>
      <c r="N3" s="646"/>
      <c r="O3" s="631"/>
      <c r="P3" s="619">
        <v>46196</v>
      </c>
      <c r="Q3" s="619"/>
      <c r="R3" s="619"/>
      <c r="S3" s="619"/>
      <c r="T3" s="619"/>
      <c r="U3" s="620">
        <v>46197</v>
      </c>
      <c r="V3" s="620"/>
      <c r="W3" s="620"/>
      <c r="X3" s="620"/>
      <c r="Y3" s="620"/>
      <c r="Z3" s="619">
        <v>46198</v>
      </c>
      <c r="AA3" s="619"/>
      <c r="AB3" s="619"/>
      <c r="AC3" s="619"/>
      <c r="AD3" s="619"/>
      <c r="AE3" s="620">
        <v>46199</v>
      </c>
      <c r="AF3" s="620"/>
      <c r="AG3" s="620"/>
      <c r="AH3" s="620"/>
      <c r="AI3" s="620"/>
      <c r="AJ3" s="621">
        <v>46200</v>
      </c>
      <c r="AK3" s="622"/>
      <c r="AL3" s="622"/>
      <c r="AM3" s="622"/>
      <c r="AN3" s="623"/>
      <c r="AO3" s="620">
        <v>46201</v>
      </c>
      <c r="AP3" s="620"/>
      <c r="AQ3" s="620"/>
      <c r="AR3" s="620"/>
      <c r="AS3" s="620"/>
      <c r="AT3" s="621">
        <v>46202</v>
      </c>
      <c r="AU3" s="622"/>
      <c r="AV3" s="622"/>
      <c r="AW3" s="622"/>
      <c r="AX3" s="623"/>
    </row>
    <row r="4" spans="1:50" ht="14.25" customHeight="1">
      <c r="B4" s="611" t="s">
        <v>162</v>
      </c>
      <c r="C4" s="611" t="s">
        <v>157</v>
      </c>
      <c r="D4" s="611"/>
      <c r="E4" s="611" t="s">
        <v>158</v>
      </c>
      <c r="F4" s="611"/>
      <c r="G4" s="611"/>
      <c r="H4" s="611" t="s">
        <v>163</v>
      </c>
      <c r="I4" s="615" t="s">
        <v>364</v>
      </c>
      <c r="J4" s="615"/>
      <c r="K4" s="615"/>
      <c r="L4" s="615" t="s">
        <v>163</v>
      </c>
      <c r="M4" s="615" t="s">
        <v>165</v>
      </c>
      <c r="N4" s="611"/>
      <c r="O4" s="611" t="s">
        <v>164</v>
      </c>
      <c r="P4" s="611" t="s">
        <v>160</v>
      </c>
      <c r="Q4" s="611"/>
      <c r="R4" s="611"/>
      <c r="S4" s="611"/>
      <c r="T4" s="611" t="s">
        <v>163</v>
      </c>
      <c r="U4" s="611" t="s">
        <v>160</v>
      </c>
      <c r="V4" s="611"/>
      <c r="W4" s="611"/>
      <c r="X4" s="611"/>
      <c r="Y4" s="611" t="s">
        <v>163</v>
      </c>
      <c r="Z4" s="611" t="s">
        <v>160</v>
      </c>
      <c r="AA4" s="611"/>
      <c r="AB4" s="611"/>
      <c r="AC4" s="611"/>
      <c r="AD4" s="611" t="s">
        <v>163</v>
      </c>
      <c r="AE4" s="611" t="s">
        <v>160</v>
      </c>
      <c r="AF4" s="611"/>
      <c r="AG4" s="611"/>
      <c r="AH4" s="611"/>
      <c r="AI4" s="611" t="s">
        <v>163</v>
      </c>
      <c r="AJ4" s="611" t="s">
        <v>160</v>
      </c>
      <c r="AK4" s="611"/>
      <c r="AL4" s="611"/>
      <c r="AM4" s="611"/>
      <c r="AN4" s="611" t="s">
        <v>163</v>
      </c>
      <c r="AO4" s="611" t="s">
        <v>160</v>
      </c>
      <c r="AP4" s="611"/>
      <c r="AQ4" s="611"/>
      <c r="AR4" s="611"/>
      <c r="AS4" s="611" t="s">
        <v>163</v>
      </c>
      <c r="AT4" s="611" t="s">
        <v>160</v>
      </c>
      <c r="AU4" s="611"/>
      <c r="AV4" s="611"/>
      <c r="AW4" s="611"/>
      <c r="AX4" s="611" t="s">
        <v>163</v>
      </c>
    </row>
    <row r="5" spans="1:50" ht="14.25" customHeight="1">
      <c r="B5" s="611"/>
      <c r="C5" s="611"/>
      <c r="D5" s="611"/>
      <c r="E5" s="611" t="s">
        <v>365</v>
      </c>
      <c r="F5" s="611"/>
      <c r="G5" s="611"/>
      <c r="H5" s="611"/>
      <c r="I5" s="615" t="s">
        <v>365</v>
      </c>
      <c r="J5" s="615"/>
      <c r="K5" s="615"/>
      <c r="L5" s="615"/>
      <c r="M5" s="615"/>
      <c r="N5" s="611"/>
      <c r="O5" s="611"/>
      <c r="P5" s="611" t="s">
        <v>366</v>
      </c>
      <c r="Q5" s="611"/>
      <c r="R5" s="611"/>
      <c r="S5" s="611"/>
      <c r="T5" s="611"/>
      <c r="U5" s="611" t="s">
        <v>366</v>
      </c>
      <c r="V5" s="611"/>
      <c r="W5" s="611"/>
      <c r="X5" s="611"/>
      <c r="Y5" s="611"/>
      <c r="Z5" s="611" t="s">
        <v>366</v>
      </c>
      <c r="AA5" s="611"/>
      <c r="AB5" s="611"/>
      <c r="AC5" s="611"/>
      <c r="AD5" s="611"/>
      <c r="AE5" s="611" t="s">
        <v>366</v>
      </c>
      <c r="AF5" s="611"/>
      <c r="AG5" s="611"/>
      <c r="AH5" s="611"/>
      <c r="AI5" s="611"/>
      <c r="AJ5" s="611" t="s">
        <v>366</v>
      </c>
      <c r="AK5" s="611"/>
      <c r="AL5" s="611"/>
      <c r="AM5" s="611"/>
      <c r="AN5" s="611"/>
      <c r="AO5" s="611" t="s">
        <v>366</v>
      </c>
      <c r="AP5" s="611"/>
      <c r="AQ5" s="611"/>
      <c r="AR5" s="611"/>
      <c r="AS5" s="611"/>
      <c r="AT5" s="611" t="s">
        <v>366</v>
      </c>
      <c r="AU5" s="611"/>
      <c r="AV5" s="611"/>
      <c r="AW5" s="611"/>
      <c r="AX5" s="611"/>
    </row>
    <row r="6" spans="1:50" ht="14.25" customHeight="1">
      <c r="B6" s="611"/>
      <c r="C6" s="611"/>
      <c r="D6" s="611"/>
      <c r="E6" s="179" t="s">
        <v>159</v>
      </c>
      <c r="F6" s="179" t="s">
        <v>367</v>
      </c>
      <c r="G6" s="179" t="s">
        <v>161</v>
      </c>
      <c r="H6" s="611"/>
      <c r="I6" s="180" t="s">
        <v>159</v>
      </c>
      <c r="J6" s="180" t="s">
        <v>367</v>
      </c>
      <c r="K6" s="180" t="s">
        <v>161</v>
      </c>
      <c r="L6" s="615"/>
      <c r="M6" s="615"/>
      <c r="N6" s="611"/>
      <c r="O6" s="611"/>
      <c r="P6" s="179" t="s">
        <v>159</v>
      </c>
      <c r="Q6" s="179" t="s">
        <v>367</v>
      </c>
      <c r="R6" s="179" t="s">
        <v>161</v>
      </c>
      <c r="S6" s="181" t="s">
        <v>165</v>
      </c>
      <c r="T6" s="611"/>
      <c r="U6" s="179" t="s">
        <v>159</v>
      </c>
      <c r="V6" s="179" t="s">
        <v>367</v>
      </c>
      <c r="W6" s="179" t="s">
        <v>161</v>
      </c>
      <c r="X6" s="181" t="s">
        <v>165</v>
      </c>
      <c r="Y6" s="611"/>
      <c r="Z6" s="179" t="s">
        <v>159</v>
      </c>
      <c r="AA6" s="179" t="s">
        <v>367</v>
      </c>
      <c r="AB6" s="179" t="s">
        <v>161</v>
      </c>
      <c r="AC6" s="181" t="s">
        <v>165</v>
      </c>
      <c r="AD6" s="611"/>
      <c r="AE6" s="179" t="s">
        <v>159</v>
      </c>
      <c r="AF6" s="179" t="s">
        <v>367</v>
      </c>
      <c r="AG6" s="179" t="s">
        <v>161</v>
      </c>
      <c r="AH6" s="181" t="s">
        <v>165</v>
      </c>
      <c r="AI6" s="611"/>
      <c r="AJ6" s="179" t="s">
        <v>159</v>
      </c>
      <c r="AK6" s="179" t="s">
        <v>367</v>
      </c>
      <c r="AL6" s="179" t="s">
        <v>161</v>
      </c>
      <c r="AM6" s="181" t="s">
        <v>165</v>
      </c>
      <c r="AN6" s="611"/>
      <c r="AO6" s="179" t="s">
        <v>159</v>
      </c>
      <c r="AP6" s="179" t="s">
        <v>367</v>
      </c>
      <c r="AQ6" s="179" t="s">
        <v>161</v>
      </c>
      <c r="AR6" s="181" t="s">
        <v>165</v>
      </c>
      <c r="AS6" s="611"/>
      <c r="AT6" s="179" t="s">
        <v>159</v>
      </c>
      <c r="AU6" s="179" t="s">
        <v>367</v>
      </c>
      <c r="AV6" s="179" t="s">
        <v>161</v>
      </c>
      <c r="AW6" s="181" t="s">
        <v>165</v>
      </c>
      <c r="AX6" s="611"/>
    </row>
    <row r="7" spans="1:50" ht="14.25" customHeight="1">
      <c r="B7" s="611" t="s">
        <v>371</v>
      </c>
      <c r="C7" s="179">
        <v>1</v>
      </c>
      <c r="D7" s="182" t="s">
        <v>531</v>
      </c>
      <c r="E7" s="183">
        <v>20</v>
      </c>
      <c r="F7" s="179">
        <v>3600</v>
      </c>
      <c r="G7" s="184">
        <f>IFERROR(F7/E7,"")</f>
        <v>180</v>
      </c>
      <c r="H7" s="612">
        <f>AVERAGE(G7:G21)</f>
        <v>176.1654135338346</v>
      </c>
      <c r="I7" s="185">
        <f>AVERAGE(P7,U7,Z7,AE7,AJ7,AO7,AT7)</f>
        <v>20</v>
      </c>
      <c r="J7" s="185">
        <f>AVERAGE(Q7,V7,AA7,AF7,AK7,AP7,AU7)</f>
        <v>3261.2765221447598</v>
      </c>
      <c r="K7" s="186">
        <f>AVERAGE(R7,W7,AB7,AG7,AL7,AQ7,AV7)</f>
        <v>163.06382610723799</v>
      </c>
      <c r="L7" s="613">
        <f>IFERROR(AVERAGE(K7:K21),"-")</f>
        <v>157.5988995765077</v>
      </c>
      <c r="M7" s="185">
        <f>RANK(K7, K$7:$K$21)</f>
        <v>5</v>
      </c>
      <c r="N7" s="611"/>
      <c r="O7" s="611"/>
      <c r="P7" s="187">
        <v>20</v>
      </c>
      <c r="Q7" s="187">
        <v>3263.0765221447596</v>
      </c>
      <c r="R7" s="184">
        <f>IFERROR(Q7/P7,"")</f>
        <v>163.15382610723799</v>
      </c>
      <c r="S7" s="181">
        <f>RANK(R7, R$7:R$21)</f>
        <v>5</v>
      </c>
      <c r="T7" s="612">
        <f>AVERAGE(R7:R21)</f>
        <v>157.62434310779201</v>
      </c>
      <c r="U7" s="187">
        <v>20</v>
      </c>
      <c r="V7" s="187">
        <v>3261.6365221447595</v>
      </c>
      <c r="W7" s="184">
        <f t="shared" ref="W7:W14" si="0">IFERROR(V7/U7,"")</f>
        <v>163.08182610723799</v>
      </c>
      <c r="X7" s="181">
        <f>RANK(W7, W$7:W$21)</f>
        <v>5</v>
      </c>
      <c r="Y7" s="612">
        <f>AVERAGE(W7:W21)</f>
        <v>157.59218370291313</v>
      </c>
      <c r="Z7" s="187">
        <v>20</v>
      </c>
      <c r="AA7" s="187">
        <v>3261.2765221447598</v>
      </c>
      <c r="AB7" s="184">
        <f>IFERROR(AA7/Z7,"")</f>
        <v>163.06382610723799</v>
      </c>
      <c r="AC7" s="181">
        <f>RANK(AB7, AB$7:AB$21)</f>
        <v>5</v>
      </c>
      <c r="AD7" s="612">
        <f>AVERAGE(AB7:AB21)</f>
        <v>157.59389516907854</v>
      </c>
      <c r="AE7" s="187">
        <v>20</v>
      </c>
      <c r="AF7" s="187">
        <v>3260.9165221447597</v>
      </c>
      <c r="AG7" s="184">
        <f>IFERROR(AF7/AE7,"")</f>
        <v>163.04582610723799</v>
      </c>
      <c r="AH7" s="181">
        <f>RANK(AG7, AG$7:AG$21)</f>
        <v>5</v>
      </c>
      <c r="AI7" s="612">
        <f>AVERAGE(AG7:AG21)</f>
        <v>157.59063041807792</v>
      </c>
      <c r="AJ7" s="187">
        <v>20</v>
      </c>
      <c r="AK7" s="187">
        <v>3259.4765221447601</v>
      </c>
      <c r="AL7" s="184">
        <f>IFERROR(AK7/AJ7,"")</f>
        <v>162.97382610723801</v>
      </c>
      <c r="AM7" s="181">
        <f>RANK(AL7, AL$7:AL$21)</f>
        <v>5</v>
      </c>
      <c r="AN7" s="612">
        <f>AVERAGE(AL7:AL21)</f>
        <v>157.5844499669501</v>
      </c>
      <c r="AO7" s="187">
        <v>20</v>
      </c>
      <c r="AP7" s="187">
        <v>3260.9165221447602</v>
      </c>
      <c r="AQ7" s="184">
        <f>IFERROR(AP7/AO7,"")</f>
        <v>163.04582610723801</v>
      </c>
      <c r="AR7" s="181">
        <f>RANK(AQ7, AQ$7:AQ$21)</f>
        <v>5</v>
      </c>
      <c r="AS7" s="612">
        <f>AVERAGE(AQ7:AQ21)</f>
        <v>157.60952139552154</v>
      </c>
      <c r="AT7" s="187">
        <v>20</v>
      </c>
      <c r="AU7" s="187">
        <v>3261.63652214476</v>
      </c>
      <c r="AV7" s="184">
        <f>IFERROR(AU7/AT7,"")</f>
        <v>163.08182610723799</v>
      </c>
      <c r="AW7" s="181">
        <f>RANK(AV7, AV$7:AV$21)</f>
        <v>5</v>
      </c>
      <c r="AX7" s="612">
        <f>AVERAGE(AV7:AV21)</f>
        <v>157.59727327522077</v>
      </c>
    </row>
    <row r="8" spans="1:50" ht="14.25" customHeight="1">
      <c r="B8" s="611"/>
      <c r="C8" s="179">
        <v>2</v>
      </c>
      <c r="D8" s="182" t="s">
        <v>532</v>
      </c>
      <c r="E8" s="179">
        <v>21</v>
      </c>
      <c r="F8" s="179">
        <v>3600</v>
      </c>
      <c r="G8" s="184">
        <f t="shared" ref="G8:G14" si="1">IFERROR(F8/E8,"")</f>
        <v>171.42857142857142</v>
      </c>
      <c r="H8" s="612"/>
      <c r="I8" s="185">
        <f>AVERAGE(P8,U8,Z8,AE8,AJ8,AO8,AT8)</f>
        <v>21</v>
      </c>
      <c r="J8" s="185">
        <f t="shared" ref="J8:K14" si="2">AVERAGE(Q8,V8,AA8,AF8,AK8,AP8,AU8)</f>
        <v>3257.2949390732165</v>
      </c>
      <c r="K8" s="186">
        <f t="shared" si="2"/>
        <v>155.10928281301025</v>
      </c>
      <c r="L8" s="613"/>
      <c r="M8" s="185">
        <f>RANK(K8, K$7:$K$21)</f>
        <v>6</v>
      </c>
      <c r="N8" s="611"/>
      <c r="O8" s="611"/>
      <c r="P8" s="187">
        <v>21</v>
      </c>
      <c r="Q8" s="187">
        <v>3258.0149390732158</v>
      </c>
      <c r="R8" s="184">
        <f t="shared" ref="R8:R14" si="3">IFERROR(Q8/P8,"")</f>
        <v>155.143568527296</v>
      </c>
      <c r="S8" s="181">
        <f t="shared" ref="S8:S14" si="4">RANK(R8, R$7:R$21)</f>
        <v>6</v>
      </c>
      <c r="T8" s="612"/>
      <c r="U8" s="187">
        <v>21</v>
      </c>
      <c r="V8" s="187">
        <v>3256.2149390732166</v>
      </c>
      <c r="W8" s="184">
        <f t="shared" si="0"/>
        <v>155.05785424158174</v>
      </c>
      <c r="X8" s="181">
        <f t="shared" ref="X8:X14" si="5">RANK(W8, W$7:W$21)</f>
        <v>6</v>
      </c>
      <c r="Y8" s="612"/>
      <c r="Z8" s="187">
        <v>21</v>
      </c>
      <c r="AA8" s="187">
        <v>3257.2949390732165</v>
      </c>
      <c r="AB8" s="184">
        <f t="shared" ref="AB8:AB14" si="6">IFERROR(AA8/Z8,"")</f>
        <v>155.10928281301031</v>
      </c>
      <c r="AC8" s="181">
        <f t="shared" ref="AC8:AC14" si="7">RANK(AB8, AB$7:AB$21)</f>
        <v>6</v>
      </c>
      <c r="AD8" s="612"/>
      <c r="AE8" s="187">
        <v>21</v>
      </c>
      <c r="AF8" s="187">
        <v>3257.2949390732165</v>
      </c>
      <c r="AG8" s="184">
        <f t="shared" ref="AG8:AG14" si="8">IFERROR(AF8/AE8,"")</f>
        <v>155.10928281301031</v>
      </c>
      <c r="AH8" s="181">
        <f t="shared" ref="AH8:AH14" si="9">RANK(AG8, AG$7:AG$21)</f>
        <v>6</v>
      </c>
      <c r="AI8" s="612"/>
      <c r="AJ8" s="187">
        <v>21</v>
      </c>
      <c r="AK8" s="187">
        <v>3256.5749390732167</v>
      </c>
      <c r="AL8" s="184">
        <f t="shared" ref="AL8:AL14" si="10">IFERROR(AK8/AJ8,"")</f>
        <v>155.07499709872459</v>
      </c>
      <c r="AM8" s="181">
        <f t="shared" ref="AM8:AM14" si="11">RANK(AL8, AL$7:AL$21)</f>
        <v>6</v>
      </c>
      <c r="AN8" s="612"/>
      <c r="AO8" s="187">
        <v>21</v>
      </c>
      <c r="AP8" s="187">
        <v>3258.0149390732167</v>
      </c>
      <c r="AQ8" s="184">
        <f t="shared" ref="AQ8:AQ14" si="12">IFERROR(AP8/AO8,"")</f>
        <v>155.14356852729603</v>
      </c>
      <c r="AR8" s="181">
        <f t="shared" ref="AR8:AR14" si="13">RANK(AQ8, AQ$7:AQ$21)</f>
        <v>6</v>
      </c>
      <c r="AS8" s="612"/>
      <c r="AT8" s="187">
        <v>21</v>
      </c>
      <c r="AU8" s="187">
        <v>3257.6549390732162</v>
      </c>
      <c r="AV8" s="184">
        <f t="shared" ref="AV8:AV14" si="14">IFERROR(AU8/AT8,"")</f>
        <v>155.12642567015314</v>
      </c>
      <c r="AW8" s="181">
        <f t="shared" ref="AW8:AW14" si="15">RANK(AV8, AV$7:AV$21)</f>
        <v>6</v>
      </c>
      <c r="AX8" s="612"/>
    </row>
    <row r="9" spans="1:50" ht="14.25" customHeight="1">
      <c r="B9" s="611"/>
      <c r="C9" s="179">
        <v>3</v>
      </c>
      <c r="D9" s="182" t="s">
        <v>539</v>
      </c>
      <c r="E9" s="179">
        <v>19</v>
      </c>
      <c r="F9" s="179">
        <v>3600</v>
      </c>
      <c r="G9" s="184">
        <f t="shared" si="1"/>
        <v>189.47368421052633</v>
      </c>
      <c r="H9" s="612"/>
      <c r="I9" s="185">
        <f>AVERAGE(P9,U9,Z9,AE9,AJ9,AO9,AT9)</f>
        <v>19</v>
      </c>
      <c r="J9" s="185">
        <f t="shared" si="2"/>
        <v>3185.7420154183096</v>
      </c>
      <c r="K9" s="186">
        <f t="shared" si="2"/>
        <v>167.67063239043733</v>
      </c>
      <c r="L9" s="613"/>
      <c r="M9" s="185">
        <f>RANK(K9, K$7:$K$21)</f>
        <v>3</v>
      </c>
      <c r="N9" s="611"/>
      <c r="O9" s="611"/>
      <c r="P9" s="187">
        <v>19</v>
      </c>
      <c r="Q9" s="187">
        <v>3186.7558680766465</v>
      </c>
      <c r="R9" s="184">
        <f t="shared" si="3"/>
        <v>167.72399305666559</v>
      </c>
      <c r="S9" s="181">
        <f t="shared" si="4"/>
        <v>3</v>
      </c>
      <c r="T9" s="612"/>
      <c r="U9" s="187">
        <v>19</v>
      </c>
      <c r="V9" s="187">
        <v>3186.3958680766459</v>
      </c>
      <c r="W9" s="184">
        <f t="shared" si="0"/>
        <v>167.70504568824452</v>
      </c>
      <c r="X9" s="181">
        <f t="shared" si="5"/>
        <v>3</v>
      </c>
      <c r="Y9" s="612"/>
      <c r="Z9" s="187">
        <v>19</v>
      </c>
      <c r="AA9" s="187">
        <v>3184.5958680766462</v>
      </c>
      <c r="AB9" s="184">
        <f t="shared" si="6"/>
        <v>167.61030884613928</v>
      </c>
      <c r="AC9" s="181">
        <f t="shared" si="7"/>
        <v>4</v>
      </c>
      <c r="AD9" s="612"/>
      <c r="AE9" s="187">
        <v>19</v>
      </c>
      <c r="AF9" s="187">
        <v>3186.6016259245571</v>
      </c>
      <c r="AG9" s="184">
        <f t="shared" si="8"/>
        <v>167.71587504866091</v>
      </c>
      <c r="AH9" s="181">
        <f t="shared" si="9"/>
        <v>2</v>
      </c>
      <c r="AI9" s="612"/>
      <c r="AJ9" s="187">
        <v>19</v>
      </c>
      <c r="AK9" s="187">
        <v>3185.1616259245566</v>
      </c>
      <c r="AL9" s="184">
        <f t="shared" si="10"/>
        <v>167.64008557497667</v>
      </c>
      <c r="AM9" s="181">
        <f t="shared" si="11"/>
        <v>3</v>
      </c>
      <c r="AN9" s="612"/>
      <c r="AO9" s="187">
        <v>19</v>
      </c>
      <c r="AP9" s="187">
        <v>3184.8016259245569</v>
      </c>
      <c r="AQ9" s="184">
        <f t="shared" si="12"/>
        <v>167.62113820655563</v>
      </c>
      <c r="AR9" s="181">
        <f t="shared" si="13"/>
        <v>4</v>
      </c>
      <c r="AS9" s="612"/>
      <c r="AT9" s="187">
        <v>19</v>
      </c>
      <c r="AU9" s="187">
        <v>3185.8816259245568</v>
      </c>
      <c r="AV9" s="184">
        <f t="shared" si="14"/>
        <v>167.67798031181877</v>
      </c>
      <c r="AW9" s="181">
        <f t="shared" si="15"/>
        <v>3</v>
      </c>
      <c r="AX9" s="612"/>
    </row>
    <row r="10" spans="1:50" ht="14.25" customHeight="1">
      <c r="B10" s="611"/>
      <c r="C10" s="179">
        <v>4</v>
      </c>
      <c r="D10" s="182" t="s">
        <v>614</v>
      </c>
      <c r="E10" s="179">
        <v>19</v>
      </c>
      <c r="F10" s="179">
        <v>3600</v>
      </c>
      <c r="G10" s="184">
        <f t="shared" si="1"/>
        <v>189.47368421052633</v>
      </c>
      <c r="H10" s="612"/>
      <c r="I10" s="185">
        <f t="shared" ref="I10:I14" si="16">AVERAGE(P10,U10,Z10,AE10,AJ10,AO10,AT10)</f>
        <v>19</v>
      </c>
      <c r="J10" s="185">
        <f t="shared" si="2"/>
        <v>3184.8176608483977</v>
      </c>
      <c r="K10" s="186">
        <f t="shared" si="2"/>
        <v>167.62198214991568</v>
      </c>
      <c r="L10" s="613"/>
      <c r="M10" s="185">
        <f>RANK(K10, K$7:$K$21)</f>
        <v>4</v>
      </c>
      <c r="N10" s="611"/>
      <c r="O10" s="611"/>
      <c r="P10" s="187">
        <v>19</v>
      </c>
      <c r="Q10" s="187">
        <v>3184.8062249452723</v>
      </c>
      <c r="R10" s="184">
        <f t="shared" si="3"/>
        <v>167.6213802602775</v>
      </c>
      <c r="S10" s="181">
        <f t="shared" si="4"/>
        <v>4</v>
      </c>
      <c r="T10" s="612"/>
      <c r="U10" s="187">
        <v>19</v>
      </c>
      <c r="V10" s="187">
        <v>3184.6995668322529</v>
      </c>
      <c r="W10" s="184">
        <f t="shared" si="0"/>
        <v>167.61576667538174</v>
      </c>
      <c r="X10" s="181">
        <f t="shared" si="5"/>
        <v>4</v>
      </c>
      <c r="Y10" s="612"/>
      <c r="Z10" s="187">
        <v>19</v>
      </c>
      <c r="AA10" s="187">
        <v>3185.7795668322524</v>
      </c>
      <c r="AB10" s="184">
        <f t="shared" si="6"/>
        <v>167.67260878064485</v>
      </c>
      <c r="AC10" s="181">
        <f t="shared" si="7"/>
        <v>3</v>
      </c>
      <c r="AD10" s="612"/>
      <c r="AE10" s="187">
        <v>19</v>
      </c>
      <c r="AF10" s="187">
        <v>3184.3395668322519</v>
      </c>
      <c r="AG10" s="184">
        <f t="shared" si="8"/>
        <v>167.59681930696061</v>
      </c>
      <c r="AH10" s="181">
        <f t="shared" si="9"/>
        <v>4</v>
      </c>
      <c r="AI10" s="612"/>
      <c r="AJ10" s="187">
        <v>19</v>
      </c>
      <c r="AK10" s="187">
        <v>3184.3395668322519</v>
      </c>
      <c r="AL10" s="184">
        <f t="shared" si="10"/>
        <v>167.59681930696061</v>
      </c>
      <c r="AM10" s="181">
        <f t="shared" si="11"/>
        <v>4</v>
      </c>
      <c r="AN10" s="612"/>
      <c r="AO10" s="187">
        <v>19</v>
      </c>
      <c r="AP10" s="187">
        <v>3185.7795668322519</v>
      </c>
      <c r="AQ10" s="184">
        <f t="shared" si="12"/>
        <v>167.67260878064485</v>
      </c>
      <c r="AR10" s="181">
        <f t="shared" si="13"/>
        <v>3</v>
      </c>
      <c r="AS10" s="612"/>
      <c r="AT10" s="187">
        <v>19</v>
      </c>
      <c r="AU10" s="187">
        <v>3183.9795668322522</v>
      </c>
      <c r="AV10" s="184">
        <f t="shared" si="14"/>
        <v>167.5778719385396</v>
      </c>
      <c r="AW10" s="181">
        <f t="shared" si="15"/>
        <v>4</v>
      </c>
      <c r="AX10" s="612"/>
    </row>
    <row r="11" spans="1:50" ht="14.25" customHeight="1">
      <c r="B11" s="611"/>
      <c r="C11" s="179">
        <v>5</v>
      </c>
      <c r="D11" s="182" t="s">
        <v>543</v>
      </c>
      <c r="E11" s="179">
        <v>19</v>
      </c>
      <c r="F11" s="179">
        <v>3600</v>
      </c>
      <c r="G11" s="184">
        <f t="shared" si="1"/>
        <v>189.47368421052633</v>
      </c>
      <c r="H11" s="612"/>
      <c r="I11" s="185">
        <f t="shared" si="16"/>
        <v>19</v>
      </c>
      <c r="J11" s="185">
        <f t="shared" si="2"/>
        <v>3187.0605783769715</v>
      </c>
      <c r="K11" s="186">
        <f t="shared" si="2"/>
        <v>167.74003044089321</v>
      </c>
      <c r="L11" s="613"/>
      <c r="M11" s="185">
        <f>RANK(K11, K$7:$K$21)</f>
        <v>2</v>
      </c>
      <c r="N11" s="611"/>
      <c r="O11" s="611"/>
      <c r="P11" s="187">
        <v>19</v>
      </c>
      <c r="Q11" s="187">
        <v>3186.8034355198297</v>
      </c>
      <c r="R11" s="184">
        <f t="shared" si="3"/>
        <v>167.72649660630682</v>
      </c>
      <c r="S11" s="181">
        <f t="shared" si="4"/>
        <v>2</v>
      </c>
      <c r="T11" s="612"/>
      <c r="U11" s="187">
        <v>19</v>
      </c>
      <c r="V11" s="187">
        <v>3187.1634355198294</v>
      </c>
      <c r="W11" s="184">
        <f t="shared" si="0"/>
        <v>167.74544397472786</v>
      </c>
      <c r="X11" s="181">
        <f t="shared" si="5"/>
        <v>2</v>
      </c>
      <c r="Y11" s="612"/>
      <c r="Z11" s="187">
        <v>19</v>
      </c>
      <c r="AA11" s="187">
        <v>3186.083435519829</v>
      </c>
      <c r="AB11" s="184">
        <f t="shared" si="6"/>
        <v>167.68860186946469</v>
      </c>
      <c r="AC11" s="181">
        <f t="shared" si="7"/>
        <v>2</v>
      </c>
      <c r="AD11" s="612"/>
      <c r="AE11" s="187">
        <v>19</v>
      </c>
      <c r="AF11" s="187">
        <v>3186.4434355198287</v>
      </c>
      <c r="AG11" s="184">
        <f t="shared" si="8"/>
        <v>167.70754923788573</v>
      </c>
      <c r="AH11" s="181">
        <f t="shared" si="9"/>
        <v>3</v>
      </c>
      <c r="AI11" s="612"/>
      <c r="AJ11" s="187">
        <v>19</v>
      </c>
      <c r="AK11" s="187">
        <v>3188.2434355198279</v>
      </c>
      <c r="AL11" s="184">
        <f t="shared" si="10"/>
        <v>167.80228607999095</v>
      </c>
      <c r="AM11" s="181">
        <f t="shared" si="11"/>
        <v>2</v>
      </c>
      <c r="AN11" s="612"/>
      <c r="AO11" s="187">
        <v>19</v>
      </c>
      <c r="AP11" s="187">
        <v>3187.8834355198273</v>
      </c>
      <c r="AQ11" s="184">
        <f t="shared" si="12"/>
        <v>167.78333871156985</v>
      </c>
      <c r="AR11" s="181">
        <f t="shared" si="13"/>
        <v>2</v>
      </c>
      <c r="AS11" s="612"/>
      <c r="AT11" s="187">
        <v>19</v>
      </c>
      <c r="AU11" s="187">
        <v>3186.803435519827</v>
      </c>
      <c r="AV11" s="184">
        <f t="shared" si="14"/>
        <v>167.72649660630668</v>
      </c>
      <c r="AW11" s="181">
        <f t="shared" si="15"/>
        <v>2</v>
      </c>
      <c r="AX11" s="612"/>
    </row>
    <row r="12" spans="1:50" ht="14.25" customHeight="1">
      <c r="B12" s="611"/>
      <c r="C12" s="179">
        <v>6</v>
      </c>
      <c r="D12" s="182" t="s">
        <v>597</v>
      </c>
      <c r="E12" s="179">
        <v>24</v>
      </c>
      <c r="F12" s="179">
        <v>3600</v>
      </c>
      <c r="G12" s="184">
        <f t="shared" si="1"/>
        <v>150</v>
      </c>
      <c r="H12" s="612"/>
      <c r="I12" s="185">
        <f t="shared" si="16"/>
        <v>24</v>
      </c>
      <c r="J12" s="185">
        <f t="shared" si="2"/>
        <v>3257.7008943134801</v>
      </c>
      <c r="K12" s="186">
        <f t="shared" si="2"/>
        <v>135.73753726306168</v>
      </c>
      <c r="L12" s="613"/>
      <c r="M12" s="185">
        <f>RANK(K12, K$7:$K$21)</f>
        <v>8</v>
      </c>
      <c r="N12" s="611"/>
      <c r="O12" s="611"/>
      <c r="P12" s="187">
        <v>24</v>
      </c>
      <c r="Q12" s="187">
        <v>3258.7808943134805</v>
      </c>
      <c r="R12" s="184">
        <f t="shared" si="3"/>
        <v>135.7825372630617</v>
      </c>
      <c r="S12" s="181">
        <f t="shared" si="4"/>
        <v>8</v>
      </c>
      <c r="T12" s="612"/>
      <c r="U12" s="187">
        <v>24</v>
      </c>
      <c r="V12" s="187">
        <v>3257.3408943134809</v>
      </c>
      <c r="W12" s="184">
        <f t="shared" si="0"/>
        <v>135.7225372630617</v>
      </c>
      <c r="X12" s="181">
        <f t="shared" si="5"/>
        <v>8</v>
      </c>
      <c r="Y12" s="612"/>
      <c r="Z12" s="187">
        <v>24</v>
      </c>
      <c r="AA12" s="187">
        <v>3257.7008943134806</v>
      </c>
      <c r="AB12" s="184">
        <f t="shared" si="6"/>
        <v>135.73753726306168</v>
      </c>
      <c r="AC12" s="181">
        <f t="shared" si="7"/>
        <v>8</v>
      </c>
      <c r="AD12" s="612"/>
      <c r="AE12" s="187">
        <v>24</v>
      </c>
      <c r="AF12" s="187">
        <v>3257.7008943134801</v>
      </c>
      <c r="AG12" s="184">
        <f t="shared" si="8"/>
        <v>135.73753726306168</v>
      </c>
      <c r="AH12" s="181">
        <f t="shared" si="9"/>
        <v>8</v>
      </c>
      <c r="AI12" s="612"/>
      <c r="AJ12" s="187">
        <v>24</v>
      </c>
      <c r="AK12" s="187">
        <v>3256.9808943134799</v>
      </c>
      <c r="AL12" s="184">
        <f t="shared" si="10"/>
        <v>135.70753726306165</v>
      </c>
      <c r="AM12" s="181">
        <f t="shared" si="11"/>
        <v>8</v>
      </c>
      <c r="AN12" s="612"/>
      <c r="AO12" s="187">
        <v>24</v>
      </c>
      <c r="AP12" s="187">
        <v>3258.4208943134795</v>
      </c>
      <c r="AQ12" s="184">
        <f t="shared" si="12"/>
        <v>135.76753726306166</v>
      </c>
      <c r="AR12" s="181">
        <f t="shared" si="13"/>
        <v>8</v>
      </c>
      <c r="AS12" s="612"/>
      <c r="AT12" s="187">
        <v>24</v>
      </c>
      <c r="AU12" s="187">
        <v>3256.9808943134799</v>
      </c>
      <c r="AV12" s="184">
        <f t="shared" si="14"/>
        <v>135.70753726306165</v>
      </c>
      <c r="AW12" s="181">
        <f t="shared" si="15"/>
        <v>8</v>
      </c>
      <c r="AX12" s="612"/>
    </row>
    <row r="13" spans="1:50" ht="14.25" customHeight="1">
      <c r="B13" s="611"/>
      <c r="C13" s="179">
        <v>7</v>
      </c>
      <c r="D13" s="182" t="s">
        <v>533</v>
      </c>
      <c r="E13" s="179">
        <v>19</v>
      </c>
      <c r="F13" s="179">
        <v>3600</v>
      </c>
      <c r="G13" s="184">
        <f t="shared" si="1"/>
        <v>189.47368421052633</v>
      </c>
      <c r="H13" s="612"/>
      <c r="I13" s="185">
        <f t="shared" si="16"/>
        <v>19</v>
      </c>
      <c r="J13" s="185">
        <f t="shared" si="2"/>
        <v>3190.3979423240085</v>
      </c>
      <c r="K13" s="186">
        <f t="shared" si="2"/>
        <v>167.91568117494782</v>
      </c>
      <c r="L13" s="613"/>
      <c r="M13" s="185">
        <f>RANK(K13, K$7:$K$21)</f>
        <v>1</v>
      </c>
      <c r="N13" s="611"/>
      <c r="O13" s="611"/>
      <c r="P13" s="187">
        <v>19</v>
      </c>
      <c r="Q13" s="187">
        <v>3191.1179423240078</v>
      </c>
      <c r="R13" s="184">
        <f t="shared" si="3"/>
        <v>167.9535759117899</v>
      </c>
      <c r="S13" s="181">
        <f t="shared" si="4"/>
        <v>1</v>
      </c>
      <c r="T13" s="612"/>
      <c r="U13" s="187">
        <v>19</v>
      </c>
      <c r="V13" s="187">
        <v>3190.7579423240081</v>
      </c>
      <c r="W13" s="184">
        <f t="shared" si="0"/>
        <v>167.93462854336886</v>
      </c>
      <c r="X13" s="181">
        <f t="shared" si="5"/>
        <v>1</v>
      </c>
      <c r="Y13" s="612"/>
      <c r="Z13" s="187">
        <v>19</v>
      </c>
      <c r="AA13" s="187">
        <v>3190.7579423240081</v>
      </c>
      <c r="AB13" s="184">
        <f t="shared" si="6"/>
        <v>167.93462854336886</v>
      </c>
      <c r="AC13" s="181">
        <f t="shared" si="7"/>
        <v>1</v>
      </c>
      <c r="AD13" s="612"/>
      <c r="AE13" s="187">
        <v>19</v>
      </c>
      <c r="AF13" s="187">
        <v>3189.6779423240087</v>
      </c>
      <c r="AG13" s="184">
        <f t="shared" si="8"/>
        <v>167.87778643810572</v>
      </c>
      <c r="AH13" s="181">
        <f t="shared" si="9"/>
        <v>1</v>
      </c>
      <c r="AI13" s="612"/>
      <c r="AJ13" s="187">
        <v>19</v>
      </c>
      <c r="AK13" s="187">
        <v>3190.3979423240085</v>
      </c>
      <c r="AL13" s="184">
        <f t="shared" si="10"/>
        <v>167.91568117494782</v>
      </c>
      <c r="AM13" s="181">
        <f t="shared" si="11"/>
        <v>1</v>
      </c>
      <c r="AN13" s="612"/>
      <c r="AO13" s="187">
        <v>19</v>
      </c>
      <c r="AP13" s="187">
        <v>3189.6779423240087</v>
      </c>
      <c r="AQ13" s="184">
        <f t="shared" si="12"/>
        <v>167.87778643810572</v>
      </c>
      <c r="AR13" s="181">
        <f t="shared" si="13"/>
        <v>1</v>
      </c>
      <c r="AS13" s="612"/>
      <c r="AT13" s="187">
        <v>19</v>
      </c>
      <c r="AU13" s="187">
        <v>3190.397942324008</v>
      </c>
      <c r="AV13" s="184">
        <f t="shared" si="14"/>
        <v>167.91568117494779</v>
      </c>
      <c r="AW13" s="181">
        <f t="shared" si="15"/>
        <v>1</v>
      </c>
      <c r="AX13" s="612"/>
    </row>
    <row r="14" spans="1:50" ht="14.25" customHeight="1">
      <c r="B14" s="611"/>
      <c r="C14" s="179">
        <v>8</v>
      </c>
      <c r="D14" s="182" t="s">
        <v>630</v>
      </c>
      <c r="E14" s="179">
        <v>24</v>
      </c>
      <c r="F14" s="179">
        <v>3600</v>
      </c>
      <c r="G14" s="184">
        <f t="shared" si="1"/>
        <v>150</v>
      </c>
      <c r="H14" s="612"/>
      <c r="I14" s="185">
        <f t="shared" si="16"/>
        <v>24</v>
      </c>
      <c r="J14" s="185">
        <f t="shared" si="2"/>
        <v>3262.3733825413874</v>
      </c>
      <c r="K14" s="186">
        <f t="shared" si="2"/>
        <v>135.93222427255782</v>
      </c>
      <c r="L14" s="613"/>
      <c r="M14" s="185">
        <f>RANK(K14, K$7:$K$21)</f>
        <v>7</v>
      </c>
      <c r="N14" s="611"/>
      <c r="O14" s="611"/>
      <c r="P14" s="187">
        <v>24</v>
      </c>
      <c r="Q14" s="187">
        <v>3261.3448111128155</v>
      </c>
      <c r="R14" s="184">
        <f t="shared" si="3"/>
        <v>135.88936712970064</v>
      </c>
      <c r="S14" s="181">
        <f t="shared" si="4"/>
        <v>7</v>
      </c>
      <c r="T14" s="612"/>
      <c r="U14" s="187">
        <v>24</v>
      </c>
      <c r="V14" s="187">
        <v>3260.9848111128158</v>
      </c>
      <c r="W14" s="184">
        <f t="shared" si="0"/>
        <v>135.87436712970066</v>
      </c>
      <c r="X14" s="181">
        <f t="shared" si="5"/>
        <v>7</v>
      </c>
      <c r="Y14" s="612"/>
      <c r="Z14" s="187">
        <v>24</v>
      </c>
      <c r="AA14" s="187">
        <v>3262.4248111128154</v>
      </c>
      <c r="AB14" s="184">
        <f t="shared" si="6"/>
        <v>135.93436712970063</v>
      </c>
      <c r="AC14" s="181">
        <f t="shared" si="7"/>
        <v>7</v>
      </c>
      <c r="AD14" s="612"/>
      <c r="AE14" s="187">
        <v>24</v>
      </c>
      <c r="AF14" s="187">
        <v>3262.4248111128159</v>
      </c>
      <c r="AG14" s="184">
        <f t="shared" si="8"/>
        <v>135.93436712970066</v>
      </c>
      <c r="AH14" s="181">
        <f t="shared" si="9"/>
        <v>7</v>
      </c>
      <c r="AI14" s="612"/>
      <c r="AJ14" s="187">
        <v>24</v>
      </c>
      <c r="AK14" s="187">
        <v>3263.1448111128161</v>
      </c>
      <c r="AL14" s="184">
        <f t="shared" si="10"/>
        <v>135.96436712970066</v>
      </c>
      <c r="AM14" s="181">
        <f t="shared" si="11"/>
        <v>7</v>
      </c>
      <c r="AN14" s="612"/>
      <c r="AO14" s="187">
        <v>24</v>
      </c>
      <c r="AP14" s="187">
        <v>3263.1448111128161</v>
      </c>
      <c r="AQ14" s="184">
        <f t="shared" si="12"/>
        <v>135.96436712970066</v>
      </c>
      <c r="AR14" s="181">
        <f t="shared" si="13"/>
        <v>7</v>
      </c>
      <c r="AS14" s="612"/>
      <c r="AT14" s="187">
        <v>24</v>
      </c>
      <c r="AU14" s="187">
        <v>3263.1448111128157</v>
      </c>
      <c r="AV14" s="184">
        <f t="shared" si="14"/>
        <v>135.96436712970066</v>
      </c>
      <c r="AW14" s="181">
        <f t="shared" si="15"/>
        <v>7</v>
      </c>
      <c r="AX14" s="612"/>
    </row>
    <row r="15" spans="1:50" ht="14.25" customHeight="1">
      <c r="B15" s="611"/>
      <c r="C15" s="179">
        <v>9</v>
      </c>
      <c r="D15" s="182"/>
      <c r="E15" s="179"/>
      <c r="F15" s="179"/>
      <c r="G15" s="184"/>
      <c r="H15" s="612"/>
      <c r="I15" s="185"/>
      <c r="J15" s="185"/>
      <c r="K15" s="186"/>
      <c r="L15" s="613"/>
      <c r="M15" s="185"/>
      <c r="N15" s="611"/>
      <c r="O15" s="611"/>
      <c r="P15" s="187"/>
      <c r="Q15" s="187"/>
      <c r="R15" s="184"/>
      <c r="S15" s="181"/>
      <c r="T15" s="612"/>
      <c r="U15" s="187"/>
      <c r="V15" s="187"/>
      <c r="W15" s="184"/>
      <c r="X15" s="181"/>
      <c r="Y15" s="612"/>
      <c r="Z15" s="187"/>
      <c r="AA15" s="187"/>
      <c r="AB15" s="184"/>
      <c r="AC15" s="181"/>
      <c r="AD15" s="612"/>
      <c r="AE15" s="187"/>
      <c r="AF15" s="187"/>
      <c r="AG15" s="184"/>
      <c r="AH15" s="181"/>
      <c r="AI15" s="612"/>
      <c r="AJ15" s="187"/>
      <c r="AK15" s="187"/>
      <c r="AL15" s="184"/>
      <c r="AM15" s="181"/>
      <c r="AN15" s="612"/>
      <c r="AO15" s="187"/>
      <c r="AP15" s="187"/>
      <c r="AQ15" s="184"/>
      <c r="AR15" s="181"/>
      <c r="AS15" s="612"/>
      <c r="AT15" s="187"/>
      <c r="AU15" s="187"/>
      <c r="AV15" s="184"/>
      <c r="AW15" s="181"/>
      <c r="AX15" s="612"/>
    </row>
    <row r="16" spans="1:50" ht="14.25" customHeight="1">
      <c r="B16" s="611"/>
      <c r="C16" s="179">
        <v>10</v>
      </c>
      <c r="D16" s="182"/>
      <c r="E16" s="179"/>
      <c r="F16" s="179"/>
      <c r="G16" s="184"/>
      <c r="H16" s="612"/>
      <c r="I16" s="185"/>
      <c r="J16" s="185"/>
      <c r="K16" s="186"/>
      <c r="L16" s="613"/>
      <c r="M16" s="185"/>
      <c r="N16" s="611"/>
      <c r="O16" s="611"/>
      <c r="P16" s="187"/>
      <c r="Q16" s="187"/>
      <c r="R16" s="184"/>
      <c r="S16" s="181"/>
      <c r="T16" s="612"/>
      <c r="U16" s="187"/>
      <c r="V16" s="187"/>
      <c r="W16" s="184"/>
      <c r="X16" s="181"/>
      <c r="Y16" s="612"/>
      <c r="Z16" s="187"/>
      <c r="AA16" s="187"/>
      <c r="AB16" s="184"/>
      <c r="AC16" s="181"/>
      <c r="AD16" s="612"/>
      <c r="AE16" s="187"/>
      <c r="AF16" s="187"/>
      <c r="AG16" s="184"/>
      <c r="AH16" s="181"/>
      <c r="AI16" s="612"/>
      <c r="AJ16" s="187"/>
      <c r="AK16" s="187"/>
      <c r="AL16" s="184"/>
      <c r="AM16" s="181"/>
      <c r="AN16" s="612"/>
      <c r="AO16" s="187"/>
      <c r="AP16" s="187"/>
      <c r="AQ16" s="184"/>
      <c r="AR16" s="181"/>
      <c r="AS16" s="612"/>
      <c r="AT16" s="187"/>
      <c r="AU16" s="187"/>
      <c r="AV16" s="184"/>
      <c r="AW16" s="181"/>
      <c r="AX16" s="612"/>
    </row>
    <row r="17" spans="2:50" ht="14.25" customHeight="1">
      <c r="B17" s="611"/>
      <c r="C17" s="179">
        <v>11</v>
      </c>
      <c r="D17" s="182"/>
      <c r="E17" s="179"/>
      <c r="F17" s="179"/>
      <c r="G17" s="184"/>
      <c r="H17" s="612"/>
      <c r="I17" s="185"/>
      <c r="J17" s="185"/>
      <c r="K17" s="186"/>
      <c r="L17" s="613"/>
      <c r="M17" s="185"/>
      <c r="N17" s="611"/>
      <c r="O17" s="611"/>
      <c r="P17" s="187"/>
      <c r="Q17" s="187"/>
      <c r="R17" s="184"/>
      <c r="S17" s="181"/>
      <c r="T17" s="612"/>
      <c r="U17" s="187"/>
      <c r="V17" s="187"/>
      <c r="W17" s="184"/>
      <c r="X17" s="181"/>
      <c r="Y17" s="612"/>
      <c r="Z17" s="187"/>
      <c r="AA17" s="187"/>
      <c r="AB17" s="184"/>
      <c r="AC17" s="181"/>
      <c r="AD17" s="612"/>
      <c r="AE17" s="187"/>
      <c r="AF17" s="187"/>
      <c r="AG17" s="184"/>
      <c r="AH17" s="181"/>
      <c r="AI17" s="612"/>
      <c r="AJ17" s="187"/>
      <c r="AK17" s="187"/>
      <c r="AL17" s="184"/>
      <c r="AM17" s="181"/>
      <c r="AN17" s="612"/>
      <c r="AO17" s="187"/>
      <c r="AP17" s="187"/>
      <c r="AQ17" s="184"/>
      <c r="AR17" s="181"/>
      <c r="AS17" s="612"/>
      <c r="AT17" s="187"/>
      <c r="AU17" s="187"/>
      <c r="AV17" s="184"/>
      <c r="AW17" s="181"/>
      <c r="AX17" s="612"/>
    </row>
    <row r="18" spans="2:50" ht="14.25" customHeight="1">
      <c r="B18" s="611"/>
      <c r="C18" s="179">
        <v>12</v>
      </c>
      <c r="D18" s="182"/>
      <c r="E18" s="179"/>
      <c r="F18" s="179"/>
      <c r="G18" s="184"/>
      <c r="H18" s="612"/>
      <c r="I18" s="185"/>
      <c r="J18" s="185"/>
      <c r="K18" s="186"/>
      <c r="L18" s="613"/>
      <c r="M18" s="185"/>
      <c r="N18" s="611"/>
      <c r="O18" s="611"/>
      <c r="P18" s="187"/>
      <c r="Q18" s="187"/>
      <c r="R18" s="184"/>
      <c r="S18" s="181"/>
      <c r="T18" s="612"/>
      <c r="U18" s="187"/>
      <c r="V18" s="187"/>
      <c r="W18" s="184"/>
      <c r="X18" s="181"/>
      <c r="Y18" s="612"/>
      <c r="Z18" s="187"/>
      <c r="AA18" s="187"/>
      <c r="AB18" s="184"/>
      <c r="AC18" s="181"/>
      <c r="AD18" s="612"/>
      <c r="AE18" s="187"/>
      <c r="AF18" s="187"/>
      <c r="AG18" s="184"/>
      <c r="AH18" s="181"/>
      <c r="AI18" s="612"/>
      <c r="AJ18" s="187"/>
      <c r="AK18" s="187"/>
      <c r="AL18" s="184"/>
      <c r="AM18" s="181"/>
      <c r="AN18" s="612"/>
      <c r="AO18" s="187"/>
      <c r="AP18" s="187"/>
      <c r="AQ18" s="184"/>
      <c r="AR18" s="181"/>
      <c r="AS18" s="612"/>
      <c r="AT18" s="187"/>
      <c r="AU18" s="187"/>
      <c r="AV18" s="184"/>
      <c r="AW18" s="181"/>
      <c r="AX18" s="612"/>
    </row>
    <row r="19" spans="2:50" ht="14.25" customHeight="1">
      <c r="B19" s="611"/>
      <c r="C19" s="179">
        <v>13</v>
      </c>
      <c r="D19" s="182"/>
      <c r="E19" s="179"/>
      <c r="F19" s="179"/>
      <c r="G19" s="184"/>
      <c r="H19" s="612"/>
      <c r="I19" s="185"/>
      <c r="J19" s="185"/>
      <c r="K19" s="186"/>
      <c r="L19" s="613"/>
      <c r="M19" s="185"/>
      <c r="N19" s="611"/>
      <c r="O19" s="611"/>
      <c r="P19" s="187"/>
      <c r="Q19" s="187"/>
      <c r="R19" s="184"/>
      <c r="S19" s="181"/>
      <c r="T19" s="612"/>
      <c r="U19" s="187"/>
      <c r="V19" s="187"/>
      <c r="W19" s="184"/>
      <c r="X19" s="181"/>
      <c r="Y19" s="612"/>
      <c r="Z19" s="187"/>
      <c r="AA19" s="187"/>
      <c r="AB19" s="184"/>
      <c r="AC19" s="181"/>
      <c r="AD19" s="612"/>
      <c r="AE19" s="187"/>
      <c r="AF19" s="187"/>
      <c r="AG19" s="184"/>
      <c r="AH19" s="181"/>
      <c r="AI19" s="612"/>
      <c r="AJ19" s="187"/>
      <c r="AK19" s="187"/>
      <c r="AL19" s="184"/>
      <c r="AM19" s="181"/>
      <c r="AN19" s="612"/>
      <c r="AO19" s="187"/>
      <c r="AP19" s="187"/>
      <c r="AQ19" s="184"/>
      <c r="AR19" s="181"/>
      <c r="AS19" s="612"/>
      <c r="AT19" s="187"/>
      <c r="AU19" s="187"/>
      <c r="AV19" s="184"/>
      <c r="AW19" s="181"/>
      <c r="AX19" s="612"/>
    </row>
    <row r="20" spans="2:50" ht="14.25" customHeight="1">
      <c r="B20" s="611"/>
      <c r="C20" s="179">
        <v>14</v>
      </c>
      <c r="D20" s="182"/>
      <c r="E20" s="179"/>
      <c r="F20" s="179"/>
      <c r="G20" s="184"/>
      <c r="H20" s="612"/>
      <c r="I20" s="185"/>
      <c r="J20" s="185"/>
      <c r="K20" s="186"/>
      <c r="L20" s="613"/>
      <c r="M20" s="185"/>
      <c r="N20" s="611"/>
      <c r="O20" s="611"/>
      <c r="P20" s="187"/>
      <c r="Q20" s="187"/>
      <c r="R20" s="184"/>
      <c r="S20" s="181"/>
      <c r="T20" s="612"/>
      <c r="U20" s="187"/>
      <c r="V20" s="187"/>
      <c r="W20" s="184"/>
      <c r="X20" s="181"/>
      <c r="Y20" s="612"/>
      <c r="Z20" s="187"/>
      <c r="AA20" s="187"/>
      <c r="AB20" s="184"/>
      <c r="AC20" s="181"/>
      <c r="AD20" s="612"/>
      <c r="AE20" s="187"/>
      <c r="AF20" s="187"/>
      <c r="AG20" s="184"/>
      <c r="AH20" s="181"/>
      <c r="AI20" s="612"/>
      <c r="AJ20" s="187"/>
      <c r="AK20" s="187"/>
      <c r="AL20" s="184"/>
      <c r="AM20" s="181"/>
      <c r="AN20" s="612"/>
      <c r="AO20" s="187"/>
      <c r="AP20" s="187"/>
      <c r="AQ20" s="184"/>
      <c r="AR20" s="181"/>
      <c r="AS20" s="612"/>
      <c r="AT20" s="187"/>
      <c r="AU20" s="187"/>
      <c r="AV20" s="184"/>
      <c r="AW20" s="181"/>
      <c r="AX20" s="612"/>
    </row>
    <row r="21" spans="2:50" ht="14.25" customHeight="1">
      <c r="B21" s="611"/>
      <c r="C21" s="179">
        <v>15</v>
      </c>
      <c r="D21" s="182"/>
      <c r="E21" s="179"/>
      <c r="F21" s="179"/>
      <c r="G21" s="184"/>
      <c r="H21" s="612"/>
      <c r="I21" s="185"/>
      <c r="J21" s="185"/>
      <c r="K21" s="186"/>
      <c r="L21" s="613"/>
      <c r="M21" s="185"/>
      <c r="N21" s="611"/>
      <c r="O21" s="611"/>
      <c r="P21" s="187"/>
      <c r="Q21" s="187"/>
      <c r="R21" s="184"/>
      <c r="S21" s="181"/>
      <c r="T21" s="612"/>
      <c r="U21" s="187"/>
      <c r="V21" s="187"/>
      <c r="W21" s="184"/>
      <c r="X21" s="181"/>
      <c r="Y21" s="612"/>
      <c r="Z21" s="187"/>
      <c r="AA21" s="187"/>
      <c r="AB21" s="184"/>
      <c r="AC21" s="181"/>
      <c r="AD21" s="612"/>
      <c r="AE21" s="187"/>
      <c r="AF21" s="187"/>
      <c r="AG21" s="184"/>
      <c r="AH21" s="181"/>
      <c r="AI21" s="612"/>
      <c r="AJ21" s="187"/>
      <c r="AK21" s="187"/>
      <c r="AL21" s="184"/>
      <c r="AM21" s="181"/>
      <c r="AN21" s="612"/>
      <c r="AO21" s="187"/>
      <c r="AP21" s="187"/>
      <c r="AQ21" s="184"/>
      <c r="AR21" s="181"/>
      <c r="AS21" s="612"/>
      <c r="AT21" s="187"/>
      <c r="AU21" s="187"/>
      <c r="AV21" s="184"/>
      <c r="AW21" s="181"/>
      <c r="AX21" s="612"/>
    </row>
    <row r="22" spans="2:50" ht="14.25" customHeight="1">
      <c r="B22" s="640" t="s">
        <v>749</v>
      </c>
      <c r="C22" s="641"/>
      <c r="D22" s="641"/>
      <c r="E22" s="641"/>
      <c r="F22" s="641"/>
      <c r="G22" s="641"/>
      <c r="H22" s="641"/>
      <c r="I22" s="641"/>
      <c r="J22" s="641"/>
      <c r="K22" s="641"/>
      <c r="L22" s="641"/>
      <c r="M22" s="642"/>
      <c r="N22" s="645" t="s">
        <v>363</v>
      </c>
      <c r="O22" s="645" t="s">
        <v>105</v>
      </c>
      <c r="P22" s="632">
        <v>46210</v>
      </c>
      <c r="Q22" s="633"/>
      <c r="R22" s="633"/>
      <c r="S22" s="633"/>
      <c r="T22" s="633"/>
      <c r="U22" s="634">
        <v>46211</v>
      </c>
      <c r="V22" s="635"/>
      <c r="W22" s="635"/>
      <c r="X22" s="635"/>
      <c r="Y22" s="635"/>
      <c r="Z22" s="632">
        <v>46212</v>
      </c>
      <c r="AA22" s="633"/>
      <c r="AB22" s="633"/>
      <c r="AC22" s="633"/>
      <c r="AD22" s="633"/>
      <c r="AE22" s="634">
        <v>46213</v>
      </c>
      <c r="AF22" s="635"/>
      <c r="AG22" s="635"/>
      <c r="AH22" s="635"/>
      <c r="AI22" s="635"/>
      <c r="AJ22" s="616">
        <v>46214</v>
      </c>
      <c r="AK22" s="617"/>
      <c r="AL22" s="617"/>
      <c r="AM22" s="617"/>
      <c r="AN22" s="618"/>
      <c r="AO22" s="634">
        <v>46215</v>
      </c>
      <c r="AP22" s="635"/>
      <c r="AQ22" s="635"/>
      <c r="AR22" s="635"/>
      <c r="AS22" s="635"/>
      <c r="AT22" s="616">
        <v>46216</v>
      </c>
      <c r="AU22" s="617"/>
      <c r="AV22" s="617"/>
      <c r="AW22" s="617"/>
      <c r="AX22" s="618"/>
    </row>
    <row r="23" spans="2:50" ht="14.25" customHeight="1">
      <c r="B23" s="643"/>
      <c r="C23" s="643"/>
      <c r="D23" s="643"/>
      <c r="E23" s="643"/>
      <c r="F23" s="643"/>
      <c r="G23" s="643"/>
      <c r="H23" s="643"/>
      <c r="I23" s="643"/>
      <c r="J23" s="643"/>
      <c r="K23" s="643"/>
      <c r="L23" s="643"/>
      <c r="M23" s="644"/>
      <c r="N23" s="646"/>
      <c r="O23" s="646"/>
      <c r="P23" s="619">
        <v>46196</v>
      </c>
      <c r="Q23" s="619"/>
      <c r="R23" s="619"/>
      <c r="S23" s="619"/>
      <c r="T23" s="619"/>
      <c r="U23" s="620">
        <v>46197</v>
      </c>
      <c r="V23" s="620"/>
      <c r="W23" s="620"/>
      <c r="X23" s="620"/>
      <c r="Y23" s="620"/>
      <c r="Z23" s="619">
        <v>46198</v>
      </c>
      <c r="AA23" s="619"/>
      <c r="AB23" s="619"/>
      <c r="AC23" s="619"/>
      <c r="AD23" s="619"/>
      <c r="AE23" s="620">
        <v>46199</v>
      </c>
      <c r="AF23" s="620"/>
      <c r="AG23" s="620"/>
      <c r="AH23" s="620"/>
      <c r="AI23" s="620"/>
      <c r="AJ23" s="621">
        <v>46200</v>
      </c>
      <c r="AK23" s="622"/>
      <c r="AL23" s="622"/>
      <c r="AM23" s="622"/>
      <c r="AN23" s="623"/>
      <c r="AO23" s="620">
        <v>46201</v>
      </c>
      <c r="AP23" s="620"/>
      <c r="AQ23" s="620"/>
      <c r="AR23" s="620"/>
      <c r="AS23" s="620"/>
      <c r="AT23" s="621">
        <v>46202</v>
      </c>
      <c r="AU23" s="622"/>
      <c r="AV23" s="622"/>
      <c r="AW23" s="622"/>
      <c r="AX23" s="623"/>
    </row>
    <row r="24" spans="2:50" ht="14.25" customHeight="1">
      <c r="B24" s="611" t="s">
        <v>162</v>
      </c>
      <c r="C24" s="611" t="s">
        <v>157</v>
      </c>
      <c r="D24" s="611"/>
      <c r="E24" s="611" t="s">
        <v>158</v>
      </c>
      <c r="F24" s="611"/>
      <c r="G24" s="611"/>
      <c r="H24" s="611" t="s">
        <v>163</v>
      </c>
      <c r="I24" s="615" t="s">
        <v>364</v>
      </c>
      <c r="J24" s="615"/>
      <c r="K24" s="615"/>
      <c r="L24" s="615" t="s">
        <v>163</v>
      </c>
      <c r="M24" s="615" t="s">
        <v>165</v>
      </c>
      <c r="N24" s="611"/>
      <c r="O24" s="611" t="s">
        <v>164</v>
      </c>
      <c r="P24" s="611" t="s">
        <v>160</v>
      </c>
      <c r="Q24" s="611"/>
      <c r="R24" s="611"/>
      <c r="S24" s="611"/>
      <c r="T24" s="611" t="s">
        <v>163</v>
      </c>
      <c r="U24" s="611" t="s">
        <v>160</v>
      </c>
      <c r="V24" s="611"/>
      <c r="W24" s="611"/>
      <c r="X24" s="611"/>
      <c r="Y24" s="611" t="s">
        <v>163</v>
      </c>
      <c r="Z24" s="611" t="s">
        <v>160</v>
      </c>
      <c r="AA24" s="611"/>
      <c r="AB24" s="611"/>
      <c r="AC24" s="611"/>
      <c r="AD24" s="611" t="s">
        <v>163</v>
      </c>
      <c r="AE24" s="611" t="s">
        <v>160</v>
      </c>
      <c r="AF24" s="611"/>
      <c r="AG24" s="611"/>
      <c r="AH24" s="611"/>
      <c r="AI24" s="611" t="s">
        <v>163</v>
      </c>
      <c r="AJ24" s="611" t="s">
        <v>160</v>
      </c>
      <c r="AK24" s="611"/>
      <c r="AL24" s="611"/>
      <c r="AM24" s="611"/>
      <c r="AN24" s="611" t="s">
        <v>163</v>
      </c>
      <c r="AO24" s="611" t="s">
        <v>160</v>
      </c>
      <c r="AP24" s="611"/>
      <c r="AQ24" s="611"/>
      <c r="AR24" s="611"/>
      <c r="AS24" s="611" t="s">
        <v>163</v>
      </c>
      <c r="AT24" s="611" t="s">
        <v>160</v>
      </c>
      <c r="AU24" s="611"/>
      <c r="AV24" s="611"/>
      <c r="AW24" s="611"/>
      <c r="AX24" s="611" t="s">
        <v>163</v>
      </c>
    </row>
    <row r="25" spans="2:50" ht="14.25" customHeight="1">
      <c r="B25" s="611"/>
      <c r="C25" s="611"/>
      <c r="D25" s="611"/>
      <c r="E25" s="611" t="s">
        <v>365</v>
      </c>
      <c r="F25" s="611"/>
      <c r="G25" s="611"/>
      <c r="H25" s="611"/>
      <c r="I25" s="615" t="s">
        <v>365</v>
      </c>
      <c r="J25" s="615"/>
      <c r="K25" s="615"/>
      <c r="L25" s="615"/>
      <c r="M25" s="615"/>
      <c r="N25" s="611"/>
      <c r="O25" s="611"/>
      <c r="P25" s="611" t="s">
        <v>366</v>
      </c>
      <c r="Q25" s="611"/>
      <c r="R25" s="611"/>
      <c r="S25" s="611"/>
      <c r="T25" s="611"/>
      <c r="U25" s="611" t="s">
        <v>366</v>
      </c>
      <c r="V25" s="611"/>
      <c r="W25" s="611"/>
      <c r="X25" s="611"/>
      <c r="Y25" s="611"/>
      <c r="Z25" s="611" t="s">
        <v>366</v>
      </c>
      <c r="AA25" s="611"/>
      <c r="AB25" s="611"/>
      <c r="AC25" s="611"/>
      <c r="AD25" s="611"/>
      <c r="AE25" s="611" t="s">
        <v>366</v>
      </c>
      <c r="AF25" s="611"/>
      <c r="AG25" s="611"/>
      <c r="AH25" s="611"/>
      <c r="AI25" s="611"/>
      <c r="AJ25" s="611" t="s">
        <v>366</v>
      </c>
      <c r="AK25" s="611"/>
      <c r="AL25" s="611"/>
      <c r="AM25" s="611"/>
      <c r="AN25" s="611"/>
      <c r="AO25" s="611" t="s">
        <v>366</v>
      </c>
      <c r="AP25" s="611"/>
      <c r="AQ25" s="611"/>
      <c r="AR25" s="611"/>
      <c r="AS25" s="611"/>
      <c r="AT25" s="611" t="s">
        <v>366</v>
      </c>
      <c r="AU25" s="611"/>
      <c r="AV25" s="611"/>
      <c r="AW25" s="611"/>
      <c r="AX25" s="611"/>
    </row>
    <row r="26" spans="2:50" ht="14.25" customHeight="1">
      <c r="B26" s="611"/>
      <c r="C26" s="611"/>
      <c r="D26" s="611"/>
      <c r="E26" s="179" t="s">
        <v>159</v>
      </c>
      <c r="F26" s="179" t="s">
        <v>367</v>
      </c>
      <c r="G26" s="179" t="s">
        <v>161</v>
      </c>
      <c r="H26" s="611"/>
      <c r="I26" s="180" t="s">
        <v>159</v>
      </c>
      <c r="J26" s="180" t="s">
        <v>367</v>
      </c>
      <c r="K26" s="180" t="s">
        <v>161</v>
      </c>
      <c r="L26" s="615"/>
      <c r="M26" s="615"/>
      <c r="N26" s="611"/>
      <c r="O26" s="611"/>
      <c r="P26" s="179" t="s">
        <v>159</v>
      </c>
      <c r="Q26" s="179" t="s">
        <v>367</v>
      </c>
      <c r="R26" s="179" t="s">
        <v>161</v>
      </c>
      <c r="S26" s="181" t="s">
        <v>165</v>
      </c>
      <c r="T26" s="611"/>
      <c r="U26" s="179" t="s">
        <v>159</v>
      </c>
      <c r="V26" s="179" t="s">
        <v>367</v>
      </c>
      <c r="W26" s="179" t="s">
        <v>161</v>
      </c>
      <c r="X26" s="181" t="s">
        <v>165</v>
      </c>
      <c r="Y26" s="611"/>
      <c r="Z26" s="179" t="s">
        <v>159</v>
      </c>
      <c r="AA26" s="179" t="s">
        <v>367</v>
      </c>
      <c r="AB26" s="179" t="s">
        <v>161</v>
      </c>
      <c r="AC26" s="181" t="s">
        <v>165</v>
      </c>
      <c r="AD26" s="611"/>
      <c r="AE26" s="179" t="s">
        <v>159</v>
      </c>
      <c r="AF26" s="179" t="s">
        <v>367</v>
      </c>
      <c r="AG26" s="179" t="s">
        <v>161</v>
      </c>
      <c r="AH26" s="181" t="s">
        <v>165</v>
      </c>
      <c r="AI26" s="611"/>
      <c r="AJ26" s="179" t="s">
        <v>159</v>
      </c>
      <c r="AK26" s="179" t="s">
        <v>367</v>
      </c>
      <c r="AL26" s="179" t="s">
        <v>161</v>
      </c>
      <c r="AM26" s="181" t="s">
        <v>165</v>
      </c>
      <c r="AN26" s="611"/>
      <c r="AO26" s="179" t="s">
        <v>159</v>
      </c>
      <c r="AP26" s="179" t="s">
        <v>367</v>
      </c>
      <c r="AQ26" s="179" t="s">
        <v>161</v>
      </c>
      <c r="AR26" s="181" t="s">
        <v>165</v>
      </c>
      <c r="AS26" s="611"/>
      <c r="AT26" s="179" t="s">
        <v>159</v>
      </c>
      <c r="AU26" s="179" t="s">
        <v>367</v>
      </c>
      <c r="AV26" s="179" t="s">
        <v>161</v>
      </c>
      <c r="AW26" s="181" t="s">
        <v>165</v>
      </c>
      <c r="AX26" s="611"/>
    </row>
    <row r="27" spans="2:50" ht="14.25" customHeight="1">
      <c r="B27" s="611" t="s">
        <v>371</v>
      </c>
      <c r="C27" s="179">
        <v>1</v>
      </c>
      <c r="D27" s="182" t="s">
        <v>531</v>
      </c>
      <c r="E27" s="183">
        <v>20</v>
      </c>
      <c r="F27" s="179">
        <v>3600</v>
      </c>
      <c r="G27" s="184">
        <f t="shared" ref="G27:G35" si="17">IFERROR(F27/E27,"")</f>
        <v>180</v>
      </c>
      <c r="H27" s="612">
        <f>AVERAGE(G27:G41)</f>
        <v>176.59147869674186</v>
      </c>
      <c r="I27" s="185">
        <f>AVERAGE(P27,U27,Z27,AE27,AJ27,AO27,AT27)</f>
        <v>20</v>
      </c>
      <c r="J27" s="185">
        <f>AVERAGE(Q27,V27,AA27,AF27,AK27,AP27,AU27)</f>
        <v>3261.8936650019027</v>
      </c>
      <c r="K27" s="186">
        <f>AVERAGE(R27,W27,AB27,AG27,AL27,AQ27,AV27)</f>
        <v>163.09468325009513</v>
      </c>
      <c r="L27" s="613">
        <f>IFERROR(AVERAGE(K27:K41),"-")</f>
        <v>157.47086317143416</v>
      </c>
      <c r="M27" s="185">
        <f>RANK(K27, K$27:$K$41)</f>
        <v>5</v>
      </c>
      <c r="N27" s="611"/>
      <c r="O27" s="611"/>
      <c r="P27" s="187">
        <v>20</v>
      </c>
      <c r="Q27" s="187">
        <v>3260.9165221447597</v>
      </c>
      <c r="R27" s="184">
        <f>IFERROR(Q27/P27,"")</f>
        <v>163.04582610723799</v>
      </c>
      <c r="S27" s="181">
        <f>RANK(R27, R$27:R$41)</f>
        <v>5</v>
      </c>
      <c r="T27" s="612">
        <f>AVERAGE(R27:R41)</f>
        <v>156.40124959468247</v>
      </c>
      <c r="U27" s="187">
        <v>20</v>
      </c>
      <c r="V27" s="187">
        <v>3262.3565221447598</v>
      </c>
      <c r="W27" s="184">
        <f t="shared" ref="W27:W35" si="18">IFERROR(V27/U27,"")</f>
        <v>163.11782610723799</v>
      </c>
      <c r="X27" s="181">
        <f>RANK(W27, W$27:W$41)</f>
        <v>5</v>
      </c>
      <c r="Y27" s="612">
        <f>AVERAGE(W27:W41)</f>
        <v>156.76182407087293</v>
      </c>
      <c r="Z27" s="187">
        <v>20</v>
      </c>
      <c r="AA27" s="187">
        <v>3261.6365221447595</v>
      </c>
      <c r="AB27" s="184">
        <f>IFERROR(AA27/Z27,"")</f>
        <v>163.08182610723799</v>
      </c>
      <c r="AC27" s="181">
        <f>RANK(AB27, AB$27:AB$41)</f>
        <v>5</v>
      </c>
      <c r="AD27" s="612">
        <f>AVERAGE(AB27:AB41)</f>
        <v>157.13327714740424</v>
      </c>
      <c r="AE27" s="187">
        <v>20</v>
      </c>
      <c r="AF27" s="187">
        <v>3261.6365221447595</v>
      </c>
      <c r="AG27" s="184">
        <f>IFERROR(AF27/AE27,"")</f>
        <v>163.08182610723799</v>
      </c>
      <c r="AH27" s="181">
        <f>RANK(AG27, AG$27:AG$41)</f>
        <v>3</v>
      </c>
      <c r="AI27" s="612">
        <f>AVERAGE(AG27:AG41)</f>
        <v>154.56093110602529</v>
      </c>
      <c r="AJ27" s="187">
        <v>20</v>
      </c>
      <c r="AK27" s="187">
        <v>3262.7165221447594</v>
      </c>
      <c r="AL27" s="184">
        <f>IFERROR(AK27/AJ27,"")</f>
        <v>163.13582610723796</v>
      </c>
      <c r="AM27" s="181">
        <f>RANK(AL27, AL$27:AL$41)</f>
        <v>3</v>
      </c>
      <c r="AN27" s="612">
        <f>AVERAGE(AL27:AL41)</f>
        <v>155.11193147966398</v>
      </c>
      <c r="AO27" s="187">
        <v>20</v>
      </c>
      <c r="AP27" s="187">
        <v>3261.6365221447595</v>
      </c>
      <c r="AQ27" s="184">
        <f>IFERROR(AP27/AO27,"")</f>
        <v>163.08182610723799</v>
      </c>
      <c r="AR27" s="181">
        <f>RANK(AQ27, AQ$27:AQ$41)</f>
        <v>3</v>
      </c>
      <c r="AS27" s="612">
        <f>AVERAGE(AQ27:AQ41)</f>
        <v>155.578663159299</v>
      </c>
      <c r="AT27" s="187">
        <v>20</v>
      </c>
      <c r="AU27" s="187">
        <v>3262.3565221447598</v>
      </c>
      <c r="AV27" s="184">
        <f>IFERROR(AU27/AT27,"")</f>
        <v>163.11782610723799</v>
      </c>
      <c r="AW27" s="181">
        <f>RANK(AV27, AV$27:AV$41)</f>
        <v>3</v>
      </c>
      <c r="AX27" s="612">
        <f>AVERAGE(AV27:AV41)</f>
        <v>155.58401546864374</v>
      </c>
    </row>
    <row r="28" spans="2:50" ht="14.25" customHeight="1">
      <c r="B28" s="611"/>
      <c r="C28" s="179">
        <v>2</v>
      </c>
      <c r="D28" s="182" t="s">
        <v>532</v>
      </c>
      <c r="E28" s="179">
        <v>21</v>
      </c>
      <c r="F28" s="179">
        <v>3600</v>
      </c>
      <c r="G28" s="184">
        <f t="shared" si="17"/>
        <v>171.42857142857142</v>
      </c>
      <c r="H28" s="612"/>
      <c r="I28" s="185">
        <f t="shared" ref="I28:K35" si="19">AVERAGE(P28,U28,Z28,AE28,AJ28,AO28,AT28)</f>
        <v>21</v>
      </c>
      <c r="J28" s="185">
        <f t="shared" si="19"/>
        <v>3260.0206533589308</v>
      </c>
      <c r="K28" s="186">
        <f t="shared" si="19"/>
        <v>155.23907873137765</v>
      </c>
      <c r="L28" s="613"/>
      <c r="M28" s="185">
        <f>RANK(K28, K$27:$K$41)</f>
        <v>7</v>
      </c>
      <c r="N28" s="611"/>
      <c r="O28" s="611"/>
      <c r="P28" s="187">
        <v>21</v>
      </c>
      <c r="Q28" s="187">
        <v>3258.7349390732161</v>
      </c>
      <c r="R28" s="184">
        <f t="shared" ref="R28:R35" si="20">IFERROR(Q28/P28,"")</f>
        <v>155.17785424158171</v>
      </c>
      <c r="S28" s="181">
        <f t="shared" ref="S28:S35" si="21">RANK(R28, R$27:R$41)</f>
        <v>6</v>
      </c>
      <c r="T28" s="612"/>
      <c r="U28" s="187">
        <v>21</v>
      </c>
      <c r="V28" s="187">
        <v>3258.0149390732167</v>
      </c>
      <c r="W28" s="184">
        <f t="shared" si="18"/>
        <v>155.14356852729603</v>
      </c>
      <c r="X28" s="181">
        <f t="shared" ref="X28:X35" si="22">RANK(W28, W$27:W$41)</f>
        <v>6</v>
      </c>
      <c r="Y28" s="612"/>
      <c r="Z28" s="187">
        <v>21</v>
      </c>
      <c r="AA28" s="187">
        <v>3259.4549390732163</v>
      </c>
      <c r="AB28" s="184">
        <f t="shared" ref="AB28:AB35" si="23">IFERROR(AA28/Z28,"")</f>
        <v>155.21213995586746</v>
      </c>
      <c r="AC28" s="181">
        <f t="shared" ref="AC28:AC35" si="24">RANK(AB28, AB$27:AB$41)</f>
        <v>6</v>
      </c>
      <c r="AD28" s="612"/>
      <c r="AE28" s="187">
        <v>21</v>
      </c>
      <c r="AF28" s="187">
        <v>3259.4549390732168</v>
      </c>
      <c r="AG28" s="184">
        <f t="shared" ref="AG28:AG35" si="25">IFERROR(AF28/AE28,"")</f>
        <v>155.21213995586746</v>
      </c>
      <c r="AH28" s="181">
        <f t="shared" ref="AH28:AH35" si="26">RANK(AG28, AG$27:AG$41)</f>
        <v>5</v>
      </c>
      <c r="AI28" s="612"/>
      <c r="AJ28" s="187">
        <v>21</v>
      </c>
      <c r="AK28" s="187">
        <v>3261.2549390732165</v>
      </c>
      <c r="AL28" s="184">
        <f t="shared" ref="AL28:AL35" si="27">IFERROR(AK28/AJ28,"")</f>
        <v>155.29785424158175</v>
      </c>
      <c r="AM28" s="181">
        <f t="shared" ref="AM28:AM35" si="28">RANK(AL28, AL$27:AL$41)</f>
        <v>5</v>
      </c>
      <c r="AN28" s="612"/>
      <c r="AO28" s="187">
        <v>21</v>
      </c>
      <c r="AP28" s="187">
        <v>3260.8949390732168</v>
      </c>
      <c r="AQ28" s="184">
        <f t="shared" ref="AQ28:AQ35" si="29">IFERROR(AP28/AO28,"")</f>
        <v>155.28071138443889</v>
      </c>
      <c r="AR28" s="181">
        <f t="shared" ref="AR28:AR35" si="30">RANK(AQ28, AQ$27:AQ$41)</f>
        <v>5</v>
      </c>
      <c r="AS28" s="612"/>
      <c r="AT28" s="187">
        <v>21</v>
      </c>
      <c r="AU28" s="187">
        <v>3262.3349390732169</v>
      </c>
      <c r="AV28" s="184">
        <f t="shared" ref="AV28:AV35" si="31">IFERROR(AU28/AT28,"")</f>
        <v>155.34928281301032</v>
      </c>
      <c r="AW28" s="181">
        <f t="shared" ref="AW28:AW35" si="32">RANK(AV28, AV$27:AV$41)</f>
        <v>5</v>
      </c>
      <c r="AX28" s="612"/>
    </row>
    <row r="29" spans="2:50" ht="14.25" customHeight="1">
      <c r="B29" s="611"/>
      <c r="C29" s="179">
        <v>3</v>
      </c>
      <c r="D29" s="182" t="s">
        <v>539</v>
      </c>
      <c r="E29" s="179">
        <v>19</v>
      </c>
      <c r="F29" s="179">
        <v>3600</v>
      </c>
      <c r="G29" s="184">
        <f t="shared" si="17"/>
        <v>189.47368421052633</v>
      </c>
      <c r="H29" s="612"/>
      <c r="I29" s="185">
        <f t="shared" si="19"/>
        <v>19</v>
      </c>
      <c r="J29" s="185">
        <f t="shared" si="19"/>
        <v>3187.4416259245554</v>
      </c>
      <c r="K29" s="186">
        <f t="shared" si="19"/>
        <v>167.76008557497661</v>
      </c>
      <c r="L29" s="613"/>
      <c r="M29" s="185">
        <f>RANK(K29, K$27:$K$41)</f>
        <v>4</v>
      </c>
      <c r="N29" s="611"/>
      <c r="O29" s="611"/>
      <c r="P29" s="187">
        <v>19</v>
      </c>
      <c r="Q29" s="187">
        <v>3186.9616259245563</v>
      </c>
      <c r="R29" s="184">
        <f t="shared" si="20"/>
        <v>167.73482241708192</v>
      </c>
      <c r="S29" s="181">
        <f t="shared" si="21"/>
        <v>3</v>
      </c>
      <c r="T29" s="612"/>
      <c r="U29" s="187">
        <v>19</v>
      </c>
      <c r="V29" s="187">
        <v>3186.9616259245558</v>
      </c>
      <c r="W29" s="184">
        <f t="shared" si="18"/>
        <v>167.73482241708189</v>
      </c>
      <c r="X29" s="181">
        <f t="shared" si="22"/>
        <v>3</v>
      </c>
      <c r="Y29" s="612"/>
      <c r="Z29" s="187">
        <v>19</v>
      </c>
      <c r="AA29" s="187">
        <v>3188.4016259245554</v>
      </c>
      <c r="AB29" s="184">
        <f t="shared" si="23"/>
        <v>167.81061189076607</v>
      </c>
      <c r="AC29" s="181">
        <f t="shared" si="24"/>
        <v>2</v>
      </c>
      <c r="AD29" s="612"/>
      <c r="AE29" s="187"/>
      <c r="AF29" s="187"/>
      <c r="AG29" s="184"/>
      <c r="AH29" s="181"/>
      <c r="AI29" s="612"/>
      <c r="AJ29" s="187"/>
      <c r="AK29" s="187"/>
      <c r="AL29" s="184"/>
      <c r="AM29" s="181"/>
      <c r="AN29" s="612"/>
      <c r="AO29" s="187"/>
      <c r="AP29" s="187"/>
      <c r="AQ29" s="184"/>
      <c r="AR29" s="181"/>
      <c r="AS29" s="612"/>
      <c r="AT29" s="187"/>
      <c r="AU29" s="187"/>
      <c r="AV29" s="184"/>
      <c r="AW29" s="181"/>
      <c r="AX29" s="612"/>
    </row>
    <row r="30" spans="2:50" ht="14.25" customHeight="1">
      <c r="B30" s="611"/>
      <c r="C30" s="179">
        <v>4</v>
      </c>
      <c r="D30" s="182" t="s">
        <v>614</v>
      </c>
      <c r="E30" s="179">
        <v>19</v>
      </c>
      <c r="F30" s="179">
        <v>3600</v>
      </c>
      <c r="G30" s="184">
        <f t="shared" si="17"/>
        <v>189.47368421052633</v>
      </c>
      <c r="H30" s="612"/>
      <c r="I30" s="185">
        <f t="shared" si="19"/>
        <v>19</v>
      </c>
      <c r="J30" s="185">
        <f t="shared" si="19"/>
        <v>3188.4312659167049</v>
      </c>
      <c r="K30" s="186">
        <f t="shared" si="19"/>
        <v>167.81217189035289</v>
      </c>
      <c r="L30" s="613"/>
      <c r="M30" s="185">
        <f>RANK(K30, K$27:$K$41)</f>
        <v>2</v>
      </c>
      <c r="N30" s="611"/>
      <c r="O30" s="611"/>
      <c r="P30" s="187">
        <v>19</v>
      </c>
      <c r="Q30" s="187">
        <v>3185.0595668322521</v>
      </c>
      <c r="R30" s="184">
        <f t="shared" si="20"/>
        <v>167.63471404380275</v>
      </c>
      <c r="S30" s="181">
        <f t="shared" si="21"/>
        <v>4</v>
      </c>
      <c r="T30" s="612"/>
      <c r="U30" s="187">
        <v>19</v>
      </c>
      <c r="V30" s="187">
        <v>3186.1395668322516</v>
      </c>
      <c r="W30" s="184">
        <f t="shared" si="18"/>
        <v>167.69155614906586</v>
      </c>
      <c r="X30" s="181">
        <f t="shared" si="22"/>
        <v>4</v>
      </c>
      <c r="Y30" s="612"/>
      <c r="Z30" s="187">
        <v>19</v>
      </c>
      <c r="AA30" s="187">
        <v>3185.779566832251</v>
      </c>
      <c r="AB30" s="184">
        <f t="shared" si="23"/>
        <v>167.67260878064479</v>
      </c>
      <c r="AC30" s="181">
        <f t="shared" si="24"/>
        <v>4</v>
      </c>
      <c r="AD30" s="612"/>
      <c r="AE30" s="187">
        <v>19</v>
      </c>
      <c r="AF30" s="187">
        <v>3188.8900402300455</v>
      </c>
      <c r="AG30" s="184">
        <f t="shared" si="25"/>
        <v>167.8363179068445</v>
      </c>
      <c r="AH30" s="181">
        <f t="shared" si="26"/>
        <v>2</v>
      </c>
      <c r="AI30" s="612"/>
      <c r="AJ30" s="187">
        <v>19</v>
      </c>
      <c r="AK30" s="187">
        <v>3189.970040230045</v>
      </c>
      <c r="AL30" s="184">
        <f t="shared" si="27"/>
        <v>167.89316001210764</v>
      </c>
      <c r="AM30" s="181">
        <f t="shared" si="28"/>
        <v>2</v>
      </c>
      <c r="AN30" s="612"/>
      <c r="AO30" s="187">
        <v>19</v>
      </c>
      <c r="AP30" s="187">
        <v>3191.4100402300451</v>
      </c>
      <c r="AQ30" s="184">
        <f t="shared" si="29"/>
        <v>167.96894948579185</v>
      </c>
      <c r="AR30" s="181">
        <f t="shared" si="30"/>
        <v>2</v>
      </c>
      <c r="AS30" s="612"/>
      <c r="AT30" s="187">
        <v>19</v>
      </c>
      <c r="AU30" s="187">
        <v>3191.7700402300447</v>
      </c>
      <c r="AV30" s="184">
        <f t="shared" si="31"/>
        <v>167.98789685421289</v>
      </c>
      <c r="AW30" s="181">
        <f t="shared" si="32"/>
        <v>2</v>
      </c>
      <c r="AX30" s="612"/>
    </row>
    <row r="31" spans="2:50" ht="14.25" customHeight="1">
      <c r="B31" s="611"/>
      <c r="C31" s="179">
        <v>5</v>
      </c>
      <c r="D31" s="182" t="s">
        <v>543</v>
      </c>
      <c r="E31" s="179">
        <v>19</v>
      </c>
      <c r="F31" s="179">
        <v>3600</v>
      </c>
      <c r="G31" s="184">
        <f t="shared" si="17"/>
        <v>189.47368421052633</v>
      </c>
      <c r="H31" s="612"/>
      <c r="I31" s="185">
        <f t="shared" si="19"/>
        <v>19</v>
      </c>
      <c r="J31" s="185">
        <f t="shared" si="19"/>
        <v>3187.7634355198265</v>
      </c>
      <c r="K31" s="186">
        <f t="shared" si="19"/>
        <v>167.77702292209611</v>
      </c>
      <c r="L31" s="613"/>
      <c r="M31" s="185">
        <f>RANK(K31, K$27:$K$41)</f>
        <v>3</v>
      </c>
      <c r="N31" s="611"/>
      <c r="O31" s="611"/>
      <c r="P31" s="187">
        <v>19</v>
      </c>
      <c r="Q31" s="187">
        <v>3187.8834355198264</v>
      </c>
      <c r="R31" s="184">
        <f t="shared" si="20"/>
        <v>167.78333871156983</v>
      </c>
      <c r="S31" s="181">
        <f t="shared" si="21"/>
        <v>2</v>
      </c>
      <c r="T31" s="612"/>
      <c r="U31" s="187">
        <v>19</v>
      </c>
      <c r="V31" s="187">
        <v>3187.1634355198266</v>
      </c>
      <c r="W31" s="184">
        <f t="shared" si="18"/>
        <v>167.74544397472772</v>
      </c>
      <c r="X31" s="181">
        <f t="shared" si="22"/>
        <v>2</v>
      </c>
      <c r="Y31" s="612"/>
      <c r="Z31" s="187">
        <v>19</v>
      </c>
      <c r="AA31" s="187">
        <v>3188.2434355198266</v>
      </c>
      <c r="AB31" s="184">
        <f t="shared" si="23"/>
        <v>167.80228607999086</v>
      </c>
      <c r="AC31" s="181">
        <f t="shared" si="24"/>
        <v>3</v>
      </c>
      <c r="AD31" s="612"/>
      <c r="AE31" s="187"/>
      <c r="AF31" s="187"/>
      <c r="AG31" s="184"/>
      <c r="AH31" s="181"/>
      <c r="AI31" s="612"/>
      <c r="AJ31" s="187"/>
      <c r="AK31" s="187"/>
      <c r="AL31" s="184"/>
      <c r="AM31" s="181"/>
      <c r="AN31" s="612"/>
      <c r="AO31" s="187"/>
      <c r="AP31" s="187"/>
      <c r="AQ31" s="184"/>
      <c r="AR31" s="181"/>
      <c r="AS31" s="612"/>
      <c r="AT31" s="187"/>
      <c r="AU31" s="187"/>
      <c r="AV31" s="184"/>
      <c r="AW31" s="181"/>
      <c r="AX31" s="612"/>
    </row>
    <row r="32" spans="2:50" ht="14.25" customHeight="1">
      <c r="B32" s="611"/>
      <c r="C32" s="179">
        <v>6</v>
      </c>
      <c r="D32" s="182" t="s">
        <v>597</v>
      </c>
      <c r="E32" s="179">
        <v>24</v>
      </c>
      <c r="F32" s="179">
        <v>3600</v>
      </c>
      <c r="G32" s="184">
        <f t="shared" si="17"/>
        <v>150</v>
      </c>
      <c r="H32" s="612"/>
      <c r="I32" s="185">
        <f t="shared" si="19"/>
        <v>24</v>
      </c>
      <c r="J32" s="185">
        <f t="shared" si="19"/>
        <v>3256.7237514563381</v>
      </c>
      <c r="K32" s="186">
        <f t="shared" si="19"/>
        <v>135.69682297734741</v>
      </c>
      <c r="L32" s="613"/>
      <c r="M32" s="185">
        <f>RANK(K32, K$27:$K$41)</f>
        <v>9</v>
      </c>
      <c r="N32" s="611"/>
      <c r="O32" s="611"/>
      <c r="P32" s="187">
        <v>24</v>
      </c>
      <c r="Q32" s="187">
        <v>3257.3408943134796</v>
      </c>
      <c r="R32" s="184">
        <f t="shared" si="20"/>
        <v>135.72253726306164</v>
      </c>
      <c r="S32" s="181">
        <f t="shared" si="21"/>
        <v>9</v>
      </c>
      <c r="T32" s="612"/>
      <c r="U32" s="187">
        <v>24</v>
      </c>
      <c r="V32" s="187">
        <v>3258.4208943134799</v>
      </c>
      <c r="W32" s="184">
        <f t="shared" si="18"/>
        <v>135.76753726306166</v>
      </c>
      <c r="X32" s="181">
        <f t="shared" si="22"/>
        <v>9</v>
      </c>
      <c r="Y32" s="612"/>
      <c r="Z32" s="187">
        <v>24</v>
      </c>
      <c r="AA32" s="187">
        <v>3258.0608943134798</v>
      </c>
      <c r="AB32" s="184">
        <f t="shared" si="23"/>
        <v>135.75253726306167</v>
      </c>
      <c r="AC32" s="181">
        <f t="shared" si="24"/>
        <v>9</v>
      </c>
      <c r="AD32" s="612"/>
      <c r="AE32" s="187">
        <v>24</v>
      </c>
      <c r="AF32" s="187">
        <v>3256.260894313481</v>
      </c>
      <c r="AG32" s="184">
        <f t="shared" si="25"/>
        <v>135.67753726306171</v>
      </c>
      <c r="AH32" s="181">
        <f t="shared" si="26"/>
        <v>7</v>
      </c>
      <c r="AI32" s="612"/>
      <c r="AJ32" s="187">
        <v>24</v>
      </c>
      <c r="AK32" s="187">
        <v>3256.260894313481</v>
      </c>
      <c r="AL32" s="184">
        <f t="shared" si="27"/>
        <v>135.67753726306171</v>
      </c>
      <c r="AM32" s="181">
        <f t="shared" si="28"/>
        <v>7</v>
      </c>
      <c r="AN32" s="612"/>
      <c r="AO32" s="187">
        <v>24</v>
      </c>
      <c r="AP32" s="187">
        <v>3254.8208943134819</v>
      </c>
      <c r="AQ32" s="184">
        <f t="shared" si="29"/>
        <v>135.61753726306173</v>
      </c>
      <c r="AR32" s="181">
        <f t="shared" si="30"/>
        <v>7</v>
      </c>
      <c r="AS32" s="612"/>
      <c r="AT32" s="187">
        <v>24</v>
      </c>
      <c r="AU32" s="187">
        <v>3255.9008943134818</v>
      </c>
      <c r="AV32" s="184">
        <f t="shared" si="31"/>
        <v>135.66253726306175</v>
      </c>
      <c r="AW32" s="181">
        <f t="shared" si="32"/>
        <v>7</v>
      </c>
      <c r="AX32" s="612"/>
    </row>
    <row r="33" spans="2:50" ht="14.25" customHeight="1">
      <c r="B33" s="611"/>
      <c r="C33" s="179">
        <v>7</v>
      </c>
      <c r="D33" s="182" t="s">
        <v>533</v>
      </c>
      <c r="E33" s="179">
        <v>19</v>
      </c>
      <c r="F33" s="179">
        <v>3600</v>
      </c>
      <c r="G33" s="184">
        <f t="shared" si="17"/>
        <v>189.47368421052633</v>
      </c>
      <c r="H33" s="612"/>
      <c r="I33" s="185">
        <f t="shared" si="19"/>
        <v>19</v>
      </c>
      <c r="J33" s="185">
        <f t="shared" si="19"/>
        <v>3191.1179423240069</v>
      </c>
      <c r="K33" s="186">
        <f t="shared" si="19"/>
        <v>167.95357591178981</v>
      </c>
      <c r="L33" s="613"/>
      <c r="M33" s="185">
        <f>RANK(K33, K$27:$K$41)</f>
        <v>1</v>
      </c>
      <c r="N33" s="611"/>
      <c r="O33" s="611"/>
      <c r="P33" s="187">
        <v>19</v>
      </c>
      <c r="Q33" s="187">
        <v>3189.6779423240082</v>
      </c>
      <c r="R33" s="184">
        <f t="shared" si="20"/>
        <v>167.87778643810569</v>
      </c>
      <c r="S33" s="181">
        <f t="shared" si="21"/>
        <v>1</v>
      </c>
      <c r="T33" s="612"/>
      <c r="U33" s="187">
        <v>19</v>
      </c>
      <c r="V33" s="187">
        <v>3189.3179423240076</v>
      </c>
      <c r="W33" s="184">
        <f t="shared" si="18"/>
        <v>167.85883906968462</v>
      </c>
      <c r="X33" s="181">
        <f t="shared" si="22"/>
        <v>1</v>
      </c>
      <c r="Y33" s="612"/>
      <c r="Z33" s="187">
        <v>19</v>
      </c>
      <c r="AA33" s="187">
        <v>3190.7579423240072</v>
      </c>
      <c r="AB33" s="184">
        <f t="shared" si="23"/>
        <v>167.9346285433688</v>
      </c>
      <c r="AC33" s="181">
        <f t="shared" si="24"/>
        <v>1</v>
      </c>
      <c r="AD33" s="612"/>
      <c r="AE33" s="187">
        <v>19</v>
      </c>
      <c r="AF33" s="187">
        <v>3190.7579423240068</v>
      </c>
      <c r="AG33" s="184">
        <f t="shared" si="25"/>
        <v>167.93462854336877</v>
      </c>
      <c r="AH33" s="181">
        <f t="shared" si="26"/>
        <v>1</v>
      </c>
      <c r="AI33" s="612"/>
      <c r="AJ33" s="187">
        <v>19</v>
      </c>
      <c r="AK33" s="187">
        <v>3191.8379423240058</v>
      </c>
      <c r="AL33" s="184">
        <f t="shared" si="27"/>
        <v>167.99147064863189</v>
      </c>
      <c r="AM33" s="181">
        <f t="shared" si="28"/>
        <v>1</v>
      </c>
      <c r="AN33" s="612"/>
      <c r="AO33" s="187">
        <v>19</v>
      </c>
      <c r="AP33" s="187">
        <v>3192.5579423240056</v>
      </c>
      <c r="AQ33" s="184">
        <f t="shared" si="29"/>
        <v>168.02936538547397</v>
      </c>
      <c r="AR33" s="181">
        <f t="shared" si="30"/>
        <v>1</v>
      </c>
      <c r="AS33" s="612"/>
      <c r="AT33" s="187">
        <v>19</v>
      </c>
      <c r="AU33" s="187">
        <v>3192.9179423240043</v>
      </c>
      <c r="AV33" s="184">
        <f t="shared" si="31"/>
        <v>168.04831275389498</v>
      </c>
      <c r="AW33" s="181">
        <f t="shared" si="32"/>
        <v>1</v>
      </c>
      <c r="AX33" s="612"/>
    </row>
    <row r="34" spans="2:50" ht="14.25" customHeight="1">
      <c r="B34" s="611"/>
      <c r="C34" s="179">
        <v>8</v>
      </c>
      <c r="D34" s="182" t="s">
        <v>630</v>
      </c>
      <c r="E34" s="179">
        <v>24</v>
      </c>
      <c r="F34" s="179">
        <v>3600</v>
      </c>
      <c r="G34" s="184">
        <f t="shared" si="17"/>
        <v>150</v>
      </c>
      <c r="H34" s="612"/>
      <c r="I34" s="185">
        <f t="shared" si="19"/>
        <v>24</v>
      </c>
      <c r="J34" s="185">
        <f t="shared" si="19"/>
        <v>3263.9162396842435</v>
      </c>
      <c r="K34" s="186">
        <f t="shared" si="19"/>
        <v>135.99650998684348</v>
      </c>
      <c r="L34" s="613"/>
      <c r="M34" s="185">
        <f>RANK(K34, K$27:$K$41)</f>
        <v>8</v>
      </c>
      <c r="N34" s="611"/>
      <c r="O34" s="611"/>
      <c r="P34" s="187">
        <v>24</v>
      </c>
      <c r="Q34" s="187">
        <v>3262.4248111128159</v>
      </c>
      <c r="R34" s="184">
        <f t="shared" si="20"/>
        <v>135.93436712970066</v>
      </c>
      <c r="S34" s="181">
        <f t="shared" si="21"/>
        <v>8</v>
      </c>
      <c r="T34" s="612"/>
      <c r="U34" s="187">
        <v>24</v>
      </c>
      <c r="V34" s="187">
        <v>3263.5048111128158</v>
      </c>
      <c r="W34" s="184">
        <f t="shared" si="18"/>
        <v>135.97936712970065</v>
      </c>
      <c r="X34" s="181">
        <f t="shared" si="22"/>
        <v>8</v>
      </c>
      <c r="Y34" s="612"/>
      <c r="Z34" s="187">
        <v>24</v>
      </c>
      <c r="AA34" s="187">
        <v>3264.5848111128148</v>
      </c>
      <c r="AB34" s="184">
        <f t="shared" si="23"/>
        <v>136.02436712970061</v>
      </c>
      <c r="AC34" s="181">
        <f t="shared" si="24"/>
        <v>8</v>
      </c>
      <c r="AD34" s="612"/>
      <c r="AE34" s="187">
        <v>24</v>
      </c>
      <c r="AF34" s="187">
        <v>3264.2248111128142</v>
      </c>
      <c r="AG34" s="184">
        <f t="shared" si="25"/>
        <v>136.00936712970059</v>
      </c>
      <c r="AH34" s="181">
        <f t="shared" si="26"/>
        <v>6</v>
      </c>
      <c r="AI34" s="612"/>
      <c r="AJ34" s="187">
        <v>24</v>
      </c>
      <c r="AK34" s="187">
        <v>3264.944811112814</v>
      </c>
      <c r="AL34" s="184">
        <f t="shared" si="27"/>
        <v>136.03936712970059</v>
      </c>
      <c r="AM34" s="181">
        <f t="shared" si="28"/>
        <v>6</v>
      </c>
      <c r="AN34" s="612"/>
      <c r="AO34" s="187">
        <v>24</v>
      </c>
      <c r="AP34" s="187">
        <v>3264.5848111128144</v>
      </c>
      <c r="AQ34" s="184">
        <f t="shared" si="29"/>
        <v>136.02436712970061</v>
      </c>
      <c r="AR34" s="181">
        <f t="shared" si="30"/>
        <v>6</v>
      </c>
      <c r="AS34" s="612"/>
      <c r="AT34" s="187">
        <v>24</v>
      </c>
      <c r="AU34" s="187">
        <v>3263.1448111128148</v>
      </c>
      <c r="AV34" s="184">
        <f t="shared" si="31"/>
        <v>135.96436712970061</v>
      </c>
      <c r="AW34" s="181">
        <f t="shared" si="32"/>
        <v>6</v>
      </c>
      <c r="AX34" s="612"/>
    </row>
    <row r="35" spans="2:50" ht="14.25" customHeight="1">
      <c r="B35" s="611"/>
      <c r="C35" s="179">
        <v>9</v>
      </c>
      <c r="D35" s="182" t="s">
        <v>752</v>
      </c>
      <c r="E35" s="179">
        <v>20</v>
      </c>
      <c r="F35" s="179">
        <v>3600</v>
      </c>
      <c r="G35" s="184">
        <f t="shared" si="17"/>
        <v>180</v>
      </c>
      <c r="H35" s="612"/>
      <c r="I35" s="185">
        <f t="shared" si="19"/>
        <v>20</v>
      </c>
      <c r="J35" s="185">
        <f t="shared" si="19"/>
        <v>3118.1563459605654</v>
      </c>
      <c r="K35" s="186">
        <f t="shared" si="19"/>
        <v>155.90781729802828</v>
      </c>
      <c r="L35" s="613"/>
      <c r="M35" s="185">
        <f>RANK(K35, K$27:$K$41)</f>
        <v>6</v>
      </c>
      <c r="N35" s="611"/>
      <c r="O35" s="611"/>
      <c r="P35" s="187">
        <v>20</v>
      </c>
      <c r="Q35" s="187">
        <v>2934</v>
      </c>
      <c r="R35" s="184">
        <f t="shared" si="20"/>
        <v>146.69999999999999</v>
      </c>
      <c r="S35" s="181">
        <f t="shared" si="21"/>
        <v>7</v>
      </c>
      <c r="T35" s="612"/>
      <c r="U35" s="187">
        <v>20</v>
      </c>
      <c r="V35" s="187">
        <v>2996.3491199999994</v>
      </c>
      <c r="W35" s="184">
        <f t="shared" si="18"/>
        <v>149.81745599999996</v>
      </c>
      <c r="X35" s="181">
        <f t="shared" si="22"/>
        <v>7</v>
      </c>
      <c r="Y35" s="612"/>
      <c r="Z35" s="187">
        <v>20</v>
      </c>
      <c r="AA35" s="187">
        <v>3058.1697715199994</v>
      </c>
      <c r="AB35" s="184">
        <f t="shared" si="23"/>
        <v>152.90848857599997</v>
      </c>
      <c r="AC35" s="181">
        <f t="shared" si="24"/>
        <v>7</v>
      </c>
      <c r="AD35" s="612"/>
      <c r="AE35" s="187">
        <v>20</v>
      </c>
      <c r="AF35" s="187">
        <v>3123.4940167219193</v>
      </c>
      <c r="AG35" s="184">
        <f t="shared" si="25"/>
        <v>156.17470083609595</v>
      </c>
      <c r="AH35" s="181">
        <f t="shared" si="26"/>
        <v>4</v>
      </c>
      <c r="AI35" s="612"/>
      <c r="AJ35" s="187">
        <v>20</v>
      </c>
      <c r="AK35" s="187">
        <v>3194.966099106523</v>
      </c>
      <c r="AL35" s="184">
        <f t="shared" si="27"/>
        <v>159.74830495532615</v>
      </c>
      <c r="AM35" s="181">
        <f t="shared" si="28"/>
        <v>4</v>
      </c>
      <c r="AN35" s="612"/>
      <c r="AO35" s="187">
        <v>20</v>
      </c>
      <c r="AP35" s="187">
        <v>3260.9577071877598</v>
      </c>
      <c r="AQ35" s="184">
        <f t="shared" si="29"/>
        <v>163.04788535938798</v>
      </c>
      <c r="AR35" s="181">
        <f t="shared" si="30"/>
        <v>4</v>
      </c>
      <c r="AS35" s="612"/>
      <c r="AT35" s="187">
        <v>20</v>
      </c>
      <c r="AU35" s="187">
        <v>3259.1577071877596</v>
      </c>
      <c r="AV35" s="184">
        <f t="shared" si="31"/>
        <v>162.95788535938797</v>
      </c>
      <c r="AW35" s="181">
        <f t="shared" si="32"/>
        <v>4</v>
      </c>
      <c r="AX35" s="612"/>
    </row>
    <row r="36" spans="2:50" ht="14.25" customHeight="1">
      <c r="B36" s="611"/>
      <c r="C36" s="179">
        <v>10</v>
      </c>
      <c r="D36" s="182"/>
      <c r="E36" s="179"/>
      <c r="F36" s="179"/>
      <c r="G36" s="184"/>
      <c r="H36" s="612"/>
      <c r="I36" s="185"/>
      <c r="J36" s="185"/>
      <c r="K36" s="186"/>
      <c r="L36" s="613"/>
      <c r="M36" s="185"/>
      <c r="N36" s="611"/>
      <c r="O36" s="611"/>
      <c r="P36" s="187"/>
      <c r="Q36" s="187"/>
      <c r="R36" s="184"/>
      <c r="S36" s="181"/>
      <c r="T36" s="612"/>
      <c r="U36" s="187"/>
      <c r="V36" s="187"/>
      <c r="W36" s="184"/>
      <c r="X36" s="181"/>
      <c r="Y36" s="612"/>
      <c r="Z36" s="187"/>
      <c r="AA36" s="187"/>
      <c r="AB36" s="184"/>
      <c r="AC36" s="181"/>
      <c r="AD36" s="612"/>
      <c r="AE36" s="187"/>
      <c r="AF36" s="187"/>
      <c r="AG36" s="184"/>
      <c r="AH36" s="181"/>
      <c r="AI36" s="612"/>
      <c r="AJ36" s="187"/>
      <c r="AK36" s="187"/>
      <c r="AL36" s="184"/>
      <c r="AM36" s="181"/>
      <c r="AN36" s="612"/>
      <c r="AO36" s="187"/>
      <c r="AP36" s="187"/>
      <c r="AQ36" s="184"/>
      <c r="AR36" s="181"/>
      <c r="AS36" s="612"/>
      <c r="AT36" s="187"/>
      <c r="AU36" s="187"/>
      <c r="AV36" s="184"/>
      <c r="AW36" s="181"/>
      <c r="AX36" s="612"/>
    </row>
    <row r="37" spans="2:50" ht="14.25" customHeight="1">
      <c r="B37" s="611"/>
      <c r="C37" s="179">
        <v>11</v>
      </c>
      <c r="D37" s="182"/>
      <c r="E37" s="179"/>
      <c r="F37" s="179"/>
      <c r="G37" s="184"/>
      <c r="H37" s="612"/>
      <c r="I37" s="185"/>
      <c r="J37" s="185"/>
      <c r="K37" s="186"/>
      <c r="L37" s="613"/>
      <c r="M37" s="185"/>
      <c r="N37" s="611"/>
      <c r="O37" s="611"/>
      <c r="P37" s="187"/>
      <c r="Q37" s="187"/>
      <c r="R37" s="184"/>
      <c r="S37" s="181"/>
      <c r="T37" s="612"/>
      <c r="U37" s="187"/>
      <c r="V37" s="187"/>
      <c r="W37" s="184"/>
      <c r="X37" s="181"/>
      <c r="Y37" s="612"/>
      <c r="Z37" s="187"/>
      <c r="AA37" s="187"/>
      <c r="AB37" s="184"/>
      <c r="AC37" s="181"/>
      <c r="AD37" s="612"/>
      <c r="AE37" s="187"/>
      <c r="AF37" s="187"/>
      <c r="AG37" s="184"/>
      <c r="AH37" s="181"/>
      <c r="AI37" s="612"/>
      <c r="AJ37" s="187"/>
      <c r="AK37" s="187"/>
      <c r="AL37" s="184"/>
      <c r="AM37" s="181"/>
      <c r="AN37" s="612"/>
      <c r="AO37" s="187"/>
      <c r="AP37" s="187"/>
      <c r="AQ37" s="184"/>
      <c r="AR37" s="181"/>
      <c r="AS37" s="612"/>
      <c r="AT37" s="187"/>
      <c r="AU37" s="187"/>
      <c r="AV37" s="184"/>
      <c r="AW37" s="181"/>
      <c r="AX37" s="612"/>
    </row>
    <row r="38" spans="2:50" ht="14.25" customHeight="1">
      <c r="B38" s="611"/>
      <c r="C38" s="179">
        <v>12</v>
      </c>
      <c r="D38" s="182"/>
      <c r="E38" s="179"/>
      <c r="F38" s="179"/>
      <c r="G38" s="184"/>
      <c r="H38" s="612"/>
      <c r="I38" s="185"/>
      <c r="J38" s="185"/>
      <c r="K38" s="186"/>
      <c r="L38" s="613"/>
      <c r="M38" s="185"/>
      <c r="N38" s="611"/>
      <c r="O38" s="611"/>
      <c r="P38" s="187"/>
      <c r="Q38" s="187"/>
      <c r="R38" s="184"/>
      <c r="S38" s="181"/>
      <c r="T38" s="612"/>
      <c r="U38" s="187"/>
      <c r="V38" s="187"/>
      <c r="W38" s="184"/>
      <c r="X38" s="181"/>
      <c r="Y38" s="612"/>
      <c r="Z38" s="187"/>
      <c r="AA38" s="187"/>
      <c r="AB38" s="184"/>
      <c r="AC38" s="181"/>
      <c r="AD38" s="612"/>
      <c r="AE38" s="187"/>
      <c r="AF38" s="187"/>
      <c r="AG38" s="184"/>
      <c r="AH38" s="181"/>
      <c r="AI38" s="612"/>
      <c r="AJ38" s="187"/>
      <c r="AK38" s="187"/>
      <c r="AL38" s="184"/>
      <c r="AM38" s="181"/>
      <c r="AN38" s="612"/>
      <c r="AO38" s="187"/>
      <c r="AP38" s="187"/>
      <c r="AQ38" s="184"/>
      <c r="AR38" s="181"/>
      <c r="AS38" s="612"/>
      <c r="AT38" s="187"/>
      <c r="AU38" s="187"/>
      <c r="AV38" s="184"/>
      <c r="AW38" s="181"/>
      <c r="AX38" s="612"/>
    </row>
    <row r="39" spans="2:50" ht="14.25" customHeight="1">
      <c r="B39" s="611"/>
      <c r="C39" s="179">
        <v>13</v>
      </c>
      <c r="D39" s="182"/>
      <c r="E39" s="179"/>
      <c r="F39" s="179"/>
      <c r="G39" s="184"/>
      <c r="H39" s="612"/>
      <c r="I39" s="185"/>
      <c r="J39" s="185"/>
      <c r="K39" s="186"/>
      <c r="L39" s="613"/>
      <c r="M39" s="185"/>
      <c r="N39" s="611"/>
      <c r="O39" s="611"/>
      <c r="P39" s="187"/>
      <c r="Q39" s="187"/>
      <c r="R39" s="184"/>
      <c r="S39" s="181"/>
      <c r="T39" s="612"/>
      <c r="U39" s="187"/>
      <c r="V39" s="187"/>
      <c r="W39" s="184"/>
      <c r="X39" s="181"/>
      <c r="Y39" s="612"/>
      <c r="Z39" s="187"/>
      <c r="AA39" s="187"/>
      <c r="AB39" s="184"/>
      <c r="AC39" s="181"/>
      <c r="AD39" s="612"/>
      <c r="AE39" s="187"/>
      <c r="AF39" s="187"/>
      <c r="AG39" s="184"/>
      <c r="AH39" s="181"/>
      <c r="AI39" s="612"/>
      <c r="AJ39" s="187"/>
      <c r="AK39" s="187"/>
      <c r="AL39" s="184"/>
      <c r="AM39" s="181"/>
      <c r="AN39" s="612"/>
      <c r="AO39" s="187"/>
      <c r="AP39" s="187"/>
      <c r="AQ39" s="184"/>
      <c r="AR39" s="181"/>
      <c r="AS39" s="612"/>
      <c r="AT39" s="187"/>
      <c r="AU39" s="187"/>
      <c r="AV39" s="184"/>
      <c r="AW39" s="181"/>
      <c r="AX39" s="612"/>
    </row>
    <row r="40" spans="2:50" ht="14.25" customHeight="1">
      <c r="B40" s="611"/>
      <c r="C40" s="179">
        <v>14</v>
      </c>
      <c r="D40" s="182"/>
      <c r="E40" s="179"/>
      <c r="F40" s="179"/>
      <c r="G40" s="184"/>
      <c r="H40" s="612"/>
      <c r="I40" s="185"/>
      <c r="J40" s="185"/>
      <c r="K40" s="186"/>
      <c r="L40" s="613"/>
      <c r="M40" s="185"/>
      <c r="N40" s="611"/>
      <c r="O40" s="611"/>
      <c r="P40" s="187"/>
      <c r="Q40" s="187"/>
      <c r="R40" s="184"/>
      <c r="S40" s="181"/>
      <c r="T40" s="612"/>
      <c r="U40" s="187"/>
      <c r="V40" s="187"/>
      <c r="W40" s="184"/>
      <c r="X40" s="181"/>
      <c r="Y40" s="612"/>
      <c r="Z40" s="187"/>
      <c r="AA40" s="187"/>
      <c r="AB40" s="184"/>
      <c r="AC40" s="181"/>
      <c r="AD40" s="612"/>
      <c r="AE40" s="187"/>
      <c r="AF40" s="187"/>
      <c r="AG40" s="184"/>
      <c r="AH40" s="181"/>
      <c r="AI40" s="612"/>
      <c r="AJ40" s="187"/>
      <c r="AK40" s="187"/>
      <c r="AL40" s="184"/>
      <c r="AM40" s="181"/>
      <c r="AN40" s="612"/>
      <c r="AO40" s="187"/>
      <c r="AP40" s="187"/>
      <c r="AQ40" s="184"/>
      <c r="AR40" s="181"/>
      <c r="AS40" s="612"/>
      <c r="AT40" s="187"/>
      <c r="AU40" s="187"/>
      <c r="AV40" s="184"/>
      <c r="AW40" s="181"/>
      <c r="AX40" s="612"/>
    </row>
    <row r="41" spans="2:50" ht="14.25" customHeight="1">
      <c r="B41" s="611"/>
      <c r="C41" s="179">
        <v>15</v>
      </c>
      <c r="D41" s="182"/>
      <c r="E41" s="179"/>
      <c r="F41" s="179"/>
      <c r="G41" s="184"/>
      <c r="H41" s="612"/>
      <c r="I41" s="185"/>
      <c r="J41" s="185"/>
      <c r="K41" s="186"/>
      <c r="L41" s="613"/>
      <c r="M41" s="185"/>
      <c r="N41" s="611"/>
      <c r="O41" s="611"/>
      <c r="P41" s="187"/>
      <c r="Q41" s="187"/>
      <c r="R41" s="184"/>
      <c r="S41" s="181"/>
      <c r="T41" s="612"/>
      <c r="U41" s="187"/>
      <c r="V41" s="187"/>
      <c r="W41" s="184"/>
      <c r="X41" s="181"/>
      <c r="Y41" s="612"/>
      <c r="Z41" s="187"/>
      <c r="AA41" s="187"/>
      <c r="AB41" s="184"/>
      <c r="AC41" s="181"/>
      <c r="AD41" s="612"/>
      <c r="AE41" s="187"/>
      <c r="AF41" s="187"/>
      <c r="AG41" s="184"/>
      <c r="AH41" s="181"/>
      <c r="AI41" s="612"/>
      <c r="AJ41" s="187"/>
      <c r="AK41" s="187"/>
      <c r="AL41" s="184"/>
      <c r="AM41" s="181"/>
      <c r="AN41" s="612"/>
      <c r="AO41" s="187"/>
      <c r="AP41" s="187"/>
      <c r="AQ41" s="184"/>
      <c r="AR41" s="181"/>
      <c r="AS41" s="612"/>
      <c r="AT41" s="187"/>
      <c r="AU41" s="187"/>
      <c r="AV41" s="184"/>
      <c r="AW41" s="181"/>
      <c r="AX41" s="612"/>
    </row>
    <row r="42" spans="2:50" ht="14.25" customHeight="1">
      <c r="B42" s="640" t="s">
        <v>800</v>
      </c>
      <c r="C42" s="641"/>
      <c r="D42" s="641"/>
      <c r="E42" s="641"/>
      <c r="F42" s="641"/>
      <c r="G42" s="641"/>
      <c r="H42" s="641"/>
      <c r="I42" s="641"/>
      <c r="J42" s="641"/>
      <c r="K42" s="641"/>
      <c r="L42" s="641"/>
      <c r="M42" s="642"/>
      <c r="N42" s="645" t="s">
        <v>363</v>
      </c>
      <c r="O42" s="645" t="s">
        <v>105</v>
      </c>
      <c r="P42" s="632">
        <v>46217</v>
      </c>
      <c r="Q42" s="633"/>
      <c r="R42" s="633"/>
      <c r="S42" s="633"/>
      <c r="T42" s="633"/>
      <c r="U42" s="634">
        <v>46218</v>
      </c>
      <c r="V42" s="635"/>
      <c r="W42" s="635"/>
      <c r="X42" s="635"/>
      <c r="Y42" s="635"/>
      <c r="Z42" s="632">
        <v>46219</v>
      </c>
      <c r="AA42" s="633"/>
      <c r="AB42" s="633"/>
      <c r="AC42" s="633"/>
      <c r="AD42" s="633"/>
      <c r="AE42" s="634">
        <v>46220</v>
      </c>
      <c r="AF42" s="635"/>
      <c r="AG42" s="635"/>
      <c r="AH42" s="635"/>
      <c r="AI42" s="635"/>
      <c r="AJ42" s="616">
        <v>46221</v>
      </c>
      <c r="AK42" s="617"/>
      <c r="AL42" s="617"/>
      <c r="AM42" s="617"/>
      <c r="AN42" s="618"/>
      <c r="AO42" s="634">
        <v>46222</v>
      </c>
      <c r="AP42" s="635"/>
      <c r="AQ42" s="635"/>
      <c r="AR42" s="635"/>
      <c r="AS42" s="635"/>
      <c r="AT42" s="616">
        <v>46223</v>
      </c>
      <c r="AU42" s="617"/>
      <c r="AV42" s="617"/>
      <c r="AW42" s="617"/>
      <c r="AX42" s="618"/>
    </row>
    <row r="43" spans="2:50" ht="14.25" customHeight="1"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4"/>
      <c r="N43" s="646"/>
      <c r="O43" s="646"/>
      <c r="P43" s="619">
        <v>46196</v>
      </c>
      <c r="Q43" s="619"/>
      <c r="R43" s="619"/>
      <c r="S43" s="619"/>
      <c r="T43" s="619"/>
      <c r="U43" s="620">
        <v>46197</v>
      </c>
      <c r="V43" s="620"/>
      <c r="W43" s="620"/>
      <c r="X43" s="620"/>
      <c r="Y43" s="620"/>
      <c r="Z43" s="619">
        <v>46198</v>
      </c>
      <c r="AA43" s="619"/>
      <c r="AB43" s="619"/>
      <c r="AC43" s="619"/>
      <c r="AD43" s="619"/>
      <c r="AE43" s="620">
        <v>46199</v>
      </c>
      <c r="AF43" s="620"/>
      <c r="AG43" s="620"/>
      <c r="AH43" s="620"/>
      <c r="AI43" s="620"/>
      <c r="AJ43" s="621">
        <v>46200</v>
      </c>
      <c r="AK43" s="622"/>
      <c r="AL43" s="622"/>
      <c r="AM43" s="622"/>
      <c r="AN43" s="623"/>
      <c r="AO43" s="620">
        <v>46201</v>
      </c>
      <c r="AP43" s="620"/>
      <c r="AQ43" s="620"/>
      <c r="AR43" s="620"/>
      <c r="AS43" s="620"/>
      <c r="AT43" s="621">
        <v>46202</v>
      </c>
      <c r="AU43" s="622"/>
      <c r="AV43" s="622"/>
      <c r="AW43" s="622"/>
      <c r="AX43" s="623"/>
    </row>
    <row r="44" spans="2:50" ht="14.25" customHeight="1">
      <c r="B44" s="611" t="s">
        <v>162</v>
      </c>
      <c r="C44" s="611" t="s">
        <v>157</v>
      </c>
      <c r="D44" s="611"/>
      <c r="E44" s="611" t="s">
        <v>158</v>
      </c>
      <c r="F44" s="611"/>
      <c r="G44" s="611"/>
      <c r="H44" s="611" t="s">
        <v>163</v>
      </c>
      <c r="I44" s="615" t="s">
        <v>364</v>
      </c>
      <c r="J44" s="615"/>
      <c r="K44" s="615"/>
      <c r="L44" s="615" t="s">
        <v>163</v>
      </c>
      <c r="M44" s="615" t="s">
        <v>165</v>
      </c>
      <c r="N44" s="611"/>
      <c r="O44" s="611" t="s">
        <v>164</v>
      </c>
      <c r="P44" s="611" t="s">
        <v>160</v>
      </c>
      <c r="Q44" s="611"/>
      <c r="R44" s="611"/>
      <c r="S44" s="611"/>
      <c r="T44" s="611" t="s">
        <v>163</v>
      </c>
      <c r="U44" s="611" t="s">
        <v>160</v>
      </c>
      <c r="V44" s="611"/>
      <c r="W44" s="611"/>
      <c r="X44" s="611"/>
      <c r="Y44" s="611" t="s">
        <v>163</v>
      </c>
      <c r="Z44" s="611" t="s">
        <v>160</v>
      </c>
      <c r="AA44" s="611"/>
      <c r="AB44" s="611"/>
      <c r="AC44" s="611"/>
      <c r="AD44" s="611" t="s">
        <v>163</v>
      </c>
      <c r="AE44" s="611" t="s">
        <v>160</v>
      </c>
      <c r="AF44" s="611"/>
      <c r="AG44" s="611"/>
      <c r="AH44" s="611"/>
      <c r="AI44" s="611" t="s">
        <v>163</v>
      </c>
      <c r="AJ44" s="611" t="s">
        <v>160</v>
      </c>
      <c r="AK44" s="611"/>
      <c r="AL44" s="611"/>
      <c r="AM44" s="611"/>
      <c r="AN44" s="611" t="s">
        <v>163</v>
      </c>
      <c r="AO44" s="611" t="s">
        <v>160</v>
      </c>
      <c r="AP44" s="611"/>
      <c r="AQ44" s="611"/>
      <c r="AR44" s="611"/>
      <c r="AS44" s="611" t="s">
        <v>163</v>
      </c>
      <c r="AT44" s="611" t="s">
        <v>160</v>
      </c>
      <c r="AU44" s="611"/>
      <c r="AV44" s="611"/>
      <c r="AW44" s="611"/>
      <c r="AX44" s="611" t="s">
        <v>163</v>
      </c>
    </row>
    <row r="45" spans="2:50" ht="14.25" customHeight="1">
      <c r="B45" s="611"/>
      <c r="C45" s="611"/>
      <c r="D45" s="611"/>
      <c r="E45" s="611" t="s">
        <v>365</v>
      </c>
      <c r="F45" s="611"/>
      <c r="G45" s="611"/>
      <c r="H45" s="611"/>
      <c r="I45" s="615" t="s">
        <v>365</v>
      </c>
      <c r="J45" s="615"/>
      <c r="K45" s="615"/>
      <c r="L45" s="615"/>
      <c r="M45" s="615"/>
      <c r="N45" s="611"/>
      <c r="O45" s="611"/>
      <c r="P45" s="611" t="s">
        <v>366</v>
      </c>
      <c r="Q45" s="611"/>
      <c r="R45" s="611"/>
      <c r="S45" s="611"/>
      <c r="T45" s="611"/>
      <c r="U45" s="611" t="s">
        <v>366</v>
      </c>
      <c r="V45" s="611"/>
      <c r="W45" s="611"/>
      <c r="X45" s="611"/>
      <c r="Y45" s="611"/>
      <c r="Z45" s="611" t="s">
        <v>366</v>
      </c>
      <c r="AA45" s="611"/>
      <c r="AB45" s="611"/>
      <c r="AC45" s="611"/>
      <c r="AD45" s="611"/>
      <c r="AE45" s="611" t="s">
        <v>366</v>
      </c>
      <c r="AF45" s="611"/>
      <c r="AG45" s="611"/>
      <c r="AH45" s="611"/>
      <c r="AI45" s="611"/>
      <c r="AJ45" s="611" t="s">
        <v>366</v>
      </c>
      <c r="AK45" s="611"/>
      <c r="AL45" s="611"/>
      <c r="AM45" s="611"/>
      <c r="AN45" s="611"/>
      <c r="AO45" s="611" t="s">
        <v>366</v>
      </c>
      <c r="AP45" s="611"/>
      <c r="AQ45" s="611"/>
      <c r="AR45" s="611"/>
      <c r="AS45" s="611"/>
      <c r="AT45" s="611" t="s">
        <v>366</v>
      </c>
      <c r="AU45" s="611"/>
      <c r="AV45" s="611"/>
      <c r="AW45" s="611"/>
      <c r="AX45" s="611"/>
    </row>
    <row r="46" spans="2:50" ht="14.25" customHeight="1">
      <c r="B46" s="611"/>
      <c r="C46" s="611"/>
      <c r="D46" s="611"/>
      <c r="E46" s="179" t="s">
        <v>159</v>
      </c>
      <c r="F46" s="179" t="s">
        <v>367</v>
      </c>
      <c r="G46" s="179" t="s">
        <v>161</v>
      </c>
      <c r="H46" s="611"/>
      <c r="I46" s="180" t="s">
        <v>159</v>
      </c>
      <c r="J46" s="180" t="s">
        <v>367</v>
      </c>
      <c r="K46" s="180" t="s">
        <v>161</v>
      </c>
      <c r="L46" s="615"/>
      <c r="M46" s="615"/>
      <c r="N46" s="611"/>
      <c r="O46" s="611"/>
      <c r="P46" s="179" t="s">
        <v>159</v>
      </c>
      <c r="Q46" s="179" t="s">
        <v>367</v>
      </c>
      <c r="R46" s="179" t="s">
        <v>161</v>
      </c>
      <c r="S46" s="181" t="s">
        <v>165</v>
      </c>
      <c r="T46" s="611"/>
      <c r="U46" s="179" t="s">
        <v>159</v>
      </c>
      <c r="V46" s="179" t="s">
        <v>367</v>
      </c>
      <c r="W46" s="179" t="s">
        <v>161</v>
      </c>
      <c r="X46" s="181" t="s">
        <v>165</v>
      </c>
      <c r="Y46" s="611"/>
      <c r="Z46" s="179" t="s">
        <v>159</v>
      </c>
      <c r="AA46" s="179" t="s">
        <v>367</v>
      </c>
      <c r="AB46" s="179" t="s">
        <v>161</v>
      </c>
      <c r="AC46" s="181" t="s">
        <v>165</v>
      </c>
      <c r="AD46" s="611"/>
      <c r="AE46" s="179" t="s">
        <v>159</v>
      </c>
      <c r="AF46" s="179" t="s">
        <v>367</v>
      </c>
      <c r="AG46" s="179" t="s">
        <v>161</v>
      </c>
      <c r="AH46" s="181" t="s">
        <v>165</v>
      </c>
      <c r="AI46" s="611"/>
      <c r="AJ46" s="179" t="s">
        <v>159</v>
      </c>
      <c r="AK46" s="179" t="s">
        <v>367</v>
      </c>
      <c r="AL46" s="179" t="s">
        <v>161</v>
      </c>
      <c r="AM46" s="181" t="s">
        <v>165</v>
      </c>
      <c r="AN46" s="611"/>
      <c r="AO46" s="179" t="s">
        <v>159</v>
      </c>
      <c r="AP46" s="179" t="s">
        <v>367</v>
      </c>
      <c r="AQ46" s="179" t="s">
        <v>161</v>
      </c>
      <c r="AR46" s="181" t="s">
        <v>165</v>
      </c>
      <c r="AS46" s="611"/>
      <c r="AT46" s="179" t="s">
        <v>159</v>
      </c>
      <c r="AU46" s="179" t="s">
        <v>367</v>
      </c>
      <c r="AV46" s="179" t="s">
        <v>161</v>
      </c>
      <c r="AW46" s="181" t="s">
        <v>165</v>
      </c>
      <c r="AX46" s="611"/>
    </row>
    <row r="47" spans="2:50" ht="14.25" customHeight="1">
      <c r="B47" s="611" t="s">
        <v>371</v>
      </c>
      <c r="C47" s="179">
        <v>1</v>
      </c>
      <c r="D47" s="182" t="s">
        <v>531</v>
      </c>
      <c r="E47" s="183">
        <v>20</v>
      </c>
      <c r="F47" s="179">
        <v>3600</v>
      </c>
      <c r="G47" s="184">
        <f t="shared" ref="G47:G53" si="33">IFERROR(F47/E47,"")</f>
        <v>180</v>
      </c>
      <c r="H47" s="612">
        <f>AVERAGE(G47:G61)</f>
        <v>172.91084854994628</v>
      </c>
      <c r="I47" s="185">
        <f>AVERAGE(P47,U47,Z47,AE47,AJ47,AO47,AT47)</f>
        <v>20</v>
      </c>
      <c r="J47" s="185">
        <f>AVERAGE(Q47,V47,AA47,AF47,AK47,AP47,AU47)</f>
        <v>3259.7336650019024</v>
      </c>
      <c r="K47" s="186">
        <f>AVERAGE(R47,W47,AB47,AG47,AL47,AQ47,AV47)</f>
        <v>162.98668325009513</v>
      </c>
      <c r="L47" s="613">
        <f>IFERROR(AVERAGE(K47:K61),"-")</f>
        <v>155.59252941356741</v>
      </c>
      <c r="M47" s="185">
        <f>RANK(K47, K$47:$K$61)</f>
        <v>3</v>
      </c>
      <c r="N47" s="611"/>
      <c r="O47" s="611"/>
      <c r="P47" s="187">
        <v>20</v>
      </c>
      <c r="Q47" s="187">
        <v>3261.2765221447598</v>
      </c>
      <c r="R47" s="184">
        <f>IFERROR(Q47/P47,"")</f>
        <v>163.06382610723799</v>
      </c>
      <c r="S47" s="181">
        <f>RANK(R47, R$47:R$61)</f>
        <v>3</v>
      </c>
      <c r="T47" s="612">
        <f>AVERAGE(R47:R61)</f>
        <v>155.58017121515289</v>
      </c>
      <c r="U47" s="187">
        <v>20</v>
      </c>
      <c r="V47" s="187">
        <v>3260.1965221447599</v>
      </c>
      <c r="W47" s="184">
        <f t="shared" ref="W47:W53" si="34">IFERROR(V47/U47,"")</f>
        <v>163.00982610723798</v>
      </c>
      <c r="X47" s="181">
        <f>RANK(W47, W$47:W$61)</f>
        <v>3</v>
      </c>
      <c r="Y47" s="612">
        <f>AVERAGE(W47:W61)</f>
        <v>155.53655359968565</v>
      </c>
      <c r="Z47" s="187">
        <v>20</v>
      </c>
      <c r="AA47" s="187">
        <v>3259.8365221447598</v>
      </c>
      <c r="AB47" s="184">
        <f>IFERROR(AA47/Z47,"")</f>
        <v>162.99182610723798</v>
      </c>
      <c r="AC47" s="181">
        <f>RANK(AB47, AB$47:AB$61)</f>
        <v>3</v>
      </c>
      <c r="AD47" s="612">
        <f>AVERAGE(AB47:AB61)</f>
        <v>155.58451809507838</v>
      </c>
      <c r="AE47" s="187">
        <v>20</v>
      </c>
      <c r="AF47" s="187">
        <v>3260.9165221447602</v>
      </c>
      <c r="AG47" s="184">
        <f>IFERROR(AF47/AE47,"")</f>
        <v>163.04582610723801</v>
      </c>
      <c r="AH47" s="181">
        <f>RANK(AG47, AG$47:AG$61)</f>
        <v>3</v>
      </c>
      <c r="AI47" s="612">
        <f>AVERAGE(AG47:AG61)</f>
        <v>155.59911208004078</v>
      </c>
      <c r="AJ47" s="187">
        <v>20</v>
      </c>
      <c r="AK47" s="187">
        <v>3260.1965221447599</v>
      </c>
      <c r="AL47" s="184">
        <f>IFERROR(AK47/AJ47,"")</f>
        <v>163.00982610723798</v>
      </c>
      <c r="AM47" s="181">
        <f>RANK(AL47, AL$47:AL$61)</f>
        <v>3</v>
      </c>
      <c r="AN47" s="612">
        <f>AVERAGE(AL47:AL61)</f>
        <v>155.62317676067602</v>
      </c>
      <c r="AO47" s="187">
        <v>20</v>
      </c>
      <c r="AP47" s="187">
        <v>3258.7565221447594</v>
      </c>
      <c r="AQ47" s="184">
        <f>IFERROR(AP47/AO47,"")</f>
        <v>162.93782610723798</v>
      </c>
      <c r="AR47" s="181">
        <f>RANK(AQ47, AQ$47:AQ$61)</f>
        <v>3</v>
      </c>
      <c r="AS47" s="612">
        <f>AVERAGE(AQ47:AQ61)</f>
        <v>155.61706397872109</v>
      </c>
      <c r="AT47" s="187">
        <v>20</v>
      </c>
      <c r="AU47" s="187">
        <v>3256.9565221447597</v>
      </c>
      <c r="AV47" s="184">
        <f>IFERROR(AU47/AT47,"")</f>
        <v>162.84782610723798</v>
      </c>
      <c r="AW47" s="181">
        <f>RANK(AV47, AV$47:AV$61)</f>
        <v>4</v>
      </c>
      <c r="AX47" s="612">
        <f>AVERAGE(AV47:AV61)</f>
        <v>155.60711016561689</v>
      </c>
    </row>
    <row r="48" spans="2:50" ht="14.25" customHeight="1">
      <c r="B48" s="611"/>
      <c r="C48" s="179">
        <v>2</v>
      </c>
      <c r="D48" s="182" t="s">
        <v>532</v>
      </c>
      <c r="E48" s="179">
        <v>21</v>
      </c>
      <c r="F48" s="179">
        <v>3600</v>
      </c>
      <c r="G48" s="184">
        <f t="shared" si="33"/>
        <v>171.42857142857142</v>
      </c>
      <c r="H48" s="612"/>
      <c r="I48" s="185">
        <f t="shared" ref="I48:K53" si="35">AVERAGE(P48,U48,Z48,AE48,AJ48,AO48,AT48)</f>
        <v>21</v>
      </c>
      <c r="J48" s="185">
        <f t="shared" si="35"/>
        <v>3262.0777962160751</v>
      </c>
      <c r="K48" s="186">
        <f t="shared" si="35"/>
        <v>155.33703791505118</v>
      </c>
      <c r="L48" s="613"/>
      <c r="M48" s="185">
        <f>RANK(K48, K$47:$K$61)</f>
        <v>5</v>
      </c>
      <c r="N48" s="611"/>
      <c r="O48" s="611"/>
      <c r="P48" s="187">
        <v>21</v>
      </c>
      <c r="Q48" s="187">
        <v>3262.6949390732175</v>
      </c>
      <c r="R48" s="184">
        <f t="shared" ref="R48:R53" si="36">IFERROR(Q48/P48,"")</f>
        <v>155.36642567015321</v>
      </c>
      <c r="S48" s="181">
        <f t="shared" ref="S48:S53" si="37">RANK(R48, R$47:R$61)</f>
        <v>5</v>
      </c>
      <c r="T48" s="612"/>
      <c r="U48" s="187">
        <v>21</v>
      </c>
      <c r="V48" s="187">
        <v>3261.6149390732176</v>
      </c>
      <c r="W48" s="184">
        <f t="shared" si="34"/>
        <v>155.31499709872463</v>
      </c>
      <c r="X48" s="181">
        <f t="shared" ref="X48:X53" si="38">RANK(W48, W$47:W$61)</f>
        <v>5</v>
      </c>
      <c r="Y48" s="612"/>
      <c r="Z48" s="187">
        <v>21</v>
      </c>
      <c r="AA48" s="187">
        <v>3262.3349390732174</v>
      </c>
      <c r="AB48" s="184">
        <f t="shared" ref="AB48:AB53" si="39">IFERROR(AA48/Z48,"")</f>
        <v>155.34928281301035</v>
      </c>
      <c r="AC48" s="181">
        <f t="shared" ref="AC48:AC53" si="40">RANK(AB48, AB$47:AB$61)</f>
        <v>5</v>
      </c>
      <c r="AD48" s="612"/>
      <c r="AE48" s="187">
        <v>21</v>
      </c>
      <c r="AF48" s="187">
        <v>3262.3349390732174</v>
      </c>
      <c r="AG48" s="184">
        <f t="shared" ref="AG48:AG53" si="41">IFERROR(AF48/AE48,"")</f>
        <v>155.34928281301035</v>
      </c>
      <c r="AH48" s="181">
        <f t="shared" ref="AH48:AH53" si="42">RANK(AG48, AG$47:AG$61)</f>
        <v>5</v>
      </c>
      <c r="AI48" s="612"/>
      <c r="AJ48" s="187">
        <v>21</v>
      </c>
      <c r="AK48" s="187">
        <v>3262.3349390732174</v>
      </c>
      <c r="AL48" s="184">
        <f t="shared" ref="AL48:AL53" si="43">IFERROR(AK48/AJ48,"")</f>
        <v>155.34928281301035</v>
      </c>
      <c r="AM48" s="181">
        <f t="shared" ref="AM48:AM53" si="44">RANK(AL48, AL$47:AL$61)</f>
        <v>5</v>
      </c>
      <c r="AN48" s="612"/>
      <c r="AO48" s="187">
        <v>21</v>
      </c>
      <c r="AP48" s="187">
        <v>3262.3349390732183</v>
      </c>
      <c r="AQ48" s="184">
        <f t="shared" ref="AQ48:AQ53" si="45">IFERROR(AP48/AO48,"")</f>
        <v>155.3492828130104</v>
      </c>
      <c r="AR48" s="181">
        <f t="shared" ref="AR48:AR53" si="46">RANK(AQ48, AQ$47:AQ$61)</f>
        <v>5</v>
      </c>
      <c r="AS48" s="612"/>
      <c r="AT48" s="187">
        <v>21</v>
      </c>
      <c r="AU48" s="187">
        <v>3260.8949390732187</v>
      </c>
      <c r="AV48" s="184">
        <f t="shared" ref="AV48:AV53" si="47">IFERROR(AU48/AT48,"")</f>
        <v>155.28071138443897</v>
      </c>
      <c r="AW48" s="181">
        <f t="shared" ref="AW48:AW53" si="48">RANK(AV48, AV$47:AV$61)</f>
        <v>5</v>
      </c>
      <c r="AX48" s="612"/>
    </row>
    <row r="49" spans="2:50" ht="14.25" customHeight="1">
      <c r="B49" s="611"/>
      <c r="C49" s="179">
        <v>3</v>
      </c>
      <c r="D49" s="182" t="s">
        <v>614</v>
      </c>
      <c r="E49" s="179">
        <v>19</v>
      </c>
      <c r="F49" s="179">
        <v>3600</v>
      </c>
      <c r="G49" s="184">
        <f t="shared" si="33"/>
        <v>189.47368421052633</v>
      </c>
      <c r="H49" s="612"/>
      <c r="I49" s="185">
        <f t="shared" si="35"/>
        <v>19</v>
      </c>
      <c r="J49" s="185">
        <f t="shared" si="35"/>
        <v>3191.8521555976813</v>
      </c>
      <c r="K49" s="186">
        <f t="shared" si="35"/>
        <v>167.99221871566743</v>
      </c>
      <c r="L49" s="613"/>
      <c r="M49" s="185">
        <f>RANK(K49, K$47:$K$61)</f>
        <v>2</v>
      </c>
      <c r="N49" s="611"/>
      <c r="O49" s="611"/>
      <c r="P49" s="187">
        <v>19</v>
      </c>
      <c r="Q49" s="187">
        <v>3192.4900402300441</v>
      </c>
      <c r="R49" s="184">
        <f t="shared" si="36"/>
        <v>168.02579159105494</v>
      </c>
      <c r="S49" s="181">
        <f t="shared" si="37"/>
        <v>2</v>
      </c>
      <c r="T49" s="612"/>
      <c r="U49" s="187">
        <v>19</v>
      </c>
      <c r="V49" s="187">
        <v>3191.0500402300436</v>
      </c>
      <c r="W49" s="184">
        <f t="shared" si="34"/>
        <v>167.9500021173707</v>
      </c>
      <c r="X49" s="181">
        <f t="shared" si="38"/>
        <v>2</v>
      </c>
      <c r="Y49" s="612"/>
      <c r="Z49" s="187">
        <v>19</v>
      </c>
      <c r="AA49" s="187">
        <v>3190.3300402300433</v>
      </c>
      <c r="AB49" s="184">
        <f t="shared" si="39"/>
        <v>167.9121073805286</v>
      </c>
      <c r="AC49" s="181">
        <f t="shared" si="40"/>
        <v>2</v>
      </c>
      <c r="AD49" s="612"/>
      <c r="AE49" s="187">
        <v>19</v>
      </c>
      <c r="AF49" s="187">
        <v>3188.8900402300437</v>
      </c>
      <c r="AG49" s="184">
        <f t="shared" si="41"/>
        <v>167.83631790684441</v>
      </c>
      <c r="AH49" s="181">
        <f t="shared" si="42"/>
        <v>2</v>
      </c>
      <c r="AI49" s="612"/>
      <c r="AJ49" s="187">
        <v>19</v>
      </c>
      <c r="AK49" s="187">
        <v>3192.6816427545327</v>
      </c>
      <c r="AL49" s="184">
        <f t="shared" si="43"/>
        <v>168.03587593444908</v>
      </c>
      <c r="AM49" s="181">
        <f t="shared" si="44"/>
        <v>2</v>
      </c>
      <c r="AN49" s="612"/>
      <c r="AO49" s="187">
        <v>19</v>
      </c>
      <c r="AP49" s="187">
        <v>3193.0416427545319</v>
      </c>
      <c r="AQ49" s="184">
        <f t="shared" si="45"/>
        <v>168.05482330287009</v>
      </c>
      <c r="AR49" s="181">
        <f t="shared" si="46"/>
        <v>1</v>
      </c>
      <c r="AS49" s="612"/>
      <c r="AT49" s="187">
        <v>19</v>
      </c>
      <c r="AU49" s="187">
        <v>3194.4816427545306</v>
      </c>
      <c r="AV49" s="184">
        <f t="shared" si="47"/>
        <v>168.13061277655424</v>
      </c>
      <c r="AW49" s="181">
        <f t="shared" si="48"/>
        <v>1</v>
      </c>
      <c r="AX49" s="612"/>
    </row>
    <row r="50" spans="2:50" ht="14.25" customHeight="1">
      <c r="B50" s="611"/>
      <c r="C50" s="179">
        <v>4</v>
      </c>
      <c r="D50" s="182" t="s">
        <v>597</v>
      </c>
      <c r="E50" s="179">
        <v>24</v>
      </c>
      <c r="F50" s="179">
        <v>3600</v>
      </c>
      <c r="G50" s="184">
        <f t="shared" si="33"/>
        <v>150</v>
      </c>
      <c r="H50" s="612"/>
      <c r="I50" s="185">
        <f t="shared" si="35"/>
        <v>24</v>
      </c>
      <c r="J50" s="185">
        <f t="shared" si="35"/>
        <v>3261.4234651247284</v>
      </c>
      <c r="K50" s="186">
        <f t="shared" si="35"/>
        <v>135.89264438019703</v>
      </c>
      <c r="L50" s="613"/>
      <c r="M50" s="185">
        <f>RANK(K50, K$47:$K$61)</f>
        <v>7</v>
      </c>
      <c r="N50" s="611"/>
      <c r="O50" s="611"/>
      <c r="P50" s="187">
        <v>24</v>
      </c>
      <c r="Q50" s="187">
        <v>3255.1808943134815</v>
      </c>
      <c r="R50" s="184">
        <f t="shared" si="36"/>
        <v>135.63253726306172</v>
      </c>
      <c r="S50" s="181">
        <f t="shared" si="37"/>
        <v>7</v>
      </c>
      <c r="T50" s="612"/>
      <c r="U50" s="187">
        <v>24</v>
      </c>
      <c r="V50" s="187">
        <v>3253.7408943134815</v>
      </c>
      <c r="W50" s="184">
        <f t="shared" si="34"/>
        <v>135.57253726306172</v>
      </c>
      <c r="X50" s="181">
        <f t="shared" si="38"/>
        <v>7</v>
      </c>
      <c r="Y50" s="612"/>
      <c r="Z50" s="187">
        <v>24</v>
      </c>
      <c r="AA50" s="187">
        <v>3263.1284934492282</v>
      </c>
      <c r="AB50" s="184">
        <f t="shared" si="39"/>
        <v>135.96368722705117</v>
      </c>
      <c r="AC50" s="181">
        <f t="shared" si="40"/>
        <v>7</v>
      </c>
      <c r="AD50" s="612"/>
      <c r="AE50" s="187">
        <v>24</v>
      </c>
      <c r="AF50" s="187">
        <v>3264.2084934492277</v>
      </c>
      <c r="AG50" s="184">
        <f t="shared" si="41"/>
        <v>136.00868722705115</v>
      </c>
      <c r="AH50" s="181">
        <f t="shared" si="42"/>
        <v>7</v>
      </c>
      <c r="AI50" s="612"/>
      <c r="AJ50" s="187">
        <v>24</v>
      </c>
      <c r="AK50" s="187">
        <v>3263.4884934492279</v>
      </c>
      <c r="AL50" s="184">
        <f t="shared" si="43"/>
        <v>135.97868722705115</v>
      </c>
      <c r="AM50" s="181">
        <f t="shared" si="44"/>
        <v>7</v>
      </c>
      <c r="AN50" s="612"/>
      <c r="AO50" s="187">
        <v>24</v>
      </c>
      <c r="AP50" s="187">
        <v>3264.5684934492274</v>
      </c>
      <c r="AQ50" s="184">
        <f t="shared" si="45"/>
        <v>136.02368722705114</v>
      </c>
      <c r="AR50" s="181">
        <f t="shared" si="46"/>
        <v>7</v>
      </c>
      <c r="AS50" s="612"/>
      <c r="AT50" s="187">
        <v>24</v>
      </c>
      <c r="AU50" s="187">
        <v>3265.6484934492273</v>
      </c>
      <c r="AV50" s="184">
        <f t="shared" si="47"/>
        <v>136.06868722705113</v>
      </c>
      <c r="AW50" s="181">
        <f t="shared" si="48"/>
        <v>7</v>
      </c>
      <c r="AX50" s="612"/>
    </row>
    <row r="51" spans="2:50" ht="14.25" customHeight="1">
      <c r="B51" s="611"/>
      <c r="C51" s="179">
        <v>5</v>
      </c>
      <c r="D51" s="182" t="s">
        <v>533</v>
      </c>
      <c r="E51" s="179">
        <v>19</v>
      </c>
      <c r="F51" s="179">
        <v>3600</v>
      </c>
      <c r="G51" s="184">
        <f t="shared" si="33"/>
        <v>189.47368421052633</v>
      </c>
      <c r="H51" s="612"/>
      <c r="I51" s="185">
        <f t="shared" si="35"/>
        <v>19</v>
      </c>
      <c r="J51" s="185">
        <f t="shared" si="35"/>
        <v>3192.0436566097187</v>
      </c>
      <c r="K51" s="186">
        <f t="shared" si="35"/>
        <v>168.00229771630097</v>
      </c>
      <c r="L51" s="613"/>
      <c r="M51" s="185">
        <f>RANK(K51, K$47:$K$61)</f>
        <v>1</v>
      </c>
      <c r="N51" s="611"/>
      <c r="O51" s="611"/>
      <c r="P51" s="187">
        <v>19</v>
      </c>
      <c r="Q51" s="187">
        <v>3192.5579423240038</v>
      </c>
      <c r="R51" s="184">
        <f t="shared" si="36"/>
        <v>168.02936538547388</v>
      </c>
      <c r="S51" s="181">
        <f t="shared" si="37"/>
        <v>1</v>
      </c>
      <c r="T51" s="612"/>
      <c r="U51" s="187">
        <v>19</v>
      </c>
      <c r="V51" s="187">
        <v>3193.2779423240036</v>
      </c>
      <c r="W51" s="184">
        <f t="shared" si="34"/>
        <v>168.06726012231599</v>
      </c>
      <c r="X51" s="181">
        <f t="shared" si="38"/>
        <v>1</v>
      </c>
      <c r="Y51" s="612"/>
      <c r="Z51" s="187">
        <v>19</v>
      </c>
      <c r="AA51" s="187">
        <v>3191.837942324004</v>
      </c>
      <c r="AB51" s="184">
        <f t="shared" si="39"/>
        <v>167.99147064863178</v>
      </c>
      <c r="AC51" s="181">
        <f t="shared" si="40"/>
        <v>1</v>
      </c>
      <c r="AD51" s="612"/>
      <c r="AE51" s="187">
        <v>19</v>
      </c>
      <c r="AF51" s="187">
        <v>3192.1979423240041</v>
      </c>
      <c r="AG51" s="184">
        <f t="shared" si="41"/>
        <v>168.01041801705284</v>
      </c>
      <c r="AH51" s="181">
        <f t="shared" si="42"/>
        <v>1</v>
      </c>
      <c r="AI51" s="612"/>
      <c r="AJ51" s="187">
        <v>19</v>
      </c>
      <c r="AK51" s="187">
        <v>3192.9179423240043</v>
      </c>
      <c r="AL51" s="184">
        <f t="shared" si="43"/>
        <v>168.04831275389498</v>
      </c>
      <c r="AM51" s="181">
        <f t="shared" si="44"/>
        <v>1</v>
      </c>
      <c r="AN51" s="612"/>
      <c r="AO51" s="187">
        <v>19</v>
      </c>
      <c r="AP51" s="187">
        <v>3191.1179423240042</v>
      </c>
      <c r="AQ51" s="184">
        <f t="shared" si="45"/>
        <v>167.9535759117897</v>
      </c>
      <c r="AR51" s="181">
        <f t="shared" si="46"/>
        <v>2</v>
      </c>
      <c r="AS51" s="612"/>
      <c r="AT51" s="187">
        <v>19</v>
      </c>
      <c r="AU51" s="187">
        <v>3190.3979423240039</v>
      </c>
      <c r="AV51" s="184">
        <f t="shared" si="47"/>
        <v>167.91568117494757</v>
      </c>
      <c r="AW51" s="181">
        <f t="shared" si="48"/>
        <v>2</v>
      </c>
      <c r="AX51" s="612"/>
    </row>
    <row r="52" spans="2:50" ht="14.25" customHeight="1">
      <c r="B52" s="611"/>
      <c r="C52" s="179">
        <v>6</v>
      </c>
      <c r="D52" s="182" t="s">
        <v>630</v>
      </c>
      <c r="E52" s="179">
        <v>24</v>
      </c>
      <c r="F52" s="179">
        <v>3600</v>
      </c>
      <c r="G52" s="184">
        <f t="shared" si="33"/>
        <v>150</v>
      </c>
      <c r="H52" s="612"/>
      <c r="I52" s="185">
        <f t="shared" si="35"/>
        <v>24</v>
      </c>
      <c r="J52" s="185">
        <f t="shared" si="35"/>
        <v>3266.0248111128135</v>
      </c>
      <c r="K52" s="186">
        <f t="shared" si="35"/>
        <v>136.08436712970055</v>
      </c>
      <c r="L52" s="613"/>
      <c r="M52" s="185">
        <f>RANK(K52, K$47:$K$61)</f>
        <v>6</v>
      </c>
      <c r="N52" s="611"/>
      <c r="O52" s="611"/>
      <c r="P52" s="187">
        <v>24</v>
      </c>
      <c r="Q52" s="187">
        <v>3264.9448111128136</v>
      </c>
      <c r="R52" s="184">
        <f t="shared" si="36"/>
        <v>136.03936712970057</v>
      </c>
      <c r="S52" s="181">
        <f t="shared" si="37"/>
        <v>6</v>
      </c>
      <c r="T52" s="612"/>
      <c r="U52" s="187">
        <v>24</v>
      </c>
      <c r="V52" s="187">
        <v>3264.2248111128138</v>
      </c>
      <c r="W52" s="184">
        <f t="shared" si="34"/>
        <v>136.00936712970056</v>
      </c>
      <c r="X52" s="181">
        <f t="shared" si="38"/>
        <v>6</v>
      </c>
      <c r="Y52" s="612"/>
      <c r="Z52" s="187">
        <v>24</v>
      </c>
      <c r="AA52" s="187">
        <v>3265.6648111128134</v>
      </c>
      <c r="AB52" s="184">
        <f t="shared" si="39"/>
        <v>136.06936712970057</v>
      </c>
      <c r="AC52" s="181">
        <f t="shared" si="40"/>
        <v>6</v>
      </c>
      <c r="AD52" s="612"/>
      <c r="AE52" s="187">
        <v>24</v>
      </c>
      <c r="AF52" s="187">
        <v>3267.1048111128134</v>
      </c>
      <c r="AG52" s="184">
        <f t="shared" si="41"/>
        <v>136.12936712970057</v>
      </c>
      <c r="AH52" s="181">
        <f t="shared" si="42"/>
        <v>6</v>
      </c>
      <c r="AI52" s="612"/>
      <c r="AJ52" s="187">
        <v>24</v>
      </c>
      <c r="AK52" s="187">
        <v>3267.464811112814</v>
      </c>
      <c r="AL52" s="184">
        <f t="shared" si="43"/>
        <v>136.14436712970058</v>
      </c>
      <c r="AM52" s="181">
        <f t="shared" si="44"/>
        <v>6</v>
      </c>
      <c r="AN52" s="612"/>
      <c r="AO52" s="187">
        <v>24</v>
      </c>
      <c r="AP52" s="187">
        <v>3266.7448111128137</v>
      </c>
      <c r="AQ52" s="184">
        <f t="shared" si="45"/>
        <v>136.11436712970058</v>
      </c>
      <c r="AR52" s="181">
        <f t="shared" si="46"/>
        <v>6</v>
      </c>
      <c r="AS52" s="612"/>
      <c r="AT52" s="187">
        <v>24</v>
      </c>
      <c r="AU52" s="187">
        <v>3266.0248111128139</v>
      </c>
      <c r="AV52" s="184">
        <f t="shared" si="47"/>
        <v>136.08436712970058</v>
      </c>
      <c r="AW52" s="181">
        <f t="shared" si="48"/>
        <v>6</v>
      </c>
      <c r="AX52" s="612"/>
    </row>
    <row r="53" spans="2:50" ht="14.25" customHeight="1">
      <c r="B53" s="611"/>
      <c r="C53" s="179">
        <v>7</v>
      </c>
      <c r="D53" s="182" t="s">
        <v>752</v>
      </c>
      <c r="E53" s="179">
        <v>20</v>
      </c>
      <c r="F53" s="179">
        <v>3600</v>
      </c>
      <c r="G53" s="184">
        <f t="shared" si="33"/>
        <v>180</v>
      </c>
      <c r="H53" s="612"/>
      <c r="I53" s="185">
        <f t="shared" si="35"/>
        <v>20</v>
      </c>
      <c r="J53" s="185">
        <f t="shared" si="35"/>
        <v>3257.0491357591882</v>
      </c>
      <c r="K53" s="186">
        <f t="shared" si="35"/>
        <v>162.8524567879594</v>
      </c>
      <c r="L53" s="613"/>
      <c r="M53" s="185">
        <f>RANK(K53, K$47:$K$61)</f>
        <v>4</v>
      </c>
      <c r="N53" s="611"/>
      <c r="O53" s="611"/>
      <c r="P53" s="187">
        <v>20</v>
      </c>
      <c r="Q53" s="187">
        <v>3258.0777071877592</v>
      </c>
      <c r="R53" s="184">
        <f t="shared" si="36"/>
        <v>162.90388535938797</v>
      </c>
      <c r="S53" s="181">
        <f t="shared" si="37"/>
        <v>4</v>
      </c>
      <c r="T53" s="612"/>
      <c r="U53" s="187">
        <v>20</v>
      </c>
      <c r="V53" s="187">
        <v>3256.63770718776</v>
      </c>
      <c r="W53" s="184">
        <f t="shared" si="34"/>
        <v>162.831885359388</v>
      </c>
      <c r="X53" s="181">
        <f t="shared" si="38"/>
        <v>4</v>
      </c>
      <c r="Y53" s="612"/>
      <c r="Z53" s="187">
        <v>20</v>
      </c>
      <c r="AA53" s="187">
        <v>3256.2777071877599</v>
      </c>
      <c r="AB53" s="184">
        <f t="shared" si="39"/>
        <v>162.813885359388</v>
      </c>
      <c r="AC53" s="181">
        <f t="shared" si="40"/>
        <v>4</v>
      </c>
      <c r="AD53" s="612"/>
      <c r="AE53" s="187">
        <v>20</v>
      </c>
      <c r="AF53" s="187">
        <v>3256.2777071877599</v>
      </c>
      <c r="AG53" s="184">
        <f t="shared" si="41"/>
        <v>162.813885359388</v>
      </c>
      <c r="AH53" s="181">
        <f t="shared" si="42"/>
        <v>4</v>
      </c>
      <c r="AI53" s="612"/>
      <c r="AJ53" s="187">
        <v>20</v>
      </c>
      <c r="AK53" s="187">
        <v>3255.9177071877598</v>
      </c>
      <c r="AL53" s="184">
        <f t="shared" si="43"/>
        <v>162.795885359388</v>
      </c>
      <c r="AM53" s="181">
        <f t="shared" si="44"/>
        <v>4</v>
      </c>
      <c r="AN53" s="612"/>
      <c r="AO53" s="187">
        <v>20</v>
      </c>
      <c r="AP53" s="187">
        <v>3257.7177071877595</v>
      </c>
      <c r="AQ53" s="184">
        <f t="shared" si="45"/>
        <v>162.88588535938797</v>
      </c>
      <c r="AR53" s="181">
        <f t="shared" si="46"/>
        <v>4</v>
      </c>
      <c r="AS53" s="612"/>
      <c r="AT53" s="187">
        <v>20</v>
      </c>
      <c r="AU53" s="187">
        <v>3258.4377071877589</v>
      </c>
      <c r="AV53" s="184">
        <f t="shared" si="47"/>
        <v>162.92188535938794</v>
      </c>
      <c r="AW53" s="181">
        <f t="shared" si="48"/>
        <v>3</v>
      </c>
      <c r="AX53" s="612"/>
    </row>
    <row r="54" spans="2:50" ht="14.25" customHeight="1">
      <c r="B54" s="611"/>
      <c r="C54" s="179">
        <v>8</v>
      </c>
      <c r="D54" s="182"/>
      <c r="E54" s="179"/>
      <c r="F54" s="179"/>
      <c r="G54" s="184"/>
      <c r="H54" s="612"/>
      <c r="I54" s="185"/>
      <c r="J54" s="185"/>
      <c r="K54" s="186"/>
      <c r="L54" s="613"/>
      <c r="M54" s="185"/>
      <c r="N54" s="611"/>
      <c r="O54" s="611"/>
      <c r="P54" s="187"/>
      <c r="Q54" s="187"/>
      <c r="R54" s="184"/>
      <c r="S54" s="181"/>
      <c r="T54" s="612"/>
      <c r="U54" s="187"/>
      <c r="V54" s="187"/>
      <c r="W54" s="184"/>
      <c r="X54" s="181"/>
      <c r="Y54" s="612"/>
      <c r="Z54" s="187"/>
      <c r="AA54" s="187"/>
      <c r="AB54" s="184"/>
      <c r="AC54" s="181"/>
      <c r="AD54" s="612"/>
      <c r="AE54" s="187"/>
      <c r="AF54" s="187"/>
      <c r="AG54" s="184"/>
      <c r="AH54" s="181"/>
      <c r="AI54" s="612"/>
      <c r="AJ54" s="187"/>
      <c r="AK54" s="187"/>
      <c r="AL54" s="184"/>
      <c r="AM54" s="181"/>
      <c r="AN54" s="612"/>
      <c r="AO54" s="187"/>
      <c r="AP54" s="187"/>
      <c r="AQ54" s="184"/>
      <c r="AR54" s="181"/>
      <c r="AS54" s="612"/>
      <c r="AT54" s="187"/>
      <c r="AU54" s="187"/>
      <c r="AV54" s="184"/>
      <c r="AW54" s="181"/>
      <c r="AX54" s="612"/>
    </row>
    <row r="55" spans="2:50" ht="14.25" customHeight="1">
      <c r="B55" s="611"/>
      <c r="C55" s="179">
        <v>9</v>
      </c>
      <c r="D55" s="182"/>
      <c r="E55" s="179"/>
      <c r="F55" s="179"/>
      <c r="G55" s="184"/>
      <c r="H55" s="612"/>
      <c r="I55" s="185"/>
      <c r="J55" s="185"/>
      <c r="K55" s="186"/>
      <c r="L55" s="613"/>
      <c r="M55" s="185"/>
      <c r="N55" s="611"/>
      <c r="O55" s="611"/>
      <c r="P55" s="187"/>
      <c r="Q55" s="187"/>
      <c r="R55" s="184"/>
      <c r="S55" s="181"/>
      <c r="T55" s="612"/>
      <c r="U55" s="187"/>
      <c r="V55" s="187"/>
      <c r="W55" s="184"/>
      <c r="X55" s="181"/>
      <c r="Y55" s="612"/>
      <c r="Z55" s="187"/>
      <c r="AA55" s="187"/>
      <c r="AB55" s="184"/>
      <c r="AC55" s="181"/>
      <c r="AD55" s="612"/>
      <c r="AE55" s="187"/>
      <c r="AF55" s="187"/>
      <c r="AG55" s="184"/>
      <c r="AH55" s="181"/>
      <c r="AI55" s="612"/>
      <c r="AJ55" s="187"/>
      <c r="AK55" s="187"/>
      <c r="AL55" s="184"/>
      <c r="AM55" s="181"/>
      <c r="AN55" s="612"/>
      <c r="AO55" s="187"/>
      <c r="AP55" s="187"/>
      <c r="AQ55" s="184"/>
      <c r="AR55" s="181"/>
      <c r="AS55" s="612"/>
      <c r="AT55" s="187"/>
      <c r="AU55" s="187"/>
      <c r="AV55" s="184"/>
      <c r="AW55" s="181"/>
      <c r="AX55" s="612"/>
    </row>
    <row r="56" spans="2:50" ht="14.25" customHeight="1">
      <c r="B56" s="611"/>
      <c r="C56" s="179">
        <v>10</v>
      </c>
      <c r="D56" s="182"/>
      <c r="E56" s="179"/>
      <c r="F56" s="179"/>
      <c r="G56" s="184"/>
      <c r="H56" s="612"/>
      <c r="I56" s="185"/>
      <c r="J56" s="185"/>
      <c r="K56" s="186"/>
      <c r="L56" s="613"/>
      <c r="M56" s="185"/>
      <c r="N56" s="611"/>
      <c r="O56" s="611"/>
      <c r="P56" s="187"/>
      <c r="Q56" s="187"/>
      <c r="R56" s="184"/>
      <c r="S56" s="181"/>
      <c r="T56" s="612"/>
      <c r="U56" s="187"/>
      <c r="V56" s="187"/>
      <c r="W56" s="184"/>
      <c r="X56" s="181"/>
      <c r="Y56" s="612"/>
      <c r="Z56" s="187"/>
      <c r="AA56" s="187"/>
      <c r="AB56" s="184"/>
      <c r="AC56" s="181"/>
      <c r="AD56" s="612"/>
      <c r="AE56" s="187"/>
      <c r="AF56" s="187"/>
      <c r="AG56" s="184"/>
      <c r="AH56" s="181"/>
      <c r="AI56" s="612"/>
      <c r="AJ56" s="187"/>
      <c r="AK56" s="187"/>
      <c r="AL56" s="184"/>
      <c r="AM56" s="181"/>
      <c r="AN56" s="612"/>
      <c r="AO56" s="187"/>
      <c r="AP56" s="187"/>
      <c r="AQ56" s="184"/>
      <c r="AR56" s="181"/>
      <c r="AS56" s="612"/>
      <c r="AT56" s="187"/>
      <c r="AU56" s="187"/>
      <c r="AV56" s="184"/>
      <c r="AW56" s="181"/>
      <c r="AX56" s="612"/>
    </row>
    <row r="57" spans="2:50" ht="14.25" customHeight="1">
      <c r="B57" s="611"/>
      <c r="C57" s="179">
        <v>11</v>
      </c>
      <c r="D57" s="182"/>
      <c r="E57" s="179"/>
      <c r="F57" s="179"/>
      <c r="G57" s="184"/>
      <c r="H57" s="612"/>
      <c r="I57" s="185"/>
      <c r="J57" s="185"/>
      <c r="K57" s="186"/>
      <c r="L57" s="613"/>
      <c r="M57" s="185"/>
      <c r="N57" s="611"/>
      <c r="O57" s="611"/>
      <c r="P57" s="187"/>
      <c r="Q57" s="187"/>
      <c r="R57" s="184"/>
      <c r="S57" s="181"/>
      <c r="T57" s="612"/>
      <c r="U57" s="187"/>
      <c r="V57" s="187"/>
      <c r="W57" s="184"/>
      <c r="X57" s="181"/>
      <c r="Y57" s="612"/>
      <c r="Z57" s="187"/>
      <c r="AA57" s="187"/>
      <c r="AB57" s="184"/>
      <c r="AC57" s="181"/>
      <c r="AD57" s="612"/>
      <c r="AE57" s="187"/>
      <c r="AF57" s="187"/>
      <c r="AG57" s="184"/>
      <c r="AH57" s="181"/>
      <c r="AI57" s="612"/>
      <c r="AJ57" s="187"/>
      <c r="AK57" s="187"/>
      <c r="AL57" s="184"/>
      <c r="AM57" s="181"/>
      <c r="AN57" s="612"/>
      <c r="AO57" s="187"/>
      <c r="AP57" s="187"/>
      <c r="AQ57" s="184"/>
      <c r="AR57" s="181"/>
      <c r="AS57" s="612"/>
      <c r="AT57" s="187"/>
      <c r="AU57" s="187"/>
      <c r="AV57" s="184"/>
      <c r="AW57" s="181"/>
      <c r="AX57" s="612"/>
    </row>
    <row r="58" spans="2:50" ht="14.25" customHeight="1">
      <c r="B58" s="611"/>
      <c r="C58" s="179">
        <v>12</v>
      </c>
      <c r="D58" s="182"/>
      <c r="E58" s="179"/>
      <c r="F58" s="179"/>
      <c r="G58" s="184"/>
      <c r="H58" s="612"/>
      <c r="I58" s="185"/>
      <c r="J58" s="185"/>
      <c r="K58" s="186"/>
      <c r="L58" s="613"/>
      <c r="M58" s="185"/>
      <c r="N58" s="611"/>
      <c r="O58" s="611"/>
      <c r="P58" s="187"/>
      <c r="Q58" s="187"/>
      <c r="R58" s="184"/>
      <c r="S58" s="181"/>
      <c r="T58" s="612"/>
      <c r="U58" s="187"/>
      <c r="V58" s="187"/>
      <c r="W58" s="184"/>
      <c r="X58" s="181"/>
      <c r="Y58" s="612"/>
      <c r="Z58" s="187"/>
      <c r="AA58" s="187"/>
      <c r="AB58" s="184"/>
      <c r="AC58" s="181"/>
      <c r="AD58" s="612"/>
      <c r="AE58" s="187"/>
      <c r="AF58" s="187"/>
      <c r="AG58" s="184"/>
      <c r="AH58" s="181"/>
      <c r="AI58" s="612"/>
      <c r="AJ58" s="187"/>
      <c r="AK58" s="187"/>
      <c r="AL58" s="184"/>
      <c r="AM58" s="181"/>
      <c r="AN58" s="612"/>
      <c r="AO58" s="187"/>
      <c r="AP58" s="187"/>
      <c r="AQ58" s="184"/>
      <c r="AR58" s="181"/>
      <c r="AS58" s="612"/>
      <c r="AT58" s="187"/>
      <c r="AU58" s="187"/>
      <c r="AV58" s="184"/>
      <c r="AW58" s="181"/>
      <c r="AX58" s="612"/>
    </row>
    <row r="59" spans="2:50" ht="14.25" customHeight="1">
      <c r="B59" s="611"/>
      <c r="C59" s="179">
        <v>13</v>
      </c>
      <c r="D59" s="182"/>
      <c r="E59" s="179"/>
      <c r="F59" s="179"/>
      <c r="G59" s="184"/>
      <c r="H59" s="612"/>
      <c r="I59" s="185"/>
      <c r="J59" s="185"/>
      <c r="K59" s="186"/>
      <c r="L59" s="613"/>
      <c r="M59" s="185"/>
      <c r="N59" s="611"/>
      <c r="O59" s="611"/>
      <c r="P59" s="187"/>
      <c r="Q59" s="187"/>
      <c r="R59" s="184"/>
      <c r="S59" s="181"/>
      <c r="T59" s="612"/>
      <c r="U59" s="187"/>
      <c r="V59" s="187"/>
      <c r="W59" s="184"/>
      <c r="X59" s="181"/>
      <c r="Y59" s="612"/>
      <c r="Z59" s="187"/>
      <c r="AA59" s="187"/>
      <c r="AB59" s="184"/>
      <c r="AC59" s="181"/>
      <c r="AD59" s="612"/>
      <c r="AE59" s="187"/>
      <c r="AF59" s="187"/>
      <c r="AG59" s="184"/>
      <c r="AH59" s="181"/>
      <c r="AI59" s="612"/>
      <c r="AJ59" s="187"/>
      <c r="AK59" s="187"/>
      <c r="AL59" s="184"/>
      <c r="AM59" s="181"/>
      <c r="AN59" s="612"/>
      <c r="AO59" s="187"/>
      <c r="AP59" s="187"/>
      <c r="AQ59" s="184"/>
      <c r="AR59" s="181"/>
      <c r="AS59" s="612"/>
      <c r="AT59" s="187"/>
      <c r="AU59" s="187"/>
      <c r="AV59" s="184"/>
      <c r="AW59" s="181"/>
      <c r="AX59" s="612"/>
    </row>
    <row r="60" spans="2:50" ht="14.25" customHeight="1">
      <c r="B60" s="611"/>
      <c r="C60" s="179">
        <v>14</v>
      </c>
      <c r="D60" s="182"/>
      <c r="E60" s="179"/>
      <c r="F60" s="179"/>
      <c r="G60" s="184"/>
      <c r="H60" s="612"/>
      <c r="I60" s="185"/>
      <c r="J60" s="185"/>
      <c r="K60" s="186"/>
      <c r="L60" s="613"/>
      <c r="M60" s="185"/>
      <c r="N60" s="611"/>
      <c r="O60" s="611"/>
      <c r="P60" s="187"/>
      <c r="Q60" s="187"/>
      <c r="R60" s="184"/>
      <c r="S60" s="181"/>
      <c r="T60" s="612"/>
      <c r="U60" s="187"/>
      <c r="V60" s="187"/>
      <c r="W60" s="184"/>
      <c r="X60" s="181"/>
      <c r="Y60" s="612"/>
      <c r="Z60" s="187"/>
      <c r="AA60" s="187"/>
      <c r="AB60" s="184"/>
      <c r="AC60" s="181"/>
      <c r="AD60" s="612"/>
      <c r="AE60" s="187"/>
      <c r="AF60" s="187"/>
      <c r="AG60" s="184"/>
      <c r="AH60" s="181"/>
      <c r="AI60" s="612"/>
      <c r="AJ60" s="187"/>
      <c r="AK60" s="187"/>
      <c r="AL60" s="184"/>
      <c r="AM60" s="181"/>
      <c r="AN60" s="612"/>
      <c r="AO60" s="187"/>
      <c r="AP60" s="187"/>
      <c r="AQ60" s="184"/>
      <c r="AR60" s="181"/>
      <c r="AS60" s="612"/>
      <c r="AT60" s="187"/>
      <c r="AU60" s="187"/>
      <c r="AV60" s="184"/>
      <c r="AW60" s="181"/>
      <c r="AX60" s="612"/>
    </row>
    <row r="61" spans="2:50" ht="14.25" customHeight="1">
      <c r="B61" s="611"/>
      <c r="C61" s="179">
        <v>15</v>
      </c>
      <c r="D61" s="182"/>
      <c r="E61" s="179"/>
      <c r="F61" s="179"/>
      <c r="G61" s="184"/>
      <c r="H61" s="612"/>
      <c r="I61" s="185"/>
      <c r="J61" s="185"/>
      <c r="K61" s="186"/>
      <c r="L61" s="613"/>
      <c r="M61" s="185"/>
      <c r="N61" s="611"/>
      <c r="O61" s="611"/>
      <c r="P61" s="187"/>
      <c r="Q61" s="187"/>
      <c r="R61" s="184"/>
      <c r="S61" s="181"/>
      <c r="T61" s="612"/>
      <c r="U61" s="187"/>
      <c r="V61" s="187"/>
      <c r="W61" s="184"/>
      <c r="X61" s="181"/>
      <c r="Y61" s="612"/>
      <c r="Z61" s="187"/>
      <c r="AA61" s="187"/>
      <c r="AB61" s="184"/>
      <c r="AC61" s="181"/>
      <c r="AD61" s="612"/>
      <c r="AE61" s="187"/>
      <c r="AF61" s="187"/>
      <c r="AG61" s="184"/>
      <c r="AH61" s="181"/>
      <c r="AI61" s="612"/>
      <c r="AJ61" s="187"/>
      <c r="AK61" s="187"/>
      <c r="AL61" s="184"/>
      <c r="AM61" s="181"/>
      <c r="AN61" s="612"/>
      <c r="AO61" s="187"/>
      <c r="AP61" s="187"/>
      <c r="AQ61" s="184"/>
      <c r="AR61" s="181"/>
      <c r="AS61" s="612"/>
      <c r="AT61" s="187"/>
      <c r="AU61" s="187"/>
      <c r="AV61" s="184"/>
      <c r="AW61" s="181"/>
      <c r="AX61" s="612"/>
    </row>
    <row r="62" spans="2:50" ht="14.25" customHeight="1">
      <c r="B62" s="640" t="s">
        <v>848</v>
      </c>
      <c r="C62" s="641"/>
      <c r="D62" s="641"/>
      <c r="E62" s="641"/>
      <c r="F62" s="641"/>
      <c r="G62" s="641"/>
      <c r="H62" s="641"/>
      <c r="I62" s="641"/>
      <c r="J62" s="641"/>
      <c r="K62" s="641"/>
      <c r="L62" s="641"/>
      <c r="M62" s="642"/>
      <c r="N62" s="645" t="s">
        <v>363</v>
      </c>
      <c r="O62" s="645" t="s">
        <v>105</v>
      </c>
      <c r="P62" s="632">
        <v>46224</v>
      </c>
      <c r="Q62" s="633"/>
      <c r="R62" s="633"/>
      <c r="S62" s="633"/>
      <c r="T62" s="633"/>
      <c r="U62" s="634">
        <v>46225</v>
      </c>
      <c r="V62" s="635"/>
      <c r="W62" s="635"/>
      <c r="X62" s="635"/>
      <c r="Y62" s="635"/>
      <c r="Z62" s="632">
        <v>46226</v>
      </c>
      <c r="AA62" s="633"/>
      <c r="AB62" s="633"/>
      <c r="AC62" s="633"/>
      <c r="AD62" s="633"/>
      <c r="AE62" s="634">
        <v>46227</v>
      </c>
      <c r="AF62" s="635"/>
      <c r="AG62" s="635"/>
      <c r="AH62" s="635"/>
      <c r="AI62" s="635"/>
      <c r="AJ62" s="616">
        <v>46228</v>
      </c>
      <c r="AK62" s="617"/>
      <c r="AL62" s="617"/>
      <c r="AM62" s="617"/>
      <c r="AN62" s="618"/>
      <c r="AO62" s="634">
        <v>46229</v>
      </c>
      <c r="AP62" s="635"/>
      <c r="AQ62" s="635"/>
      <c r="AR62" s="635"/>
      <c r="AS62" s="635"/>
      <c r="AT62" s="616">
        <v>46230</v>
      </c>
      <c r="AU62" s="617"/>
      <c r="AV62" s="617"/>
      <c r="AW62" s="617"/>
      <c r="AX62" s="618"/>
    </row>
    <row r="63" spans="2:50" ht="14.25" customHeight="1">
      <c r="B63" s="643"/>
      <c r="C63" s="643"/>
      <c r="D63" s="643"/>
      <c r="E63" s="643"/>
      <c r="F63" s="643"/>
      <c r="G63" s="643"/>
      <c r="H63" s="643"/>
      <c r="I63" s="643"/>
      <c r="J63" s="643"/>
      <c r="K63" s="643"/>
      <c r="L63" s="643"/>
      <c r="M63" s="644"/>
      <c r="N63" s="646"/>
      <c r="O63" s="646"/>
      <c r="P63" s="619">
        <v>46196</v>
      </c>
      <c r="Q63" s="619"/>
      <c r="R63" s="619"/>
      <c r="S63" s="619"/>
      <c r="T63" s="619"/>
      <c r="U63" s="620">
        <v>46197</v>
      </c>
      <c r="V63" s="620"/>
      <c r="W63" s="620"/>
      <c r="X63" s="620"/>
      <c r="Y63" s="620"/>
      <c r="Z63" s="619">
        <v>46198</v>
      </c>
      <c r="AA63" s="619"/>
      <c r="AB63" s="619"/>
      <c r="AC63" s="619"/>
      <c r="AD63" s="619"/>
      <c r="AE63" s="620">
        <v>46199</v>
      </c>
      <c r="AF63" s="620"/>
      <c r="AG63" s="620"/>
      <c r="AH63" s="620"/>
      <c r="AI63" s="620"/>
      <c r="AJ63" s="621">
        <v>46200</v>
      </c>
      <c r="AK63" s="622"/>
      <c r="AL63" s="622"/>
      <c r="AM63" s="622"/>
      <c r="AN63" s="623"/>
      <c r="AO63" s="620">
        <v>46201</v>
      </c>
      <c r="AP63" s="620"/>
      <c r="AQ63" s="620"/>
      <c r="AR63" s="620"/>
      <c r="AS63" s="620"/>
      <c r="AT63" s="621">
        <v>46202</v>
      </c>
      <c r="AU63" s="622"/>
      <c r="AV63" s="622"/>
      <c r="AW63" s="622"/>
      <c r="AX63" s="623"/>
    </row>
    <row r="64" spans="2:50" ht="14.25" customHeight="1">
      <c r="B64" s="611" t="s">
        <v>162</v>
      </c>
      <c r="C64" s="611" t="s">
        <v>157</v>
      </c>
      <c r="D64" s="611"/>
      <c r="E64" s="611" t="s">
        <v>158</v>
      </c>
      <c r="F64" s="611"/>
      <c r="G64" s="611"/>
      <c r="H64" s="611" t="s">
        <v>163</v>
      </c>
      <c r="I64" s="615" t="s">
        <v>364</v>
      </c>
      <c r="J64" s="615"/>
      <c r="K64" s="615"/>
      <c r="L64" s="615" t="s">
        <v>163</v>
      </c>
      <c r="M64" s="615" t="s">
        <v>165</v>
      </c>
      <c r="N64" s="611"/>
      <c r="O64" s="611" t="s">
        <v>164</v>
      </c>
      <c r="P64" s="611" t="s">
        <v>160</v>
      </c>
      <c r="Q64" s="611"/>
      <c r="R64" s="611"/>
      <c r="S64" s="611"/>
      <c r="T64" s="611" t="s">
        <v>163</v>
      </c>
      <c r="U64" s="611" t="s">
        <v>160</v>
      </c>
      <c r="V64" s="611"/>
      <c r="W64" s="611"/>
      <c r="X64" s="611"/>
      <c r="Y64" s="611" t="s">
        <v>163</v>
      </c>
      <c r="Z64" s="611" t="s">
        <v>160</v>
      </c>
      <c r="AA64" s="611"/>
      <c r="AB64" s="611"/>
      <c r="AC64" s="611"/>
      <c r="AD64" s="611" t="s">
        <v>163</v>
      </c>
      <c r="AE64" s="611" t="s">
        <v>160</v>
      </c>
      <c r="AF64" s="611"/>
      <c r="AG64" s="611"/>
      <c r="AH64" s="611"/>
      <c r="AI64" s="611" t="s">
        <v>163</v>
      </c>
      <c r="AJ64" s="611" t="s">
        <v>160</v>
      </c>
      <c r="AK64" s="611"/>
      <c r="AL64" s="611"/>
      <c r="AM64" s="611"/>
      <c r="AN64" s="611" t="s">
        <v>163</v>
      </c>
      <c r="AO64" s="611" t="s">
        <v>160</v>
      </c>
      <c r="AP64" s="611"/>
      <c r="AQ64" s="611"/>
      <c r="AR64" s="611"/>
      <c r="AS64" s="611" t="s">
        <v>163</v>
      </c>
      <c r="AT64" s="611" t="s">
        <v>160</v>
      </c>
      <c r="AU64" s="611"/>
      <c r="AV64" s="611"/>
      <c r="AW64" s="611"/>
      <c r="AX64" s="611" t="s">
        <v>163</v>
      </c>
    </row>
    <row r="65" spans="2:50" ht="14.25" customHeight="1">
      <c r="B65" s="611"/>
      <c r="C65" s="611"/>
      <c r="D65" s="611"/>
      <c r="E65" s="611" t="s">
        <v>365</v>
      </c>
      <c r="F65" s="611"/>
      <c r="G65" s="611"/>
      <c r="H65" s="611"/>
      <c r="I65" s="615" t="s">
        <v>365</v>
      </c>
      <c r="J65" s="615"/>
      <c r="K65" s="615"/>
      <c r="L65" s="615"/>
      <c r="M65" s="615"/>
      <c r="N65" s="611"/>
      <c r="O65" s="611"/>
      <c r="P65" s="611" t="s">
        <v>366</v>
      </c>
      <c r="Q65" s="611"/>
      <c r="R65" s="611"/>
      <c r="S65" s="611"/>
      <c r="T65" s="611"/>
      <c r="U65" s="611" t="s">
        <v>366</v>
      </c>
      <c r="V65" s="611"/>
      <c r="W65" s="611"/>
      <c r="X65" s="611"/>
      <c r="Y65" s="611"/>
      <c r="Z65" s="611" t="s">
        <v>366</v>
      </c>
      <c r="AA65" s="611"/>
      <c r="AB65" s="611"/>
      <c r="AC65" s="611"/>
      <c r="AD65" s="611"/>
      <c r="AE65" s="611" t="s">
        <v>366</v>
      </c>
      <c r="AF65" s="611"/>
      <c r="AG65" s="611"/>
      <c r="AH65" s="611"/>
      <c r="AI65" s="611"/>
      <c r="AJ65" s="611" t="s">
        <v>366</v>
      </c>
      <c r="AK65" s="611"/>
      <c r="AL65" s="611"/>
      <c r="AM65" s="611"/>
      <c r="AN65" s="611"/>
      <c r="AO65" s="611" t="s">
        <v>366</v>
      </c>
      <c r="AP65" s="611"/>
      <c r="AQ65" s="611"/>
      <c r="AR65" s="611"/>
      <c r="AS65" s="611"/>
      <c r="AT65" s="611" t="s">
        <v>366</v>
      </c>
      <c r="AU65" s="611"/>
      <c r="AV65" s="611"/>
      <c r="AW65" s="611"/>
      <c r="AX65" s="611"/>
    </row>
    <row r="66" spans="2:50" ht="14.25" customHeight="1">
      <c r="B66" s="611"/>
      <c r="C66" s="611"/>
      <c r="D66" s="611"/>
      <c r="E66" s="179" t="s">
        <v>159</v>
      </c>
      <c r="F66" s="179" t="s">
        <v>367</v>
      </c>
      <c r="G66" s="179" t="s">
        <v>161</v>
      </c>
      <c r="H66" s="611"/>
      <c r="I66" s="180" t="s">
        <v>159</v>
      </c>
      <c r="J66" s="180" t="s">
        <v>367</v>
      </c>
      <c r="K66" s="180" t="s">
        <v>161</v>
      </c>
      <c r="L66" s="615"/>
      <c r="M66" s="615"/>
      <c r="N66" s="611"/>
      <c r="O66" s="611"/>
      <c r="P66" s="179" t="s">
        <v>159</v>
      </c>
      <c r="Q66" s="179" t="s">
        <v>367</v>
      </c>
      <c r="R66" s="179" t="s">
        <v>161</v>
      </c>
      <c r="S66" s="181" t="s">
        <v>165</v>
      </c>
      <c r="T66" s="611"/>
      <c r="U66" s="179" t="s">
        <v>159</v>
      </c>
      <c r="V66" s="179" t="s">
        <v>367</v>
      </c>
      <c r="W66" s="179" t="s">
        <v>161</v>
      </c>
      <c r="X66" s="181" t="s">
        <v>165</v>
      </c>
      <c r="Y66" s="611"/>
      <c r="Z66" s="179" t="s">
        <v>159</v>
      </c>
      <c r="AA66" s="179" t="s">
        <v>367</v>
      </c>
      <c r="AB66" s="179" t="s">
        <v>161</v>
      </c>
      <c r="AC66" s="181" t="s">
        <v>165</v>
      </c>
      <c r="AD66" s="611"/>
      <c r="AE66" s="179" t="s">
        <v>159</v>
      </c>
      <c r="AF66" s="179" t="s">
        <v>367</v>
      </c>
      <c r="AG66" s="179" t="s">
        <v>161</v>
      </c>
      <c r="AH66" s="181" t="s">
        <v>165</v>
      </c>
      <c r="AI66" s="611"/>
      <c r="AJ66" s="179" t="s">
        <v>159</v>
      </c>
      <c r="AK66" s="179" t="s">
        <v>367</v>
      </c>
      <c r="AL66" s="179" t="s">
        <v>161</v>
      </c>
      <c r="AM66" s="181" t="s">
        <v>165</v>
      </c>
      <c r="AN66" s="611"/>
      <c r="AO66" s="179" t="s">
        <v>159</v>
      </c>
      <c r="AP66" s="179" t="s">
        <v>367</v>
      </c>
      <c r="AQ66" s="179" t="s">
        <v>161</v>
      </c>
      <c r="AR66" s="181" t="s">
        <v>165</v>
      </c>
      <c r="AS66" s="611"/>
      <c r="AT66" s="179" t="s">
        <v>159</v>
      </c>
      <c r="AU66" s="179" t="s">
        <v>367</v>
      </c>
      <c r="AV66" s="179" t="s">
        <v>161</v>
      </c>
      <c r="AW66" s="181" t="s">
        <v>165</v>
      </c>
      <c r="AX66" s="611"/>
    </row>
    <row r="67" spans="2:50" ht="14.25" customHeight="1">
      <c r="B67" s="611" t="s">
        <v>371</v>
      </c>
      <c r="C67" s="179">
        <v>1</v>
      </c>
      <c r="D67" s="182" t="s">
        <v>531</v>
      </c>
      <c r="E67" s="183">
        <v>20</v>
      </c>
      <c r="F67" s="179">
        <v>3600</v>
      </c>
      <c r="G67" s="184">
        <f t="shared" ref="G67:G74" si="49">IFERROR(F67/E67,"")</f>
        <v>180</v>
      </c>
      <c r="H67" s="612">
        <f>AVERAGE(G67:G81)</f>
        <v>171.75153793574844</v>
      </c>
      <c r="I67" s="185">
        <f>AVERAGE(P67,U67,Z67,AE67,AJ67,AO67,AT67)</f>
        <v>20.428571428571427</v>
      </c>
      <c r="J67" s="185">
        <f>AVERAGE(Q67,V67,AA67,AF67,AK67,AP67,AU67)</f>
        <v>3263.0461993102767</v>
      </c>
      <c r="K67" s="186">
        <f>AVERAGE(R67,W67,AB67,AG67,AL67,AQ67,AV67)</f>
        <v>159.82307084527682</v>
      </c>
      <c r="L67" s="613">
        <f>IFERROR(AVERAGE(K67:K81),"-")</f>
        <v>153.1937316294038</v>
      </c>
      <c r="M67" s="185">
        <f>RANK(K67, K$67:$K$81)</f>
        <v>4</v>
      </c>
      <c r="N67" s="611"/>
      <c r="O67" s="611"/>
      <c r="P67" s="187">
        <v>21</v>
      </c>
      <c r="Q67" s="187">
        <v>3259.7999999999993</v>
      </c>
      <c r="R67" s="184">
        <f>IFERROR(Q67/P67,"")</f>
        <v>155.2285714285714</v>
      </c>
      <c r="S67" s="181">
        <f>RANK(R67, R$67:R$81)</f>
        <v>4</v>
      </c>
      <c r="T67" s="612">
        <f>AVERAGE(R67:R81)</f>
        <v>151.13117045811569</v>
      </c>
      <c r="U67" s="187">
        <v>21</v>
      </c>
      <c r="V67" s="187">
        <v>3262.3586047701456</v>
      </c>
      <c r="W67" s="184">
        <f t="shared" ref="W67:W74" si="50">IFERROR(V67/U67,"")</f>
        <v>155.3504097509593</v>
      </c>
      <c r="X67" s="181">
        <f>RANK(W67, W$67:W$81)</f>
        <v>4</v>
      </c>
      <c r="Y67" s="612">
        <f>AVERAGE(W67:W81)</f>
        <v>151.46166998525629</v>
      </c>
      <c r="Z67" s="187">
        <v>21</v>
      </c>
      <c r="AA67" s="187">
        <v>3265.8044087266535</v>
      </c>
      <c r="AB67" s="184">
        <f>IFERROR(AA67/Z67,"")</f>
        <v>155.51449565365016</v>
      </c>
      <c r="AC67" s="181">
        <f>RANK(AB67, AB$67:AB$81)</f>
        <v>4</v>
      </c>
      <c r="AD67" s="612">
        <f>AVERAGE(AB67:AB81)</f>
        <v>151.82827163218357</v>
      </c>
      <c r="AE67" s="187">
        <v>20</v>
      </c>
      <c r="AF67" s="187">
        <v>3267.6991811573871</v>
      </c>
      <c r="AG67" s="184">
        <f>IFERROR(AF67/AE67,"")</f>
        <v>163.38495905786937</v>
      </c>
      <c r="AH67" s="181">
        <f>RANK(AG67, AG$67:AG$81)</f>
        <v>3</v>
      </c>
      <c r="AI67" s="612">
        <f>AVERAGE(AG67:AG81)</f>
        <v>154.05188589563073</v>
      </c>
      <c r="AJ67" s="187">
        <v>20</v>
      </c>
      <c r="AK67" s="187">
        <v>3259.7999999999993</v>
      </c>
      <c r="AL67" s="184">
        <f>IFERROR(AK67/AJ67,"")</f>
        <v>162.98999999999995</v>
      </c>
      <c r="AM67" s="181">
        <f>RANK(AL67, AL$67:AL$81)</f>
        <v>3</v>
      </c>
      <c r="AN67" s="612">
        <f>AVERAGE(AL67:AL81)</f>
        <v>154.39085543836114</v>
      </c>
      <c r="AO67" s="187">
        <v>20</v>
      </c>
      <c r="AP67" s="187">
        <v>3259.7999999999997</v>
      </c>
      <c r="AQ67" s="184">
        <f>IFERROR(AP67/AO67,"")</f>
        <v>162.98999999999998</v>
      </c>
      <c r="AR67" s="181">
        <f>RANK(AQ67, AQ$67:AQ$81)</f>
        <v>4</v>
      </c>
      <c r="AS67" s="612">
        <f>AVERAGE(AQ67:AQ81)</f>
        <v>154.71471350132745</v>
      </c>
      <c r="AT67" s="187">
        <v>20</v>
      </c>
      <c r="AU67" s="187">
        <v>3266.0612005177527</v>
      </c>
      <c r="AV67" s="184">
        <f>IFERROR(AU67/AT67,"")</f>
        <v>163.30306002588765</v>
      </c>
      <c r="AW67" s="181">
        <f>RANK(AV67, AV$67:AV$81)</f>
        <v>3</v>
      </c>
      <c r="AX67" s="612">
        <f>AVERAGE(AV67:AV81)</f>
        <v>154.77755449495172</v>
      </c>
    </row>
    <row r="68" spans="2:50" ht="14.25" customHeight="1">
      <c r="B68" s="611"/>
      <c r="C68" s="179">
        <v>2</v>
      </c>
      <c r="D68" s="182" t="s">
        <v>532</v>
      </c>
      <c r="E68" s="179">
        <v>21</v>
      </c>
      <c r="F68" s="179">
        <v>3600</v>
      </c>
      <c r="G68" s="184">
        <f t="shared" si="49"/>
        <v>171.42857142857142</v>
      </c>
      <c r="H68" s="612"/>
      <c r="I68" s="185">
        <f t="shared" ref="I68:K74" si="51">AVERAGE(P68,U68,Z68,AE68,AJ68,AO68,AT68)</f>
        <v>21.428571428571427</v>
      </c>
      <c r="J68" s="185">
        <f t="shared" si="51"/>
        <v>3260.3984152525732</v>
      </c>
      <c r="K68" s="186">
        <f t="shared" si="51"/>
        <v>152.23313418333217</v>
      </c>
      <c r="L68" s="613"/>
      <c r="M68" s="185">
        <f>RANK(K68, K$67:$K$81)</f>
        <v>5</v>
      </c>
      <c r="N68" s="611"/>
      <c r="O68" s="611"/>
      <c r="P68" s="187">
        <v>22</v>
      </c>
      <c r="Q68" s="187">
        <v>3259.7999999999997</v>
      </c>
      <c r="R68" s="184">
        <f t="shared" ref="R68:R74" si="52">IFERROR(Q68/P68,"")</f>
        <v>148.17272727272726</v>
      </c>
      <c r="S68" s="181">
        <f t="shared" ref="S68:S74" si="53">RANK(R68, R$67:R$81)</f>
        <v>5</v>
      </c>
      <c r="T68" s="612"/>
      <c r="U68" s="187">
        <v>22</v>
      </c>
      <c r="V68" s="187">
        <v>3259.7999999999993</v>
      </c>
      <c r="W68" s="184">
        <f t="shared" si="50"/>
        <v>148.17272727272723</v>
      </c>
      <c r="X68" s="181">
        <f t="shared" ref="X68:X74" si="54">RANK(W68, W$67:W$81)</f>
        <v>5</v>
      </c>
      <c r="Y68" s="612"/>
      <c r="Z68" s="187">
        <v>22</v>
      </c>
      <c r="AA68" s="187">
        <v>3259.7999999999993</v>
      </c>
      <c r="AB68" s="184">
        <f t="shared" ref="AB68:AB74" si="55">IFERROR(AA68/Z68,"")</f>
        <v>148.17272727272723</v>
      </c>
      <c r="AC68" s="181">
        <f t="shared" ref="AC68:AC74" si="56">RANK(AB68, AB$67:AB$81)</f>
        <v>5</v>
      </c>
      <c r="AD68" s="612"/>
      <c r="AE68" s="187">
        <v>21</v>
      </c>
      <c r="AF68" s="187">
        <v>3259.7999999999997</v>
      </c>
      <c r="AG68" s="184">
        <f t="shared" ref="AG68:AG74" si="57">IFERROR(AF68/AE68,"")</f>
        <v>155.22857142857143</v>
      </c>
      <c r="AH68" s="181">
        <f t="shared" ref="AH68:AH74" si="58">RANK(AG68, AG$67:AG$81)</f>
        <v>5</v>
      </c>
      <c r="AI68" s="612"/>
      <c r="AJ68" s="187">
        <v>21</v>
      </c>
      <c r="AK68" s="187">
        <v>3259.7999999999993</v>
      </c>
      <c r="AL68" s="184">
        <f t="shared" ref="AL68:AL74" si="59">IFERROR(AK68/AJ68,"")</f>
        <v>155.2285714285714</v>
      </c>
      <c r="AM68" s="181">
        <f t="shared" ref="AM68:AM74" si="60">RANK(AL68, AL$67:AL$81)</f>
        <v>5</v>
      </c>
      <c r="AN68" s="612"/>
      <c r="AO68" s="187">
        <v>21</v>
      </c>
      <c r="AP68" s="187">
        <v>3259.7999999999993</v>
      </c>
      <c r="AQ68" s="184">
        <f t="shared" ref="AQ68:AQ74" si="61">IFERROR(AP68/AO68,"")</f>
        <v>155.2285714285714</v>
      </c>
      <c r="AR68" s="181">
        <f t="shared" ref="AR68:AR74" si="62">RANK(AQ68, AQ$67:AQ$81)</f>
        <v>5</v>
      </c>
      <c r="AS68" s="612"/>
      <c r="AT68" s="187">
        <v>21</v>
      </c>
      <c r="AU68" s="187">
        <v>3263.9889067680156</v>
      </c>
      <c r="AV68" s="184">
        <f t="shared" ref="AV68:AV74" si="63">IFERROR(AU68/AT68,"")</f>
        <v>155.42804317942932</v>
      </c>
      <c r="AW68" s="181">
        <f t="shared" ref="AW68:AW74" si="64">RANK(AV68, AV$67:AV$81)</f>
        <v>5</v>
      </c>
      <c r="AX68" s="612"/>
    </row>
    <row r="69" spans="2:50" ht="14.25" customHeight="1">
      <c r="B69" s="611"/>
      <c r="C69" s="179">
        <v>3</v>
      </c>
      <c r="D69" s="182" t="s">
        <v>614</v>
      </c>
      <c r="E69" s="179">
        <v>19</v>
      </c>
      <c r="F69" s="179">
        <v>3600</v>
      </c>
      <c r="G69" s="184">
        <f t="shared" si="49"/>
        <v>189.47368421052633</v>
      </c>
      <c r="H69" s="612"/>
      <c r="I69" s="185">
        <f t="shared" si="51"/>
        <v>19</v>
      </c>
      <c r="J69" s="185">
        <f t="shared" si="51"/>
        <v>3192.4077616340319</v>
      </c>
      <c r="K69" s="186">
        <f t="shared" si="51"/>
        <v>168.02146113863324</v>
      </c>
      <c r="L69" s="613"/>
      <c r="M69" s="185">
        <f>RANK(K69, K$67:$K$81)</f>
        <v>1</v>
      </c>
      <c r="N69" s="611"/>
      <c r="O69" s="611"/>
      <c r="P69" s="187">
        <v>19</v>
      </c>
      <c r="Q69" s="187">
        <v>3193.4016427545303</v>
      </c>
      <c r="R69" s="184">
        <f t="shared" si="52"/>
        <v>168.07377067129107</v>
      </c>
      <c r="S69" s="181">
        <f t="shared" si="53"/>
        <v>1</v>
      </c>
      <c r="T69" s="612"/>
      <c r="U69" s="187">
        <v>19</v>
      </c>
      <c r="V69" s="187">
        <v>3191.9616427545302</v>
      </c>
      <c r="W69" s="184">
        <f t="shared" si="50"/>
        <v>167.99798119760686</v>
      </c>
      <c r="X69" s="181">
        <f t="shared" si="54"/>
        <v>2</v>
      </c>
      <c r="Y69" s="612"/>
      <c r="Z69" s="187">
        <v>19</v>
      </c>
      <c r="AA69" s="187">
        <v>3191.6016427545305</v>
      </c>
      <c r="AB69" s="184">
        <f t="shared" si="55"/>
        <v>167.97903382918582</v>
      </c>
      <c r="AC69" s="181">
        <f t="shared" si="56"/>
        <v>2</v>
      </c>
      <c r="AD69" s="612"/>
      <c r="AE69" s="187">
        <v>19</v>
      </c>
      <c r="AF69" s="187">
        <v>3192.3823507936572</v>
      </c>
      <c r="AG69" s="184">
        <f t="shared" si="57"/>
        <v>168.02012372598196</v>
      </c>
      <c r="AH69" s="181">
        <f t="shared" si="58"/>
        <v>2</v>
      </c>
      <c r="AI69" s="612"/>
      <c r="AJ69" s="187">
        <v>19</v>
      </c>
      <c r="AK69" s="187">
        <v>3192.3823507936572</v>
      </c>
      <c r="AL69" s="184">
        <f t="shared" si="59"/>
        <v>168.02012372598196</v>
      </c>
      <c r="AM69" s="181">
        <f t="shared" si="60"/>
        <v>1</v>
      </c>
      <c r="AN69" s="612"/>
      <c r="AO69" s="187">
        <v>19</v>
      </c>
      <c r="AP69" s="187">
        <v>3192.3823507936572</v>
      </c>
      <c r="AQ69" s="184">
        <f t="shared" si="61"/>
        <v>168.02012372598196</v>
      </c>
      <c r="AR69" s="181">
        <f t="shared" si="62"/>
        <v>2</v>
      </c>
      <c r="AS69" s="612"/>
      <c r="AT69" s="187">
        <v>19</v>
      </c>
      <c r="AU69" s="187">
        <v>3192.7423507936574</v>
      </c>
      <c r="AV69" s="184">
        <f t="shared" si="63"/>
        <v>168.03907109440303</v>
      </c>
      <c r="AW69" s="181">
        <f t="shared" si="64"/>
        <v>1</v>
      </c>
      <c r="AX69" s="612"/>
    </row>
    <row r="70" spans="2:50" ht="14.25" customHeight="1">
      <c r="B70" s="611"/>
      <c r="C70" s="179">
        <v>4</v>
      </c>
      <c r="D70" s="182" t="s">
        <v>597</v>
      </c>
      <c r="E70" s="179">
        <v>24</v>
      </c>
      <c r="F70" s="179">
        <v>3600</v>
      </c>
      <c r="G70" s="184">
        <f t="shared" si="49"/>
        <v>150</v>
      </c>
      <c r="H70" s="612"/>
      <c r="I70" s="185">
        <f t="shared" si="51"/>
        <v>24</v>
      </c>
      <c r="J70" s="185">
        <f t="shared" si="51"/>
        <v>3265.4571362822039</v>
      </c>
      <c r="K70" s="186">
        <f t="shared" si="51"/>
        <v>136.06071401175851</v>
      </c>
      <c r="L70" s="613"/>
      <c r="M70" s="185">
        <f>RANK(K70, K$67:$K$81)</f>
        <v>8</v>
      </c>
      <c r="N70" s="611"/>
      <c r="O70" s="611"/>
      <c r="P70" s="187">
        <v>24</v>
      </c>
      <c r="Q70" s="187">
        <v>3265.0457077107758</v>
      </c>
      <c r="R70" s="184">
        <f t="shared" si="52"/>
        <v>136.04357115461565</v>
      </c>
      <c r="S70" s="181">
        <f t="shared" si="53"/>
        <v>7</v>
      </c>
      <c r="T70" s="612"/>
      <c r="U70" s="187">
        <v>24</v>
      </c>
      <c r="V70" s="187">
        <v>3264.3257077107755</v>
      </c>
      <c r="W70" s="184">
        <f t="shared" si="50"/>
        <v>136.01357115461565</v>
      </c>
      <c r="X70" s="181">
        <f t="shared" si="54"/>
        <v>8</v>
      </c>
      <c r="Y70" s="612"/>
      <c r="Z70" s="187">
        <v>24</v>
      </c>
      <c r="AA70" s="187">
        <v>3265.4057077107755</v>
      </c>
      <c r="AB70" s="184">
        <f t="shared" si="55"/>
        <v>136.05857115461563</v>
      </c>
      <c r="AC70" s="181">
        <f t="shared" si="56"/>
        <v>8</v>
      </c>
      <c r="AD70" s="612"/>
      <c r="AE70" s="187">
        <v>24</v>
      </c>
      <c r="AF70" s="187">
        <v>3264.325707710776</v>
      </c>
      <c r="AG70" s="184">
        <f t="shared" si="57"/>
        <v>136.01357115461568</v>
      </c>
      <c r="AH70" s="181">
        <f t="shared" si="58"/>
        <v>8</v>
      </c>
      <c r="AI70" s="612"/>
      <c r="AJ70" s="187">
        <v>24</v>
      </c>
      <c r="AK70" s="187">
        <v>3265.0457077107758</v>
      </c>
      <c r="AL70" s="184">
        <f t="shared" si="59"/>
        <v>136.04357115461565</v>
      </c>
      <c r="AM70" s="181">
        <f t="shared" si="60"/>
        <v>8</v>
      </c>
      <c r="AN70" s="612"/>
      <c r="AO70" s="187">
        <v>24</v>
      </c>
      <c r="AP70" s="187">
        <v>3266.8457077107751</v>
      </c>
      <c r="AQ70" s="184">
        <f t="shared" si="61"/>
        <v>136.11857115461564</v>
      </c>
      <c r="AR70" s="181">
        <f t="shared" si="62"/>
        <v>7</v>
      </c>
      <c r="AS70" s="612"/>
      <c r="AT70" s="187">
        <v>24</v>
      </c>
      <c r="AU70" s="187">
        <v>3267.2057077107752</v>
      </c>
      <c r="AV70" s="184">
        <f t="shared" si="63"/>
        <v>136.13357115461562</v>
      </c>
      <c r="AW70" s="181">
        <f t="shared" si="64"/>
        <v>7</v>
      </c>
      <c r="AX70" s="612"/>
    </row>
    <row r="71" spans="2:50" ht="14.25" customHeight="1">
      <c r="B71" s="611"/>
      <c r="C71" s="179">
        <v>5</v>
      </c>
      <c r="D71" s="182" t="s">
        <v>533</v>
      </c>
      <c r="E71" s="179">
        <v>19</v>
      </c>
      <c r="F71" s="179">
        <v>3600</v>
      </c>
      <c r="G71" s="184">
        <f t="shared" si="49"/>
        <v>189.47368421052633</v>
      </c>
      <c r="H71" s="612"/>
      <c r="I71" s="185">
        <f t="shared" si="51"/>
        <v>19</v>
      </c>
      <c r="J71" s="185">
        <f t="shared" si="51"/>
        <v>3192.300799466861</v>
      </c>
      <c r="K71" s="186">
        <f t="shared" si="51"/>
        <v>168.01583155088741</v>
      </c>
      <c r="L71" s="613"/>
      <c r="M71" s="185">
        <f>RANK(K71, K$67:$K$81)</f>
        <v>2</v>
      </c>
      <c r="N71" s="611"/>
      <c r="O71" s="611"/>
      <c r="P71" s="187">
        <v>19</v>
      </c>
      <c r="Q71" s="187">
        <v>3191.8379423240035</v>
      </c>
      <c r="R71" s="184">
        <f t="shared" si="52"/>
        <v>167.99147064863178</v>
      </c>
      <c r="S71" s="181">
        <f t="shared" si="53"/>
        <v>2</v>
      </c>
      <c r="T71" s="612"/>
      <c r="U71" s="187">
        <v>19</v>
      </c>
      <c r="V71" s="187">
        <v>3192.1979423240041</v>
      </c>
      <c r="W71" s="184">
        <f t="shared" si="50"/>
        <v>168.01041801705284</v>
      </c>
      <c r="X71" s="181">
        <f t="shared" si="54"/>
        <v>1</v>
      </c>
      <c r="Y71" s="612"/>
      <c r="Z71" s="187">
        <v>19</v>
      </c>
      <c r="AA71" s="187">
        <v>3192.5579423240038</v>
      </c>
      <c r="AB71" s="184">
        <f t="shared" si="55"/>
        <v>168.02936538547388</v>
      </c>
      <c r="AC71" s="181">
        <f t="shared" si="56"/>
        <v>1</v>
      </c>
      <c r="AD71" s="612"/>
      <c r="AE71" s="187">
        <v>19</v>
      </c>
      <c r="AF71" s="187">
        <v>3193.6379423240032</v>
      </c>
      <c r="AG71" s="184">
        <f t="shared" si="57"/>
        <v>168.08620749073702</v>
      </c>
      <c r="AH71" s="181">
        <f t="shared" si="58"/>
        <v>1</v>
      </c>
      <c r="AI71" s="612"/>
      <c r="AJ71" s="187">
        <v>19</v>
      </c>
      <c r="AK71" s="187">
        <v>3191.837942324004</v>
      </c>
      <c r="AL71" s="184">
        <f t="shared" si="59"/>
        <v>167.99147064863178</v>
      </c>
      <c r="AM71" s="181">
        <f t="shared" si="60"/>
        <v>2</v>
      </c>
      <c r="AN71" s="612"/>
      <c r="AO71" s="187">
        <v>19</v>
      </c>
      <c r="AP71" s="187">
        <v>3192.5579423240033</v>
      </c>
      <c r="AQ71" s="184">
        <f t="shared" si="61"/>
        <v>168.02936538547385</v>
      </c>
      <c r="AR71" s="181">
        <f t="shared" si="62"/>
        <v>1</v>
      </c>
      <c r="AS71" s="612"/>
      <c r="AT71" s="187">
        <v>19</v>
      </c>
      <c r="AU71" s="187">
        <v>3191.4779423240034</v>
      </c>
      <c r="AV71" s="184">
        <f t="shared" si="63"/>
        <v>167.97252328021071</v>
      </c>
      <c r="AW71" s="181">
        <f t="shared" si="64"/>
        <v>2</v>
      </c>
      <c r="AX71" s="612"/>
    </row>
    <row r="72" spans="2:50" ht="14.25" customHeight="1">
      <c r="B72" s="611"/>
      <c r="C72" s="179">
        <v>6</v>
      </c>
      <c r="D72" s="182" t="s">
        <v>630</v>
      </c>
      <c r="E72" s="179">
        <v>24</v>
      </c>
      <c r="F72" s="179">
        <v>3600</v>
      </c>
      <c r="G72" s="184">
        <f t="shared" si="49"/>
        <v>150</v>
      </c>
      <c r="H72" s="612"/>
      <c r="I72" s="185">
        <f t="shared" si="51"/>
        <v>24</v>
      </c>
      <c r="J72" s="185">
        <f t="shared" si="51"/>
        <v>3265.4590968270991</v>
      </c>
      <c r="K72" s="186">
        <f t="shared" si="51"/>
        <v>136.06079570112911</v>
      </c>
      <c r="L72" s="613"/>
      <c r="M72" s="185">
        <f>RANK(K72, K$67:$K$81)</f>
        <v>7</v>
      </c>
      <c r="N72" s="611"/>
      <c r="O72" s="611"/>
      <c r="P72" s="187">
        <v>24</v>
      </c>
      <c r="Q72" s="187">
        <v>3266.3848111128136</v>
      </c>
      <c r="R72" s="184">
        <f t="shared" si="52"/>
        <v>136.09936712970057</v>
      </c>
      <c r="S72" s="181">
        <f t="shared" si="53"/>
        <v>6</v>
      </c>
      <c r="T72" s="612"/>
      <c r="U72" s="187">
        <v>24</v>
      </c>
      <c r="V72" s="187">
        <v>3265.3048111128132</v>
      </c>
      <c r="W72" s="184">
        <f t="shared" si="50"/>
        <v>136.05436712970055</v>
      </c>
      <c r="X72" s="181">
        <f t="shared" si="54"/>
        <v>7</v>
      </c>
      <c r="Y72" s="612"/>
      <c r="Z72" s="187">
        <v>24</v>
      </c>
      <c r="AA72" s="187">
        <v>3266.0248111128135</v>
      </c>
      <c r="AB72" s="184">
        <f t="shared" si="55"/>
        <v>136.08436712970055</v>
      </c>
      <c r="AC72" s="181">
        <f t="shared" si="56"/>
        <v>7</v>
      </c>
      <c r="AD72" s="612"/>
      <c r="AE72" s="187">
        <v>24</v>
      </c>
      <c r="AF72" s="187">
        <v>3264.5848111128134</v>
      </c>
      <c r="AG72" s="184">
        <f t="shared" si="57"/>
        <v>136.02436712970055</v>
      </c>
      <c r="AH72" s="181">
        <f t="shared" si="58"/>
        <v>7</v>
      </c>
      <c r="AI72" s="612"/>
      <c r="AJ72" s="187">
        <v>24</v>
      </c>
      <c r="AK72" s="187">
        <v>3265.3048111128132</v>
      </c>
      <c r="AL72" s="184">
        <f t="shared" si="59"/>
        <v>136.05436712970055</v>
      </c>
      <c r="AM72" s="181">
        <f t="shared" si="60"/>
        <v>7</v>
      </c>
      <c r="AN72" s="612"/>
      <c r="AO72" s="187">
        <v>24</v>
      </c>
      <c r="AP72" s="187">
        <v>3265.3048111128132</v>
      </c>
      <c r="AQ72" s="184">
        <f t="shared" si="61"/>
        <v>136.05436712970055</v>
      </c>
      <c r="AR72" s="181">
        <f t="shared" si="62"/>
        <v>8</v>
      </c>
      <c r="AS72" s="612"/>
      <c r="AT72" s="187">
        <v>24</v>
      </c>
      <c r="AU72" s="187">
        <v>3265.3048111128132</v>
      </c>
      <c r="AV72" s="184">
        <f t="shared" si="63"/>
        <v>136.05436712970055</v>
      </c>
      <c r="AW72" s="181">
        <f t="shared" si="64"/>
        <v>8</v>
      </c>
      <c r="AX72" s="612"/>
    </row>
    <row r="73" spans="2:50" ht="14.25" customHeight="1">
      <c r="B73" s="611"/>
      <c r="C73" s="179">
        <v>7</v>
      </c>
      <c r="D73" s="182" t="s">
        <v>752</v>
      </c>
      <c r="E73" s="179">
        <v>20</v>
      </c>
      <c r="F73" s="179">
        <v>3600</v>
      </c>
      <c r="G73" s="184">
        <f t="shared" si="49"/>
        <v>180</v>
      </c>
      <c r="H73" s="612"/>
      <c r="I73" s="185">
        <f t="shared" si="51"/>
        <v>20</v>
      </c>
      <c r="J73" s="185">
        <f t="shared" si="51"/>
        <v>3258.9117081155941</v>
      </c>
      <c r="K73" s="186">
        <f t="shared" si="51"/>
        <v>162.94558540577972</v>
      </c>
      <c r="L73" s="613"/>
      <c r="M73" s="185">
        <f>RANK(K73, K$67:$K$81)</f>
        <v>3</v>
      </c>
      <c r="N73" s="611"/>
      <c r="O73" s="611"/>
      <c r="P73" s="187">
        <v>20</v>
      </c>
      <c r="Q73" s="187">
        <v>3258.797707187759</v>
      </c>
      <c r="R73" s="184">
        <f t="shared" si="52"/>
        <v>162.93988535938794</v>
      </c>
      <c r="S73" s="181">
        <f t="shared" si="53"/>
        <v>3</v>
      </c>
      <c r="T73" s="612"/>
      <c r="U73" s="187">
        <v>20</v>
      </c>
      <c r="V73" s="187">
        <v>3258.0777071877592</v>
      </c>
      <c r="W73" s="184">
        <f t="shared" si="50"/>
        <v>162.90388535938797</v>
      </c>
      <c r="X73" s="181">
        <f t="shared" si="54"/>
        <v>3</v>
      </c>
      <c r="Y73" s="612"/>
      <c r="Z73" s="187">
        <v>20</v>
      </c>
      <c r="AA73" s="187">
        <v>3258.0777071877592</v>
      </c>
      <c r="AB73" s="184">
        <f t="shared" si="55"/>
        <v>162.90388535938797</v>
      </c>
      <c r="AC73" s="181">
        <f t="shared" si="56"/>
        <v>3</v>
      </c>
      <c r="AD73" s="612"/>
      <c r="AE73" s="187">
        <v>20</v>
      </c>
      <c r="AF73" s="187">
        <v>3259.5177071877592</v>
      </c>
      <c r="AG73" s="184">
        <f t="shared" si="57"/>
        <v>162.97588535938797</v>
      </c>
      <c r="AH73" s="181">
        <f t="shared" si="58"/>
        <v>4</v>
      </c>
      <c r="AI73" s="612"/>
      <c r="AJ73" s="187">
        <v>20</v>
      </c>
      <c r="AK73" s="187">
        <v>3257.71770718776</v>
      </c>
      <c r="AL73" s="184">
        <f t="shared" si="59"/>
        <v>162.885885359388</v>
      </c>
      <c r="AM73" s="181">
        <f t="shared" si="60"/>
        <v>4</v>
      </c>
      <c r="AN73" s="612"/>
      <c r="AO73" s="187">
        <v>20</v>
      </c>
      <c r="AP73" s="187">
        <v>3260.4567104351822</v>
      </c>
      <c r="AQ73" s="184">
        <f t="shared" si="61"/>
        <v>163.02283552175911</v>
      </c>
      <c r="AR73" s="181">
        <f t="shared" si="62"/>
        <v>3</v>
      </c>
      <c r="AS73" s="612"/>
      <c r="AT73" s="187">
        <v>20</v>
      </c>
      <c r="AU73" s="187">
        <v>3259.736710435182</v>
      </c>
      <c r="AV73" s="184">
        <f t="shared" si="63"/>
        <v>162.9868355217591</v>
      </c>
      <c r="AW73" s="181">
        <f t="shared" si="64"/>
        <v>4</v>
      </c>
      <c r="AX73" s="612"/>
    </row>
    <row r="74" spans="2:50" ht="14.25" customHeight="1">
      <c r="B74" s="611"/>
      <c r="C74" s="179">
        <v>8</v>
      </c>
      <c r="D74" s="182" t="s">
        <v>850</v>
      </c>
      <c r="E74" s="179">
        <v>22</v>
      </c>
      <c r="F74" s="179">
        <v>3600</v>
      </c>
      <c r="G74" s="184">
        <f t="shared" si="49"/>
        <v>163.63636363636363</v>
      </c>
      <c r="H74" s="612"/>
      <c r="I74" s="185">
        <f t="shared" si="51"/>
        <v>22</v>
      </c>
      <c r="J74" s="185">
        <f t="shared" si="51"/>
        <v>3132.5637243655356</v>
      </c>
      <c r="K74" s="186">
        <f t="shared" si="51"/>
        <v>142.38926019843342</v>
      </c>
      <c r="L74" s="613"/>
      <c r="M74" s="185">
        <f>RANK(K74, K$67:$K$81)</f>
        <v>6</v>
      </c>
      <c r="N74" s="611"/>
      <c r="O74" s="611"/>
      <c r="P74" s="187">
        <v>22</v>
      </c>
      <c r="Q74" s="187">
        <v>2959</v>
      </c>
      <c r="R74" s="184">
        <f t="shared" si="52"/>
        <v>134.5</v>
      </c>
      <c r="S74" s="181">
        <f t="shared" si="53"/>
        <v>8</v>
      </c>
      <c r="T74" s="612"/>
      <c r="U74" s="187">
        <v>22</v>
      </c>
      <c r="V74" s="187">
        <v>3018.18</v>
      </c>
      <c r="W74" s="184">
        <f t="shared" si="50"/>
        <v>137.19</v>
      </c>
      <c r="X74" s="181">
        <f t="shared" si="54"/>
        <v>6</v>
      </c>
      <c r="Y74" s="612"/>
      <c r="Z74" s="187">
        <v>22</v>
      </c>
      <c r="AA74" s="187">
        <v>3077.4420000000005</v>
      </c>
      <c r="AB74" s="184">
        <f t="shared" si="55"/>
        <v>139.8837272727273</v>
      </c>
      <c r="AC74" s="181">
        <f t="shared" si="56"/>
        <v>6</v>
      </c>
      <c r="AD74" s="612"/>
      <c r="AE74" s="187">
        <v>22</v>
      </c>
      <c r="AF74" s="187">
        <v>3138.9908400000004</v>
      </c>
      <c r="AG74" s="184">
        <f t="shared" si="57"/>
        <v>142.68140181818183</v>
      </c>
      <c r="AH74" s="181">
        <f t="shared" si="58"/>
        <v>6</v>
      </c>
      <c r="AI74" s="612"/>
      <c r="AJ74" s="187">
        <v>22</v>
      </c>
      <c r="AK74" s="187">
        <v>3210.0827893200003</v>
      </c>
      <c r="AL74" s="184">
        <f t="shared" si="59"/>
        <v>145.91285406</v>
      </c>
      <c r="AM74" s="181">
        <f t="shared" si="60"/>
        <v>6</v>
      </c>
      <c r="AN74" s="612"/>
      <c r="AO74" s="187">
        <v>22</v>
      </c>
      <c r="AP74" s="187">
        <v>3261.585220619374</v>
      </c>
      <c r="AQ74" s="184">
        <f t="shared" si="61"/>
        <v>148.25387366451699</v>
      </c>
      <c r="AR74" s="181">
        <f t="shared" si="62"/>
        <v>6</v>
      </c>
      <c r="AS74" s="612"/>
      <c r="AT74" s="187">
        <v>22</v>
      </c>
      <c r="AU74" s="187">
        <v>3262.6652206193739</v>
      </c>
      <c r="AV74" s="184">
        <f t="shared" si="63"/>
        <v>148.30296457360791</v>
      </c>
      <c r="AW74" s="181">
        <f t="shared" si="64"/>
        <v>6</v>
      </c>
      <c r="AX74" s="612"/>
    </row>
    <row r="75" spans="2:50" ht="14.25" customHeight="1">
      <c r="B75" s="611"/>
      <c r="C75" s="179">
        <v>9</v>
      </c>
      <c r="D75" s="182"/>
      <c r="E75" s="179"/>
      <c r="F75" s="179"/>
      <c r="G75" s="184"/>
      <c r="H75" s="612"/>
      <c r="I75" s="185"/>
      <c r="J75" s="185"/>
      <c r="K75" s="186"/>
      <c r="L75" s="613"/>
      <c r="M75" s="185"/>
      <c r="N75" s="611"/>
      <c r="O75" s="611"/>
      <c r="P75" s="187"/>
      <c r="Q75" s="187"/>
      <c r="R75" s="184"/>
      <c r="S75" s="181"/>
      <c r="T75" s="612"/>
      <c r="U75" s="187"/>
      <c r="V75" s="187"/>
      <c r="W75" s="184"/>
      <c r="X75" s="181"/>
      <c r="Y75" s="612"/>
      <c r="Z75" s="187"/>
      <c r="AA75" s="187"/>
      <c r="AB75" s="184"/>
      <c r="AC75" s="181"/>
      <c r="AD75" s="612"/>
      <c r="AE75" s="187"/>
      <c r="AF75" s="187"/>
      <c r="AG75" s="184"/>
      <c r="AH75" s="181"/>
      <c r="AI75" s="612"/>
      <c r="AJ75" s="187"/>
      <c r="AK75" s="187"/>
      <c r="AL75" s="184"/>
      <c r="AM75" s="181"/>
      <c r="AN75" s="612"/>
      <c r="AO75" s="187"/>
      <c r="AP75" s="187"/>
      <c r="AQ75" s="184"/>
      <c r="AR75" s="181"/>
      <c r="AS75" s="612"/>
      <c r="AT75" s="187"/>
      <c r="AU75" s="187"/>
      <c r="AV75" s="184"/>
      <c r="AW75" s="181"/>
      <c r="AX75" s="612"/>
    </row>
    <row r="76" spans="2:50" ht="14.25" customHeight="1">
      <c r="B76" s="611"/>
      <c r="C76" s="179">
        <v>10</v>
      </c>
      <c r="D76" s="182"/>
      <c r="E76" s="179"/>
      <c r="F76" s="179"/>
      <c r="G76" s="184"/>
      <c r="H76" s="612"/>
      <c r="I76" s="185"/>
      <c r="J76" s="185"/>
      <c r="K76" s="186"/>
      <c r="L76" s="613"/>
      <c r="M76" s="185"/>
      <c r="N76" s="611"/>
      <c r="O76" s="611"/>
      <c r="P76" s="187"/>
      <c r="Q76" s="187"/>
      <c r="R76" s="184"/>
      <c r="S76" s="181"/>
      <c r="T76" s="612"/>
      <c r="U76" s="187"/>
      <c r="V76" s="187"/>
      <c r="W76" s="184"/>
      <c r="X76" s="181"/>
      <c r="Y76" s="612"/>
      <c r="Z76" s="187"/>
      <c r="AA76" s="187"/>
      <c r="AB76" s="184"/>
      <c r="AC76" s="181"/>
      <c r="AD76" s="612"/>
      <c r="AE76" s="187"/>
      <c r="AF76" s="187"/>
      <c r="AG76" s="184"/>
      <c r="AH76" s="181"/>
      <c r="AI76" s="612"/>
      <c r="AJ76" s="187"/>
      <c r="AK76" s="187"/>
      <c r="AL76" s="184"/>
      <c r="AM76" s="181"/>
      <c r="AN76" s="612"/>
      <c r="AO76" s="187"/>
      <c r="AP76" s="187"/>
      <c r="AQ76" s="184"/>
      <c r="AR76" s="181"/>
      <c r="AS76" s="612"/>
      <c r="AT76" s="187"/>
      <c r="AU76" s="187"/>
      <c r="AV76" s="184"/>
      <c r="AW76" s="181"/>
      <c r="AX76" s="612"/>
    </row>
    <row r="77" spans="2:50" ht="14.25" customHeight="1">
      <c r="B77" s="611"/>
      <c r="C77" s="179">
        <v>11</v>
      </c>
      <c r="D77" s="182"/>
      <c r="E77" s="179"/>
      <c r="F77" s="179"/>
      <c r="G77" s="184"/>
      <c r="H77" s="612"/>
      <c r="I77" s="185"/>
      <c r="J77" s="185"/>
      <c r="K77" s="186"/>
      <c r="L77" s="613"/>
      <c r="M77" s="185"/>
      <c r="N77" s="611"/>
      <c r="O77" s="611"/>
      <c r="P77" s="187"/>
      <c r="Q77" s="187"/>
      <c r="R77" s="184"/>
      <c r="S77" s="181"/>
      <c r="T77" s="612"/>
      <c r="U77" s="187"/>
      <c r="V77" s="187"/>
      <c r="W77" s="184"/>
      <c r="X77" s="181"/>
      <c r="Y77" s="612"/>
      <c r="Z77" s="187"/>
      <c r="AA77" s="187"/>
      <c r="AB77" s="184"/>
      <c r="AC77" s="181"/>
      <c r="AD77" s="612"/>
      <c r="AE77" s="187"/>
      <c r="AF77" s="187"/>
      <c r="AG77" s="184"/>
      <c r="AH77" s="181"/>
      <c r="AI77" s="612"/>
      <c r="AJ77" s="187"/>
      <c r="AK77" s="187"/>
      <c r="AL77" s="184"/>
      <c r="AM77" s="181"/>
      <c r="AN77" s="612"/>
      <c r="AO77" s="187"/>
      <c r="AP77" s="187"/>
      <c r="AQ77" s="184"/>
      <c r="AR77" s="181"/>
      <c r="AS77" s="612"/>
      <c r="AT77" s="187"/>
      <c r="AU77" s="187"/>
      <c r="AV77" s="184"/>
      <c r="AW77" s="181"/>
      <c r="AX77" s="612"/>
    </row>
    <row r="78" spans="2:50" ht="14.25" customHeight="1">
      <c r="B78" s="611"/>
      <c r="C78" s="179">
        <v>12</v>
      </c>
      <c r="D78" s="182"/>
      <c r="E78" s="179"/>
      <c r="F78" s="179"/>
      <c r="G78" s="184"/>
      <c r="H78" s="612"/>
      <c r="I78" s="185"/>
      <c r="J78" s="185"/>
      <c r="K78" s="186"/>
      <c r="L78" s="613"/>
      <c r="M78" s="185"/>
      <c r="N78" s="611"/>
      <c r="O78" s="611"/>
      <c r="P78" s="187"/>
      <c r="Q78" s="187"/>
      <c r="R78" s="184"/>
      <c r="S78" s="181"/>
      <c r="T78" s="612"/>
      <c r="U78" s="187"/>
      <c r="V78" s="187"/>
      <c r="W78" s="184"/>
      <c r="X78" s="181"/>
      <c r="Y78" s="612"/>
      <c r="Z78" s="187"/>
      <c r="AA78" s="187"/>
      <c r="AB78" s="184"/>
      <c r="AC78" s="181"/>
      <c r="AD78" s="612"/>
      <c r="AE78" s="187"/>
      <c r="AF78" s="187"/>
      <c r="AG78" s="184"/>
      <c r="AH78" s="181"/>
      <c r="AI78" s="612"/>
      <c r="AJ78" s="187"/>
      <c r="AK78" s="187"/>
      <c r="AL78" s="184"/>
      <c r="AM78" s="181"/>
      <c r="AN78" s="612"/>
      <c r="AO78" s="187"/>
      <c r="AP78" s="187"/>
      <c r="AQ78" s="184"/>
      <c r="AR78" s="181"/>
      <c r="AS78" s="612"/>
      <c r="AT78" s="187"/>
      <c r="AU78" s="187"/>
      <c r="AV78" s="184"/>
      <c r="AW78" s="181"/>
      <c r="AX78" s="612"/>
    </row>
    <row r="79" spans="2:50" ht="14.25" customHeight="1">
      <c r="B79" s="611"/>
      <c r="C79" s="179">
        <v>13</v>
      </c>
      <c r="D79" s="182"/>
      <c r="E79" s="179"/>
      <c r="F79" s="179"/>
      <c r="G79" s="184"/>
      <c r="H79" s="612"/>
      <c r="I79" s="185"/>
      <c r="J79" s="185"/>
      <c r="K79" s="186"/>
      <c r="L79" s="613"/>
      <c r="M79" s="185"/>
      <c r="N79" s="611"/>
      <c r="O79" s="611"/>
      <c r="P79" s="187"/>
      <c r="Q79" s="187"/>
      <c r="R79" s="184"/>
      <c r="S79" s="181"/>
      <c r="T79" s="612"/>
      <c r="U79" s="187"/>
      <c r="V79" s="187"/>
      <c r="W79" s="184"/>
      <c r="X79" s="181"/>
      <c r="Y79" s="612"/>
      <c r="Z79" s="187"/>
      <c r="AA79" s="187"/>
      <c r="AB79" s="184"/>
      <c r="AC79" s="181"/>
      <c r="AD79" s="612"/>
      <c r="AE79" s="187"/>
      <c r="AF79" s="187"/>
      <c r="AG79" s="184"/>
      <c r="AH79" s="181"/>
      <c r="AI79" s="612"/>
      <c r="AJ79" s="187"/>
      <c r="AK79" s="187"/>
      <c r="AL79" s="184"/>
      <c r="AM79" s="181"/>
      <c r="AN79" s="612"/>
      <c r="AO79" s="187"/>
      <c r="AP79" s="187"/>
      <c r="AQ79" s="184"/>
      <c r="AR79" s="181"/>
      <c r="AS79" s="612"/>
      <c r="AT79" s="187"/>
      <c r="AU79" s="187"/>
      <c r="AV79" s="184"/>
      <c r="AW79" s="181"/>
      <c r="AX79" s="612"/>
    </row>
    <row r="80" spans="2:50" ht="14.25" customHeight="1">
      <c r="B80" s="611"/>
      <c r="C80" s="179">
        <v>14</v>
      </c>
      <c r="D80" s="182"/>
      <c r="E80" s="179"/>
      <c r="F80" s="179"/>
      <c r="G80" s="184"/>
      <c r="H80" s="612"/>
      <c r="I80" s="185"/>
      <c r="J80" s="185"/>
      <c r="K80" s="186"/>
      <c r="L80" s="613"/>
      <c r="M80" s="185"/>
      <c r="N80" s="611"/>
      <c r="O80" s="611"/>
      <c r="P80" s="187"/>
      <c r="Q80" s="187"/>
      <c r="R80" s="184"/>
      <c r="S80" s="181"/>
      <c r="T80" s="612"/>
      <c r="U80" s="187"/>
      <c r="V80" s="187"/>
      <c r="W80" s="184"/>
      <c r="X80" s="181"/>
      <c r="Y80" s="612"/>
      <c r="Z80" s="187"/>
      <c r="AA80" s="187"/>
      <c r="AB80" s="184"/>
      <c r="AC80" s="181"/>
      <c r="AD80" s="612"/>
      <c r="AE80" s="187"/>
      <c r="AF80" s="187"/>
      <c r="AG80" s="184"/>
      <c r="AH80" s="181"/>
      <c r="AI80" s="612"/>
      <c r="AJ80" s="187"/>
      <c r="AK80" s="187"/>
      <c r="AL80" s="184"/>
      <c r="AM80" s="181"/>
      <c r="AN80" s="612"/>
      <c r="AO80" s="187"/>
      <c r="AP80" s="187"/>
      <c r="AQ80" s="184"/>
      <c r="AR80" s="181"/>
      <c r="AS80" s="612"/>
      <c r="AT80" s="187"/>
      <c r="AU80" s="187"/>
      <c r="AV80" s="184"/>
      <c r="AW80" s="181"/>
      <c r="AX80" s="612"/>
    </row>
    <row r="81" spans="2:50" ht="14.25" customHeight="1">
      <c r="B81" s="611"/>
      <c r="C81" s="179">
        <v>15</v>
      </c>
      <c r="D81" s="182"/>
      <c r="E81" s="179"/>
      <c r="F81" s="179"/>
      <c r="G81" s="184"/>
      <c r="H81" s="612"/>
      <c r="I81" s="185"/>
      <c r="J81" s="185"/>
      <c r="K81" s="186"/>
      <c r="L81" s="613"/>
      <c r="M81" s="185"/>
      <c r="N81" s="611"/>
      <c r="O81" s="611"/>
      <c r="P81" s="187"/>
      <c r="Q81" s="187"/>
      <c r="R81" s="184"/>
      <c r="S81" s="181"/>
      <c r="T81" s="612"/>
      <c r="U81" s="187"/>
      <c r="V81" s="187"/>
      <c r="W81" s="184"/>
      <c r="X81" s="181"/>
      <c r="Y81" s="612"/>
      <c r="Z81" s="187"/>
      <c r="AA81" s="187"/>
      <c r="AB81" s="184"/>
      <c r="AC81" s="181"/>
      <c r="AD81" s="612"/>
      <c r="AE81" s="187"/>
      <c r="AF81" s="187"/>
      <c r="AG81" s="184"/>
      <c r="AH81" s="181"/>
      <c r="AI81" s="612"/>
      <c r="AJ81" s="187"/>
      <c r="AK81" s="187"/>
      <c r="AL81" s="184"/>
      <c r="AM81" s="181"/>
      <c r="AN81" s="612"/>
      <c r="AO81" s="187"/>
      <c r="AP81" s="187"/>
      <c r="AQ81" s="184"/>
      <c r="AR81" s="181"/>
      <c r="AS81" s="612"/>
      <c r="AT81" s="187"/>
      <c r="AU81" s="187"/>
      <c r="AV81" s="184"/>
      <c r="AW81" s="181"/>
      <c r="AX81" s="612"/>
    </row>
    <row r="82" spans="2:50" ht="14.25" customHeight="1">
      <c r="B82" s="640" t="s">
        <v>878</v>
      </c>
      <c r="C82" s="641"/>
      <c r="D82" s="641"/>
      <c r="E82" s="641"/>
      <c r="F82" s="641"/>
      <c r="G82" s="641"/>
      <c r="H82" s="641"/>
      <c r="I82" s="641"/>
      <c r="J82" s="641"/>
      <c r="K82" s="641"/>
      <c r="L82" s="641"/>
      <c r="M82" s="642"/>
      <c r="N82" s="645" t="s">
        <v>363</v>
      </c>
      <c r="O82" s="645" t="s">
        <v>105</v>
      </c>
      <c r="P82" s="632">
        <v>46231</v>
      </c>
      <c r="Q82" s="633"/>
      <c r="R82" s="633"/>
      <c r="S82" s="633"/>
      <c r="T82" s="633"/>
      <c r="U82" s="634">
        <v>46232</v>
      </c>
      <c r="V82" s="635"/>
      <c r="W82" s="635"/>
      <c r="X82" s="635"/>
      <c r="Y82" s="635"/>
      <c r="Z82" s="632">
        <v>46233</v>
      </c>
      <c r="AA82" s="633"/>
      <c r="AB82" s="633"/>
      <c r="AC82" s="633"/>
      <c r="AD82" s="633"/>
      <c r="AE82" s="634">
        <v>46234</v>
      </c>
      <c r="AF82" s="635"/>
      <c r="AG82" s="635"/>
      <c r="AH82" s="635"/>
      <c r="AI82" s="635"/>
      <c r="AJ82" s="616">
        <v>46235</v>
      </c>
      <c r="AK82" s="617"/>
      <c r="AL82" s="617"/>
      <c r="AM82" s="617"/>
      <c r="AN82" s="618"/>
      <c r="AO82" s="634">
        <v>46236</v>
      </c>
      <c r="AP82" s="635"/>
      <c r="AQ82" s="635"/>
      <c r="AR82" s="635"/>
      <c r="AS82" s="635"/>
      <c r="AT82" s="616">
        <v>46237</v>
      </c>
      <c r="AU82" s="617"/>
      <c r="AV82" s="617"/>
      <c r="AW82" s="617"/>
      <c r="AX82" s="618"/>
    </row>
    <row r="83" spans="2:50" ht="14.25" customHeight="1">
      <c r="B83" s="643"/>
      <c r="C83" s="643"/>
      <c r="D83" s="643"/>
      <c r="E83" s="643"/>
      <c r="F83" s="643"/>
      <c r="G83" s="643"/>
      <c r="H83" s="643"/>
      <c r="I83" s="643"/>
      <c r="J83" s="643"/>
      <c r="K83" s="643"/>
      <c r="L83" s="643"/>
      <c r="M83" s="644"/>
      <c r="N83" s="646"/>
      <c r="O83" s="646"/>
      <c r="P83" s="619">
        <v>46196</v>
      </c>
      <c r="Q83" s="619"/>
      <c r="R83" s="619"/>
      <c r="S83" s="619"/>
      <c r="T83" s="619"/>
      <c r="U83" s="620">
        <v>46197</v>
      </c>
      <c r="V83" s="620"/>
      <c r="W83" s="620"/>
      <c r="X83" s="620"/>
      <c r="Y83" s="620"/>
      <c r="Z83" s="619">
        <v>46198</v>
      </c>
      <c r="AA83" s="619"/>
      <c r="AB83" s="619"/>
      <c r="AC83" s="619"/>
      <c r="AD83" s="619"/>
      <c r="AE83" s="620">
        <v>46199</v>
      </c>
      <c r="AF83" s="620"/>
      <c r="AG83" s="620"/>
      <c r="AH83" s="620"/>
      <c r="AI83" s="620"/>
      <c r="AJ83" s="621">
        <v>46200</v>
      </c>
      <c r="AK83" s="622"/>
      <c r="AL83" s="622"/>
      <c r="AM83" s="622"/>
      <c r="AN83" s="623"/>
      <c r="AO83" s="620">
        <v>46201</v>
      </c>
      <c r="AP83" s="620"/>
      <c r="AQ83" s="620"/>
      <c r="AR83" s="620"/>
      <c r="AS83" s="620"/>
      <c r="AT83" s="621">
        <v>46202</v>
      </c>
      <c r="AU83" s="622"/>
      <c r="AV83" s="622"/>
      <c r="AW83" s="622"/>
      <c r="AX83" s="623"/>
    </row>
    <row r="84" spans="2:50" ht="14.25" customHeight="1">
      <c r="B84" s="611" t="s">
        <v>162</v>
      </c>
      <c r="C84" s="611" t="s">
        <v>157</v>
      </c>
      <c r="D84" s="611"/>
      <c r="E84" s="611" t="s">
        <v>158</v>
      </c>
      <c r="F84" s="611"/>
      <c r="G84" s="611"/>
      <c r="H84" s="611" t="s">
        <v>163</v>
      </c>
      <c r="I84" s="615" t="s">
        <v>364</v>
      </c>
      <c r="J84" s="615"/>
      <c r="K84" s="615"/>
      <c r="L84" s="615" t="s">
        <v>163</v>
      </c>
      <c r="M84" s="615" t="s">
        <v>165</v>
      </c>
      <c r="N84" s="611"/>
      <c r="O84" s="611" t="s">
        <v>164</v>
      </c>
      <c r="P84" s="611" t="s">
        <v>160</v>
      </c>
      <c r="Q84" s="611"/>
      <c r="R84" s="611"/>
      <c r="S84" s="611"/>
      <c r="T84" s="611" t="s">
        <v>163</v>
      </c>
      <c r="U84" s="611" t="s">
        <v>160</v>
      </c>
      <c r="V84" s="611"/>
      <c r="W84" s="611"/>
      <c r="X84" s="611"/>
      <c r="Y84" s="611" t="s">
        <v>163</v>
      </c>
      <c r="Z84" s="611" t="s">
        <v>160</v>
      </c>
      <c r="AA84" s="611"/>
      <c r="AB84" s="611"/>
      <c r="AC84" s="611"/>
      <c r="AD84" s="611" t="s">
        <v>163</v>
      </c>
      <c r="AE84" s="611" t="s">
        <v>160</v>
      </c>
      <c r="AF84" s="611"/>
      <c r="AG84" s="611"/>
      <c r="AH84" s="611"/>
      <c r="AI84" s="611" t="s">
        <v>163</v>
      </c>
      <c r="AJ84" s="611" t="s">
        <v>160</v>
      </c>
      <c r="AK84" s="611"/>
      <c r="AL84" s="611"/>
      <c r="AM84" s="611"/>
      <c r="AN84" s="611" t="s">
        <v>163</v>
      </c>
      <c r="AO84" s="611" t="s">
        <v>160</v>
      </c>
      <c r="AP84" s="611"/>
      <c r="AQ84" s="611"/>
      <c r="AR84" s="611"/>
      <c r="AS84" s="611" t="s">
        <v>163</v>
      </c>
      <c r="AT84" s="611" t="s">
        <v>160</v>
      </c>
      <c r="AU84" s="611"/>
      <c r="AV84" s="611"/>
      <c r="AW84" s="611"/>
      <c r="AX84" s="611" t="s">
        <v>163</v>
      </c>
    </row>
    <row r="85" spans="2:50" ht="14.25" customHeight="1">
      <c r="B85" s="611"/>
      <c r="C85" s="611"/>
      <c r="D85" s="611"/>
      <c r="E85" s="611" t="s">
        <v>365</v>
      </c>
      <c r="F85" s="611"/>
      <c r="G85" s="611"/>
      <c r="H85" s="611"/>
      <c r="I85" s="615" t="s">
        <v>365</v>
      </c>
      <c r="J85" s="615"/>
      <c r="K85" s="615"/>
      <c r="L85" s="615"/>
      <c r="M85" s="615"/>
      <c r="N85" s="611"/>
      <c r="O85" s="611"/>
      <c r="P85" s="611" t="s">
        <v>366</v>
      </c>
      <c r="Q85" s="611"/>
      <c r="R85" s="611"/>
      <c r="S85" s="611"/>
      <c r="T85" s="611"/>
      <c r="U85" s="611" t="s">
        <v>366</v>
      </c>
      <c r="V85" s="611"/>
      <c r="W85" s="611"/>
      <c r="X85" s="611"/>
      <c r="Y85" s="611"/>
      <c r="Z85" s="611" t="s">
        <v>366</v>
      </c>
      <c r="AA85" s="611"/>
      <c r="AB85" s="611"/>
      <c r="AC85" s="611"/>
      <c r="AD85" s="611"/>
      <c r="AE85" s="611" t="s">
        <v>366</v>
      </c>
      <c r="AF85" s="611"/>
      <c r="AG85" s="611"/>
      <c r="AH85" s="611"/>
      <c r="AI85" s="611"/>
      <c r="AJ85" s="611" t="s">
        <v>366</v>
      </c>
      <c r="AK85" s="611"/>
      <c r="AL85" s="611"/>
      <c r="AM85" s="611"/>
      <c r="AN85" s="611"/>
      <c r="AO85" s="611" t="s">
        <v>366</v>
      </c>
      <c r="AP85" s="611"/>
      <c r="AQ85" s="611"/>
      <c r="AR85" s="611"/>
      <c r="AS85" s="611"/>
      <c r="AT85" s="611" t="s">
        <v>366</v>
      </c>
      <c r="AU85" s="611"/>
      <c r="AV85" s="611"/>
      <c r="AW85" s="611"/>
      <c r="AX85" s="611"/>
    </row>
    <row r="86" spans="2:50" ht="14.25" customHeight="1">
      <c r="B86" s="611"/>
      <c r="C86" s="611"/>
      <c r="D86" s="611"/>
      <c r="E86" s="179" t="s">
        <v>159</v>
      </c>
      <c r="F86" s="179" t="s">
        <v>367</v>
      </c>
      <c r="G86" s="179" t="s">
        <v>161</v>
      </c>
      <c r="H86" s="611"/>
      <c r="I86" s="180" t="s">
        <v>159</v>
      </c>
      <c r="J86" s="180" t="s">
        <v>367</v>
      </c>
      <c r="K86" s="180" t="s">
        <v>161</v>
      </c>
      <c r="L86" s="615"/>
      <c r="M86" s="615"/>
      <c r="N86" s="611"/>
      <c r="O86" s="611"/>
      <c r="P86" s="179" t="s">
        <v>159</v>
      </c>
      <c r="Q86" s="179" t="s">
        <v>367</v>
      </c>
      <c r="R86" s="179" t="s">
        <v>161</v>
      </c>
      <c r="S86" s="181" t="s">
        <v>165</v>
      </c>
      <c r="T86" s="611"/>
      <c r="U86" s="179" t="s">
        <v>159</v>
      </c>
      <c r="V86" s="179" t="s">
        <v>367</v>
      </c>
      <c r="W86" s="179" t="s">
        <v>161</v>
      </c>
      <c r="X86" s="181" t="s">
        <v>165</v>
      </c>
      <c r="Y86" s="611"/>
      <c r="Z86" s="179" t="s">
        <v>159</v>
      </c>
      <c r="AA86" s="179" t="s">
        <v>367</v>
      </c>
      <c r="AB86" s="179" t="s">
        <v>161</v>
      </c>
      <c r="AC86" s="181" t="s">
        <v>165</v>
      </c>
      <c r="AD86" s="611"/>
      <c r="AE86" s="179" t="s">
        <v>159</v>
      </c>
      <c r="AF86" s="179" t="s">
        <v>367</v>
      </c>
      <c r="AG86" s="179" t="s">
        <v>161</v>
      </c>
      <c r="AH86" s="181" t="s">
        <v>165</v>
      </c>
      <c r="AI86" s="611"/>
      <c r="AJ86" s="179" t="s">
        <v>159</v>
      </c>
      <c r="AK86" s="179" t="s">
        <v>367</v>
      </c>
      <c r="AL86" s="179" t="s">
        <v>161</v>
      </c>
      <c r="AM86" s="181" t="s">
        <v>165</v>
      </c>
      <c r="AN86" s="611"/>
      <c r="AO86" s="179" t="s">
        <v>159</v>
      </c>
      <c r="AP86" s="179" t="s">
        <v>367</v>
      </c>
      <c r="AQ86" s="179" t="s">
        <v>161</v>
      </c>
      <c r="AR86" s="181" t="s">
        <v>165</v>
      </c>
      <c r="AS86" s="611"/>
      <c r="AT86" s="179" t="s">
        <v>159</v>
      </c>
      <c r="AU86" s="179" t="s">
        <v>367</v>
      </c>
      <c r="AV86" s="179" t="s">
        <v>161</v>
      </c>
      <c r="AW86" s="181" t="s">
        <v>165</v>
      </c>
      <c r="AX86" s="611"/>
    </row>
    <row r="87" spans="2:50" ht="14.25" customHeight="1">
      <c r="B87" s="611" t="s">
        <v>371</v>
      </c>
      <c r="C87" s="179">
        <v>1</v>
      </c>
      <c r="D87" s="182" t="s">
        <v>531</v>
      </c>
      <c r="E87" s="183">
        <v>20</v>
      </c>
      <c r="F87" s="179">
        <v>3600</v>
      </c>
      <c r="G87" s="184">
        <f t="shared" ref="G87:G94" si="65">IFERROR(F87/E87,"")</f>
        <v>180</v>
      </c>
      <c r="H87" s="612">
        <f>AVERAGE(G87:G101)</f>
        <v>171.75153793574844</v>
      </c>
      <c r="I87" s="185">
        <f>AVERAGE(P87,U87,Z87,AE87,AJ87,AO87,AT87)</f>
        <v>20</v>
      </c>
      <c r="J87" s="185">
        <f>AVERAGE(Q87,V87,AA87,AF87,AK87,AP87,AU87)</f>
        <v>3266.9501893310226</v>
      </c>
      <c r="K87" s="186">
        <f>AVERAGE(R87,W87,AB87,AG87,AL87,AQ87,AV87)</f>
        <v>163.34750946655114</v>
      </c>
      <c r="L87" s="613">
        <f>IFERROR(AVERAGE(K87:K101),"-")</f>
        <v>154.82710267055958</v>
      </c>
      <c r="M87" s="185">
        <f>RANK(K87, K$87:$K$101)</f>
        <v>3</v>
      </c>
      <c r="N87" s="611"/>
      <c r="O87" s="611"/>
      <c r="P87" s="187">
        <v>20</v>
      </c>
      <c r="Q87" s="187">
        <v>3266.0612005177532</v>
      </c>
      <c r="R87" s="184">
        <f>IFERROR(Q87/P87,"")</f>
        <v>163.30306002588765</v>
      </c>
      <c r="S87" s="181">
        <f>RANK(R87, R$87:R$101)</f>
        <v>3</v>
      </c>
      <c r="T87" s="612">
        <f>AVERAGE(R87:R101)</f>
        <v>154.78254767997618</v>
      </c>
      <c r="U87" s="187">
        <v>20</v>
      </c>
      <c r="V87" s="187">
        <v>3267.5012005177532</v>
      </c>
      <c r="W87" s="184">
        <f t="shared" ref="W87:W94" si="66">IFERROR(V87/U87,"")</f>
        <v>163.37506002588765</v>
      </c>
      <c r="X87" s="181">
        <f>RANK(W87, W$87:W$101)</f>
        <v>3</v>
      </c>
      <c r="Y87" s="612">
        <f>AVERAGE(W87:W101)</f>
        <v>154.79905562597753</v>
      </c>
      <c r="Z87" s="187">
        <v>20</v>
      </c>
      <c r="AA87" s="187">
        <v>3268.2212005177525</v>
      </c>
      <c r="AB87" s="184">
        <f>IFERROR(AA87/Z87,"")</f>
        <v>163.41106002588762</v>
      </c>
      <c r="AC87" s="181">
        <f>RANK(AB87, AB$87:AB$101)</f>
        <v>3</v>
      </c>
      <c r="AD87" s="612">
        <f>AVERAGE(AB87:AB101)</f>
        <v>154.85371461374774</v>
      </c>
      <c r="AE87" s="187">
        <v>20</v>
      </c>
      <c r="AF87" s="187">
        <v>3267.1412005177531</v>
      </c>
      <c r="AG87" s="184">
        <f>IFERROR(AF87/AE87,"")</f>
        <v>163.35706002588765</v>
      </c>
      <c r="AH87" s="181">
        <f>RANK(AG87, AG$87:AG$101)</f>
        <v>3</v>
      </c>
      <c r="AI87" s="612">
        <f>AVERAGE(AG87:AG101)</f>
        <v>154.84512370465683</v>
      </c>
      <c r="AJ87" s="187">
        <v>20</v>
      </c>
      <c r="AK87" s="187">
        <v>3267.1412005177531</v>
      </c>
      <c r="AL87" s="184">
        <f>IFERROR(AK87/AJ87,"")</f>
        <v>163.35706002588765</v>
      </c>
      <c r="AM87" s="181">
        <f>RANK(AL87, AL$87:AL$101)</f>
        <v>3</v>
      </c>
      <c r="AN87" s="612">
        <f>AVERAGE(AL87:AL101)</f>
        <v>154.84822669478959</v>
      </c>
      <c r="AO87" s="187">
        <v>20</v>
      </c>
      <c r="AP87" s="187">
        <v>3265.3412005177529</v>
      </c>
      <c r="AQ87" s="184">
        <f>IFERROR(AP87/AO87,"")</f>
        <v>163.26706002588764</v>
      </c>
      <c r="AR87" s="181">
        <f>RANK(AQ87, AQ$87:AQ$101)</f>
        <v>3</v>
      </c>
      <c r="AS87" s="612">
        <f>AVERAGE(AQ87:AQ101)</f>
        <v>154.82572310627285</v>
      </c>
      <c r="AT87" s="187">
        <v>20</v>
      </c>
      <c r="AU87" s="187">
        <v>3267.2441222106399</v>
      </c>
      <c r="AV87" s="184">
        <f>IFERROR(AU87/AT87,"")</f>
        <v>163.36220611053199</v>
      </c>
      <c r="AW87" s="181">
        <f>RANK(AV87, AV$87:AV$101)</f>
        <v>3</v>
      </c>
      <c r="AX87" s="612">
        <f>AVERAGE(AV87:AV101)</f>
        <v>154.83532726849637</v>
      </c>
    </row>
    <row r="88" spans="2:50" ht="14.25" customHeight="1">
      <c r="B88" s="611"/>
      <c r="C88" s="179">
        <v>2</v>
      </c>
      <c r="D88" s="182" t="s">
        <v>532</v>
      </c>
      <c r="E88" s="179">
        <v>21</v>
      </c>
      <c r="F88" s="179">
        <v>3600</v>
      </c>
      <c r="G88" s="184">
        <f t="shared" si="65"/>
        <v>171.42857142857142</v>
      </c>
      <c r="H88" s="612"/>
      <c r="I88" s="185">
        <f t="shared" ref="I88:K94" si="67">AVERAGE(P88,U88,Z88,AE88,AJ88,AO88,AT88)</f>
        <v>21</v>
      </c>
      <c r="J88" s="185">
        <f t="shared" si="67"/>
        <v>3267.3140019737198</v>
      </c>
      <c r="K88" s="186">
        <f t="shared" si="67"/>
        <v>155.58638104636762</v>
      </c>
      <c r="L88" s="613"/>
      <c r="M88" s="185">
        <f>RANK(K88, K$87:$K$101)</f>
        <v>5</v>
      </c>
      <c r="N88" s="611"/>
      <c r="O88" s="611"/>
      <c r="P88" s="187">
        <v>21</v>
      </c>
      <c r="Q88" s="187">
        <v>3264.7089067680158</v>
      </c>
      <c r="R88" s="184">
        <f t="shared" ref="R88:R94" si="68">IFERROR(Q88/P88,"")</f>
        <v>155.46232889371504</v>
      </c>
      <c r="S88" s="181">
        <f t="shared" ref="S88:S94" si="69">RANK(R88, R$87:R$101)</f>
        <v>5</v>
      </c>
      <c r="T88" s="612"/>
      <c r="U88" s="187">
        <v>21</v>
      </c>
      <c r="V88" s="187">
        <v>3263.988906768016</v>
      </c>
      <c r="W88" s="184">
        <f t="shared" si="66"/>
        <v>155.42804317942932</v>
      </c>
      <c r="X88" s="181">
        <f t="shared" ref="X88:X94" si="70">RANK(W88, W$87:W$101)</f>
        <v>5</v>
      </c>
      <c r="Y88" s="612"/>
      <c r="Z88" s="187">
        <v>21</v>
      </c>
      <c r="AA88" s="187">
        <v>3268.2120400560016</v>
      </c>
      <c r="AB88" s="184">
        <f t="shared" ref="AB88:AB94" si="71">IFERROR(AA88/Z88,"")</f>
        <v>155.62914476457149</v>
      </c>
      <c r="AC88" s="181">
        <f t="shared" ref="AC88:AC94" si="72">RANK(AB88, AB$87:AB$101)</f>
        <v>5</v>
      </c>
      <c r="AD88" s="612"/>
      <c r="AE88" s="187">
        <v>21</v>
      </c>
      <c r="AF88" s="187">
        <v>3268.212040056002</v>
      </c>
      <c r="AG88" s="184">
        <f t="shared" ref="AG88:AG94" si="73">IFERROR(AF88/AE88,"")</f>
        <v>155.62914476457152</v>
      </c>
      <c r="AH88" s="181">
        <f t="shared" ref="AH88:AH94" si="74">RANK(AG88, AG$87:AG$101)</f>
        <v>5</v>
      </c>
      <c r="AI88" s="612"/>
      <c r="AJ88" s="187">
        <v>21</v>
      </c>
      <c r="AK88" s="187">
        <v>3268.9320400560023</v>
      </c>
      <c r="AL88" s="184">
        <f t="shared" ref="AL88:AL94" si="75">IFERROR(AK88/AJ88,"")</f>
        <v>155.66343047885726</v>
      </c>
      <c r="AM88" s="181">
        <f t="shared" ref="AM88:AM94" si="76">RANK(AL88, AL$87:AL$101)</f>
        <v>5</v>
      </c>
      <c r="AN88" s="612"/>
      <c r="AO88" s="187">
        <v>21</v>
      </c>
      <c r="AP88" s="187">
        <v>3268.9320400560023</v>
      </c>
      <c r="AQ88" s="184">
        <f t="shared" ref="AQ88:AQ94" si="77">IFERROR(AP88/AO88,"")</f>
        <v>155.66343047885726</v>
      </c>
      <c r="AR88" s="181">
        <f t="shared" ref="AR88:AR94" si="78">RANK(AQ88, AQ$87:AQ$101)</f>
        <v>5</v>
      </c>
      <c r="AS88" s="612"/>
      <c r="AT88" s="187">
        <v>21</v>
      </c>
      <c r="AU88" s="187">
        <v>3268.2120400560029</v>
      </c>
      <c r="AV88" s="184">
        <f t="shared" ref="AV88:AV94" si="79">IFERROR(AU88/AT88,"")</f>
        <v>155.62914476457158</v>
      </c>
      <c r="AW88" s="181">
        <f t="shared" ref="AW88:AW94" si="80">RANK(AV88, AV$87:AV$101)</f>
        <v>5</v>
      </c>
      <c r="AX88" s="612"/>
    </row>
    <row r="89" spans="2:50" ht="14.25" customHeight="1">
      <c r="B89" s="611"/>
      <c r="C89" s="179">
        <v>3</v>
      </c>
      <c r="D89" s="182" t="s">
        <v>614</v>
      </c>
      <c r="E89" s="179">
        <v>19</v>
      </c>
      <c r="F89" s="179">
        <v>3600</v>
      </c>
      <c r="G89" s="184">
        <f t="shared" si="65"/>
        <v>189.47368421052633</v>
      </c>
      <c r="H89" s="612"/>
      <c r="I89" s="185">
        <f t="shared" si="67"/>
        <v>19</v>
      </c>
      <c r="J89" s="185">
        <f t="shared" si="67"/>
        <v>3192.7189541137695</v>
      </c>
      <c r="K89" s="186">
        <f t="shared" si="67"/>
        <v>168.03783969019838</v>
      </c>
      <c r="L89" s="613"/>
      <c r="M89" s="185">
        <f>RANK(K89, K$87:$K$101)</f>
        <v>1</v>
      </c>
      <c r="N89" s="611"/>
      <c r="O89" s="611"/>
      <c r="P89" s="187">
        <v>19</v>
      </c>
      <c r="Q89" s="187">
        <v>3193.4623507936567</v>
      </c>
      <c r="R89" s="184">
        <f t="shared" si="68"/>
        <v>168.07696583124508</v>
      </c>
      <c r="S89" s="181">
        <f t="shared" si="69"/>
        <v>1</v>
      </c>
      <c r="T89" s="612"/>
      <c r="U89" s="187">
        <v>19</v>
      </c>
      <c r="V89" s="187">
        <v>3194.5423507936562</v>
      </c>
      <c r="W89" s="184">
        <f t="shared" si="66"/>
        <v>168.13380793650822</v>
      </c>
      <c r="X89" s="181">
        <f t="shared" si="70"/>
        <v>1</v>
      </c>
      <c r="Y89" s="612"/>
      <c r="Z89" s="187">
        <v>19</v>
      </c>
      <c r="AA89" s="187">
        <v>3193.4623507936558</v>
      </c>
      <c r="AB89" s="184">
        <f t="shared" si="71"/>
        <v>168.07696583124505</v>
      </c>
      <c r="AC89" s="181">
        <f t="shared" si="72"/>
        <v>1</v>
      </c>
      <c r="AD89" s="612"/>
      <c r="AE89" s="187">
        <v>19</v>
      </c>
      <c r="AF89" s="187">
        <v>3192.0223507936553</v>
      </c>
      <c r="AG89" s="184">
        <f t="shared" si="73"/>
        <v>168.00117635756081</v>
      </c>
      <c r="AH89" s="181">
        <f t="shared" si="74"/>
        <v>1</v>
      </c>
      <c r="AI89" s="612"/>
      <c r="AJ89" s="187">
        <v>19</v>
      </c>
      <c r="AK89" s="187">
        <v>3191.4877585405879</v>
      </c>
      <c r="AL89" s="184">
        <f t="shared" si="75"/>
        <v>167.97303992318885</v>
      </c>
      <c r="AM89" s="181">
        <f t="shared" si="76"/>
        <v>2</v>
      </c>
      <c r="AN89" s="612"/>
      <c r="AO89" s="187">
        <v>19</v>
      </c>
      <c r="AP89" s="187">
        <v>3191.8477585405881</v>
      </c>
      <c r="AQ89" s="184">
        <f t="shared" si="77"/>
        <v>167.99198729160989</v>
      </c>
      <c r="AR89" s="181">
        <f t="shared" si="78"/>
        <v>2</v>
      </c>
      <c r="AS89" s="612"/>
      <c r="AT89" s="187">
        <v>19</v>
      </c>
      <c r="AU89" s="187">
        <v>3192.2077585405868</v>
      </c>
      <c r="AV89" s="184">
        <f t="shared" si="79"/>
        <v>168.0109346600309</v>
      </c>
      <c r="AW89" s="181">
        <f t="shared" si="80"/>
        <v>1</v>
      </c>
      <c r="AX89" s="612"/>
    </row>
    <row r="90" spans="2:50" ht="14.25" customHeight="1">
      <c r="B90" s="611"/>
      <c r="C90" s="179">
        <v>4</v>
      </c>
      <c r="D90" s="182" t="s">
        <v>597</v>
      </c>
      <c r="E90" s="179">
        <v>24</v>
      </c>
      <c r="F90" s="179">
        <v>3600</v>
      </c>
      <c r="G90" s="184">
        <f t="shared" si="65"/>
        <v>150</v>
      </c>
      <c r="H90" s="612"/>
      <c r="I90" s="185">
        <f t="shared" si="67"/>
        <v>24</v>
      </c>
      <c r="J90" s="185">
        <f t="shared" si="67"/>
        <v>3267.2659825817213</v>
      </c>
      <c r="K90" s="186">
        <f t="shared" si="67"/>
        <v>136.13608260757172</v>
      </c>
      <c r="L90" s="613"/>
      <c r="M90" s="185">
        <f>RANK(K90, K$87:$K$101)</f>
        <v>7</v>
      </c>
      <c r="N90" s="611"/>
      <c r="O90" s="611"/>
      <c r="P90" s="187">
        <v>24</v>
      </c>
      <c r="Q90" s="187">
        <v>3266.1257077107748</v>
      </c>
      <c r="R90" s="184">
        <f t="shared" si="68"/>
        <v>136.08857115461561</v>
      </c>
      <c r="S90" s="181">
        <f t="shared" si="69"/>
        <v>7</v>
      </c>
      <c r="T90" s="612"/>
      <c r="U90" s="187">
        <v>24</v>
      </c>
      <c r="V90" s="187">
        <v>3266.1257077107743</v>
      </c>
      <c r="W90" s="184">
        <f t="shared" si="66"/>
        <v>136.08857115461561</v>
      </c>
      <c r="X90" s="181">
        <f t="shared" si="70"/>
        <v>7</v>
      </c>
      <c r="Y90" s="612"/>
      <c r="Z90" s="187">
        <v>24</v>
      </c>
      <c r="AA90" s="187">
        <v>3268.7065440095375</v>
      </c>
      <c r="AB90" s="184">
        <f t="shared" si="71"/>
        <v>136.19610600039741</v>
      </c>
      <c r="AC90" s="181">
        <f t="shared" si="72"/>
        <v>7</v>
      </c>
      <c r="AD90" s="612"/>
      <c r="AE90" s="187">
        <v>24</v>
      </c>
      <c r="AF90" s="187">
        <v>3267.6265440095376</v>
      </c>
      <c r="AG90" s="184">
        <f t="shared" si="73"/>
        <v>136.15110600039739</v>
      </c>
      <c r="AH90" s="181">
        <f t="shared" si="74"/>
        <v>8</v>
      </c>
      <c r="AI90" s="612"/>
      <c r="AJ90" s="187">
        <v>24</v>
      </c>
      <c r="AK90" s="187">
        <v>3268.3465440095379</v>
      </c>
      <c r="AL90" s="184">
        <f t="shared" si="75"/>
        <v>136.18110600039742</v>
      </c>
      <c r="AM90" s="181">
        <f t="shared" si="76"/>
        <v>8</v>
      </c>
      <c r="AN90" s="612"/>
      <c r="AO90" s="187">
        <v>24</v>
      </c>
      <c r="AP90" s="187">
        <v>3266.5465440095381</v>
      </c>
      <c r="AQ90" s="184">
        <f t="shared" si="77"/>
        <v>136.10610600039743</v>
      </c>
      <c r="AR90" s="181">
        <f t="shared" si="78"/>
        <v>8</v>
      </c>
      <c r="AS90" s="612"/>
      <c r="AT90" s="187">
        <v>24</v>
      </c>
      <c r="AU90" s="187">
        <v>3267.3842866123496</v>
      </c>
      <c r="AV90" s="184">
        <f t="shared" si="79"/>
        <v>136.14101194218122</v>
      </c>
      <c r="AW90" s="181">
        <f t="shared" si="80"/>
        <v>8</v>
      </c>
      <c r="AX90" s="612"/>
    </row>
    <row r="91" spans="2:50" ht="14.25" customHeight="1">
      <c r="B91" s="611"/>
      <c r="C91" s="179">
        <v>5</v>
      </c>
      <c r="D91" s="182" t="s">
        <v>533</v>
      </c>
      <c r="E91" s="179">
        <v>19</v>
      </c>
      <c r="F91" s="179">
        <v>3600</v>
      </c>
      <c r="G91" s="184">
        <f t="shared" si="65"/>
        <v>189.47368421052633</v>
      </c>
      <c r="H91" s="612"/>
      <c r="I91" s="185">
        <f t="shared" si="67"/>
        <v>19</v>
      </c>
      <c r="J91" s="185">
        <f t="shared" si="67"/>
        <v>3191.5807994668603</v>
      </c>
      <c r="K91" s="186">
        <f t="shared" si="67"/>
        <v>167.97793681404528</v>
      </c>
      <c r="L91" s="613"/>
      <c r="M91" s="185">
        <f>RANK(K91, K$87:$K$101)</f>
        <v>2</v>
      </c>
      <c r="N91" s="611"/>
      <c r="O91" s="611"/>
      <c r="P91" s="187">
        <v>19</v>
      </c>
      <c r="Q91" s="187">
        <v>3191.8379423240031</v>
      </c>
      <c r="R91" s="184">
        <f t="shared" si="68"/>
        <v>167.99147064863175</v>
      </c>
      <c r="S91" s="181">
        <f t="shared" si="69"/>
        <v>2</v>
      </c>
      <c r="T91" s="612"/>
      <c r="U91" s="187">
        <v>19</v>
      </c>
      <c r="V91" s="187">
        <v>3191.4779423240034</v>
      </c>
      <c r="W91" s="184">
        <f t="shared" si="66"/>
        <v>167.97252328021071</v>
      </c>
      <c r="X91" s="181">
        <f t="shared" si="70"/>
        <v>2</v>
      </c>
      <c r="Y91" s="612"/>
      <c r="Z91" s="187">
        <v>19</v>
      </c>
      <c r="AA91" s="187">
        <v>3190.0379423240033</v>
      </c>
      <c r="AB91" s="184">
        <f t="shared" si="71"/>
        <v>167.8967338065265</v>
      </c>
      <c r="AC91" s="181">
        <f t="shared" si="72"/>
        <v>2</v>
      </c>
      <c r="AD91" s="612"/>
      <c r="AE91" s="187">
        <v>19</v>
      </c>
      <c r="AF91" s="187">
        <v>3191.4779423240034</v>
      </c>
      <c r="AG91" s="184">
        <f t="shared" si="73"/>
        <v>167.97252328021071</v>
      </c>
      <c r="AH91" s="181">
        <f t="shared" si="74"/>
        <v>2</v>
      </c>
      <c r="AI91" s="612"/>
      <c r="AJ91" s="187">
        <v>19</v>
      </c>
      <c r="AK91" s="187">
        <v>3191.8379423240026</v>
      </c>
      <c r="AL91" s="184">
        <f t="shared" si="75"/>
        <v>167.99147064863172</v>
      </c>
      <c r="AM91" s="181">
        <f t="shared" si="76"/>
        <v>1</v>
      </c>
      <c r="AN91" s="612"/>
      <c r="AO91" s="187">
        <v>19</v>
      </c>
      <c r="AP91" s="187">
        <v>3192.9179423240021</v>
      </c>
      <c r="AQ91" s="184">
        <f t="shared" si="77"/>
        <v>168.04831275389483</v>
      </c>
      <c r="AR91" s="181">
        <f t="shared" si="78"/>
        <v>1</v>
      </c>
      <c r="AS91" s="612"/>
      <c r="AT91" s="187">
        <v>19</v>
      </c>
      <c r="AU91" s="187">
        <v>3191.477942324002</v>
      </c>
      <c r="AV91" s="184">
        <f t="shared" si="79"/>
        <v>167.97252328021062</v>
      </c>
      <c r="AW91" s="181">
        <f t="shared" si="80"/>
        <v>2</v>
      </c>
      <c r="AX91" s="612"/>
    </row>
    <row r="92" spans="2:50" ht="14.25" customHeight="1">
      <c r="B92" s="611"/>
      <c r="C92" s="179">
        <v>6</v>
      </c>
      <c r="D92" s="182" t="s">
        <v>630</v>
      </c>
      <c r="E92" s="179">
        <v>24</v>
      </c>
      <c r="F92" s="179">
        <v>3600</v>
      </c>
      <c r="G92" s="184">
        <f t="shared" si="65"/>
        <v>150</v>
      </c>
      <c r="H92" s="612"/>
      <c r="I92" s="185">
        <f t="shared" si="67"/>
        <v>24</v>
      </c>
      <c r="J92" s="185">
        <f t="shared" si="67"/>
        <v>3267.1187397653316</v>
      </c>
      <c r="K92" s="186">
        <f t="shared" si="67"/>
        <v>136.12994749022218</v>
      </c>
      <c r="L92" s="613"/>
      <c r="M92" s="185">
        <f>RANK(K92, K$87:$K$101)</f>
        <v>8</v>
      </c>
      <c r="N92" s="611"/>
      <c r="O92" s="611"/>
      <c r="P92" s="187">
        <v>24</v>
      </c>
      <c r="Q92" s="187">
        <v>3263.8648111128136</v>
      </c>
      <c r="R92" s="184">
        <f t="shared" si="68"/>
        <v>135.99436712970058</v>
      </c>
      <c r="S92" s="181">
        <f t="shared" si="69"/>
        <v>8</v>
      </c>
      <c r="T92" s="612"/>
      <c r="U92" s="187">
        <v>24</v>
      </c>
      <c r="V92" s="187">
        <v>3264.9448111128131</v>
      </c>
      <c r="W92" s="184">
        <f t="shared" si="66"/>
        <v>136.03936712970054</v>
      </c>
      <c r="X92" s="181">
        <f t="shared" si="70"/>
        <v>8</v>
      </c>
      <c r="Y92" s="612"/>
      <c r="Z92" s="187">
        <v>24</v>
      </c>
      <c r="AA92" s="187">
        <v>3268.3483112263402</v>
      </c>
      <c r="AB92" s="184">
        <f t="shared" si="71"/>
        <v>136.18117963443083</v>
      </c>
      <c r="AC92" s="181">
        <f t="shared" si="72"/>
        <v>8</v>
      </c>
      <c r="AD92" s="612"/>
      <c r="AE92" s="187">
        <v>24</v>
      </c>
      <c r="AF92" s="187">
        <v>3269.4283112263402</v>
      </c>
      <c r="AG92" s="184">
        <f t="shared" si="73"/>
        <v>136.22617963443085</v>
      </c>
      <c r="AH92" s="181">
        <f t="shared" si="74"/>
        <v>7</v>
      </c>
      <c r="AI92" s="612"/>
      <c r="AJ92" s="187">
        <v>24</v>
      </c>
      <c r="AK92" s="187">
        <v>3268.3483112263402</v>
      </c>
      <c r="AL92" s="184">
        <f t="shared" si="75"/>
        <v>136.18117963443083</v>
      </c>
      <c r="AM92" s="181">
        <f t="shared" si="76"/>
        <v>7</v>
      </c>
      <c r="AN92" s="612"/>
      <c r="AO92" s="187">
        <v>24</v>
      </c>
      <c r="AP92" s="187">
        <v>3267.2683112263394</v>
      </c>
      <c r="AQ92" s="184">
        <f t="shared" si="77"/>
        <v>136.13617963443082</v>
      </c>
      <c r="AR92" s="181">
        <f t="shared" si="78"/>
        <v>7</v>
      </c>
      <c r="AS92" s="612"/>
      <c r="AT92" s="187">
        <v>24</v>
      </c>
      <c r="AU92" s="187">
        <v>3267.6283112263391</v>
      </c>
      <c r="AV92" s="184">
        <f t="shared" si="79"/>
        <v>136.1511796344308</v>
      </c>
      <c r="AW92" s="181">
        <f t="shared" si="80"/>
        <v>7</v>
      </c>
      <c r="AX92" s="612"/>
    </row>
    <row r="93" spans="2:50" ht="14.25" customHeight="1">
      <c r="B93" s="611"/>
      <c r="C93" s="179">
        <v>7</v>
      </c>
      <c r="D93" s="182" t="s">
        <v>752</v>
      </c>
      <c r="E93" s="179">
        <v>20</v>
      </c>
      <c r="F93" s="179">
        <v>3600</v>
      </c>
      <c r="G93" s="184">
        <f t="shared" si="65"/>
        <v>180</v>
      </c>
      <c r="H93" s="612"/>
      <c r="I93" s="185">
        <f t="shared" si="67"/>
        <v>20</v>
      </c>
      <c r="J93" s="185">
        <f t="shared" si="67"/>
        <v>3260.9709961494686</v>
      </c>
      <c r="K93" s="186">
        <f t="shared" si="67"/>
        <v>163.04854980747339</v>
      </c>
      <c r="L93" s="613"/>
      <c r="M93" s="185">
        <f>RANK(K93, K$87:$K$101)</f>
        <v>4</v>
      </c>
      <c r="N93" s="611"/>
      <c r="O93" s="611"/>
      <c r="P93" s="187">
        <v>20</v>
      </c>
      <c r="Q93" s="187">
        <v>3261.176710435182</v>
      </c>
      <c r="R93" s="184">
        <f t="shared" si="68"/>
        <v>163.05883552175911</v>
      </c>
      <c r="S93" s="181">
        <f t="shared" si="69"/>
        <v>4</v>
      </c>
      <c r="T93" s="612"/>
      <c r="U93" s="187">
        <v>20</v>
      </c>
      <c r="V93" s="187">
        <v>3260.0967104351826</v>
      </c>
      <c r="W93" s="184">
        <f t="shared" si="66"/>
        <v>163.00483552175913</v>
      </c>
      <c r="X93" s="181">
        <f t="shared" si="70"/>
        <v>4</v>
      </c>
      <c r="Y93" s="612"/>
      <c r="Z93" s="187">
        <v>20</v>
      </c>
      <c r="AA93" s="187">
        <v>3260.4567104351827</v>
      </c>
      <c r="AB93" s="184">
        <f t="shared" si="71"/>
        <v>163.02283552175913</v>
      </c>
      <c r="AC93" s="181">
        <f t="shared" si="72"/>
        <v>4</v>
      </c>
      <c r="AD93" s="612"/>
      <c r="AE93" s="187">
        <v>20</v>
      </c>
      <c r="AF93" s="187">
        <v>3260.8167104351828</v>
      </c>
      <c r="AG93" s="184">
        <f t="shared" si="73"/>
        <v>163.04083552175913</v>
      </c>
      <c r="AH93" s="181">
        <f t="shared" si="74"/>
        <v>4</v>
      </c>
      <c r="AI93" s="612"/>
      <c r="AJ93" s="187">
        <v>20</v>
      </c>
      <c r="AK93" s="187">
        <v>3260.4567104351827</v>
      </c>
      <c r="AL93" s="184">
        <f t="shared" si="75"/>
        <v>163.02283552175913</v>
      </c>
      <c r="AM93" s="181">
        <f t="shared" si="76"/>
        <v>4</v>
      </c>
      <c r="AN93" s="612"/>
      <c r="AO93" s="187">
        <v>20</v>
      </c>
      <c r="AP93" s="187">
        <v>3261.1767104351829</v>
      </c>
      <c r="AQ93" s="184">
        <f t="shared" si="77"/>
        <v>163.05883552175914</v>
      </c>
      <c r="AR93" s="181">
        <f t="shared" si="78"/>
        <v>4</v>
      </c>
      <c r="AS93" s="612"/>
      <c r="AT93" s="187">
        <v>20</v>
      </c>
      <c r="AU93" s="187">
        <v>3262.6167104351825</v>
      </c>
      <c r="AV93" s="184">
        <f t="shared" si="79"/>
        <v>163.13083552175914</v>
      </c>
      <c r="AW93" s="181">
        <f t="shared" si="80"/>
        <v>4</v>
      </c>
      <c r="AX93" s="612"/>
    </row>
    <row r="94" spans="2:50" ht="14.25" customHeight="1">
      <c r="B94" s="611"/>
      <c r="C94" s="179">
        <v>8</v>
      </c>
      <c r="D94" s="182" t="s">
        <v>850</v>
      </c>
      <c r="E94" s="179">
        <v>22</v>
      </c>
      <c r="F94" s="179">
        <v>3600</v>
      </c>
      <c r="G94" s="184">
        <f t="shared" si="65"/>
        <v>163.63636363636363</v>
      </c>
      <c r="H94" s="612"/>
      <c r="I94" s="185">
        <f t="shared" si="67"/>
        <v>22</v>
      </c>
      <c r="J94" s="185">
        <f t="shared" si="67"/>
        <v>3263.7566377250323</v>
      </c>
      <c r="K94" s="186">
        <f t="shared" si="67"/>
        <v>148.35257444204692</v>
      </c>
      <c r="L94" s="613"/>
      <c r="M94" s="185">
        <f>RANK(K94, K$87:$K$101)</f>
        <v>6</v>
      </c>
      <c r="N94" s="611"/>
      <c r="O94" s="611"/>
      <c r="P94" s="187">
        <v>22</v>
      </c>
      <c r="Q94" s="187">
        <v>3262.2652091536029</v>
      </c>
      <c r="R94" s="184">
        <f t="shared" si="68"/>
        <v>148.28478223425466</v>
      </c>
      <c r="S94" s="181">
        <f t="shared" si="69"/>
        <v>6</v>
      </c>
      <c r="T94" s="612"/>
      <c r="U94" s="187">
        <v>22</v>
      </c>
      <c r="V94" s="187">
        <v>3263.7052091536034</v>
      </c>
      <c r="W94" s="184">
        <f t="shared" si="66"/>
        <v>148.35023677970923</v>
      </c>
      <c r="X94" s="181">
        <f t="shared" si="70"/>
        <v>6</v>
      </c>
      <c r="Y94" s="612"/>
      <c r="Z94" s="187">
        <v>22</v>
      </c>
      <c r="AA94" s="187">
        <v>3265.1452091536034</v>
      </c>
      <c r="AB94" s="184">
        <f t="shared" si="71"/>
        <v>148.41569132516381</v>
      </c>
      <c r="AC94" s="181">
        <f t="shared" si="72"/>
        <v>6</v>
      </c>
      <c r="AD94" s="612"/>
      <c r="AE94" s="187">
        <v>22</v>
      </c>
      <c r="AF94" s="187">
        <v>3264.4252091536036</v>
      </c>
      <c r="AG94" s="184">
        <f t="shared" si="73"/>
        <v>148.38296405243653</v>
      </c>
      <c r="AH94" s="181">
        <f t="shared" si="74"/>
        <v>6</v>
      </c>
      <c r="AI94" s="612"/>
      <c r="AJ94" s="187">
        <v>22</v>
      </c>
      <c r="AK94" s="187">
        <v>3265.1452091536039</v>
      </c>
      <c r="AL94" s="184">
        <f t="shared" si="75"/>
        <v>148.41569132516381</v>
      </c>
      <c r="AM94" s="181">
        <f t="shared" si="76"/>
        <v>6</v>
      </c>
      <c r="AN94" s="612"/>
      <c r="AO94" s="187">
        <v>22</v>
      </c>
      <c r="AP94" s="187">
        <v>3263.3452091536046</v>
      </c>
      <c r="AQ94" s="184">
        <f t="shared" si="77"/>
        <v>148.33387314334567</v>
      </c>
      <c r="AR94" s="181">
        <f t="shared" si="78"/>
        <v>6</v>
      </c>
      <c r="AS94" s="612"/>
      <c r="AT94" s="187">
        <v>22</v>
      </c>
      <c r="AU94" s="187">
        <v>3262.2652091536047</v>
      </c>
      <c r="AV94" s="184">
        <f t="shared" si="79"/>
        <v>148.28478223425475</v>
      </c>
      <c r="AW94" s="181">
        <f t="shared" si="80"/>
        <v>6</v>
      </c>
      <c r="AX94" s="612"/>
    </row>
    <row r="95" spans="2:50" ht="14.25" customHeight="1">
      <c r="B95" s="611"/>
      <c r="C95" s="179">
        <v>9</v>
      </c>
      <c r="D95" s="182"/>
      <c r="E95" s="179"/>
      <c r="F95" s="179"/>
      <c r="G95" s="184"/>
      <c r="H95" s="612"/>
      <c r="I95" s="185"/>
      <c r="J95" s="185"/>
      <c r="K95" s="186"/>
      <c r="L95" s="613"/>
      <c r="M95" s="185"/>
      <c r="N95" s="611"/>
      <c r="O95" s="611"/>
      <c r="P95" s="187"/>
      <c r="Q95" s="187"/>
      <c r="R95" s="184"/>
      <c r="S95" s="181"/>
      <c r="T95" s="612"/>
      <c r="U95" s="187"/>
      <c r="V95" s="187"/>
      <c r="W95" s="184"/>
      <c r="X95" s="181"/>
      <c r="Y95" s="612"/>
      <c r="Z95" s="187"/>
      <c r="AA95" s="187"/>
      <c r="AB95" s="184"/>
      <c r="AC95" s="181"/>
      <c r="AD95" s="612"/>
      <c r="AE95" s="187"/>
      <c r="AF95" s="187"/>
      <c r="AG95" s="184"/>
      <c r="AH95" s="181"/>
      <c r="AI95" s="612"/>
      <c r="AJ95" s="187"/>
      <c r="AK95" s="187"/>
      <c r="AL95" s="184"/>
      <c r="AM95" s="181"/>
      <c r="AN95" s="612"/>
      <c r="AO95" s="187"/>
      <c r="AP95" s="187"/>
      <c r="AQ95" s="184"/>
      <c r="AR95" s="181"/>
      <c r="AS95" s="612"/>
      <c r="AT95" s="187"/>
      <c r="AU95" s="187"/>
      <c r="AV95" s="184"/>
      <c r="AW95" s="181"/>
      <c r="AX95" s="612"/>
    </row>
    <row r="96" spans="2:50" ht="14.25" customHeight="1">
      <c r="B96" s="611"/>
      <c r="C96" s="179">
        <v>10</v>
      </c>
      <c r="D96" s="182"/>
      <c r="E96" s="179"/>
      <c r="F96" s="179"/>
      <c r="G96" s="184"/>
      <c r="H96" s="612"/>
      <c r="I96" s="185"/>
      <c r="J96" s="185"/>
      <c r="K96" s="186"/>
      <c r="L96" s="613"/>
      <c r="M96" s="185"/>
      <c r="N96" s="611"/>
      <c r="O96" s="611"/>
      <c r="P96" s="187"/>
      <c r="Q96" s="187"/>
      <c r="R96" s="184"/>
      <c r="S96" s="181"/>
      <c r="T96" s="612"/>
      <c r="U96" s="187"/>
      <c r="V96" s="187"/>
      <c r="W96" s="184"/>
      <c r="X96" s="181"/>
      <c r="Y96" s="612"/>
      <c r="Z96" s="187"/>
      <c r="AA96" s="187"/>
      <c r="AB96" s="184"/>
      <c r="AC96" s="181"/>
      <c r="AD96" s="612"/>
      <c r="AE96" s="187"/>
      <c r="AF96" s="187"/>
      <c r="AG96" s="184"/>
      <c r="AH96" s="181"/>
      <c r="AI96" s="612"/>
      <c r="AJ96" s="187"/>
      <c r="AK96" s="187"/>
      <c r="AL96" s="184"/>
      <c r="AM96" s="181"/>
      <c r="AN96" s="612"/>
      <c r="AO96" s="187"/>
      <c r="AP96" s="187"/>
      <c r="AQ96" s="184"/>
      <c r="AR96" s="181"/>
      <c r="AS96" s="612"/>
      <c r="AT96" s="187"/>
      <c r="AU96" s="187"/>
      <c r="AV96" s="184"/>
      <c r="AW96" s="181"/>
      <c r="AX96" s="612"/>
    </row>
    <row r="97" spans="2:50" ht="14.25" customHeight="1">
      <c r="B97" s="611"/>
      <c r="C97" s="179">
        <v>11</v>
      </c>
      <c r="D97" s="182"/>
      <c r="E97" s="179"/>
      <c r="F97" s="179"/>
      <c r="G97" s="184"/>
      <c r="H97" s="612"/>
      <c r="I97" s="185"/>
      <c r="J97" s="185"/>
      <c r="K97" s="186"/>
      <c r="L97" s="613"/>
      <c r="M97" s="185"/>
      <c r="N97" s="611"/>
      <c r="O97" s="611"/>
      <c r="P97" s="187"/>
      <c r="Q97" s="187"/>
      <c r="R97" s="184"/>
      <c r="S97" s="181"/>
      <c r="T97" s="612"/>
      <c r="U97" s="187"/>
      <c r="V97" s="187"/>
      <c r="W97" s="184"/>
      <c r="X97" s="181"/>
      <c r="Y97" s="612"/>
      <c r="Z97" s="187"/>
      <c r="AA97" s="187"/>
      <c r="AB97" s="184"/>
      <c r="AC97" s="181"/>
      <c r="AD97" s="612"/>
      <c r="AE97" s="187"/>
      <c r="AF97" s="187"/>
      <c r="AG97" s="184"/>
      <c r="AH97" s="181"/>
      <c r="AI97" s="612"/>
      <c r="AJ97" s="187"/>
      <c r="AK97" s="187"/>
      <c r="AL97" s="184"/>
      <c r="AM97" s="181"/>
      <c r="AN97" s="612"/>
      <c r="AO97" s="187"/>
      <c r="AP97" s="187"/>
      <c r="AQ97" s="184"/>
      <c r="AR97" s="181"/>
      <c r="AS97" s="612"/>
      <c r="AT97" s="187"/>
      <c r="AU97" s="187"/>
      <c r="AV97" s="184"/>
      <c r="AW97" s="181"/>
      <c r="AX97" s="612"/>
    </row>
    <row r="98" spans="2:50" ht="14.25" customHeight="1">
      <c r="B98" s="611"/>
      <c r="C98" s="179">
        <v>12</v>
      </c>
      <c r="D98" s="182"/>
      <c r="E98" s="179"/>
      <c r="F98" s="179"/>
      <c r="G98" s="184"/>
      <c r="H98" s="612"/>
      <c r="I98" s="185"/>
      <c r="J98" s="185"/>
      <c r="K98" s="186"/>
      <c r="L98" s="613"/>
      <c r="M98" s="185"/>
      <c r="N98" s="611"/>
      <c r="O98" s="611"/>
      <c r="P98" s="187"/>
      <c r="Q98" s="187"/>
      <c r="R98" s="184"/>
      <c r="S98" s="181"/>
      <c r="T98" s="612"/>
      <c r="U98" s="187"/>
      <c r="V98" s="187"/>
      <c r="W98" s="184"/>
      <c r="X98" s="181"/>
      <c r="Y98" s="612"/>
      <c r="Z98" s="187"/>
      <c r="AA98" s="187"/>
      <c r="AB98" s="184"/>
      <c r="AC98" s="181"/>
      <c r="AD98" s="612"/>
      <c r="AE98" s="187"/>
      <c r="AF98" s="187"/>
      <c r="AG98" s="184"/>
      <c r="AH98" s="181"/>
      <c r="AI98" s="612"/>
      <c r="AJ98" s="187"/>
      <c r="AK98" s="187"/>
      <c r="AL98" s="184"/>
      <c r="AM98" s="181"/>
      <c r="AN98" s="612"/>
      <c r="AO98" s="187"/>
      <c r="AP98" s="187"/>
      <c r="AQ98" s="184"/>
      <c r="AR98" s="181"/>
      <c r="AS98" s="612"/>
      <c r="AT98" s="187"/>
      <c r="AU98" s="187"/>
      <c r="AV98" s="184"/>
      <c r="AW98" s="181"/>
      <c r="AX98" s="612"/>
    </row>
    <row r="99" spans="2:50" ht="14.25" customHeight="1">
      <c r="B99" s="611"/>
      <c r="C99" s="179">
        <v>13</v>
      </c>
      <c r="D99" s="182"/>
      <c r="E99" s="179"/>
      <c r="F99" s="179"/>
      <c r="G99" s="184"/>
      <c r="H99" s="612"/>
      <c r="I99" s="185"/>
      <c r="J99" s="185"/>
      <c r="K99" s="186"/>
      <c r="L99" s="613"/>
      <c r="M99" s="185"/>
      <c r="N99" s="611"/>
      <c r="O99" s="611"/>
      <c r="P99" s="187"/>
      <c r="Q99" s="187"/>
      <c r="R99" s="184"/>
      <c r="S99" s="181"/>
      <c r="T99" s="612"/>
      <c r="U99" s="187"/>
      <c r="V99" s="187"/>
      <c r="W99" s="184"/>
      <c r="X99" s="181"/>
      <c r="Y99" s="612"/>
      <c r="Z99" s="187"/>
      <c r="AA99" s="187"/>
      <c r="AB99" s="184"/>
      <c r="AC99" s="181"/>
      <c r="AD99" s="612"/>
      <c r="AE99" s="187"/>
      <c r="AF99" s="187"/>
      <c r="AG99" s="184"/>
      <c r="AH99" s="181"/>
      <c r="AI99" s="612"/>
      <c r="AJ99" s="187"/>
      <c r="AK99" s="187"/>
      <c r="AL99" s="184"/>
      <c r="AM99" s="181"/>
      <c r="AN99" s="612"/>
      <c r="AO99" s="187"/>
      <c r="AP99" s="187"/>
      <c r="AQ99" s="184"/>
      <c r="AR99" s="181"/>
      <c r="AS99" s="612"/>
      <c r="AT99" s="187"/>
      <c r="AU99" s="187"/>
      <c r="AV99" s="184"/>
      <c r="AW99" s="181"/>
      <c r="AX99" s="612"/>
    </row>
    <row r="100" spans="2:50" ht="14.25" customHeight="1">
      <c r="B100" s="611"/>
      <c r="C100" s="179">
        <v>14</v>
      </c>
      <c r="D100" s="182"/>
      <c r="E100" s="179"/>
      <c r="F100" s="179"/>
      <c r="G100" s="184"/>
      <c r="H100" s="612"/>
      <c r="I100" s="185"/>
      <c r="J100" s="185"/>
      <c r="K100" s="186"/>
      <c r="L100" s="613"/>
      <c r="M100" s="185"/>
      <c r="N100" s="611"/>
      <c r="O100" s="611"/>
      <c r="P100" s="187"/>
      <c r="Q100" s="187"/>
      <c r="R100" s="184"/>
      <c r="S100" s="181"/>
      <c r="T100" s="612"/>
      <c r="U100" s="187"/>
      <c r="V100" s="187"/>
      <c r="W100" s="184"/>
      <c r="X100" s="181"/>
      <c r="Y100" s="612"/>
      <c r="Z100" s="187"/>
      <c r="AA100" s="187"/>
      <c r="AB100" s="184"/>
      <c r="AC100" s="181"/>
      <c r="AD100" s="612"/>
      <c r="AE100" s="187"/>
      <c r="AF100" s="187"/>
      <c r="AG100" s="184"/>
      <c r="AH100" s="181"/>
      <c r="AI100" s="612"/>
      <c r="AJ100" s="187"/>
      <c r="AK100" s="187"/>
      <c r="AL100" s="184"/>
      <c r="AM100" s="181"/>
      <c r="AN100" s="612"/>
      <c r="AO100" s="187"/>
      <c r="AP100" s="187"/>
      <c r="AQ100" s="184"/>
      <c r="AR100" s="181"/>
      <c r="AS100" s="612"/>
      <c r="AT100" s="187"/>
      <c r="AU100" s="187"/>
      <c r="AV100" s="184"/>
      <c r="AW100" s="181"/>
      <c r="AX100" s="612"/>
    </row>
    <row r="101" spans="2:50" ht="14.25" customHeight="1">
      <c r="B101" s="611"/>
      <c r="C101" s="179">
        <v>15</v>
      </c>
      <c r="D101" s="182"/>
      <c r="E101" s="179"/>
      <c r="F101" s="179"/>
      <c r="G101" s="184"/>
      <c r="H101" s="612"/>
      <c r="I101" s="185"/>
      <c r="J101" s="185"/>
      <c r="K101" s="186"/>
      <c r="L101" s="613"/>
      <c r="M101" s="185"/>
      <c r="N101" s="611"/>
      <c r="O101" s="611"/>
      <c r="P101" s="187"/>
      <c r="Q101" s="187"/>
      <c r="R101" s="184"/>
      <c r="S101" s="181"/>
      <c r="T101" s="612"/>
      <c r="U101" s="187"/>
      <c r="V101" s="187"/>
      <c r="W101" s="184"/>
      <c r="X101" s="181"/>
      <c r="Y101" s="612"/>
      <c r="Z101" s="187"/>
      <c r="AA101" s="187"/>
      <c r="AB101" s="184"/>
      <c r="AC101" s="181"/>
      <c r="AD101" s="612"/>
      <c r="AE101" s="187"/>
      <c r="AF101" s="187"/>
      <c r="AG101" s="184"/>
      <c r="AH101" s="181"/>
      <c r="AI101" s="612"/>
      <c r="AJ101" s="187"/>
      <c r="AK101" s="187"/>
      <c r="AL101" s="184"/>
      <c r="AM101" s="181"/>
      <c r="AN101" s="612"/>
      <c r="AO101" s="187"/>
      <c r="AP101" s="187"/>
      <c r="AQ101" s="184"/>
      <c r="AR101" s="181"/>
      <c r="AS101" s="612"/>
      <c r="AT101" s="187"/>
      <c r="AU101" s="187"/>
      <c r="AV101" s="184"/>
      <c r="AW101" s="181"/>
      <c r="AX101" s="612"/>
    </row>
  </sheetData>
  <mergeCells count="295"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AE45:AH45"/>
    <mergeCell ref="AJ45:AM45"/>
    <mergeCell ref="AO45:AR45"/>
    <mergeCell ref="AT45:AW45"/>
    <mergeCell ref="M44:M46"/>
    <mergeCell ref="N44:N61"/>
    <mergeCell ref="O44:O61"/>
    <mergeCell ref="P44:S44"/>
    <mergeCell ref="T44:T46"/>
    <mergeCell ref="U44:X44"/>
    <mergeCell ref="Y44:Y46"/>
    <mergeCell ref="AX47:AX61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I44:K44"/>
    <mergeCell ref="L44:L46"/>
    <mergeCell ref="Z44:AC44"/>
    <mergeCell ref="AD44:AD46"/>
    <mergeCell ref="Z45:AC45"/>
    <mergeCell ref="B42:M43"/>
    <mergeCell ref="N42:N43"/>
    <mergeCell ref="O42:O43"/>
    <mergeCell ref="P42:T42"/>
    <mergeCell ref="U42:Y42"/>
    <mergeCell ref="Z42:AD42"/>
    <mergeCell ref="B44:B46"/>
    <mergeCell ref="C44:D46"/>
    <mergeCell ref="E44:G44"/>
    <mergeCell ref="H44:H46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>
    <tabColor rgb="FFFFFFCC"/>
  </sheetPr>
  <dimension ref="A1:AX101"/>
  <sheetViews>
    <sheetView zoomScaleNormal="100" workbookViewId="0">
      <pane xSplit="13" ySplit="1" topLeftCell="N74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AW87" sqref="AW87:AW91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1">
      <c r="A1" s="74"/>
      <c r="B1" s="456" t="s">
        <v>720</v>
      </c>
      <c r="C1" s="174">
        <f>AVERAGE(L7,L27,L47,L67,L87)</f>
        <v>117.58780675275712</v>
      </c>
    </row>
    <row r="2" spans="1:50" ht="14.25" customHeight="1">
      <c r="B2" s="640" t="s">
        <v>709</v>
      </c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2"/>
      <c r="N2" s="645" t="s">
        <v>363</v>
      </c>
      <c r="O2" s="630" t="s">
        <v>105</v>
      </c>
      <c r="P2" s="632">
        <v>46203</v>
      </c>
      <c r="Q2" s="633"/>
      <c r="R2" s="633"/>
      <c r="S2" s="633"/>
      <c r="T2" s="633"/>
      <c r="U2" s="634">
        <v>46204</v>
      </c>
      <c r="V2" s="635"/>
      <c r="W2" s="635"/>
      <c r="X2" s="635"/>
      <c r="Y2" s="635"/>
      <c r="Z2" s="632">
        <v>46205</v>
      </c>
      <c r="AA2" s="633"/>
      <c r="AB2" s="633"/>
      <c r="AC2" s="633"/>
      <c r="AD2" s="633"/>
      <c r="AE2" s="634">
        <v>46206</v>
      </c>
      <c r="AF2" s="635"/>
      <c r="AG2" s="635"/>
      <c r="AH2" s="635"/>
      <c r="AI2" s="635"/>
      <c r="AJ2" s="616">
        <v>46207</v>
      </c>
      <c r="AK2" s="617"/>
      <c r="AL2" s="617"/>
      <c r="AM2" s="617"/>
      <c r="AN2" s="618"/>
      <c r="AO2" s="634">
        <v>46208</v>
      </c>
      <c r="AP2" s="635"/>
      <c r="AQ2" s="635"/>
      <c r="AR2" s="635"/>
      <c r="AS2" s="635"/>
      <c r="AT2" s="616">
        <v>46209</v>
      </c>
      <c r="AU2" s="617"/>
      <c r="AV2" s="617"/>
      <c r="AW2" s="617"/>
      <c r="AX2" s="618"/>
    </row>
    <row r="3" spans="1:50" ht="14.25" customHeight="1">
      <c r="B3" s="643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4"/>
      <c r="N3" s="646"/>
      <c r="O3" s="631"/>
      <c r="P3" s="619">
        <v>46196</v>
      </c>
      <c r="Q3" s="619"/>
      <c r="R3" s="619"/>
      <c r="S3" s="619"/>
      <c r="T3" s="619"/>
      <c r="U3" s="620">
        <v>46197</v>
      </c>
      <c r="V3" s="620"/>
      <c r="W3" s="620"/>
      <c r="X3" s="620"/>
      <c r="Y3" s="620"/>
      <c r="Z3" s="619">
        <v>46198</v>
      </c>
      <c r="AA3" s="619"/>
      <c r="AB3" s="619"/>
      <c r="AC3" s="619"/>
      <c r="AD3" s="619"/>
      <c r="AE3" s="620">
        <v>46199</v>
      </c>
      <c r="AF3" s="620"/>
      <c r="AG3" s="620"/>
      <c r="AH3" s="620"/>
      <c r="AI3" s="620"/>
      <c r="AJ3" s="621">
        <v>46200</v>
      </c>
      <c r="AK3" s="622"/>
      <c r="AL3" s="622"/>
      <c r="AM3" s="622"/>
      <c r="AN3" s="623"/>
      <c r="AO3" s="620">
        <v>46201</v>
      </c>
      <c r="AP3" s="620"/>
      <c r="AQ3" s="620"/>
      <c r="AR3" s="620"/>
      <c r="AS3" s="620"/>
      <c r="AT3" s="621">
        <v>46202</v>
      </c>
      <c r="AU3" s="622"/>
      <c r="AV3" s="622"/>
      <c r="AW3" s="622"/>
      <c r="AX3" s="623"/>
    </row>
    <row r="4" spans="1:50" ht="14.25" customHeight="1">
      <c r="B4" s="611" t="s">
        <v>162</v>
      </c>
      <c r="C4" s="611" t="s">
        <v>157</v>
      </c>
      <c r="D4" s="611"/>
      <c r="E4" s="611" t="s">
        <v>158</v>
      </c>
      <c r="F4" s="611"/>
      <c r="G4" s="611"/>
      <c r="H4" s="611" t="s">
        <v>163</v>
      </c>
      <c r="I4" s="615" t="s">
        <v>364</v>
      </c>
      <c r="J4" s="615"/>
      <c r="K4" s="615"/>
      <c r="L4" s="615" t="s">
        <v>163</v>
      </c>
      <c r="M4" s="615" t="s">
        <v>165</v>
      </c>
      <c r="N4" s="611"/>
      <c r="O4" s="611" t="s">
        <v>164</v>
      </c>
      <c r="P4" s="611" t="s">
        <v>160</v>
      </c>
      <c r="Q4" s="611"/>
      <c r="R4" s="611"/>
      <c r="S4" s="611"/>
      <c r="T4" s="611" t="s">
        <v>163</v>
      </c>
      <c r="U4" s="611" t="s">
        <v>160</v>
      </c>
      <c r="V4" s="611"/>
      <c r="W4" s="611"/>
      <c r="X4" s="611"/>
      <c r="Y4" s="611" t="s">
        <v>163</v>
      </c>
      <c r="Z4" s="611" t="s">
        <v>160</v>
      </c>
      <c r="AA4" s="611"/>
      <c r="AB4" s="611"/>
      <c r="AC4" s="611"/>
      <c r="AD4" s="611" t="s">
        <v>163</v>
      </c>
      <c r="AE4" s="611" t="s">
        <v>160</v>
      </c>
      <c r="AF4" s="611"/>
      <c r="AG4" s="611"/>
      <c r="AH4" s="611"/>
      <c r="AI4" s="611" t="s">
        <v>163</v>
      </c>
      <c r="AJ4" s="611" t="s">
        <v>160</v>
      </c>
      <c r="AK4" s="611"/>
      <c r="AL4" s="611"/>
      <c r="AM4" s="611"/>
      <c r="AN4" s="611" t="s">
        <v>163</v>
      </c>
      <c r="AO4" s="611" t="s">
        <v>160</v>
      </c>
      <c r="AP4" s="611"/>
      <c r="AQ4" s="611"/>
      <c r="AR4" s="611"/>
      <c r="AS4" s="611" t="s">
        <v>163</v>
      </c>
      <c r="AT4" s="611" t="s">
        <v>160</v>
      </c>
      <c r="AU4" s="611"/>
      <c r="AV4" s="611"/>
      <c r="AW4" s="611"/>
      <c r="AX4" s="611" t="s">
        <v>163</v>
      </c>
    </row>
    <row r="5" spans="1:50" ht="14.25" customHeight="1">
      <c r="B5" s="611"/>
      <c r="C5" s="611"/>
      <c r="D5" s="611"/>
      <c r="E5" s="611" t="s">
        <v>365</v>
      </c>
      <c r="F5" s="611"/>
      <c r="G5" s="611"/>
      <c r="H5" s="611"/>
      <c r="I5" s="615" t="s">
        <v>365</v>
      </c>
      <c r="J5" s="615"/>
      <c r="K5" s="615"/>
      <c r="L5" s="615"/>
      <c r="M5" s="615"/>
      <c r="N5" s="611"/>
      <c r="O5" s="611"/>
      <c r="P5" s="611" t="s">
        <v>366</v>
      </c>
      <c r="Q5" s="611"/>
      <c r="R5" s="611"/>
      <c r="S5" s="611"/>
      <c r="T5" s="611"/>
      <c r="U5" s="611" t="s">
        <v>366</v>
      </c>
      <c r="V5" s="611"/>
      <c r="W5" s="611"/>
      <c r="X5" s="611"/>
      <c r="Y5" s="611"/>
      <c r="Z5" s="611" t="s">
        <v>366</v>
      </c>
      <c r="AA5" s="611"/>
      <c r="AB5" s="611"/>
      <c r="AC5" s="611"/>
      <c r="AD5" s="611"/>
      <c r="AE5" s="611" t="s">
        <v>366</v>
      </c>
      <c r="AF5" s="611"/>
      <c r="AG5" s="611"/>
      <c r="AH5" s="611"/>
      <c r="AI5" s="611"/>
      <c r="AJ5" s="611" t="s">
        <v>366</v>
      </c>
      <c r="AK5" s="611"/>
      <c r="AL5" s="611"/>
      <c r="AM5" s="611"/>
      <c r="AN5" s="611"/>
      <c r="AO5" s="611" t="s">
        <v>366</v>
      </c>
      <c r="AP5" s="611"/>
      <c r="AQ5" s="611"/>
      <c r="AR5" s="611"/>
      <c r="AS5" s="611"/>
      <c r="AT5" s="611" t="s">
        <v>366</v>
      </c>
      <c r="AU5" s="611"/>
      <c r="AV5" s="611"/>
      <c r="AW5" s="611"/>
      <c r="AX5" s="611"/>
    </row>
    <row r="6" spans="1:50" ht="14.25" customHeight="1">
      <c r="B6" s="611"/>
      <c r="C6" s="611"/>
      <c r="D6" s="611"/>
      <c r="E6" s="179" t="s">
        <v>159</v>
      </c>
      <c r="F6" s="179" t="s">
        <v>367</v>
      </c>
      <c r="G6" s="179" t="s">
        <v>161</v>
      </c>
      <c r="H6" s="611"/>
      <c r="I6" s="180" t="s">
        <v>159</v>
      </c>
      <c r="J6" s="180" t="s">
        <v>367</v>
      </c>
      <c r="K6" s="180" t="s">
        <v>161</v>
      </c>
      <c r="L6" s="615"/>
      <c r="M6" s="615"/>
      <c r="N6" s="611"/>
      <c r="O6" s="611"/>
      <c r="P6" s="179" t="s">
        <v>159</v>
      </c>
      <c r="Q6" s="179" t="s">
        <v>367</v>
      </c>
      <c r="R6" s="179" t="s">
        <v>161</v>
      </c>
      <c r="S6" s="181" t="s">
        <v>165</v>
      </c>
      <c r="T6" s="611"/>
      <c r="U6" s="179" t="s">
        <v>159</v>
      </c>
      <c r="V6" s="179" t="s">
        <v>367</v>
      </c>
      <c r="W6" s="179" t="s">
        <v>161</v>
      </c>
      <c r="X6" s="181" t="s">
        <v>165</v>
      </c>
      <c r="Y6" s="611"/>
      <c r="Z6" s="179" t="s">
        <v>159</v>
      </c>
      <c r="AA6" s="179" t="s">
        <v>367</v>
      </c>
      <c r="AB6" s="179" t="s">
        <v>161</v>
      </c>
      <c r="AC6" s="181" t="s">
        <v>165</v>
      </c>
      <c r="AD6" s="611"/>
      <c r="AE6" s="179" t="s">
        <v>159</v>
      </c>
      <c r="AF6" s="179" t="s">
        <v>367</v>
      </c>
      <c r="AG6" s="179" t="s">
        <v>161</v>
      </c>
      <c r="AH6" s="181" t="s">
        <v>165</v>
      </c>
      <c r="AI6" s="611"/>
      <c r="AJ6" s="179" t="s">
        <v>159</v>
      </c>
      <c r="AK6" s="179" t="s">
        <v>367</v>
      </c>
      <c r="AL6" s="179" t="s">
        <v>161</v>
      </c>
      <c r="AM6" s="181" t="s">
        <v>165</v>
      </c>
      <c r="AN6" s="611"/>
      <c r="AO6" s="179" t="s">
        <v>159</v>
      </c>
      <c r="AP6" s="179" t="s">
        <v>367</v>
      </c>
      <c r="AQ6" s="179" t="s">
        <v>161</v>
      </c>
      <c r="AR6" s="181" t="s">
        <v>165</v>
      </c>
      <c r="AS6" s="611"/>
      <c r="AT6" s="179" t="s">
        <v>159</v>
      </c>
      <c r="AU6" s="179" t="s">
        <v>367</v>
      </c>
      <c r="AV6" s="179" t="s">
        <v>161</v>
      </c>
      <c r="AW6" s="181" t="s">
        <v>165</v>
      </c>
      <c r="AX6" s="611"/>
    </row>
    <row r="7" spans="1:50" ht="14.25" customHeight="1">
      <c r="B7" s="611" t="s">
        <v>143</v>
      </c>
      <c r="C7" s="179">
        <v>1</v>
      </c>
      <c r="D7" s="182" t="s">
        <v>650</v>
      </c>
      <c r="E7" s="183">
        <v>19</v>
      </c>
      <c r="F7" s="179">
        <v>2000</v>
      </c>
      <c r="G7" s="184">
        <f>IFERROR(F7/E7,"")</f>
        <v>105.26315789473684</v>
      </c>
      <c r="H7" s="612">
        <f>AVERAGE(G7:G21)</f>
        <v>130.42326094957676</v>
      </c>
      <c r="I7" s="185">
        <f>AVERAGE(P7,U7,Z7,AE7,AJ7,AO7,AT7)</f>
        <v>19</v>
      </c>
      <c r="J7" s="185">
        <f>AVERAGE(Q7,V7,AA7,AF7,AK7,AP7,AU7)</f>
        <v>1787.7152450743363</v>
      </c>
      <c r="K7" s="186">
        <f>AVERAGE(R7,W7,AB7,AG7,AL7,AQ7,AV7)</f>
        <v>94.090276056543999</v>
      </c>
      <c r="L7" s="613">
        <f>IFERROR(AVERAGE(K7:K21),"-")</f>
        <v>117.49028574609706</v>
      </c>
      <c r="M7" s="185">
        <f>RANK(K7, K$7:$K$21)</f>
        <v>3</v>
      </c>
      <c r="N7" s="611"/>
      <c r="O7" s="611"/>
      <c r="P7" s="187">
        <v>19</v>
      </c>
      <c r="Q7" s="187">
        <v>1785.9152450743359</v>
      </c>
      <c r="R7" s="184">
        <f>IFERROR(Q7/P7,"")</f>
        <v>93.995539214438736</v>
      </c>
      <c r="S7" s="181">
        <f>RANK(R7, R$7:R$21)</f>
        <v>3</v>
      </c>
      <c r="T7" s="612">
        <f>AVERAGE(R7:R21)</f>
        <v>117.4780652527559</v>
      </c>
      <c r="U7" s="187">
        <v>19</v>
      </c>
      <c r="V7" s="187">
        <v>1786.7152450743363</v>
      </c>
      <c r="W7" s="184">
        <f t="shared" ref="W7:W11" si="0">IFERROR(V7/U7,"")</f>
        <v>94.037644477596643</v>
      </c>
      <c r="X7" s="181">
        <f>RANK(W7, W$7:W$21)</f>
        <v>3</v>
      </c>
      <c r="Y7" s="612">
        <f>AVERAGE(W7:W21)</f>
        <v>117.49980463327117</v>
      </c>
      <c r="Z7" s="187">
        <v>19</v>
      </c>
      <c r="AA7" s="187">
        <v>1787.5152450743362</v>
      </c>
      <c r="AB7" s="184">
        <f>IFERROR(AA7/Z7,"")</f>
        <v>94.079749740754536</v>
      </c>
      <c r="AC7" s="181">
        <f>RANK(AB7, AB$7:AB$21)</f>
        <v>3</v>
      </c>
      <c r="AD7" s="612">
        <f>AVERAGE(AB7:AB21)</f>
        <v>117.49191799359505</v>
      </c>
      <c r="AE7" s="187">
        <v>19</v>
      </c>
      <c r="AF7" s="187">
        <v>1787.5152450743362</v>
      </c>
      <c r="AG7" s="184">
        <f>IFERROR(AF7/AE7,"")</f>
        <v>94.079749740754536</v>
      </c>
      <c r="AH7" s="181">
        <f>RANK(AG7, AG$7:AG$21)</f>
        <v>3</v>
      </c>
      <c r="AI7" s="612">
        <f>AVERAGE(AG7:AG21)</f>
        <v>117.47910680478387</v>
      </c>
      <c r="AJ7" s="187">
        <v>19</v>
      </c>
      <c r="AK7" s="187">
        <v>1787.9152450743361</v>
      </c>
      <c r="AL7" s="184">
        <f>IFERROR(AK7/AJ7,"")</f>
        <v>94.100802372333476</v>
      </c>
      <c r="AM7" s="181">
        <f>RANK(AL7, AL$7:AL$21)</f>
        <v>3</v>
      </c>
      <c r="AN7" s="612">
        <f>AVERAGE(AL7:AL21)</f>
        <v>117.49620141669598</v>
      </c>
      <c r="AO7" s="187">
        <v>19</v>
      </c>
      <c r="AP7" s="187">
        <v>1788.9152450743361</v>
      </c>
      <c r="AQ7" s="184">
        <f>IFERROR(AP7/AO7,"")</f>
        <v>94.153433951280846</v>
      </c>
      <c r="AR7" s="181">
        <f>RANK(AQ7, AQ$7:AQ$21)</f>
        <v>3</v>
      </c>
      <c r="AS7" s="612">
        <f>AVERAGE(AQ7:AQ21)</f>
        <v>117.49033612409384</v>
      </c>
      <c r="AT7" s="187">
        <v>19</v>
      </c>
      <c r="AU7" s="187">
        <v>1789.5152450743362</v>
      </c>
      <c r="AV7" s="184">
        <f>IFERROR(AU7/AT7,"")</f>
        <v>94.185012898649276</v>
      </c>
      <c r="AW7" s="181">
        <f>RANK(AV7, AV$7:AV$21)</f>
        <v>3</v>
      </c>
      <c r="AX7" s="612">
        <f>AVERAGE(AV7:AV21)</f>
        <v>117.49656799748365</v>
      </c>
    </row>
    <row r="8" spans="1:50" ht="14.25" customHeight="1">
      <c r="B8" s="611"/>
      <c r="C8" s="179">
        <v>2</v>
      </c>
      <c r="D8" s="182" t="s">
        <v>354</v>
      </c>
      <c r="E8" s="179">
        <v>13</v>
      </c>
      <c r="F8" s="179">
        <v>1200</v>
      </c>
      <c r="G8" s="184">
        <f t="shared" ref="G8:G11" si="1">IFERROR(F8/E8,"")</f>
        <v>92.307692307692307</v>
      </c>
      <c r="H8" s="612"/>
      <c r="I8" s="185">
        <f>AVERAGE(P8,U8,Z8,AE8,AJ8,AO8,AT8)</f>
        <v>13</v>
      </c>
      <c r="J8" s="185">
        <f t="shared" ref="J8:K11" si="2">AVERAGE(Q8,V8,AA8,AF8,AK8,AP8,AU8)</f>
        <v>1082.5362039531706</v>
      </c>
      <c r="K8" s="186">
        <f t="shared" si="2"/>
        <v>83.272015688705451</v>
      </c>
      <c r="L8" s="613"/>
      <c r="M8" s="185">
        <f>RANK(K8, K$7:$K$21)</f>
        <v>4</v>
      </c>
      <c r="N8" s="611"/>
      <c r="O8" s="611"/>
      <c r="P8" s="187">
        <v>13</v>
      </c>
      <c r="Q8" s="187">
        <v>1083.1704896674564</v>
      </c>
      <c r="R8" s="184">
        <f t="shared" ref="R8:R11" si="3">IFERROR(Q8/P8,"")</f>
        <v>83.320806897496652</v>
      </c>
      <c r="S8" s="181">
        <f t="shared" ref="S8:S11" si="4">RANK(R8, R$7:R$21)</f>
        <v>4</v>
      </c>
      <c r="T8" s="612"/>
      <c r="U8" s="187">
        <v>13</v>
      </c>
      <c r="V8" s="187">
        <v>1082.6904896674564</v>
      </c>
      <c r="W8" s="184">
        <f t="shared" si="0"/>
        <v>83.283883820573564</v>
      </c>
      <c r="X8" s="181">
        <f t="shared" ref="X8:X11" si="5">RANK(W8, W$7:W$21)</f>
        <v>4</v>
      </c>
      <c r="Y8" s="612"/>
      <c r="Z8" s="187">
        <v>13</v>
      </c>
      <c r="AA8" s="187">
        <v>1082.9304896674562</v>
      </c>
      <c r="AB8" s="184">
        <f t="shared" ref="AB8:AB11" si="6">IFERROR(AA8/Z8,"")</f>
        <v>83.302345359035087</v>
      </c>
      <c r="AC8" s="181">
        <f t="shared" ref="AC8:AC11" si="7">RANK(AB8, AB$7:AB$21)</f>
        <v>4</v>
      </c>
      <c r="AD8" s="612"/>
      <c r="AE8" s="187">
        <v>13</v>
      </c>
      <c r="AF8" s="187">
        <v>1082.5704896674563</v>
      </c>
      <c r="AG8" s="184">
        <f t="shared" ref="AG8:AG11" si="8">IFERROR(AF8/AE8,"")</f>
        <v>83.274653051342796</v>
      </c>
      <c r="AH8" s="181">
        <f t="shared" ref="AH8:AH11" si="9">RANK(AG8, AG$7:AG$21)</f>
        <v>4</v>
      </c>
      <c r="AI8" s="612"/>
      <c r="AJ8" s="187">
        <v>13</v>
      </c>
      <c r="AK8" s="187">
        <v>1082.3304896674565</v>
      </c>
      <c r="AL8" s="184">
        <f t="shared" ref="AL8:AL11" si="10">IFERROR(AK8/AJ8,"")</f>
        <v>83.256191512881273</v>
      </c>
      <c r="AM8" s="181">
        <f t="shared" ref="AM8:AM11" si="11">RANK(AL8, AL$7:AL$21)</f>
        <v>4</v>
      </c>
      <c r="AN8" s="612"/>
      <c r="AO8" s="187">
        <v>13</v>
      </c>
      <c r="AP8" s="187">
        <v>1082.2104896674566</v>
      </c>
      <c r="AQ8" s="184">
        <f t="shared" ref="AQ8:AQ11" si="12">IFERROR(AP8/AO8,"")</f>
        <v>83.246960743650504</v>
      </c>
      <c r="AR8" s="181">
        <f t="shared" ref="AR8:AR11" si="13">RANK(AQ8, AQ$7:AQ$21)</f>
        <v>4</v>
      </c>
      <c r="AS8" s="612"/>
      <c r="AT8" s="187">
        <v>13</v>
      </c>
      <c r="AU8" s="187">
        <v>1081.8504896674567</v>
      </c>
      <c r="AV8" s="184">
        <f t="shared" ref="AV8:AV11" si="14">IFERROR(AU8/AT8,"")</f>
        <v>83.219268435958213</v>
      </c>
      <c r="AW8" s="181">
        <f t="shared" ref="AW8:AW11" si="15">RANK(AV8, AV$7:AV$21)</f>
        <v>4</v>
      </c>
      <c r="AX8" s="612"/>
    </row>
    <row r="9" spans="1:50" ht="14.25" customHeight="1">
      <c r="B9" s="611"/>
      <c r="C9" s="179">
        <v>3</v>
      </c>
      <c r="D9" s="182" t="s">
        <v>615</v>
      </c>
      <c r="E9" s="179">
        <v>11</v>
      </c>
      <c r="F9" s="179">
        <v>2000</v>
      </c>
      <c r="G9" s="184">
        <f t="shared" si="1"/>
        <v>181.81818181818181</v>
      </c>
      <c r="H9" s="612"/>
      <c r="I9" s="185">
        <f>AVERAGE(P9,U9,Z9,AE9,AJ9,AO9,AT9)</f>
        <v>11</v>
      </c>
      <c r="J9" s="185">
        <f t="shared" si="2"/>
        <v>1804.6932335150127</v>
      </c>
      <c r="K9" s="186">
        <f t="shared" si="2"/>
        <v>164.0630212286375</v>
      </c>
      <c r="L9" s="613"/>
      <c r="M9" s="185">
        <f>RANK(K9, K$7:$K$21)</f>
        <v>2</v>
      </c>
      <c r="N9" s="611"/>
      <c r="O9" s="611"/>
      <c r="P9" s="187">
        <v>11</v>
      </c>
      <c r="Q9" s="187">
        <v>1805.6739328160659</v>
      </c>
      <c r="R9" s="184">
        <f t="shared" si="3"/>
        <v>164.15217571055143</v>
      </c>
      <c r="S9" s="181">
        <f t="shared" si="4"/>
        <v>1</v>
      </c>
      <c r="T9" s="612"/>
      <c r="U9" s="187">
        <v>11</v>
      </c>
      <c r="V9" s="187">
        <v>1805.273932816066</v>
      </c>
      <c r="W9" s="184">
        <f t="shared" si="0"/>
        <v>164.11581207418783</v>
      </c>
      <c r="X9" s="181">
        <f t="shared" si="5"/>
        <v>2</v>
      </c>
      <c r="Y9" s="612"/>
      <c r="Z9" s="187">
        <v>11</v>
      </c>
      <c r="AA9" s="187">
        <v>1804.4739328160661</v>
      </c>
      <c r="AB9" s="184">
        <f t="shared" si="6"/>
        <v>164.04308480146054</v>
      </c>
      <c r="AC9" s="181">
        <f t="shared" si="7"/>
        <v>2</v>
      </c>
      <c r="AD9" s="612"/>
      <c r="AE9" s="187">
        <v>11</v>
      </c>
      <c r="AF9" s="187">
        <v>1803.6739328160663</v>
      </c>
      <c r="AG9" s="184">
        <f t="shared" si="8"/>
        <v>163.9703575287333</v>
      </c>
      <c r="AH9" s="181">
        <f t="shared" si="9"/>
        <v>2</v>
      </c>
      <c r="AI9" s="612"/>
      <c r="AJ9" s="187">
        <v>11</v>
      </c>
      <c r="AK9" s="187">
        <v>1805.1856344469406</v>
      </c>
      <c r="AL9" s="184">
        <f t="shared" si="10"/>
        <v>164.10778494972189</v>
      </c>
      <c r="AM9" s="181">
        <f t="shared" si="11"/>
        <v>2</v>
      </c>
      <c r="AN9" s="612"/>
      <c r="AO9" s="187">
        <v>11</v>
      </c>
      <c r="AP9" s="187">
        <v>1804.1856344469411</v>
      </c>
      <c r="AQ9" s="184">
        <f t="shared" si="12"/>
        <v>164.01687585881282</v>
      </c>
      <c r="AR9" s="181">
        <f t="shared" si="13"/>
        <v>2</v>
      </c>
      <c r="AS9" s="612"/>
      <c r="AT9" s="187">
        <v>11</v>
      </c>
      <c r="AU9" s="187">
        <v>1804.3856344469414</v>
      </c>
      <c r="AV9" s="184">
        <f t="shared" si="14"/>
        <v>164.03505767699468</v>
      </c>
      <c r="AW9" s="181">
        <f t="shared" si="15"/>
        <v>2</v>
      </c>
      <c r="AX9" s="612"/>
    </row>
    <row r="10" spans="1:50" ht="14.25" customHeight="1">
      <c r="B10" s="611"/>
      <c r="C10" s="179">
        <v>4</v>
      </c>
      <c r="D10" s="182" t="s">
        <v>616</v>
      </c>
      <c r="E10" s="179">
        <v>22</v>
      </c>
      <c r="F10" s="179">
        <v>2000</v>
      </c>
      <c r="G10" s="184">
        <f t="shared" si="1"/>
        <v>90.909090909090907</v>
      </c>
      <c r="H10" s="612"/>
      <c r="I10" s="185">
        <f t="shared" ref="I10:I11" si="16">AVERAGE(P10,U10,Z10,AE10,AJ10,AO10,AT10)</f>
        <v>22</v>
      </c>
      <c r="J10" s="185">
        <f t="shared" si="2"/>
        <v>1800.2072198559144</v>
      </c>
      <c r="K10" s="186">
        <f t="shared" si="2"/>
        <v>81.827600902541576</v>
      </c>
      <c r="L10" s="613"/>
      <c r="M10" s="185">
        <f>RANK(K10, K$7:$K$21)</f>
        <v>5</v>
      </c>
      <c r="N10" s="611"/>
      <c r="O10" s="611"/>
      <c r="P10" s="187">
        <v>22</v>
      </c>
      <c r="Q10" s="187">
        <v>1800.2072198559138</v>
      </c>
      <c r="R10" s="184">
        <f t="shared" si="3"/>
        <v>81.827600902541533</v>
      </c>
      <c r="S10" s="181">
        <f t="shared" si="4"/>
        <v>5</v>
      </c>
      <c r="T10" s="612"/>
      <c r="U10" s="187">
        <v>22</v>
      </c>
      <c r="V10" s="187">
        <v>1800.8072198559137</v>
      </c>
      <c r="W10" s="184">
        <f t="shared" si="0"/>
        <v>81.854873629814264</v>
      </c>
      <c r="X10" s="181">
        <f t="shared" si="5"/>
        <v>5</v>
      </c>
      <c r="Y10" s="612"/>
      <c r="Z10" s="187">
        <v>22</v>
      </c>
      <c r="AA10" s="187">
        <v>1801.0072198559142</v>
      </c>
      <c r="AB10" s="184">
        <f t="shared" si="6"/>
        <v>81.863964538905194</v>
      </c>
      <c r="AC10" s="181">
        <f t="shared" si="7"/>
        <v>5</v>
      </c>
      <c r="AD10" s="612"/>
      <c r="AE10" s="187">
        <v>22</v>
      </c>
      <c r="AF10" s="187">
        <v>1800.2072198559144</v>
      </c>
      <c r="AG10" s="184">
        <f t="shared" si="8"/>
        <v>81.827600902541562</v>
      </c>
      <c r="AH10" s="181">
        <f t="shared" si="9"/>
        <v>5</v>
      </c>
      <c r="AI10" s="612"/>
      <c r="AJ10" s="187">
        <v>22</v>
      </c>
      <c r="AK10" s="187">
        <v>1799.8072198559146</v>
      </c>
      <c r="AL10" s="184">
        <f t="shared" si="10"/>
        <v>81.80941908435976</v>
      </c>
      <c r="AM10" s="181">
        <f t="shared" si="11"/>
        <v>5</v>
      </c>
      <c r="AN10" s="612"/>
      <c r="AO10" s="187">
        <v>22</v>
      </c>
      <c r="AP10" s="187">
        <v>1799.807219855915</v>
      </c>
      <c r="AQ10" s="184">
        <f t="shared" si="12"/>
        <v>81.809419084359774</v>
      </c>
      <c r="AR10" s="181">
        <f t="shared" si="13"/>
        <v>5</v>
      </c>
      <c r="AS10" s="612"/>
      <c r="AT10" s="187">
        <v>22</v>
      </c>
      <c r="AU10" s="187">
        <v>1799.6072198559154</v>
      </c>
      <c r="AV10" s="184">
        <f t="shared" si="14"/>
        <v>81.800328175268888</v>
      </c>
      <c r="AW10" s="181">
        <f t="shared" si="15"/>
        <v>5</v>
      </c>
      <c r="AX10" s="612"/>
    </row>
    <row r="11" spans="1:50" ht="14.25" customHeight="1">
      <c r="B11" s="611"/>
      <c r="C11" s="179">
        <v>5</v>
      </c>
      <c r="D11" s="182" t="s">
        <v>617</v>
      </c>
      <c r="E11" s="179">
        <v>11</v>
      </c>
      <c r="F11" s="179">
        <v>2000</v>
      </c>
      <c r="G11" s="184">
        <f t="shared" si="1"/>
        <v>181.81818181818181</v>
      </c>
      <c r="H11" s="612"/>
      <c r="I11" s="185">
        <f t="shared" si="16"/>
        <v>11</v>
      </c>
      <c r="J11" s="185">
        <f t="shared" si="2"/>
        <v>1806.1836633946248</v>
      </c>
      <c r="K11" s="186">
        <f t="shared" si="2"/>
        <v>164.19851485405681</v>
      </c>
      <c r="L11" s="613"/>
      <c r="M11" s="185">
        <f>RANK(K11, K$7:$K$21)</f>
        <v>1</v>
      </c>
      <c r="N11" s="611"/>
      <c r="O11" s="611"/>
      <c r="P11" s="187">
        <v>11</v>
      </c>
      <c r="Q11" s="187">
        <v>1805.0362389262627</v>
      </c>
      <c r="R11" s="184">
        <f t="shared" si="3"/>
        <v>164.09420353875115</v>
      </c>
      <c r="S11" s="181">
        <f t="shared" si="4"/>
        <v>2</v>
      </c>
      <c r="T11" s="612"/>
      <c r="U11" s="187">
        <v>11</v>
      </c>
      <c r="V11" s="187">
        <v>1806.2749008060186</v>
      </c>
      <c r="W11" s="184">
        <f t="shared" si="0"/>
        <v>164.20680916418351</v>
      </c>
      <c r="X11" s="181">
        <f t="shared" si="5"/>
        <v>1</v>
      </c>
      <c r="Y11" s="612"/>
      <c r="Z11" s="187">
        <v>11</v>
      </c>
      <c r="AA11" s="187">
        <v>1805.8749008060186</v>
      </c>
      <c r="AB11" s="184">
        <f t="shared" si="6"/>
        <v>164.17044552781988</v>
      </c>
      <c r="AC11" s="181">
        <f t="shared" si="7"/>
        <v>1</v>
      </c>
      <c r="AD11" s="612"/>
      <c r="AE11" s="187">
        <v>11</v>
      </c>
      <c r="AF11" s="187">
        <v>1806.6749008060185</v>
      </c>
      <c r="AG11" s="184">
        <f t="shared" si="8"/>
        <v>164.24317280054714</v>
      </c>
      <c r="AH11" s="181">
        <f t="shared" si="9"/>
        <v>1</v>
      </c>
      <c r="AI11" s="612"/>
      <c r="AJ11" s="187">
        <v>11</v>
      </c>
      <c r="AK11" s="187">
        <v>1806.2749008060186</v>
      </c>
      <c r="AL11" s="184">
        <f t="shared" si="10"/>
        <v>164.20680916418351</v>
      </c>
      <c r="AM11" s="181">
        <f t="shared" si="11"/>
        <v>1</v>
      </c>
      <c r="AN11" s="612"/>
      <c r="AO11" s="187">
        <v>11</v>
      </c>
      <c r="AP11" s="187">
        <v>1806.4749008060185</v>
      </c>
      <c r="AQ11" s="184">
        <f t="shared" si="12"/>
        <v>164.22499098236531</v>
      </c>
      <c r="AR11" s="181">
        <f t="shared" si="13"/>
        <v>1</v>
      </c>
      <c r="AS11" s="612"/>
      <c r="AT11" s="187">
        <v>11</v>
      </c>
      <c r="AU11" s="187">
        <v>1806.6749008060187</v>
      </c>
      <c r="AV11" s="184">
        <f t="shared" si="14"/>
        <v>164.24317280054717</v>
      </c>
      <c r="AW11" s="181">
        <f t="shared" si="15"/>
        <v>1</v>
      </c>
      <c r="AX11" s="612"/>
    </row>
    <row r="12" spans="1:50" ht="14.25" customHeight="1">
      <c r="B12" s="611"/>
      <c r="C12" s="179">
        <v>6</v>
      </c>
      <c r="D12" s="182"/>
      <c r="E12" s="179"/>
      <c r="F12" s="179"/>
      <c r="G12" s="184"/>
      <c r="H12" s="612"/>
      <c r="I12" s="185"/>
      <c r="J12" s="185"/>
      <c r="K12" s="186"/>
      <c r="L12" s="613"/>
      <c r="M12" s="185"/>
      <c r="N12" s="611"/>
      <c r="O12" s="611"/>
      <c r="P12" s="187"/>
      <c r="Q12" s="187"/>
      <c r="R12" s="184"/>
      <c r="S12" s="181"/>
      <c r="T12" s="612"/>
      <c r="U12" s="187"/>
      <c r="V12" s="187"/>
      <c r="W12" s="184"/>
      <c r="X12" s="181"/>
      <c r="Y12" s="612"/>
      <c r="Z12" s="187"/>
      <c r="AA12" s="187"/>
      <c r="AB12" s="184"/>
      <c r="AC12" s="181"/>
      <c r="AD12" s="612"/>
      <c r="AE12" s="187"/>
      <c r="AF12" s="187"/>
      <c r="AG12" s="184"/>
      <c r="AH12" s="181"/>
      <c r="AI12" s="612"/>
      <c r="AJ12" s="187"/>
      <c r="AK12" s="187"/>
      <c r="AL12" s="184"/>
      <c r="AM12" s="181"/>
      <c r="AN12" s="612"/>
      <c r="AO12" s="187"/>
      <c r="AP12" s="187"/>
      <c r="AQ12" s="184"/>
      <c r="AR12" s="181"/>
      <c r="AS12" s="612"/>
      <c r="AT12" s="187"/>
      <c r="AU12" s="187"/>
      <c r="AV12" s="184"/>
      <c r="AW12" s="181"/>
      <c r="AX12" s="612"/>
    </row>
    <row r="13" spans="1:50" ht="14.25" customHeight="1">
      <c r="B13" s="611"/>
      <c r="C13" s="179">
        <v>7</v>
      </c>
      <c r="D13" s="182"/>
      <c r="E13" s="179"/>
      <c r="F13" s="179"/>
      <c r="G13" s="184"/>
      <c r="H13" s="612"/>
      <c r="I13" s="185"/>
      <c r="J13" s="185"/>
      <c r="K13" s="186"/>
      <c r="L13" s="613"/>
      <c r="M13" s="185"/>
      <c r="N13" s="611"/>
      <c r="O13" s="611"/>
      <c r="P13" s="187"/>
      <c r="Q13" s="187"/>
      <c r="R13" s="184"/>
      <c r="S13" s="181"/>
      <c r="T13" s="612"/>
      <c r="U13" s="187"/>
      <c r="V13" s="187"/>
      <c r="W13" s="184"/>
      <c r="X13" s="181"/>
      <c r="Y13" s="612"/>
      <c r="Z13" s="187"/>
      <c r="AA13" s="187"/>
      <c r="AB13" s="184"/>
      <c r="AC13" s="181"/>
      <c r="AD13" s="612"/>
      <c r="AE13" s="187"/>
      <c r="AF13" s="187"/>
      <c r="AG13" s="184"/>
      <c r="AH13" s="181"/>
      <c r="AI13" s="612"/>
      <c r="AJ13" s="187"/>
      <c r="AK13" s="187"/>
      <c r="AL13" s="184"/>
      <c r="AM13" s="181"/>
      <c r="AN13" s="612"/>
      <c r="AO13" s="187"/>
      <c r="AP13" s="187"/>
      <c r="AQ13" s="184"/>
      <c r="AR13" s="181"/>
      <c r="AS13" s="612"/>
      <c r="AT13" s="187"/>
      <c r="AU13" s="187"/>
      <c r="AV13" s="184"/>
      <c r="AW13" s="181"/>
      <c r="AX13" s="612"/>
    </row>
    <row r="14" spans="1:50" ht="14.25" customHeight="1">
      <c r="B14" s="611"/>
      <c r="C14" s="179">
        <v>8</v>
      </c>
      <c r="D14" s="182"/>
      <c r="E14" s="179"/>
      <c r="F14" s="179"/>
      <c r="G14" s="184"/>
      <c r="H14" s="612"/>
      <c r="I14" s="185"/>
      <c r="J14" s="185"/>
      <c r="K14" s="186"/>
      <c r="L14" s="613"/>
      <c r="M14" s="185"/>
      <c r="N14" s="611"/>
      <c r="O14" s="611"/>
      <c r="P14" s="187"/>
      <c r="Q14" s="187"/>
      <c r="R14" s="184"/>
      <c r="S14" s="181"/>
      <c r="T14" s="612"/>
      <c r="U14" s="187"/>
      <c r="V14" s="187"/>
      <c r="W14" s="184"/>
      <c r="X14" s="181"/>
      <c r="Y14" s="612"/>
      <c r="Z14" s="187"/>
      <c r="AA14" s="187"/>
      <c r="AB14" s="184"/>
      <c r="AC14" s="181"/>
      <c r="AD14" s="612"/>
      <c r="AE14" s="187"/>
      <c r="AF14" s="187"/>
      <c r="AG14" s="184"/>
      <c r="AH14" s="181"/>
      <c r="AI14" s="612"/>
      <c r="AJ14" s="187"/>
      <c r="AK14" s="187"/>
      <c r="AL14" s="184"/>
      <c r="AM14" s="181"/>
      <c r="AN14" s="612"/>
      <c r="AO14" s="187"/>
      <c r="AP14" s="187"/>
      <c r="AQ14" s="184"/>
      <c r="AR14" s="181"/>
      <c r="AS14" s="612"/>
      <c r="AT14" s="187"/>
      <c r="AU14" s="187"/>
      <c r="AV14" s="184"/>
      <c r="AW14" s="181"/>
      <c r="AX14" s="612"/>
    </row>
    <row r="15" spans="1:50" ht="14.25" customHeight="1">
      <c r="B15" s="611"/>
      <c r="C15" s="179">
        <v>9</v>
      </c>
      <c r="D15" s="182"/>
      <c r="E15" s="179"/>
      <c r="F15" s="179"/>
      <c r="G15" s="184"/>
      <c r="H15" s="612"/>
      <c r="I15" s="185"/>
      <c r="J15" s="185"/>
      <c r="K15" s="186"/>
      <c r="L15" s="613"/>
      <c r="M15" s="185"/>
      <c r="N15" s="611"/>
      <c r="O15" s="611"/>
      <c r="P15" s="187"/>
      <c r="Q15" s="187"/>
      <c r="R15" s="184"/>
      <c r="S15" s="181"/>
      <c r="T15" s="612"/>
      <c r="U15" s="187"/>
      <c r="V15" s="187"/>
      <c r="W15" s="184"/>
      <c r="X15" s="181"/>
      <c r="Y15" s="612"/>
      <c r="Z15" s="187"/>
      <c r="AA15" s="187"/>
      <c r="AB15" s="184"/>
      <c r="AC15" s="181"/>
      <c r="AD15" s="612"/>
      <c r="AE15" s="187"/>
      <c r="AF15" s="187"/>
      <c r="AG15" s="184"/>
      <c r="AH15" s="181"/>
      <c r="AI15" s="612"/>
      <c r="AJ15" s="187"/>
      <c r="AK15" s="187"/>
      <c r="AL15" s="184"/>
      <c r="AM15" s="181"/>
      <c r="AN15" s="612"/>
      <c r="AO15" s="187"/>
      <c r="AP15" s="187"/>
      <c r="AQ15" s="184"/>
      <c r="AR15" s="181"/>
      <c r="AS15" s="612"/>
      <c r="AT15" s="187"/>
      <c r="AU15" s="187"/>
      <c r="AV15" s="184"/>
      <c r="AW15" s="181"/>
      <c r="AX15" s="612"/>
    </row>
    <row r="16" spans="1:50" ht="14.25" customHeight="1">
      <c r="B16" s="611"/>
      <c r="C16" s="179">
        <v>10</v>
      </c>
      <c r="D16" s="182"/>
      <c r="E16" s="179"/>
      <c r="F16" s="179"/>
      <c r="G16" s="184"/>
      <c r="H16" s="612"/>
      <c r="I16" s="185"/>
      <c r="J16" s="185"/>
      <c r="K16" s="186"/>
      <c r="L16" s="613"/>
      <c r="M16" s="185"/>
      <c r="N16" s="611"/>
      <c r="O16" s="611"/>
      <c r="P16" s="187"/>
      <c r="Q16" s="187"/>
      <c r="R16" s="184"/>
      <c r="S16" s="181"/>
      <c r="T16" s="612"/>
      <c r="U16" s="187"/>
      <c r="V16" s="187"/>
      <c r="W16" s="184"/>
      <c r="X16" s="181"/>
      <c r="Y16" s="612"/>
      <c r="Z16" s="187"/>
      <c r="AA16" s="187"/>
      <c r="AB16" s="184"/>
      <c r="AC16" s="181"/>
      <c r="AD16" s="612"/>
      <c r="AE16" s="187"/>
      <c r="AF16" s="187"/>
      <c r="AG16" s="184"/>
      <c r="AH16" s="181"/>
      <c r="AI16" s="612"/>
      <c r="AJ16" s="187"/>
      <c r="AK16" s="187"/>
      <c r="AL16" s="184"/>
      <c r="AM16" s="181"/>
      <c r="AN16" s="612"/>
      <c r="AO16" s="187"/>
      <c r="AP16" s="187"/>
      <c r="AQ16" s="184"/>
      <c r="AR16" s="181"/>
      <c r="AS16" s="612"/>
      <c r="AT16" s="187"/>
      <c r="AU16" s="187"/>
      <c r="AV16" s="184"/>
      <c r="AW16" s="181"/>
      <c r="AX16" s="612"/>
    </row>
    <row r="17" spans="2:50" ht="14.25" customHeight="1">
      <c r="B17" s="611"/>
      <c r="C17" s="179">
        <v>11</v>
      </c>
      <c r="D17" s="182"/>
      <c r="E17" s="179"/>
      <c r="F17" s="179"/>
      <c r="G17" s="184"/>
      <c r="H17" s="612"/>
      <c r="I17" s="185"/>
      <c r="J17" s="185"/>
      <c r="K17" s="186"/>
      <c r="L17" s="613"/>
      <c r="M17" s="185"/>
      <c r="N17" s="611"/>
      <c r="O17" s="611"/>
      <c r="P17" s="187"/>
      <c r="Q17" s="187"/>
      <c r="R17" s="184"/>
      <c r="S17" s="181"/>
      <c r="T17" s="612"/>
      <c r="U17" s="187"/>
      <c r="V17" s="187"/>
      <c r="W17" s="184"/>
      <c r="X17" s="181"/>
      <c r="Y17" s="612"/>
      <c r="Z17" s="187"/>
      <c r="AA17" s="187"/>
      <c r="AB17" s="184"/>
      <c r="AC17" s="181"/>
      <c r="AD17" s="612"/>
      <c r="AE17" s="187"/>
      <c r="AF17" s="187"/>
      <c r="AG17" s="184"/>
      <c r="AH17" s="181"/>
      <c r="AI17" s="612"/>
      <c r="AJ17" s="187"/>
      <c r="AK17" s="187"/>
      <c r="AL17" s="184"/>
      <c r="AM17" s="181"/>
      <c r="AN17" s="612"/>
      <c r="AO17" s="187"/>
      <c r="AP17" s="187"/>
      <c r="AQ17" s="184"/>
      <c r="AR17" s="181"/>
      <c r="AS17" s="612"/>
      <c r="AT17" s="187"/>
      <c r="AU17" s="187"/>
      <c r="AV17" s="184"/>
      <c r="AW17" s="181"/>
      <c r="AX17" s="612"/>
    </row>
    <row r="18" spans="2:50" ht="14.25" customHeight="1">
      <c r="B18" s="611"/>
      <c r="C18" s="179">
        <v>12</v>
      </c>
      <c r="D18" s="182"/>
      <c r="E18" s="179"/>
      <c r="F18" s="179"/>
      <c r="G18" s="184"/>
      <c r="H18" s="612"/>
      <c r="I18" s="185"/>
      <c r="J18" s="185"/>
      <c r="K18" s="186"/>
      <c r="L18" s="613"/>
      <c r="M18" s="185"/>
      <c r="N18" s="611"/>
      <c r="O18" s="611"/>
      <c r="P18" s="187"/>
      <c r="Q18" s="187"/>
      <c r="R18" s="184"/>
      <c r="S18" s="181"/>
      <c r="T18" s="612"/>
      <c r="U18" s="187"/>
      <c r="V18" s="187"/>
      <c r="W18" s="184"/>
      <c r="X18" s="181"/>
      <c r="Y18" s="612"/>
      <c r="Z18" s="187"/>
      <c r="AA18" s="187"/>
      <c r="AB18" s="184"/>
      <c r="AC18" s="181"/>
      <c r="AD18" s="612"/>
      <c r="AE18" s="187"/>
      <c r="AF18" s="187"/>
      <c r="AG18" s="184"/>
      <c r="AH18" s="181"/>
      <c r="AI18" s="612"/>
      <c r="AJ18" s="187"/>
      <c r="AK18" s="187"/>
      <c r="AL18" s="184"/>
      <c r="AM18" s="181"/>
      <c r="AN18" s="612"/>
      <c r="AO18" s="187"/>
      <c r="AP18" s="187"/>
      <c r="AQ18" s="184"/>
      <c r="AR18" s="181"/>
      <c r="AS18" s="612"/>
      <c r="AT18" s="187"/>
      <c r="AU18" s="187"/>
      <c r="AV18" s="184"/>
      <c r="AW18" s="181"/>
      <c r="AX18" s="612"/>
    </row>
    <row r="19" spans="2:50" ht="14.25" customHeight="1">
      <c r="B19" s="611"/>
      <c r="C19" s="179">
        <v>13</v>
      </c>
      <c r="D19" s="182"/>
      <c r="E19" s="179"/>
      <c r="F19" s="179"/>
      <c r="G19" s="184"/>
      <c r="H19" s="612"/>
      <c r="I19" s="185"/>
      <c r="J19" s="185"/>
      <c r="K19" s="186"/>
      <c r="L19" s="613"/>
      <c r="M19" s="185"/>
      <c r="N19" s="611"/>
      <c r="O19" s="611"/>
      <c r="P19" s="187"/>
      <c r="Q19" s="187"/>
      <c r="R19" s="184"/>
      <c r="S19" s="181"/>
      <c r="T19" s="612"/>
      <c r="U19" s="187"/>
      <c r="V19" s="187"/>
      <c r="W19" s="184"/>
      <c r="X19" s="181"/>
      <c r="Y19" s="612"/>
      <c r="Z19" s="187"/>
      <c r="AA19" s="187"/>
      <c r="AB19" s="184"/>
      <c r="AC19" s="181"/>
      <c r="AD19" s="612"/>
      <c r="AE19" s="187"/>
      <c r="AF19" s="187"/>
      <c r="AG19" s="184"/>
      <c r="AH19" s="181"/>
      <c r="AI19" s="612"/>
      <c r="AJ19" s="187"/>
      <c r="AK19" s="187"/>
      <c r="AL19" s="184"/>
      <c r="AM19" s="181"/>
      <c r="AN19" s="612"/>
      <c r="AO19" s="187"/>
      <c r="AP19" s="187"/>
      <c r="AQ19" s="184"/>
      <c r="AR19" s="181"/>
      <c r="AS19" s="612"/>
      <c r="AT19" s="187"/>
      <c r="AU19" s="187"/>
      <c r="AV19" s="184"/>
      <c r="AW19" s="181"/>
      <c r="AX19" s="612"/>
    </row>
    <row r="20" spans="2:50" ht="14.25" customHeight="1">
      <c r="B20" s="611"/>
      <c r="C20" s="179">
        <v>14</v>
      </c>
      <c r="D20" s="182"/>
      <c r="E20" s="179"/>
      <c r="F20" s="179"/>
      <c r="G20" s="184"/>
      <c r="H20" s="612"/>
      <c r="I20" s="185"/>
      <c r="J20" s="185"/>
      <c r="K20" s="186"/>
      <c r="L20" s="613"/>
      <c r="M20" s="185"/>
      <c r="N20" s="611"/>
      <c r="O20" s="611"/>
      <c r="P20" s="187"/>
      <c r="Q20" s="187"/>
      <c r="R20" s="184"/>
      <c r="S20" s="181"/>
      <c r="T20" s="612"/>
      <c r="U20" s="187"/>
      <c r="V20" s="187"/>
      <c r="W20" s="184"/>
      <c r="X20" s="181"/>
      <c r="Y20" s="612"/>
      <c r="Z20" s="187"/>
      <c r="AA20" s="187"/>
      <c r="AB20" s="184"/>
      <c r="AC20" s="181"/>
      <c r="AD20" s="612"/>
      <c r="AE20" s="187"/>
      <c r="AF20" s="187"/>
      <c r="AG20" s="184"/>
      <c r="AH20" s="181"/>
      <c r="AI20" s="612"/>
      <c r="AJ20" s="187"/>
      <c r="AK20" s="187"/>
      <c r="AL20" s="184"/>
      <c r="AM20" s="181"/>
      <c r="AN20" s="612"/>
      <c r="AO20" s="187"/>
      <c r="AP20" s="187"/>
      <c r="AQ20" s="184"/>
      <c r="AR20" s="181"/>
      <c r="AS20" s="612"/>
      <c r="AT20" s="187"/>
      <c r="AU20" s="187"/>
      <c r="AV20" s="184"/>
      <c r="AW20" s="181"/>
      <c r="AX20" s="612"/>
    </row>
    <row r="21" spans="2:50" ht="14.25" customHeight="1">
      <c r="B21" s="611"/>
      <c r="C21" s="179">
        <v>15</v>
      </c>
      <c r="D21" s="182"/>
      <c r="E21" s="179"/>
      <c r="F21" s="179"/>
      <c r="G21" s="184"/>
      <c r="H21" s="612"/>
      <c r="I21" s="185"/>
      <c r="J21" s="185"/>
      <c r="K21" s="186"/>
      <c r="L21" s="613"/>
      <c r="M21" s="185"/>
      <c r="N21" s="611"/>
      <c r="O21" s="611"/>
      <c r="P21" s="187"/>
      <c r="Q21" s="187"/>
      <c r="R21" s="184"/>
      <c r="S21" s="181"/>
      <c r="T21" s="612"/>
      <c r="U21" s="187"/>
      <c r="V21" s="187"/>
      <c r="W21" s="184"/>
      <c r="X21" s="181"/>
      <c r="Y21" s="612"/>
      <c r="Z21" s="187"/>
      <c r="AA21" s="187"/>
      <c r="AB21" s="184"/>
      <c r="AC21" s="181"/>
      <c r="AD21" s="612"/>
      <c r="AE21" s="187"/>
      <c r="AF21" s="187"/>
      <c r="AG21" s="184"/>
      <c r="AH21" s="181"/>
      <c r="AI21" s="612"/>
      <c r="AJ21" s="187"/>
      <c r="AK21" s="187"/>
      <c r="AL21" s="184"/>
      <c r="AM21" s="181"/>
      <c r="AN21" s="612"/>
      <c r="AO21" s="187"/>
      <c r="AP21" s="187"/>
      <c r="AQ21" s="184"/>
      <c r="AR21" s="181"/>
      <c r="AS21" s="612"/>
      <c r="AT21" s="187"/>
      <c r="AU21" s="187"/>
      <c r="AV21" s="184"/>
      <c r="AW21" s="181"/>
      <c r="AX21" s="612"/>
    </row>
    <row r="22" spans="2:50" ht="14.25" customHeight="1">
      <c r="B22" s="640" t="s">
        <v>749</v>
      </c>
      <c r="C22" s="641"/>
      <c r="D22" s="641"/>
      <c r="E22" s="641"/>
      <c r="F22" s="641"/>
      <c r="G22" s="641"/>
      <c r="H22" s="641"/>
      <c r="I22" s="641"/>
      <c r="J22" s="641"/>
      <c r="K22" s="641"/>
      <c r="L22" s="641"/>
      <c r="M22" s="642"/>
      <c r="N22" s="645" t="s">
        <v>363</v>
      </c>
      <c r="O22" s="645" t="s">
        <v>105</v>
      </c>
      <c r="P22" s="632">
        <v>46210</v>
      </c>
      <c r="Q22" s="633"/>
      <c r="R22" s="633"/>
      <c r="S22" s="633"/>
      <c r="T22" s="633"/>
      <c r="U22" s="634">
        <v>46211</v>
      </c>
      <c r="V22" s="635"/>
      <c r="W22" s="635"/>
      <c r="X22" s="635"/>
      <c r="Y22" s="635"/>
      <c r="Z22" s="632">
        <v>46212</v>
      </c>
      <c r="AA22" s="633"/>
      <c r="AB22" s="633"/>
      <c r="AC22" s="633"/>
      <c r="AD22" s="633"/>
      <c r="AE22" s="634">
        <v>46213</v>
      </c>
      <c r="AF22" s="635"/>
      <c r="AG22" s="635"/>
      <c r="AH22" s="635"/>
      <c r="AI22" s="635"/>
      <c r="AJ22" s="616">
        <v>46214</v>
      </c>
      <c r="AK22" s="617"/>
      <c r="AL22" s="617"/>
      <c r="AM22" s="617"/>
      <c r="AN22" s="618"/>
      <c r="AO22" s="634">
        <v>46215</v>
      </c>
      <c r="AP22" s="635"/>
      <c r="AQ22" s="635"/>
      <c r="AR22" s="635"/>
      <c r="AS22" s="635"/>
      <c r="AT22" s="616">
        <v>46216</v>
      </c>
      <c r="AU22" s="617"/>
      <c r="AV22" s="617"/>
      <c r="AW22" s="617"/>
      <c r="AX22" s="618"/>
    </row>
    <row r="23" spans="2:50" ht="14.25" customHeight="1">
      <c r="B23" s="643"/>
      <c r="C23" s="643"/>
      <c r="D23" s="643"/>
      <c r="E23" s="643"/>
      <c r="F23" s="643"/>
      <c r="G23" s="643"/>
      <c r="H23" s="643"/>
      <c r="I23" s="643"/>
      <c r="J23" s="643"/>
      <c r="K23" s="643"/>
      <c r="L23" s="643"/>
      <c r="M23" s="644"/>
      <c r="N23" s="646"/>
      <c r="O23" s="646"/>
      <c r="P23" s="619">
        <v>46196</v>
      </c>
      <c r="Q23" s="619"/>
      <c r="R23" s="619"/>
      <c r="S23" s="619"/>
      <c r="T23" s="619"/>
      <c r="U23" s="620">
        <v>46197</v>
      </c>
      <c r="V23" s="620"/>
      <c r="W23" s="620"/>
      <c r="X23" s="620"/>
      <c r="Y23" s="620"/>
      <c r="Z23" s="619">
        <v>46198</v>
      </c>
      <c r="AA23" s="619"/>
      <c r="AB23" s="619"/>
      <c r="AC23" s="619"/>
      <c r="AD23" s="619"/>
      <c r="AE23" s="620">
        <v>46199</v>
      </c>
      <c r="AF23" s="620"/>
      <c r="AG23" s="620"/>
      <c r="AH23" s="620"/>
      <c r="AI23" s="620"/>
      <c r="AJ23" s="621">
        <v>46200</v>
      </c>
      <c r="AK23" s="622"/>
      <c r="AL23" s="622"/>
      <c r="AM23" s="622"/>
      <c r="AN23" s="623"/>
      <c r="AO23" s="620">
        <v>46201</v>
      </c>
      <c r="AP23" s="620"/>
      <c r="AQ23" s="620"/>
      <c r="AR23" s="620"/>
      <c r="AS23" s="620"/>
      <c r="AT23" s="621">
        <v>46202</v>
      </c>
      <c r="AU23" s="622"/>
      <c r="AV23" s="622"/>
      <c r="AW23" s="622"/>
      <c r="AX23" s="623"/>
    </row>
    <row r="24" spans="2:50" ht="14.25" customHeight="1">
      <c r="B24" s="611" t="s">
        <v>162</v>
      </c>
      <c r="C24" s="611" t="s">
        <v>157</v>
      </c>
      <c r="D24" s="611"/>
      <c r="E24" s="611" t="s">
        <v>158</v>
      </c>
      <c r="F24" s="611"/>
      <c r="G24" s="611"/>
      <c r="H24" s="611" t="s">
        <v>163</v>
      </c>
      <c r="I24" s="615" t="s">
        <v>364</v>
      </c>
      <c r="J24" s="615"/>
      <c r="K24" s="615"/>
      <c r="L24" s="615" t="s">
        <v>163</v>
      </c>
      <c r="M24" s="615" t="s">
        <v>165</v>
      </c>
      <c r="N24" s="611"/>
      <c r="O24" s="611" t="s">
        <v>164</v>
      </c>
      <c r="P24" s="611" t="s">
        <v>160</v>
      </c>
      <c r="Q24" s="611"/>
      <c r="R24" s="611"/>
      <c r="S24" s="611"/>
      <c r="T24" s="611" t="s">
        <v>163</v>
      </c>
      <c r="U24" s="611" t="s">
        <v>160</v>
      </c>
      <c r="V24" s="611"/>
      <c r="W24" s="611"/>
      <c r="X24" s="611"/>
      <c r="Y24" s="611" t="s">
        <v>163</v>
      </c>
      <c r="Z24" s="611" t="s">
        <v>160</v>
      </c>
      <c r="AA24" s="611"/>
      <c r="AB24" s="611"/>
      <c r="AC24" s="611"/>
      <c r="AD24" s="611" t="s">
        <v>163</v>
      </c>
      <c r="AE24" s="611" t="s">
        <v>160</v>
      </c>
      <c r="AF24" s="611"/>
      <c r="AG24" s="611"/>
      <c r="AH24" s="611"/>
      <c r="AI24" s="611" t="s">
        <v>163</v>
      </c>
      <c r="AJ24" s="611" t="s">
        <v>160</v>
      </c>
      <c r="AK24" s="611"/>
      <c r="AL24" s="611"/>
      <c r="AM24" s="611"/>
      <c r="AN24" s="611" t="s">
        <v>163</v>
      </c>
      <c r="AO24" s="611" t="s">
        <v>160</v>
      </c>
      <c r="AP24" s="611"/>
      <c r="AQ24" s="611"/>
      <c r="AR24" s="611"/>
      <c r="AS24" s="611" t="s">
        <v>163</v>
      </c>
      <c r="AT24" s="611" t="s">
        <v>160</v>
      </c>
      <c r="AU24" s="611"/>
      <c r="AV24" s="611"/>
      <c r="AW24" s="611"/>
      <c r="AX24" s="611" t="s">
        <v>163</v>
      </c>
    </row>
    <row r="25" spans="2:50" ht="14.25" customHeight="1">
      <c r="B25" s="611"/>
      <c r="C25" s="611"/>
      <c r="D25" s="611"/>
      <c r="E25" s="611" t="s">
        <v>365</v>
      </c>
      <c r="F25" s="611"/>
      <c r="G25" s="611"/>
      <c r="H25" s="611"/>
      <c r="I25" s="615" t="s">
        <v>365</v>
      </c>
      <c r="J25" s="615"/>
      <c r="K25" s="615"/>
      <c r="L25" s="615"/>
      <c r="M25" s="615"/>
      <c r="N25" s="611"/>
      <c r="O25" s="611"/>
      <c r="P25" s="611" t="s">
        <v>366</v>
      </c>
      <c r="Q25" s="611"/>
      <c r="R25" s="611"/>
      <c r="S25" s="611"/>
      <c r="T25" s="611"/>
      <c r="U25" s="611" t="s">
        <v>366</v>
      </c>
      <c r="V25" s="611"/>
      <c r="W25" s="611"/>
      <c r="X25" s="611"/>
      <c r="Y25" s="611"/>
      <c r="Z25" s="611" t="s">
        <v>366</v>
      </c>
      <c r="AA25" s="611"/>
      <c r="AB25" s="611"/>
      <c r="AC25" s="611"/>
      <c r="AD25" s="611"/>
      <c r="AE25" s="611" t="s">
        <v>366</v>
      </c>
      <c r="AF25" s="611"/>
      <c r="AG25" s="611"/>
      <c r="AH25" s="611"/>
      <c r="AI25" s="611"/>
      <c r="AJ25" s="611" t="s">
        <v>366</v>
      </c>
      <c r="AK25" s="611"/>
      <c r="AL25" s="611"/>
      <c r="AM25" s="611"/>
      <c r="AN25" s="611"/>
      <c r="AO25" s="611" t="s">
        <v>366</v>
      </c>
      <c r="AP25" s="611"/>
      <c r="AQ25" s="611"/>
      <c r="AR25" s="611"/>
      <c r="AS25" s="611"/>
      <c r="AT25" s="611" t="s">
        <v>366</v>
      </c>
      <c r="AU25" s="611"/>
      <c r="AV25" s="611"/>
      <c r="AW25" s="611"/>
      <c r="AX25" s="611"/>
    </row>
    <row r="26" spans="2:50" ht="14.25" customHeight="1">
      <c r="B26" s="611"/>
      <c r="C26" s="611"/>
      <c r="D26" s="611"/>
      <c r="E26" s="179" t="s">
        <v>159</v>
      </c>
      <c r="F26" s="179" t="s">
        <v>367</v>
      </c>
      <c r="G26" s="179" t="s">
        <v>161</v>
      </c>
      <c r="H26" s="611"/>
      <c r="I26" s="180" t="s">
        <v>159</v>
      </c>
      <c r="J26" s="180" t="s">
        <v>367</v>
      </c>
      <c r="K26" s="180" t="s">
        <v>161</v>
      </c>
      <c r="L26" s="615"/>
      <c r="M26" s="615"/>
      <c r="N26" s="611"/>
      <c r="O26" s="611"/>
      <c r="P26" s="179" t="s">
        <v>159</v>
      </c>
      <c r="Q26" s="179" t="s">
        <v>367</v>
      </c>
      <c r="R26" s="179" t="s">
        <v>161</v>
      </c>
      <c r="S26" s="181" t="s">
        <v>165</v>
      </c>
      <c r="T26" s="611"/>
      <c r="U26" s="179" t="s">
        <v>159</v>
      </c>
      <c r="V26" s="179" t="s">
        <v>367</v>
      </c>
      <c r="W26" s="179" t="s">
        <v>161</v>
      </c>
      <c r="X26" s="181" t="s">
        <v>165</v>
      </c>
      <c r="Y26" s="611"/>
      <c r="Z26" s="179" t="s">
        <v>159</v>
      </c>
      <c r="AA26" s="179" t="s">
        <v>367</v>
      </c>
      <c r="AB26" s="179" t="s">
        <v>161</v>
      </c>
      <c r="AC26" s="181" t="s">
        <v>165</v>
      </c>
      <c r="AD26" s="611"/>
      <c r="AE26" s="179" t="s">
        <v>159</v>
      </c>
      <c r="AF26" s="179" t="s">
        <v>367</v>
      </c>
      <c r="AG26" s="179" t="s">
        <v>161</v>
      </c>
      <c r="AH26" s="181" t="s">
        <v>165</v>
      </c>
      <c r="AI26" s="611"/>
      <c r="AJ26" s="179" t="s">
        <v>159</v>
      </c>
      <c r="AK26" s="179" t="s">
        <v>367</v>
      </c>
      <c r="AL26" s="179" t="s">
        <v>161</v>
      </c>
      <c r="AM26" s="181" t="s">
        <v>165</v>
      </c>
      <c r="AN26" s="611"/>
      <c r="AO26" s="179" t="s">
        <v>159</v>
      </c>
      <c r="AP26" s="179" t="s">
        <v>367</v>
      </c>
      <c r="AQ26" s="179" t="s">
        <v>161</v>
      </c>
      <c r="AR26" s="181" t="s">
        <v>165</v>
      </c>
      <c r="AS26" s="611"/>
      <c r="AT26" s="179" t="s">
        <v>159</v>
      </c>
      <c r="AU26" s="179" t="s">
        <v>367</v>
      </c>
      <c r="AV26" s="179" t="s">
        <v>161</v>
      </c>
      <c r="AW26" s="181" t="s">
        <v>165</v>
      </c>
      <c r="AX26" s="611"/>
    </row>
    <row r="27" spans="2:50" ht="14.25" customHeight="1">
      <c r="B27" s="611" t="s">
        <v>143</v>
      </c>
      <c r="C27" s="179">
        <v>1</v>
      </c>
      <c r="D27" s="182" t="s">
        <v>650</v>
      </c>
      <c r="E27" s="183">
        <v>19</v>
      </c>
      <c r="F27" s="179">
        <v>2000</v>
      </c>
      <c r="G27" s="184">
        <f t="shared" ref="G27:G31" si="17">IFERROR(F27/E27,"")</f>
        <v>105.26315789473684</v>
      </c>
      <c r="H27" s="612">
        <f>AVERAGE(G27:G41)</f>
        <v>130.42326094957676</v>
      </c>
      <c r="I27" s="185">
        <f>AVERAGE(P27,U27,Z27,AE27,AJ27,AO27,AT27)</f>
        <v>19</v>
      </c>
      <c r="J27" s="185">
        <f>AVERAGE(Q27,V27,AA27,AF27,AK27,AP27,AU27)</f>
        <v>1790.0171092346918</v>
      </c>
      <c r="K27" s="186">
        <f>AVERAGE(R27,W27,AB27,AG27,AL27,AQ27,AV27)</f>
        <v>94.21142680182588</v>
      </c>
      <c r="L27" s="613">
        <f>IFERROR(AVERAGE(K27:K41),"-")</f>
        <v>117.52142077681158</v>
      </c>
      <c r="M27" s="185">
        <f>RANK(K27, K$27:$K$41)</f>
        <v>3</v>
      </c>
      <c r="N27" s="611"/>
      <c r="O27" s="611"/>
      <c r="P27" s="187">
        <v>19</v>
      </c>
      <c r="Q27" s="187">
        <v>1790.3152450743362</v>
      </c>
      <c r="R27" s="184">
        <f>IFERROR(Q27/P27,"")</f>
        <v>94.227118161807169</v>
      </c>
      <c r="S27" s="181">
        <f>RANK(R27, R$27:R$41)</f>
        <v>3</v>
      </c>
      <c r="T27" s="612">
        <f>AVERAGE(R27:R41)</f>
        <v>117.51407995920613</v>
      </c>
      <c r="U27" s="187">
        <v>19</v>
      </c>
      <c r="V27" s="187">
        <v>1790.9152450743361</v>
      </c>
      <c r="W27" s="184">
        <f t="shared" ref="W27:W31" si="18">IFERROR(V27/U27,"")</f>
        <v>94.258697109175586</v>
      </c>
      <c r="X27" s="181">
        <f>RANK(W27, W$27:W$41)</f>
        <v>3</v>
      </c>
      <c r="Y27" s="612">
        <f>AVERAGE(W27:W41)</f>
        <v>117.52596218224626</v>
      </c>
      <c r="Z27" s="187">
        <v>19</v>
      </c>
      <c r="AA27" s="187">
        <v>1790.5152450743365</v>
      </c>
      <c r="AB27" s="184">
        <f>IFERROR(AA27/Z27,"")</f>
        <v>94.23764447759666</v>
      </c>
      <c r="AC27" s="181">
        <f>RANK(AB27, AB$27:AB$41)</f>
        <v>3</v>
      </c>
      <c r="AD27" s="612">
        <f>AVERAGE(AB27:AB41)</f>
        <v>117.51268871886752</v>
      </c>
      <c r="AE27" s="187">
        <v>19</v>
      </c>
      <c r="AF27" s="187">
        <v>1789.9152450743368</v>
      </c>
      <c r="AG27" s="184">
        <f>IFERROR(AF27/AE27,"")</f>
        <v>94.206065530228258</v>
      </c>
      <c r="AH27" s="181">
        <f>RANK(AG27, AG$27:AG$41)</f>
        <v>3</v>
      </c>
      <c r="AI27" s="612">
        <f>AVERAGE(AG27:AG41)</f>
        <v>117.5246386636596</v>
      </c>
      <c r="AJ27" s="187">
        <v>19</v>
      </c>
      <c r="AK27" s="187">
        <v>1789.7152450743372</v>
      </c>
      <c r="AL27" s="184">
        <f>IFERROR(AK27/AJ27,"")</f>
        <v>94.195539214438796</v>
      </c>
      <c r="AM27" s="181">
        <f>RANK(AL27, AL$27:AL$41)</f>
        <v>3</v>
      </c>
      <c r="AN27" s="612">
        <f>AVERAGE(AL27:AL41)</f>
        <v>117.54483076341849</v>
      </c>
      <c r="AO27" s="187">
        <v>19</v>
      </c>
      <c r="AP27" s="187">
        <v>1789.3152450743371</v>
      </c>
      <c r="AQ27" s="184">
        <f>IFERROR(AP27/AO27,"")</f>
        <v>94.174486582859842</v>
      </c>
      <c r="AR27" s="181">
        <f>RANK(AQ27, AQ$27:AQ$41)</f>
        <v>3</v>
      </c>
      <c r="AS27" s="612">
        <f>AVERAGE(AQ27:AQ41)</f>
        <v>117.52599086647334</v>
      </c>
      <c r="AT27" s="187">
        <v>19</v>
      </c>
      <c r="AU27" s="187">
        <v>1789.4282941968229</v>
      </c>
      <c r="AV27" s="184">
        <f>IFERROR(AU27/AT27,"")</f>
        <v>94.18043653667489</v>
      </c>
      <c r="AW27" s="181">
        <f>RANK(AV27, AV$27:AV$41)</f>
        <v>3</v>
      </c>
      <c r="AX27" s="612">
        <f>AVERAGE(AV27:AV41)</f>
        <v>117.50175428380976</v>
      </c>
    </row>
    <row r="28" spans="2:50" ht="14.25" customHeight="1">
      <c r="B28" s="611"/>
      <c r="C28" s="179">
        <v>2</v>
      </c>
      <c r="D28" s="182" t="s">
        <v>354</v>
      </c>
      <c r="E28" s="179">
        <v>13</v>
      </c>
      <c r="F28" s="179">
        <v>1200</v>
      </c>
      <c r="G28" s="184">
        <f t="shared" si="17"/>
        <v>92.307692307692307</v>
      </c>
      <c r="H28" s="612"/>
      <c r="I28" s="185">
        <f t="shared" ref="I28:K31" si="19">AVERAGE(P28,U28,Z28,AE28,AJ28,AO28,AT28)</f>
        <v>13</v>
      </c>
      <c r="J28" s="185">
        <f t="shared" si="19"/>
        <v>1082.2619182388853</v>
      </c>
      <c r="K28" s="186">
        <f t="shared" si="19"/>
        <v>83.250916787606556</v>
      </c>
      <c r="L28" s="613"/>
      <c r="M28" s="185">
        <f>RANK(K28, K$27:$K$41)</f>
        <v>4</v>
      </c>
      <c r="N28" s="611"/>
      <c r="O28" s="611"/>
      <c r="P28" s="187">
        <v>13</v>
      </c>
      <c r="Q28" s="187">
        <v>1081.8504896674567</v>
      </c>
      <c r="R28" s="184">
        <f t="shared" ref="R28:R31" si="20">IFERROR(Q28/P28,"")</f>
        <v>83.219268435958213</v>
      </c>
      <c r="S28" s="181">
        <f t="shared" ref="S28:S31" si="21">RANK(R28, R$27:R$41)</f>
        <v>4</v>
      </c>
      <c r="T28" s="612"/>
      <c r="U28" s="187">
        <v>13</v>
      </c>
      <c r="V28" s="187">
        <v>1082.3304896674567</v>
      </c>
      <c r="W28" s="184">
        <f t="shared" si="18"/>
        <v>83.256191512881287</v>
      </c>
      <c r="X28" s="181">
        <f t="shared" ref="X28:X31" si="22">RANK(W28, W$27:W$41)</f>
        <v>4</v>
      </c>
      <c r="Y28" s="612"/>
      <c r="Z28" s="187">
        <v>13</v>
      </c>
      <c r="AA28" s="187">
        <v>1082.4504896674566</v>
      </c>
      <c r="AB28" s="184">
        <f t="shared" ref="AB28:AB31" si="23">IFERROR(AA28/Z28,"")</f>
        <v>83.265422282112041</v>
      </c>
      <c r="AC28" s="181">
        <f t="shared" ref="AC28:AC31" si="24">RANK(AB28, AB$27:AB$41)</f>
        <v>4</v>
      </c>
      <c r="AD28" s="612"/>
      <c r="AE28" s="187">
        <v>13</v>
      </c>
      <c r="AF28" s="187">
        <v>1082.8104896674565</v>
      </c>
      <c r="AG28" s="184">
        <f t="shared" ref="AG28:AG31" si="25">IFERROR(AF28/AE28,"")</f>
        <v>83.293114589804347</v>
      </c>
      <c r="AH28" s="181">
        <f t="shared" ref="AH28:AH31" si="26">RANK(AG28, AG$27:AG$41)</f>
        <v>4</v>
      </c>
      <c r="AI28" s="612"/>
      <c r="AJ28" s="187">
        <v>13</v>
      </c>
      <c r="AK28" s="187">
        <v>1082.3304896674567</v>
      </c>
      <c r="AL28" s="184">
        <f t="shared" ref="AL28:AL31" si="27">IFERROR(AK28/AJ28,"")</f>
        <v>83.256191512881287</v>
      </c>
      <c r="AM28" s="181">
        <f t="shared" ref="AM28:AM31" si="28">RANK(AL28, AL$27:AL$41)</f>
        <v>4</v>
      </c>
      <c r="AN28" s="612"/>
      <c r="AO28" s="187">
        <v>13</v>
      </c>
      <c r="AP28" s="187">
        <v>1081.9704896674568</v>
      </c>
      <c r="AQ28" s="184">
        <f t="shared" ref="AQ28:AQ31" si="29">IFERROR(AP28/AO28,"")</f>
        <v>83.228499205188982</v>
      </c>
      <c r="AR28" s="181">
        <f t="shared" ref="AR28:AR31" si="30">RANK(AQ28, AQ$27:AQ$41)</f>
        <v>4</v>
      </c>
      <c r="AS28" s="612"/>
      <c r="AT28" s="187">
        <v>13</v>
      </c>
      <c r="AU28" s="187">
        <v>1082.0904896674567</v>
      </c>
      <c r="AV28" s="184">
        <f t="shared" ref="AV28:AV31" si="31">IFERROR(AU28/AT28,"")</f>
        <v>83.23772997441975</v>
      </c>
      <c r="AW28" s="181">
        <f t="shared" ref="AW28:AW31" si="32">RANK(AV28, AV$27:AV$41)</f>
        <v>4</v>
      </c>
      <c r="AX28" s="612"/>
    </row>
    <row r="29" spans="2:50" ht="14.25" customHeight="1">
      <c r="B29" s="611"/>
      <c r="C29" s="179">
        <v>3</v>
      </c>
      <c r="D29" s="182" t="s">
        <v>615</v>
      </c>
      <c r="E29" s="179">
        <v>11</v>
      </c>
      <c r="F29" s="179">
        <v>2000</v>
      </c>
      <c r="G29" s="184">
        <f t="shared" si="17"/>
        <v>181.81818181818181</v>
      </c>
      <c r="H29" s="612"/>
      <c r="I29" s="185">
        <f t="shared" si="19"/>
        <v>11</v>
      </c>
      <c r="J29" s="185">
        <f t="shared" si="19"/>
        <v>1805.0567096497603</v>
      </c>
      <c r="K29" s="186">
        <f t="shared" si="19"/>
        <v>164.09606451361455</v>
      </c>
      <c r="L29" s="613"/>
      <c r="M29" s="185">
        <f>RANK(K29, K$27:$K$41)</f>
        <v>2</v>
      </c>
      <c r="N29" s="611"/>
      <c r="O29" s="611"/>
      <c r="P29" s="187">
        <v>11</v>
      </c>
      <c r="Q29" s="187">
        <v>1803.9856344469415</v>
      </c>
      <c r="R29" s="184">
        <f t="shared" si="20"/>
        <v>163.99869404063105</v>
      </c>
      <c r="S29" s="181">
        <f t="shared" si="21"/>
        <v>2</v>
      </c>
      <c r="T29" s="612"/>
      <c r="U29" s="187">
        <v>11</v>
      </c>
      <c r="V29" s="187">
        <v>1804.7856344469412</v>
      </c>
      <c r="W29" s="184">
        <f t="shared" si="18"/>
        <v>164.07142131335829</v>
      </c>
      <c r="X29" s="181">
        <f t="shared" si="22"/>
        <v>2</v>
      </c>
      <c r="Y29" s="612"/>
      <c r="Z29" s="187">
        <v>11</v>
      </c>
      <c r="AA29" s="187">
        <v>1804.785634446941</v>
      </c>
      <c r="AB29" s="184">
        <f t="shared" si="23"/>
        <v>164.07142131335829</v>
      </c>
      <c r="AC29" s="181">
        <f t="shared" si="24"/>
        <v>2</v>
      </c>
      <c r="AD29" s="612"/>
      <c r="AE29" s="187">
        <v>11</v>
      </c>
      <c r="AF29" s="187">
        <v>1805.1856344469411</v>
      </c>
      <c r="AG29" s="184">
        <f t="shared" si="25"/>
        <v>164.10778494972192</v>
      </c>
      <c r="AH29" s="181">
        <f t="shared" si="26"/>
        <v>2</v>
      </c>
      <c r="AI29" s="612"/>
      <c r="AJ29" s="187">
        <v>11</v>
      </c>
      <c r="AK29" s="187">
        <v>1806.0181432535185</v>
      </c>
      <c r="AL29" s="184">
        <f t="shared" si="27"/>
        <v>164.18346756850167</v>
      </c>
      <c r="AM29" s="181">
        <f t="shared" si="28"/>
        <v>2</v>
      </c>
      <c r="AN29" s="612"/>
      <c r="AO29" s="187">
        <v>11</v>
      </c>
      <c r="AP29" s="187">
        <v>1805.6181432535186</v>
      </c>
      <c r="AQ29" s="184">
        <f t="shared" si="29"/>
        <v>164.14710393213807</v>
      </c>
      <c r="AR29" s="181">
        <f t="shared" si="30"/>
        <v>2</v>
      </c>
      <c r="AS29" s="612"/>
      <c r="AT29" s="187">
        <v>11</v>
      </c>
      <c r="AU29" s="187">
        <v>1805.0181432535187</v>
      </c>
      <c r="AV29" s="184">
        <f t="shared" si="31"/>
        <v>164.0925584775926</v>
      </c>
      <c r="AW29" s="181">
        <f t="shared" si="32"/>
        <v>2</v>
      </c>
      <c r="AX29" s="612"/>
    </row>
    <row r="30" spans="2:50" ht="14.25" customHeight="1">
      <c r="B30" s="611"/>
      <c r="C30" s="179">
        <v>4</v>
      </c>
      <c r="D30" s="182" t="s">
        <v>616</v>
      </c>
      <c r="E30" s="179">
        <v>22</v>
      </c>
      <c r="F30" s="179">
        <v>2000</v>
      </c>
      <c r="G30" s="184">
        <f t="shared" si="17"/>
        <v>90.909090909090907</v>
      </c>
      <c r="H30" s="612"/>
      <c r="I30" s="185">
        <f t="shared" si="19"/>
        <v>22</v>
      </c>
      <c r="J30" s="185">
        <f t="shared" si="19"/>
        <v>1799.9500769987733</v>
      </c>
      <c r="K30" s="186">
        <f t="shared" si="19"/>
        <v>81.81591259085333</v>
      </c>
      <c r="L30" s="613"/>
      <c r="M30" s="185">
        <f>RANK(K30, K$27:$K$41)</f>
        <v>5</v>
      </c>
      <c r="N30" s="611"/>
      <c r="O30" s="611"/>
      <c r="P30" s="187">
        <v>22</v>
      </c>
      <c r="Q30" s="187">
        <v>1800.2072198559158</v>
      </c>
      <c r="R30" s="184">
        <f t="shared" si="20"/>
        <v>81.827600902541633</v>
      </c>
      <c r="S30" s="181">
        <f t="shared" si="21"/>
        <v>5</v>
      </c>
      <c r="T30" s="612"/>
      <c r="U30" s="187">
        <v>22</v>
      </c>
      <c r="V30" s="187">
        <v>1800.4072198559161</v>
      </c>
      <c r="W30" s="184">
        <f t="shared" si="18"/>
        <v>81.836691811632548</v>
      </c>
      <c r="X30" s="181">
        <f t="shared" si="22"/>
        <v>5</v>
      </c>
      <c r="Y30" s="612"/>
      <c r="Z30" s="187">
        <v>22</v>
      </c>
      <c r="AA30" s="187">
        <v>1799.6072198559161</v>
      </c>
      <c r="AB30" s="184">
        <f t="shared" si="23"/>
        <v>81.800328175268916</v>
      </c>
      <c r="AC30" s="181">
        <f t="shared" si="24"/>
        <v>5</v>
      </c>
      <c r="AD30" s="612"/>
      <c r="AE30" s="187">
        <v>22</v>
      </c>
      <c r="AF30" s="187">
        <v>1799.4072198559165</v>
      </c>
      <c r="AG30" s="184">
        <f t="shared" si="25"/>
        <v>81.79123726617803</v>
      </c>
      <c r="AH30" s="181">
        <f t="shared" si="26"/>
        <v>5</v>
      </c>
      <c r="AI30" s="612"/>
      <c r="AJ30" s="187">
        <v>22</v>
      </c>
      <c r="AK30" s="187">
        <v>1799.8072198559164</v>
      </c>
      <c r="AL30" s="184">
        <f t="shared" si="27"/>
        <v>81.809419084359831</v>
      </c>
      <c r="AM30" s="181">
        <f t="shared" si="28"/>
        <v>5</v>
      </c>
      <c r="AN30" s="612"/>
      <c r="AO30" s="187">
        <v>22</v>
      </c>
      <c r="AP30" s="187">
        <v>1800.4072198559161</v>
      </c>
      <c r="AQ30" s="184">
        <f t="shared" si="29"/>
        <v>81.836691811632548</v>
      </c>
      <c r="AR30" s="181">
        <f t="shared" si="30"/>
        <v>5</v>
      </c>
      <c r="AS30" s="612"/>
      <c r="AT30" s="187">
        <v>22</v>
      </c>
      <c r="AU30" s="187">
        <v>1799.8072198559159</v>
      </c>
      <c r="AV30" s="184">
        <f t="shared" si="31"/>
        <v>81.809419084359817</v>
      </c>
      <c r="AW30" s="181">
        <f t="shared" si="32"/>
        <v>5</v>
      </c>
      <c r="AX30" s="612"/>
    </row>
    <row r="31" spans="2:50" ht="14.25" customHeight="1">
      <c r="B31" s="611"/>
      <c r="C31" s="179">
        <v>5</v>
      </c>
      <c r="D31" s="182" t="s">
        <v>617</v>
      </c>
      <c r="E31" s="179">
        <v>11</v>
      </c>
      <c r="F31" s="179">
        <v>2000</v>
      </c>
      <c r="G31" s="184">
        <f t="shared" si="17"/>
        <v>181.81818181818181</v>
      </c>
      <c r="H31" s="612"/>
      <c r="I31" s="185">
        <f t="shared" si="19"/>
        <v>11</v>
      </c>
      <c r="J31" s="185">
        <f t="shared" si="19"/>
        <v>1806.5606150917336</v>
      </c>
      <c r="K31" s="186">
        <f t="shared" si="19"/>
        <v>164.23278319015759</v>
      </c>
      <c r="L31" s="613"/>
      <c r="M31" s="185">
        <f>RANK(K31, K$27:$K$41)</f>
        <v>1</v>
      </c>
      <c r="N31" s="611"/>
      <c r="O31" s="611"/>
      <c r="P31" s="187">
        <v>11</v>
      </c>
      <c r="Q31" s="187">
        <v>1807.2749008060186</v>
      </c>
      <c r="R31" s="184">
        <f t="shared" si="20"/>
        <v>164.2977182550926</v>
      </c>
      <c r="S31" s="181">
        <f t="shared" si="21"/>
        <v>1</v>
      </c>
      <c r="T31" s="612"/>
      <c r="U31" s="187">
        <v>11</v>
      </c>
      <c r="V31" s="187">
        <v>1806.2749008060193</v>
      </c>
      <c r="W31" s="184">
        <f t="shared" si="18"/>
        <v>164.20680916418357</v>
      </c>
      <c r="X31" s="181">
        <f t="shared" si="22"/>
        <v>1</v>
      </c>
      <c r="Y31" s="612"/>
      <c r="Z31" s="187">
        <v>11</v>
      </c>
      <c r="AA31" s="187">
        <v>1806.0749008060193</v>
      </c>
      <c r="AB31" s="184">
        <f t="shared" si="23"/>
        <v>164.18862734600177</v>
      </c>
      <c r="AC31" s="181">
        <f t="shared" si="24"/>
        <v>1</v>
      </c>
      <c r="AD31" s="612"/>
      <c r="AE31" s="187">
        <v>11</v>
      </c>
      <c r="AF31" s="187">
        <v>1806.4749008060194</v>
      </c>
      <c r="AG31" s="184">
        <f t="shared" si="25"/>
        <v>164.2249909823654</v>
      </c>
      <c r="AH31" s="181">
        <f t="shared" si="26"/>
        <v>1</v>
      </c>
      <c r="AI31" s="612"/>
      <c r="AJ31" s="187">
        <v>11</v>
      </c>
      <c r="AK31" s="187">
        <v>1807.0749008060195</v>
      </c>
      <c r="AL31" s="184">
        <f t="shared" si="27"/>
        <v>164.27953643691086</v>
      </c>
      <c r="AM31" s="181">
        <f t="shared" si="28"/>
        <v>1</v>
      </c>
      <c r="AN31" s="612"/>
      <c r="AO31" s="187">
        <v>11</v>
      </c>
      <c r="AP31" s="187">
        <v>1806.6749008060192</v>
      </c>
      <c r="AQ31" s="184">
        <f t="shared" si="29"/>
        <v>164.2431728005472</v>
      </c>
      <c r="AR31" s="181">
        <f t="shared" si="30"/>
        <v>1</v>
      </c>
      <c r="AS31" s="612"/>
      <c r="AT31" s="187">
        <v>11</v>
      </c>
      <c r="AU31" s="187">
        <v>1806.0749008060195</v>
      </c>
      <c r="AV31" s="184">
        <f t="shared" si="31"/>
        <v>164.18862734600177</v>
      </c>
      <c r="AW31" s="181">
        <f t="shared" si="32"/>
        <v>1</v>
      </c>
      <c r="AX31" s="612"/>
    </row>
    <row r="32" spans="2:50" ht="14.25" customHeight="1">
      <c r="B32" s="611"/>
      <c r="C32" s="179">
        <v>6</v>
      </c>
      <c r="D32" s="182"/>
      <c r="E32" s="179"/>
      <c r="F32" s="179"/>
      <c r="G32" s="184"/>
      <c r="H32" s="612"/>
      <c r="I32" s="185"/>
      <c r="J32" s="185"/>
      <c r="K32" s="186"/>
      <c r="L32" s="613"/>
      <c r="M32" s="185"/>
      <c r="N32" s="611"/>
      <c r="O32" s="611"/>
      <c r="P32" s="187"/>
      <c r="Q32" s="187"/>
      <c r="R32" s="184"/>
      <c r="S32" s="181"/>
      <c r="T32" s="612"/>
      <c r="U32" s="187"/>
      <c r="V32" s="187"/>
      <c r="W32" s="184"/>
      <c r="X32" s="181"/>
      <c r="Y32" s="612"/>
      <c r="Z32" s="187"/>
      <c r="AA32" s="187"/>
      <c r="AB32" s="184"/>
      <c r="AC32" s="181"/>
      <c r="AD32" s="612"/>
      <c r="AE32" s="187"/>
      <c r="AF32" s="187"/>
      <c r="AG32" s="184"/>
      <c r="AH32" s="181"/>
      <c r="AI32" s="612"/>
      <c r="AJ32" s="187"/>
      <c r="AK32" s="187"/>
      <c r="AL32" s="184"/>
      <c r="AM32" s="181"/>
      <c r="AN32" s="612"/>
      <c r="AO32" s="187"/>
      <c r="AP32" s="187"/>
      <c r="AQ32" s="184"/>
      <c r="AR32" s="181"/>
      <c r="AS32" s="612"/>
      <c r="AT32" s="187"/>
      <c r="AU32" s="187"/>
      <c r="AV32" s="184"/>
      <c r="AW32" s="181"/>
      <c r="AX32" s="612"/>
    </row>
    <row r="33" spans="2:50" ht="14.25" customHeight="1">
      <c r="B33" s="611"/>
      <c r="C33" s="179">
        <v>7</v>
      </c>
      <c r="D33" s="182"/>
      <c r="E33" s="179"/>
      <c r="F33" s="179"/>
      <c r="G33" s="184"/>
      <c r="H33" s="612"/>
      <c r="I33" s="185"/>
      <c r="J33" s="185"/>
      <c r="K33" s="186"/>
      <c r="L33" s="613"/>
      <c r="M33" s="185"/>
      <c r="N33" s="611"/>
      <c r="O33" s="611"/>
      <c r="P33" s="187"/>
      <c r="Q33" s="187"/>
      <c r="R33" s="184"/>
      <c r="S33" s="181"/>
      <c r="T33" s="612"/>
      <c r="U33" s="187"/>
      <c r="V33" s="187"/>
      <c r="W33" s="184"/>
      <c r="X33" s="181"/>
      <c r="Y33" s="612"/>
      <c r="Z33" s="187"/>
      <c r="AA33" s="187"/>
      <c r="AB33" s="184"/>
      <c r="AC33" s="181"/>
      <c r="AD33" s="612"/>
      <c r="AE33" s="187"/>
      <c r="AF33" s="187"/>
      <c r="AG33" s="184"/>
      <c r="AH33" s="181"/>
      <c r="AI33" s="612"/>
      <c r="AJ33" s="187"/>
      <c r="AK33" s="187"/>
      <c r="AL33" s="184"/>
      <c r="AM33" s="181"/>
      <c r="AN33" s="612"/>
      <c r="AO33" s="187"/>
      <c r="AP33" s="187"/>
      <c r="AQ33" s="184"/>
      <c r="AR33" s="181"/>
      <c r="AS33" s="612"/>
      <c r="AT33" s="187"/>
      <c r="AU33" s="187"/>
      <c r="AV33" s="184"/>
      <c r="AW33" s="181"/>
      <c r="AX33" s="612"/>
    </row>
    <row r="34" spans="2:50" ht="14.25" customHeight="1">
      <c r="B34" s="611"/>
      <c r="C34" s="179">
        <v>8</v>
      </c>
      <c r="D34" s="182"/>
      <c r="E34" s="179"/>
      <c r="F34" s="179"/>
      <c r="G34" s="184"/>
      <c r="H34" s="612"/>
      <c r="I34" s="185"/>
      <c r="J34" s="185"/>
      <c r="K34" s="186"/>
      <c r="L34" s="613"/>
      <c r="M34" s="185"/>
      <c r="N34" s="611"/>
      <c r="O34" s="611"/>
      <c r="P34" s="187"/>
      <c r="Q34" s="187"/>
      <c r="R34" s="184"/>
      <c r="S34" s="181"/>
      <c r="T34" s="612"/>
      <c r="U34" s="187"/>
      <c r="V34" s="187"/>
      <c r="W34" s="184"/>
      <c r="X34" s="181"/>
      <c r="Y34" s="612"/>
      <c r="Z34" s="187"/>
      <c r="AA34" s="187"/>
      <c r="AB34" s="184"/>
      <c r="AC34" s="181"/>
      <c r="AD34" s="612"/>
      <c r="AE34" s="187"/>
      <c r="AF34" s="187"/>
      <c r="AG34" s="184"/>
      <c r="AH34" s="181"/>
      <c r="AI34" s="612"/>
      <c r="AJ34" s="187"/>
      <c r="AK34" s="187"/>
      <c r="AL34" s="184"/>
      <c r="AM34" s="181"/>
      <c r="AN34" s="612"/>
      <c r="AO34" s="187"/>
      <c r="AP34" s="187"/>
      <c r="AQ34" s="184"/>
      <c r="AR34" s="181"/>
      <c r="AS34" s="612"/>
      <c r="AT34" s="187"/>
      <c r="AU34" s="187"/>
      <c r="AV34" s="184"/>
      <c r="AW34" s="181"/>
      <c r="AX34" s="612"/>
    </row>
    <row r="35" spans="2:50" ht="14.25" customHeight="1">
      <c r="B35" s="611"/>
      <c r="C35" s="179">
        <v>9</v>
      </c>
      <c r="D35" s="182"/>
      <c r="E35" s="179"/>
      <c r="F35" s="179"/>
      <c r="G35" s="184"/>
      <c r="H35" s="612"/>
      <c r="I35" s="185"/>
      <c r="J35" s="185"/>
      <c r="K35" s="186"/>
      <c r="L35" s="613"/>
      <c r="M35" s="185"/>
      <c r="N35" s="611"/>
      <c r="O35" s="611"/>
      <c r="P35" s="187"/>
      <c r="Q35" s="187"/>
      <c r="R35" s="184"/>
      <c r="S35" s="181"/>
      <c r="T35" s="612"/>
      <c r="U35" s="187"/>
      <c r="V35" s="187"/>
      <c r="W35" s="184"/>
      <c r="X35" s="181"/>
      <c r="Y35" s="612"/>
      <c r="Z35" s="187"/>
      <c r="AA35" s="187"/>
      <c r="AB35" s="184"/>
      <c r="AC35" s="181"/>
      <c r="AD35" s="612"/>
      <c r="AE35" s="187"/>
      <c r="AF35" s="187"/>
      <c r="AG35" s="184"/>
      <c r="AH35" s="181"/>
      <c r="AI35" s="612"/>
      <c r="AJ35" s="187"/>
      <c r="AK35" s="187"/>
      <c r="AL35" s="184"/>
      <c r="AM35" s="181"/>
      <c r="AN35" s="612"/>
      <c r="AO35" s="187"/>
      <c r="AP35" s="187"/>
      <c r="AQ35" s="184"/>
      <c r="AR35" s="181"/>
      <c r="AS35" s="612"/>
      <c r="AT35" s="187"/>
      <c r="AU35" s="187"/>
      <c r="AV35" s="184"/>
      <c r="AW35" s="181"/>
      <c r="AX35" s="612"/>
    </row>
    <row r="36" spans="2:50" ht="14.25" customHeight="1">
      <c r="B36" s="611"/>
      <c r="C36" s="179">
        <v>10</v>
      </c>
      <c r="D36" s="182"/>
      <c r="E36" s="179"/>
      <c r="F36" s="179"/>
      <c r="G36" s="184"/>
      <c r="H36" s="612"/>
      <c r="I36" s="185"/>
      <c r="J36" s="185"/>
      <c r="K36" s="186"/>
      <c r="L36" s="613"/>
      <c r="M36" s="185"/>
      <c r="N36" s="611"/>
      <c r="O36" s="611"/>
      <c r="P36" s="187"/>
      <c r="Q36" s="187"/>
      <c r="R36" s="184"/>
      <c r="S36" s="181"/>
      <c r="T36" s="612"/>
      <c r="U36" s="187"/>
      <c r="V36" s="187"/>
      <c r="W36" s="184"/>
      <c r="X36" s="181"/>
      <c r="Y36" s="612"/>
      <c r="Z36" s="187"/>
      <c r="AA36" s="187"/>
      <c r="AB36" s="184"/>
      <c r="AC36" s="181"/>
      <c r="AD36" s="612"/>
      <c r="AE36" s="187"/>
      <c r="AF36" s="187"/>
      <c r="AG36" s="184"/>
      <c r="AH36" s="181"/>
      <c r="AI36" s="612"/>
      <c r="AJ36" s="187"/>
      <c r="AK36" s="187"/>
      <c r="AL36" s="184"/>
      <c r="AM36" s="181"/>
      <c r="AN36" s="612"/>
      <c r="AO36" s="187"/>
      <c r="AP36" s="187"/>
      <c r="AQ36" s="184"/>
      <c r="AR36" s="181"/>
      <c r="AS36" s="612"/>
      <c r="AT36" s="187"/>
      <c r="AU36" s="187"/>
      <c r="AV36" s="184"/>
      <c r="AW36" s="181"/>
      <c r="AX36" s="612"/>
    </row>
    <row r="37" spans="2:50" ht="14.25" customHeight="1">
      <c r="B37" s="611"/>
      <c r="C37" s="179">
        <v>11</v>
      </c>
      <c r="D37" s="182"/>
      <c r="E37" s="179"/>
      <c r="F37" s="179"/>
      <c r="G37" s="184"/>
      <c r="H37" s="612"/>
      <c r="I37" s="185"/>
      <c r="J37" s="185"/>
      <c r="K37" s="186"/>
      <c r="L37" s="613"/>
      <c r="M37" s="185"/>
      <c r="N37" s="611"/>
      <c r="O37" s="611"/>
      <c r="P37" s="187"/>
      <c r="Q37" s="187"/>
      <c r="R37" s="184"/>
      <c r="S37" s="181"/>
      <c r="T37" s="612"/>
      <c r="U37" s="187"/>
      <c r="V37" s="187"/>
      <c r="W37" s="184"/>
      <c r="X37" s="181"/>
      <c r="Y37" s="612"/>
      <c r="Z37" s="187"/>
      <c r="AA37" s="187"/>
      <c r="AB37" s="184"/>
      <c r="AC37" s="181"/>
      <c r="AD37" s="612"/>
      <c r="AE37" s="187"/>
      <c r="AF37" s="187"/>
      <c r="AG37" s="184"/>
      <c r="AH37" s="181"/>
      <c r="AI37" s="612"/>
      <c r="AJ37" s="187"/>
      <c r="AK37" s="187"/>
      <c r="AL37" s="184"/>
      <c r="AM37" s="181"/>
      <c r="AN37" s="612"/>
      <c r="AO37" s="187"/>
      <c r="AP37" s="187"/>
      <c r="AQ37" s="184"/>
      <c r="AR37" s="181"/>
      <c r="AS37" s="612"/>
      <c r="AT37" s="187"/>
      <c r="AU37" s="187"/>
      <c r="AV37" s="184"/>
      <c r="AW37" s="181"/>
      <c r="AX37" s="612"/>
    </row>
    <row r="38" spans="2:50" ht="14.25" customHeight="1">
      <c r="B38" s="611"/>
      <c r="C38" s="179">
        <v>12</v>
      </c>
      <c r="D38" s="182"/>
      <c r="E38" s="179"/>
      <c r="F38" s="179"/>
      <c r="G38" s="184"/>
      <c r="H38" s="612"/>
      <c r="I38" s="185"/>
      <c r="J38" s="185"/>
      <c r="K38" s="186"/>
      <c r="L38" s="613"/>
      <c r="M38" s="185"/>
      <c r="N38" s="611"/>
      <c r="O38" s="611"/>
      <c r="P38" s="187"/>
      <c r="Q38" s="187"/>
      <c r="R38" s="184"/>
      <c r="S38" s="181"/>
      <c r="T38" s="612"/>
      <c r="U38" s="187"/>
      <c r="V38" s="187"/>
      <c r="W38" s="184"/>
      <c r="X38" s="181"/>
      <c r="Y38" s="612"/>
      <c r="Z38" s="187"/>
      <c r="AA38" s="187"/>
      <c r="AB38" s="184"/>
      <c r="AC38" s="181"/>
      <c r="AD38" s="612"/>
      <c r="AE38" s="187"/>
      <c r="AF38" s="187"/>
      <c r="AG38" s="184"/>
      <c r="AH38" s="181"/>
      <c r="AI38" s="612"/>
      <c r="AJ38" s="187"/>
      <c r="AK38" s="187"/>
      <c r="AL38" s="184"/>
      <c r="AM38" s="181"/>
      <c r="AN38" s="612"/>
      <c r="AO38" s="187"/>
      <c r="AP38" s="187"/>
      <c r="AQ38" s="184"/>
      <c r="AR38" s="181"/>
      <c r="AS38" s="612"/>
      <c r="AT38" s="187"/>
      <c r="AU38" s="187"/>
      <c r="AV38" s="184"/>
      <c r="AW38" s="181"/>
      <c r="AX38" s="612"/>
    </row>
    <row r="39" spans="2:50" ht="14.25" customHeight="1">
      <c r="B39" s="611"/>
      <c r="C39" s="179">
        <v>13</v>
      </c>
      <c r="D39" s="182"/>
      <c r="E39" s="179"/>
      <c r="F39" s="179"/>
      <c r="G39" s="184"/>
      <c r="H39" s="612"/>
      <c r="I39" s="185"/>
      <c r="J39" s="185"/>
      <c r="K39" s="186"/>
      <c r="L39" s="613"/>
      <c r="M39" s="185"/>
      <c r="N39" s="611"/>
      <c r="O39" s="611"/>
      <c r="P39" s="187"/>
      <c r="Q39" s="187"/>
      <c r="R39" s="184"/>
      <c r="S39" s="181"/>
      <c r="T39" s="612"/>
      <c r="U39" s="187"/>
      <c r="V39" s="187"/>
      <c r="W39" s="184"/>
      <c r="X39" s="181"/>
      <c r="Y39" s="612"/>
      <c r="Z39" s="187"/>
      <c r="AA39" s="187"/>
      <c r="AB39" s="184"/>
      <c r="AC39" s="181"/>
      <c r="AD39" s="612"/>
      <c r="AE39" s="187"/>
      <c r="AF39" s="187"/>
      <c r="AG39" s="184"/>
      <c r="AH39" s="181"/>
      <c r="AI39" s="612"/>
      <c r="AJ39" s="187"/>
      <c r="AK39" s="187"/>
      <c r="AL39" s="184"/>
      <c r="AM39" s="181"/>
      <c r="AN39" s="612"/>
      <c r="AO39" s="187"/>
      <c r="AP39" s="187"/>
      <c r="AQ39" s="184"/>
      <c r="AR39" s="181"/>
      <c r="AS39" s="612"/>
      <c r="AT39" s="187"/>
      <c r="AU39" s="187"/>
      <c r="AV39" s="184"/>
      <c r="AW39" s="181"/>
      <c r="AX39" s="612"/>
    </row>
    <row r="40" spans="2:50" ht="14.25" customHeight="1">
      <c r="B40" s="611"/>
      <c r="C40" s="179">
        <v>14</v>
      </c>
      <c r="D40" s="182"/>
      <c r="E40" s="179"/>
      <c r="F40" s="179"/>
      <c r="G40" s="184"/>
      <c r="H40" s="612"/>
      <c r="I40" s="185"/>
      <c r="J40" s="185"/>
      <c r="K40" s="186"/>
      <c r="L40" s="613"/>
      <c r="M40" s="185"/>
      <c r="N40" s="611"/>
      <c r="O40" s="611"/>
      <c r="P40" s="187"/>
      <c r="Q40" s="187"/>
      <c r="R40" s="184"/>
      <c r="S40" s="181"/>
      <c r="T40" s="612"/>
      <c r="U40" s="187"/>
      <c r="V40" s="187"/>
      <c r="W40" s="184"/>
      <c r="X40" s="181"/>
      <c r="Y40" s="612"/>
      <c r="Z40" s="187"/>
      <c r="AA40" s="187"/>
      <c r="AB40" s="184"/>
      <c r="AC40" s="181"/>
      <c r="AD40" s="612"/>
      <c r="AE40" s="187"/>
      <c r="AF40" s="187"/>
      <c r="AG40" s="184"/>
      <c r="AH40" s="181"/>
      <c r="AI40" s="612"/>
      <c r="AJ40" s="187"/>
      <c r="AK40" s="187"/>
      <c r="AL40" s="184"/>
      <c r="AM40" s="181"/>
      <c r="AN40" s="612"/>
      <c r="AO40" s="187"/>
      <c r="AP40" s="187"/>
      <c r="AQ40" s="184"/>
      <c r="AR40" s="181"/>
      <c r="AS40" s="612"/>
      <c r="AT40" s="187"/>
      <c r="AU40" s="187"/>
      <c r="AV40" s="184"/>
      <c r="AW40" s="181"/>
      <c r="AX40" s="612"/>
    </row>
    <row r="41" spans="2:50" ht="14.25" customHeight="1">
      <c r="B41" s="611"/>
      <c r="C41" s="179">
        <v>15</v>
      </c>
      <c r="D41" s="182"/>
      <c r="E41" s="179"/>
      <c r="F41" s="179"/>
      <c r="G41" s="184"/>
      <c r="H41" s="612"/>
      <c r="I41" s="185"/>
      <c r="J41" s="185"/>
      <c r="K41" s="186"/>
      <c r="L41" s="613"/>
      <c r="M41" s="185"/>
      <c r="N41" s="611"/>
      <c r="O41" s="611"/>
      <c r="P41" s="187"/>
      <c r="Q41" s="187"/>
      <c r="R41" s="184"/>
      <c r="S41" s="181"/>
      <c r="T41" s="612"/>
      <c r="U41" s="187"/>
      <c r="V41" s="187"/>
      <c r="W41" s="184"/>
      <c r="X41" s="181"/>
      <c r="Y41" s="612"/>
      <c r="Z41" s="187"/>
      <c r="AA41" s="187"/>
      <c r="AB41" s="184"/>
      <c r="AC41" s="181"/>
      <c r="AD41" s="612"/>
      <c r="AE41" s="187"/>
      <c r="AF41" s="187"/>
      <c r="AG41" s="184"/>
      <c r="AH41" s="181"/>
      <c r="AI41" s="612"/>
      <c r="AJ41" s="187"/>
      <c r="AK41" s="187"/>
      <c r="AL41" s="184"/>
      <c r="AM41" s="181"/>
      <c r="AN41" s="612"/>
      <c r="AO41" s="187"/>
      <c r="AP41" s="187"/>
      <c r="AQ41" s="184"/>
      <c r="AR41" s="181"/>
      <c r="AS41" s="612"/>
      <c r="AT41" s="187"/>
      <c r="AU41" s="187"/>
      <c r="AV41" s="184"/>
      <c r="AW41" s="181"/>
      <c r="AX41" s="612"/>
    </row>
    <row r="42" spans="2:50" ht="14.25" customHeight="1">
      <c r="B42" s="640" t="s">
        <v>800</v>
      </c>
      <c r="C42" s="641"/>
      <c r="D42" s="641"/>
      <c r="E42" s="641"/>
      <c r="F42" s="641"/>
      <c r="G42" s="641"/>
      <c r="H42" s="641"/>
      <c r="I42" s="641"/>
      <c r="J42" s="641"/>
      <c r="K42" s="641"/>
      <c r="L42" s="641"/>
      <c r="M42" s="642"/>
      <c r="N42" s="645" t="s">
        <v>363</v>
      </c>
      <c r="O42" s="645" t="s">
        <v>105</v>
      </c>
      <c r="P42" s="632">
        <v>46217</v>
      </c>
      <c r="Q42" s="633"/>
      <c r="R42" s="633"/>
      <c r="S42" s="633"/>
      <c r="T42" s="633"/>
      <c r="U42" s="634">
        <v>46218</v>
      </c>
      <c r="V42" s="635"/>
      <c r="W42" s="635"/>
      <c r="X42" s="635"/>
      <c r="Y42" s="635"/>
      <c r="Z42" s="632">
        <v>46219</v>
      </c>
      <c r="AA42" s="633"/>
      <c r="AB42" s="633"/>
      <c r="AC42" s="633"/>
      <c r="AD42" s="633"/>
      <c r="AE42" s="634">
        <v>46220</v>
      </c>
      <c r="AF42" s="635"/>
      <c r="AG42" s="635"/>
      <c r="AH42" s="635"/>
      <c r="AI42" s="635"/>
      <c r="AJ42" s="616">
        <v>46221</v>
      </c>
      <c r="AK42" s="617"/>
      <c r="AL42" s="617"/>
      <c r="AM42" s="617"/>
      <c r="AN42" s="618"/>
      <c r="AO42" s="634">
        <v>46222</v>
      </c>
      <c r="AP42" s="635"/>
      <c r="AQ42" s="635"/>
      <c r="AR42" s="635"/>
      <c r="AS42" s="635"/>
      <c r="AT42" s="616">
        <v>46223</v>
      </c>
      <c r="AU42" s="617"/>
      <c r="AV42" s="617"/>
      <c r="AW42" s="617"/>
      <c r="AX42" s="618"/>
    </row>
    <row r="43" spans="2:50" ht="14.25" customHeight="1"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4"/>
      <c r="N43" s="646"/>
      <c r="O43" s="646"/>
      <c r="P43" s="619">
        <v>46196</v>
      </c>
      <c r="Q43" s="619"/>
      <c r="R43" s="619"/>
      <c r="S43" s="619"/>
      <c r="T43" s="619"/>
      <c r="U43" s="620">
        <v>46197</v>
      </c>
      <c r="V43" s="620"/>
      <c r="W43" s="620"/>
      <c r="X43" s="620"/>
      <c r="Y43" s="620"/>
      <c r="Z43" s="619">
        <v>46198</v>
      </c>
      <c r="AA43" s="619"/>
      <c r="AB43" s="619"/>
      <c r="AC43" s="619"/>
      <c r="AD43" s="619"/>
      <c r="AE43" s="620">
        <v>46199</v>
      </c>
      <c r="AF43" s="620"/>
      <c r="AG43" s="620"/>
      <c r="AH43" s="620"/>
      <c r="AI43" s="620"/>
      <c r="AJ43" s="621">
        <v>46200</v>
      </c>
      <c r="AK43" s="622"/>
      <c r="AL43" s="622"/>
      <c r="AM43" s="622"/>
      <c r="AN43" s="623"/>
      <c r="AO43" s="620">
        <v>46201</v>
      </c>
      <c r="AP43" s="620"/>
      <c r="AQ43" s="620"/>
      <c r="AR43" s="620"/>
      <c r="AS43" s="620"/>
      <c r="AT43" s="621">
        <v>46202</v>
      </c>
      <c r="AU43" s="622"/>
      <c r="AV43" s="622"/>
      <c r="AW43" s="622"/>
      <c r="AX43" s="623"/>
    </row>
    <row r="44" spans="2:50" ht="14.25" customHeight="1">
      <c r="B44" s="611" t="s">
        <v>162</v>
      </c>
      <c r="C44" s="611" t="s">
        <v>157</v>
      </c>
      <c r="D44" s="611"/>
      <c r="E44" s="611" t="s">
        <v>158</v>
      </c>
      <c r="F44" s="611"/>
      <c r="G44" s="611"/>
      <c r="H44" s="611" t="s">
        <v>163</v>
      </c>
      <c r="I44" s="615" t="s">
        <v>364</v>
      </c>
      <c r="J44" s="615"/>
      <c r="K44" s="615"/>
      <c r="L44" s="615" t="s">
        <v>163</v>
      </c>
      <c r="M44" s="615" t="s">
        <v>165</v>
      </c>
      <c r="N44" s="611"/>
      <c r="O44" s="611" t="s">
        <v>164</v>
      </c>
      <c r="P44" s="611" t="s">
        <v>160</v>
      </c>
      <c r="Q44" s="611"/>
      <c r="R44" s="611"/>
      <c r="S44" s="611"/>
      <c r="T44" s="611" t="s">
        <v>163</v>
      </c>
      <c r="U44" s="611" t="s">
        <v>160</v>
      </c>
      <c r="V44" s="611"/>
      <c r="W44" s="611"/>
      <c r="X44" s="611"/>
      <c r="Y44" s="611" t="s">
        <v>163</v>
      </c>
      <c r="Z44" s="611" t="s">
        <v>160</v>
      </c>
      <c r="AA44" s="611"/>
      <c r="AB44" s="611"/>
      <c r="AC44" s="611"/>
      <c r="AD44" s="611" t="s">
        <v>163</v>
      </c>
      <c r="AE44" s="611" t="s">
        <v>160</v>
      </c>
      <c r="AF44" s="611"/>
      <c r="AG44" s="611"/>
      <c r="AH44" s="611"/>
      <c r="AI44" s="611" t="s">
        <v>163</v>
      </c>
      <c r="AJ44" s="611" t="s">
        <v>160</v>
      </c>
      <c r="AK44" s="611"/>
      <c r="AL44" s="611"/>
      <c r="AM44" s="611"/>
      <c r="AN44" s="611" t="s">
        <v>163</v>
      </c>
      <c r="AO44" s="611" t="s">
        <v>160</v>
      </c>
      <c r="AP44" s="611"/>
      <c r="AQ44" s="611"/>
      <c r="AR44" s="611"/>
      <c r="AS44" s="611" t="s">
        <v>163</v>
      </c>
      <c r="AT44" s="611" t="s">
        <v>160</v>
      </c>
      <c r="AU44" s="611"/>
      <c r="AV44" s="611"/>
      <c r="AW44" s="611"/>
      <c r="AX44" s="611" t="s">
        <v>163</v>
      </c>
    </row>
    <row r="45" spans="2:50" ht="14.25" customHeight="1">
      <c r="B45" s="611"/>
      <c r="C45" s="611"/>
      <c r="D45" s="611"/>
      <c r="E45" s="611" t="s">
        <v>365</v>
      </c>
      <c r="F45" s="611"/>
      <c r="G45" s="611"/>
      <c r="H45" s="611"/>
      <c r="I45" s="615" t="s">
        <v>365</v>
      </c>
      <c r="J45" s="615"/>
      <c r="K45" s="615"/>
      <c r="L45" s="615"/>
      <c r="M45" s="615"/>
      <c r="N45" s="611"/>
      <c r="O45" s="611"/>
      <c r="P45" s="611" t="s">
        <v>366</v>
      </c>
      <c r="Q45" s="611"/>
      <c r="R45" s="611"/>
      <c r="S45" s="611"/>
      <c r="T45" s="611"/>
      <c r="U45" s="611" t="s">
        <v>366</v>
      </c>
      <c r="V45" s="611"/>
      <c r="W45" s="611"/>
      <c r="X45" s="611"/>
      <c r="Y45" s="611"/>
      <c r="Z45" s="611" t="s">
        <v>366</v>
      </c>
      <c r="AA45" s="611"/>
      <c r="AB45" s="611"/>
      <c r="AC45" s="611"/>
      <c r="AD45" s="611"/>
      <c r="AE45" s="611" t="s">
        <v>366</v>
      </c>
      <c r="AF45" s="611"/>
      <c r="AG45" s="611"/>
      <c r="AH45" s="611"/>
      <c r="AI45" s="611"/>
      <c r="AJ45" s="611" t="s">
        <v>366</v>
      </c>
      <c r="AK45" s="611"/>
      <c r="AL45" s="611"/>
      <c r="AM45" s="611"/>
      <c r="AN45" s="611"/>
      <c r="AO45" s="611" t="s">
        <v>366</v>
      </c>
      <c r="AP45" s="611"/>
      <c r="AQ45" s="611"/>
      <c r="AR45" s="611"/>
      <c r="AS45" s="611"/>
      <c r="AT45" s="611" t="s">
        <v>366</v>
      </c>
      <c r="AU45" s="611"/>
      <c r="AV45" s="611"/>
      <c r="AW45" s="611"/>
      <c r="AX45" s="611"/>
    </row>
    <row r="46" spans="2:50" ht="14.25" customHeight="1">
      <c r="B46" s="611"/>
      <c r="C46" s="611"/>
      <c r="D46" s="611"/>
      <c r="E46" s="179" t="s">
        <v>159</v>
      </c>
      <c r="F46" s="179" t="s">
        <v>367</v>
      </c>
      <c r="G46" s="179" t="s">
        <v>161</v>
      </c>
      <c r="H46" s="611"/>
      <c r="I46" s="180" t="s">
        <v>159</v>
      </c>
      <c r="J46" s="180" t="s">
        <v>367</v>
      </c>
      <c r="K46" s="180" t="s">
        <v>161</v>
      </c>
      <c r="L46" s="615"/>
      <c r="M46" s="615"/>
      <c r="N46" s="611"/>
      <c r="O46" s="611"/>
      <c r="P46" s="179" t="s">
        <v>159</v>
      </c>
      <c r="Q46" s="179" t="s">
        <v>367</v>
      </c>
      <c r="R46" s="179" t="s">
        <v>161</v>
      </c>
      <c r="S46" s="181" t="s">
        <v>165</v>
      </c>
      <c r="T46" s="611"/>
      <c r="U46" s="179" t="s">
        <v>159</v>
      </c>
      <c r="V46" s="179" t="s">
        <v>367</v>
      </c>
      <c r="W46" s="179" t="s">
        <v>161</v>
      </c>
      <c r="X46" s="181" t="s">
        <v>165</v>
      </c>
      <c r="Y46" s="611"/>
      <c r="Z46" s="179" t="s">
        <v>159</v>
      </c>
      <c r="AA46" s="179" t="s">
        <v>367</v>
      </c>
      <c r="AB46" s="179" t="s">
        <v>161</v>
      </c>
      <c r="AC46" s="181" t="s">
        <v>165</v>
      </c>
      <c r="AD46" s="611"/>
      <c r="AE46" s="179" t="s">
        <v>159</v>
      </c>
      <c r="AF46" s="179" t="s">
        <v>367</v>
      </c>
      <c r="AG46" s="179" t="s">
        <v>161</v>
      </c>
      <c r="AH46" s="181" t="s">
        <v>165</v>
      </c>
      <c r="AI46" s="611"/>
      <c r="AJ46" s="179" t="s">
        <v>159</v>
      </c>
      <c r="AK46" s="179" t="s">
        <v>367</v>
      </c>
      <c r="AL46" s="179" t="s">
        <v>161</v>
      </c>
      <c r="AM46" s="181" t="s">
        <v>165</v>
      </c>
      <c r="AN46" s="611"/>
      <c r="AO46" s="179" t="s">
        <v>159</v>
      </c>
      <c r="AP46" s="179" t="s">
        <v>367</v>
      </c>
      <c r="AQ46" s="179" t="s">
        <v>161</v>
      </c>
      <c r="AR46" s="181" t="s">
        <v>165</v>
      </c>
      <c r="AS46" s="611"/>
      <c r="AT46" s="179" t="s">
        <v>159</v>
      </c>
      <c r="AU46" s="179" t="s">
        <v>367</v>
      </c>
      <c r="AV46" s="179" t="s">
        <v>161</v>
      </c>
      <c r="AW46" s="181" t="s">
        <v>165</v>
      </c>
      <c r="AX46" s="611"/>
    </row>
    <row r="47" spans="2:50" ht="14.25" customHeight="1">
      <c r="B47" s="611" t="s">
        <v>143</v>
      </c>
      <c r="C47" s="179">
        <v>1</v>
      </c>
      <c r="D47" s="182" t="s">
        <v>650</v>
      </c>
      <c r="E47" s="183">
        <v>19</v>
      </c>
      <c r="F47" s="179">
        <v>2000</v>
      </c>
      <c r="G47" s="184">
        <f t="shared" ref="G47:G51" si="33">IFERROR(F47/E47,"")</f>
        <v>105.26315789473684</v>
      </c>
      <c r="H47" s="612">
        <f>AVERAGE(G47:G61)</f>
        <v>130.42326094957676</v>
      </c>
      <c r="I47" s="185">
        <f>AVERAGE(P47,U47,Z47,AE47,AJ47,AO47,AT47)</f>
        <v>19</v>
      </c>
      <c r="J47" s="185">
        <f>AVERAGE(Q47,V47,AA47,AF47,AK47,AP47,AU47)</f>
        <v>1792.6515942538358</v>
      </c>
      <c r="K47" s="186">
        <f>AVERAGE(R47,W47,AB47,AG47,AL47,AQ47,AV47)</f>
        <v>94.350083908096622</v>
      </c>
      <c r="L47" s="613">
        <f>IFERROR(AVERAGE(K47:K61),"-")</f>
        <v>117.51708434954745</v>
      </c>
      <c r="M47" s="185">
        <f>RANK(K47, K$47:$K$61)</f>
        <v>3</v>
      </c>
      <c r="N47" s="611"/>
      <c r="O47" s="611"/>
      <c r="P47" s="187">
        <v>19</v>
      </c>
      <c r="Q47" s="187">
        <v>1790.4282941968229</v>
      </c>
      <c r="R47" s="184">
        <f>IFERROR(Q47/P47,"")</f>
        <v>94.23306811562226</v>
      </c>
      <c r="S47" s="181">
        <f>RANK(R47, R$47:R$61)</f>
        <v>3</v>
      </c>
      <c r="T47" s="612">
        <f>AVERAGE(R47:R61)</f>
        <v>117.47216871148737</v>
      </c>
      <c r="U47" s="187">
        <v>19</v>
      </c>
      <c r="V47" s="187">
        <v>1790.0282941968228</v>
      </c>
      <c r="W47" s="184">
        <f t="shared" ref="W47:W51" si="34">IFERROR(V47/U47,"")</f>
        <v>94.212015484043306</v>
      </c>
      <c r="X47" s="181">
        <f>RANK(W47, W$47:W$61)</f>
        <v>3</v>
      </c>
      <c r="Y47" s="612">
        <f>AVERAGE(W47:W61)</f>
        <v>117.48207279065278</v>
      </c>
      <c r="Z47" s="187">
        <v>19</v>
      </c>
      <c r="AA47" s="187">
        <v>1790.4282941968229</v>
      </c>
      <c r="AB47" s="184">
        <f>IFERROR(AA47/Z47,"")</f>
        <v>94.23306811562226</v>
      </c>
      <c r="AC47" s="181">
        <f>RANK(AB47, AB$47:AB$61)</f>
        <v>3</v>
      </c>
      <c r="AD47" s="612">
        <f>AVERAGE(AB47:AB61)</f>
        <v>117.50071688340213</v>
      </c>
      <c r="AE47" s="187">
        <v>19</v>
      </c>
      <c r="AF47" s="187">
        <v>1789.8282941968232</v>
      </c>
      <c r="AG47" s="184">
        <f>IFERROR(AF47/AE47,"")</f>
        <v>94.201489168253858</v>
      </c>
      <c r="AH47" s="181">
        <f>RANK(AG47, AG$47:AG$61)</f>
        <v>3</v>
      </c>
      <c r="AI47" s="612">
        <f>AVERAGE(AG47:AG61)</f>
        <v>117.49272277225013</v>
      </c>
      <c r="AJ47" s="187">
        <v>19</v>
      </c>
      <c r="AK47" s="187">
        <v>1795.4159943298528</v>
      </c>
      <c r="AL47" s="184">
        <f>IFERROR(AK47/AJ47,"")</f>
        <v>94.495578648939613</v>
      </c>
      <c r="AM47" s="181">
        <f>RANK(AL47, AL$47:AL$61)</f>
        <v>3</v>
      </c>
      <c r="AN47" s="612">
        <f>AVERAGE(AL47:AL61)</f>
        <v>117.52415605300266</v>
      </c>
      <c r="AO47" s="187">
        <v>19</v>
      </c>
      <c r="AP47" s="187">
        <v>1796.2159943298525</v>
      </c>
      <c r="AQ47" s="184">
        <f>IFERROR(AP47/AO47,"")</f>
        <v>94.537683912097506</v>
      </c>
      <c r="AR47" s="181">
        <f>RANK(AQ47, AQ$47:AQ$61)</f>
        <v>3</v>
      </c>
      <c r="AS47" s="612">
        <f>AVERAGE(AQ47:AQ61)</f>
        <v>117.54123743148776</v>
      </c>
      <c r="AT47" s="187">
        <v>19</v>
      </c>
      <c r="AU47" s="187">
        <v>1796.2159943298529</v>
      </c>
      <c r="AV47" s="184">
        <f>IFERROR(AU47/AT47,"")</f>
        <v>94.537683912097521</v>
      </c>
      <c r="AW47" s="181">
        <f>RANK(AV47, AV$47:AV$61)</f>
        <v>3</v>
      </c>
      <c r="AX47" s="612">
        <f>AVERAGE(AV47:AV61)</f>
        <v>117.60651580454926</v>
      </c>
    </row>
    <row r="48" spans="2:50" ht="14.25" customHeight="1">
      <c r="B48" s="611"/>
      <c r="C48" s="179">
        <v>2</v>
      </c>
      <c r="D48" s="182" t="s">
        <v>354</v>
      </c>
      <c r="E48" s="179">
        <v>13</v>
      </c>
      <c r="F48" s="179">
        <v>1200</v>
      </c>
      <c r="G48" s="184">
        <f t="shared" si="33"/>
        <v>92.307692307692307</v>
      </c>
      <c r="H48" s="612"/>
      <c r="I48" s="185">
        <f t="shared" ref="I48:K51" si="35">AVERAGE(P48,U48,Z48,AE48,AJ48,AO48,AT48)</f>
        <v>13</v>
      </c>
      <c r="J48" s="185">
        <f t="shared" si="35"/>
        <v>1081.5076325246</v>
      </c>
      <c r="K48" s="186">
        <f t="shared" si="35"/>
        <v>83.192894809584615</v>
      </c>
      <c r="L48" s="613"/>
      <c r="M48" s="185">
        <f>RANK(K48, K$47:$K$61)</f>
        <v>4</v>
      </c>
      <c r="N48" s="611"/>
      <c r="O48" s="611"/>
      <c r="P48" s="187">
        <v>13</v>
      </c>
      <c r="Q48" s="187">
        <v>1081.6104896674569</v>
      </c>
      <c r="R48" s="184">
        <f t="shared" ref="R48:R51" si="36">IFERROR(Q48/P48,"")</f>
        <v>83.20080689749669</v>
      </c>
      <c r="S48" s="181">
        <f t="shared" ref="S48:S51" si="37">RANK(R48, R$47:R$61)</f>
        <v>4</v>
      </c>
      <c r="T48" s="612"/>
      <c r="U48" s="187">
        <v>13</v>
      </c>
      <c r="V48" s="187">
        <v>1081.490489667457</v>
      </c>
      <c r="W48" s="184">
        <f t="shared" si="34"/>
        <v>83.191576128265922</v>
      </c>
      <c r="X48" s="181">
        <f t="shared" ref="X48:X51" si="38">RANK(W48, W$47:W$61)</f>
        <v>4</v>
      </c>
      <c r="Y48" s="612"/>
      <c r="Z48" s="187">
        <v>13</v>
      </c>
      <c r="AA48" s="187">
        <v>1081.0104896674573</v>
      </c>
      <c r="AB48" s="184">
        <f t="shared" ref="AB48:AB51" si="39">IFERROR(AA48/Z48,"")</f>
        <v>83.154653051342862</v>
      </c>
      <c r="AC48" s="181">
        <f t="shared" ref="AC48:AC51" si="40">RANK(AB48, AB$47:AB$61)</f>
        <v>4</v>
      </c>
      <c r="AD48" s="612"/>
      <c r="AE48" s="187">
        <v>13</v>
      </c>
      <c r="AF48" s="187">
        <v>1081.6104896674572</v>
      </c>
      <c r="AG48" s="184">
        <f t="shared" ref="AG48:AG51" si="41">IFERROR(AF48/AE48,"")</f>
        <v>83.200806897496705</v>
      </c>
      <c r="AH48" s="181">
        <f t="shared" ref="AH48:AH51" si="42">RANK(AG48, AG$47:AG$61)</f>
        <v>4</v>
      </c>
      <c r="AI48" s="612"/>
      <c r="AJ48" s="187">
        <v>13</v>
      </c>
      <c r="AK48" s="187">
        <v>1081.1304896674571</v>
      </c>
      <c r="AL48" s="184">
        <f t="shared" ref="AL48:AL51" si="43">IFERROR(AK48/AJ48,"")</f>
        <v>83.163883820573631</v>
      </c>
      <c r="AM48" s="181">
        <f t="shared" ref="AM48:AM51" si="44">RANK(AL48, AL$47:AL$61)</f>
        <v>4</v>
      </c>
      <c r="AN48" s="612"/>
      <c r="AO48" s="187">
        <v>13</v>
      </c>
      <c r="AP48" s="187">
        <v>1081.6104896674572</v>
      </c>
      <c r="AQ48" s="184">
        <f t="shared" ref="AQ48:AQ51" si="45">IFERROR(AP48/AO48,"")</f>
        <v>83.200806897496705</v>
      </c>
      <c r="AR48" s="181">
        <f t="shared" ref="AR48:AR51" si="46">RANK(AQ48, AQ$47:AQ$61)</f>
        <v>4</v>
      </c>
      <c r="AS48" s="612"/>
      <c r="AT48" s="187">
        <v>13</v>
      </c>
      <c r="AU48" s="187">
        <v>1082.0904896674572</v>
      </c>
      <c r="AV48" s="184">
        <f t="shared" ref="AV48:AV51" si="47">IFERROR(AU48/AT48,"")</f>
        <v>83.237729974419779</v>
      </c>
      <c r="AW48" s="181">
        <f t="shared" ref="AW48:AW51" si="48">RANK(AV48, AV$47:AV$61)</f>
        <v>4</v>
      </c>
      <c r="AX48" s="612"/>
    </row>
    <row r="49" spans="2:50" ht="14.25" customHeight="1">
      <c r="B49" s="611"/>
      <c r="C49" s="179">
        <v>3</v>
      </c>
      <c r="D49" s="182" t="s">
        <v>615</v>
      </c>
      <c r="E49" s="179">
        <v>11</v>
      </c>
      <c r="F49" s="179">
        <v>2000</v>
      </c>
      <c r="G49" s="184">
        <f t="shared" si="33"/>
        <v>181.81818181818181</v>
      </c>
      <c r="H49" s="612"/>
      <c r="I49" s="185">
        <f t="shared" si="35"/>
        <v>11</v>
      </c>
      <c r="J49" s="185">
        <f t="shared" si="35"/>
        <v>1804.4930696569204</v>
      </c>
      <c r="K49" s="186">
        <f t="shared" si="35"/>
        <v>164.04482451426546</v>
      </c>
      <c r="L49" s="613"/>
      <c r="M49" s="185">
        <f>RANK(K49, K$47:$K$61)</f>
        <v>2</v>
      </c>
      <c r="N49" s="611"/>
      <c r="O49" s="611"/>
      <c r="P49" s="187">
        <v>11</v>
      </c>
      <c r="Q49" s="187">
        <v>1804.2181432535194</v>
      </c>
      <c r="R49" s="184">
        <f t="shared" si="36"/>
        <v>164.0198312048654</v>
      </c>
      <c r="S49" s="181">
        <f t="shared" si="37"/>
        <v>2</v>
      </c>
      <c r="T49" s="612"/>
      <c r="U49" s="187">
        <v>11</v>
      </c>
      <c r="V49" s="187">
        <v>1803.6181432535197</v>
      </c>
      <c r="W49" s="184">
        <f t="shared" si="34"/>
        <v>163.96528575031996</v>
      </c>
      <c r="X49" s="181">
        <f t="shared" si="38"/>
        <v>2</v>
      </c>
      <c r="Y49" s="612"/>
      <c r="Z49" s="187">
        <v>11</v>
      </c>
      <c r="AA49" s="187">
        <v>1804.4181432535192</v>
      </c>
      <c r="AB49" s="184">
        <f t="shared" si="39"/>
        <v>164.0380130230472</v>
      </c>
      <c r="AC49" s="181">
        <f t="shared" si="40"/>
        <v>2</v>
      </c>
      <c r="AD49" s="612"/>
      <c r="AE49" s="187">
        <v>11</v>
      </c>
      <c r="AF49" s="187">
        <v>1805.0181432535194</v>
      </c>
      <c r="AG49" s="184">
        <f t="shared" si="41"/>
        <v>164.09255847759266</v>
      </c>
      <c r="AH49" s="181">
        <f t="shared" si="42"/>
        <v>2</v>
      </c>
      <c r="AI49" s="612"/>
      <c r="AJ49" s="187">
        <v>11</v>
      </c>
      <c r="AK49" s="187">
        <v>1804.0181432535196</v>
      </c>
      <c r="AL49" s="184">
        <f t="shared" si="43"/>
        <v>164.0016493866836</v>
      </c>
      <c r="AM49" s="181">
        <f t="shared" si="44"/>
        <v>2</v>
      </c>
      <c r="AN49" s="612"/>
      <c r="AO49" s="187">
        <v>11</v>
      </c>
      <c r="AP49" s="187">
        <v>1804.1883073293079</v>
      </c>
      <c r="AQ49" s="184">
        <f t="shared" si="45"/>
        <v>164.01711884811891</v>
      </c>
      <c r="AR49" s="181">
        <f t="shared" si="46"/>
        <v>2</v>
      </c>
      <c r="AS49" s="612"/>
      <c r="AT49" s="187">
        <v>11</v>
      </c>
      <c r="AU49" s="187">
        <v>1805.9724640015374</v>
      </c>
      <c r="AV49" s="184">
        <f t="shared" si="47"/>
        <v>164.17931490923067</v>
      </c>
      <c r="AW49" s="181">
        <f t="shared" si="48"/>
        <v>2</v>
      </c>
      <c r="AX49" s="612"/>
    </row>
    <row r="50" spans="2:50" ht="14.25" customHeight="1">
      <c r="B50" s="611"/>
      <c r="C50" s="179">
        <v>4</v>
      </c>
      <c r="D50" s="182" t="s">
        <v>616</v>
      </c>
      <c r="E50" s="179">
        <v>22</v>
      </c>
      <c r="F50" s="179">
        <v>2000</v>
      </c>
      <c r="G50" s="184">
        <f t="shared" si="33"/>
        <v>90.909090909090907</v>
      </c>
      <c r="H50" s="612"/>
      <c r="I50" s="185">
        <f t="shared" si="35"/>
        <v>22</v>
      </c>
      <c r="J50" s="185">
        <f t="shared" si="35"/>
        <v>1800.1406628782086</v>
      </c>
      <c r="K50" s="186">
        <f t="shared" si="35"/>
        <v>81.824575585373125</v>
      </c>
      <c r="L50" s="613"/>
      <c r="M50" s="185">
        <f>RANK(K50, K$47:$K$61)</f>
        <v>5</v>
      </c>
      <c r="N50" s="611"/>
      <c r="O50" s="611"/>
      <c r="P50" s="187">
        <v>22</v>
      </c>
      <c r="Q50" s="187">
        <v>1799.0072198559162</v>
      </c>
      <c r="R50" s="184">
        <f t="shared" si="36"/>
        <v>81.773055447996185</v>
      </c>
      <c r="S50" s="181">
        <f t="shared" si="37"/>
        <v>5</v>
      </c>
      <c r="T50" s="612"/>
      <c r="U50" s="187">
        <v>22</v>
      </c>
      <c r="V50" s="187">
        <v>1799.9629033819238</v>
      </c>
      <c r="W50" s="184">
        <f t="shared" si="34"/>
        <v>81.816495608269264</v>
      </c>
      <c r="X50" s="181">
        <f t="shared" si="38"/>
        <v>5</v>
      </c>
      <c r="Y50" s="612"/>
      <c r="Z50" s="187">
        <v>22</v>
      </c>
      <c r="AA50" s="187">
        <v>1800.3629033819238</v>
      </c>
      <c r="AB50" s="184">
        <f t="shared" si="39"/>
        <v>81.83467742645108</v>
      </c>
      <c r="AC50" s="181">
        <f t="shared" si="40"/>
        <v>5</v>
      </c>
      <c r="AD50" s="612"/>
      <c r="AE50" s="187">
        <v>22</v>
      </c>
      <c r="AF50" s="187">
        <v>1799.5629033819239</v>
      </c>
      <c r="AG50" s="184">
        <f t="shared" si="41"/>
        <v>81.798313790087448</v>
      </c>
      <c r="AH50" s="181">
        <f t="shared" si="42"/>
        <v>5</v>
      </c>
      <c r="AI50" s="612"/>
      <c r="AJ50" s="187">
        <v>22</v>
      </c>
      <c r="AK50" s="187">
        <v>1800.5629033819237</v>
      </c>
      <c r="AL50" s="184">
        <f t="shared" si="43"/>
        <v>81.843768335541981</v>
      </c>
      <c r="AM50" s="181">
        <f t="shared" si="44"/>
        <v>5</v>
      </c>
      <c r="AN50" s="612"/>
      <c r="AO50" s="187">
        <v>22</v>
      </c>
      <c r="AP50" s="187">
        <v>1800.3629033819238</v>
      </c>
      <c r="AQ50" s="184">
        <f t="shared" si="45"/>
        <v>81.83467742645108</v>
      </c>
      <c r="AR50" s="181">
        <f t="shared" si="46"/>
        <v>5</v>
      </c>
      <c r="AS50" s="612"/>
      <c r="AT50" s="187">
        <v>22</v>
      </c>
      <c r="AU50" s="187">
        <v>1801.1629033819238</v>
      </c>
      <c r="AV50" s="184">
        <f t="shared" si="47"/>
        <v>81.871041062814712</v>
      </c>
      <c r="AW50" s="181">
        <f t="shared" si="48"/>
        <v>5</v>
      </c>
      <c r="AX50" s="612"/>
    </row>
    <row r="51" spans="2:50" ht="14.25" customHeight="1">
      <c r="B51" s="611"/>
      <c r="C51" s="179">
        <v>5</v>
      </c>
      <c r="D51" s="182" t="s">
        <v>617</v>
      </c>
      <c r="E51" s="179">
        <v>11</v>
      </c>
      <c r="F51" s="179">
        <v>2000</v>
      </c>
      <c r="G51" s="184">
        <f t="shared" si="33"/>
        <v>181.81818181818181</v>
      </c>
      <c r="H51" s="612"/>
      <c r="I51" s="185">
        <f t="shared" si="35"/>
        <v>11</v>
      </c>
      <c r="J51" s="185">
        <f t="shared" si="35"/>
        <v>1805.9034722345914</v>
      </c>
      <c r="K51" s="186">
        <f t="shared" si="35"/>
        <v>164.17304293041738</v>
      </c>
      <c r="L51" s="613"/>
      <c r="M51" s="185">
        <f>RANK(K51, K$47:$K$61)</f>
        <v>1</v>
      </c>
      <c r="N51" s="611"/>
      <c r="O51" s="611"/>
      <c r="P51" s="187">
        <v>11</v>
      </c>
      <c r="Q51" s="187">
        <v>1805.4749008060198</v>
      </c>
      <c r="R51" s="184">
        <f t="shared" si="36"/>
        <v>164.13408189145636</v>
      </c>
      <c r="S51" s="181">
        <f t="shared" si="37"/>
        <v>1</v>
      </c>
      <c r="T51" s="612"/>
      <c r="U51" s="187">
        <v>11</v>
      </c>
      <c r="V51" s="187">
        <v>1806.4749008060198</v>
      </c>
      <c r="W51" s="184">
        <f t="shared" si="34"/>
        <v>164.22499098236543</v>
      </c>
      <c r="X51" s="181">
        <f t="shared" si="38"/>
        <v>1</v>
      </c>
      <c r="Y51" s="612"/>
      <c r="Z51" s="187">
        <v>11</v>
      </c>
      <c r="AA51" s="187">
        <v>1806.6749008060197</v>
      </c>
      <c r="AB51" s="184">
        <f t="shared" si="39"/>
        <v>164.24317280054723</v>
      </c>
      <c r="AC51" s="181">
        <f t="shared" si="40"/>
        <v>1</v>
      </c>
      <c r="AD51" s="612"/>
      <c r="AE51" s="187">
        <v>11</v>
      </c>
      <c r="AF51" s="187">
        <v>1805.8749008060199</v>
      </c>
      <c r="AG51" s="184">
        <f t="shared" si="41"/>
        <v>164.17044552781999</v>
      </c>
      <c r="AH51" s="181">
        <f t="shared" si="42"/>
        <v>1</v>
      </c>
      <c r="AI51" s="612"/>
      <c r="AJ51" s="187">
        <v>11</v>
      </c>
      <c r="AK51" s="187">
        <v>1805.2749008060198</v>
      </c>
      <c r="AL51" s="184">
        <f t="shared" si="43"/>
        <v>164.11590007327453</v>
      </c>
      <c r="AM51" s="181">
        <f t="shared" si="44"/>
        <v>1</v>
      </c>
      <c r="AN51" s="612"/>
      <c r="AO51" s="187">
        <v>11</v>
      </c>
      <c r="AP51" s="187">
        <v>1805.27490080602</v>
      </c>
      <c r="AQ51" s="184">
        <f t="shared" si="45"/>
        <v>164.11590007327456</v>
      </c>
      <c r="AR51" s="181">
        <f t="shared" si="46"/>
        <v>1</v>
      </c>
      <c r="AS51" s="612"/>
      <c r="AT51" s="187">
        <v>11</v>
      </c>
      <c r="AU51" s="187">
        <v>1806.27490080602</v>
      </c>
      <c r="AV51" s="184">
        <f t="shared" si="47"/>
        <v>164.20680916418362</v>
      </c>
      <c r="AW51" s="181">
        <f t="shared" si="48"/>
        <v>1</v>
      </c>
      <c r="AX51" s="612"/>
    </row>
    <row r="52" spans="2:50" ht="14.25" customHeight="1">
      <c r="B52" s="611"/>
      <c r="C52" s="179">
        <v>6</v>
      </c>
      <c r="D52" s="182"/>
      <c r="E52" s="179"/>
      <c r="F52" s="179"/>
      <c r="G52" s="184"/>
      <c r="H52" s="612"/>
      <c r="I52" s="185"/>
      <c r="J52" s="185"/>
      <c r="K52" s="186"/>
      <c r="L52" s="613"/>
      <c r="M52" s="185"/>
      <c r="N52" s="611"/>
      <c r="O52" s="611"/>
      <c r="P52" s="187"/>
      <c r="Q52" s="187"/>
      <c r="R52" s="184"/>
      <c r="S52" s="181"/>
      <c r="T52" s="612"/>
      <c r="U52" s="187"/>
      <c r="V52" s="187"/>
      <c r="W52" s="184"/>
      <c r="X52" s="181"/>
      <c r="Y52" s="612"/>
      <c r="Z52" s="187"/>
      <c r="AA52" s="187"/>
      <c r="AB52" s="184"/>
      <c r="AC52" s="181"/>
      <c r="AD52" s="612"/>
      <c r="AE52" s="187"/>
      <c r="AF52" s="187"/>
      <c r="AG52" s="184"/>
      <c r="AH52" s="181"/>
      <c r="AI52" s="612"/>
      <c r="AJ52" s="187"/>
      <c r="AK52" s="187"/>
      <c r="AL52" s="184"/>
      <c r="AM52" s="181"/>
      <c r="AN52" s="612"/>
      <c r="AO52" s="187"/>
      <c r="AP52" s="187"/>
      <c r="AQ52" s="184"/>
      <c r="AR52" s="181"/>
      <c r="AS52" s="612"/>
      <c r="AT52" s="187"/>
      <c r="AU52" s="187"/>
      <c r="AV52" s="184"/>
      <c r="AW52" s="181"/>
      <c r="AX52" s="612"/>
    </row>
    <row r="53" spans="2:50" ht="14.25" customHeight="1">
      <c r="B53" s="611"/>
      <c r="C53" s="179">
        <v>7</v>
      </c>
      <c r="D53" s="182"/>
      <c r="E53" s="179"/>
      <c r="F53" s="179"/>
      <c r="G53" s="184"/>
      <c r="H53" s="612"/>
      <c r="I53" s="185"/>
      <c r="J53" s="185"/>
      <c r="K53" s="186"/>
      <c r="L53" s="613"/>
      <c r="M53" s="185"/>
      <c r="N53" s="611"/>
      <c r="O53" s="611"/>
      <c r="P53" s="187"/>
      <c r="Q53" s="187"/>
      <c r="R53" s="184"/>
      <c r="S53" s="181"/>
      <c r="T53" s="612"/>
      <c r="U53" s="187"/>
      <c r="V53" s="187"/>
      <c r="W53" s="184"/>
      <c r="X53" s="181"/>
      <c r="Y53" s="612"/>
      <c r="Z53" s="187"/>
      <c r="AA53" s="187"/>
      <c r="AB53" s="184"/>
      <c r="AC53" s="181"/>
      <c r="AD53" s="612"/>
      <c r="AE53" s="187"/>
      <c r="AF53" s="187"/>
      <c r="AG53" s="184"/>
      <c r="AH53" s="181"/>
      <c r="AI53" s="612"/>
      <c r="AJ53" s="187"/>
      <c r="AK53" s="187"/>
      <c r="AL53" s="184"/>
      <c r="AM53" s="181"/>
      <c r="AN53" s="612"/>
      <c r="AO53" s="187"/>
      <c r="AP53" s="187"/>
      <c r="AQ53" s="184"/>
      <c r="AR53" s="181"/>
      <c r="AS53" s="612"/>
      <c r="AT53" s="187"/>
      <c r="AU53" s="187"/>
      <c r="AV53" s="184"/>
      <c r="AW53" s="181"/>
      <c r="AX53" s="612"/>
    </row>
    <row r="54" spans="2:50" ht="14.25" customHeight="1">
      <c r="B54" s="611"/>
      <c r="C54" s="179">
        <v>8</v>
      </c>
      <c r="D54" s="182"/>
      <c r="E54" s="179"/>
      <c r="F54" s="179"/>
      <c r="G54" s="184"/>
      <c r="H54" s="612"/>
      <c r="I54" s="185"/>
      <c r="J54" s="185"/>
      <c r="K54" s="186"/>
      <c r="L54" s="613"/>
      <c r="M54" s="185"/>
      <c r="N54" s="611"/>
      <c r="O54" s="611"/>
      <c r="P54" s="187"/>
      <c r="Q54" s="187"/>
      <c r="R54" s="184"/>
      <c r="S54" s="181"/>
      <c r="T54" s="612"/>
      <c r="U54" s="187"/>
      <c r="V54" s="187"/>
      <c r="W54" s="184"/>
      <c r="X54" s="181"/>
      <c r="Y54" s="612"/>
      <c r="Z54" s="187"/>
      <c r="AA54" s="187"/>
      <c r="AB54" s="184"/>
      <c r="AC54" s="181"/>
      <c r="AD54" s="612"/>
      <c r="AE54" s="187"/>
      <c r="AF54" s="187"/>
      <c r="AG54" s="184"/>
      <c r="AH54" s="181"/>
      <c r="AI54" s="612"/>
      <c r="AJ54" s="187"/>
      <c r="AK54" s="187"/>
      <c r="AL54" s="184"/>
      <c r="AM54" s="181"/>
      <c r="AN54" s="612"/>
      <c r="AO54" s="187"/>
      <c r="AP54" s="187"/>
      <c r="AQ54" s="184"/>
      <c r="AR54" s="181"/>
      <c r="AS54" s="612"/>
      <c r="AT54" s="187"/>
      <c r="AU54" s="187"/>
      <c r="AV54" s="184"/>
      <c r="AW54" s="181"/>
      <c r="AX54" s="612"/>
    </row>
    <row r="55" spans="2:50" ht="14.25" customHeight="1">
      <c r="B55" s="611"/>
      <c r="C55" s="179">
        <v>9</v>
      </c>
      <c r="D55" s="182"/>
      <c r="E55" s="179"/>
      <c r="F55" s="179"/>
      <c r="G55" s="184"/>
      <c r="H55" s="612"/>
      <c r="I55" s="185"/>
      <c r="J55" s="185"/>
      <c r="K55" s="186"/>
      <c r="L55" s="613"/>
      <c r="M55" s="185"/>
      <c r="N55" s="611"/>
      <c r="O55" s="611"/>
      <c r="P55" s="187"/>
      <c r="Q55" s="187"/>
      <c r="R55" s="184"/>
      <c r="S55" s="181"/>
      <c r="T55" s="612"/>
      <c r="U55" s="187"/>
      <c r="V55" s="187"/>
      <c r="W55" s="184"/>
      <c r="X55" s="181"/>
      <c r="Y55" s="612"/>
      <c r="Z55" s="187"/>
      <c r="AA55" s="187"/>
      <c r="AB55" s="184"/>
      <c r="AC55" s="181"/>
      <c r="AD55" s="612"/>
      <c r="AE55" s="187"/>
      <c r="AF55" s="187"/>
      <c r="AG55" s="184"/>
      <c r="AH55" s="181"/>
      <c r="AI55" s="612"/>
      <c r="AJ55" s="187"/>
      <c r="AK55" s="187"/>
      <c r="AL55" s="184"/>
      <c r="AM55" s="181"/>
      <c r="AN55" s="612"/>
      <c r="AO55" s="187"/>
      <c r="AP55" s="187"/>
      <c r="AQ55" s="184"/>
      <c r="AR55" s="181"/>
      <c r="AS55" s="612"/>
      <c r="AT55" s="187"/>
      <c r="AU55" s="187"/>
      <c r="AV55" s="184"/>
      <c r="AW55" s="181"/>
      <c r="AX55" s="612"/>
    </row>
    <row r="56" spans="2:50" ht="14.25" customHeight="1">
      <c r="B56" s="611"/>
      <c r="C56" s="179">
        <v>10</v>
      </c>
      <c r="D56" s="182"/>
      <c r="E56" s="179"/>
      <c r="F56" s="179"/>
      <c r="G56" s="184"/>
      <c r="H56" s="612"/>
      <c r="I56" s="185"/>
      <c r="J56" s="185"/>
      <c r="K56" s="186"/>
      <c r="L56" s="613"/>
      <c r="M56" s="185"/>
      <c r="N56" s="611"/>
      <c r="O56" s="611"/>
      <c r="P56" s="187"/>
      <c r="Q56" s="187"/>
      <c r="R56" s="184"/>
      <c r="S56" s="181"/>
      <c r="T56" s="612"/>
      <c r="U56" s="187"/>
      <c r="V56" s="187"/>
      <c r="W56" s="184"/>
      <c r="X56" s="181"/>
      <c r="Y56" s="612"/>
      <c r="Z56" s="187"/>
      <c r="AA56" s="187"/>
      <c r="AB56" s="184"/>
      <c r="AC56" s="181"/>
      <c r="AD56" s="612"/>
      <c r="AE56" s="187"/>
      <c r="AF56" s="187"/>
      <c r="AG56" s="184"/>
      <c r="AH56" s="181"/>
      <c r="AI56" s="612"/>
      <c r="AJ56" s="187"/>
      <c r="AK56" s="187"/>
      <c r="AL56" s="184"/>
      <c r="AM56" s="181"/>
      <c r="AN56" s="612"/>
      <c r="AO56" s="187"/>
      <c r="AP56" s="187"/>
      <c r="AQ56" s="184"/>
      <c r="AR56" s="181"/>
      <c r="AS56" s="612"/>
      <c r="AT56" s="187"/>
      <c r="AU56" s="187"/>
      <c r="AV56" s="184"/>
      <c r="AW56" s="181"/>
      <c r="AX56" s="612"/>
    </row>
    <row r="57" spans="2:50" ht="14.25" customHeight="1">
      <c r="B57" s="611"/>
      <c r="C57" s="179">
        <v>11</v>
      </c>
      <c r="D57" s="182"/>
      <c r="E57" s="179"/>
      <c r="F57" s="179"/>
      <c r="G57" s="184"/>
      <c r="H57" s="612"/>
      <c r="I57" s="185"/>
      <c r="J57" s="185"/>
      <c r="K57" s="186"/>
      <c r="L57" s="613"/>
      <c r="M57" s="185"/>
      <c r="N57" s="611"/>
      <c r="O57" s="611"/>
      <c r="P57" s="187"/>
      <c r="Q57" s="187"/>
      <c r="R57" s="184"/>
      <c r="S57" s="181"/>
      <c r="T57" s="612"/>
      <c r="U57" s="187"/>
      <c r="V57" s="187"/>
      <c r="W57" s="184"/>
      <c r="X57" s="181"/>
      <c r="Y57" s="612"/>
      <c r="Z57" s="187"/>
      <c r="AA57" s="187"/>
      <c r="AB57" s="184"/>
      <c r="AC57" s="181"/>
      <c r="AD57" s="612"/>
      <c r="AE57" s="187"/>
      <c r="AF57" s="187"/>
      <c r="AG57" s="184"/>
      <c r="AH57" s="181"/>
      <c r="AI57" s="612"/>
      <c r="AJ57" s="187"/>
      <c r="AK57" s="187"/>
      <c r="AL57" s="184"/>
      <c r="AM57" s="181"/>
      <c r="AN57" s="612"/>
      <c r="AO57" s="187"/>
      <c r="AP57" s="187"/>
      <c r="AQ57" s="184"/>
      <c r="AR57" s="181"/>
      <c r="AS57" s="612"/>
      <c r="AT57" s="187"/>
      <c r="AU57" s="187"/>
      <c r="AV57" s="184"/>
      <c r="AW57" s="181"/>
      <c r="AX57" s="612"/>
    </row>
    <row r="58" spans="2:50" ht="14.25" customHeight="1">
      <c r="B58" s="611"/>
      <c r="C58" s="179">
        <v>12</v>
      </c>
      <c r="D58" s="182"/>
      <c r="E58" s="179"/>
      <c r="F58" s="179"/>
      <c r="G58" s="184"/>
      <c r="H58" s="612"/>
      <c r="I58" s="185"/>
      <c r="J58" s="185"/>
      <c r="K58" s="186"/>
      <c r="L58" s="613"/>
      <c r="M58" s="185"/>
      <c r="N58" s="611"/>
      <c r="O58" s="611"/>
      <c r="P58" s="187"/>
      <c r="Q58" s="187"/>
      <c r="R58" s="184"/>
      <c r="S58" s="181"/>
      <c r="T58" s="612"/>
      <c r="U58" s="187"/>
      <c r="V58" s="187"/>
      <c r="W58" s="184"/>
      <c r="X58" s="181"/>
      <c r="Y58" s="612"/>
      <c r="Z58" s="187"/>
      <c r="AA58" s="187"/>
      <c r="AB58" s="184"/>
      <c r="AC58" s="181"/>
      <c r="AD58" s="612"/>
      <c r="AE58" s="187"/>
      <c r="AF58" s="187"/>
      <c r="AG58" s="184"/>
      <c r="AH58" s="181"/>
      <c r="AI58" s="612"/>
      <c r="AJ58" s="187"/>
      <c r="AK58" s="187"/>
      <c r="AL58" s="184"/>
      <c r="AM58" s="181"/>
      <c r="AN58" s="612"/>
      <c r="AO58" s="187"/>
      <c r="AP58" s="187"/>
      <c r="AQ58" s="184"/>
      <c r="AR58" s="181"/>
      <c r="AS58" s="612"/>
      <c r="AT58" s="187"/>
      <c r="AU58" s="187"/>
      <c r="AV58" s="184"/>
      <c r="AW58" s="181"/>
      <c r="AX58" s="612"/>
    </row>
    <row r="59" spans="2:50" ht="14.25" customHeight="1">
      <c r="B59" s="611"/>
      <c r="C59" s="179">
        <v>13</v>
      </c>
      <c r="D59" s="182"/>
      <c r="E59" s="179"/>
      <c r="F59" s="179"/>
      <c r="G59" s="184"/>
      <c r="H59" s="612"/>
      <c r="I59" s="185"/>
      <c r="J59" s="185"/>
      <c r="K59" s="186"/>
      <c r="L59" s="613"/>
      <c r="M59" s="185"/>
      <c r="N59" s="611"/>
      <c r="O59" s="611"/>
      <c r="P59" s="187"/>
      <c r="Q59" s="187"/>
      <c r="R59" s="184"/>
      <c r="S59" s="181"/>
      <c r="T59" s="612"/>
      <c r="U59" s="187"/>
      <c r="V59" s="187"/>
      <c r="W59" s="184"/>
      <c r="X59" s="181"/>
      <c r="Y59" s="612"/>
      <c r="Z59" s="187"/>
      <c r="AA59" s="187"/>
      <c r="AB59" s="184"/>
      <c r="AC59" s="181"/>
      <c r="AD59" s="612"/>
      <c r="AE59" s="187"/>
      <c r="AF59" s="187"/>
      <c r="AG59" s="184"/>
      <c r="AH59" s="181"/>
      <c r="AI59" s="612"/>
      <c r="AJ59" s="187"/>
      <c r="AK59" s="187"/>
      <c r="AL59" s="184"/>
      <c r="AM59" s="181"/>
      <c r="AN59" s="612"/>
      <c r="AO59" s="187"/>
      <c r="AP59" s="187"/>
      <c r="AQ59" s="184"/>
      <c r="AR59" s="181"/>
      <c r="AS59" s="612"/>
      <c r="AT59" s="187"/>
      <c r="AU59" s="187"/>
      <c r="AV59" s="184"/>
      <c r="AW59" s="181"/>
      <c r="AX59" s="612"/>
    </row>
    <row r="60" spans="2:50" ht="14.25" customHeight="1">
      <c r="B60" s="611"/>
      <c r="C60" s="179">
        <v>14</v>
      </c>
      <c r="D60" s="182"/>
      <c r="E60" s="179"/>
      <c r="F60" s="179"/>
      <c r="G60" s="184"/>
      <c r="H60" s="612"/>
      <c r="I60" s="185"/>
      <c r="J60" s="185"/>
      <c r="K60" s="186"/>
      <c r="L60" s="613"/>
      <c r="M60" s="185"/>
      <c r="N60" s="611"/>
      <c r="O60" s="611"/>
      <c r="P60" s="187"/>
      <c r="Q60" s="187"/>
      <c r="R60" s="184"/>
      <c r="S60" s="181"/>
      <c r="T60" s="612"/>
      <c r="U60" s="187"/>
      <c r="V60" s="187"/>
      <c r="W60" s="184"/>
      <c r="X60" s="181"/>
      <c r="Y60" s="612"/>
      <c r="Z60" s="187"/>
      <c r="AA60" s="187"/>
      <c r="AB60" s="184"/>
      <c r="AC60" s="181"/>
      <c r="AD60" s="612"/>
      <c r="AE60" s="187"/>
      <c r="AF60" s="187"/>
      <c r="AG60" s="184"/>
      <c r="AH60" s="181"/>
      <c r="AI60" s="612"/>
      <c r="AJ60" s="187"/>
      <c r="AK60" s="187"/>
      <c r="AL60" s="184"/>
      <c r="AM60" s="181"/>
      <c r="AN60" s="612"/>
      <c r="AO60" s="187"/>
      <c r="AP60" s="187"/>
      <c r="AQ60" s="184"/>
      <c r="AR60" s="181"/>
      <c r="AS60" s="612"/>
      <c r="AT60" s="187"/>
      <c r="AU60" s="187"/>
      <c r="AV60" s="184"/>
      <c r="AW60" s="181"/>
      <c r="AX60" s="612"/>
    </row>
    <row r="61" spans="2:50" ht="14.25" customHeight="1">
      <c r="B61" s="611"/>
      <c r="C61" s="179">
        <v>15</v>
      </c>
      <c r="D61" s="182"/>
      <c r="E61" s="179"/>
      <c r="F61" s="179"/>
      <c r="G61" s="184"/>
      <c r="H61" s="612"/>
      <c r="I61" s="185"/>
      <c r="J61" s="185"/>
      <c r="K61" s="186"/>
      <c r="L61" s="613"/>
      <c r="M61" s="185"/>
      <c r="N61" s="611"/>
      <c r="O61" s="611"/>
      <c r="P61" s="187"/>
      <c r="Q61" s="187"/>
      <c r="R61" s="184"/>
      <c r="S61" s="181"/>
      <c r="T61" s="612"/>
      <c r="U61" s="187"/>
      <c r="V61" s="187"/>
      <c r="W61" s="184"/>
      <c r="X61" s="181"/>
      <c r="Y61" s="612"/>
      <c r="Z61" s="187"/>
      <c r="AA61" s="187"/>
      <c r="AB61" s="184"/>
      <c r="AC61" s="181"/>
      <c r="AD61" s="612"/>
      <c r="AE61" s="187"/>
      <c r="AF61" s="187"/>
      <c r="AG61" s="184"/>
      <c r="AH61" s="181"/>
      <c r="AI61" s="612"/>
      <c r="AJ61" s="187"/>
      <c r="AK61" s="187"/>
      <c r="AL61" s="184"/>
      <c r="AM61" s="181"/>
      <c r="AN61" s="612"/>
      <c r="AO61" s="187"/>
      <c r="AP61" s="187"/>
      <c r="AQ61" s="184"/>
      <c r="AR61" s="181"/>
      <c r="AS61" s="612"/>
      <c r="AT61" s="187"/>
      <c r="AU61" s="187"/>
      <c r="AV61" s="184"/>
      <c r="AW61" s="181"/>
      <c r="AX61" s="612"/>
    </row>
    <row r="62" spans="2:50" ht="14.25" customHeight="1">
      <c r="B62" s="640" t="s">
        <v>848</v>
      </c>
      <c r="C62" s="641"/>
      <c r="D62" s="641"/>
      <c r="E62" s="641"/>
      <c r="F62" s="641"/>
      <c r="G62" s="641"/>
      <c r="H62" s="641"/>
      <c r="I62" s="641"/>
      <c r="J62" s="641"/>
      <c r="K62" s="641"/>
      <c r="L62" s="641"/>
      <c r="M62" s="642"/>
      <c r="N62" s="645" t="s">
        <v>363</v>
      </c>
      <c r="O62" s="645" t="s">
        <v>105</v>
      </c>
      <c r="P62" s="632">
        <v>46224</v>
      </c>
      <c r="Q62" s="633"/>
      <c r="R62" s="633"/>
      <c r="S62" s="633"/>
      <c r="T62" s="633"/>
      <c r="U62" s="634">
        <v>46225</v>
      </c>
      <c r="V62" s="635"/>
      <c r="W62" s="635"/>
      <c r="X62" s="635"/>
      <c r="Y62" s="635"/>
      <c r="Z62" s="632">
        <v>46226</v>
      </c>
      <c r="AA62" s="633"/>
      <c r="AB62" s="633"/>
      <c r="AC62" s="633"/>
      <c r="AD62" s="633"/>
      <c r="AE62" s="634">
        <v>46227</v>
      </c>
      <c r="AF62" s="635"/>
      <c r="AG62" s="635"/>
      <c r="AH62" s="635"/>
      <c r="AI62" s="635"/>
      <c r="AJ62" s="616">
        <v>46228</v>
      </c>
      <c r="AK62" s="617"/>
      <c r="AL62" s="617"/>
      <c r="AM62" s="617"/>
      <c r="AN62" s="618"/>
      <c r="AO62" s="634">
        <v>46229</v>
      </c>
      <c r="AP62" s="635"/>
      <c r="AQ62" s="635"/>
      <c r="AR62" s="635"/>
      <c r="AS62" s="635"/>
      <c r="AT62" s="616">
        <v>46230</v>
      </c>
      <c r="AU62" s="617"/>
      <c r="AV62" s="617"/>
      <c r="AW62" s="617"/>
      <c r="AX62" s="618"/>
    </row>
    <row r="63" spans="2:50" ht="14.25" customHeight="1">
      <c r="B63" s="643"/>
      <c r="C63" s="643"/>
      <c r="D63" s="643"/>
      <c r="E63" s="643"/>
      <c r="F63" s="643"/>
      <c r="G63" s="643"/>
      <c r="H63" s="643"/>
      <c r="I63" s="643"/>
      <c r="J63" s="643"/>
      <c r="K63" s="643"/>
      <c r="L63" s="643"/>
      <c r="M63" s="644"/>
      <c r="N63" s="646"/>
      <c r="O63" s="646"/>
      <c r="P63" s="619">
        <v>46196</v>
      </c>
      <c r="Q63" s="619"/>
      <c r="R63" s="619"/>
      <c r="S63" s="619"/>
      <c r="T63" s="619"/>
      <c r="U63" s="620">
        <v>46197</v>
      </c>
      <c r="V63" s="620"/>
      <c r="W63" s="620"/>
      <c r="X63" s="620"/>
      <c r="Y63" s="620"/>
      <c r="Z63" s="619">
        <v>46198</v>
      </c>
      <c r="AA63" s="619"/>
      <c r="AB63" s="619"/>
      <c r="AC63" s="619"/>
      <c r="AD63" s="619"/>
      <c r="AE63" s="620">
        <v>46199</v>
      </c>
      <c r="AF63" s="620"/>
      <c r="AG63" s="620"/>
      <c r="AH63" s="620"/>
      <c r="AI63" s="620"/>
      <c r="AJ63" s="621">
        <v>46200</v>
      </c>
      <c r="AK63" s="622"/>
      <c r="AL63" s="622"/>
      <c r="AM63" s="622"/>
      <c r="AN63" s="623"/>
      <c r="AO63" s="620">
        <v>46201</v>
      </c>
      <c r="AP63" s="620"/>
      <c r="AQ63" s="620"/>
      <c r="AR63" s="620"/>
      <c r="AS63" s="620"/>
      <c r="AT63" s="621">
        <v>46202</v>
      </c>
      <c r="AU63" s="622"/>
      <c r="AV63" s="622"/>
      <c r="AW63" s="622"/>
      <c r="AX63" s="623"/>
    </row>
    <row r="64" spans="2:50" ht="14.25" customHeight="1">
      <c r="B64" s="611" t="s">
        <v>162</v>
      </c>
      <c r="C64" s="611" t="s">
        <v>157</v>
      </c>
      <c r="D64" s="611"/>
      <c r="E64" s="611" t="s">
        <v>158</v>
      </c>
      <c r="F64" s="611"/>
      <c r="G64" s="611"/>
      <c r="H64" s="611" t="s">
        <v>163</v>
      </c>
      <c r="I64" s="615" t="s">
        <v>364</v>
      </c>
      <c r="J64" s="615"/>
      <c r="K64" s="615"/>
      <c r="L64" s="615" t="s">
        <v>163</v>
      </c>
      <c r="M64" s="615" t="s">
        <v>165</v>
      </c>
      <c r="N64" s="611"/>
      <c r="O64" s="611" t="s">
        <v>164</v>
      </c>
      <c r="P64" s="611" t="s">
        <v>160</v>
      </c>
      <c r="Q64" s="611"/>
      <c r="R64" s="611"/>
      <c r="S64" s="611"/>
      <c r="T64" s="611" t="s">
        <v>163</v>
      </c>
      <c r="U64" s="611" t="s">
        <v>160</v>
      </c>
      <c r="V64" s="611"/>
      <c r="W64" s="611"/>
      <c r="X64" s="611"/>
      <c r="Y64" s="611" t="s">
        <v>163</v>
      </c>
      <c r="Z64" s="611" t="s">
        <v>160</v>
      </c>
      <c r="AA64" s="611"/>
      <c r="AB64" s="611"/>
      <c r="AC64" s="611"/>
      <c r="AD64" s="611" t="s">
        <v>163</v>
      </c>
      <c r="AE64" s="611" t="s">
        <v>160</v>
      </c>
      <c r="AF64" s="611"/>
      <c r="AG64" s="611"/>
      <c r="AH64" s="611"/>
      <c r="AI64" s="611" t="s">
        <v>163</v>
      </c>
      <c r="AJ64" s="611" t="s">
        <v>160</v>
      </c>
      <c r="AK64" s="611"/>
      <c r="AL64" s="611"/>
      <c r="AM64" s="611"/>
      <c r="AN64" s="611" t="s">
        <v>163</v>
      </c>
      <c r="AO64" s="611" t="s">
        <v>160</v>
      </c>
      <c r="AP64" s="611"/>
      <c r="AQ64" s="611"/>
      <c r="AR64" s="611"/>
      <c r="AS64" s="611" t="s">
        <v>163</v>
      </c>
      <c r="AT64" s="611" t="s">
        <v>160</v>
      </c>
      <c r="AU64" s="611"/>
      <c r="AV64" s="611"/>
      <c r="AW64" s="611"/>
      <c r="AX64" s="611" t="s">
        <v>163</v>
      </c>
    </row>
    <row r="65" spans="2:50" ht="14.25" customHeight="1">
      <c r="B65" s="611"/>
      <c r="C65" s="611"/>
      <c r="D65" s="611"/>
      <c r="E65" s="611" t="s">
        <v>365</v>
      </c>
      <c r="F65" s="611"/>
      <c r="G65" s="611"/>
      <c r="H65" s="611"/>
      <c r="I65" s="615" t="s">
        <v>365</v>
      </c>
      <c r="J65" s="615"/>
      <c r="K65" s="615"/>
      <c r="L65" s="615"/>
      <c r="M65" s="615"/>
      <c r="N65" s="611"/>
      <c r="O65" s="611"/>
      <c r="P65" s="611" t="s">
        <v>366</v>
      </c>
      <c r="Q65" s="611"/>
      <c r="R65" s="611"/>
      <c r="S65" s="611"/>
      <c r="T65" s="611"/>
      <c r="U65" s="611" t="s">
        <v>366</v>
      </c>
      <c r="V65" s="611"/>
      <c r="W65" s="611"/>
      <c r="X65" s="611"/>
      <c r="Y65" s="611"/>
      <c r="Z65" s="611" t="s">
        <v>366</v>
      </c>
      <c r="AA65" s="611"/>
      <c r="AB65" s="611"/>
      <c r="AC65" s="611"/>
      <c r="AD65" s="611"/>
      <c r="AE65" s="611" t="s">
        <v>366</v>
      </c>
      <c r="AF65" s="611"/>
      <c r="AG65" s="611"/>
      <c r="AH65" s="611"/>
      <c r="AI65" s="611"/>
      <c r="AJ65" s="611" t="s">
        <v>366</v>
      </c>
      <c r="AK65" s="611"/>
      <c r="AL65" s="611"/>
      <c r="AM65" s="611"/>
      <c r="AN65" s="611"/>
      <c r="AO65" s="611" t="s">
        <v>366</v>
      </c>
      <c r="AP65" s="611"/>
      <c r="AQ65" s="611"/>
      <c r="AR65" s="611"/>
      <c r="AS65" s="611"/>
      <c r="AT65" s="611" t="s">
        <v>366</v>
      </c>
      <c r="AU65" s="611"/>
      <c r="AV65" s="611"/>
      <c r="AW65" s="611"/>
      <c r="AX65" s="611"/>
    </row>
    <row r="66" spans="2:50" ht="14.25" customHeight="1">
      <c r="B66" s="611"/>
      <c r="C66" s="611"/>
      <c r="D66" s="611"/>
      <c r="E66" s="179" t="s">
        <v>159</v>
      </c>
      <c r="F66" s="179" t="s">
        <v>367</v>
      </c>
      <c r="G66" s="179" t="s">
        <v>161</v>
      </c>
      <c r="H66" s="611"/>
      <c r="I66" s="180" t="s">
        <v>159</v>
      </c>
      <c r="J66" s="180" t="s">
        <v>367</v>
      </c>
      <c r="K66" s="180" t="s">
        <v>161</v>
      </c>
      <c r="L66" s="615"/>
      <c r="M66" s="615"/>
      <c r="N66" s="611"/>
      <c r="O66" s="611"/>
      <c r="P66" s="179" t="s">
        <v>159</v>
      </c>
      <c r="Q66" s="179" t="s">
        <v>367</v>
      </c>
      <c r="R66" s="179" t="s">
        <v>161</v>
      </c>
      <c r="S66" s="181" t="s">
        <v>165</v>
      </c>
      <c r="T66" s="611"/>
      <c r="U66" s="179" t="s">
        <v>159</v>
      </c>
      <c r="V66" s="179" t="s">
        <v>367</v>
      </c>
      <c r="W66" s="179" t="s">
        <v>161</v>
      </c>
      <c r="X66" s="181" t="s">
        <v>165</v>
      </c>
      <c r="Y66" s="611"/>
      <c r="Z66" s="179" t="s">
        <v>159</v>
      </c>
      <c r="AA66" s="179" t="s">
        <v>367</v>
      </c>
      <c r="AB66" s="179" t="s">
        <v>161</v>
      </c>
      <c r="AC66" s="181" t="s">
        <v>165</v>
      </c>
      <c r="AD66" s="611"/>
      <c r="AE66" s="179" t="s">
        <v>159</v>
      </c>
      <c r="AF66" s="179" t="s">
        <v>367</v>
      </c>
      <c r="AG66" s="179" t="s">
        <v>161</v>
      </c>
      <c r="AH66" s="181" t="s">
        <v>165</v>
      </c>
      <c r="AI66" s="611"/>
      <c r="AJ66" s="179" t="s">
        <v>159</v>
      </c>
      <c r="AK66" s="179" t="s">
        <v>367</v>
      </c>
      <c r="AL66" s="179" t="s">
        <v>161</v>
      </c>
      <c r="AM66" s="181" t="s">
        <v>165</v>
      </c>
      <c r="AN66" s="611"/>
      <c r="AO66" s="179" t="s">
        <v>159</v>
      </c>
      <c r="AP66" s="179" t="s">
        <v>367</v>
      </c>
      <c r="AQ66" s="179" t="s">
        <v>161</v>
      </c>
      <c r="AR66" s="181" t="s">
        <v>165</v>
      </c>
      <c r="AS66" s="611"/>
      <c r="AT66" s="179" t="s">
        <v>159</v>
      </c>
      <c r="AU66" s="179" t="s">
        <v>367</v>
      </c>
      <c r="AV66" s="179" t="s">
        <v>161</v>
      </c>
      <c r="AW66" s="181" t="s">
        <v>165</v>
      </c>
      <c r="AX66" s="611"/>
    </row>
    <row r="67" spans="2:50" ht="14.25" customHeight="1">
      <c r="B67" s="611" t="s">
        <v>143</v>
      </c>
      <c r="C67" s="179">
        <v>1</v>
      </c>
      <c r="D67" s="182" t="s">
        <v>650</v>
      </c>
      <c r="E67" s="183">
        <v>19</v>
      </c>
      <c r="F67" s="179">
        <v>2000</v>
      </c>
      <c r="G67" s="184">
        <f t="shared" ref="G67:G71" si="49">IFERROR(F67/E67,"")</f>
        <v>105.26315789473684</v>
      </c>
      <c r="H67" s="612">
        <f>AVERAGE(G67:G81)</f>
        <v>130.42326094957676</v>
      </c>
      <c r="I67" s="185">
        <f>AVERAGE(P67,U67,Z67,AE67,AJ67,AO67,AT67)</f>
        <v>19</v>
      </c>
      <c r="J67" s="185">
        <f>AVERAGE(Q67,V67,AA67,AF67,AK67,AP67,AU67)</f>
        <v>1798.2031140007925</v>
      </c>
      <c r="K67" s="186">
        <f>AVERAGE(R67,W67,AB67,AG67,AL67,AQ67,AV67)</f>
        <v>94.64226915793644</v>
      </c>
      <c r="L67" s="613">
        <f>IFERROR(AVERAGE(K67:K81),"-")</f>
        <v>117.65557156767821</v>
      </c>
      <c r="M67" s="185">
        <f>RANK(K67, K$67:$K$81)</f>
        <v>3</v>
      </c>
      <c r="N67" s="611"/>
      <c r="O67" s="611"/>
      <c r="P67" s="187">
        <v>19</v>
      </c>
      <c r="Q67" s="187">
        <v>1796.2159943298527</v>
      </c>
      <c r="R67" s="184">
        <f>IFERROR(Q67/P67,"")</f>
        <v>94.537683912097506</v>
      </c>
      <c r="S67" s="181">
        <f>RANK(R67, R$67:R$81)</f>
        <v>3</v>
      </c>
      <c r="T67" s="612">
        <f>AVERAGE(R67:R81)</f>
        <v>117.63571860175205</v>
      </c>
      <c r="U67" s="187">
        <v>19</v>
      </c>
      <c r="V67" s="187">
        <v>1795.8159943298526</v>
      </c>
      <c r="W67" s="184">
        <f t="shared" ref="W67:W71" si="50">IFERROR(V67/U67,"")</f>
        <v>94.516631280518553</v>
      </c>
      <c r="X67" s="181">
        <f>RANK(W67, W$67:W$81)</f>
        <v>3</v>
      </c>
      <c r="Y67" s="612">
        <f>AVERAGE(W67:W81)</f>
        <v>117.62784373977192</v>
      </c>
      <c r="Z67" s="187">
        <v>19</v>
      </c>
      <c r="AA67" s="187">
        <v>1797.33853151021</v>
      </c>
      <c r="AB67" s="184">
        <f>IFERROR(AA67/Z67,"")</f>
        <v>94.596764816326839</v>
      </c>
      <c r="AC67" s="181">
        <f>RANK(AB67, AB$67:AB$81)</f>
        <v>3</v>
      </c>
      <c r="AD67" s="612">
        <f>AVERAGE(AB67:AB81)</f>
        <v>117.64029002735317</v>
      </c>
      <c r="AE67" s="187">
        <v>19</v>
      </c>
      <c r="AF67" s="187">
        <v>1797.7385315102101</v>
      </c>
      <c r="AG67" s="184">
        <f>IFERROR(AF67/AE67,"")</f>
        <v>94.617817447905793</v>
      </c>
      <c r="AH67" s="181">
        <f>RANK(AG67, AG$67:AG$81)</f>
        <v>3</v>
      </c>
      <c r="AI67" s="612">
        <f>AVERAGE(AG67:AG81)</f>
        <v>117.64626279143121</v>
      </c>
      <c r="AJ67" s="187">
        <v>19</v>
      </c>
      <c r="AK67" s="187">
        <v>1799.1709154418072</v>
      </c>
      <c r="AL67" s="184">
        <f>IFERROR(AK67/AJ67,"")</f>
        <v>94.693206075884589</v>
      </c>
      <c r="AM67" s="181">
        <f>RANK(AL67, AL$67:AL$81)</f>
        <v>3</v>
      </c>
      <c r="AN67" s="612">
        <f>AVERAGE(AL67:AL81)</f>
        <v>117.66613038340252</v>
      </c>
      <c r="AO67" s="187">
        <v>19</v>
      </c>
      <c r="AP67" s="187">
        <v>1800.1709154418074</v>
      </c>
      <c r="AQ67" s="184">
        <f>IFERROR(AP67/AO67,"")</f>
        <v>94.745837654831973</v>
      </c>
      <c r="AR67" s="181">
        <f>RANK(AQ67, AQ$67:AQ$81)</f>
        <v>3</v>
      </c>
      <c r="AS67" s="612">
        <f>AVERAGE(AQ67:AQ81)</f>
        <v>117.68034900688428</v>
      </c>
      <c r="AT67" s="187">
        <v>19</v>
      </c>
      <c r="AU67" s="187">
        <v>1800.9709154418074</v>
      </c>
      <c r="AV67" s="184">
        <f>IFERROR(AU67/AT67,"")</f>
        <v>94.787942917989866</v>
      </c>
      <c r="AW67" s="181">
        <f>RANK(AV67, AV$67:AV$81)</f>
        <v>3</v>
      </c>
      <c r="AX67" s="612">
        <f>AVERAGE(AV67:AV81)</f>
        <v>117.69240642315224</v>
      </c>
    </row>
    <row r="68" spans="2:50" ht="14.25" customHeight="1">
      <c r="B68" s="611"/>
      <c r="C68" s="179">
        <v>2</v>
      </c>
      <c r="D68" s="182" t="s">
        <v>354</v>
      </c>
      <c r="E68" s="179">
        <v>13</v>
      </c>
      <c r="F68" s="179">
        <v>1200</v>
      </c>
      <c r="G68" s="184">
        <f t="shared" si="49"/>
        <v>92.307692307692307</v>
      </c>
      <c r="H68" s="612"/>
      <c r="I68" s="185">
        <f t="shared" ref="I68:K71" si="51">AVERAGE(P68,U68,Z68,AE68,AJ68,AO68,AT68)</f>
        <v>13</v>
      </c>
      <c r="J68" s="185">
        <f t="shared" si="51"/>
        <v>1082.5862604571962</v>
      </c>
      <c r="K68" s="186">
        <f t="shared" si="51"/>
        <v>83.275866189015105</v>
      </c>
      <c r="L68" s="613"/>
      <c r="M68" s="185">
        <f>RANK(K68, K$67:$K$81)</f>
        <v>4</v>
      </c>
      <c r="N68" s="611"/>
      <c r="O68" s="611"/>
      <c r="P68" s="187">
        <v>13</v>
      </c>
      <c r="Q68" s="187">
        <v>1082.570489667457</v>
      </c>
      <c r="R68" s="184">
        <f t="shared" ref="R68:R71" si="52">IFERROR(Q68/P68,"")</f>
        <v>83.274653051342838</v>
      </c>
      <c r="S68" s="181">
        <f t="shared" ref="S68:S71" si="53">RANK(R68, R$67:R$81)</f>
        <v>4</v>
      </c>
      <c r="T68" s="612"/>
      <c r="U68" s="187">
        <v>13</v>
      </c>
      <c r="V68" s="187">
        <v>1082.4504896674568</v>
      </c>
      <c r="W68" s="184">
        <f t="shared" si="50"/>
        <v>83.26542228211207</v>
      </c>
      <c r="X68" s="181">
        <f t="shared" ref="X68:X71" si="54">RANK(W68, W$67:W$81)</f>
        <v>4</v>
      </c>
      <c r="Y68" s="612"/>
      <c r="Z68" s="187">
        <v>13</v>
      </c>
      <c r="AA68" s="187">
        <v>1082.6904896674569</v>
      </c>
      <c r="AB68" s="184">
        <f t="shared" ref="AB68:AB71" si="55">IFERROR(AA68/Z68,"")</f>
        <v>83.283883820573607</v>
      </c>
      <c r="AC68" s="181">
        <f t="shared" ref="AC68:AC71" si="56">RANK(AB68, AB$67:AB$81)</f>
        <v>4</v>
      </c>
      <c r="AD68" s="612"/>
      <c r="AE68" s="187">
        <v>13</v>
      </c>
      <c r="AF68" s="187">
        <v>1082.4504896674571</v>
      </c>
      <c r="AG68" s="184">
        <f t="shared" ref="AG68:AG71" si="57">IFERROR(AF68/AE68,"")</f>
        <v>83.265422282112084</v>
      </c>
      <c r="AH68" s="181">
        <f t="shared" ref="AH68:AH71" si="58">RANK(AG68, AG$67:AG$81)</f>
        <v>4</v>
      </c>
      <c r="AI68" s="612"/>
      <c r="AJ68" s="187">
        <v>13</v>
      </c>
      <c r="AK68" s="187">
        <v>1082.4872881768488</v>
      </c>
      <c r="AL68" s="184">
        <f t="shared" ref="AL68:AL71" si="59">IFERROR(AK68/AJ68,"")</f>
        <v>83.268252936680682</v>
      </c>
      <c r="AM68" s="181">
        <f t="shared" ref="AM68:AM71" si="60">RANK(AL68, AL$67:AL$81)</f>
        <v>4</v>
      </c>
      <c r="AN68" s="612"/>
      <c r="AO68" s="187">
        <v>13</v>
      </c>
      <c r="AP68" s="187">
        <v>1082.7272881768488</v>
      </c>
      <c r="AQ68" s="184">
        <f t="shared" ref="AQ68:AQ71" si="61">IFERROR(AP68/AO68,"")</f>
        <v>83.286714475142219</v>
      </c>
      <c r="AR68" s="181">
        <f t="shared" ref="AR68:AR71" si="62">RANK(AQ68, AQ$67:AQ$81)</f>
        <v>4</v>
      </c>
      <c r="AS68" s="612"/>
      <c r="AT68" s="187">
        <v>13</v>
      </c>
      <c r="AU68" s="187">
        <v>1082.7272881768488</v>
      </c>
      <c r="AV68" s="184">
        <f t="shared" ref="AV68:AV71" si="63">IFERROR(AU68/AT68,"")</f>
        <v>83.286714475142219</v>
      </c>
      <c r="AW68" s="181">
        <f t="shared" ref="AW68:AW71" si="64">RANK(AV68, AV$67:AV$81)</f>
        <v>4</v>
      </c>
      <c r="AX68" s="612"/>
    </row>
    <row r="69" spans="2:50" ht="14.25" customHeight="1">
      <c r="B69" s="611"/>
      <c r="C69" s="179">
        <v>3</v>
      </c>
      <c r="D69" s="182" t="s">
        <v>615</v>
      </c>
      <c r="E69" s="179">
        <v>11</v>
      </c>
      <c r="F69" s="179">
        <v>2000</v>
      </c>
      <c r="G69" s="184">
        <f t="shared" si="49"/>
        <v>181.81818181818181</v>
      </c>
      <c r="H69" s="612"/>
      <c r="I69" s="185">
        <f t="shared" si="51"/>
        <v>11</v>
      </c>
      <c r="J69" s="185">
        <f t="shared" si="51"/>
        <v>1806.4296068586805</v>
      </c>
      <c r="K69" s="186">
        <f t="shared" si="51"/>
        <v>164.22087335078913</v>
      </c>
      <c r="L69" s="613"/>
      <c r="M69" s="185">
        <f>RANK(K69, K$67:$K$81)</f>
        <v>2</v>
      </c>
      <c r="N69" s="611"/>
      <c r="O69" s="611"/>
      <c r="P69" s="187">
        <v>11</v>
      </c>
      <c r="Q69" s="187">
        <v>1806.7724640015372</v>
      </c>
      <c r="R69" s="184">
        <f t="shared" si="52"/>
        <v>164.25204218195793</v>
      </c>
      <c r="S69" s="181">
        <f t="shared" si="53"/>
        <v>2</v>
      </c>
      <c r="T69" s="612"/>
      <c r="U69" s="187">
        <v>11</v>
      </c>
      <c r="V69" s="187">
        <v>1806.5724640015374</v>
      </c>
      <c r="W69" s="184">
        <f t="shared" si="50"/>
        <v>164.23386036377613</v>
      </c>
      <c r="X69" s="181">
        <f t="shared" si="54"/>
        <v>2</v>
      </c>
      <c r="Y69" s="612"/>
      <c r="Z69" s="187">
        <v>11</v>
      </c>
      <c r="AA69" s="187">
        <v>1806.3724640015375</v>
      </c>
      <c r="AB69" s="184">
        <f t="shared" si="55"/>
        <v>164.21567854559433</v>
      </c>
      <c r="AC69" s="181">
        <f t="shared" si="56"/>
        <v>2</v>
      </c>
      <c r="AD69" s="612"/>
      <c r="AE69" s="187">
        <v>11</v>
      </c>
      <c r="AF69" s="187">
        <v>1806.5724640015378</v>
      </c>
      <c r="AG69" s="184">
        <f t="shared" si="57"/>
        <v>164.23386036377616</v>
      </c>
      <c r="AH69" s="181">
        <f t="shared" si="58"/>
        <v>2</v>
      </c>
      <c r="AI69" s="612"/>
      <c r="AJ69" s="187">
        <v>11</v>
      </c>
      <c r="AK69" s="187">
        <v>1805.9724640015377</v>
      </c>
      <c r="AL69" s="184">
        <f t="shared" si="59"/>
        <v>164.1793149092307</v>
      </c>
      <c r="AM69" s="181">
        <f t="shared" si="60"/>
        <v>2</v>
      </c>
      <c r="AN69" s="612"/>
      <c r="AO69" s="187">
        <v>11</v>
      </c>
      <c r="AP69" s="187">
        <v>1805.9724640015377</v>
      </c>
      <c r="AQ69" s="184">
        <f t="shared" si="61"/>
        <v>164.1793149092307</v>
      </c>
      <c r="AR69" s="181">
        <f t="shared" si="62"/>
        <v>2</v>
      </c>
      <c r="AS69" s="612"/>
      <c r="AT69" s="187">
        <v>11</v>
      </c>
      <c r="AU69" s="187">
        <v>1806.7724640015376</v>
      </c>
      <c r="AV69" s="184">
        <f t="shared" si="63"/>
        <v>164.25204218195796</v>
      </c>
      <c r="AW69" s="181">
        <f t="shared" si="64"/>
        <v>2</v>
      </c>
      <c r="AX69" s="612"/>
    </row>
    <row r="70" spans="2:50" ht="14.25" customHeight="1">
      <c r="B70" s="611"/>
      <c r="C70" s="179">
        <v>4</v>
      </c>
      <c r="D70" s="182" t="s">
        <v>616</v>
      </c>
      <c r="E70" s="179">
        <v>22</v>
      </c>
      <c r="F70" s="179">
        <v>2000</v>
      </c>
      <c r="G70" s="184">
        <f t="shared" si="49"/>
        <v>90.909090909090907</v>
      </c>
      <c r="H70" s="612"/>
      <c r="I70" s="185">
        <f t="shared" si="51"/>
        <v>22</v>
      </c>
      <c r="J70" s="185">
        <f t="shared" si="51"/>
        <v>1799.990593767981</v>
      </c>
      <c r="K70" s="186">
        <f t="shared" si="51"/>
        <v>81.817754262180955</v>
      </c>
      <c r="L70" s="613"/>
      <c r="M70" s="185">
        <f>RANK(K70, K$67:$K$81)</f>
        <v>5</v>
      </c>
      <c r="N70" s="611"/>
      <c r="O70" s="611"/>
      <c r="P70" s="187">
        <v>22</v>
      </c>
      <c r="Q70" s="187">
        <v>1800.7629033819239</v>
      </c>
      <c r="R70" s="184">
        <f t="shared" si="52"/>
        <v>81.85285924463291</v>
      </c>
      <c r="S70" s="181">
        <f t="shared" si="53"/>
        <v>5</v>
      </c>
      <c r="T70" s="612"/>
      <c r="U70" s="187">
        <v>22</v>
      </c>
      <c r="V70" s="187">
        <v>1800.1629033819243</v>
      </c>
      <c r="W70" s="184">
        <f t="shared" si="50"/>
        <v>81.825586517360193</v>
      </c>
      <c r="X70" s="181">
        <f t="shared" si="54"/>
        <v>5</v>
      </c>
      <c r="Y70" s="612"/>
      <c r="Z70" s="187">
        <v>22</v>
      </c>
      <c r="AA70" s="187">
        <v>1799.7629033819242</v>
      </c>
      <c r="AB70" s="184">
        <f t="shared" si="55"/>
        <v>81.807404699178377</v>
      </c>
      <c r="AC70" s="181">
        <f t="shared" si="56"/>
        <v>5</v>
      </c>
      <c r="AD70" s="612"/>
      <c r="AE70" s="187">
        <v>22</v>
      </c>
      <c r="AF70" s="187">
        <v>1799.1629033819247</v>
      </c>
      <c r="AG70" s="184">
        <f t="shared" si="57"/>
        <v>81.780131971905675</v>
      </c>
      <c r="AH70" s="181">
        <f t="shared" si="58"/>
        <v>5</v>
      </c>
      <c r="AI70" s="612"/>
      <c r="AJ70" s="187">
        <v>22</v>
      </c>
      <c r="AK70" s="187">
        <v>1799.6275142827237</v>
      </c>
      <c r="AL70" s="184">
        <f t="shared" si="59"/>
        <v>81.801250649214708</v>
      </c>
      <c r="AM70" s="181">
        <f t="shared" si="60"/>
        <v>5</v>
      </c>
      <c r="AN70" s="612"/>
      <c r="AO70" s="187">
        <v>22</v>
      </c>
      <c r="AP70" s="187">
        <v>1800.0275142827236</v>
      </c>
      <c r="AQ70" s="184">
        <f t="shared" si="61"/>
        <v>81.819432467396524</v>
      </c>
      <c r="AR70" s="181">
        <f t="shared" si="62"/>
        <v>5</v>
      </c>
      <c r="AS70" s="612"/>
      <c r="AT70" s="187">
        <v>22</v>
      </c>
      <c r="AU70" s="187">
        <v>1800.4275142827235</v>
      </c>
      <c r="AV70" s="184">
        <f t="shared" si="63"/>
        <v>81.83761428557834</v>
      </c>
      <c r="AW70" s="181">
        <f t="shared" si="64"/>
        <v>5</v>
      </c>
      <c r="AX70" s="612"/>
    </row>
    <row r="71" spans="2:50" ht="14.25" customHeight="1">
      <c r="B71" s="611"/>
      <c r="C71" s="179">
        <v>5</v>
      </c>
      <c r="D71" s="182" t="s">
        <v>617</v>
      </c>
      <c r="E71" s="179">
        <v>11</v>
      </c>
      <c r="F71" s="179">
        <v>2000</v>
      </c>
      <c r="G71" s="184">
        <f t="shared" si="49"/>
        <v>181.81818181818181</v>
      </c>
      <c r="H71" s="612"/>
      <c r="I71" s="185">
        <f t="shared" si="51"/>
        <v>11</v>
      </c>
      <c r="J71" s="185">
        <f t="shared" si="51"/>
        <v>1807.5320436631632</v>
      </c>
      <c r="K71" s="186">
        <f t="shared" si="51"/>
        <v>164.32109487846938</v>
      </c>
      <c r="L71" s="613"/>
      <c r="M71" s="185">
        <f>RANK(K71, K$67:$K$81)</f>
        <v>1</v>
      </c>
      <c r="N71" s="611"/>
      <c r="O71" s="611"/>
      <c r="P71" s="187">
        <v>11</v>
      </c>
      <c r="Q71" s="187">
        <v>1806.8749008060199</v>
      </c>
      <c r="R71" s="184">
        <f t="shared" si="52"/>
        <v>164.26135461872909</v>
      </c>
      <c r="S71" s="181">
        <f t="shared" si="53"/>
        <v>1</v>
      </c>
      <c r="T71" s="612"/>
      <c r="U71" s="187">
        <v>11</v>
      </c>
      <c r="V71" s="187">
        <v>1807.2749008060202</v>
      </c>
      <c r="W71" s="184">
        <f t="shared" si="50"/>
        <v>164.29771825509275</v>
      </c>
      <c r="X71" s="181">
        <f t="shared" si="54"/>
        <v>1</v>
      </c>
      <c r="Y71" s="612"/>
      <c r="Z71" s="187">
        <v>11</v>
      </c>
      <c r="AA71" s="187">
        <v>1807.2749008060202</v>
      </c>
      <c r="AB71" s="184">
        <f t="shared" si="55"/>
        <v>164.29771825509275</v>
      </c>
      <c r="AC71" s="181">
        <f t="shared" si="56"/>
        <v>1</v>
      </c>
      <c r="AD71" s="612"/>
      <c r="AE71" s="187">
        <v>11</v>
      </c>
      <c r="AF71" s="187">
        <v>1807.6749008060206</v>
      </c>
      <c r="AG71" s="184">
        <f t="shared" si="57"/>
        <v>164.33408189145641</v>
      </c>
      <c r="AH71" s="181">
        <f t="shared" si="58"/>
        <v>1</v>
      </c>
      <c r="AI71" s="612"/>
      <c r="AJ71" s="187">
        <v>11</v>
      </c>
      <c r="AK71" s="187">
        <v>1808.2749008060207</v>
      </c>
      <c r="AL71" s="184">
        <f t="shared" si="59"/>
        <v>164.38862734600187</v>
      </c>
      <c r="AM71" s="181">
        <f t="shared" si="60"/>
        <v>1</v>
      </c>
      <c r="AN71" s="612"/>
      <c r="AO71" s="187">
        <v>11</v>
      </c>
      <c r="AP71" s="187">
        <v>1808.0749008060209</v>
      </c>
      <c r="AQ71" s="184">
        <f t="shared" si="61"/>
        <v>164.37044552782007</v>
      </c>
      <c r="AR71" s="181">
        <f t="shared" si="62"/>
        <v>1</v>
      </c>
      <c r="AS71" s="612"/>
      <c r="AT71" s="187">
        <v>11</v>
      </c>
      <c r="AU71" s="187">
        <v>1807.2749008060209</v>
      </c>
      <c r="AV71" s="184">
        <f t="shared" si="63"/>
        <v>164.2977182550928</v>
      </c>
      <c r="AW71" s="181">
        <f t="shared" si="64"/>
        <v>1</v>
      </c>
      <c r="AX71" s="612"/>
    </row>
    <row r="72" spans="2:50" ht="14.25" customHeight="1">
      <c r="B72" s="611"/>
      <c r="C72" s="179">
        <v>6</v>
      </c>
      <c r="D72" s="182"/>
      <c r="E72" s="179"/>
      <c r="F72" s="179"/>
      <c r="G72" s="184"/>
      <c r="H72" s="612"/>
      <c r="I72" s="185"/>
      <c r="J72" s="185"/>
      <c r="K72" s="186"/>
      <c r="L72" s="613"/>
      <c r="M72" s="185"/>
      <c r="N72" s="611"/>
      <c r="O72" s="611"/>
      <c r="P72" s="187"/>
      <c r="Q72" s="187"/>
      <c r="R72" s="184"/>
      <c r="S72" s="181"/>
      <c r="T72" s="612"/>
      <c r="U72" s="187"/>
      <c r="V72" s="187"/>
      <c r="W72" s="184"/>
      <c r="X72" s="181"/>
      <c r="Y72" s="612"/>
      <c r="Z72" s="187"/>
      <c r="AA72" s="187"/>
      <c r="AB72" s="184"/>
      <c r="AC72" s="181"/>
      <c r="AD72" s="612"/>
      <c r="AE72" s="187"/>
      <c r="AF72" s="187"/>
      <c r="AG72" s="184"/>
      <c r="AH72" s="181"/>
      <c r="AI72" s="612"/>
      <c r="AJ72" s="187"/>
      <c r="AK72" s="187"/>
      <c r="AL72" s="184"/>
      <c r="AM72" s="181"/>
      <c r="AN72" s="612"/>
      <c r="AO72" s="187"/>
      <c r="AP72" s="187"/>
      <c r="AQ72" s="184"/>
      <c r="AR72" s="181"/>
      <c r="AS72" s="612"/>
      <c r="AT72" s="187"/>
      <c r="AU72" s="187"/>
      <c r="AV72" s="184"/>
      <c r="AW72" s="181"/>
      <c r="AX72" s="612"/>
    </row>
    <row r="73" spans="2:50" ht="14.25" customHeight="1">
      <c r="B73" s="611"/>
      <c r="C73" s="179">
        <v>7</v>
      </c>
      <c r="D73" s="182"/>
      <c r="E73" s="179"/>
      <c r="F73" s="179"/>
      <c r="G73" s="184"/>
      <c r="H73" s="612"/>
      <c r="I73" s="185"/>
      <c r="J73" s="185"/>
      <c r="K73" s="186"/>
      <c r="L73" s="613"/>
      <c r="M73" s="185"/>
      <c r="N73" s="611"/>
      <c r="O73" s="611"/>
      <c r="P73" s="187"/>
      <c r="Q73" s="187"/>
      <c r="R73" s="184"/>
      <c r="S73" s="181"/>
      <c r="T73" s="612"/>
      <c r="U73" s="187"/>
      <c r="V73" s="187"/>
      <c r="W73" s="184"/>
      <c r="X73" s="181"/>
      <c r="Y73" s="612"/>
      <c r="Z73" s="187"/>
      <c r="AA73" s="187"/>
      <c r="AB73" s="184"/>
      <c r="AC73" s="181"/>
      <c r="AD73" s="612"/>
      <c r="AE73" s="187"/>
      <c r="AF73" s="187"/>
      <c r="AG73" s="184"/>
      <c r="AH73" s="181"/>
      <c r="AI73" s="612"/>
      <c r="AJ73" s="187"/>
      <c r="AK73" s="187"/>
      <c r="AL73" s="184"/>
      <c r="AM73" s="181"/>
      <c r="AN73" s="612"/>
      <c r="AO73" s="187"/>
      <c r="AP73" s="187"/>
      <c r="AQ73" s="184"/>
      <c r="AR73" s="181"/>
      <c r="AS73" s="612"/>
      <c r="AT73" s="187"/>
      <c r="AU73" s="187"/>
      <c r="AV73" s="184"/>
      <c r="AW73" s="181"/>
      <c r="AX73" s="612"/>
    </row>
    <row r="74" spans="2:50" ht="14.25" customHeight="1">
      <c r="B74" s="611"/>
      <c r="C74" s="179">
        <v>8</v>
      </c>
      <c r="D74" s="182"/>
      <c r="E74" s="179"/>
      <c r="F74" s="179"/>
      <c r="G74" s="184"/>
      <c r="H74" s="612"/>
      <c r="I74" s="185"/>
      <c r="J74" s="185"/>
      <c r="K74" s="186"/>
      <c r="L74" s="613"/>
      <c r="M74" s="185"/>
      <c r="N74" s="611"/>
      <c r="O74" s="611"/>
      <c r="P74" s="187"/>
      <c r="Q74" s="187"/>
      <c r="R74" s="184"/>
      <c r="S74" s="181"/>
      <c r="T74" s="612"/>
      <c r="U74" s="187"/>
      <c r="V74" s="187"/>
      <c r="W74" s="184"/>
      <c r="X74" s="181"/>
      <c r="Y74" s="612"/>
      <c r="Z74" s="187"/>
      <c r="AA74" s="187"/>
      <c r="AB74" s="184"/>
      <c r="AC74" s="181"/>
      <c r="AD74" s="612"/>
      <c r="AE74" s="187"/>
      <c r="AF74" s="187"/>
      <c r="AG74" s="184"/>
      <c r="AH74" s="181"/>
      <c r="AI74" s="612"/>
      <c r="AJ74" s="187"/>
      <c r="AK74" s="187"/>
      <c r="AL74" s="184"/>
      <c r="AM74" s="181"/>
      <c r="AN74" s="612"/>
      <c r="AO74" s="187"/>
      <c r="AP74" s="187"/>
      <c r="AQ74" s="184"/>
      <c r="AR74" s="181"/>
      <c r="AS74" s="612"/>
      <c r="AT74" s="187"/>
      <c r="AU74" s="187"/>
      <c r="AV74" s="184"/>
      <c r="AW74" s="181"/>
      <c r="AX74" s="612"/>
    </row>
    <row r="75" spans="2:50" ht="14.25" customHeight="1">
      <c r="B75" s="611"/>
      <c r="C75" s="179">
        <v>9</v>
      </c>
      <c r="D75" s="182"/>
      <c r="E75" s="179"/>
      <c r="F75" s="179"/>
      <c r="G75" s="184"/>
      <c r="H75" s="612"/>
      <c r="I75" s="185"/>
      <c r="J75" s="185"/>
      <c r="K75" s="186"/>
      <c r="L75" s="613"/>
      <c r="M75" s="185"/>
      <c r="N75" s="611"/>
      <c r="O75" s="611"/>
      <c r="P75" s="187"/>
      <c r="Q75" s="187"/>
      <c r="R75" s="184"/>
      <c r="S75" s="181"/>
      <c r="T75" s="612"/>
      <c r="U75" s="187"/>
      <c r="V75" s="187"/>
      <c r="W75" s="184"/>
      <c r="X75" s="181"/>
      <c r="Y75" s="612"/>
      <c r="Z75" s="187"/>
      <c r="AA75" s="187"/>
      <c r="AB75" s="184"/>
      <c r="AC75" s="181"/>
      <c r="AD75" s="612"/>
      <c r="AE75" s="187"/>
      <c r="AF75" s="187"/>
      <c r="AG75" s="184"/>
      <c r="AH75" s="181"/>
      <c r="AI75" s="612"/>
      <c r="AJ75" s="187"/>
      <c r="AK75" s="187"/>
      <c r="AL75" s="184"/>
      <c r="AM75" s="181"/>
      <c r="AN75" s="612"/>
      <c r="AO75" s="187"/>
      <c r="AP75" s="187"/>
      <c r="AQ75" s="184"/>
      <c r="AR75" s="181"/>
      <c r="AS75" s="612"/>
      <c r="AT75" s="187"/>
      <c r="AU75" s="187"/>
      <c r="AV75" s="184"/>
      <c r="AW75" s="181"/>
      <c r="AX75" s="612"/>
    </row>
    <row r="76" spans="2:50" ht="14.25" customHeight="1">
      <c r="B76" s="611"/>
      <c r="C76" s="179">
        <v>10</v>
      </c>
      <c r="D76" s="182"/>
      <c r="E76" s="179"/>
      <c r="F76" s="179"/>
      <c r="G76" s="184"/>
      <c r="H76" s="612"/>
      <c r="I76" s="185"/>
      <c r="J76" s="185"/>
      <c r="K76" s="186"/>
      <c r="L76" s="613"/>
      <c r="M76" s="185"/>
      <c r="N76" s="611"/>
      <c r="O76" s="611"/>
      <c r="P76" s="187"/>
      <c r="Q76" s="187"/>
      <c r="R76" s="184"/>
      <c r="S76" s="181"/>
      <c r="T76" s="612"/>
      <c r="U76" s="187"/>
      <c r="V76" s="187"/>
      <c r="W76" s="184"/>
      <c r="X76" s="181"/>
      <c r="Y76" s="612"/>
      <c r="Z76" s="187"/>
      <c r="AA76" s="187"/>
      <c r="AB76" s="184"/>
      <c r="AC76" s="181"/>
      <c r="AD76" s="612"/>
      <c r="AE76" s="187"/>
      <c r="AF76" s="187"/>
      <c r="AG76" s="184"/>
      <c r="AH76" s="181"/>
      <c r="AI76" s="612"/>
      <c r="AJ76" s="187"/>
      <c r="AK76" s="187"/>
      <c r="AL76" s="184"/>
      <c r="AM76" s="181"/>
      <c r="AN76" s="612"/>
      <c r="AO76" s="187"/>
      <c r="AP76" s="187"/>
      <c r="AQ76" s="184"/>
      <c r="AR76" s="181"/>
      <c r="AS76" s="612"/>
      <c r="AT76" s="187"/>
      <c r="AU76" s="187"/>
      <c r="AV76" s="184"/>
      <c r="AW76" s="181"/>
      <c r="AX76" s="612"/>
    </row>
    <row r="77" spans="2:50" ht="14.25" customHeight="1">
      <c r="B77" s="611"/>
      <c r="C77" s="179">
        <v>11</v>
      </c>
      <c r="D77" s="182"/>
      <c r="E77" s="179"/>
      <c r="F77" s="179"/>
      <c r="G77" s="184"/>
      <c r="H77" s="612"/>
      <c r="I77" s="185"/>
      <c r="J77" s="185"/>
      <c r="K77" s="186"/>
      <c r="L77" s="613"/>
      <c r="M77" s="185"/>
      <c r="N77" s="611"/>
      <c r="O77" s="611"/>
      <c r="P77" s="187"/>
      <c r="Q77" s="187"/>
      <c r="R77" s="184"/>
      <c r="S77" s="181"/>
      <c r="T77" s="612"/>
      <c r="U77" s="187"/>
      <c r="V77" s="187"/>
      <c r="W77" s="184"/>
      <c r="X77" s="181"/>
      <c r="Y77" s="612"/>
      <c r="Z77" s="187"/>
      <c r="AA77" s="187"/>
      <c r="AB77" s="184"/>
      <c r="AC77" s="181"/>
      <c r="AD77" s="612"/>
      <c r="AE77" s="187"/>
      <c r="AF77" s="187"/>
      <c r="AG77" s="184"/>
      <c r="AH77" s="181"/>
      <c r="AI77" s="612"/>
      <c r="AJ77" s="187"/>
      <c r="AK77" s="187"/>
      <c r="AL77" s="184"/>
      <c r="AM77" s="181"/>
      <c r="AN77" s="612"/>
      <c r="AO77" s="187"/>
      <c r="AP77" s="187"/>
      <c r="AQ77" s="184"/>
      <c r="AR77" s="181"/>
      <c r="AS77" s="612"/>
      <c r="AT77" s="187"/>
      <c r="AU77" s="187"/>
      <c r="AV77" s="184"/>
      <c r="AW77" s="181"/>
      <c r="AX77" s="612"/>
    </row>
    <row r="78" spans="2:50" ht="14.25" customHeight="1">
      <c r="B78" s="611"/>
      <c r="C78" s="179">
        <v>12</v>
      </c>
      <c r="D78" s="182"/>
      <c r="E78" s="179"/>
      <c r="F78" s="179"/>
      <c r="G78" s="184"/>
      <c r="H78" s="612"/>
      <c r="I78" s="185"/>
      <c r="J78" s="185"/>
      <c r="K78" s="186"/>
      <c r="L78" s="613"/>
      <c r="M78" s="185"/>
      <c r="N78" s="611"/>
      <c r="O78" s="611"/>
      <c r="P78" s="187"/>
      <c r="Q78" s="187"/>
      <c r="R78" s="184"/>
      <c r="S78" s="181"/>
      <c r="T78" s="612"/>
      <c r="U78" s="187"/>
      <c r="V78" s="187"/>
      <c r="W78" s="184"/>
      <c r="X78" s="181"/>
      <c r="Y78" s="612"/>
      <c r="Z78" s="187"/>
      <c r="AA78" s="187"/>
      <c r="AB78" s="184"/>
      <c r="AC78" s="181"/>
      <c r="AD78" s="612"/>
      <c r="AE78" s="187"/>
      <c r="AF78" s="187"/>
      <c r="AG78" s="184"/>
      <c r="AH78" s="181"/>
      <c r="AI78" s="612"/>
      <c r="AJ78" s="187"/>
      <c r="AK78" s="187"/>
      <c r="AL78" s="184"/>
      <c r="AM78" s="181"/>
      <c r="AN78" s="612"/>
      <c r="AO78" s="187"/>
      <c r="AP78" s="187"/>
      <c r="AQ78" s="184"/>
      <c r="AR78" s="181"/>
      <c r="AS78" s="612"/>
      <c r="AT78" s="187"/>
      <c r="AU78" s="187"/>
      <c r="AV78" s="184"/>
      <c r="AW78" s="181"/>
      <c r="AX78" s="612"/>
    </row>
    <row r="79" spans="2:50" ht="14.25" customHeight="1">
      <c r="B79" s="611"/>
      <c r="C79" s="179">
        <v>13</v>
      </c>
      <c r="D79" s="182"/>
      <c r="E79" s="179"/>
      <c r="F79" s="179"/>
      <c r="G79" s="184"/>
      <c r="H79" s="612"/>
      <c r="I79" s="185"/>
      <c r="J79" s="185"/>
      <c r="K79" s="186"/>
      <c r="L79" s="613"/>
      <c r="M79" s="185"/>
      <c r="N79" s="611"/>
      <c r="O79" s="611"/>
      <c r="P79" s="187"/>
      <c r="Q79" s="187"/>
      <c r="R79" s="184"/>
      <c r="S79" s="181"/>
      <c r="T79" s="612"/>
      <c r="U79" s="187"/>
      <c r="V79" s="187"/>
      <c r="W79" s="184"/>
      <c r="X79" s="181"/>
      <c r="Y79" s="612"/>
      <c r="Z79" s="187"/>
      <c r="AA79" s="187"/>
      <c r="AB79" s="184"/>
      <c r="AC79" s="181"/>
      <c r="AD79" s="612"/>
      <c r="AE79" s="187"/>
      <c r="AF79" s="187"/>
      <c r="AG79" s="184"/>
      <c r="AH79" s="181"/>
      <c r="AI79" s="612"/>
      <c r="AJ79" s="187"/>
      <c r="AK79" s="187"/>
      <c r="AL79" s="184"/>
      <c r="AM79" s="181"/>
      <c r="AN79" s="612"/>
      <c r="AO79" s="187"/>
      <c r="AP79" s="187"/>
      <c r="AQ79" s="184"/>
      <c r="AR79" s="181"/>
      <c r="AS79" s="612"/>
      <c r="AT79" s="187"/>
      <c r="AU79" s="187"/>
      <c r="AV79" s="184"/>
      <c r="AW79" s="181"/>
      <c r="AX79" s="612"/>
    </row>
    <row r="80" spans="2:50" ht="14.25" customHeight="1">
      <c r="B80" s="611"/>
      <c r="C80" s="179">
        <v>14</v>
      </c>
      <c r="D80" s="182"/>
      <c r="E80" s="179"/>
      <c r="F80" s="179"/>
      <c r="G80" s="184"/>
      <c r="H80" s="612"/>
      <c r="I80" s="185"/>
      <c r="J80" s="185"/>
      <c r="K80" s="186"/>
      <c r="L80" s="613"/>
      <c r="M80" s="185"/>
      <c r="N80" s="611"/>
      <c r="O80" s="611"/>
      <c r="P80" s="187"/>
      <c r="Q80" s="187"/>
      <c r="R80" s="184"/>
      <c r="S80" s="181"/>
      <c r="T80" s="612"/>
      <c r="U80" s="187"/>
      <c r="V80" s="187"/>
      <c r="W80" s="184"/>
      <c r="X80" s="181"/>
      <c r="Y80" s="612"/>
      <c r="Z80" s="187"/>
      <c r="AA80" s="187"/>
      <c r="AB80" s="184"/>
      <c r="AC80" s="181"/>
      <c r="AD80" s="612"/>
      <c r="AE80" s="187"/>
      <c r="AF80" s="187"/>
      <c r="AG80" s="184"/>
      <c r="AH80" s="181"/>
      <c r="AI80" s="612"/>
      <c r="AJ80" s="187"/>
      <c r="AK80" s="187"/>
      <c r="AL80" s="184"/>
      <c r="AM80" s="181"/>
      <c r="AN80" s="612"/>
      <c r="AO80" s="187"/>
      <c r="AP80" s="187"/>
      <c r="AQ80" s="184"/>
      <c r="AR80" s="181"/>
      <c r="AS80" s="612"/>
      <c r="AT80" s="187"/>
      <c r="AU80" s="187"/>
      <c r="AV80" s="184"/>
      <c r="AW80" s="181"/>
      <c r="AX80" s="612"/>
    </row>
    <row r="81" spans="2:50" ht="14.25" customHeight="1">
      <c r="B81" s="611"/>
      <c r="C81" s="179">
        <v>15</v>
      </c>
      <c r="D81" s="182"/>
      <c r="E81" s="179"/>
      <c r="F81" s="179"/>
      <c r="G81" s="184"/>
      <c r="H81" s="612"/>
      <c r="I81" s="185"/>
      <c r="J81" s="185"/>
      <c r="K81" s="186"/>
      <c r="L81" s="613"/>
      <c r="M81" s="185"/>
      <c r="N81" s="611"/>
      <c r="O81" s="611"/>
      <c r="P81" s="187"/>
      <c r="Q81" s="187"/>
      <c r="R81" s="184"/>
      <c r="S81" s="181"/>
      <c r="T81" s="612"/>
      <c r="U81" s="187"/>
      <c r="V81" s="187"/>
      <c r="W81" s="184"/>
      <c r="X81" s="181"/>
      <c r="Y81" s="612"/>
      <c r="Z81" s="187"/>
      <c r="AA81" s="187"/>
      <c r="AB81" s="184"/>
      <c r="AC81" s="181"/>
      <c r="AD81" s="612"/>
      <c r="AE81" s="187"/>
      <c r="AF81" s="187"/>
      <c r="AG81" s="184"/>
      <c r="AH81" s="181"/>
      <c r="AI81" s="612"/>
      <c r="AJ81" s="187"/>
      <c r="AK81" s="187"/>
      <c r="AL81" s="184"/>
      <c r="AM81" s="181"/>
      <c r="AN81" s="612"/>
      <c r="AO81" s="187"/>
      <c r="AP81" s="187"/>
      <c r="AQ81" s="184"/>
      <c r="AR81" s="181"/>
      <c r="AS81" s="612"/>
      <c r="AT81" s="187"/>
      <c r="AU81" s="187"/>
      <c r="AV81" s="184"/>
      <c r="AW81" s="181"/>
      <c r="AX81" s="612"/>
    </row>
    <row r="82" spans="2:50" ht="14.25" customHeight="1">
      <c r="B82" s="640" t="s">
        <v>878</v>
      </c>
      <c r="C82" s="641"/>
      <c r="D82" s="641"/>
      <c r="E82" s="641"/>
      <c r="F82" s="641"/>
      <c r="G82" s="641"/>
      <c r="H82" s="641"/>
      <c r="I82" s="641"/>
      <c r="J82" s="641"/>
      <c r="K82" s="641"/>
      <c r="L82" s="641"/>
      <c r="M82" s="642"/>
      <c r="N82" s="645" t="s">
        <v>363</v>
      </c>
      <c r="O82" s="645" t="s">
        <v>105</v>
      </c>
      <c r="P82" s="632">
        <v>46231</v>
      </c>
      <c r="Q82" s="633"/>
      <c r="R82" s="633"/>
      <c r="S82" s="633"/>
      <c r="T82" s="633"/>
      <c r="U82" s="634">
        <v>46232</v>
      </c>
      <c r="V82" s="635"/>
      <c r="W82" s="635"/>
      <c r="X82" s="635"/>
      <c r="Y82" s="635"/>
      <c r="Z82" s="632">
        <v>46233</v>
      </c>
      <c r="AA82" s="633"/>
      <c r="AB82" s="633"/>
      <c r="AC82" s="633"/>
      <c r="AD82" s="633"/>
      <c r="AE82" s="634">
        <v>46234</v>
      </c>
      <c r="AF82" s="635"/>
      <c r="AG82" s="635"/>
      <c r="AH82" s="635"/>
      <c r="AI82" s="635"/>
      <c r="AJ82" s="616">
        <v>46235</v>
      </c>
      <c r="AK82" s="617"/>
      <c r="AL82" s="617"/>
      <c r="AM82" s="617"/>
      <c r="AN82" s="618"/>
      <c r="AO82" s="634">
        <v>46236</v>
      </c>
      <c r="AP82" s="635"/>
      <c r="AQ82" s="635"/>
      <c r="AR82" s="635"/>
      <c r="AS82" s="635"/>
      <c r="AT82" s="616">
        <v>46237</v>
      </c>
      <c r="AU82" s="617"/>
      <c r="AV82" s="617"/>
      <c r="AW82" s="617"/>
      <c r="AX82" s="618"/>
    </row>
    <row r="83" spans="2:50" ht="14.25" customHeight="1">
      <c r="B83" s="643"/>
      <c r="C83" s="643"/>
      <c r="D83" s="643"/>
      <c r="E83" s="643"/>
      <c r="F83" s="643"/>
      <c r="G83" s="643"/>
      <c r="H83" s="643"/>
      <c r="I83" s="643"/>
      <c r="J83" s="643"/>
      <c r="K83" s="643"/>
      <c r="L83" s="643"/>
      <c r="M83" s="644"/>
      <c r="N83" s="646"/>
      <c r="O83" s="646"/>
      <c r="P83" s="619">
        <v>46196</v>
      </c>
      <c r="Q83" s="619"/>
      <c r="R83" s="619"/>
      <c r="S83" s="619"/>
      <c r="T83" s="619"/>
      <c r="U83" s="620">
        <v>46197</v>
      </c>
      <c r="V83" s="620"/>
      <c r="W83" s="620"/>
      <c r="X83" s="620"/>
      <c r="Y83" s="620"/>
      <c r="Z83" s="619">
        <v>46198</v>
      </c>
      <c r="AA83" s="619"/>
      <c r="AB83" s="619"/>
      <c r="AC83" s="619"/>
      <c r="AD83" s="619"/>
      <c r="AE83" s="620">
        <v>46199</v>
      </c>
      <c r="AF83" s="620"/>
      <c r="AG83" s="620"/>
      <c r="AH83" s="620"/>
      <c r="AI83" s="620"/>
      <c r="AJ83" s="621">
        <v>46200</v>
      </c>
      <c r="AK83" s="622"/>
      <c r="AL83" s="622"/>
      <c r="AM83" s="622"/>
      <c r="AN83" s="623"/>
      <c r="AO83" s="620">
        <v>46201</v>
      </c>
      <c r="AP83" s="620"/>
      <c r="AQ83" s="620"/>
      <c r="AR83" s="620"/>
      <c r="AS83" s="620"/>
      <c r="AT83" s="621">
        <v>46202</v>
      </c>
      <c r="AU83" s="622"/>
      <c r="AV83" s="622"/>
      <c r="AW83" s="622"/>
      <c r="AX83" s="623"/>
    </row>
    <row r="84" spans="2:50" ht="14.25" customHeight="1">
      <c r="B84" s="611" t="s">
        <v>162</v>
      </c>
      <c r="C84" s="611" t="s">
        <v>157</v>
      </c>
      <c r="D84" s="611"/>
      <c r="E84" s="611" t="s">
        <v>158</v>
      </c>
      <c r="F84" s="611"/>
      <c r="G84" s="611"/>
      <c r="H84" s="611" t="s">
        <v>163</v>
      </c>
      <c r="I84" s="615" t="s">
        <v>364</v>
      </c>
      <c r="J84" s="615"/>
      <c r="K84" s="615"/>
      <c r="L84" s="615" t="s">
        <v>163</v>
      </c>
      <c r="M84" s="615" t="s">
        <v>165</v>
      </c>
      <c r="N84" s="611"/>
      <c r="O84" s="611" t="s">
        <v>164</v>
      </c>
      <c r="P84" s="611" t="s">
        <v>160</v>
      </c>
      <c r="Q84" s="611"/>
      <c r="R84" s="611"/>
      <c r="S84" s="611"/>
      <c r="T84" s="611" t="s">
        <v>163</v>
      </c>
      <c r="U84" s="611" t="s">
        <v>160</v>
      </c>
      <c r="V84" s="611"/>
      <c r="W84" s="611"/>
      <c r="X84" s="611"/>
      <c r="Y84" s="611" t="s">
        <v>163</v>
      </c>
      <c r="Z84" s="611" t="s">
        <v>160</v>
      </c>
      <c r="AA84" s="611"/>
      <c r="AB84" s="611"/>
      <c r="AC84" s="611"/>
      <c r="AD84" s="611" t="s">
        <v>163</v>
      </c>
      <c r="AE84" s="611" t="s">
        <v>160</v>
      </c>
      <c r="AF84" s="611"/>
      <c r="AG84" s="611"/>
      <c r="AH84" s="611"/>
      <c r="AI84" s="611" t="s">
        <v>163</v>
      </c>
      <c r="AJ84" s="611" t="s">
        <v>160</v>
      </c>
      <c r="AK84" s="611"/>
      <c r="AL84" s="611"/>
      <c r="AM84" s="611"/>
      <c r="AN84" s="611" t="s">
        <v>163</v>
      </c>
      <c r="AO84" s="611" t="s">
        <v>160</v>
      </c>
      <c r="AP84" s="611"/>
      <c r="AQ84" s="611"/>
      <c r="AR84" s="611"/>
      <c r="AS84" s="611" t="s">
        <v>163</v>
      </c>
      <c r="AT84" s="611" t="s">
        <v>160</v>
      </c>
      <c r="AU84" s="611"/>
      <c r="AV84" s="611"/>
      <c r="AW84" s="611"/>
      <c r="AX84" s="611" t="s">
        <v>163</v>
      </c>
    </row>
    <row r="85" spans="2:50" ht="14.25" customHeight="1">
      <c r="B85" s="611"/>
      <c r="C85" s="611"/>
      <c r="D85" s="611"/>
      <c r="E85" s="611" t="s">
        <v>365</v>
      </c>
      <c r="F85" s="611"/>
      <c r="G85" s="611"/>
      <c r="H85" s="611"/>
      <c r="I85" s="615" t="s">
        <v>365</v>
      </c>
      <c r="J85" s="615"/>
      <c r="K85" s="615"/>
      <c r="L85" s="615"/>
      <c r="M85" s="615"/>
      <c r="N85" s="611"/>
      <c r="O85" s="611"/>
      <c r="P85" s="611" t="s">
        <v>366</v>
      </c>
      <c r="Q85" s="611"/>
      <c r="R85" s="611"/>
      <c r="S85" s="611"/>
      <c r="T85" s="611"/>
      <c r="U85" s="611" t="s">
        <v>366</v>
      </c>
      <c r="V85" s="611"/>
      <c r="W85" s="611"/>
      <c r="X85" s="611"/>
      <c r="Y85" s="611"/>
      <c r="Z85" s="611" t="s">
        <v>366</v>
      </c>
      <c r="AA85" s="611"/>
      <c r="AB85" s="611"/>
      <c r="AC85" s="611"/>
      <c r="AD85" s="611"/>
      <c r="AE85" s="611" t="s">
        <v>366</v>
      </c>
      <c r="AF85" s="611"/>
      <c r="AG85" s="611"/>
      <c r="AH85" s="611"/>
      <c r="AI85" s="611"/>
      <c r="AJ85" s="611" t="s">
        <v>366</v>
      </c>
      <c r="AK85" s="611"/>
      <c r="AL85" s="611"/>
      <c r="AM85" s="611"/>
      <c r="AN85" s="611"/>
      <c r="AO85" s="611" t="s">
        <v>366</v>
      </c>
      <c r="AP85" s="611"/>
      <c r="AQ85" s="611"/>
      <c r="AR85" s="611"/>
      <c r="AS85" s="611"/>
      <c r="AT85" s="611" t="s">
        <v>366</v>
      </c>
      <c r="AU85" s="611"/>
      <c r="AV85" s="611"/>
      <c r="AW85" s="611"/>
      <c r="AX85" s="611"/>
    </row>
    <row r="86" spans="2:50" ht="14.25" customHeight="1">
      <c r="B86" s="611"/>
      <c r="C86" s="611"/>
      <c r="D86" s="611"/>
      <c r="E86" s="179" t="s">
        <v>159</v>
      </c>
      <c r="F86" s="179" t="s">
        <v>367</v>
      </c>
      <c r="G86" s="179" t="s">
        <v>161</v>
      </c>
      <c r="H86" s="611"/>
      <c r="I86" s="180" t="s">
        <v>159</v>
      </c>
      <c r="J86" s="180" t="s">
        <v>367</v>
      </c>
      <c r="K86" s="180" t="s">
        <v>161</v>
      </c>
      <c r="L86" s="615"/>
      <c r="M86" s="615"/>
      <c r="N86" s="611"/>
      <c r="O86" s="611"/>
      <c r="P86" s="179" t="s">
        <v>159</v>
      </c>
      <c r="Q86" s="179" t="s">
        <v>367</v>
      </c>
      <c r="R86" s="179" t="s">
        <v>161</v>
      </c>
      <c r="S86" s="181" t="s">
        <v>165</v>
      </c>
      <c r="T86" s="611"/>
      <c r="U86" s="179" t="s">
        <v>159</v>
      </c>
      <c r="V86" s="179" t="s">
        <v>367</v>
      </c>
      <c r="W86" s="179" t="s">
        <v>161</v>
      </c>
      <c r="X86" s="181" t="s">
        <v>165</v>
      </c>
      <c r="Y86" s="611"/>
      <c r="Z86" s="179" t="s">
        <v>159</v>
      </c>
      <c r="AA86" s="179" t="s">
        <v>367</v>
      </c>
      <c r="AB86" s="179" t="s">
        <v>161</v>
      </c>
      <c r="AC86" s="181" t="s">
        <v>165</v>
      </c>
      <c r="AD86" s="611"/>
      <c r="AE86" s="179" t="s">
        <v>159</v>
      </c>
      <c r="AF86" s="179" t="s">
        <v>367</v>
      </c>
      <c r="AG86" s="179" t="s">
        <v>161</v>
      </c>
      <c r="AH86" s="181" t="s">
        <v>165</v>
      </c>
      <c r="AI86" s="611"/>
      <c r="AJ86" s="179" t="s">
        <v>159</v>
      </c>
      <c r="AK86" s="179" t="s">
        <v>367</v>
      </c>
      <c r="AL86" s="179" t="s">
        <v>161</v>
      </c>
      <c r="AM86" s="181" t="s">
        <v>165</v>
      </c>
      <c r="AN86" s="611"/>
      <c r="AO86" s="179" t="s">
        <v>159</v>
      </c>
      <c r="AP86" s="179" t="s">
        <v>367</v>
      </c>
      <c r="AQ86" s="179" t="s">
        <v>161</v>
      </c>
      <c r="AR86" s="181" t="s">
        <v>165</v>
      </c>
      <c r="AS86" s="611"/>
      <c r="AT86" s="179" t="s">
        <v>159</v>
      </c>
      <c r="AU86" s="179" t="s">
        <v>367</v>
      </c>
      <c r="AV86" s="179" t="s">
        <v>161</v>
      </c>
      <c r="AW86" s="181" t="s">
        <v>165</v>
      </c>
      <c r="AX86" s="611"/>
    </row>
    <row r="87" spans="2:50" ht="14.25" customHeight="1">
      <c r="B87" s="611" t="s">
        <v>143</v>
      </c>
      <c r="C87" s="179">
        <v>1</v>
      </c>
      <c r="D87" s="182" t="s">
        <v>650</v>
      </c>
      <c r="E87" s="183">
        <v>19</v>
      </c>
      <c r="F87" s="179">
        <v>2000</v>
      </c>
      <c r="G87" s="184">
        <f t="shared" ref="G87:G91" si="65">IFERROR(F87/E87,"")</f>
        <v>105.26315789473684</v>
      </c>
      <c r="H87" s="612">
        <f>AVERAGE(G87:G101)</f>
        <v>130.42326094957676</v>
      </c>
      <c r="I87" s="185">
        <f>AVERAGE(P87,U87,Z87,AE87,AJ87,AO87,AT87)</f>
        <v>19</v>
      </c>
      <c r="J87" s="185">
        <f>AVERAGE(Q87,V87,AA87,AF87,AK87,AP87,AU87)</f>
        <v>1801.9709154418076</v>
      </c>
      <c r="K87" s="186">
        <f>AVERAGE(R87,W87,AB87,AG87,AL87,AQ87,AV87)</f>
        <v>94.840574496937251</v>
      </c>
      <c r="L87" s="613">
        <f>IFERROR(AVERAGE(K87:K101),"-")</f>
        <v>117.75467132365129</v>
      </c>
      <c r="M87" s="185">
        <f>RANK(K87, K$87:$K$101)</f>
        <v>3</v>
      </c>
      <c r="N87" s="611"/>
      <c r="O87" s="611"/>
      <c r="P87" s="187">
        <v>19</v>
      </c>
      <c r="Q87" s="187">
        <v>1801.3709154418077</v>
      </c>
      <c r="R87" s="184">
        <f>IFERROR(Q87/P87,"")</f>
        <v>94.80899554956882</v>
      </c>
      <c r="S87" s="181">
        <f>RANK(R87, R$87:R$101)</f>
        <v>3</v>
      </c>
      <c r="T87" s="612">
        <f>AVERAGE(R87:R101)</f>
        <v>117.73039349621554</v>
      </c>
      <c r="U87" s="187">
        <v>19</v>
      </c>
      <c r="V87" s="187">
        <v>1801.5709154418075</v>
      </c>
      <c r="W87" s="184">
        <f t="shared" ref="W87:W91" si="66">IFERROR(V87/U87,"")</f>
        <v>94.819521865358297</v>
      </c>
      <c r="X87" s="181">
        <f>RANK(W87, W$87:W$101)</f>
        <v>3</v>
      </c>
      <c r="Y87" s="612">
        <f>AVERAGE(W87:W101)</f>
        <v>117.74533792021262</v>
      </c>
      <c r="Z87" s="187">
        <v>19</v>
      </c>
      <c r="AA87" s="187">
        <v>1801.3709154418079</v>
      </c>
      <c r="AB87" s="184">
        <f>IFERROR(AA87/Z87,"")</f>
        <v>94.808995549568834</v>
      </c>
      <c r="AC87" s="181">
        <f>RANK(AB87, AB$87:AB$101)</f>
        <v>3</v>
      </c>
      <c r="AD87" s="612">
        <f>AVERAGE(AB87:AB101)</f>
        <v>117.7322396500617</v>
      </c>
      <c r="AE87" s="187">
        <v>19</v>
      </c>
      <c r="AF87" s="187">
        <v>1801.3709154418077</v>
      </c>
      <c r="AG87" s="184">
        <f>IFERROR(AF87/AE87,"")</f>
        <v>94.80899554956882</v>
      </c>
      <c r="AH87" s="181">
        <f>RANK(AG87, AG$87:AG$101)</f>
        <v>3</v>
      </c>
      <c r="AI87" s="612">
        <f>AVERAGE(AG87:AG101)</f>
        <v>117.76868720250926</v>
      </c>
      <c r="AJ87" s="187">
        <v>19</v>
      </c>
      <c r="AK87" s="187">
        <v>1802.1709154418077</v>
      </c>
      <c r="AL87" s="184">
        <f>IFERROR(AK87/AJ87,"")</f>
        <v>94.851100812726713</v>
      </c>
      <c r="AM87" s="181">
        <f>RANK(AL87, AL$87:AL$101)</f>
        <v>3</v>
      </c>
      <c r="AN87" s="612">
        <f>AVERAGE(AL87:AL101)</f>
        <v>117.77154182157442</v>
      </c>
      <c r="AO87" s="187">
        <v>19</v>
      </c>
      <c r="AP87" s="187">
        <v>1802.7709154418078</v>
      </c>
      <c r="AQ87" s="184">
        <f>IFERROR(AP87/AO87,"")</f>
        <v>94.882679760095144</v>
      </c>
      <c r="AR87" s="181">
        <f>RANK(AQ87, AQ$87:AQ$101)</f>
        <v>3</v>
      </c>
      <c r="AS87" s="612">
        <f>AVERAGE(AQ87:AQ101)</f>
        <v>117.75791355510405</v>
      </c>
      <c r="AT87" s="187">
        <v>19</v>
      </c>
      <c r="AU87" s="187">
        <v>1803.1709154418081</v>
      </c>
      <c r="AV87" s="184">
        <f>IFERROR(AU87/AT87,"")</f>
        <v>94.903732391674112</v>
      </c>
      <c r="AW87" s="181">
        <f>RANK(AV87, AV$87:AV$101)</f>
        <v>3</v>
      </c>
      <c r="AX87" s="612">
        <f>AVERAGE(AV87:AV101)</f>
        <v>117.77658561988139</v>
      </c>
    </row>
    <row r="88" spans="2:50" ht="14.25" customHeight="1">
      <c r="B88" s="611"/>
      <c r="C88" s="179">
        <v>2</v>
      </c>
      <c r="D88" s="182" t="s">
        <v>354</v>
      </c>
      <c r="E88" s="179">
        <v>13</v>
      </c>
      <c r="F88" s="179">
        <v>1200</v>
      </c>
      <c r="G88" s="184">
        <f t="shared" si="65"/>
        <v>92.307692307692307</v>
      </c>
      <c r="H88" s="612"/>
      <c r="I88" s="185">
        <f t="shared" ref="I88:K91" si="67">AVERAGE(P88,U88,Z88,AE88,AJ88,AO88,AT88)</f>
        <v>13</v>
      </c>
      <c r="J88" s="185">
        <f t="shared" si="67"/>
        <v>1083.2587167482773</v>
      </c>
      <c r="K88" s="186">
        <f t="shared" si="67"/>
        <v>83.32759359602133</v>
      </c>
      <c r="L88" s="613"/>
      <c r="M88" s="185">
        <f>RANK(K88, K$87:$K$101)</f>
        <v>4</v>
      </c>
      <c r="N88" s="611"/>
      <c r="O88" s="611"/>
      <c r="P88" s="187">
        <v>13</v>
      </c>
      <c r="Q88" s="187">
        <v>1083.0872881768487</v>
      </c>
      <c r="R88" s="184">
        <f t="shared" ref="R88:R91" si="68">IFERROR(Q88/P88,"")</f>
        <v>83.31440678283451</v>
      </c>
      <c r="S88" s="181">
        <f t="shared" ref="S88:S91" si="69">RANK(R88, R$87:R$101)</f>
        <v>4</v>
      </c>
      <c r="T88" s="612"/>
      <c r="U88" s="187">
        <v>13</v>
      </c>
      <c r="V88" s="187">
        <v>1083.5672881768487</v>
      </c>
      <c r="W88" s="184">
        <f t="shared" si="66"/>
        <v>83.351329859757598</v>
      </c>
      <c r="X88" s="181">
        <f t="shared" ref="X88:X91" si="70">RANK(W88, W$87:W$101)</f>
        <v>4</v>
      </c>
      <c r="Y88" s="612"/>
      <c r="Z88" s="187">
        <v>13</v>
      </c>
      <c r="AA88" s="187">
        <v>1083.2072881768488</v>
      </c>
      <c r="AB88" s="184">
        <f t="shared" ref="AB88:AB91" si="71">IFERROR(AA88/Z88,"")</f>
        <v>83.323637552065293</v>
      </c>
      <c r="AC88" s="181">
        <f t="shared" ref="AC88:AC91" si="72">RANK(AB88, AB$87:AB$101)</f>
        <v>4</v>
      </c>
      <c r="AD88" s="612"/>
      <c r="AE88" s="187">
        <v>13</v>
      </c>
      <c r="AF88" s="187">
        <v>1083.5672881768487</v>
      </c>
      <c r="AG88" s="184">
        <f t="shared" ref="AG88:AG91" si="73">IFERROR(AF88/AE88,"")</f>
        <v>83.351329859757598</v>
      </c>
      <c r="AH88" s="181">
        <f t="shared" ref="AH88:AH91" si="74">RANK(AG88, AG$87:AG$101)</f>
        <v>4</v>
      </c>
      <c r="AI88" s="612"/>
      <c r="AJ88" s="187">
        <v>13</v>
      </c>
      <c r="AK88" s="187">
        <v>1083.0872881768487</v>
      </c>
      <c r="AL88" s="184">
        <f t="shared" ref="AL88:AL91" si="75">IFERROR(AK88/AJ88,"")</f>
        <v>83.31440678283451</v>
      </c>
      <c r="AM88" s="181">
        <f t="shared" ref="AM88:AM91" si="76">RANK(AL88, AL$87:AL$101)</f>
        <v>4</v>
      </c>
      <c r="AN88" s="612"/>
      <c r="AO88" s="187">
        <v>13</v>
      </c>
      <c r="AP88" s="187">
        <v>1083.3272881768489</v>
      </c>
      <c r="AQ88" s="184">
        <f t="shared" ref="AQ88:AQ91" si="77">IFERROR(AP88/AO88,"")</f>
        <v>83.332868321296075</v>
      </c>
      <c r="AR88" s="181">
        <f t="shared" ref="AR88:AR91" si="78">RANK(AQ88, AQ$87:AQ$101)</f>
        <v>4</v>
      </c>
      <c r="AS88" s="612"/>
      <c r="AT88" s="187">
        <v>13</v>
      </c>
      <c r="AU88" s="187">
        <v>1082.967288176849</v>
      </c>
      <c r="AV88" s="184">
        <f t="shared" ref="AV88:AV91" si="79">IFERROR(AU88/AT88,"")</f>
        <v>83.30517601360377</v>
      </c>
      <c r="AW88" s="181">
        <f t="shared" ref="AW88:AW91" si="80">RANK(AV88, AV$87:AV$101)</f>
        <v>4</v>
      </c>
      <c r="AX88" s="612"/>
    </row>
    <row r="89" spans="2:50" ht="14.25" customHeight="1">
      <c r="B89" s="611"/>
      <c r="C89" s="179">
        <v>3</v>
      </c>
      <c r="D89" s="182" t="s">
        <v>615</v>
      </c>
      <c r="E89" s="179">
        <v>11</v>
      </c>
      <c r="F89" s="179">
        <v>2000</v>
      </c>
      <c r="G89" s="184">
        <f t="shared" si="65"/>
        <v>181.81818181818181</v>
      </c>
      <c r="H89" s="612"/>
      <c r="I89" s="185">
        <f t="shared" si="67"/>
        <v>11</v>
      </c>
      <c r="J89" s="185">
        <f t="shared" si="67"/>
        <v>1807.6010354301091</v>
      </c>
      <c r="K89" s="186">
        <f t="shared" si="67"/>
        <v>164.32736685728267</v>
      </c>
      <c r="L89" s="613"/>
      <c r="M89" s="185">
        <f>RANK(K89, K$87:$K$101)</f>
        <v>2</v>
      </c>
      <c r="N89" s="611"/>
      <c r="O89" s="611"/>
      <c r="P89" s="187">
        <v>11</v>
      </c>
      <c r="Q89" s="187">
        <v>1807.7724640015379</v>
      </c>
      <c r="R89" s="184">
        <f t="shared" si="68"/>
        <v>164.34295127286708</v>
      </c>
      <c r="S89" s="181">
        <f t="shared" si="69"/>
        <v>2</v>
      </c>
      <c r="T89" s="612"/>
      <c r="U89" s="187">
        <v>11</v>
      </c>
      <c r="V89" s="187">
        <v>1807.5724640015378</v>
      </c>
      <c r="W89" s="184">
        <f t="shared" si="66"/>
        <v>164.32476945468525</v>
      </c>
      <c r="X89" s="181">
        <f t="shared" si="70"/>
        <v>2</v>
      </c>
      <c r="Y89" s="612"/>
      <c r="Z89" s="187">
        <v>11</v>
      </c>
      <c r="AA89" s="187">
        <v>1807.3724640015378</v>
      </c>
      <c r="AB89" s="184">
        <f t="shared" si="71"/>
        <v>164.30658763650342</v>
      </c>
      <c r="AC89" s="181">
        <f t="shared" si="72"/>
        <v>2</v>
      </c>
      <c r="AD89" s="612"/>
      <c r="AE89" s="187">
        <v>11</v>
      </c>
      <c r="AF89" s="187">
        <v>1807.9724640015377</v>
      </c>
      <c r="AG89" s="184">
        <f t="shared" si="73"/>
        <v>164.36113309104888</v>
      </c>
      <c r="AH89" s="181">
        <f t="shared" si="74"/>
        <v>2</v>
      </c>
      <c r="AI89" s="612"/>
      <c r="AJ89" s="187">
        <v>11</v>
      </c>
      <c r="AK89" s="187">
        <v>1807.5724640015378</v>
      </c>
      <c r="AL89" s="184">
        <f t="shared" si="75"/>
        <v>164.32476945468525</v>
      </c>
      <c r="AM89" s="181">
        <f t="shared" si="76"/>
        <v>2</v>
      </c>
      <c r="AN89" s="612"/>
      <c r="AO89" s="187">
        <v>11</v>
      </c>
      <c r="AP89" s="187">
        <v>1806.9724640015379</v>
      </c>
      <c r="AQ89" s="184">
        <f t="shared" si="77"/>
        <v>164.27022400013982</v>
      </c>
      <c r="AR89" s="181">
        <f t="shared" si="78"/>
        <v>2</v>
      </c>
      <c r="AS89" s="612"/>
      <c r="AT89" s="187">
        <v>11</v>
      </c>
      <c r="AU89" s="187">
        <v>1807.9724640015379</v>
      </c>
      <c r="AV89" s="184">
        <f t="shared" si="79"/>
        <v>164.36113309104891</v>
      </c>
      <c r="AW89" s="181">
        <f t="shared" si="80"/>
        <v>2</v>
      </c>
      <c r="AX89" s="612"/>
    </row>
    <row r="90" spans="2:50" ht="14.25" customHeight="1">
      <c r="B90" s="611"/>
      <c r="C90" s="179">
        <v>4</v>
      </c>
      <c r="D90" s="182" t="s">
        <v>616</v>
      </c>
      <c r="E90" s="179">
        <v>22</v>
      </c>
      <c r="F90" s="179">
        <v>2000</v>
      </c>
      <c r="G90" s="184">
        <f t="shared" si="65"/>
        <v>90.909090909090907</v>
      </c>
      <c r="H90" s="612"/>
      <c r="I90" s="185">
        <f t="shared" si="67"/>
        <v>22</v>
      </c>
      <c r="J90" s="185">
        <f t="shared" si="67"/>
        <v>1800.827514282724</v>
      </c>
      <c r="K90" s="186">
        <f t="shared" si="67"/>
        <v>81.855796103760184</v>
      </c>
      <c r="L90" s="613"/>
      <c r="M90" s="185">
        <f>RANK(K90, K$87:$K$101)</f>
        <v>5</v>
      </c>
      <c r="N90" s="611"/>
      <c r="O90" s="611"/>
      <c r="P90" s="187">
        <v>22</v>
      </c>
      <c r="Q90" s="187">
        <v>1800.2275142827236</v>
      </c>
      <c r="R90" s="184">
        <f t="shared" si="68"/>
        <v>81.828523376487439</v>
      </c>
      <c r="S90" s="181">
        <f t="shared" si="69"/>
        <v>5</v>
      </c>
      <c r="T90" s="612"/>
      <c r="U90" s="187">
        <v>22</v>
      </c>
      <c r="V90" s="187">
        <v>1800.0275142827238</v>
      </c>
      <c r="W90" s="184">
        <f t="shared" si="66"/>
        <v>81.819432467396538</v>
      </c>
      <c r="X90" s="181">
        <f t="shared" si="70"/>
        <v>5</v>
      </c>
      <c r="Y90" s="612"/>
      <c r="Z90" s="187">
        <v>22</v>
      </c>
      <c r="AA90" s="187">
        <v>1799.8275142827238</v>
      </c>
      <c r="AB90" s="184">
        <f t="shared" si="71"/>
        <v>81.810341558305623</v>
      </c>
      <c r="AC90" s="181">
        <f t="shared" si="72"/>
        <v>5</v>
      </c>
      <c r="AD90" s="612"/>
      <c r="AE90" s="187">
        <v>22</v>
      </c>
      <c r="AF90" s="187">
        <v>1800.8275142827238</v>
      </c>
      <c r="AG90" s="184">
        <f t="shared" si="73"/>
        <v>81.85579610376017</v>
      </c>
      <c r="AH90" s="181">
        <f t="shared" si="74"/>
        <v>5</v>
      </c>
      <c r="AI90" s="612"/>
      <c r="AJ90" s="187">
        <v>22</v>
      </c>
      <c r="AK90" s="187">
        <v>1801.4275142827237</v>
      </c>
      <c r="AL90" s="184">
        <f t="shared" si="75"/>
        <v>81.883068831032901</v>
      </c>
      <c r="AM90" s="181">
        <f t="shared" si="76"/>
        <v>5</v>
      </c>
      <c r="AN90" s="612"/>
      <c r="AO90" s="187">
        <v>22</v>
      </c>
      <c r="AP90" s="187">
        <v>1801.2275142827239</v>
      </c>
      <c r="AQ90" s="184">
        <f t="shared" si="77"/>
        <v>81.873977921942</v>
      </c>
      <c r="AR90" s="181">
        <f t="shared" si="78"/>
        <v>5</v>
      </c>
      <c r="AS90" s="612"/>
      <c r="AT90" s="187">
        <v>22</v>
      </c>
      <c r="AU90" s="187">
        <v>1802.2275142827241</v>
      </c>
      <c r="AV90" s="184">
        <f t="shared" si="79"/>
        <v>81.919432467396547</v>
      </c>
      <c r="AW90" s="181">
        <f t="shared" si="80"/>
        <v>5</v>
      </c>
      <c r="AX90" s="612"/>
    </row>
    <row r="91" spans="2:50" ht="14.25" customHeight="1">
      <c r="B91" s="611"/>
      <c r="C91" s="179">
        <v>5</v>
      </c>
      <c r="D91" s="182" t="s">
        <v>617</v>
      </c>
      <c r="E91" s="179">
        <v>11</v>
      </c>
      <c r="F91" s="179">
        <v>2000</v>
      </c>
      <c r="G91" s="184">
        <f t="shared" si="65"/>
        <v>181.81818181818181</v>
      </c>
      <c r="H91" s="612"/>
      <c r="I91" s="185">
        <f t="shared" si="67"/>
        <v>11</v>
      </c>
      <c r="J91" s="185">
        <f t="shared" si="67"/>
        <v>1808.6422812068051</v>
      </c>
      <c r="K91" s="186">
        <f t="shared" si="67"/>
        <v>164.42202556425499</v>
      </c>
      <c r="L91" s="613"/>
      <c r="M91" s="185">
        <f>RANK(K91, K$87:$K$101)</f>
        <v>1</v>
      </c>
      <c r="N91" s="611"/>
      <c r="O91" s="611"/>
      <c r="P91" s="187">
        <v>11</v>
      </c>
      <c r="Q91" s="187">
        <v>1807.9279954925189</v>
      </c>
      <c r="R91" s="184">
        <f t="shared" si="68"/>
        <v>164.3570904993199</v>
      </c>
      <c r="S91" s="181">
        <f t="shared" si="69"/>
        <v>1</v>
      </c>
      <c r="T91" s="612"/>
      <c r="U91" s="187">
        <v>11</v>
      </c>
      <c r="V91" s="187">
        <v>1808.5279954925188</v>
      </c>
      <c r="W91" s="184">
        <f t="shared" si="66"/>
        <v>164.41163595386536</v>
      </c>
      <c r="X91" s="181">
        <f t="shared" si="70"/>
        <v>1</v>
      </c>
      <c r="Y91" s="612"/>
      <c r="Z91" s="187">
        <v>11</v>
      </c>
      <c r="AA91" s="187">
        <v>1808.5279954925188</v>
      </c>
      <c r="AB91" s="184">
        <f t="shared" si="71"/>
        <v>164.41163595386536</v>
      </c>
      <c r="AC91" s="181">
        <f t="shared" si="72"/>
        <v>1</v>
      </c>
      <c r="AD91" s="612"/>
      <c r="AE91" s="187">
        <v>11</v>
      </c>
      <c r="AF91" s="187">
        <v>1809.1279954925192</v>
      </c>
      <c r="AG91" s="184">
        <f t="shared" si="73"/>
        <v>164.46618140841085</v>
      </c>
      <c r="AH91" s="181">
        <f t="shared" si="74"/>
        <v>1</v>
      </c>
      <c r="AI91" s="612"/>
      <c r="AJ91" s="187">
        <v>11</v>
      </c>
      <c r="AK91" s="187">
        <v>1809.3279954925194</v>
      </c>
      <c r="AL91" s="184">
        <f t="shared" si="75"/>
        <v>164.48436322659268</v>
      </c>
      <c r="AM91" s="181">
        <f t="shared" si="76"/>
        <v>1</v>
      </c>
      <c r="AN91" s="612"/>
      <c r="AO91" s="187">
        <v>11</v>
      </c>
      <c r="AP91" s="187">
        <v>1808.7279954925195</v>
      </c>
      <c r="AQ91" s="184">
        <f t="shared" si="77"/>
        <v>164.42981777204724</v>
      </c>
      <c r="AR91" s="181">
        <f t="shared" si="78"/>
        <v>1</v>
      </c>
      <c r="AS91" s="612"/>
      <c r="AT91" s="187">
        <v>11</v>
      </c>
      <c r="AU91" s="187">
        <v>1808.3279954925199</v>
      </c>
      <c r="AV91" s="184">
        <f t="shared" si="79"/>
        <v>164.39345413568364</v>
      </c>
      <c r="AW91" s="181">
        <f t="shared" si="80"/>
        <v>1</v>
      </c>
      <c r="AX91" s="612"/>
    </row>
    <row r="92" spans="2:50" ht="14.25" customHeight="1">
      <c r="B92" s="611"/>
      <c r="C92" s="179">
        <v>6</v>
      </c>
      <c r="D92" s="182"/>
      <c r="E92" s="179"/>
      <c r="F92" s="179"/>
      <c r="G92" s="184"/>
      <c r="H92" s="612"/>
      <c r="I92" s="185"/>
      <c r="J92" s="185"/>
      <c r="K92" s="186"/>
      <c r="L92" s="613"/>
      <c r="M92" s="185"/>
      <c r="N92" s="611"/>
      <c r="O92" s="611"/>
      <c r="P92" s="187"/>
      <c r="Q92" s="187"/>
      <c r="R92" s="184"/>
      <c r="S92" s="181"/>
      <c r="T92" s="612"/>
      <c r="U92" s="187"/>
      <c r="V92" s="187"/>
      <c r="W92" s="184"/>
      <c r="X92" s="181"/>
      <c r="Y92" s="612"/>
      <c r="Z92" s="187"/>
      <c r="AA92" s="187"/>
      <c r="AB92" s="184"/>
      <c r="AC92" s="181"/>
      <c r="AD92" s="612"/>
      <c r="AE92" s="187"/>
      <c r="AF92" s="187"/>
      <c r="AG92" s="184"/>
      <c r="AH92" s="181"/>
      <c r="AI92" s="612"/>
      <c r="AJ92" s="187"/>
      <c r="AK92" s="187"/>
      <c r="AL92" s="184"/>
      <c r="AM92" s="181"/>
      <c r="AN92" s="612"/>
      <c r="AO92" s="187"/>
      <c r="AP92" s="187"/>
      <c r="AQ92" s="184"/>
      <c r="AR92" s="181"/>
      <c r="AS92" s="612"/>
      <c r="AT92" s="187"/>
      <c r="AU92" s="187"/>
      <c r="AV92" s="184"/>
      <c r="AW92" s="181"/>
      <c r="AX92" s="612"/>
    </row>
    <row r="93" spans="2:50" ht="14.25" customHeight="1">
      <c r="B93" s="611"/>
      <c r="C93" s="179">
        <v>7</v>
      </c>
      <c r="D93" s="182"/>
      <c r="E93" s="179"/>
      <c r="F93" s="179"/>
      <c r="G93" s="184"/>
      <c r="H93" s="612"/>
      <c r="I93" s="185"/>
      <c r="J93" s="185"/>
      <c r="K93" s="186"/>
      <c r="L93" s="613"/>
      <c r="M93" s="185"/>
      <c r="N93" s="611"/>
      <c r="O93" s="611"/>
      <c r="P93" s="187"/>
      <c r="Q93" s="187"/>
      <c r="R93" s="184"/>
      <c r="S93" s="181"/>
      <c r="T93" s="612"/>
      <c r="U93" s="187"/>
      <c r="V93" s="187"/>
      <c r="W93" s="184"/>
      <c r="X93" s="181"/>
      <c r="Y93" s="612"/>
      <c r="Z93" s="187"/>
      <c r="AA93" s="187"/>
      <c r="AB93" s="184"/>
      <c r="AC93" s="181"/>
      <c r="AD93" s="612"/>
      <c r="AE93" s="187"/>
      <c r="AF93" s="187"/>
      <c r="AG93" s="184"/>
      <c r="AH93" s="181"/>
      <c r="AI93" s="612"/>
      <c r="AJ93" s="187"/>
      <c r="AK93" s="187"/>
      <c r="AL93" s="184"/>
      <c r="AM93" s="181"/>
      <c r="AN93" s="612"/>
      <c r="AO93" s="187"/>
      <c r="AP93" s="187"/>
      <c r="AQ93" s="184"/>
      <c r="AR93" s="181"/>
      <c r="AS93" s="612"/>
      <c r="AT93" s="187"/>
      <c r="AU93" s="187"/>
      <c r="AV93" s="184"/>
      <c r="AW93" s="181"/>
      <c r="AX93" s="612"/>
    </row>
    <row r="94" spans="2:50" ht="14.25" customHeight="1">
      <c r="B94" s="611"/>
      <c r="C94" s="179">
        <v>8</v>
      </c>
      <c r="D94" s="182"/>
      <c r="E94" s="179"/>
      <c r="F94" s="179"/>
      <c r="G94" s="184"/>
      <c r="H94" s="612"/>
      <c r="I94" s="185"/>
      <c r="J94" s="185"/>
      <c r="K94" s="186"/>
      <c r="L94" s="613"/>
      <c r="M94" s="185"/>
      <c r="N94" s="611"/>
      <c r="O94" s="611"/>
      <c r="P94" s="187"/>
      <c r="Q94" s="187"/>
      <c r="R94" s="184"/>
      <c r="S94" s="181"/>
      <c r="T94" s="612"/>
      <c r="U94" s="187"/>
      <c r="V94" s="187"/>
      <c r="W94" s="184"/>
      <c r="X94" s="181"/>
      <c r="Y94" s="612"/>
      <c r="Z94" s="187"/>
      <c r="AA94" s="187"/>
      <c r="AB94" s="184"/>
      <c r="AC94" s="181"/>
      <c r="AD94" s="612"/>
      <c r="AE94" s="187"/>
      <c r="AF94" s="187"/>
      <c r="AG94" s="184"/>
      <c r="AH94" s="181"/>
      <c r="AI94" s="612"/>
      <c r="AJ94" s="187"/>
      <c r="AK94" s="187"/>
      <c r="AL94" s="184"/>
      <c r="AM94" s="181"/>
      <c r="AN94" s="612"/>
      <c r="AO94" s="187"/>
      <c r="AP94" s="187"/>
      <c r="AQ94" s="184"/>
      <c r="AR94" s="181"/>
      <c r="AS94" s="612"/>
      <c r="AT94" s="187"/>
      <c r="AU94" s="187"/>
      <c r="AV94" s="184"/>
      <c r="AW94" s="181"/>
      <c r="AX94" s="612"/>
    </row>
    <row r="95" spans="2:50" ht="14.25" customHeight="1">
      <c r="B95" s="611"/>
      <c r="C95" s="179">
        <v>9</v>
      </c>
      <c r="D95" s="182"/>
      <c r="E95" s="179"/>
      <c r="F95" s="179"/>
      <c r="G95" s="184"/>
      <c r="H95" s="612"/>
      <c r="I95" s="185"/>
      <c r="J95" s="185"/>
      <c r="K95" s="186"/>
      <c r="L95" s="613"/>
      <c r="M95" s="185"/>
      <c r="N95" s="611"/>
      <c r="O95" s="611"/>
      <c r="P95" s="187"/>
      <c r="Q95" s="187"/>
      <c r="R95" s="184"/>
      <c r="S95" s="181"/>
      <c r="T95" s="612"/>
      <c r="U95" s="187"/>
      <c r="V95" s="187"/>
      <c r="W95" s="184"/>
      <c r="X95" s="181"/>
      <c r="Y95" s="612"/>
      <c r="Z95" s="187"/>
      <c r="AA95" s="187"/>
      <c r="AB95" s="184"/>
      <c r="AC95" s="181"/>
      <c r="AD95" s="612"/>
      <c r="AE95" s="187"/>
      <c r="AF95" s="187"/>
      <c r="AG95" s="184"/>
      <c r="AH95" s="181"/>
      <c r="AI95" s="612"/>
      <c r="AJ95" s="187"/>
      <c r="AK95" s="187"/>
      <c r="AL95" s="184"/>
      <c r="AM95" s="181"/>
      <c r="AN95" s="612"/>
      <c r="AO95" s="187"/>
      <c r="AP95" s="187"/>
      <c r="AQ95" s="184"/>
      <c r="AR95" s="181"/>
      <c r="AS95" s="612"/>
      <c r="AT95" s="187"/>
      <c r="AU95" s="187"/>
      <c r="AV95" s="184"/>
      <c r="AW95" s="181"/>
      <c r="AX95" s="612"/>
    </row>
    <row r="96" spans="2:50" ht="14.25" customHeight="1">
      <c r="B96" s="611"/>
      <c r="C96" s="179">
        <v>10</v>
      </c>
      <c r="D96" s="182"/>
      <c r="E96" s="179"/>
      <c r="F96" s="179"/>
      <c r="G96" s="184"/>
      <c r="H96" s="612"/>
      <c r="I96" s="185"/>
      <c r="J96" s="185"/>
      <c r="K96" s="186"/>
      <c r="L96" s="613"/>
      <c r="M96" s="185"/>
      <c r="N96" s="611"/>
      <c r="O96" s="611"/>
      <c r="P96" s="187"/>
      <c r="Q96" s="187"/>
      <c r="R96" s="184"/>
      <c r="S96" s="181"/>
      <c r="T96" s="612"/>
      <c r="U96" s="187"/>
      <c r="V96" s="187"/>
      <c r="W96" s="184"/>
      <c r="X96" s="181"/>
      <c r="Y96" s="612"/>
      <c r="Z96" s="187"/>
      <c r="AA96" s="187"/>
      <c r="AB96" s="184"/>
      <c r="AC96" s="181"/>
      <c r="AD96" s="612"/>
      <c r="AE96" s="187"/>
      <c r="AF96" s="187"/>
      <c r="AG96" s="184"/>
      <c r="AH96" s="181"/>
      <c r="AI96" s="612"/>
      <c r="AJ96" s="187"/>
      <c r="AK96" s="187"/>
      <c r="AL96" s="184"/>
      <c r="AM96" s="181"/>
      <c r="AN96" s="612"/>
      <c r="AO96" s="187"/>
      <c r="AP96" s="187"/>
      <c r="AQ96" s="184"/>
      <c r="AR96" s="181"/>
      <c r="AS96" s="612"/>
      <c r="AT96" s="187"/>
      <c r="AU96" s="187"/>
      <c r="AV96" s="184"/>
      <c r="AW96" s="181"/>
      <c r="AX96" s="612"/>
    </row>
    <row r="97" spans="2:50" ht="14.25" customHeight="1">
      <c r="B97" s="611"/>
      <c r="C97" s="179">
        <v>11</v>
      </c>
      <c r="D97" s="182"/>
      <c r="E97" s="179"/>
      <c r="F97" s="179"/>
      <c r="G97" s="184"/>
      <c r="H97" s="612"/>
      <c r="I97" s="185"/>
      <c r="J97" s="185"/>
      <c r="K97" s="186"/>
      <c r="L97" s="613"/>
      <c r="M97" s="185"/>
      <c r="N97" s="611"/>
      <c r="O97" s="611"/>
      <c r="P97" s="187"/>
      <c r="Q97" s="187"/>
      <c r="R97" s="184"/>
      <c r="S97" s="181"/>
      <c r="T97" s="612"/>
      <c r="U97" s="187"/>
      <c r="V97" s="187"/>
      <c r="W97" s="184"/>
      <c r="X97" s="181"/>
      <c r="Y97" s="612"/>
      <c r="Z97" s="187"/>
      <c r="AA97" s="187"/>
      <c r="AB97" s="184"/>
      <c r="AC97" s="181"/>
      <c r="AD97" s="612"/>
      <c r="AE97" s="187"/>
      <c r="AF97" s="187"/>
      <c r="AG97" s="184"/>
      <c r="AH97" s="181"/>
      <c r="AI97" s="612"/>
      <c r="AJ97" s="187"/>
      <c r="AK97" s="187"/>
      <c r="AL97" s="184"/>
      <c r="AM97" s="181"/>
      <c r="AN97" s="612"/>
      <c r="AO97" s="187"/>
      <c r="AP97" s="187"/>
      <c r="AQ97" s="184"/>
      <c r="AR97" s="181"/>
      <c r="AS97" s="612"/>
      <c r="AT97" s="187"/>
      <c r="AU97" s="187"/>
      <c r="AV97" s="184"/>
      <c r="AW97" s="181"/>
      <c r="AX97" s="612"/>
    </row>
    <row r="98" spans="2:50" ht="14.25" customHeight="1">
      <c r="B98" s="611"/>
      <c r="C98" s="179">
        <v>12</v>
      </c>
      <c r="D98" s="182"/>
      <c r="E98" s="179"/>
      <c r="F98" s="179"/>
      <c r="G98" s="184"/>
      <c r="H98" s="612"/>
      <c r="I98" s="185"/>
      <c r="J98" s="185"/>
      <c r="K98" s="186"/>
      <c r="L98" s="613"/>
      <c r="M98" s="185"/>
      <c r="N98" s="611"/>
      <c r="O98" s="611"/>
      <c r="P98" s="187"/>
      <c r="Q98" s="187"/>
      <c r="R98" s="184"/>
      <c r="S98" s="181"/>
      <c r="T98" s="612"/>
      <c r="U98" s="187"/>
      <c r="V98" s="187"/>
      <c r="W98" s="184"/>
      <c r="X98" s="181"/>
      <c r="Y98" s="612"/>
      <c r="Z98" s="187"/>
      <c r="AA98" s="187"/>
      <c r="AB98" s="184"/>
      <c r="AC98" s="181"/>
      <c r="AD98" s="612"/>
      <c r="AE98" s="187"/>
      <c r="AF98" s="187"/>
      <c r="AG98" s="184"/>
      <c r="AH98" s="181"/>
      <c r="AI98" s="612"/>
      <c r="AJ98" s="187"/>
      <c r="AK98" s="187"/>
      <c r="AL98" s="184"/>
      <c r="AM98" s="181"/>
      <c r="AN98" s="612"/>
      <c r="AO98" s="187"/>
      <c r="AP98" s="187"/>
      <c r="AQ98" s="184"/>
      <c r="AR98" s="181"/>
      <c r="AS98" s="612"/>
      <c r="AT98" s="187"/>
      <c r="AU98" s="187"/>
      <c r="AV98" s="184"/>
      <c r="AW98" s="181"/>
      <c r="AX98" s="612"/>
    </row>
    <row r="99" spans="2:50" ht="14.25" customHeight="1">
      <c r="B99" s="611"/>
      <c r="C99" s="179">
        <v>13</v>
      </c>
      <c r="D99" s="182"/>
      <c r="E99" s="179"/>
      <c r="F99" s="179"/>
      <c r="G99" s="184"/>
      <c r="H99" s="612"/>
      <c r="I99" s="185"/>
      <c r="J99" s="185"/>
      <c r="K99" s="186"/>
      <c r="L99" s="613"/>
      <c r="M99" s="185"/>
      <c r="N99" s="611"/>
      <c r="O99" s="611"/>
      <c r="P99" s="187"/>
      <c r="Q99" s="187"/>
      <c r="R99" s="184"/>
      <c r="S99" s="181"/>
      <c r="T99" s="612"/>
      <c r="U99" s="187"/>
      <c r="V99" s="187"/>
      <c r="W99" s="184"/>
      <c r="X99" s="181"/>
      <c r="Y99" s="612"/>
      <c r="Z99" s="187"/>
      <c r="AA99" s="187"/>
      <c r="AB99" s="184"/>
      <c r="AC99" s="181"/>
      <c r="AD99" s="612"/>
      <c r="AE99" s="187"/>
      <c r="AF99" s="187"/>
      <c r="AG99" s="184"/>
      <c r="AH99" s="181"/>
      <c r="AI99" s="612"/>
      <c r="AJ99" s="187"/>
      <c r="AK99" s="187"/>
      <c r="AL99" s="184"/>
      <c r="AM99" s="181"/>
      <c r="AN99" s="612"/>
      <c r="AO99" s="187"/>
      <c r="AP99" s="187"/>
      <c r="AQ99" s="184"/>
      <c r="AR99" s="181"/>
      <c r="AS99" s="612"/>
      <c r="AT99" s="187"/>
      <c r="AU99" s="187"/>
      <c r="AV99" s="184"/>
      <c r="AW99" s="181"/>
      <c r="AX99" s="612"/>
    </row>
    <row r="100" spans="2:50" ht="14.25" customHeight="1">
      <c r="B100" s="611"/>
      <c r="C100" s="179">
        <v>14</v>
      </c>
      <c r="D100" s="182"/>
      <c r="E100" s="179"/>
      <c r="F100" s="179"/>
      <c r="G100" s="184"/>
      <c r="H100" s="612"/>
      <c r="I100" s="185"/>
      <c r="J100" s="185"/>
      <c r="K100" s="186"/>
      <c r="L100" s="613"/>
      <c r="M100" s="185"/>
      <c r="N100" s="611"/>
      <c r="O100" s="611"/>
      <c r="P100" s="187"/>
      <c r="Q100" s="187"/>
      <c r="R100" s="184"/>
      <c r="S100" s="181"/>
      <c r="T100" s="612"/>
      <c r="U100" s="187"/>
      <c r="V100" s="187"/>
      <c r="W100" s="184"/>
      <c r="X100" s="181"/>
      <c r="Y100" s="612"/>
      <c r="Z100" s="187"/>
      <c r="AA100" s="187"/>
      <c r="AB100" s="184"/>
      <c r="AC100" s="181"/>
      <c r="AD100" s="612"/>
      <c r="AE100" s="187"/>
      <c r="AF100" s="187"/>
      <c r="AG100" s="184"/>
      <c r="AH100" s="181"/>
      <c r="AI100" s="612"/>
      <c r="AJ100" s="187"/>
      <c r="AK100" s="187"/>
      <c r="AL100" s="184"/>
      <c r="AM100" s="181"/>
      <c r="AN100" s="612"/>
      <c r="AO100" s="187"/>
      <c r="AP100" s="187"/>
      <c r="AQ100" s="184"/>
      <c r="AR100" s="181"/>
      <c r="AS100" s="612"/>
      <c r="AT100" s="187"/>
      <c r="AU100" s="187"/>
      <c r="AV100" s="184"/>
      <c r="AW100" s="181"/>
      <c r="AX100" s="612"/>
    </row>
    <row r="101" spans="2:50" ht="14.25" customHeight="1">
      <c r="B101" s="611"/>
      <c r="C101" s="179">
        <v>15</v>
      </c>
      <c r="D101" s="182"/>
      <c r="E101" s="179"/>
      <c r="F101" s="179"/>
      <c r="G101" s="184"/>
      <c r="H101" s="612"/>
      <c r="I101" s="185"/>
      <c r="J101" s="185"/>
      <c r="K101" s="186"/>
      <c r="L101" s="613"/>
      <c r="M101" s="185"/>
      <c r="N101" s="611"/>
      <c r="O101" s="611"/>
      <c r="P101" s="187"/>
      <c r="Q101" s="187"/>
      <c r="R101" s="184"/>
      <c r="S101" s="181"/>
      <c r="T101" s="612"/>
      <c r="U101" s="187"/>
      <c r="V101" s="187"/>
      <c r="W101" s="184"/>
      <c r="X101" s="181"/>
      <c r="Y101" s="612"/>
      <c r="Z101" s="187"/>
      <c r="AA101" s="187"/>
      <c r="AB101" s="184"/>
      <c r="AC101" s="181"/>
      <c r="AD101" s="612"/>
      <c r="AE101" s="187"/>
      <c r="AF101" s="187"/>
      <c r="AG101" s="184"/>
      <c r="AH101" s="181"/>
      <c r="AI101" s="612"/>
      <c r="AJ101" s="187"/>
      <c r="AK101" s="187"/>
      <c r="AL101" s="184"/>
      <c r="AM101" s="181"/>
      <c r="AN101" s="612"/>
      <c r="AO101" s="187"/>
      <c r="AP101" s="187"/>
      <c r="AQ101" s="184"/>
      <c r="AR101" s="181"/>
      <c r="AS101" s="612"/>
      <c r="AT101" s="187"/>
      <c r="AU101" s="187"/>
      <c r="AV101" s="184"/>
      <c r="AW101" s="181"/>
      <c r="AX101" s="612"/>
    </row>
  </sheetData>
  <mergeCells count="295"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AE45:AH45"/>
    <mergeCell ref="AJ45:AM45"/>
    <mergeCell ref="AO45:AR45"/>
    <mergeCell ref="AT45:AW45"/>
    <mergeCell ref="M44:M46"/>
    <mergeCell ref="N44:N61"/>
    <mergeCell ref="O44:O61"/>
    <mergeCell ref="P44:S44"/>
    <mergeCell ref="T44:T46"/>
    <mergeCell ref="U44:X44"/>
    <mergeCell ref="Y44:Y46"/>
    <mergeCell ref="AX47:AX61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I44:K44"/>
    <mergeCell ref="L44:L46"/>
    <mergeCell ref="Z44:AC44"/>
    <mergeCell ref="AD44:AD46"/>
    <mergeCell ref="Z45:AC45"/>
    <mergeCell ref="B42:M43"/>
    <mergeCell ref="N42:N43"/>
    <mergeCell ref="O42:O43"/>
    <mergeCell ref="P42:T42"/>
    <mergeCell ref="U42:Y42"/>
    <mergeCell ref="Z42:AD42"/>
    <mergeCell ref="B44:B46"/>
    <mergeCell ref="C44:D46"/>
    <mergeCell ref="E44:G44"/>
    <mergeCell ref="H44:H46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>
    <tabColor rgb="FF92D050"/>
    <outlinePr summaryBelow="0" summaryRight="0"/>
  </sheetPr>
  <dimension ref="A1:R158"/>
  <sheetViews>
    <sheetView view="pageBreakPreview" topLeftCell="A90" zoomScaleNormal="60" zoomScaleSheetLayoutView="100" workbookViewId="0">
      <selection activeCell="M133" sqref="A133:XFD134"/>
    </sheetView>
  </sheetViews>
  <sheetFormatPr defaultColWidth="12.5703125" defaultRowHeight="15.75" customHeight="1"/>
  <cols>
    <col min="1" max="1" width="6.42578125" style="188" customWidth="1"/>
    <col min="2" max="10" width="11.5703125" style="188" customWidth="1"/>
    <col min="11" max="11" width="12.85546875" style="188" customWidth="1"/>
    <col min="12" max="12" width="41.85546875" style="188" customWidth="1"/>
    <col min="13" max="13" width="12.5703125" style="189"/>
    <col min="14" max="16384" width="12.5703125" style="188"/>
  </cols>
  <sheetData>
    <row r="1" spans="1:18" ht="15.75" customHeight="1">
      <c r="A1" s="547" t="s">
        <v>372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188"/>
    </row>
    <row r="2" spans="1:18" s="189" customFormat="1" ht="15.75" customHeight="1">
      <c r="A2" s="547"/>
      <c r="B2" s="547"/>
      <c r="C2" s="547"/>
      <c r="D2" s="547"/>
      <c r="E2" s="547"/>
      <c r="F2" s="547"/>
      <c r="G2" s="547"/>
      <c r="H2" s="547"/>
      <c r="I2" s="547"/>
      <c r="J2" s="547"/>
      <c r="K2" s="547"/>
      <c r="L2" s="547"/>
    </row>
    <row r="3" spans="1:18" ht="15.75" customHeight="1">
      <c r="A3" s="685" t="s">
        <v>670</v>
      </c>
      <c r="B3" s="685"/>
      <c r="C3" s="685"/>
      <c r="D3" s="685"/>
      <c r="E3" s="685"/>
      <c r="F3" s="685"/>
      <c r="G3" s="685"/>
      <c r="H3" s="685"/>
      <c r="I3" s="685"/>
      <c r="J3" s="685"/>
      <c r="K3" s="685"/>
      <c r="L3" s="685"/>
      <c r="M3" s="188"/>
    </row>
    <row r="4" spans="1:18" s="189" customFormat="1" ht="15.75" customHeight="1">
      <c r="A4" s="685"/>
      <c r="B4" s="685"/>
      <c r="C4" s="685"/>
      <c r="D4" s="685"/>
      <c r="E4" s="685"/>
      <c r="F4" s="685"/>
      <c r="G4" s="685"/>
      <c r="H4" s="685"/>
      <c r="I4" s="685"/>
      <c r="J4" s="685"/>
      <c r="K4" s="685"/>
      <c r="L4" s="685"/>
    </row>
    <row r="5" spans="1:18" s="177" customFormat="1" ht="15.75" customHeight="1">
      <c r="A5" s="683" t="s">
        <v>162</v>
      </c>
      <c r="B5" s="190">
        <v>1</v>
      </c>
      <c r="C5" s="190">
        <v>2</v>
      </c>
      <c r="D5" s="169">
        <v>3</v>
      </c>
      <c r="E5" s="169">
        <v>4</v>
      </c>
      <c r="F5" s="169">
        <v>5</v>
      </c>
      <c r="G5" s="169">
        <v>6</v>
      </c>
      <c r="H5" s="169">
        <v>7</v>
      </c>
      <c r="I5" s="169">
        <v>8</v>
      </c>
      <c r="J5" s="169">
        <v>9</v>
      </c>
      <c r="K5" s="191"/>
      <c r="L5" s="191"/>
      <c r="M5" s="192"/>
    </row>
    <row r="6" spans="1:18" ht="16.350000000000001" customHeight="1">
      <c r="A6" s="683"/>
      <c r="B6" s="193" t="s">
        <v>206</v>
      </c>
      <c r="C6" s="193" t="s">
        <v>155</v>
      </c>
      <c r="D6" s="194" t="s">
        <v>207</v>
      </c>
      <c r="E6" s="194" t="s">
        <v>156</v>
      </c>
      <c r="F6" s="194" t="s">
        <v>348</v>
      </c>
      <c r="G6" s="195" t="s">
        <v>136</v>
      </c>
      <c r="H6" s="196" t="s">
        <v>208</v>
      </c>
      <c r="I6" s="195" t="s">
        <v>373</v>
      </c>
      <c r="J6" s="195" t="s">
        <v>142</v>
      </c>
      <c r="K6" s="197"/>
      <c r="L6" s="197"/>
      <c r="N6" s="198"/>
      <c r="O6" s="198"/>
      <c r="P6" s="198"/>
      <c r="Q6" s="198"/>
      <c r="R6" s="198"/>
    </row>
    <row r="7" spans="1:18" s="177" customFormat="1" ht="15.75" customHeight="1">
      <c r="A7" s="684" t="s">
        <v>188</v>
      </c>
      <c r="B7" s="684"/>
      <c r="C7" s="159" t="s">
        <v>47</v>
      </c>
      <c r="D7" s="684" t="s">
        <v>12</v>
      </c>
      <c r="E7" s="686"/>
      <c r="F7" s="686"/>
      <c r="G7" s="159" t="s">
        <v>46</v>
      </c>
      <c r="H7" s="159" t="s">
        <v>374</v>
      </c>
      <c r="I7" s="159" t="s">
        <v>375</v>
      </c>
      <c r="J7" s="159" t="s">
        <v>332</v>
      </c>
      <c r="K7" s="684" t="s">
        <v>51</v>
      </c>
      <c r="L7" s="686"/>
      <c r="M7" s="192"/>
      <c r="N7" s="188"/>
      <c r="P7" s="383"/>
      <c r="Q7" s="383"/>
    </row>
    <row r="8" spans="1:18" ht="15.75" customHeight="1">
      <c r="A8" s="683">
        <v>1</v>
      </c>
      <c r="B8" s="684" t="s">
        <v>376</v>
      </c>
      <c r="C8" s="199">
        <v>1</v>
      </c>
      <c r="D8" s="679" t="s">
        <v>595</v>
      </c>
      <c r="E8" s="680"/>
      <c r="F8" s="680"/>
      <c r="G8" s="199">
        <v>3</v>
      </c>
      <c r="H8" s="201">
        <v>3197.3008393122423</v>
      </c>
      <c r="I8" s="202">
        <v>1065.7669464374139</v>
      </c>
      <c r="J8" s="220">
        <v>-0.8742857142858611</v>
      </c>
      <c r="K8" s="679" t="s">
        <v>427</v>
      </c>
      <c r="L8" s="680"/>
      <c r="N8" s="177"/>
      <c r="O8" s="177"/>
      <c r="P8" s="383"/>
      <c r="Q8" s="383"/>
      <c r="R8" s="177"/>
    </row>
    <row r="9" spans="1:18" ht="15.75" customHeight="1">
      <c r="A9" s="683"/>
      <c r="B9" s="684"/>
      <c r="C9" s="199">
        <v>2</v>
      </c>
      <c r="D9" s="679" t="s">
        <v>398</v>
      </c>
      <c r="E9" s="680"/>
      <c r="F9" s="680"/>
      <c r="G9" s="199">
        <v>3</v>
      </c>
      <c r="H9" s="201">
        <v>3196.3160598015243</v>
      </c>
      <c r="I9" s="202">
        <v>1065.4386866005082</v>
      </c>
      <c r="J9" s="220">
        <v>0.39428571428607029</v>
      </c>
      <c r="K9" s="679" t="s">
        <v>427</v>
      </c>
      <c r="L9" s="680"/>
      <c r="N9" s="177"/>
      <c r="O9" s="177"/>
      <c r="P9" s="383"/>
      <c r="Q9" s="383"/>
      <c r="R9" s="177"/>
    </row>
    <row r="10" spans="1:18" ht="15.75" customHeight="1">
      <c r="A10" s="683"/>
      <c r="B10" s="684"/>
      <c r="C10" s="199">
        <v>3</v>
      </c>
      <c r="D10" s="679" t="s">
        <v>388</v>
      </c>
      <c r="E10" s="680"/>
      <c r="F10" s="680"/>
      <c r="G10" s="199">
        <v>3</v>
      </c>
      <c r="H10" s="201">
        <v>3194.3640007317154</v>
      </c>
      <c r="I10" s="202">
        <v>1064.7880002439051</v>
      </c>
      <c r="J10" s="220">
        <v>0.1885714285715494</v>
      </c>
      <c r="K10" s="679" t="s">
        <v>427</v>
      </c>
      <c r="L10" s="680"/>
      <c r="N10" s="177"/>
      <c r="O10" s="177"/>
      <c r="P10" s="383"/>
      <c r="Q10" s="383"/>
      <c r="R10" s="177"/>
    </row>
    <row r="11" spans="1:18" ht="15.75" customHeight="1">
      <c r="A11" s="683"/>
      <c r="B11" s="684"/>
      <c r="C11" s="199">
        <v>4</v>
      </c>
      <c r="D11" s="679" t="s">
        <v>395</v>
      </c>
      <c r="E11" s="680"/>
      <c r="F11" s="680"/>
      <c r="G11" s="199">
        <v>3</v>
      </c>
      <c r="H11" s="201">
        <v>3191.1263700988529</v>
      </c>
      <c r="I11" s="202">
        <v>1063.7087900329511</v>
      </c>
      <c r="J11" s="220">
        <v>-0.14790649308974935</v>
      </c>
      <c r="K11" s="679" t="s">
        <v>427</v>
      </c>
      <c r="L11" s="680"/>
      <c r="N11" s="177"/>
      <c r="O11" s="177"/>
      <c r="P11" s="383"/>
      <c r="Q11" s="383"/>
      <c r="R11" s="177"/>
    </row>
    <row r="12" spans="1:18" ht="15.75" customHeight="1">
      <c r="A12" s="683"/>
      <c r="B12" s="684"/>
      <c r="C12" s="199">
        <v>5</v>
      </c>
      <c r="D12" s="679" t="s">
        <v>538</v>
      </c>
      <c r="E12" s="680"/>
      <c r="F12" s="680"/>
      <c r="G12" s="199">
        <v>3</v>
      </c>
      <c r="H12" s="201">
        <v>3189.6593122287936</v>
      </c>
      <c r="I12" s="202">
        <v>1063.2197707429314</v>
      </c>
      <c r="J12" s="220"/>
      <c r="K12" s="679" t="s">
        <v>427</v>
      </c>
      <c r="L12" s="680"/>
      <c r="O12" s="177"/>
      <c r="P12" s="383"/>
      <c r="Q12" s="383"/>
      <c r="R12" s="177"/>
    </row>
    <row r="13" spans="1:18" ht="15.75" customHeight="1">
      <c r="A13" s="683"/>
      <c r="B13" s="684"/>
      <c r="C13" s="203" t="s">
        <v>204</v>
      </c>
      <c r="D13" s="680" t="s">
        <v>484</v>
      </c>
      <c r="E13" s="680"/>
      <c r="F13" s="680"/>
      <c r="G13" s="200">
        <v>13</v>
      </c>
      <c r="H13" s="204">
        <v>3259.6066255692626</v>
      </c>
      <c r="I13" s="205">
        <v>250.73897119763555</v>
      </c>
      <c r="J13" s="220">
        <v>-0.13846153846142784</v>
      </c>
      <c r="K13" s="679" t="s">
        <v>427</v>
      </c>
      <c r="L13" s="680"/>
      <c r="N13" s="177"/>
      <c r="O13" s="177"/>
      <c r="P13" s="383"/>
      <c r="Q13" s="383"/>
      <c r="R13" s="177"/>
    </row>
    <row r="14" spans="1:18" ht="15.75" customHeight="1">
      <c r="A14" s="683"/>
      <c r="B14" s="684"/>
      <c r="C14" s="203" t="s">
        <v>209</v>
      </c>
      <c r="D14" s="680" t="s">
        <v>439</v>
      </c>
      <c r="E14" s="680"/>
      <c r="F14" s="680"/>
      <c r="G14" s="200">
        <v>12</v>
      </c>
      <c r="H14" s="204">
        <v>3116.6325099237552</v>
      </c>
      <c r="I14" s="205">
        <v>259.71937582697961</v>
      </c>
      <c r="J14" s="220">
        <v>0.40285714285715812</v>
      </c>
      <c r="K14" s="679" t="s">
        <v>427</v>
      </c>
      <c r="L14" s="680"/>
      <c r="N14" s="177"/>
      <c r="O14" s="177"/>
      <c r="P14" s="383"/>
      <c r="Q14" s="383"/>
      <c r="R14" s="177"/>
    </row>
    <row r="15" spans="1:18" ht="15.75" customHeight="1">
      <c r="A15" s="683"/>
      <c r="B15" s="684"/>
      <c r="C15" s="203" t="s">
        <v>205</v>
      </c>
      <c r="D15" s="680" t="s">
        <v>436</v>
      </c>
      <c r="E15" s="680"/>
      <c r="F15" s="680"/>
      <c r="G15" s="200">
        <v>12</v>
      </c>
      <c r="H15" s="204">
        <v>3117.4577302189086</v>
      </c>
      <c r="I15" s="205">
        <v>259.78814418490907</v>
      </c>
      <c r="J15" s="220">
        <v>0.51604105534528344</v>
      </c>
      <c r="K15" s="679" t="s">
        <v>427</v>
      </c>
      <c r="L15" s="680"/>
      <c r="N15" s="177"/>
      <c r="O15" s="177"/>
      <c r="P15" s="383"/>
      <c r="Q15" s="383"/>
      <c r="R15" s="177"/>
    </row>
    <row r="16" spans="1:18" ht="15.75" customHeight="1">
      <c r="A16" s="683"/>
      <c r="B16" s="684"/>
      <c r="C16" s="203" t="s">
        <v>210</v>
      </c>
      <c r="D16" s="680" t="s">
        <v>691</v>
      </c>
      <c r="E16" s="680"/>
      <c r="F16" s="680"/>
      <c r="G16" s="200">
        <v>6</v>
      </c>
      <c r="H16" s="204">
        <v>3182.8012443380135</v>
      </c>
      <c r="I16" s="205">
        <v>530.46687405633566</v>
      </c>
      <c r="J16" s="220">
        <v>37.300207389668969</v>
      </c>
      <c r="K16" s="679" t="s">
        <v>741</v>
      </c>
      <c r="L16" s="680"/>
      <c r="M16" s="188"/>
      <c r="N16" s="177"/>
      <c r="O16" s="177"/>
      <c r="P16" s="383"/>
      <c r="Q16" s="383"/>
      <c r="R16" s="177"/>
    </row>
    <row r="17" spans="1:18" ht="15.75" customHeight="1">
      <c r="A17" s="683"/>
      <c r="B17" s="684"/>
      <c r="C17" s="203" t="s">
        <v>211</v>
      </c>
      <c r="D17" s="680" t="s">
        <v>507</v>
      </c>
      <c r="E17" s="680"/>
      <c r="F17" s="680"/>
      <c r="G17" s="200">
        <v>5</v>
      </c>
      <c r="H17" s="204">
        <v>2712.3874695745867</v>
      </c>
      <c r="I17" s="205">
        <v>542.47749391491732</v>
      </c>
      <c r="J17" s="220"/>
      <c r="K17" s="679" t="s">
        <v>427</v>
      </c>
      <c r="L17" s="680"/>
      <c r="M17" s="188"/>
      <c r="N17" s="177"/>
      <c r="O17" s="177"/>
      <c r="P17" s="383"/>
      <c r="Q17" s="383"/>
      <c r="R17" s="177"/>
    </row>
    <row r="18" spans="1:18" s="198" customFormat="1" ht="15.75" customHeight="1">
      <c r="A18" s="681" t="s">
        <v>188</v>
      </c>
      <c r="B18" s="681"/>
      <c r="C18" s="206" t="s">
        <v>47</v>
      </c>
      <c r="D18" s="681" t="s">
        <v>12</v>
      </c>
      <c r="E18" s="682"/>
      <c r="F18" s="682"/>
      <c r="G18" s="206" t="s">
        <v>46</v>
      </c>
      <c r="H18" s="206" t="s">
        <v>374</v>
      </c>
      <c r="I18" s="206" t="s">
        <v>375</v>
      </c>
      <c r="J18" s="159" t="s">
        <v>332</v>
      </c>
      <c r="K18" s="681" t="s">
        <v>50</v>
      </c>
      <c r="L18" s="682"/>
      <c r="M18" s="207"/>
      <c r="N18" s="177"/>
      <c r="O18" s="177"/>
      <c r="P18" s="383"/>
      <c r="Q18" s="383"/>
      <c r="R18" s="177"/>
    </row>
    <row r="19" spans="1:18" ht="15.75" customHeight="1">
      <c r="A19" s="683">
        <v>2</v>
      </c>
      <c r="B19" s="684" t="s">
        <v>155</v>
      </c>
      <c r="C19" s="199">
        <v>1</v>
      </c>
      <c r="D19" s="679" t="s">
        <v>346</v>
      </c>
      <c r="E19" s="680"/>
      <c r="F19" s="680"/>
      <c r="G19" s="199">
        <v>10</v>
      </c>
      <c r="H19" s="201">
        <v>3214.6266940103314</v>
      </c>
      <c r="I19" s="202">
        <v>321.46266940103317</v>
      </c>
      <c r="J19" s="220">
        <v>0.27433970422237053</v>
      </c>
      <c r="K19" s="679" t="s">
        <v>427</v>
      </c>
      <c r="L19" s="680"/>
      <c r="M19" s="188"/>
      <c r="N19" s="177"/>
      <c r="O19" s="177"/>
      <c r="P19" s="383"/>
      <c r="Q19" s="383"/>
      <c r="R19" s="177"/>
    </row>
    <row r="20" spans="1:18" ht="15.75" customHeight="1">
      <c r="A20" s="683"/>
      <c r="B20" s="684"/>
      <c r="C20" s="199">
        <v>2</v>
      </c>
      <c r="D20" s="679" t="s">
        <v>522</v>
      </c>
      <c r="E20" s="680"/>
      <c r="F20" s="680"/>
      <c r="G20" s="199">
        <v>11</v>
      </c>
      <c r="H20" s="201">
        <v>3161.9110496095886</v>
      </c>
      <c r="I20" s="202">
        <v>287.44645905541705</v>
      </c>
      <c r="J20" s="220">
        <v>0.2673451596679115</v>
      </c>
      <c r="K20" s="679" t="s">
        <v>427</v>
      </c>
      <c r="L20" s="680"/>
      <c r="M20" s="188"/>
      <c r="N20" s="177"/>
      <c r="O20" s="177"/>
      <c r="P20" s="383"/>
      <c r="Q20" s="383"/>
      <c r="R20" s="177"/>
    </row>
    <row r="21" spans="1:18" ht="15.75" customHeight="1">
      <c r="A21" s="683"/>
      <c r="B21" s="684"/>
      <c r="C21" s="199">
        <v>3</v>
      </c>
      <c r="D21" s="679" t="s">
        <v>521</v>
      </c>
      <c r="E21" s="680"/>
      <c r="F21" s="680"/>
      <c r="G21" s="199">
        <v>11</v>
      </c>
      <c r="H21" s="201">
        <v>3160.251814885316</v>
      </c>
      <c r="I21" s="202">
        <v>287.29561953502878</v>
      </c>
      <c r="J21" s="220">
        <v>0.13264954557348574</v>
      </c>
      <c r="K21" s="679" t="s">
        <v>427</v>
      </c>
      <c r="L21" s="680"/>
      <c r="M21" s="188"/>
      <c r="N21" s="177"/>
      <c r="O21" s="177"/>
      <c r="P21" s="383"/>
      <c r="Q21" s="383"/>
      <c r="R21" s="177"/>
    </row>
    <row r="22" spans="1:18" ht="15.75" customHeight="1">
      <c r="A22" s="683"/>
      <c r="B22" s="684"/>
      <c r="C22" s="199">
        <v>4</v>
      </c>
      <c r="D22" s="679"/>
      <c r="E22" s="680"/>
      <c r="F22" s="680"/>
      <c r="G22" s="199"/>
      <c r="H22" s="201"/>
      <c r="I22" s="202"/>
      <c r="J22" s="220"/>
      <c r="K22" s="679"/>
      <c r="L22" s="680"/>
      <c r="M22" s="188"/>
      <c r="N22" s="177"/>
      <c r="O22" s="177"/>
      <c r="P22" s="383"/>
      <c r="Q22" s="383"/>
      <c r="R22" s="177"/>
    </row>
    <row r="23" spans="1:18" ht="15.75" customHeight="1">
      <c r="A23" s="683"/>
      <c r="B23" s="684"/>
      <c r="C23" s="199">
        <v>5</v>
      </c>
      <c r="D23" s="679"/>
      <c r="E23" s="680"/>
      <c r="F23" s="680"/>
      <c r="G23" s="199"/>
      <c r="H23" s="201"/>
      <c r="I23" s="202"/>
      <c r="J23" s="220"/>
      <c r="K23" s="679"/>
      <c r="L23" s="680"/>
      <c r="M23" s="188"/>
      <c r="N23" s="177"/>
      <c r="O23" s="177"/>
      <c r="P23" s="383"/>
      <c r="Q23" s="383"/>
      <c r="R23" s="177"/>
    </row>
    <row r="24" spans="1:18" ht="15.75" customHeight="1">
      <c r="A24" s="683"/>
      <c r="B24" s="684"/>
      <c r="C24" s="203" t="s">
        <v>204</v>
      </c>
      <c r="D24" s="679"/>
      <c r="E24" s="680"/>
      <c r="F24" s="680"/>
      <c r="G24" s="199"/>
      <c r="H24" s="201"/>
      <c r="I24" s="202"/>
      <c r="J24" s="199"/>
      <c r="K24" s="679"/>
      <c r="L24" s="680"/>
      <c r="M24" s="188"/>
      <c r="N24" s="177"/>
      <c r="O24" s="177"/>
      <c r="P24" s="383"/>
      <c r="Q24" s="383"/>
      <c r="R24" s="177"/>
    </row>
    <row r="25" spans="1:18" ht="15.75" customHeight="1">
      <c r="A25" s="683"/>
      <c r="B25" s="684"/>
      <c r="C25" s="203" t="s">
        <v>209</v>
      </c>
      <c r="D25" s="679"/>
      <c r="E25" s="680"/>
      <c r="F25" s="680"/>
      <c r="G25" s="199"/>
      <c r="H25" s="201"/>
      <c r="I25" s="202"/>
      <c r="J25" s="199"/>
      <c r="K25" s="679"/>
      <c r="L25" s="680"/>
      <c r="M25" s="188"/>
      <c r="N25" s="177"/>
      <c r="O25" s="177"/>
      <c r="P25" s="383"/>
      <c r="Q25" s="383"/>
      <c r="R25" s="177"/>
    </row>
    <row r="26" spans="1:18" ht="15.75" customHeight="1">
      <c r="A26" s="683"/>
      <c r="B26" s="684"/>
      <c r="C26" s="203" t="s">
        <v>205</v>
      </c>
      <c r="D26" s="679"/>
      <c r="E26" s="680"/>
      <c r="F26" s="680"/>
      <c r="G26" s="199"/>
      <c r="H26" s="201"/>
      <c r="I26" s="202"/>
      <c r="J26" s="199"/>
      <c r="K26" s="679"/>
      <c r="L26" s="680"/>
      <c r="M26" s="188"/>
      <c r="N26" s="177"/>
      <c r="O26" s="177"/>
      <c r="P26" s="383"/>
      <c r="Q26" s="383"/>
      <c r="R26" s="177"/>
    </row>
    <row r="27" spans="1:18" ht="15.75" customHeight="1">
      <c r="A27" s="683"/>
      <c r="B27" s="684"/>
      <c r="C27" s="203" t="s">
        <v>210</v>
      </c>
      <c r="D27" s="679"/>
      <c r="E27" s="680"/>
      <c r="F27" s="680"/>
      <c r="G27" s="199"/>
      <c r="H27" s="201"/>
      <c r="I27" s="202"/>
      <c r="J27" s="199"/>
      <c r="K27" s="679"/>
      <c r="L27" s="680"/>
      <c r="M27" s="188"/>
      <c r="N27" s="177"/>
      <c r="O27" s="177"/>
      <c r="P27" s="383"/>
      <c r="Q27" s="383"/>
      <c r="R27" s="177"/>
    </row>
    <row r="28" spans="1:18" ht="15.75" customHeight="1">
      <c r="A28" s="683"/>
      <c r="B28" s="684"/>
      <c r="C28" s="203" t="s">
        <v>211</v>
      </c>
      <c r="D28" s="679"/>
      <c r="E28" s="680"/>
      <c r="F28" s="680"/>
      <c r="G28" s="199"/>
      <c r="H28" s="201"/>
      <c r="I28" s="202"/>
      <c r="J28" s="199"/>
      <c r="K28" s="679"/>
      <c r="L28" s="680"/>
      <c r="M28" s="188"/>
      <c r="N28" s="177"/>
      <c r="O28" s="177"/>
      <c r="P28" s="383"/>
      <c r="Q28" s="383"/>
      <c r="R28" s="177"/>
    </row>
    <row r="29" spans="1:18" ht="15.75" customHeight="1">
      <c r="A29" s="685" t="s">
        <v>742</v>
      </c>
      <c r="B29" s="685"/>
      <c r="C29" s="685"/>
      <c r="D29" s="685"/>
      <c r="E29" s="685"/>
      <c r="F29" s="685"/>
      <c r="G29" s="685"/>
      <c r="H29" s="685"/>
      <c r="I29" s="685"/>
      <c r="J29" s="685"/>
      <c r="K29" s="685"/>
      <c r="L29" s="685"/>
      <c r="M29" s="188"/>
    </row>
    <row r="30" spans="1:18" s="189" customFormat="1" ht="15.75" customHeight="1">
      <c r="A30" s="685"/>
      <c r="B30" s="685"/>
      <c r="C30" s="685"/>
      <c r="D30" s="685"/>
      <c r="E30" s="685"/>
      <c r="F30" s="685"/>
      <c r="G30" s="685"/>
      <c r="H30" s="685"/>
      <c r="I30" s="685"/>
      <c r="J30" s="685"/>
      <c r="K30" s="685"/>
      <c r="L30" s="685"/>
    </row>
    <row r="31" spans="1:18" s="177" customFormat="1" ht="15.75" customHeight="1">
      <c r="A31" s="683" t="s">
        <v>162</v>
      </c>
      <c r="B31" s="190">
        <v>1</v>
      </c>
      <c r="C31" s="190">
        <v>2</v>
      </c>
      <c r="D31" s="169">
        <v>3</v>
      </c>
      <c r="E31" s="169">
        <v>4</v>
      </c>
      <c r="F31" s="169">
        <v>5</v>
      </c>
      <c r="G31" s="169">
        <v>6</v>
      </c>
      <c r="H31" s="169">
        <v>7</v>
      </c>
      <c r="I31" s="169">
        <v>8</v>
      </c>
      <c r="J31" s="169">
        <v>9</v>
      </c>
      <c r="K31" s="191"/>
      <c r="L31" s="191"/>
      <c r="M31" s="192"/>
    </row>
    <row r="32" spans="1:18" ht="16.350000000000001" customHeight="1">
      <c r="A32" s="683"/>
      <c r="B32" s="193" t="s">
        <v>206</v>
      </c>
      <c r="C32" s="193" t="s">
        <v>155</v>
      </c>
      <c r="D32" s="194" t="s">
        <v>207</v>
      </c>
      <c r="E32" s="194" t="s">
        <v>156</v>
      </c>
      <c r="F32" s="194" t="s">
        <v>348</v>
      </c>
      <c r="G32" s="195" t="s">
        <v>136</v>
      </c>
      <c r="H32" s="196" t="s">
        <v>208</v>
      </c>
      <c r="I32" s="195" t="s">
        <v>373</v>
      </c>
      <c r="J32" s="195" t="s">
        <v>142</v>
      </c>
      <c r="K32" s="197"/>
      <c r="L32" s="197"/>
      <c r="N32" s="198"/>
      <c r="O32" s="198"/>
      <c r="P32" s="198"/>
      <c r="Q32" s="198"/>
      <c r="R32" s="198"/>
    </row>
    <row r="33" spans="1:18" s="177" customFormat="1" ht="15.75" customHeight="1">
      <c r="A33" s="684" t="s">
        <v>188</v>
      </c>
      <c r="B33" s="684"/>
      <c r="C33" s="159" t="s">
        <v>47</v>
      </c>
      <c r="D33" s="684" t="s">
        <v>12</v>
      </c>
      <c r="E33" s="686"/>
      <c r="F33" s="686"/>
      <c r="G33" s="159" t="s">
        <v>46</v>
      </c>
      <c r="H33" s="159" t="s">
        <v>374</v>
      </c>
      <c r="I33" s="159" t="s">
        <v>375</v>
      </c>
      <c r="J33" s="159" t="s">
        <v>332</v>
      </c>
      <c r="K33" s="684" t="s">
        <v>51</v>
      </c>
      <c r="L33" s="686"/>
      <c r="M33" s="192"/>
      <c r="N33" s="188"/>
      <c r="P33" s="383"/>
      <c r="Q33" s="383"/>
    </row>
    <row r="34" spans="1:18" ht="15.75" customHeight="1">
      <c r="A34" s="683">
        <v>1</v>
      </c>
      <c r="B34" s="684" t="s">
        <v>376</v>
      </c>
      <c r="C34" s="199">
        <v>1</v>
      </c>
      <c r="D34" s="679" t="s">
        <v>398</v>
      </c>
      <c r="E34" s="680"/>
      <c r="F34" s="680"/>
      <c r="G34" s="199">
        <v>3</v>
      </c>
      <c r="H34" s="201">
        <v>3199.2559230366583</v>
      </c>
      <c r="I34" s="202">
        <v>1066.4186410122195</v>
      </c>
      <c r="J34" s="220">
        <f>I34-I9</f>
        <v>0.9799544117113328</v>
      </c>
      <c r="K34" s="679" t="s">
        <v>427</v>
      </c>
      <c r="L34" s="680"/>
      <c r="N34" s="177"/>
      <c r="O34" s="177"/>
      <c r="P34" s="383"/>
      <c r="Q34" s="383"/>
      <c r="R34" s="177"/>
    </row>
    <row r="35" spans="1:18" ht="15.75" customHeight="1">
      <c r="A35" s="683"/>
      <c r="B35" s="684"/>
      <c r="C35" s="199">
        <v>2</v>
      </c>
      <c r="D35" s="679" t="s">
        <v>388</v>
      </c>
      <c r="E35" s="680"/>
      <c r="F35" s="680"/>
      <c r="G35" s="199">
        <v>3</v>
      </c>
      <c r="H35" s="201">
        <v>3197.0382864459998</v>
      </c>
      <c r="I35" s="202">
        <v>1065.6794288153333</v>
      </c>
      <c r="J35" s="220">
        <f>I35-I10</f>
        <v>0.89142857142815046</v>
      </c>
      <c r="K35" s="679" t="s">
        <v>427</v>
      </c>
      <c r="L35" s="680"/>
      <c r="N35" s="177"/>
      <c r="O35" s="177"/>
      <c r="P35" s="383"/>
      <c r="Q35" s="383"/>
      <c r="R35" s="177"/>
    </row>
    <row r="36" spans="1:18" ht="15.75" customHeight="1">
      <c r="A36" s="683"/>
      <c r="B36" s="684"/>
      <c r="C36" s="199">
        <v>3</v>
      </c>
      <c r="D36" s="679" t="s">
        <v>595</v>
      </c>
      <c r="E36" s="680"/>
      <c r="F36" s="680"/>
      <c r="G36" s="199">
        <v>3</v>
      </c>
      <c r="H36" s="201">
        <v>3194.4208393122426</v>
      </c>
      <c r="I36" s="202">
        <v>1064.8069464374144</v>
      </c>
      <c r="J36" s="220"/>
      <c r="K36" s="679" t="s">
        <v>427</v>
      </c>
      <c r="L36" s="680"/>
      <c r="N36" s="177"/>
      <c r="O36" s="177"/>
      <c r="P36" s="383"/>
      <c r="Q36" s="383"/>
      <c r="R36" s="177"/>
    </row>
    <row r="37" spans="1:18" ht="15.75" customHeight="1">
      <c r="A37" s="683"/>
      <c r="B37" s="684"/>
      <c r="C37" s="199">
        <v>4</v>
      </c>
      <c r="D37" s="679" t="s">
        <v>395</v>
      </c>
      <c r="E37" s="680"/>
      <c r="F37" s="680"/>
      <c r="G37" s="199">
        <v>3</v>
      </c>
      <c r="H37" s="201">
        <v>3191.6406558131393</v>
      </c>
      <c r="I37" s="202">
        <v>1063.8802186043797</v>
      </c>
      <c r="J37" s="220">
        <f>I37-I11</f>
        <v>0.17142857142857792</v>
      </c>
      <c r="K37" s="679" t="s">
        <v>427</v>
      </c>
      <c r="L37" s="680"/>
      <c r="N37" s="177"/>
      <c r="O37" s="177"/>
      <c r="P37" s="383"/>
      <c r="Q37" s="383"/>
      <c r="R37" s="177"/>
    </row>
    <row r="38" spans="1:18" ht="15.75" customHeight="1">
      <c r="A38" s="683"/>
      <c r="B38" s="684"/>
      <c r="C38" s="199">
        <v>5</v>
      </c>
      <c r="D38" s="679" t="s">
        <v>538</v>
      </c>
      <c r="E38" s="680"/>
      <c r="F38" s="680"/>
      <c r="G38" s="199">
        <v>3</v>
      </c>
      <c r="H38" s="201">
        <v>3190.4589073130455</v>
      </c>
      <c r="I38" s="202">
        <v>1063.4863024376821</v>
      </c>
      <c r="J38" s="220">
        <f>I38-I12</f>
        <v>0.26653169475071081</v>
      </c>
      <c r="K38" s="679" t="s">
        <v>427</v>
      </c>
      <c r="L38" s="680"/>
      <c r="O38" s="177"/>
      <c r="P38" s="383"/>
      <c r="Q38" s="383"/>
      <c r="R38" s="177"/>
    </row>
    <row r="39" spans="1:18" ht="15.75" customHeight="1">
      <c r="A39" s="683"/>
      <c r="B39" s="684"/>
      <c r="C39" s="203" t="s">
        <v>204</v>
      </c>
      <c r="D39" s="680" t="s">
        <v>484</v>
      </c>
      <c r="E39" s="680"/>
      <c r="F39" s="680"/>
      <c r="G39" s="200">
        <v>13</v>
      </c>
      <c r="H39" s="204">
        <v>3260.8923398549782</v>
      </c>
      <c r="I39" s="205">
        <v>250.83787229653686</v>
      </c>
      <c r="J39" s="220">
        <f>I39-I13</f>
        <v>9.890109890130816E-2</v>
      </c>
      <c r="K39" s="679" t="s">
        <v>427</v>
      </c>
      <c r="L39" s="680"/>
      <c r="N39" s="177"/>
      <c r="O39" s="177"/>
      <c r="P39" s="383"/>
      <c r="Q39" s="383"/>
      <c r="R39" s="177"/>
    </row>
    <row r="40" spans="1:18" ht="15.75" customHeight="1">
      <c r="A40" s="683"/>
      <c r="B40" s="684"/>
      <c r="C40" s="203" t="s">
        <v>209</v>
      </c>
      <c r="D40" s="680" t="s">
        <v>439</v>
      </c>
      <c r="E40" s="680"/>
      <c r="F40" s="680"/>
      <c r="G40" s="200">
        <v>12</v>
      </c>
      <c r="H40" s="204">
        <v>3118.8366160509859</v>
      </c>
      <c r="I40" s="205">
        <v>259.90305133758216</v>
      </c>
      <c r="J40" s="220">
        <f>I40-I14</f>
        <v>0.18367551060254073</v>
      </c>
      <c r="K40" s="679" t="s">
        <v>427</v>
      </c>
      <c r="L40" s="680"/>
      <c r="N40" s="177"/>
      <c r="O40" s="177"/>
      <c r="P40" s="383"/>
      <c r="Q40" s="383"/>
      <c r="R40" s="177"/>
    </row>
    <row r="41" spans="1:18" ht="15.75" customHeight="1">
      <c r="A41" s="683"/>
      <c r="B41" s="684"/>
      <c r="C41" s="203" t="s">
        <v>205</v>
      </c>
      <c r="D41" s="680" t="s">
        <v>436</v>
      </c>
      <c r="E41" s="680"/>
      <c r="F41" s="680"/>
      <c r="G41" s="200">
        <v>12</v>
      </c>
      <c r="H41" s="204">
        <v>3120.7426992668366</v>
      </c>
      <c r="I41" s="205">
        <v>260.06189160556971</v>
      </c>
      <c r="J41" s="220">
        <f>I41-I15</f>
        <v>0.27374742066064073</v>
      </c>
      <c r="K41" s="679" t="s">
        <v>427</v>
      </c>
      <c r="L41" s="680"/>
      <c r="N41" s="177"/>
      <c r="O41" s="177"/>
      <c r="P41" s="383"/>
      <c r="Q41" s="383"/>
      <c r="R41" s="177"/>
    </row>
    <row r="42" spans="1:18" ht="15.75" customHeight="1">
      <c r="A42" s="683"/>
      <c r="B42" s="684"/>
      <c r="C42" s="203" t="s">
        <v>210</v>
      </c>
      <c r="D42" s="680" t="s">
        <v>507</v>
      </c>
      <c r="E42" s="680"/>
      <c r="F42" s="680"/>
      <c r="G42" s="200">
        <v>5</v>
      </c>
      <c r="H42" s="204">
        <v>2714.706179480509</v>
      </c>
      <c r="I42" s="205">
        <v>542.94123589610194</v>
      </c>
      <c r="J42" s="220">
        <f>I42-I17</f>
        <v>0.46374198118462573</v>
      </c>
      <c r="K42" s="679" t="s">
        <v>427</v>
      </c>
      <c r="L42" s="680"/>
      <c r="M42" s="188"/>
      <c r="N42" s="177"/>
      <c r="O42" s="177"/>
      <c r="P42" s="383"/>
      <c r="Q42" s="383"/>
      <c r="R42" s="177"/>
    </row>
    <row r="43" spans="1:18" ht="15.75" customHeight="1">
      <c r="A43" s="683"/>
      <c r="B43" s="684"/>
      <c r="C43" s="203" t="s">
        <v>211</v>
      </c>
      <c r="D43" s="680" t="s">
        <v>691</v>
      </c>
      <c r="E43" s="680"/>
      <c r="F43" s="680"/>
      <c r="G43" s="200">
        <v>6</v>
      </c>
      <c r="H43" s="204">
        <v>3259.7911206895401</v>
      </c>
      <c r="I43" s="205">
        <v>543.29852011492335</v>
      </c>
      <c r="J43" s="220">
        <f>I43-I16</f>
        <v>12.831646058587694</v>
      </c>
      <c r="K43" s="679" t="s">
        <v>741</v>
      </c>
      <c r="L43" s="680"/>
      <c r="M43" s="188"/>
      <c r="N43" s="177"/>
      <c r="O43" s="177"/>
      <c r="P43" s="383"/>
      <c r="Q43" s="383"/>
      <c r="R43" s="177"/>
    </row>
    <row r="44" spans="1:18" s="198" customFormat="1" ht="15.75" customHeight="1">
      <c r="A44" s="681" t="s">
        <v>188</v>
      </c>
      <c r="B44" s="681"/>
      <c r="C44" s="206" t="s">
        <v>47</v>
      </c>
      <c r="D44" s="681" t="s">
        <v>12</v>
      </c>
      <c r="E44" s="682"/>
      <c r="F44" s="682"/>
      <c r="G44" s="206" t="s">
        <v>46</v>
      </c>
      <c r="H44" s="206" t="s">
        <v>374</v>
      </c>
      <c r="I44" s="206" t="s">
        <v>375</v>
      </c>
      <c r="J44" s="159" t="s">
        <v>332</v>
      </c>
      <c r="K44" s="681" t="s">
        <v>50</v>
      </c>
      <c r="L44" s="682"/>
      <c r="M44" s="207"/>
      <c r="N44" s="177"/>
      <c r="O44" s="177"/>
      <c r="P44" s="383"/>
      <c r="Q44" s="383"/>
      <c r="R44" s="177"/>
    </row>
    <row r="45" spans="1:18" ht="15.75" customHeight="1">
      <c r="A45" s="683">
        <v>2</v>
      </c>
      <c r="B45" s="684" t="s">
        <v>155</v>
      </c>
      <c r="C45" s="199">
        <v>1</v>
      </c>
      <c r="D45" s="679" t="s">
        <v>346</v>
      </c>
      <c r="E45" s="680"/>
      <c r="F45" s="680"/>
      <c r="G45" s="199">
        <v>10</v>
      </c>
      <c r="H45" s="201">
        <v>3216.015265438903</v>
      </c>
      <c r="I45" s="202">
        <v>321.60152654389032</v>
      </c>
      <c r="J45" s="220">
        <f>I45-I19</f>
        <v>0.13885714285714812</v>
      </c>
      <c r="K45" s="679" t="s">
        <v>427</v>
      </c>
      <c r="L45" s="680"/>
      <c r="M45" s="188"/>
      <c r="N45" s="177"/>
      <c r="O45" s="177"/>
      <c r="P45" s="383"/>
      <c r="Q45" s="383"/>
      <c r="R45" s="177"/>
    </row>
    <row r="46" spans="1:18" ht="15.75" customHeight="1">
      <c r="A46" s="683"/>
      <c r="B46" s="684"/>
      <c r="C46" s="199">
        <v>2</v>
      </c>
      <c r="D46" s="679" t="s">
        <v>522</v>
      </c>
      <c r="E46" s="680"/>
      <c r="F46" s="680"/>
      <c r="G46" s="199">
        <v>11</v>
      </c>
      <c r="H46" s="201">
        <v>3164.7647270531038</v>
      </c>
      <c r="I46" s="202">
        <v>287.7058842775549</v>
      </c>
      <c r="J46" s="220">
        <f>I46-I20</f>
        <v>0.25942522213784969</v>
      </c>
      <c r="K46" s="679" t="s">
        <v>427</v>
      </c>
      <c r="L46" s="680"/>
      <c r="M46" s="188"/>
      <c r="N46" s="177"/>
      <c r="O46" s="177"/>
      <c r="P46" s="383"/>
      <c r="Q46" s="383"/>
      <c r="R46" s="177"/>
    </row>
    <row r="47" spans="1:18" ht="15.75" customHeight="1">
      <c r="A47" s="683"/>
      <c r="B47" s="684"/>
      <c r="C47" s="199">
        <v>3</v>
      </c>
      <c r="D47" s="679" t="s">
        <v>521</v>
      </c>
      <c r="E47" s="680"/>
      <c r="F47" s="680"/>
      <c r="G47" s="199">
        <v>11</v>
      </c>
      <c r="H47" s="201">
        <v>3163.7063411407507</v>
      </c>
      <c r="I47" s="202">
        <v>287.60966737643196</v>
      </c>
      <c r="J47" s="220">
        <f>I47-I21</f>
        <v>0.31404784140318043</v>
      </c>
      <c r="K47" s="679" t="s">
        <v>427</v>
      </c>
      <c r="L47" s="680"/>
      <c r="M47" s="188"/>
      <c r="N47" s="177"/>
      <c r="O47" s="177"/>
      <c r="P47" s="383"/>
      <c r="Q47" s="383"/>
      <c r="R47" s="177"/>
    </row>
    <row r="48" spans="1:18" ht="15.75" customHeight="1">
      <c r="A48" s="683"/>
      <c r="B48" s="684"/>
      <c r="C48" s="199">
        <v>4</v>
      </c>
      <c r="D48" s="679"/>
      <c r="E48" s="680"/>
      <c r="F48" s="680"/>
      <c r="G48" s="199"/>
      <c r="H48" s="201"/>
      <c r="I48" s="202"/>
      <c r="J48" s="220"/>
      <c r="K48" s="679"/>
      <c r="L48" s="680"/>
      <c r="M48" s="188"/>
      <c r="N48" s="177"/>
      <c r="O48" s="177"/>
      <c r="P48" s="383"/>
      <c r="Q48" s="383"/>
      <c r="R48" s="177"/>
    </row>
    <row r="49" spans="1:18" ht="15.75" customHeight="1">
      <c r="A49" s="683"/>
      <c r="B49" s="684"/>
      <c r="C49" s="199">
        <v>5</v>
      </c>
      <c r="D49" s="679"/>
      <c r="E49" s="680"/>
      <c r="F49" s="680"/>
      <c r="G49" s="199"/>
      <c r="H49" s="201"/>
      <c r="I49" s="202"/>
      <c r="J49" s="220"/>
      <c r="K49" s="679"/>
      <c r="L49" s="680"/>
      <c r="M49" s="188"/>
      <c r="N49" s="177"/>
      <c r="O49" s="177"/>
      <c r="P49" s="383"/>
      <c r="Q49" s="383"/>
      <c r="R49" s="177"/>
    </row>
    <row r="50" spans="1:18" ht="15.75" customHeight="1">
      <c r="A50" s="683"/>
      <c r="B50" s="684"/>
      <c r="C50" s="203" t="s">
        <v>204</v>
      </c>
      <c r="D50" s="679"/>
      <c r="E50" s="680"/>
      <c r="F50" s="680"/>
      <c r="G50" s="199"/>
      <c r="H50" s="201"/>
      <c r="I50" s="202"/>
      <c r="J50" s="199"/>
      <c r="K50" s="679"/>
      <c r="L50" s="680"/>
      <c r="M50" s="188"/>
      <c r="N50" s="177"/>
      <c r="O50" s="177"/>
      <c r="P50" s="383"/>
      <c r="Q50" s="383"/>
      <c r="R50" s="177"/>
    </row>
    <row r="51" spans="1:18" ht="15.75" customHeight="1">
      <c r="A51" s="683"/>
      <c r="B51" s="684"/>
      <c r="C51" s="203" t="s">
        <v>209</v>
      </c>
      <c r="D51" s="679"/>
      <c r="E51" s="680"/>
      <c r="F51" s="680"/>
      <c r="G51" s="199"/>
      <c r="H51" s="201"/>
      <c r="I51" s="202"/>
      <c r="J51" s="199"/>
      <c r="K51" s="679"/>
      <c r="L51" s="680"/>
      <c r="M51" s="188"/>
      <c r="N51" s="177"/>
      <c r="O51" s="177"/>
      <c r="P51" s="383"/>
      <c r="Q51" s="383"/>
      <c r="R51" s="177"/>
    </row>
    <row r="52" spans="1:18" ht="15.75" customHeight="1">
      <c r="A52" s="683"/>
      <c r="B52" s="684"/>
      <c r="C52" s="203" t="s">
        <v>205</v>
      </c>
      <c r="D52" s="679"/>
      <c r="E52" s="680"/>
      <c r="F52" s="680"/>
      <c r="G52" s="199"/>
      <c r="H52" s="201"/>
      <c r="I52" s="202"/>
      <c r="J52" s="199"/>
      <c r="K52" s="679"/>
      <c r="L52" s="680"/>
      <c r="M52" s="188"/>
      <c r="N52" s="177"/>
      <c r="O52" s="177"/>
      <c r="P52" s="383"/>
      <c r="Q52" s="383"/>
      <c r="R52" s="177"/>
    </row>
    <row r="53" spans="1:18" ht="15.75" customHeight="1">
      <c r="A53" s="683"/>
      <c r="B53" s="684"/>
      <c r="C53" s="203" t="s">
        <v>210</v>
      </c>
      <c r="D53" s="679"/>
      <c r="E53" s="680"/>
      <c r="F53" s="680"/>
      <c r="G53" s="199"/>
      <c r="H53" s="201"/>
      <c r="I53" s="202"/>
      <c r="J53" s="199"/>
      <c r="K53" s="679"/>
      <c r="L53" s="680"/>
      <c r="M53" s="188"/>
      <c r="N53" s="177"/>
      <c r="O53" s="177"/>
      <c r="P53" s="383"/>
      <c r="Q53" s="383"/>
      <c r="R53" s="177"/>
    </row>
    <row r="54" spans="1:18" ht="15.75" customHeight="1">
      <c r="A54" s="683"/>
      <c r="B54" s="684"/>
      <c r="C54" s="203" t="s">
        <v>211</v>
      </c>
      <c r="D54" s="679"/>
      <c r="E54" s="680"/>
      <c r="F54" s="680"/>
      <c r="G54" s="199"/>
      <c r="H54" s="201"/>
      <c r="I54" s="202"/>
      <c r="J54" s="199"/>
      <c r="K54" s="679"/>
      <c r="L54" s="680"/>
      <c r="M54" s="188"/>
      <c r="N54" s="177"/>
      <c r="O54" s="177"/>
      <c r="P54" s="383"/>
      <c r="Q54" s="383"/>
      <c r="R54" s="177"/>
    </row>
    <row r="55" spans="1:18" ht="15.75" customHeight="1">
      <c r="A55" s="685" t="s">
        <v>747</v>
      </c>
      <c r="B55" s="685"/>
      <c r="C55" s="685"/>
      <c r="D55" s="685"/>
      <c r="E55" s="685"/>
      <c r="F55" s="685"/>
      <c r="G55" s="685"/>
      <c r="H55" s="685"/>
      <c r="I55" s="685"/>
      <c r="J55" s="685"/>
      <c r="K55" s="685"/>
      <c r="L55" s="685"/>
      <c r="M55" s="188"/>
    </row>
    <row r="56" spans="1:18" s="189" customFormat="1" ht="15.75" customHeight="1">
      <c r="A56" s="685"/>
      <c r="B56" s="685"/>
      <c r="C56" s="685"/>
      <c r="D56" s="685"/>
      <c r="E56" s="685"/>
      <c r="F56" s="685"/>
      <c r="G56" s="685"/>
      <c r="H56" s="685"/>
      <c r="I56" s="685"/>
      <c r="J56" s="685"/>
      <c r="K56" s="685"/>
      <c r="L56" s="685"/>
    </row>
    <row r="57" spans="1:18" s="177" customFormat="1" ht="15.75" customHeight="1">
      <c r="A57" s="683" t="s">
        <v>162</v>
      </c>
      <c r="B57" s="190">
        <v>1</v>
      </c>
      <c r="C57" s="190">
        <v>2</v>
      </c>
      <c r="D57" s="169">
        <v>3</v>
      </c>
      <c r="E57" s="169">
        <v>4</v>
      </c>
      <c r="F57" s="169">
        <v>5</v>
      </c>
      <c r="G57" s="169">
        <v>6</v>
      </c>
      <c r="H57" s="169">
        <v>7</v>
      </c>
      <c r="I57" s="169">
        <v>8</v>
      </c>
      <c r="J57" s="169">
        <v>9</v>
      </c>
      <c r="K57" s="191"/>
      <c r="L57" s="191"/>
      <c r="M57" s="192"/>
    </row>
    <row r="58" spans="1:18" ht="16.350000000000001" customHeight="1">
      <c r="A58" s="683"/>
      <c r="B58" s="193" t="s">
        <v>206</v>
      </c>
      <c r="C58" s="193" t="s">
        <v>155</v>
      </c>
      <c r="D58" s="194" t="s">
        <v>207</v>
      </c>
      <c r="E58" s="194" t="s">
        <v>156</v>
      </c>
      <c r="F58" s="194" t="s">
        <v>348</v>
      </c>
      <c r="G58" s="195" t="s">
        <v>136</v>
      </c>
      <c r="H58" s="196" t="s">
        <v>208</v>
      </c>
      <c r="I58" s="195" t="s">
        <v>373</v>
      </c>
      <c r="J58" s="195" t="s">
        <v>142</v>
      </c>
      <c r="K58" s="197"/>
      <c r="L58" s="197"/>
      <c r="N58" s="198"/>
      <c r="O58" s="198"/>
      <c r="P58" s="198"/>
      <c r="Q58" s="198"/>
      <c r="R58" s="198"/>
    </row>
    <row r="59" spans="1:18" s="177" customFormat="1" ht="15.75" customHeight="1">
      <c r="A59" s="684" t="s">
        <v>188</v>
      </c>
      <c r="B59" s="684"/>
      <c r="C59" s="159" t="s">
        <v>47</v>
      </c>
      <c r="D59" s="684" t="s">
        <v>12</v>
      </c>
      <c r="E59" s="686"/>
      <c r="F59" s="686"/>
      <c r="G59" s="159" t="s">
        <v>46</v>
      </c>
      <c r="H59" s="159" t="s">
        <v>374</v>
      </c>
      <c r="I59" s="159" t="s">
        <v>375</v>
      </c>
      <c r="J59" s="159" t="s">
        <v>332</v>
      </c>
      <c r="K59" s="684" t="s">
        <v>51</v>
      </c>
      <c r="L59" s="686"/>
      <c r="M59" s="192"/>
      <c r="N59" s="188"/>
      <c r="P59" s="383"/>
      <c r="Q59" s="383"/>
    </row>
    <row r="60" spans="1:18" ht="15.75" customHeight="1">
      <c r="A60" s="683">
        <v>1</v>
      </c>
      <c r="B60" s="684" t="s">
        <v>376</v>
      </c>
      <c r="C60" s="199">
        <v>1</v>
      </c>
      <c r="D60" s="679" t="s">
        <v>388</v>
      </c>
      <c r="E60" s="680"/>
      <c r="F60" s="680"/>
      <c r="G60" s="199">
        <v>3</v>
      </c>
      <c r="H60" s="201">
        <v>3199.3525721602841</v>
      </c>
      <c r="I60" s="202">
        <v>1066.4508573867613</v>
      </c>
      <c r="J60" s="220">
        <f>I60-I35</f>
        <v>0.77142857142803223</v>
      </c>
      <c r="K60" s="679" t="s">
        <v>427</v>
      </c>
      <c r="L60" s="680"/>
      <c r="N60" s="177"/>
      <c r="O60" s="177"/>
      <c r="P60" s="383"/>
      <c r="Q60" s="383"/>
      <c r="R60" s="177"/>
    </row>
    <row r="61" spans="1:18" ht="15.75" customHeight="1">
      <c r="A61" s="683"/>
      <c r="B61" s="684"/>
      <c r="C61" s="199">
        <v>2</v>
      </c>
      <c r="D61" s="679" t="s">
        <v>398</v>
      </c>
      <c r="E61" s="680"/>
      <c r="F61" s="680"/>
      <c r="G61" s="199">
        <v>3</v>
      </c>
      <c r="H61" s="201">
        <v>3198.364912621214</v>
      </c>
      <c r="I61" s="202">
        <v>1066.1216375404047</v>
      </c>
      <c r="J61" s="220">
        <f>I61-I34</f>
        <v>-0.29700347181483266</v>
      </c>
      <c r="K61" s="679" t="s">
        <v>427</v>
      </c>
      <c r="L61" s="680"/>
      <c r="N61" s="177"/>
      <c r="O61" s="177"/>
      <c r="P61" s="383"/>
      <c r="Q61" s="383"/>
      <c r="R61" s="177"/>
    </row>
    <row r="62" spans="1:18" ht="15.75" customHeight="1">
      <c r="A62" s="683"/>
      <c r="B62" s="684"/>
      <c r="C62" s="199">
        <v>3</v>
      </c>
      <c r="D62" s="679" t="s">
        <v>538</v>
      </c>
      <c r="E62" s="680"/>
      <c r="F62" s="680"/>
      <c r="G62" s="199">
        <v>3</v>
      </c>
      <c r="H62" s="201">
        <v>3192.2074787416168</v>
      </c>
      <c r="I62" s="202">
        <v>1064.069159580539</v>
      </c>
      <c r="J62" s="220">
        <f>I62-I38</f>
        <v>0.58285714285693757</v>
      </c>
      <c r="K62" s="679" t="s">
        <v>427</v>
      </c>
      <c r="L62" s="680"/>
      <c r="N62" s="177"/>
      <c r="O62" s="177"/>
      <c r="P62" s="383"/>
      <c r="Q62" s="383"/>
      <c r="R62" s="177"/>
    </row>
    <row r="63" spans="1:18" ht="15.75" customHeight="1">
      <c r="A63" s="683"/>
      <c r="B63" s="684"/>
      <c r="C63" s="199">
        <v>4</v>
      </c>
      <c r="D63" s="679" t="s">
        <v>595</v>
      </c>
      <c r="E63" s="680"/>
      <c r="F63" s="680"/>
      <c r="G63" s="199">
        <v>3</v>
      </c>
      <c r="H63" s="201">
        <v>3190.3579821693834</v>
      </c>
      <c r="I63" s="202">
        <v>1063.452660723128</v>
      </c>
      <c r="J63" s="220">
        <f>I63-I36</f>
        <v>-1.354285714286334</v>
      </c>
      <c r="K63" s="679" t="s">
        <v>427</v>
      </c>
      <c r="L63" s="680"/>
      <c r="N63" s="177"/>
      <c r="O63" s="177"/>
      <c r="P63" s="383"/>
      <c r="Q63" s="383"/>
      <c r="R63" s="177"/>
    </row>
    <row r="64" spans="1:18" ht="15.75" customHeight="1">
      <c r="A64" s="683"/>
      <c r="B64" s="684"/>
      <c r="C64" s="199">
        <v>5</v>
      </c>
      <c r="D64" s="679" t="s">
        <v>395</v>
      </c>
      <c r="E64" s="680"/>
      <c r="F64" s="680"/>
      <c r="G64" s="199">
        <v>3</v>
      </c>
      <c r="H64" s="201">
        <v>3190.3549415274256</v>
      </c>
      <c r="I64" s="202">
        <v>1063.4516471758086</v>
      </c>
      <c r="J64" s="220">
        <f>I64-I37</f>
        <v>-0.42857142857110375</v>
      </c>
      <c r="K64" s="679" t="s">
        <v>427</v>
      </c>
      <c r="L64" s="680"/>
      <c r="O64" s="177"/>
      <c r="P64" s="383"/>
      <c r="Q64" s="383"/>
      <c r="R64" s="177"/>
    </row>
    <row r="65" spans="1:18" ht="15.75" customHeight="1">
      <c r="A65" s="683"/>
      <c r="B65" s="684"/>
      <c r="C65" s="203" t="s">
        <v>204</v>
      </c>
      <c r="D65" s="680" t="s">
        <v>484</v>
      </c>
      <c r="E65" s="680"/>
      <c r="F65" s="680"/>
      <c r="G65" s="200">
        <v>13</v>
      </c>
      <c r="H65" s="204">
        <v>3261.7666255692675</v>
      </c>
      <c r="I65" s="205">
        <v>250.90512504378981</v>
      </c>
      <c r="J65" s="220">
        <f>I65-I39</f>
        <v>6.725274725295094E-2</v>
      </c>
      <c r="K65" s="679" t="s">
        <v>427</v>
      </c>
      <c r="L65" s="680"/>
      <c r="N65" s="177"/>
      <c r="O65" s="177"/>
      <c r="P65" s="383"/>
      <c r="Q65" s="383"/>
      <c r="R65" s="177"/>
    </row>
    <row r="66" spans="1:18" ht="15.75" customHeight="1">
      <c r="A66" s="683"/>
      <c r="B66" s="684"/>
      <c r="C66" s="203" t="s">
        <v>209</v>
      </c>
      <c r="D66" s="680" t="s">
        <v>436</v>
      </c>
      <c r="E66" s="680"/>
      <c r="F66" s="680"/>
      <c r="G66" s="200">
        <v>12</v>
      </c>
      <c r="H66" s="204">
        <v>3119.1011204348092</v>
      </c>
      <c r="I66" s="205">
        <v>259.92509336956743</v>
      </c>
      <c r="J66" s="220">
        <f>I66-I41</f>
        <v>-0.13679823600227792</v>
      </c>
      <c r="K66" s="679" t="s">
        <v>427</v>
      </c>
      <c r="L66" s="680"/>
      <c r="N66" s="177"/>
      <c r="O66" s="177"/>
      <c r="P66" s="383"/>
      <c r="Q66" s="383"/>
      <c r="R66" s="177"/>
    </row>
    <row r="67" spans="1:18" ht="15.75" customHeight="1">
      <c r="A67" s="683"/>
      <c r="B67" s="684"/>
      <c r="C67" s="203" t="s">
        <v>205</v>
      </c>
      <c r="D67" s="680" t="s">
        <v>439</v>
      </c>
      <c r="E67" s="680"/>
      <c r="F67" s="680"/>
      <c r="G67" s="200">
        <v>12</v>
      </c>
      <c r="H67" s="204">
        <v>3120.7952783942224</v>
      </c>
      <c r="I67" s="205">
        <v>260.06627319951849</v>
      </c>
      <c r="J67" s="220">
        <f>I67-I40</f>
        <v>0.1632218619363357</v>
      </c>
      <c r="K67" s="679" t="s">
        <v>427</v>
      </c>
      <c r="L67" s="680"/>
      <c r="N67" s="177"/>
      <c r="O67" s="177"/>
      <c r="P67" s="383"/>
      <c r="Q67" s="383"/>
      <c r="R67" s="177"/>
    </row>
    <row r="68" spans="1:18" ht="15.75" customHeight="1">
      <c r="A68" s="683"/>
      <c r="B68" s="684"/>
      <c r="C68" s="203" t="s">
        <v>210</v>
      </c>
      <c r="D68" s="680" t="s">
        <v>507</v>
      </c>
      <c r="E68" s="680"/>
      <c r="F68" s="680"/>
      <c r="G68" s="200">
        <v>5</v>
      </c>
      <c r="H68" s="204">
        <v>2721.0005940949095</v>
      </c>
      <c r="I68" s="205">
        <v>544.20011881898188</v>
      </c>
      <c r="J68" s="220">
        <f>I68-I42</f>
        <v>1.2588829228799341</v>
      </c>
      <c r="K68" s="679" t="s">
        <v>427</v>
      </c>
      <c r="L68" s="680"/>
      <c r="M68" s="188"/>
      <c r="N68" s="177"/>
      <c r="O68" s="177"/>
      <c r="P68" s="383"/>
      <c r="Q68" s="383"/>
      <c r="R68" s="177"/>
    </row>
    <row r="69" spans="1:18" ht="15.75" customHeight="1">
      <c r="A69" s="683"/>
      <c r="B69" s="684"/>
      <c r="C69" s="203" t="s">
        <v>211</v>
      </c>
      <c r="D69" s="680" t="s">
        <v>229</v>
      </c>
      <c r="E69" s="680"/>
      <c r="F69" s="680"/>
      <c r="G69" s="200">
        <v>5</v>
      </c>
      <c r="H69" s="204">
        <v>2986.5000000000005</v>
      </c>
      <c r="I69" s="205">
        <v>597.30000000000007</v>
      </c>
      <c r="J69" s="220"/>
      <c r="K69" s="679" t="s">
        <v>427</v>
      </c>
      <c r="L69" s="680"/>
      <c r="M69" s="188"/>
      <c r="N69" s="177"/>
      <c r="O69" s="177"/>
      <c r="P69" s="383"/>
      <c r="Q69" s="383"/>
      <c r="R69" s="177"/>
    </row>
    <row r="70" spans="1:18" s="198" customFormat="1" ht="15.75" customHeight="1">
      <c r="A70" s="681" t="s">
        <v>188</v>
      </c>
      <c r="B70" s="681"/>
      <c r="C70" s="206" t="s">
        <v>47</v>
      </c>
      <c r="D70" s="681" t="s">
        <v>12</v>
      </c>
      <c r="E70" s="682"/>
      <c r="F70" s="682"/>
      <c r="G70" s="206" t="s">
        <v>46</v>
      </c>
      <c r="H70" s="206" t="s">
        <v>374</v>
      </c>
      <c r="I70" s="206" t="s">
        <v>375</v>
      </c>
      <c r="J70" s="159" t="s">
        <v>332</v>
      </c>
      <c r="K70" s="681" t="s">
        <v>50</v>
      </c>
      <c r="L70" s="682"/>
      <c r="M70" s="207"/>
      <c r="N70" s="177"/>
      <c r="O70" s="177"/>
      <c r="P70" s="383"/>
      <c r="Q70" s="383"/>
      <c r="R70" s="177"/>
    </row>
    <row r="71" spans="1:18" ht="15.75" customHeight="1">
      <c r="A71" s="683">
        <v>2</v>
      </c>
      <c r="B71" s="684" t="s">
        <v>155</v>
      </c>
      <c r="C71" s="199">
        <v>1</v>
      </c>
      <c r="D71" s="679" t="s">
        <v>346</v>
      </c>
      <c r="E71" s="680"/>
      <c r="F71" s="680"/>
      <c r="G71" s="199">
        <v>10</v>
      </c>
      <c r="H71" s="201">
        <v>3216.8381225817602</v>
      </c>
      <c r="I71" s="202">
        <v>321.68381225817592</v>
      </c>
      <c r="J71" s="220">
        <f>I71-I45</f>
        <v>8.2285714285603717E-2</v>
      </c>
      <c r="K71" s="679" t="s">
        <v>427</v>
      </c>
      <c r="L71" s="680"/>
      <c r="M71" s="188"/>
      <c r="N71" s="177"/>
      <c r="O71" s="177"/>
      <c r="P71" s="383"/>
      <c r="Q71" s="383"/>
      <c r="R71" s="177"/>
    </row>
    <row r="72" spans="1:18" ht="15.75" customHeight="1">
      <c r="A72" s="683"/>
      <c r="B72" s="684"/>
      <c r="C72" s="199">
        <v>2</v>
      </c>
      <c r="D72" s="679" t="s">
        <v>522</v>
      </c>
      <c r="E72" s="680"/>
      <c r="F72" s="680"/>
      <c r="G72" s="199">
        <v>11</v>
      </c>
      <c r="H72" s="201">
        <v>3162.4819884163567</v>
      </c>
      <c r="I72" s="202">
        <v>287.49836258330521</v>
      </c>
      <c r="J72" s="220">
        <f>I72-I46</f>
        <v>-0.20752169424969225</v>
      </c>
      <c r="K72" s="679" t="s">
        <v>427</v>
      </c>
      <c r="L72" s="680"/>
      <c r="M72" s="188"/>
      <c r="N72" s="177"/>
      <c r="O72" s="177"/>
      <c r="P72" s="383"/>
      <c r="Q72" s="383"/>
      <c r="R72" s="177"/>
    </row>
    <row r="73" spans="1:18" ht="15.75" customHeight="1">
      <c r="A73" s="683"/>
      <c r="B73" s="684"/>
      <c r="C73" s="199">
        <v>3</v>
      </c>
      <c r="D73" s="679" t="s">
        <v>521</v>
      </c>
      <c r="E73" s="680"/>
      <c r="F73" s="680"/>
      <c r="G73" s="199">
        <v>11</v>
      </c>
      <c r="H73" s="201">
        <v>3162.4030191664701</v>
      </c>
      <c r="I73" s="202">
        <v>287.49118356058818</v>
      </c>
      <c r="J73" s="220">
        <f>I73-I47</f>
        <v>-0.11848381584377421</v>
      </c>
      <c r="K73" s="679" t="s">
        <v>427</v>
      </c>
      <c r="L73" s="680"/>
      <c r="M73" s="188"/>
      <c r="N73" s="177"/>
      <c r="O73" s="177"/>
      <c r="P73" s="383"/>
      <c r="Q73" s="383"/>
      <c r="R73" s="177"/>
    </row>
    <row r="74" spans="1:18" ht="15.75" customHeight="1">
      <c r="A74" s="683"/>
      <c r="B74" s="684"/>
      <c r="C74" s="199">
        <v>4</v>
      </c>
      <c r="D74" s="679"/>
      <c r="E74" s="680"/>
      <c r="F74" s="680"/>
      <c r="G74" s="199"/>
      <c r="H74" s="201"/>
      <c r="I74" s="202"/>
      <c r="J74" s="220"/>
      <c r="K74" s="679"/>
      <c r="L74" s="680"/>
      <c r="M74" s="188"/>
      <c r="N74" s="177"/>
      <c r="O74" s="177"/>
      <c r="P74" s="383"/>
      <c r="Q74" s="383"/>
      <c r="R74" s="177"/>
    </row>
    <row r="75" spans="1:18" ht="15.75" customHeight="1">
      <c r="A75" s="683"/>
      <c r="B75" s="684"/>
      <c r="C75" s="199">
        <v>5</v>
      </c>
      <c r="D75" s="679"/>
      <c r="E75" s="680"/>
      <c r="F75" s="680"/>
      <c r="G75" s="199"/>
      <c r="H75" s="201"/>
      <c r="I75" s="202"/>
      <c r="J75" s="220"/>
      <c r="K75" s="679"/>
      <c r="L75" s="680"/>
      <c r="M75" s="188"/>
      <c r="N75" s="177"/>
      <c r="O75" s="177"/>
      <c r="P75" s="383"/>
      <c r="Q75" s="383"/>
      <c r="R75" s="177"/>
    </row>
    <row r="76" spans="1:18" ht="15.75" customHeight="1">
      <c r="A76" s="683"/>
      <c r="B76" s="684"/>
      <c r="C76" s="203" t="s">
        <v>204</v>
      </c>
      <c r="D76" s="679"/>
      <c r="E76" s="680"/>
      <c r="F76" s="680"/>
      <c r="G76" s="199"/>
      <c r="H76" s="201"/>
      <c r="I76" s="202"/>
      <c r="J76" s="199"/>
      <c r="K76" s="679"/>
      <c r="L76" s="680"/>
      <c r="M76" s="188"/>
      <c r="N76" s="177"/>
      <c r="O76" s="177"/>
      <c r="P76" s="383"/>
      <c r="Q76" s="383"/>
      <c r="R76" s="177"/>
    </row>
    <row r="77" spans="1:18" ht="15.75" customHeight="1">
      <c r="A77" s="683"/>
      <c r="B77" s="684"/>
      <c r="C77" s="203" t="s">
        <v>209</v>
      </c>
      <c r="D77" s="679"/>
      <c r="E77" s="680"/>
      <c r="F77" s="680"/>
      <c r="G77" s="199"/>
      <c r="H77" s="201"/>
      <c r="I77" s="202"/>
      <c r="J77" s="199"/>
      <c r="K77" s="679"/>
      <c r="L77" s="680"/>
      <c r="M77" s="188"/>
      <c r="N77" s="177"/>
      <c r="O77" s="177"/>
      <c r="P77" s="383"/>
      <c r="Q77" s="383"/>
      <c r="R77" s="177"/>
    </row>
    <row r="78" spans="1:18" ht="15.75" customHeight="1">
      <c r="A78" s="683"/>
      <c r="B78" s="684"/>
      <c r="C78" s="203" t="s">
        <v>205</v>
      </c>
      <c r="D78" s="679"/>
      <c r="E78" s="680"/>
      <c r="F78" s="680"/>
      <c r="G78" s="199"/>
      <c r="H78" s="201"/>
      <c r="I78" s="202"/>
      <c r="J78" s="199"/>
      <c r="K78" s="679"/>
      <c r="L78" s="680"/>
      <c r="M78" s="188"/>
      <c r="N78" s="177"/>
      <c r="O78" s="177"/>
      <c r="P78" s="383"/>
      <c r="Q78" s="383"/>
      <c r="R78" s="177"/>
    </row>
    <row r="79" spans="1:18" ht="15.75" customHeight="1">
      <c r="A79" s="683"/>
      <c r="B79" s="684"/>
      <c r="C79" s="203" t="s">
        <v>210</v>
      </c>
      <c r="D79" s="679"/>
      <c r="E79" s="680"/>
      <c r="F79" s="680"/>
      <c r="G79" s="199"/>
      <c r="H79" s="201"/>
      <c r="I79" s="202"/>
      <c r="J79" s="199"/>
      <c r="K79" s="679"/>
      <c r="L79" s="680"/>
      <c r="M79" s="188"/>
      <c r="N79" s="177"/>
      <c r="O79" s="177"/>
      <c r="P79" s="383"/>
      <c r="Q79" s="383"/>
      <c r="R79" s="177"/>
    </row>
    <row r="80" spans="1:18" ht="15.75" customHeight="1">
      <c r="A80" s="683"/>
      <c r="B80" s="684"/>
      <c r="C80" s="203" t="s">
        <v>211</v>
      </c>
      <c r="D80" s="679"/>
      <c r="E80" s="680"/>
      <c r="F80" s="680"/>
      <c r="G80" s="199"/>
      <c r="H80" s="201"/>
      <c r="I80" s="202"/>
      <c r="J80" s="199"/>
      <c r="K80" s="679"/>
      <c r="L80" s="680"/>
      <c r="M80" s="188"/>
      <c r="N80" s="177"/>
      <c r="O80" s="177"/>
      <c r="P80" s="383"/>
      <c r="Q80" s="383"/>
      <c r="R80" s="177"/>
    </row>
    <row r="81" spans="1:18" ht="15.75" customHeight="1">
      <c r="A81" s="685" t="s">
        <v>851</v>
      </c>
      <c r="B81" s="685"/>
      <c r="C81" s="685"/>
      <c r="D81" s="685"/>
      <c r="E81" s="685"/>
      <c r="F81" s="685"/>
      <c r="G81" s="685"/>
      <c r="H81" s="685"/>
      <c r="I81" s="685"/>
      <c r="J81" s="685"/>
      <c r="K81" s="685"/>
      <c r="L81" s="685"/>
      <c r="M81" s="188"/>
    </row>
    <row r="82" spans="1:18" s="189" customFormat="1" ht="15.75" customHeight="1">
      <c r="A82" s="685"/>
      <c r="B82" s="685"/>
      <c r="C82" s="685"/>
      <c r="D82" s="685"/>
      <c r="E82" s="685"/>
      <c r="F82" s="685"/>
      <c r="G82" s="685"/>
      <c r="H82" s="685"/>
      <c r="I82" s="685"/>
      <c r="J82" s="685"/>
      <c r="K82" s="685"/>
      <c r="L82" s="685"/>
    </row>
    <row r="83" spans="1:18" s="177" customFormat="1" ht="15.75" customHeight="1">
      <c r="A83" s="683" t="s">
        <v>162</v>
      </c>
      <c r="B83" s="190">
        <v>1</v>
      </c>
      <c r="C83" s="190">
        <v>2</v>
      </c>
      <c r="D83" s="169">
        <v>3</v>
      </c>
      <c r="E83" s="169">
        <v>4</v>
      </c>
      <c r="F83" s="169">
        <v>5</v>
      </c>
      <c r="G83" s="169">
        <v>6</v>
      </c>
      <c r="H83" s="169">
        <v>7</v>
      </c>
      <c r="I83" s="169">
        <v>8</v>
      </c>
      <c r="J83" s="169">
        <v>9</v>
      </c>
      <c r="K83" s="191"/>
      <c r="L83" s="191"/>
      <c r="M83" s="192"/>
    </row>
    <row r="84" spans="1:18" ht="16.350000000000001" customHeight="1">
      <c r="A84" s="683"/>
      <c r="B84" s="193" t="s">
        <v>206</v>
      </c>
      <c r="C84" s="193" t="s">
        <v>155</v>
      </c>
      <c r="D84" s="194" t="s">
        <v>207</v>
      </c>
      <c r="E84" s="194" t="s">
        <v>156</v>
      </c>
      <c r="F84" s="194" t="s">
        <v>348</v>
      </c>
      <c r="G84" s="195" t="s">
        <v>136</v>
      </c>
      <c r="H84" s="196" t="s">
        <v>208</v>
      </c>
      <c r="I84" s="195" t="s">
        <v>373</v>
      </c>
      <c r="J84" s="195" t="s">
        <v>142</v>
      </c>
      <c r="K84" s="197"/>
      <c r="L84" s="197"/>
      <c r="N84" s="198"/>
      <c r="O84" s="198"/>
      <c r="P84" s="198"/>
      <c r="Q84" s="198"/>
      <c r="R84" s="198"/>
    </row>
    <row r="85" spans="1:18" s="177" customFormat="1" ht="15.75" customHeight="1">
      <c r="A85" s="684" t="s">
        <v>188</v>
      </c>
      <c r="B85" s="684"/>
      <c r="C85" s="159" t="s">
        <v>47</v>
      </c>
      <c r="D85" s="684" t="s">
        <v>12</v>
      </c>
      <c r="E85" s="686"/>
      <c r="F85" s="686"/>
      <c r="G85" s="159" t="s">
        <v>46</v>
      </c>
      <c r="H85" s="159" t="s">
        <v>374</v>
      </c>
      <c r="I85" s="159" t="s">
        <v>375</v>
      </c>
      <c r="J85" s="159" t="s">
        <v>332</v>
      </c>
      <c r="K85" s="684" t="s">
        <v>51</v>
      </c>
      <c r="L85" s="686"/>
      <c r="M85" s="192"/>
      <c r="N85" s="188"/>
      <c r="P85" s="383"/>
      <c r="Q85" s="383"/>
    </row>
    <row r="86" spans="1:18" ht="15.75" customHeight="1">
      <c r="A86" s="683">
        <v>1</v>
      </c>
      <c r="B86" s="684" t="s">
        <v>376</v>
      </c>
      <c r="C86" s="199">
        <v>1</v>
      </c>
      <c r="D86" s="679" t="s">
        <v>388</v>
      </c>
      <c r="E86" s="680"/>
      <c r="F86" s="680"/>
      <c r="G86" s="199">
        <v>3</v>
      </c>
      <c r="H86" s="201">
        <v>3203.8621242231102</v>
      </c>
      <c r="I86" s="202">
        <v>1067.9540414077035</v>
      </c>
      <c r="J86" s="220">
        <f>I86-I60</f>
        <v>1.5031840209421716</v>
      </c>
      <c r="K86" s="679" t="s">
        <v>427</v>
      </c>
      <c r="L86" s="680"/>
      <c r="N86" s="177"/>
      <c r="O86" s="177"/>
      <c r="P86" s="383"/>
      <c r="Q86" s="383"/>
      <c r="R86" s="177"/>
    </row>
    <row r="87" spans="1:18" ht="15.75" customHeight="1">
      <c r="A87" s="683"/>
      <c r="B87" s="684"/>
      <c r="C87" s="199">
        <v>2</v>
      </c>
      <c r="D87" s="679" t="s">
        <v>398</v>
      </c>
      <c r="E87" s="680"/>
      <c r="F87" s="680"/>
      <c r="G87" s="199">
        <v>3</v>
      </c>
      <c r="H87" s="201">
        <v>3202.0315139672443</v>
      </c>
      <c r="I87" s="202">
        <v>1067.3438379890813</v>
      </c>
      <c r="J87" s="220">
        <f>I87-I61</f>
        <v>1.2222004486766309</v>
      </c>
      <c r="K87" s="679" t="s">
        <v>427</v>
      </c>
      <c r="L87" s="680"/>
      <c r="N87" s="177"/>
      <c r="O87" s="177"/>
      <c r="P87" s="383"/>
      <c r="Q87" s="383"/>
      <c r="R87" s="177"/>
    </row>
    <row r="88" spans="1:18" ht="15.75" customHeight="1">
      <c r="A88" s="683"/>
      <c r="B88" s="684"/>
      <c r="C88" s="199">
        <v>3</v>
      </c>
      <c r="D88" s="679" t="s">
        <v>390</v>
      </c>
      <c r="E88" s="680"/>
      <c r="F88" s="680"/>
      <c r="G88" s="199">
        <v>3</v>
      </c>
      <c r="H88" s="201">
        <v>3198.9039519012726</v>
      </c>
      <c r="I88" s="202">
        <v>1066.3013173004242</v>
      </c>
      <c r="J88" s="220"/>
      <c r="K88" s="679" t="s">
        <v>427</v>
      </c>
      <c r="L88" s="680"/>
      <c r="N88" s="177"/>
      <c r="O88" s="177"/>
      <c r="P88" s="383"/>
      <c r="Q88" s="383"/>
      <c r="R88" s="177"/>
    </row>
    <row r="89" spans="1:18" ht="15.75" customHeight="1">
      <c r="A89" s="683"/>
      <c r="B89" s="684"/>
      <c r="C89" s="199">
        <v>4</v>
      </c>
      <c r="D89" s="679" t="s">
        <v>399</v>
      </c>
      <c r="E89" s="680"/>
      <c r="F89" s="680"/>
      <c r="G89" s="199">
        <v>3</v>
      </c>
      <c r="H89" s="201">
        <v>3198.7215002609555</v>
      </c>
      <c r="I89" s="202">
        <v>1066.2405000869851</v>
      </c>
      <c r="J89" s="220"/>
      <c r="K89" s="679" t="s">
        <v>427</v>
      </c>
      <c r="L89" s="680"/>
      <c r="N89" s="177"/>
      <c r="O89" s="177"/>
      <c r="P89" s="383"/>
      <c r="Q89" s="383"/>
      <c r="R89" s="177"/>
    </row>
    <row r="90" spans="1:18" ht="15.75" customHeight="1">
      <c r="A90" s="683"/>
      <c r="B90" s="684"/>
      <c r="C90" s="199">
        <v>5</v>
      </c>
      <c r="D90" s="679" t="s">
        <v>434</v>
      </c>
      <c r="E90" s="680"/>
      <c r="F90" s="680"/>
      <c r="G90" s="199">
        <v>3</v>
      </c>
      <c r="H90" s="201">
        <v>3198.4515359239836</v>
      </c>
      <c r="I90" s="202">
        <v>1066.1505119746612</v>
      </c>
      <c r="J90" s="220"/>
      <c r="K90" s="679" t="s">
        <v>427</v>
      </c>
      <c r="L90" s="680"/>
      <c r="O90" s="177"/>
      <c r="P90" s="383"/>
      <c r="Q90" s="383"/>
      <c r="R90" s="177"/>
    </row>
    <row r="91" spans="1:18" ht="15.75" customHeight="1">
      <c r="A91" s="683"/>
      <c r="B91" s="684"/>
      <c r="C91" s="203" t="s">
        <v>204</v>
      </c>
      <c r="D91" s="680" t="s">
        <v>439</v>
      </c>
      <c r="E91" s="680"/>
      <c r="F91" s="680"/>
      <c r="G91" s="200">
        <v>12</v>
      </c>
      <c r="H91" s="204">
        <v>3120.2569241702872</v>
      </c>
      <c r="I91" s="205">
        <v>260.0214103475239</v>
      </c>
      <c r="J91" s="220">
        <f>I91-I67</f>
        <v>-4.4862851994594166E-2</v>
      </c>
      <c r="K91" s="679" t="s">
        <v>427</v>
      </c>
      <c r="L91" s="680"/>
      <c r="N91" s="177"/>
      <c r="O91" s="177"/>
      <c r="P91" s="383"/>
      <c r="Q91" s="383"/>
      <c r="R91" s="177"/>
    </row>
    <row r="92" spans="1:18" ht="15.75" customHeight="1">
      <c r="A92" s="683"/>
      <c r="B92" s="684"/>
      <c r="C92" s="203" t="s">
        <v>209</v>
      </c>
      <c r="D92" s="680" t="s">
        <v>436</v>
      </c>
      <c r="E92" s="680"/>
      <c r="F92" s="680"/>
      <c r="G92" s="200">
        <v>12</v>
      </c>
      <c r="H92" s="204">
        <v>3120.6392774272272</v>
      </c>
      <c r="I92" s="205">
        <v>260.05327311893558</v>
      </c>
      <c r="J92" s="220">
        <f>I92-I66</f>
        <v>0.1281797493681438</v>
      </c>
      <c r="K92" s="679" t="s">
        <v>427</v>
      </c>
      <c r="L92" s="680"/>
      <c r="N92" s="177"/>
      <c r="O92" s="177"/>
      <c r="P92" s="383"/>
      <c r="Q92" s="383"/>
      <c r="R92" s="177"/>
    </row>
    <row r="93" spans="1:18" ht="15.75" customHeight="1">
      <c r="A93" s="683"/>
      <c r="B93" s="684"/>
      <c r="C93" s="203" t="s">
        <v>205</v>
      </c>
      <c r="D93" s="680" t="s">
        <v>507</v>
      </c>
      <c r="E93" s="680"/>
      <c r="F93" s="680"/>
      <c r="G93" s="200">
        <v>5</v>
      </c>
      <c r="H93" s="204">
        <v>2725.5869174917507</v>
      </c>
      <c r="I93" s="205">
        <v>545.11738349835014</v>
      </c>
      <c r="J93" s="220">
        <f>I93-I68</f>
        <v>0.91726467936825884</v>
      </c>
      <c r="K93" s="679" t="s">
        <v>427</v>
      </c>
      <c r="L93" s="680"/>
      <c r="N93" s="177"/>
      <c r="O93" s="177"/>
      <c r="P93" s="383"/>
      <c r="Q93" s="383"/>
      <c r="R93" s="177"/>
    </row>
    <row r="94" spans="1:18" ht="15.75" customHeight="1">
      <c r="A94" s="683"/>
      <c r="B94" s="684"/>
      <c r="C94" s="203" t="s">
        <v>210</v>
      </c>
      <c r="D94" s="680" t="s">
        <v>229</v>
      </c>
      <c r="E94" s="680"/>
      <c r="F94" s="680"/>
      <c r="G94" s="200">
        <v>5</v>
      </c>
      <c r="H94" s="204">
        <v>2991.4216728101501</v>
      </c>
      <c r="I94" s="205">
        <v>598.28433456203015</v>
      </c>
      <c r="J94" s="220">
        <f>I94-I69</f>
        <v>0.98433456203008518</v>
      </c>
      <c r="K94" s="679" t="s">
        <v>427</v>
      </c>
      <c r="L94" s="680"/>
      <c r="M94" s="188"/>
      <c r="N94" s="177"/>
      <c r="O94" s="177"/>
      <c r="P94" s="383"/>
      <c r="Q94" s="383"/>
      <c r="R94" s="177"/>
    </row>
    <row r="95" spans="1:18" ht="15.75" customHeight="1">
      <c r="A95" s="683"/>
      <c r="B95" s="684"/>
      <c r="C95" s="203" t="s">
        <v>211</v>
      </c>
      <c r="D95" s="680" t="s">
        <v>344</v>
      </c>
      <c r="E95" s="680"/>
      <c r="F95" s="680"/>
      <c r="G95" s="200">
        <v>5</v>
      </c>
      <c r="H95" s="204">
        <v>2994.1842857142833</v>
      </c>
      <c r="I95" s="205">
        <v>598.83685714285662</v>
      </c>
      <c r="J95" s="220"/>
      <c r="K95" s="679" t="s">
        <v>427</v>
      </c>
      <c r="L95" s="680"/>
      <c r="M95" s="188"/>
      <c r="N95" s="177"/>
      <c r="O95" s="177"/>
      <c r="P95" s="383"/>
      <c r="Q95" s="383"/>
      <c r="R95" s="177"/>
    </row>
    <row r="96" spans="1:18" s="198" customFormat="1" ht="15.75" customHeight="1">
      <c r="A96" s="681" t="s">
        <v>188</v>
      </c>
      <c r="B96" s="681"/>
      <c r="C96" s="206" t="s">
        <v>47</v>
      </c>
      <c r="D96" s="681" t="s">
        <v>12</v>
      </c>
      <c r="E96" s="682"/>
      <c r="F96" s="682"/>
      <c r="G96" s="206" t="s">
        <v>46</v>
      </c>
      <c r="H96" s="206" t="s">
        <v>374</v>
      </c>
      <c r="I96" s="206" t="s">
        <v>375</v>
      </c>
      <c r="J96" s="159" t="s">
        <v>332</v>
      </c>
      <c r="K96" s="681" t="s">
        <v>50</v>
      </c>
      <c r="L96" s="682"/>
      <c r="M96" s="207"/>
      <c r="N96" s="177"/>
      <c r="O96" s="177"/>
      <c r="P96" s="383"/>
      <c r="Q96" s="383"/>
      <c r="R96" s="177"/>
    </row>
    <row r="97" spans="1:18" ht="15.75" customHeight="1">
      <c r="A97" s="683">
        <v>2</v>
      </c>
      <c r="B97" s="684" t="s">
        <v>155</v>
      </c>
      <c r="C97" s="199">
        <v>1</v>
      </c>
      <c r="D97" s="679" t="s">
        <v>346</v>
      </c>
      <c r="E97" s="680"/>
      <c r="F97" s="680"/>
      <c r="G97" s="199">
        <v>10</v>
      </c>
      <c r="H97" s="201">
        <v>3217.9181225817588</v>
      </c>
      <c r="I97" s="202">
        <v>321.79181225817587</v>
      </c>
      <c r="J97" s="220">
        <f>I97-I71</f>
        <v>0.10799999999994725</v>
      </c>
      <c r="K97" s="679" t="s">
        <v>427</v>
      </c>
      <c r="L97" s="680"/>
      <c r="M97" s="188"/>
      <c r="N97" s="177"/>
      <c r="O97" s="177"/>
      <c r="P97" s="383"/>
      <c r="Q97" s="383"/>
      <c r="R97" s="177"/>
    </row>
    <row r="98" spans="1:18" ht="15.75" customHeight="1">
      <c r="A98" s="683"/>
      <c r="B98" s="684"/>
      <c r="C98" s="199">
        <v>2</v>
      </c>
      <c r="D98" s="679" t="s">
        <v>521</v>
      </c>
      <c r="E98" s="680"/>
      <c r="F98" s="680"/>
      <c r="G98" s="199">
        <v>11</v>
      </c>
      <c r="H98" s="201">
        <v>3158.7572389628654</v>
      </c>
      <c r="I98" s="202">
        <v>287.1597489966241</v>
      </c>
      <c r="J98" s="220">
        <f>I98-I73</f>
        <v>-0.33143456396408055</v>
      </c>
      <c r="K98" s="679" t="s">
        <v>427</v>
      </c>
      <c r="L98" s="680"/>
      <c r="M98" s="188"/>
      <c r="N98" s="177"/>
      <c r="O98" s="177"/>
      <c r="P98" s="383"/>
      <c r="Q98" s="383"/>
      <c r="R98" s="177"/>
    </row>
    <row r="99" spans="1:18" ht="15.75" customHeight="1">
      <c r="A99" s="683"/>
      <c r="B99" s="684"/>
      <c r="C99" s="199">
        <v>3</v>
      </c>
      <c r="D99" s="679" t="s">
        <v>522</v>
      </c>
      <c r="E99" s="680"/>
      <c r="F99" s="680"/>
      <c r="G99" s="199">
        <v>11</v>
      </c>
      <c r="H99" s="201">
        <v>3158.2950576412036</v>
      </c>
      <c r="I99" s="202">
        <v>287.11773251283665</v>
      </c>
      <c r="J99" s="220">
        <f>I99-I72</f>
        <v>-0.38063007046855546</v>
      </c>
      <c r="K99" s="679" t="s">
        <v>427</v>
      </c>
      <c r="L99" s="680"/>
      <c r="M99" s="188"/>
      <c r="N99" s="177"/>
      <c r="O99" s="177"/>
      <c r="P99" s="383"/>
      <c r="Q99" s="383"/>
      <c r="R99" s="177"/>
    </row>
    <row r="100" spans="1:18" ht="15.75" customHeight="1">
      <c r="A100" s="683"/>
      <c r="B100" s="684"/>
      <c r="C100" s="199">
        <v>4</v>
      </c>
      <c r="D100" s="679" t="s">
        <v>849</v>
      </c>
      <c r="E100" s="680"/>
      <c r="F100" s="680"/>
      <c r="G100" s="199">
        <v>12</v>
      </c>
      <c r="H100" s="201">
        <v>3091.1692080529565</v>
      </c>
      <c r="I100" s="202">
        <v>257.597434004413</v>
      </c>
      <c r="J100" s="220"/>
      <c r="K100" s="679" t="s">
        <v>866</v>
      </c>
      <c r="L100" s="680"/>
      <c r="M100" s="188"/>
      <c r="N100" s="177"/>
      <c r="O100" s="177"/>
      <c r="P100" s="383"/>
      <c r="Q100" s="383"/>
      <c r="R100" s="177"/>
    </row>
    <row r="101" spans="1:18" ht="15.75" customHeight="1">
      <c r="A101" s="683"/>
      <c r="B101" s="684"/>
      <c r="C101" s="199">
        <v>5</v>
      </c>
      <c r="D101" s="679"/>
      <c r="E101" s="680"/>
      <c r="F101" s="680"/>
      <c r="G101" s="199"/>
      <c r="H101" s="201"/>
      <c r="I101" s="202"/>
      <c r="J101" s="220"/>
      <c r="K101" s="679"/>
      <c r="L101" s="680"/>
      <c r="M101" s="188"/>
      <c r="N101" s="177"/>
      <c r="O101" s="177"/>
      <c r="P101" s="383"/>
      <c r="Q101" s="383"/>
      <c r="R101" s="177"/>
    </row>
    <row r="102" spans="1:18" ht="15.75" customHeight="1">
      <c r="A102" s="683"/>
      <c r="B102" s="684"/>
      <c r="C102" s="203" t="s">
        <v>204</v>
      </c>
      <c r="D102" s="679"/>
      <c r="E102" s="680"/>
      <c r="F102" s="680"/>
      <c r="G102" s="199"/>
      <c r="H102" s="201"/>
      <c r="I102" s="202"/>
      <c r="J102" s="199"/>
      <c r="K102" s="679"/>
      <c r="L102" s="680"/>
      <c r="M102" s="188"/>
      <c r="N102" s="177"/>
      <c r="O102" s="177"/>
      <c r="P102" s="383"/>
      <c r="Q102" s="383"/>
      <c r="R102" s="177"/>
    </row>
    <row r="103" spans="1:18" ht="15.75" customHeight="1">
      <c r="A103" s="683"/>
      <c r="B103" s="684"/>
      <c r="C103" s="203" t="s">
        <v>209</v>
      </c>
      <c r="D103" s="679"/>
      <c r="E103" s="680"/>
      <c r="F103" s="680"/>
      <c r="G103" s="199"/>
      <c r="H103" s="201"/>
      <c r="I103" s="202"/>
      <c r="J103" s="199"/>
      <c r="K103" s="679"/>
      <c r="L103" s="680"/>
      <c r="M103" s="188"/>
      <c r="N103" s="177"/>
      <c r="O103" s="177"/>
      <c r="P103" s="383"/>
      <c r="Q103" s="383"/>
      <c r="R103" s="177"/>
    </row>
    <row r="104" spans="1:18" ht="15.75" customHeight="1">
      <c r="A104" s="683"/>
      <c r="B104" s="684"/>
      <c r="C104" s="203" t="s">
        <v>205</v>
      </c>
      <c r="D104" s="679"/>
      <c r="E104" s="680"/>
      <c r="F104" s="680"/>
      <c r="G104" s="199"/>
      <c r="H104" s="201"/>
      <c r="I104" s="202"/>
      <c r="J104" s="199"/>
      <c r="K104" s="679"/>
      <c r="L104" s="680"/>
      <c r="M104" s="188"/>
      <c r="N104" s="177"/>
      <c r="O104" s="177"/>
      <c r="P104" s="383"/>
      <c r="Q104" s="383"/>
      <c r="R104" s="177"/>
    </row>
    <row r="105" spans="1:18" ht="15.75" customHeight="1">
      <c r="A105" s="683"/>
      <c r="B105" s="684"/>
      <c r="C105" s="203" t="s">
        <v>210</v>
      </c>
      <c r="D105" s="679"/>
      <c r="E105" s="680"/>
      <c r="F105" s="680"/>
      <c r="G105" s="199"/>
      <c r="H105" s="201"/>
      <c r="I105" s="202"/>
      <c r="J105" s="199"/>
      <c r="K105" s="679"/>
      <c r="L105" s="680"/>
      <c r="M105" s="188"/>
      <c r="N105" s="177"/>
      <c r="O105" s="177"/>
      <c r="P105" s="383"/>
      <c r="Q105" s="383"/>
      <c r="R105" s="177"/>
    </row>
    <row r="106" spans="1:18" ht="15.75" customHeight="1">
      <c r="A106" s="683"/>
      <c r="B106" s="684"/>
      <c r="C106" s="203" t="s">
        <v>211</v>
      </c>
      <c r="D106" s="679"/>
      <c r="E106" s="680"/>
      <c r="F106" s="680"/>
      <c r="G106" s="199"/>
      <c r="H106" s="201"/>
      <c r="I106" s="202"/>
      <c r="J106" s="199"/>
      <c r="K106" s="679"/>
      <c r="L106" s="680"/>
      <c r="M106" s="188"/>
      <c r="N106" s="177"/>
      <c r="O106" s="177"/>
      <c r="P106" s="383"/>
      <c r="Q106" s="383"/>
      <c r="R106" s="177"/>
    </row>
    <row r="107" spans="1:18" ht="15.75" customHeight="1">
      <c r="A107" s="685" t="s">
        <v>852</v>
      </c>
      <c r="B107" s="685"/>
      <c r="C107" s="685"/>
      <c r="D107" s="685"/>
      <c r="E107" s="685"/>
      <c r="F107" s="685"/>
      <c r="G107" s="685"/>
      <c r="H107" s="685"/>
      <c r="I107" s="685"/>
      <c r="J107" s="685"/>
      <c r="K107" s="685"/>
      <c r="L107" s="685"/>
      <c r="M107" s="188"/>
    </row>
    <row r="108" spans="1:18" s="189" customFormat="1" ht="15.75" customHeight="1">
      <c r="A108" s="685"/>
      <c r="B108" s="685"/>
      <c r="C108" s="685"/>
      <c r="D108" s="685"/>
      <c r="E108" s="685"/>
      <c r="F108" s="685"/>
      <c r="G108" s="685"/>
      <c r="H108" s="685"/>
      <c r="I108" s="685"/>
      <c r="J108" s="685"/>
      <c r="K108" s="685"/>
      <c r="L108" s="685"/>
    </row>
    <row r="109" spans="1:18" s="177" customFormat="1" ht="15.75" customHeight="1">
      <c r="A109" s="683" t="s">
        <v>162</v>
      </c>
      <c r="B109" s="190">
        <v>1</v>
      </c>
      <c r="C109" s="190">
        <v>2</v>
      </c>
      <c r="D109" s="169">
        <v>3</v>
      </c>
      <c r="E109" s="169">
        <v>4</v>
      </c>
      <c r="F109" s="169">
        <v>5</v>
      </c>
      <c r="G109" s="169">
        <v>6</v>
      </c>
      <c r="H109" s="169">
        <v>7</v>
      </c>
      <c r="I109" s="169">
        <v>8</v>
      </c>
      <c r="J109" s="169">
        <v>9</v>
      </c>
      <c r="K109" s="191"/>
      <c r="L109" s="191"/>
      <c r="M109" s="192"/>
    </row>
    <row r="110" spans="1:18" ht="16.350000000000001" customHeight="1">
      <c r="A110" s="683"/>
      <c r="B110" s="193" t="s">
        <v>206</v>
      </c>
      <c r="C110" s="193" t="s">
        <v>155</v>
      </c>
      <c r="D110" s="194" t="s">
        <v>207</v>
      </c>
      <c r="E110" s="194" t="s">
        <v>156</v>
      </c>
      <c r="F110" s="194" t="s">
        <v>348</v>
      </c>
      <c r="G110" s="195" t="s">
        <v>136</v>
      </c>
      <c r="H110" s="196" t="s">
        <v>208</v>
      </c>
      <c r="I110" s="195" t="s">
        <v>373</v>
      </c>
      <c r="J110" s="195" t="s">
        <v>142</v>
      </c>
      <c r="K110" s="197"/>
      <c r="L110" s="197"/>
      <c r="N110" s="198"/>
      <c r="O110" s="198"/>
      <c r="P110" s="198"/>
      <c r="Q110" s="198"/>
      <c r="R110" s="198"/>
    </row>
    <row r="111" spans="1:18" s="177" customFormat="1" ht="15.75" customHeight="1">
      <c r="A111" s="684" t="s">
        <v>188</v>
      </c>
      <c r="B111" s="684"/>
      <c r="C111" s="159" t="s">
        <v>47</v>
      </c>
      <c r="D111" s="684" t="s">
        <v>12</v>
      </c>
      <c r="E111" s="686"/>
      <c r="F111" s="686"/>
      <c r="G111" s="159" t="s">
        <v>46</v>
      </c>
      <c r="H111" s="159" t="s">
        <v>374</v>
      </c>
      <c r="I111" s="159" t="s">
        <v>375</v>
      </c>
      <c r="J111" s="159" t="s">
        <v>332</v>
      </c>
      <c r="K111" s="684" t="s">
        <v>51</v>
      </c>
      <c r="L111" s="686"/>
      <c r="M111" s="192"/>
      <c r="N111" s="188"/>
      <c r="P111" s="383"/>
      <c r="Q111" s="383"/>
    </row>
    <row r="112" spans="1:18" ht="15.75" customHeight="1">
      <c r="A112" s="683">
        <v>1</v>
      </c>
      <c r="B112" s="684" t="s">
        <v>376</v>
      </c>
      <c r="C112" s="199">
        <v>1</v>
      </c>
      <c r="D112" s="679" t="s">
        <v>434</v>
      </c>
      <c r="E112" s="680"/>
      <c r="F112" s="680"/>
      <c r="G112" s="199">
        <v>3</v>
      </c>
      <c r="H112" s="201">
        <v>3212.7668521761993</v>
      </c>
      <c r="I112" s="202">
        <v>1070.9222840587331</v>
      </c>
      <c r="J112" s="220">
        <f>I112-I90</f>
        <v>4.7717720840719267</v>
      </c>
      <c r="K112" s="679"/>
      <c r="L112" s="680"/>
      <c r="N112" s="177"/>
      <c r="O112" s="177"/>
      <c r="P112" s="383"/>
      <c r="Q112" s="383"/>
      <c r="R112" s="177"/>
    </row>
    <row r="113" spans="1:18" ht="15.75" customHeight="1">
      <c r="A113" s="683"/>
      <c r="B113" s="684"/>
      <c r="C113" s="199">
        <v>2</v>
      </c>
      <c r="D113" s="679" t="s">
        <v>390</v>
      </c>
      <c r="E113" s="680"/>
      <c r="F113" s="680"/>
      <c r="G113" s="199">
        <v>3</v>
      </c>
      <c r="H113" s="201">
        <v>3211.0646645229745</v>
      </c>
      <c r="I113" s="202">
        <v>1070.354888174325</v>
      </c>
      <c r="J113" s="220">
        <f>I113-I88</f>
        <v>4.0535708739007532</v>
      </c>
      <c r="K113" s="679"/>
      <c r="L113" s="680"/>
      <c r="N113" s="177"/>
      <c r="O113" s="177"/>
      <c r="P113" s="383"/>
      <c r="Q113" s="383"/>
      <c r="R113" s="177"/>
    </row>
    <row r="114" spans="1:18" ht="15.75" customHeight="1">
      <c r="A114" s="683"/>
      <c r="B114" s="684"/>
      <c r="C114" s="199">
        <v>3</v>
      </c>
      <c r="D114" s="679" t="s">
        <v>399</v>
      </c>
      <c r="E114" s="680"/>
      <c r="F114" s="680"/>
      <c r="G114" s="199">
        <v>3</v>
      </c>
      <c r="H114" s="201">
        <v>3210.2740297791215</v>
      </c>
      <c r="I114" s="202">
        <v>1070.0913432597072</v>
      </c>
      <c r="J114" s="220">
        <f>I114-I89</f>
        <v>3.8508431727220795</v>
      </c>
      <c r="K114" s="679"/>
      <c r="L114" s="680"/>
      <c r="N114" s="177"/>
      <c r="O114" s="177"/>
      <c r="P114" s="383"/>
      <c r="Q114" s="383"/>
      <c r="R114" s="177"/>
    </row>
    <row r="115" spans="1:18" ht="15.75" customHeight="1">
      <c r="A115" s="683"/>
      <c r="B115" s="684"/>
      <c r="C115" s="199">
        <v>4</v>
      </c>
      <c r="D115" s="679" t="s">
        <v>595</v>
      </c>
      <c r="E115" s="680"/>
      <c r="F115" s="680"/>
      <c r="G115" s="199">
        <v>3</v>
      </c>
      <c r="H115" s="201">
        <v>3210.1812150023106</v>
      </c>
      <c r="I115" s="202">
        <v>1070.0604050007701</v>
      </c>
      <c r="J115" s="220"/>
      <c r="K115" s="679"/>
      <c r="L115" s="680"/>
      <c r="N115" s="177"/>
      <c r="O115" s="177"/>
      <c r="P115" s="383"/>
      <c r="Q115" s="383"/>
      <c r="R115" s="177"/>
    </row>
    <row r="116" spans="1:18" ht="15.75" customHeight="1">
      <c r="A116" s="683"/>
      <c r="B116" s="684"/>
      <c r="C116" s="199">
        <v>5</v>
      </c>
      <c r="D116" s="679" t="s">
        <v>388</v>
      </c>
      <c r="E116" s="680"/>
      <c r="F116" s="680"/>
      <c r="G116" s="199">
        <v>3</v>
      </c>
      <c r="H116" s="201">
        <v>3207.9623703926045</v>
      </c>
      <c r="I116" s="202">
        <v>1069.3207901308681</v>
      </c>
      <c r="J116" s="220">
        <f>I116-I86</f>
        <v>1.3667487231646192</v>
      </c>
      <c r="K116" s="679"/>
      <c r="L116" s="680"/>
      <c r="O116" s="177"/>
      <c r="P116" s="383"/>
      <c r="Q116" s="383"/>
      <c r="R116" s="177"/>
    </row>
    <row r="117" spans="1:18" ht="15.75" customHeight="1">
      <c r="A117" s="683"/>
      <c r="B117" s="684"/>
      <c r="C117" s="203" t="s">
        <v>204</v>
      </c>
      <c r="D117" s="680" t="s">
        <v>436</v>
      </c>
      <c r="E117" s="680"/>
      <c r="F117" s="680"/>
      <c r="G117" s="200">
        <v>12</v>
      </c>
      <c r="H117" s="204">
        <v>3121.9778330090908</v>
      </c>
      <c r="I117" s="205">
        <v>260.16481941742421</v>
      </c>
      <c r="J117" s="220">
        <f>I117-I92</f>
        <v>0.11154629848863351</v>
      </c>
      <c r="K117" s="679"/>
      <c r="L117" s="680"/>
      <c r="N117" s="177"/>
      <c r="O117" s="177"/>
      <c r="P117" s="383"/>
      <c r="Q117" s="383"/>
      <c r="R117" s="177"/>
    </row>
    <row r="118" spans="1:18" ht="15.75" customHeight="1">
      <c r="A118" s="683"/>
      <c r="B118" s="684"/>
      <c r="C118" s="203" t="s">
        <v>209</v>
      </c>
      <c r="D118" s="680" t="s">
        <v>439</v>
      </c>
      <c r="E118" s="680"/>
      <c r="F118" s="680"/>
      <c r="G118" s="200">
        <v>12</v>
      </c>
      <c r="H118" s="204">
        <v>3122.112601323061</v>
      </c>
      <c r="I118" s="205">
        <v>260.17605011025506</v>
      </c>
      <c r="J118" s="220">
        <f>I118-I91</f>
        <v>0.15463976273116486</v>
      </c>
      <c r="K118" s="679"/>
      <c r="L118" s="680"/>
      <c r="N118" s="177"/>
      <c r="O118" s="177"/>
      <c r="P118" s="383"/>
      <c r="Q118" s="383"/>
      <c r="R118" s="177"/>
    </row>
    <row r="119" spans="1:18" ht="15.75" customHeight="1">
      <c r="A119" s="683"/>
      <c r="B119" s="684"/>
      <c r="C119" s="203" t="s">
        <v>205</v>
      </c>
      <c r="D119" s="680" t="s">
        <v>507</v>
      </c>
      <c r="E119" s="680"/>
      <c r="F119" s="680"/>
      <c r="G119" s="200">
        <v>5</v>
      </c>
      <c r="H119" s="204">
        <v>2733.913026083198</v>
      </c>
      <c r="I119" s="205">
        <v>546.78260521663969</v>
      </c>
      <c r="J119" s="220">
        <f>I119-I93</f>
        <v>1.6652217182895583</v>
      </c>
      <c r="K119" s="679"/>
      <c r="L119" s="680"/>
      <c r="N119" s="177"/>
      <c r="O119" s="177"/>
      <c r="P119" s="383"/>
      <c r="Q119" s="383"/>
      <c r="R119" s="177"/>
    </row>
    <row r="120" spans="1:18" ht="15.75" customHeight="1">
      <c r="A120" s="683"/>
      <c r="B120" s="684"/>
      <c r="C120" s="203" t="s">
        <v>210</v>
      </c>
      <c r="D120" s="680" t="s">
        <v>344</v>
      </c>
      <c r="E120" s="680"/>
      <c r="F120" s="680"/>
      <c r="G120" s="200">
        <v>5</v>
      </c>
      <c r="H120" s="204">
        <v>3005.9186417170326</v>
      </c>
      <c r="I120" s="205">
        <v>601.18372834340641</v>
      </c>
      <c r="J120" s="220">
        <f>I120-I95</f>
        <v>2.3468712005497991</v>
      </c>
      <c r="K120" s="679"/>
      <c r="L120" s="680"/>
      <c r="M120" s="188"/>
      <c r="N120" s="177"/>
      <c r="O120" s="177"/>
      <c r="P120" s="383"/>
      <c r="Q120" s="383"/>
      <c r="R120" s="177"/>
    </row>
    <row r="121" spans="1:18" ht="15.75" customHeight="1">
      <c r="A121" s="683"/>
      <c r="B121" s="684"/>
      <c r="C121" s="203" t="s">
        <v>211</v>
      </c>
      <c r="D121" s="680" t="s">
        <v>229</v>
      </c>
      <c r="E121" s="680"/>
      <c r="F121" s="680"/>
      <c r="G121" s="200">
        <v>5</v>
      </c>
      <c r="H121" s="204">
        <v>3007.0541810350014</v>
      </c>
      <c r="I121" s="205">
        <v>601.41083620700022</v>
      </c>
      <c r="J121" s="220">
        <f>I121-I94</f>
        <v>3.1265016449700624</v>
      </c>
      <c r="K121" s="679"/>
      <c r="L121" s="680"/>
      <c r="M121" s="188"/>
      <c r="N121" s="177"/>
      <c r="O121" s="177"/>
      <c r="P121" s="383"/>
      <c r="Q121" s="383"/>
      <c r="R121" s="177"/>
    </row>
    <row r="122" spans="1:18" s="198" customFormat="1" ht="15.75" customHeight="1">
      <c r="A122" s="681" t="s">
        <v>188</v>
      </c>
      <c r="B122" s="681"/>
      <c r="C122" s="206" t="s">
        <v>47</v>
      </c>
      <c r="D122" s="681" t="s">
        <v>12</v>
      </c>
      <c r="E122" s="682"/>
      <c r="F122" s="682"/>
      <c r="G122" s="206" t="s">
        <v>46</v>
      </c>
      <c r="H122" s="206" t="s">
        <v>374</v>
      </c>
      <c r="I122" s="206" t="s">
        <v>375</v>
      </c>
      <c r="J122" s="159" t="s">
        <v>332</v>
      </c>
      <c r="K122" s="681" t="s">
        <v>50</v>
      </c>
      <c r="L122" s="682"/>
      <c r="M122" s="207"/>
      <c r="N122" s="177"/>
      <c r="O122" s="177"/>
      <c r="P122" s="383"/>
      <c r="Q122" s="383"/>
      <c r="R122" s="177"/>
    </row>
    <row r="123" spans="1:18" ht="15.75" customHeight="1">
      <c r="A123" s="683">
        <v>2</v>
      </c>
      <c r="B123" s="684" t="s">
        <v>155</v>
      </c>
      <c r="C123" s="199">
        <v>1</v>
      </c>
      <c r="D123" s="679" t="s">
        <v>346</v>
      </c>
      <c r="E123" s="680"/>
      <c r="F123" s="680"/>
      <c r="G123" s="199">
        <v>10</v>
      </c>
      <c r="H123" s="201">
        <v>3217.1466940103287</v>
      </c>
      <c r="I123" s="202">
        <v>321.71466940103295</v>
      </c>
      <c r="J123" s="220">
        <f>I123-I97</f>
        <v>-7.714285714291691E-2</v>
      </c>
      <c r="K123" s="679"/>
      <c r="L123" s="680"/>
      <c r="M123" s="188"/>
      <c r="N123" s="177"/>
      <c r="O123" s="177"/>
      <c r="P123" s="383"/>
      <c r="Q123" s="383"/>
      <c r="R123" s="177"/>
    </row>
    <row r="124" spans="1:18" ht="15.75" customHeight="1">
      <c r="A124" s="683"/>
      <c r="B124" s="684"/>
      <c r="C124" s="199">
        <v>2</v>
      </c>
      <c r="D124" s="679" t="s">
        <v>849</v>
      </c>
      <c r="E124" s="680"/>
      <c r="F124" s="680"/>
      <c r="G124" s="199">
        <v>11</v>
      </c>
      <c r="H124" s="201">
        <v>3158.1683952836493</v>
      </c>
      <c r="I124" s="202">
        <v>287.10621775305901</v>
      </c>
      <c r="J124" s="220">
        <f>I124-I100</f>
        <v>29.50878374864601</v>
      </c>
      <c r="K124" s="679"/>
      <c r="L124" s="680"/>
      <c r="M124" s="188"/>
      <c r="N124" s="177"/>
      <c r="O124" s="177"/>
      <c r="P124" s="383"/>
      <c r="Q124" s="383"/>
      <c r="R124" s="177"/>
    </row>
    <row r="125" spans="1:18" ht="15.75" customHeight="1">
      <c r="A125" s="683"/>
      <c r="B125" s="684"/>
      <c r="C125" s="199">
        <v>3</v>
      </c>
      <c r="D125" s="679" t="s">
        <v>522</v>
      </c>
      <c r="E125" s="680"/>
      <c r="F125" s="680"/>
      <c r="G125" s="199">
        <v>11</v>
      </c>
      <c r="H125" s="201">
        <v>3157.7971817291823</v>
      </c>
      <c r="I125" s="202">
        <v>287.07247106628927</v>
      </c>
      <c r="J125" s="220">
        <f>I125-I100</f>
        <v>29.475037061876264</v>
      </c>
      <c r="K125" s="679"/>
      <c r="L125" s="680"/>
      <c r="M125" s="188"/>
      <c r="N125" s="177"/>
      <c r="O125" s="177"/>
      <c r="P125" s="383"/>
      <c r="Q125" s="383"/>
      <c r="R125" s="177"/>
    </row>
    <row r="126" spans="1:18" ht="15.75" customHeight="1">
      <c r="A126" s="683"/>
      <c r="B126" s="684"/>
      <c r="C126" s="199">
        <v>4</v>
      </c>
      <c r="D126" s="679" t="s">
        <v>521</v>
      </c>
      <c r="E126" s="680"/>
      <c r="F126" s="680"/>
      <c r="G126" s="199">
        <v>11</v>
      </c>
      <c r="H126" s="201">
        <v>3156.928454195679</v>
      </c>
      <c r="I126" s="202">
        <v>286.99349583597075</v>
      </c>
      <c r="J126" s="220">
        <f>I126-I98</f>
        <v>-0.16625316065335483</v>
      </c>
      <c r="K126" s="679"/>
      <c r="L126" s="680"/>
      <c r="M126" s="188"/>
      <c r="N126" s="177"/>
      <c r="O126" s="177"/>
      <c r="P126" s="383"/>
      <c r="Q126" s="383"/>
      <c r="R126" s="177"/>
    </row>
    <row r="127" spans="1:18" ht="15.75" customHeight="1">
      <c r="A127" s="683"/>
      <c r="B127" s="684"/>
      <c r="C127" s="199">
        <v>5</v>
      </c>
      <c r="D127" s="679"/>
      <c r="E127" s="680"/>
      <c r="F127" s="680"/>
      <c r="G127" s="199"/>
      <c r="H127" s="201"/>
      <c r="I127" s="202"/>
      <c r="J127" s="220"/>
      <c r="K127" s="679"/>
      <c r="L127" s="680"/>
      <c r="M127" s="188"/>
      <c r="N127" s="177"/>
      <c r="O127" s="177"/>
      <c r="P127" s="383"/>
      <c r="Q127" s="383"/>
      <c r="R127" s="177"/>
    </row>
    <row r="128" spans="1:18" ht="15.75" customHeight="1">
      <c r="A128" s="683"/>
      <c r="B128" s="684"/>
      <c r="C128" s="203" t="s">
        <v>204</v>
      </c>
      <c r="D128" s="679"/>
      <c r="E128" s="680"/>
      <c r="F128" s="680"/>
      <c r="G128" s="199"/>
      <c r="H128" s="201"/>
      <c r="I128" s="202"/>
      <c r="J128" s="199"/>
      <c r="K128" s="679"/>
      <c r="L128" s="680"/>
      <c r="M128" s="188"/>
      <c r="N128" s="177"/>
      <c r="O128" s="177"/>
      <c r="P128" s="383"/>
      <c r="Q128" s="383"/>
      <c r="R128" s="177"/>
    </row>
    <row r="129" spans="1:18" ht="15.75" customHeight="1">
      <c r="A129" s="683"/>
      <c r="B129" s="684"/>
      <c r="C129" s="203" t="s">
        <v>209</v>
      </c>
      <c r="D129" s="679"/>
      <c r="E129" s="680"/>
      <c r="F129" s="680"/>
      <c r="G129" s="199"/>
      <c r="H129" s="201"/>
      <c r="I129" s="202"/>
      <c r="J129" s="199"/>
      <c r="K129" s="679"/>
      <c r="L129" s="680"/>
      <c r="M129" s="188"/>
      <c r="N129" s="177"/>
      <c r="O129" s="177"/>
      <c r="P129" s="383"/>
      <c r="Q129" s="383"/>
      <c r="R129" s="177"/>
    </row>
    <row r="130" spans="1:18" ht="15.75" customHeight="1">
      <c r="A130" s="683"/>
      <c r="B130" s="684"/>
      <c r="C130" s="203" t="s">
        <v>205</v>
      </c>
      <c r="D130" s="679"/>
      <c r="E130" s="680"/>
      <c r="F130" s="680"/>
      <c r="G130" s="199"/>
      <c r="H130" s="201"/>
      <c r="I130" s="202"/>
      <c r="J130" s="199"/>
      <c r="K130" s="679"/>
      <c r="L130" s="680"/>
      <c r="M130" s="188"/>
      <c r="N130" s="177"/>
      <c r="O130" s="177"/>
      <c r="P130" s="383"/>
      <c r="Q130" s="383"/>
      <c r="R130" s="177"/>
    </row>
    <row r="131" spans="1:18" ht="15.75" customHeight="1">
      <c r="A131" s="683"/>
      <c r="B131" s="684"/>
      <c r="C131" s="203" t="s">
        <v>210</v>
      </c>
      <c r="D131" s="679"/>
      <c r="E131" s="680"/>
      <c r="F131" s="680"/>
      <c r="G131" s="199"/>
      <c r="H131" s="201"/>
      <c r="I131" s="202"/>
      <c r="J131" s="199"/>
      <c r="K131" s="679"/>
      <c r="L131" s="680"/>
      <c r="M131" s="188"/>
      <c r="N131" s="177"/>
      <c r="O131" s="177"/>
      <c r="P131" s="383"/>
      <c r="Q131" s="383"/>
      <c r="R131" s="177"/>
    </row>
    <row r="132" spans="1:18" ht="15.75" customHeight="1">
      <c r="A132" s="683"/>
      <c r="B132" s="684"/>
      <c r="C132" s="203" t="s">
        <v>211</v>
      </c>
      <c r="D132" s="679"/>
      <c r="E132" s="680"/>
      <c r="F132" s="680"/>
      <c r="G132" s="199"/>
      <c r="H132" s="201"/>
      <c r="I132" s="202"/>
      <c r="J132" s="199"/>
      <c r="K132" s="679"/>
      <c r="L132" s="680"/>
      <c r="M132" s="188"/>
      <c r="N132" s="177"/>
      <c r="O132" s="177"/>
      <c r="P132" s="383"/>
      <c r="Q132" s="383"/>
      <c r="R132" s="177"/>
    </row>
    <row r="133" spans="1:18" ht="15.75" customHeight="1">
      <c r="A133" s="685" t="s">
        <v>881</v>
      </c>
      <c r="B133" s="685"/>
      <c r="C133" s="685"/>
      <c r="D133" s="685"/>
      <c r="E133" s="685"/>
      <c r="F133" s="685"/>
      <c r="G133" s="685"/>
      <c r="H133" s="685"/>
      <c r="I133" s="685"/>
      <c r="J133" s="685"/>
      <c r="K133" s="685"/>
      <c r="L133" s="685"/>
      <c r="M133" s="188"/>
    </row>
    <row r="134" spans="1:18" s="189" customFormat="1" ht="15.75" customHeight="1">
      <c r="A134" s="685"/>
      <c r="B134" s="685"/>
      <c r="C134" s="685"/>
      <c r="D134" s="685"/>
      <c r="E134" s="685"/>
      <c r="F134" s="685"/>
      <c r="G134" s="685"/>
      <c r="H134" s="685"/>
      <c r="I134" s="685"/>
      <c r="J134" s="685"/>
      <c r="K134" s="685"/>
      <c r="L134" s="685"/>
    </row>
    <row r="135" spans="1:18" s="177" customFormat="1" ht="15.75" customHeight="1">
      <c r="A135" s="683" t="s">
        <v>162</v>
      </c>
      <c r="B135" s="190">
        <v>1</v>
      </c>
      <c r="C135" s="190">
        <v>2</v>
      </c>
      <c r="D135" s="169">
        <v>3</v>
      </c>
      <c r="E135" s="169">
        <v>4</v>
      </c>
      <c r="F135" s="169">
        <v>5</v>
      </c>
      <c r="G135" s="169">
        <v>6</v>
      </c>
      <c r="H135" s="169">
        <v>7</v>
      </c>
      <c r="I135" s="169">
        <v>8</v>
      </c>
      <c r="J135" s="169">
        <v>9</v>
      </c>
      <c r="K135" s="191"/>
      <c r="L135" s="191"/>
      <c r="M135" s="192"/>
    </row>
    <row r="136" spans="1:18" ht="16.350000000000001" customHeight="1">
      <c r="A136" s="683"/>
      <c r="B136" s="193" t="s">
        <v>206</v>
      </c>
      <c r="C136" s="193" t="s">
        <v>155</v>
      </c>
      <c r="D136" s="194" t="s">
        <v>207</v>
      </c>
      <c r="E136" s="194" t="s">
        <v>156</v>
      </c>
      <c r="F136" s="194" t="s">
        <v>348</v>
      </c>
      <c r="G136" s="195" t="s">
        <v>136</v>
      </c>
      <c r="H136" s="196" t="s">
        <v>208</v>
      </c>
      <c r="I136" s="195" t="s">
        <v>373</v>
      </c>
      <c r="J136" s="195" t="s">
        <v>142</v>
      </c>
      <c r="K136" s="197"/>
      <c r="L136" s="197"/>
      <c r="N136" s="198"/>
      <c r="O136" s="198"/>
      <c r="P136" s="198"/>
      <c r="Q136" s="198"/>
      <c r="R136" s="198"/>
    </row>
    <row r="137" spans="1:18" s="177" customFormat="1" ht="15.75" customHeight="1">
      <c r="A137" s="684" t="s">
        <v>188</v>
      </c>
      <c r="B137" s="684"/>
      <c r="C137" s="159" t="s">
        <v>47</v>
      </c>
      <c r="D137" s="684" t="s">
        <v>12</v>
      </c>
      <c r="E137" s="686"/>
      <c r="F137" s="686"/>
      <c r="G137" s="159" t="s">
        <v>46</v>
      </c>
      <c r="H137" s="159" t="s">
        <v>374</v>
      </c>
      <c r="I137" s="159" t="s">
        <v>375</v>
      </c>
      <c r="J137" s="159" t="s">
        <v>332</v>
      </c>
      <c r="K137" s="684" t="s">
        <v>51</v>
      </c>
      <c r="L137" s="686"/>
      <c r="M137" s="192"/>
      <c r="N137" s="188"/>
      <c r="P137" s="383"/>
      <c r="Q137" s="383"/>
    </row>
    <row r="138" spans="1:18" ht="15.75" customHeight="1">
      <c r="A138" s="683">
        <v>1</v>
      </c>
      <c r="B138" s="684" t="s">
        <v>376</v>
      </c>
      <c r="C138" s="199">
        <v>1</v>
      </c>
      <c r="D138" s="679"/>
      <c r="E138" s="680"/>
      <c r="F138" s="680"/>
      <c r="G138" s="199"/>
      <c r="H138" s="201"/>
      <c r="I138" s="202"/>
      <c r="J138" s="220">
        <f>I138-I112</f>
        <v>-1070.9222840587331</v>
      </c>
      <c r="K138" s="679"/>
      <c r="L138" s="680"/>
      <c r="N138" s="177"/>
      <c r="O138" s="177"/>
      <c r="P138" s="383"/>
      <c r="Q138" s="383"/>
      <c r="R138" s="177"/>
    </row>
    <row r="139" spans="1:18" ht="15.75" customHeight="1">
      <c r="A139" s="683"/>
      <c r="B139" s="684"/>
      <c r="C139" s="199">
        <v>2</v>
      </c>
      <c r="D139" s="679"/>
      <c r="E139" s="680"/>
      <c r="F139" s="680"/>
      <c r="G139" s="199"/>
      <c r="H139" s="201"/>
      <c r="I139" s="202"/>
      <c r="J139" s="220">
        <f>I139-I113</f>
        <v>-1070.354888174325</v>
      </c>
      <c r="K139" s="679"/>
      <c r="L139" s="680"/>
      <c r="N139" s="177"/>
      <c r="O139" s="177"/>
      <c r="P139" s="383"/>
      <c r="Q139" s="383"/>
      <c r="R139" s="177"/>
    </row>
    <row r="140" spans="1:18" ht="15.75" customHeight="1">
      <c r="A140" s="683"/>
      <c r="B140" s="684"/>
      <c r="C140" s="199">
        <v>3</v>
      </c>
      <c r="D140" s="679"/>
      <c r="E140" s="680"/>
      <c r="F140" s="680"/>
      <c r="G140" s="199"/>
      <c r="H140" s="201"/>
      <c r="I140" s="202"/>
      <c r="J140" s="220">
        <f>I140-I114</f>
        <v>-1070.0913432597072</v>
      </c>
      <c r="K140" s="679"/>
      <c r="L140" s="680"/>
      <c r="N140" s="177"/>
      <c r="O140" s="177"/>
      <c r="P140" s="383"/>
      <c r="Q140" s="383"/>
      <c r="R140" s="177"/>
    </row>
    <row r="141" spans="1:18" ht="15.75" customHeight="1">
      <c r="A141" s="683"/>
      <c r="B141" s="684"/>
      <c r="C141" s="199">
        <v>4</v>
      </c>
      <c r="D141" s="679"/>
      <c r="E141" s="680"/>
      <c r="F141" s="680"/>
      <c r="G141" s="199"/>
      <c r="H141" s="201"/>
      <c r="I141" s="202"/>
      <c r="J141" s="220">
        <f>I141-I115</f>
        <v>-1070.0604050007701</v>
      </c>
      <c r="K141" s="679"/>
      <c r="L141" s="680"/>
      <c r="N141" s="177"/>
      <c r="O141" s="177"/>
      <c r="P141" s="383"/>
      <c r="Q141" s="383"/>
      <c r="R141" s="177"/>
    </row>
    <row r="142" spans="1:18" ht="15.75" customHeight="1">
      <c r="A142" s="683"/>
      <c r="B142" s="684"/>
      <c r="C142" s="199">
        <v>5</v>
      </c>
      <c r="D142" s="679"/>
      <c r="E142" s="680"/>
      <c r="F142" s="680"/>
      <c r="G142" s="199"/>
      <c r="H142" s="201"/>
      <c r="I142" s="202"/>
      <c r="J142" s="220"/>
      <c r="K142" s="679"/>
      <c r="L142" s="680"/>
      <c r="O142" s="177"/>
      <c r="P142" s="383"/>
      <c r="Q142" s="383"/>
      <c r="R142" s="177"/>
    </row>
    <row r="143" spans="1:18" ht="15.75" customHeight="1">
      <c r="A143" s="683"/>
      <c r="B143" s="684"/>
      <c r="C143" s="203" t="s">
        <v>204</v>
      </c>
      <c r="D143" s="680"/>
      <c r="E143" s="680"/>
      <c r="F143" s="680"/>
      <c r="G143" s="200"/>
      <c r="H143" s="204"/>
      <c r="I143" s="205"/>
      <c r="J143" s="220">
        <f>I143-I117</f>
        <v>-260.16481941742421</v>
      </c>
      <c r="K143" s="679"/>
      <c r="L143" s="680"/>
      <c r="N143" s="177"/>
      <c r="O143" s="177"/>
      <c r="P143" s="383"/>
      <c r="Q143" s="383"/>
      <c r="R143" s="177"/>
    </row>
    <row r="144" spans="1:18" ht="15.75" customHeight="1">
      <c r="A144" s="683"/>
      <c r="B144" s="684"/>
      <c r="C144" s="203" t="s">
        <v>209</v>
      </c>
      <c r="D144" s="680"/>
      <c r="E144" s="680"/>
      <c r="F144" s="680"/>
      <c r="G144" s="200"/>
      <c r="H144" s="204"/>
      <c r="I144" s="205"/>
      <c r="J144" s="220">
        <f>I144-I119</f>
        <v>-546.78260521663969</v>
      </c>
      <c r="K144" s="679"/>
      <c r="L144" s="680"/>
      <c r="N144" s="177"/>
      <c r="O144" s="177"/>
      <c r="P144" s="383"/>
      <c r="Q144" s="383"/>
      <c r="R144" s="177"/>
    </row>
    <row r="145" spans="1:18" ht="15.75" customHeight="1">
      <c r="A145" s="683"/>
      <c r="B145" s="684"/>
      <c r="C145" s="203" t="s">
        <v>205</v>
      </c>
      <c r="D145" s="680"/>
      <c r="E145" s="680"/>
      <c r="F145" s="680"/>
      <c r="G145" s="200"/>
      <c r="H145" s="204"/>
      <c r="I145" s="205"/>
      <c r="J145" s="220">
        <f>I145-I118</f>
        <v>-260.17605011025506</v>
      </c>
      <c r="K145" s="679"/>
      <c r="L145" s="680"/>
      <c r="N145" s="177"/>
      <c r="O145" s="177"/>
      <c r="P145" s="383"/>
      <c r="Q145" s="383"/>
      <c r="R145" s="177"/>
    </row>
    <row r="146" spans="1:18" ht="15.75" customHeight="1">
      <c r="A146" s="683"/>
      <c r="B146" s="684"/>
      <c r="C146" s="203" t="s">
        <v>210</v>
      </c>
      <c r="D146" s="680"/>
      <c r="E146" s="680"/>
      <c r="F146" s="680"/>
      <c r="G146" s="200"/>
      <c r="H146" s="204"/>
      <c r="I146" s="205"/>
      <c r="J146" s="220">
        <f>I146-I120</f>
        <v>-601.18372834340641</v>
      </c>
      <c r="K146" s="679"/>
      <c r="L146" s="680"/>
      <c r="M146" s="188"/>
      <c r="N146" s="177"/>
      <c r="O146" s="177"/>
      <c r="P146" s="383"/>
      <c r="Q146" s="383"/>
      <c r="R146" s="177"/>
    </row>
    <row r="147" spans="1:18" ht="15.75" customHeight="1">
      <c r="A147" s="683"/>
      <c r="B147" s="684"/>
      <c r="C147" s="203" t="s">
        <v>211</v>
      </c>
      <c r="D147" s="680"/>
      <c r="E147" s="680"/>
      <c r="F147" s="680"/>
      <c r="G147" s="200"/>
      <c r="H147" s="204"/>
      <c r="I147" s="205"/>
      <c r="J147" s="220"/>
      <c r="K147" s="679"/>
      <c r="L147" s="680"/>
      <c r="M147" s="188"/>
      <c r="N147" s="177"/>
      <c r="O147" s="177"/>
      <c r="P147" s="383"/>
      <c r="Q147" s="383"/>
      <c r="R147" s="177"/>
    </row>
    <row r="148" spans="1:18" s="198" customFormat="1" ht="15.75" customHeight="1">
      <c r="A148" s="681" t="s">
        <v>188</v>
      </c>
      <c r="B148" s="681"/>
      <c r="C148" s="206" t="s">
        <v>47</v>
      </c>
      <c r="D148" s="681" t="s">
        <v>12</v>
      </c>
      <c r="E148" s="682"/>
      <c r="F148" s="682"/>
      <c r="G148" s="206" t="s">
        <v>46</v>
      </c>
      <c r="H148" s="206" t="s">
        <v>374</v>
      </c>
      <c r="I148" s="206" t="s">
        <v>375</v>
      </c>
      <c r="J148" s="159" t="s">
        <v>332</v>
      </c>
      <c r="K148" s="681" t="s">
        <v>50</v>
      </c>
      <c r="L148" s="682"/>
      <c r="M148" s="207"/>
      <c r="N148" s="177"/>
      <c r="O148" s="177"/>
      <c r="P148" s="383"/>
      <c r="Q148" s="383"/>
      <c r="R148" s="177"/>
    </row>
    <row r="149" spans="1:18" ht="15.75" customHeight="1">
      <c r="A149" s="683">
        <v>2</v>
      </c>
      <c r="B149" s="684" t="s">
        <v>155</v>
      </c>
      <c r="C149" s="199">
        <v>1</v>
      </c>
      <c r="D149" s="679"/>
      <c r="E149" s="680"/>
      <c r="F149" s="680"/>
      <c r="G149" s="199"/>
      <c r="H149" s="201"/>
      <c r="I149" s="202"/>
      <c r="J149" s="220">
        <f>I149-I123</f>
        <v>-321.71466940103295</v>
      </c>
      <c r="K149" s="679"/>
      <c r="L149" s="680"/>
      <c r="M149" s="188"/>
      <c r="N149" s="177"/>
      <c r="O149" s="177"/>
      <c r="P149" s="383"/>
      <c r="Q149" s="383"/>
      <c r="R149" s="177"/>
    </row>
    <row r="150" spans="1:18" ht="15.75" customHeight="1">
      <c r="A150" s="683"/>
      <c r="B150" s="684"/>
      <c r="C150" s="199">
        <v>2</v>
      </c>
      <c r="D150" s="679"/>
      <c r="E150" s="680"/>
      <c r="F150" s="680"/>
      <c r="G150" s="199"/>
      <c r="H150" s="201"/>
      <c r="I150" s="202"/>
      <c r="J150" s="220">
        <f>I150-I124</f>
        <v>-287.10621775305901</v>
      </c>
      <c r="K150" s="679"/>
      <c r="L150" s="680"/>
      <c r="M150" s="188"/>
      <c r="N150" s="177"/>
      <c r="O150" s="177"/>
      <c r="P150" s="383"/>
      <c r="Q150" s="383"/>
      <c r="R150" s="177"/>
    </row>
    <row r="151" spans="1:18" ht="15.75" customHeight="1">
      <c r="A151" s="683"/>
      <c r="B151" s="684"/>
      <c r="C151" s="199">
        <v>3</v>
      </c>
      <c r="D151" s="679"/>
      <c r="E151" s="680"/>
      <c r="F151" s="680"/>
      <c r="G151" s="199"/>
      <c r="H151" s="201"/>
      <c r="I151" s="202"/>
      <c r="J151" s="220">
        <f>I151-I125</f>
        <v>-287.07247106628927</v>
      </c>
      <c r="K151" s="679"/>
      <c r="L151" s="680"/>
      <c r="M151" s="188"/>
      <c r="N151" s="177"/>
      <c r="O151" s="177"/>
      <c r="P151" s="383"/>
      <c r="Q151" s="383"/>
      <c r="R151" s="177"/>
    </row>
    <row r="152" spans="1:18" ht="15.75" customHeight="1">
      <c r="A152" s="683"/>
      <c r="B152" s="684"/>
      <c r="C152" s="199">
        <v>4</v>
      </c>
      <c r="D152" s="679"/>
      <c r="E152" s="680"/>
      <c r="F152" s="680"/>
      <c r="G152" s="199"/>
      <c r="H152" s="201"/>
      <c r="I152" s="202"/>
      <c r="J152" s="220"/>
      <c r="K152" s="679"/>
      <c r="L152" s="680"/>
      <c r="M152" s="188"/>
      <c r="N152" s="177"/>
      <c r="O152" s="177"/>
      <c r="P152" s="383"/>
      <c r="Q152" s="383"/>
      <c r="R152" s="177"/>
    </row>
    <row r="153" spans="1:18" ht="15.75" customHeight="1">
      <c r="A153" s="683"/>
      <c r="B153" s="684"/>
      <c r="C153" s="199">
        <v>5</v>
      </c>
      <c r="D153" s="679"/>
      <c r="E153" s="680"/>
      <c r="F153" s="680"/>
      <c r="G153" s="199"/>
      <c r="H153" s="201"/>
      <c r="I153" s="202"/>
      <c r="J153" s="220"/>
      <c r="K153" s="679"/>
      <c r="L153" s="680"/>
      <c r="M153" s="188"/>
      <c r="N153" s="177"/>
      <c r="O153" s="177"/>
      <c r="P153" s="383"/>
      <c r="Q153" s="383"/>
      <c r="R153" s="177"/>
    </row>
    <row r="154" spans="1:18" ht="15.75" customHeight="1">
      <c r="A154" s="683"/>
      <c r="B154" s="684"/>
      <c r="C154" s="203" t="s">
        <v>204</v>
      </c>
      <c r="D154" s="679"/>
      <c r="E154" s="680"/>
      <c r="F154" s="680"/>
      <c r="G154" s="199"/>
      <c r="H154" s="201"/>
      <c r="I154" s="202"/>
      <c r="J154" s="199"/>
      <c r="K154" s="679"/>
      <c r="L154" s="680"/>
      <c r="M154" s="188"/>
      <c r="N154" s="177"/>
      <c r="O154" s="177"/>
      <c r="P154" s="383"/>
      <c r="Q154" s="383"/>
      <c r="R154" s="177"/>
    </row>
    <row r="155" spans="1:18" ht="15.75" customHeight="1">
      <c r="A155" s="683"/>
      <c r="B155" s="684"/>
      <c r="C155" s="203" t="s">
        <v>209</v>
      </c>
      <c r="D155" s="679"/>
      <c r="E155" s="680"/>
      <c r="F155" s="680"/>
      <c r="G155" s="199"/>
      <c r="H155" s="201"/>
      <c r="I155" s="202"/>
      <c r="J155" s="199"/>
      <c r="K155" s="679"/>
      <c r="L155" s="680"/>
      <c r="M155" s="188"/>
      <c r="N155" s="177"/>
      <c r="O155" s="177"/>
      <c r="P155" s="383"/>
      <c r="Q155" s="383"/>
      <c r="R155" s="177"/>
    </row>
    <row r="156" spans="1:18" ht="15.75" customHeight="1">
      <c r="A156" s="683"/>
      <c r="B156" s="684"/>
      <c r="C156" s="203" t="s">
        <v>205</v>
      </c>
      <c r="D156" s="679"/>
      <c r="E156" s="680"/>
      <c r="F156" s="680"/>
      <c r="G156" s="199"/>
      <c r="H156" s="201"/>
      <c r="I156" s="202"/>
      <c r="J156" s="199"/>
      <c r="K156" s="679"/>
      <c r="L156" s="680"/>
      <c r="M156" s="188"/>
      <c r="N156" s="177"/>
      <c r="O156" s="177"/>
      <c r="P156" s="383"/>
      <c r="Q156" s="383"/>
      <c r="R156" s="177"/>
    </row>
    <row r="157" spans="1:18" ht="15.75" customHeight="1">
      <c r="A157" s="683"/>
      <c r="B157" s="684"/>
      <c r="C157" s="203" t="s">
        <v>210</v>
      </c>
      <c r="D157" s="679"/>
      <c r="E157" s="680"/>
      <c r="F157" s="680"/>
      <c r="G157" s="199"/>
      <c r="H157" s="201"/>
      <c r="I157" s="202"/>
      <c r="J157" s="199"/>
      <c r="K157" s="679"/>
      <c r="L157" s="680"/>
      <c r="M157" s="188"/>
      <c r="N157" s="177"/>
      <c r="O157" s="177"/>
      <c r="P157" s="383"/>
      <c r="Q157" s="383"/>
      <c r="R157" s="177"/>
    </row>
    <row r="158" spans="1:18" ht="15.75" customHeight="1">
      <c r="A158" s="683"/>
      <c r="B158" s="684"/>
      <c r="C158" s="203" t="s">
        <v>211</v>
      </c>
      <c r="D158" s="679"/>
      <c r="E158" s="680"/>
      <c r="F158" s="680"/>
      <c r="G158" s="199"/>
      <c r="H158" s="201"/>
      <c r="I158" s="202"/>
      <c r="J158" s="199"/>
      <c r="K158" s="679"/>
      <c r="L158" s="680"/>
      <c r="M158" s="188"/>
      <c r="N158" s="177"/>
      <c r="O158" s="177"/>
      <c r="P158" s="383"/>
      <c r="Q158" s="383"/>
      <c r="R158" s="177"/>
    </row>
  </sheetData>
  <mergeCells count="313"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K80:L80"/>
    <mergeCell ref="D66:F66"/>
    <mergeCell ref="K66:L66"/>
    <mergeCell ref="D67:F67"/>
    <mergeCell ref="K67:L67"/>
    <mergeCell ref="D68:F68"/>
    <mergeCell ref="K68:L68"/>
    <mergeCell ref="D69:F69"/>
    <mergeCell ref="K69:L69"/>
    <mergeCell ref="A70:B70"/>
    <mergeCell ref="D70:F70"/>
    <mergeCell ref="K70:L70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A34:A43"/>
    <mergeCell ref="B34:B43"/>
    <mergeCell ref="D40:F40"/>
    <mergeCell ref="K40:L40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A31:A32"/>
    <mergeCell ref="D37:F37"/>
    <mergeCell ref="K37:L37"/>
    <mergeCell ref="D38:F38"/>
    <mergeCell ref="K38:L38"/>
    <mergeCell ref="D39:F39"/>
    <mergeCell ref="K39:L3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33:B33"/>
    <mergeCell ref="D33:F33"/>
    <mergeCell ref="K33:L33"/>
    <mergeCell ref="D34:F34"/>
    <mergeCell ref="K25:L25"/>
    <mergeCell ref="D26:F26"/>
    <mergeCell ref="K26:L26"/>
    <mergeCell ref="K12:L12"/>
    <mergeCell ref="D13:F13"/>
    <mergeCell ref="A19:A28"/>
    <mergeCell ref="B19:B28"/>
    <mergeCell ref="D19:F19"/>
    <mergeCell ref="K19:L19"/>
    <mergeCell ref="A29:L30"/>
    <mergeCell ref="A18:B18"/>
    <mergeCell ref="D18:F18"/>
    <mergeCell ref="D15:F15"/>
    <mergeCell ref="K15:L15"/>
    <mergeCell ref="D16:F16"/>
    <mergeCell ref="D27:F27"/>
    <mergeCell ref="K27:L27"/>
    <mergeCell ref="D28:F28"/>
    <mergeCell ref="K28:L28"/>
    <mergeCell ref="K16:L16"/>
    <mergeCell ref="D17:F17"/>
    <mergeCell ref="K17:L17"/>
    <mergeCell ref="K14:L14"/>
    <mergeCell ref="K18:L18"/>
    <mergeCell ref="D54:F54"/>
    <mergeCell ref="K54:L54"/>
    <mergeCell ref="K42:L42"/>
    <mergeCell ref="D43:F43"/>
    <mergeCell ref="A1:L2"/>
    <mergeCell ref="D25:F25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3:L13"/>
    <mergeCell ref="D14:F14"/>
    <mergeCell ref="D52:F52"/>
    <mergeCell ref="K52:L52"/>
    <mergeCell ref="D51:F51"/>
    <mergeCell ref="K51:L51"/>
    <mergeCell ref="D42:F42"/>
    <mergeCell ref="D41:F41"/>
    <mergeCell ref="K41:L41"/>
    <mergeCell ref="K34:L34"/>
    <mergeCell ref="D35:F35"/>
    <mergeCell ref="K35:L35"/>
    <mergeCell ref="D36:F36"/>
    <mergeCell ref="K36:L36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K144:L144"/>
    <mergeCell ref="D145:F145"/>
    <mergeCell ref="K145:L145"/>
    <mergeCell ref="D146:F146"/>
    <mergeCell ref="D131:F131"/>
    <mergeCell ref="K131:L131"/>
    <mergeCell ref="D132:F132"/>
    <mergeCell ref="K132:L132"/>
    <mergeCell ref="K120:L120"/>
    <mergeCell ref="D121:F121"/>
    <mergeCell ref="K121:L121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5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>
    <tabColor rgb="FF92D050"/>
    <outlinePr summaryBelow="0" summaryRight="0"/>
  </sheetPr>
  <dimension ref="A1:R158"/>
  <sheetViews>
    <sheetView view="pageBreakPreview" topLeftCell="A98" zoomScaleNormal="60" zoomScaleSheetLayoutView="100" workbookViewId="0">
      <selection activeCell="J129" sqref="J129"/>
    </sheetView>
  </sheetViews>
  <sheetFormatPr defaultColWidth="12.5703125" defaultRowHeight="15.75" customHeight="1"/>
  <cols>
    <col min="1" max="1" width="6.42578125" style="98" customWidth="1"/>
    <col min="2" max="10" width="11.5703125" style="98" customWidth="1"/>
    <col min="11" max="12" width="12.85546875" style="98" customWidth="1"/>
    <col min="13" max="13" width="12.5703125" style="99"/>
    <col min="14" max="18" width="12.5703125" style="188"/>
    <col min="19" max="16384" width="12.5703125" style="98"/>
  </cols>
  <sheetData>
    <row r="1" spans="1:18" ht="15.75" customHeight="1">
      <c r="A1" s="547" t="s">
        <v>372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98"/>
    </row>
    <row r="2" spans="1:18" s="99" customFormat="1" ht="15.75" customHeight="1">
      <c r="A2" s="547"/>
      <c r="B2" s="547"/>
      <c r="C2" s="547"/>
      <c r="D2" s="547"/>
      <c r="E2" s="547"/>
      <c r="F2" s="547"/>
      <c r="G2" s="547"/>
      <c r="H2" s="547"/>
      <c r="I2" s="547"/>
      <c r="J2" s="547"/>
      <c r="K2" s="547"/>
      <c r="L2" s="547"/>
      <c r="N2" s="189"/>
      <c r="O2" s="189"/>
      <c r="P2" s="189"/>
      <c r="Q2" s="189"/>
      <c r="R2" s="189"/>
    </row>
    <row r="3" spans="1:18" s="188" customFormat="1" ht="15.75" customHeight="1">
      <c r="A3" s="685" t="s">
        <v>670</v>
      </c>
      <c r="B3" s="685"/>
      <c r="C3" s="685"/>
      <c r="D3" s="685"/>
      <c r="E3" s="685"/>
      <c r="F3" s="685"/>
      <c r="G3" s="685"/>
      <c r="H3" s="685"/>
      <c r="I3" s="685"/>
      <c r="J3" s="685"/>
      <c r="K3" s="685"/>
      <c r="L3" s="685"/>
    </row>
    <row r="4" spans="1:18" s="189" customFormat="1" ht="15.75" customHeight="1">
      <c r="A4" s="685"/>
      <c r="B4" s="685"/>
      <c r="C4" s="685"/>
      <c r="D4" s="685"/>
      <c r="E4" s="685"/>
      <c r="F4" s="685"/>
      <c r="G4" s="685"/>
      <c r="H4" s="685"/>
      <c r="I4" s="685"/>
      <c r="J4" s="685"/>
      <c r="K4" s="685"/>
      <c r="L4" s="685"/>
    </row>
    <row r="5" spans="1:18" s="177" customFormat="1" ht="16.350000000000001" customHeight="1">
      <c r="A5" s="683" t="s">
        <v>162</v>
      </c>
      <c r="B5" s="169">
        <v>1</v>
      </c>
      <c r="C5" s="169">
        <v>2</v>
      </c>
      <c r="D5" s="190">
        <v>3</v>
      </c>
      <c r="E5" s="190">
        <v>4</v>
      </c>
      <c r="F5" s="169">
        <v>5</v>
      </c>
      <c r="G5" s="169">
        <v>6</v>
      </c>
      <c r="H5" s="169">
        <v>7</v>
      </c>
      <c r="I5" s="169">
        <v>8</v>
      </c>
      <c r="J5" s="169">
        <v>9</v>
      </c>
      <c r="K5" s="191"/>
      <c r="L5" s="191"/>
      <c r="M5" s="192"/>
    </row>
    <row r="6" spans="1:18" s="188" customFormat="1" ht="16.350000000000001" customHeight="1">
      <c r="A6" s="683"/>
      <c r="B6" s="194" t="s">
        <v>206</v>
      </c>
      <c r="C6" s="194" t="s">
        <v>155</v>
      </c>
      <c r="D6" s="193" t="s">
        <v>207</v>
      </c>
      <c r="E6" s="193" t="s">
        <v>156</v>
      </c>
      <c r="F6" s="194" t="s">
        <v>348</v>
      </c>
      <c r="G6" s="195" t="s">
        <v>136</v>
      </c>
      <c r="H6" s="196" t="s">
        <v>208</v>
      </c>
      <c r="I6" s="195" t="s">
        <v>373</v>
      </c>
      <c r="J6" s="195" t="s">
        <v>142</v>
      </c>
      <c r="K6" s="197"/>
      <c r="L6" s="197"/>
      <c r="M6" s="189"/>
      <c r="N6" s="198"/>
      <c r="O6" s="198"/>
      <c r="P6" s="198"/>
      <c r="Q6" s="198"/>
      <c r="R6" s="198"/>
    </row>
    <row r="7" spans="1:18" s="177" customFormat="1" ht="15.75" customHeight="1">
      <c r="A7" s="684" t="s">
        <v>188</v>
      </c>
      <c r="B7" s="684"/>
      <c r="C7" s="159" t="s">
        <v>47</v>
      </c>
      <c r="D7" s="684" t="s">
        <v>12</v>
      </c>
      <c r="E7" s="686"/>
      <c r="F7" s="686"/>
      <c r="G7" s="159" t="s">
        <v>46</v>
      </c>
      <c r="H7" s="159" t="s">
        <v>374</v>
      </c>
      <c r="I7" s="159" t="s">
        <v>375</v>
      </c>
      <c r="J7" s="159" t="s">
        <v>332</v>
      </c>
      <c r="K7" s="684" t="s">
        <v>51</v>
      </c>
      <c r="L7" s="686"/>
      <c r="M7" s="192"/>
      <c r="N7" s="188"/>
      <c r="O7" s="198"/>
      <c r="P7" s="384"/>
      <c r="Q7" s="384"/>
      <c r="R7" s="198"/>
    </row>
    <row r="8" spans="1:18" s="188" customFormat="1" ht="15.75" customHeight="1">
      <c r="A8" s="683">
        <v>3</v>
      </c>
      <c r="B8" s="684" t="s">
        <v>377</v>
      </c>
      <c r="C8" s="199">
        <v>1</v>
      </c>
      <c r="D8" s="679" t="s">
        <v>347</v>
      </c>
      <c r="E8" s="680"/>
      <c r="F8" s="680"/>
      <c r="G8" s="199">
        <v>22</v>
      </c>
      <c r="H8" s="201">
        <v>2626.6346153846148</v>
      </c>
      <c r="I8" s="202">
        <v>119.39248251748248</v>
      </c>
      <c r="J8" s="220">
        <v>0.79325174825171985</v>
      </c>
      <c r="K8" s="679" t="s">
        <v>427</v>
      </c>
      <c r="L8" s="680"/>
      <c r="M8" s="189"/>
      <c r="O8" s="198"/>
      <c r="P8" s="384"/>
      <c r="Q8" s="384"/>
      <c r="R8" s="198"/>
    </row>
    <row r="9" spans="1:18" s="188" customFormat="1" ht="15.75" customHeight="1">
      <c r="A9" s="683"/>
      <c r="B9" s="684"/>
      <c r="C9" s="199">
        <v>2</v>
      </c>
      <c r="D9" s="679"/>
      <c r="E9" s="680"/>
      <c r="F9" s="680"/>
      <c r="G9" s="199"/>
      <c r="H9" s="201"/>
      <c r="I9" s="202"/>
      <c r="J9" s="220"/>
      <c r="K9" s="679"/>
      <c r="L9" s="680"/>
      <c r="M9" s="189"/>
      <c r="O9" s="198"/>
      <c r="P9" s="384"/>
      <c r="Q9" s="384"/>
      <c r="R9" s="198"/>
    </row>
    <row r="10" spans="1:18" s="188" customFormat="1" ht="15.75" customHeight="1">
      <c r="A10" s="683"/>
      <c r="B10" s="684"/>
      <c r="C10" s="199">
        <v>3</v>
      </c>
      <c r="D10" s="679"/>
      <c r="E10" s="680"/>
      <c r="F10" s="680"/>
      <c r="G10" s="199"/>
      <c r="H10" s="201"/>
      <c r="I10" s="202"/>
      <c r="J10" s="199"/>
      <c r="K10" s="679"/>
      <c r="L10" s="680"/>
      <c r="M10" s="189"/>
      <c r="O10" s="198"/>
      <c r="P10" s="384"/>
      <c r="Q10" s="384"/>
      <c r="R10" s="198"/>
    </row>
    <row r="11" spans="1:18" s="188" customFormat="1" ht="15.75" customHeight="1">
      <c r="A11" s="683"/>
      <c r="B11" s="684"/>
      <c r="C11" s="199">
        <v>4</v>
      </c>
      <c r="D11" s="679"/>
      <c r="E11" s="680"/>
      <c r="F11" s="680"/>
      <c r="G11" s="199"/>
      <c r="H11" s="201"/>
      <c r="I11" s="202"/>
      <c r="J11" s="199"/>
      <c r="K11" s="679"/>
      <c r="L11" s="680"/>
      <c r="M11" s="189"/>
      <c r="O11" s="198"/>
      <c r="P11" s="384"/>
      <c r="Q11" s="384"/>
      <c r="R11" s="198"/>
    </row>
    <row r="12" spans="1:18" s="188" customFormat="1" ht="15.75" customHeight="1">
      <c r="A12" s="683"/>
      <c r="B12" s="684"/>
      <c r="C12" s="199">
        <v>5</v>
      </c>
      <c r="D12" s="679"/>
      <c r="E12" s="680"/>
      <c r="F12" s="680"/>
      <c r="G12" s="199"/>
      <c r="H12" s="201"/>
      <c r="I12" s="202"/>
      <c r="J12" s="199"/>
      <c r="K12" s="679"/>
      <c r="L12" s="680"/>
      <c r="M12" s="189"/>
      <c r="O12" s="198"/>
      <c r="P12" s="384"/>
      <c r="Q12" s="384"/>
      <c r="R12" s="198"/>
    </row>
    <row r="13" spans="1:18" s="188" customFormat="1" ht="15.75" customHeight="1">
      <c r="A13" s="683"/>
      <c r="B13" s="684"/>
      <c r="C13" s="203" t="s">
        <v>204</v>
      </c>
      <c r="D13" s="679"/>
      <c r="E13" s="680"/>
      <c r="F13" s="680"/>
      <c r="G13" s="199"/>
      <c r="H13" s="201"/>
      <c r="I13" s="202"/>
      <c r="J13" s="199"/>
      <c r="K13" s="679"/>
      <c r="L13" s="680"/>
      <c r="M13" s="189"/>
      <c r="O13" s="198"/>
      <c r="P13" s="384"/>
      <c r="Q13" s="384"/>
      <c r="R13" s="198"/>
    </row>
    <row r="14" spans="1:18" s="188" customFormat="1" ht="15.75" customHeight="1">
      <c r="A14" s="683"/>
      <c r="B14" s="684"/>
      <c r="C14" s="203" t="s">
        <v>209</v>
      </c>
      <c r="D14" s="679"/>
      <c r="E14" s="680"/>
      <c r="F14" s="680"/>
      <c r="G14" s="199"/>
      <c r="H14" s="201"/>
      <c r="I14" s="202"/>
      <c r="J14" s="199"/>
      <c r="K14" s="679"/>
      <c r="L14" s="680"/>
      <c r="M14" s="189"/>
      <c r="N14" s="177"/>
      <c r="O14" s="177"/>
      <c r="P14" s="383"/>
      <c r="Q14" s="383"/>
      <c r="R14" s="177"/>
    </row>
    <row r="15" spans="1:18" s="188" customFormat="1" ht="15.75" customHeight="1">
      <c r="A15" s="683"/>
      <c r="B15" s="684"/>
      <c r="C15" s="203" t="s">
        <v>205</v>
      </c>
      <c r="D15" s="679"/>
      <c r="E15" s="680"/>
      <c r="F15" s="680"/>
      <c r="G15" s="201"/>
      <c r="H15" s="201"/>
      <c r="I15" s="202"/>
      <c r="J15" s="199"/>
      <c r="K15" s="679"/>
      <c r="L15" s="680"/>
      <c r="M15" s="189"/>
      <c r="O15" s="198"/>
      <c r="P15" s="384"/>
      <c r="Q15" s="384"/>
      <c r="R15" s="198"/>
    </row>
    <row r="16" spans="1:18" s="188" customFormat="1" ht="15.75" customHeight="1">
      <c r="A16" s="683"/>
      <c r="B16" s="684"/>
      <c r="C16" s="203" t="s">
        <v>210</v>
      </c>
      <c r="D16" s="679"/>
      <c r="E16" s="680"/>
      <c r="F16" s="680"/>
      <c r="G16" s="199"/>
      <c r="H16" s="201"/>
      <c r="I16" s="202"/>
      <c r="J16" s="199"/>
      <c r="K16" s="679"/>
      <c r="L16" s="680"/>
      <c r="O16" s="198"/>
      <c r="P16" s="384"/>
      <c r="Q16" s="384"/>
      <c r="R16" s="198"/>
    </row>
    <row r="17" spans="1:18" s="188" customFormat="1" ht="15.75" customHeight="1">
      <c r="A17" s="683"/>
      <c r="B17" s="684"/>
      <c r="C17" s="203" t="s">
        <v>211</v>
      </c>
      <c r="D17" s="679"/>
      <c r="E17" s="680"/>
      <c r="F17" s="680"/>
      <c r="G17" s="199"/>
      <c r="H17" s="201"/>
      <c r="I17" s="202"/>
      <c r="J17" s="199"/>
      <c r="K17" s="679"/>
      <c r="L17" s="680"/>
      <c r="O17" s="198"/>
      <c r="P17" s="384"/>
      <c r="Q17" s="384"/>
      <c r="R17" s="198"/>
    </row>
    <row r="18" spans="1:18" s="198" customFormat="1" ht="15.75" customHeight="1">
      <c r="A18" s="681" t="s">
        <v>188</v>
      </c>
      <c r="B18" s="681"/>
      <c r="C18" s="206" t="s">
        <v>47</v>
      </c>
      <c r="D18" s="681" t="s">
        <v>12</v>
      </c>
      <c r="E18" s="682"/>
      <c r="F18" s="682"/>
      <c r="G18" s="206" t="s">
        <v>46</v>
      </c>
      <c r="H18" s="206" t="s">
        <v>374</v>
      </c>
      <c r="I18" s="206" t="s">
        <v>375</v>
      </c>
      <c r="J18" s="159" t="s">
        <v>332</v>
      </c>
      <c r="K18" s="681" t="s">
        <v>50</v>
      </c>
      <c r="L18" s="682"/>
      <c r="M18" s="207"/>
      <c r="N18" s="188"/>
      <c r="P18" s="384"/>
      <c r="Q18" s="384"/>
    </row>
    <row r="19" spans="1:18" s="188" customFormat="1" ht="15.75" customHeight="1">
      <c r="A19" s="683">
        <v>4</v>
      </c>
      <c r="B19" s="684" t="s">
        <v>156</v>
      </c>
      <c r="C19" s="199">
        <v>1</v>
      </c>
      <c r="D19" s="679" t="s">
        <v>629</v>
      </c>
      <c r="E19" s="680"/>
      <c r="F19" s="680"/>
      <c r="G19" s="199">
        <v>5</v>
      </c>
      <c r="H19" s="201">
        <v>2966.2202100119753</v>
      </c>
      <c r="I19" s="202">
        <v>593.24404200239496</v>
      </c>
      <c r="J19" s="220">
        <v>-6.0307587229544879E-2</v>
      </c>
      <c r="K19" s="679" t="s">
        <v>427</v>
      </c>
      <c r="L19" s="680"/>
      <c r="N19" s="198"/>
      <c r="O19" s="198"/>
      <c r="P19" s="384"/>
      <c r="Q19" s="384"/>
      <c r="R19" s="198"/>
    </row>
    <row r="20" spans="1:18" s="188" customFormat="1" ht="15.75" customHeight="1">
      <c r="A20" s="683"/>
      <c r="B20" s="684"/>
      <c r="C20" s="199">
        <v>2</v>
      </c>
      <c r="D20" s="679" t="s">
        <v>596</v>
      </c>
      <c r="E20" s="680"/>
      <c r="F20" s="680"/>
      <c r="G20" s="199">
        <v>6</v>
      </c>
      <c r="H20" s="201">
        <v>2961.6418775921857</v>
      </c>
      <c r="I20" s="202">
        <v>493.60697959869776</v>
      </c>
      <c r="J20" s="220">
        <v>0</v>
      </c>
      <c r="K20" s="679" t="s">
        <v>427</v>
      </c>
      <c r="L20" s="680"/>
      <c r="O20" s="198"/>
      <c r="P20" s="384"/>
      <c r="Q20" s="384"/>
      <c r="R20" s="198"/>
    </row>
    <row r="21" spans="1:18" s="188" customFormat="1" ht="15.75" customHeight="1">
      <c r="A21" s="683"/>
      <c r="B21" s="684"/>
      <c r="C21" s="199">
        <v>3</v>
      </c>
      <c r="D21" s="679" t="s">
        <v>578</v>
      </c>
      <c r="E21" s="680"/>
      <c r="F21" s="680"/>
      <c r="G21" s="199">
        <v>6</v>
      </c>
      <c r="H21" s="201">
        <v>2354.7348409049814</v>
      </c>
      <c r="I21" s="202">
        <v>392.45580681749692</v>
      </c>
      <c r="J21" s="220">
        <v>0.54850743539054747</v>
      </c>
      <c r="K21" s="679" t="s">
        <v>427</v>
      </c>
      <c r="L21" s="680"/>
      <c r="O21" s="198"/>
      <c r="P21" s="384"/>
      <c r="Q21" s="384"/>
      <c r="R21" s="198"/>
    </row>
    <row r="22" spans="1:18" s="188" customFormat="1" ht="15.75" customHeight="1">
      <c r="A22" s="683"/>
      <c r="B22" s="684"/>
      <c r="C22" s="199">
        <v>4</v>
      </c>
      <c r="D22" s="679" t="s">
        <v>579</v>
      </c>
      <c r="E22" s="680"/>
      <c r="F22" s="680"/>
      <c r="G22" s="199">
        <v>6</v>
      </c>
      <c r="H22" s="201">
        <v>2351.5642285625245</v>
      </c>
      <c r="I22" s="202">
        <v>391.92737142708739</v>
      </c>
      <c r="J22" s="220">
        <v>0.25096054197439344</v>
      </c>
      <c r="K22" s="679" t="s">
        <v>427</v>
      </c>
      <c r="L22" s="680"/>
      <c r="O22" s="198"/>
      <c r="P22" s="384"/>
      <c r="Q22" s="384"/>
      <c r="R22" s="198"/>
    </row>
    <row r="23" spans="1:18" s="188" customFormat="1" ht="15.75" customHeight="1">
      <c r="A23" s="683"/>
      <c r="B23" s="684"/>
      <c r="C23" s="199">
        <v>5</v>
      </c>
      <c r="D23" s="679" t="s">
        <v>613</v>
      </c>
      <c r="E23" s="680"/>
      <c r="F23" s="680"/>
      <c r="G23" s="199">
        <v>20</v>
      </c>
      <c r="H23" s="201">
        <v>1897.3883422374979</v>
      </c>
      <c r="I23" s="202">
        <v>94.869417111874881</v>
      </c>
      <c r="J23" s="220">
        <v>-2.4084328022851764E-2</v>
      </c>
      <c r="K23" s="679" t="s">
        <v>427</v>
      </c>
      <c r="L23" s="680"/>
      <c r="O23" s="198"/>
      <c r="P23" s="384"/>
      <c r="Q23" s="384"/>
      <c r="R23" s="198"/>
    </row>
    <row r="24" spans="1:18" s="188" customFormat="1" ht="15.75" customHeight="1">
      <c r="A24" s="683"/>
      <c r="B24" s="684"/>
      <c r="C24" s="203" t="s">
        <v>204</v>
      </c>
      <c r="D24" s="679"/>
      <c r="E24" s="680"/>
      <c r="F24" s="680"/>
      <c r="G24" s="199"/>
      <c r="H24" s="201"/>
      <c r="I24" s="202"/>
      <c r="J24" s="199"/>
      <c r="K24" s="679"/>
      <c r="L24" s="680"/>
      <c r="O24" s="198"/>
      <c r="P24" s="384"/>
      <c r="Q24" s="384"/>
      <c r="R24" s="198"/>
    </row>
    <row r="25" spans="1:18" s="188" customFormat="1" ht="15.75" customHeight="1">
      <c r="A25" s="683"/>
      <c r="B25" s="684"/>
      <c r="C25" s="203" t="s">
        <v>209</v>
      </c>
      <c r="D25" s="679"/>
      <c r="E25" s="680"/>
      <c r="F25" s="680"/>
      <c r="G25" s="199"/>
      <c r="H25" s="201"/>
      <c r="I25" s="202"/>
      <c r="J25" s="199"/>
      <c r="K25" s="679"/>
      <c r="L25" s="680"/>
      <c r="O25" s="198"/>
      <c r="P25" s="384"/>
      <c r="Q25" s="384"/>
      <c r="R25" s="198"/>
    </row>
    <row r="26" spans="1:18" s="188" customFormat="1" ht="15.75" customHeight="1">
      <c r="A26" s="683"/>
      <c r="B26" s="684"/>
      <c r="C26" s="203" t="s">
        <v>205</v>
      </c>
      <c r="D26" s="679"/>
      <c r="E26" s="680"/>
      <c r="F26" s="680"/>
      <c r="G26" s="199"/>
      <c r="H26" s="201"/>
      <c r="I26" s="202"/>
      <c r="J26" s="199"/>
      <c r="K26" s="679"/>
      <c r="L26" s="680"/>
      <c r="O26" s="198"/>
      <c r="P26" s="384"/>
      <c r="Q26" s="384"/>
      <c r="R26" s="198"/>
    </row>
    <row r="27" spans="1:18" s="188" customFormat="1" ht="15.75" customHeight="1">
      <c r="A27" s="683"/>
      <c r="B27" s="684"/>
      <c r="C27" s="203" t="s">
        <v>210</v>
      </c>
      <c r="D27" s="679"/>
      <c r="E27" s="680"/>
      <c r="F27" s="680"/>
      <c r="G27" s="199"/>
      <c r="H27" s="201"/>
      <c r="I27" s="202"/>
      <c r="J27" s="199"/>
      <c r="K27" s="679"/>
      <c r="L27" s="680"/>
      <c r="O27" s="198"/>
      <c r="P27" s="384"/>
      <c r="Q27" s="384"/>
      <c r="R27" s="198"/>
    </row>
    <row r="28" spans="1:18" s="188" customFormat="1" ht="15.75" customHeight="1">
      <c r="A28" s="683"/>
      <c r="B28" s="684"/>
      <c r="C28" s="203" t="s">
        <v>211</v>
      </c>
      <c r="D28" s="679"/>
      <c r="E28" s="680"/>
      <c r="F28" s="680"/>
      <c r="G28" s="199"/>
      <c r="H28" s="201"/>
      <c r="I28" s="202"/>
      <c r="J28" s="199"/>
      <c r="K28" s="679"/>
      <c r="L28" s="680"/>
      <c r="O28" s="198"/>
      <c r="P28" s="384"/>
      <c r="Q28" s="384"/>
      <c r="R28" s="198"/>
    </row>
    <row r="29" spans="1:18" s="188" customFormat="1" ht="15.75" customHeight="1">
      <c r="A29" s="685" t="s">
        <v>742</v>
      </c>
      <c r="B29" s="685"/>
      <c r="C29" s="685"/>
      <c r="D29" s="685"/>
      <c r="E29" s="685"/>
      <c r="F29" s="685"/>
      <c r="G29" s="685"/>
      <c r="H29" s="685"/>
      <c r="I29" s="685"/>
      <c r="J29" s="685"/>
      <c r="K29" s="685"/>
      <c r="L29" s="685"/>
    </row>
    <row r="30" spans="1:18" s="189" customFormat="1" ht="15.75" customHeight="1">
      <c r="A30" s="685"/>
      <c r="B30" s="685"/>
      <c r="C30" s="685"/>
      <c r="D30" s="685"/>
      <c r="E30" s="685"/>
      <c r="F30" s="685"/>
      <c r="G30" s="685"/>
      <c r="H30" s="685"/>
      <c r="I30" s="685"/>
      <c r="J30" s="685"/>
      <c r="K30" s="685"/>
      <c r="L30" s="685"/>
    </row>
    <row r="31" spans="1:18" s="177" customFormat="1" ht="16.350000000000001" customHeight="1">
      <c r="A31" s="683" t="s">
        <v>162</v>
      </c>
      <c r="B31" s="169">
        <v>1</v>
      </c>
      <c r="C31" s="169">
        <v>2</v>
      </c>
      <c r="D31" s="190">
        <v>3</v>
      </c>
      <c r="E31" s="190">
        <v>4</v>
      </c>
      <c r="F31" s="169">
        <v>5</v>
      </c>
      <c r="G31" s="169">
        <v>6</v>
      </c>
      <c r="H31" s="169">
        <v>7</v>
      </c>
      <c r="I31" s="169">
        <v>8</v>
      </c>
      <c r="J31" s="169">
        <v>9</v>
      </c>
      <c r="K31" s="191"/>
      <c r="L31" s="191"/>
      <c r="M31" s="192"/>
    </row>
    <row r="32" spans="1:18" s="188" customFormat="1" ht="16.350000000000001" customHeight="1">
      <c r="A32" s="683"/>
      <c r="B32" s="194" t="s">
        <v>206</v>
      </c>
      <c r="C32" s="194" t="s">
        <v>155</v>
      </c>
      <c r="D32" s="193" t="s">
        <v>207</v>
      </c>
      <c r="E32" s="193" t="s">
        <v>156</v>
      </c>
      <c r="F32" s="194" t="s">
        <v>348</v>
      </c>
      <c r="G32" s="195" t="s">
        <v>136</v>
      </c>
      <c r="H32" s="196" t="s">
        <v>208</v>
      </c>
      <c r="I32" s="195" t="s">
        <v>373</v>
      </c>
      <c r="J32" s="195" t="s">
        <v>142</v>
      </c>
      <c r="K32" s="197"/>
      <c r="L32" s="197"/>
      <c r="M32" s="189"/>
      <c r="N32" s="198"/>
      <c r="O32" s="198"/>
      <c r="P32" s="198"/>
      <c r="Q32" s="198"/>
      <c r="R32" s="198"/>
    </row>
    <row r="33" spans="1:18" s="177" customFormat="1" ht="15.75" customHeight="1">
      <c r="A33" s="684" t="s">
        <v>188</v>
      </c>
      <c r="B33" s="684"/>
      <c r="C33" s="159" t="s">
        <v>47</v>
      </c>
      <c r="D33" s="684" t="s">
        <v>12</v>
      </c>
      <c r="E33" s="686"/>
      <c r="F33" s="686"/>
      <c r="G33" s="159" t="s">
        <v>46</v>
      </c>
      <c r="H33" s="159" t="s">
        <v>374</v>
      </c>
      <c r="I33" s="159" t="s">
        <v>375</v>
      </c>
      <c r="J33" s="159" t="s">
        <v>332</v>
      </c>
      <c r="K33" s="684" t="s">
        <v>51</v>
      </c>
      <c r="L33" s="686"/>
      <c r="M33" s="192"/>
      <c r="N33" s="188"/>
      <c r="O33" s="198"/>
      <c r="P33" s="384"/>
      <c r="Q33" s="384"/>
      <c r="R33" s="198"/>
    </row>
    <row r="34" spans="1:18" s="188" customFormat="1" ht="15.75" customHeight="1">
      <c r="A34" s="683">
        <v>3</v>
      </c>
      <c r="B34" s="684" t="s">
        <v>377</v>
      </c>
      <c r="C34" s="199">
        <v>1</v>
      </c>
      <c r="D34" s="679" t="s">
        <v>347</v>
      </c>
      <c r="E34" s="680"/>
      <c r="F34" s="680"/>
      <c r="G34" s="199">
        <v>23</v>
      </c>
      <c r="H34" s="201">
        <v>2786.9038461538466</v>
      </c>
      <c r="I34" s="202">
        <v>121.16973244147157</v>
      </c>
      <c r="J34" s="220">
        <f>I34-I8</f>
        <v>1.7772499239890891</v>
      </c>
      <c r="K34" s="679" t="s">
        <v>779</v>
      </c>
      <c r="L34" s="680"/>
      <c r="M34" s="189"/>
      <c r="O34" s="198"/>
      <c r="P34" s="384"/>
      <c r="Q34" s="384"/>
      <c r="R34" s="198"/>
    </row>
    <row r="35" spans="1:18" s="188" customFormat="1" ht="15.75" customHeight="1">
      <c r="A35" s="683"/>
      <c r="B35" s="684"/>
      <c r="C35" s="199">
        <v>2</v>
      </c>
      <c r="D35" s="679" t="s">
        <v>750</v>
      </c>
      <c r="E35" s="680"/>
      <c r="F35" s="680"/>
      <c r="G35" s="199">
        <v>23.571428571428573</v>
      </c>
      <c r="H35" s="201">
        <v>2484.3517944536766</v>
      </c>
      <c r="I35" s="202">
        <v>105.60709033354688</v>
      </c>
      <c r="J35" s="220"/>
      <c r="K35" s="687" t="s">
        <v>780</v>
      </c>
      <c r="L35" s="680"/>
      <c r="M35" s="189"/>
      <c r="O35" s="198"/>
      <c r="P35" s="384"/>
      <c r="Q35" s="384"/>
      <c r="R35" s="198"/>
    </row>
    <row r="36" spans="1:18" s="188" customFormat="1" ht="15.75" customHeight="1">
      <c r="A36" s="683"/>
      <c r="B36" s="684"/>
      <c r="C36" s="199">
        <v>3</v>
      </c>
      <c r="D36" s="679"/>
      <c r="E36" s="680"/>
      <c r="F36" s="680"/>
      <c r="G36" s="199"/>
      <c r="H36" s="201"/>
      <c r="I36" s="202"/>
      <c r="J36" s="199"/>
      <c r="K36" s="679"/>
      <c r="L36" s="680"/>
      <c r="M36" s="189"/>
      <c r="O36" s="198"/>
      <c r="P36" s="384"/>
      <c r="Q36" s="384"/>
      <c r="R36" s="198"/>
    </row>
    <row r="37" spans="1:18" s="188" customFormat="1" ht="15.75" customHeight="1">
      <c r="A37" s="683"/>
      <c r="B37" s="684"/>
      <c r="C37" s="199">
        <v>4</v>
      </c>
      <c r="D37" s="679"/>
      <c r="E37" s="680"/>
      <c r="F37" s="680"/>
      <c r="G37" s="199"/>
      <c r="H37" s="201"/>
      <c r="I37" s="202"/>
      <c r="J37" s="199"/>
      <c r="K37" s="679"/>
      <c r="L37" s="680"/>
      <c r="M37" s="189"/>
      <c r="O37" s="198"/>
      <c r="P37" s="384"/>
      <c r="Q37" s="384"/>
      <c r="R37" s="198"/>
    </row>
    <row r="38" spans="1:18" s="188" customFormat="1" ht="15.75" customHeight="1">
      <c r="A38" s="683"/>
      <c r="B38" s="684"/>
      <c r="C38" s="199">
        <v>5</v>
      </c>
      <c r="D38" s="679"/>
      <c r="E38" s="680"/>
      <c r="F38" s="680"/>
      <c r="G38" s="199"/>
      <c r="H38" s="201"/>
      <c r="I38" s="202"/>
      <c r="J38" s="199"/>
      <c r="K38" s="679"/>
      <c r="L38" s="680"/>
      <c r="M38" s="189"/>
      <c r="O38" s="198"/>
      <c r="P38" s="384"/>
      <c r="Q38" s="384"/>
      <c r="R38" s="198"/>
    </row>
    <row r="39" spans="1:18" s="188" customFormat="1" ht="15.75" customHeight="1">
      <c r="A39" s="683"/>
      <c r="B39" s="684"/>
      <c r="C39" s="203" t="s">
        <v>204</v>
      </c>
      <c r="D39" s="679"/>
      <c r="E39" s="680"/>
      <c r="F39" s="680"/>
      <c r="G39" s="199"/>
      <c r="H39" s="201"/>
      <c r="I39" s="202"/>
      <c r="J39" s="199"/>
      <c r="K39" s="679"/>
      <c r="L39" s="680"/>
      <c r="M39" s="189"/>
      <c r="O39" s="198"/>
      <c r="P39" s="384"/>
      <c r="Q39" s="384"/>
      <c r="R39" s="198"/>
    </row>
    <row r="40" spans="1:18" s="188" customFormat="1" ht="15.75" customHeight="1">
      <c r="A40" s="683"/>
      <c r="B40" s="684"/>
      <c r="C40" s="203" t="s">
        <v>209</v>
      </c>
      <c r="D40" s="679"/>
      <c r="E40" s="680"/>
      <c r="F40" s="680"/>
      <c r="G40" s="199"/>
      <c r="H40" s="201"/>
      <c r="I40" s="202"/>
      <c r="J40" s="199"/>
      <c r="K40" s="679"/>
      <c r="L40" s="680"/>
      <c r="M40" s="189"/>
      <c r="N40" s="177"/>
      <c r="O40" s="177"/>
      <c r="P40" s="383"/>
      <c r="Q40" s="383"/>
      <c r="R40" s="177"/>
    </row>
    <row r="41" spans="1:18" s="188" customFormat="1" ht="15.75" customHeight="1">
      <c r="A41" s="683"/>
      <c r="B41" s="684"/>
      <c r="C41" s="203" t="s">
        <v>205</v>
      </c>
      <c r="D41" s="679"/>
      <c r="E41" s="680"/>
      <c r="F41" s="680"/>
      <c r="G41" s="201"/>
      <c r="H41" s="201"/>
      <c r="I41" s="202"/>
      <c r="J41" s="199"/>
      <c r="K41" s="679"/>
      <c r="L41" s="680"/>
      <c r="M41" s="189"/>
      <c r="O41" s="198"/>
      <c r="P41" s="384"/>
      <c r="Q41" s="384"/>
      <c r="R41" s="198"/>
    </row>
    <row r="42" spans="1:18" s="188" customFormat="1" ht="15.75" customHeight="1">
      <c r="A42" s="683"/>
      <c r="B42" s="684"/>
      <c r="C42" s="203" t="s">
        <v>210</v>
      </c>
      <c r="D42" s="679"/>
      <c r="E42" s="680"/>
      <c r="F42" s="680"/>
      <c r="G42" s="199"/>
      <c r="H42" s="201"/>
      <c r="I42" s="202"/>
      <c r="J42" s="199"/>
      <c r="K42" s="679"/>
      <c r="L42" s="680"/>
      <c r="O42" s="198"/>
      <c r="P42" s="384"/>
      <c r="Q42" s="384"/>
      <c r="R42" s="198"/>
    </row>
    <row r="43" spans="1:18" s="188" customFormat="1" ht="15.75" customHeight="1">
      <c r="A43" s="683"/>
      <c r="B43" s="684"/>
      <c r="C43" s="203" t="s">
        <v>211</v>
      </c>
      <c r="D43" s="679"/>
      <c r="E43" s="680"/>
      <c r="F43" s="680"/>
      <c r="G43" s="199"/>
      <c r="H43" s="201"/>
      <c r="I43" s="202"/>
      <c r="J43" s="199"/>
      <c r="K43" s="679"/>
      <c r="L43" s="680"/>
      <c r="O43" s="198"/>
      <c r="P43" s="384"/>
      <c r="Q43" s="384"/>
      <c r="R43" s="198"/>
    </row>
    <row r="44" spans="1:18" s="198" customFormat="1" ht="15.75" customHeight="1">
      <c r="A44" s="681" t="s">
        <v>188</v>
      </c>
      <c r="B44" s="681"/>
      <c r="C44" s="206" t="s">
        <v>47</v>
      </c>
      <c r="D44" s="681" t="s">
        <v>12</v>
      </c>
      <c r="E44" s="682"/>
      <c r="F44" s="682"/>
      <c r="G44" s="206" t="s">
        <v>46</v>
      </c>
      <c r="H44" s="206" t="s">
        <v>374</v>
      </c>
      <c r="I44" s="206" t="s">
        <v>375</v>
      </c>
      <c r="J44" s="159" t="s">
        <v>332</v>
      </c>
      <c r="K44" s="681" t="s">
        <v>50</v>
      </c>
      <c r="L44" s="682"/>
      <c r="M44" s="207"/>
      <c r="N44" s="188"/>
      <c r="P44" s="384"/>
      <c r="Q44" s="384"/>
    </row>
    <row r="45" spans="1:18" s="188" customFormat="1" ht="15.75" customHeight="1">
      <c r="A45" s="683">
        <v>4</v>
      </c>
      <c r="B45" s="684" t="s">
        <v>156</v>
      </c>
      <c r="C45" s="199">
        <v>1</v>
      </c>
      <c r="D45" s="679" t="s">
        <v>629</v>
      </c>
      <c r="E45" s="680"/>
      <c r="F45" s="680"/>
      <c r="G45" s="199">
        <v>5</v>
      </c>
      <c r="H45" s="201">
        <v>2967.1553528691161</v>
      </c>
      <c r="I45" s="202">
        <v>593.43107057382326</v>
      </c>
      <c r="J45" s="220">
        <f>I45-I19</f>
        <v>0.18702857142829998</v>
      </c>
      <c r="K45" s="679" t="s">
        <v>427</v>
      </c>
      <c r="L45" s="680"/>
      <c r="N45" s="198"/>
      <c r="O45" s="198"/>
      <c r="P45" s="384"/>
      <c r="Q45" s="384"/>
      <c r="R45" s="198"/>
    </row>
    <row r="46" spans="1:18" s="188" customFormat="1" ht="15.75" customHeight="1">
      <c r="A46" s="683"/>
      <c r="B46" s="684"/>
      <c r="C46" s="199">
        <v>2</v>
      </c>
      <c r="D46" s="679" t="s">
        <v>579</v>
      </c>
      <c r="E46" s="680"/>
      <c r="F46" s="680"/>
      <c r="G46" s="199">
        <v>6</v>
      </c>
      <c r="H46" s="201">
        <v>3221.7612967161626</v>
      </c>
      <c r="I46" s="202">
        <v>536.96021611936044</v>
      </c>
      <c r="J46" s="220">
        <f>I46-I22</f>
        <v>145.03284469227304</v>
      </c>
      <c r="K46" s="687" t="s">
        <v>781</v>
      </c>
      <c r="L46" s="680"/>
      <c r="O46" s="198"/>
      <c r="P46" s="384"/>
      <c r="Q46" s="384"/>
      <c r="R46" s="198"/>
    </row>
    <row r="47" spans="1:18" s="188" customFormat="1" ht="15.75" customHeight="1">
      <c r="A47" s="683"/>
      <c r="B47" s="684"/>
      <c r="C47" s="199">
        <v>3</v>
      </c>
      <c r="D47" s="679" t="s">
        <v>578</v>
      </c>
      <c r="E47" s="680"/>
      <c r="F47" s="680"/>
      <c r="G47" s="199">
        <v>6</v>
      </c>
      <c r="H47" s="201">
        <v>3221.004969973023</v>
      </c>
      <c r="I47" s="202">
        <v>536.83416166217046</v>
      </c>
      <c r="J47" s="220">
        <f>I47-I21</f>
        <v>144.37835484467354</v>
      </c>
      <c r="K47" s="687" t="s">
        <v>781</v>
      </c>
      <c r="L47" s="680"/>
      <c r="O47" s="198"/>
      <c r="P47" s="384"/>
      <c r="Q47" s="384"/>
      <c r="R47" s="198"/>
    </row>
    <row r="48" spans="1:18" s="188" customFormat="1" ht="15.75" customHeight="1">
      <c r="A48" s="683"/>
      <c r="B48" s="684"/>
      <c r="C48" s="199">
        <v>4</v>
      </c>
      <c r="D48" s="679" t="s">
        <v>596</v>
      </c>
      <c r="E48" s="680"/>
      <c r="F48" s="680"/>
      <c r="G48" s="199">
        <v>6</v>
      </c>
      <c r="H48" s="201">
        <v>2961.6418775921857</v>
      </c>
      <c r="I48" s="202">
        <v>493.60697959869776</v>
      </c>
      <c r="J48" s="220">
        <f>I48-I20</f>
        <v>0</v>
      </c>
      <c r="K48" s="679" t="s">
        <v>427</v>
      </c>
      <c r="L48" s="680"/>
      <c r="O48" s="198"/>
      <c r="P48" s="384"/>
      <c r="Q48" s="384"/>
      <c r="R48" s="198"/>
    </row>
    <row r="49" spans="1:18" s="188" customFormat="1" ht="15.75" customHeight="1">
      <c r="A49" s="683"/>
      <c r="B49" s="684"/>
      <c r="C49" s="199">
        <v>5</v>
      </c>
      <c r="D49" s="679" t="s">
        <v>613</v>
      </c>
      <c r="E49" s="680"/>
      <c r="F49" s="680"/>
      <c r="G49" s="199">
        <v>20</v>
      </c>
      <c r="H49" s="201">
        <v>1896.8483422374977</v>
      </c>
      <c r="I49" s="202">
        <v>94.84241711187488</v>
      </c>
      <c r="J49" s="220">
        <f>I49-I23</f>
        <v>-2.7000000000001023E-2</v>
      </c>
      <c r="K49" s="679" t="s">
        <v>427</v>
      </c>
      <c r="L49" s="680"/>
      <c r="O49" s="198"/>
      <c r="P49" s="384"/>
      <c r="Q49" s="384"/>
      <c r="R49" s="198"/>
    </row>
    <row r="50" spans="1:18" s="188" customFormat="1" ht="15.75" customHeight="1">
      <c r="A50" s="683"/>
      <c r="B50" s="684"/>
      <c r="C50" s="203" t="s">
        <v>204</v>
      </c>
      <c r="D50" s="679"/>
      <c r="E50" s="680"/>
      <c r="F50" s="680"/>
      <c r="G50" s="199"/>
      <c r="H50" s="201"/>
      <c r="I50" s="202"/>
      <c r="J50" s="199"/>
      <c r="K50" s="679"/>
      <c r="L50" s="680"/>
      <c r="O50" s="198"/>
      <c r="P50" s="384"/>
      <c r="Q50" s="384"/>
      <c r="R50" s="198"/>
    </row>
    <row r="51" spans="1:18" s="188" customFormat="1" ht="15.75" customHeight="1">
      <c r="A51" s="683"/>
      <c r="B51" s="684"/>
      <c r="C51" s="203" t="s">
        <v>209</v>
      </c>
      <c r="D51" s="679"/>
      <c r="E51" s="680"/>
      <c r="F51" s="680"/>
      <c r="G51" s="199"/>
      <c r="H51" s="201"/>
      <c r="I51" s="202"/>
      <c r="J51" s="199"/>
      <c r="K51" s="679"/>
      <c r="L51" s="680"/>
      <c r="O51" s="198"/>
      <c r="P51" s="384"/>
      <c r="Q51" s="384"/>
      <c r="R51" s="198"/>
    </row>
    <row r="52" spans="1:18" s="188" customFormat="1" ht="15.75" customHeight="1">
      <c r="A52" s="683"/>
      <c r="B52" s="684"/>
      <c r="C52" s="203" t="s">
        <v>205</v>
      </c>
      <c r="D52" s="679"/>
      <c r="E52" s="680"/>
      <c r="F52" s="680"/>
      <c r="G52" s="199"/>
      <c r="H52" s="201"/>
      <c r="I52" s="202"/>
      <c r="J52" s="199"/>
      <c r="K52" s="679"/>
      <c r="L52" s="680"/>
      <c r="O52" s="198"/>
      <c r="P52" s="384"/>
      <c r="Q52" s="384"/>
      <c r="R52" s="198"/>
    </row>
    <row r="53" spans="1:18" s="188" customFormat="1" ht="15.75" customHeight="1">
      <c r="A53" s="683"/>
      <c r="B53" s="684"/>
      <c r="C53" s="203" t="s">
        <v>210</v>
      </c>
      <c r="D53" s="679"/>
      <c r="E53" s="680"/>
      <c r="F53" s="680"/>
      <c r="G53" s="199"/>
      <c r="H53" s="201"/>
      <c r="I53" s="202"/>
      <c r="J53" s="199"/>
      <c r="K53" s="679"/>
      <c r="L53" s="680"/>
      <c r="O53" s="198"/>
      <c r="P53" s="384"/>
      <c r="Q53" s="384"/>
      <c r="R53" s="198"/>
    </row>
    <row r="54" spans="1:18" s="188" customFormat="1" ht="15.75" customHeight="1">
      <c r="A54" s="683"/>
      <c r="B54" s="684"/>
      <c r="C54" s="203" t="s">
        <v>211</v>
      </c>
      <c r="D54" s="679"/>
      <c r="E54" s="680"/>
      <c r="F54" s="680"/>
      <c r="G54" s="199"/>
      <c r="H54" s="201"/>
      <c r="I54" s="202"/>
      <c r="J54" s="199"/>
      <c r="K54" s="679"/>
      <c r="L54" s="680"/>
      <c r="O54" s="198"/>
      <c r="P54" s="384"/>
      <c r="Q54" s="384"/>
      <c r="R54" s="198"/>
    </row>
    <row r="55" spans="1:18" s="188" customFormat="1" ht="15.75" customHeight="1">
      <c r="A55" s="685" t="s">
        <v>747</v>
      </c>
      <c r="B55" s="685"/>
      <c r="C55" s="685"/>
      <c r="D55" s="685"/>
      <c r="E55" s="685"/>
      <c r="F55" s="685"/>
      <c r="G55" s="685"/>
      <c r="H55" s="685"/>
      <c r="I55" s="685"/>
      <c r="J55" s="685"/>
      <c r="K55" s="685"/>
      <c r="L55" s="685"/>
    </row>
    <row r="56" spans="1:18" s="189" customFormat="1" ht="15.75" customHeight="1">
      <c r="A56" s="685"/>
      <c r="B56" s="685"/>
      <c r="C56" s="685"/>
      <c r="D56" s="685"/>
      <c r="E56" s="685"/>
      <c r="F56" s="685"/>
      <c r="G56" s="685"/>
      <c r="H56" s="685"/>
      <c r="I56" s="685"/>
      <c r="J56" s="685"/>
      <c r="K56" s="685"/>
      <c r="L56" s="685"/>
    </row>
    <row r="57" spans="1:18" s="177" customFormat="1" ht="16.350000000000001" customHeight="1">
      <c r="A57" s="683" t="s">
        <v>162</v>
      </c>
      <c r="B57" s="169">
        <v>1</v>
      </c>
      <c r="C57" s="169">
        <v>2</v>
      </c>
      <c r="D57" s="190">
        <v>3</v>
      </c>
      <c r="E57" s="190">
        <v>4</v>
      </c>
      <c r="F57" s="169">
        <v>5</v>
      </c>
      <c r="G57" s="169">
        <v>6</v>
      </c>
      <c r="H57" s="169">
        <v>7</v>
      </c>
      <c r="I57" s="169">
        <v>8</v>
      </c>
      <c r="J57" s="169">
        <v>9</v>
      </c>
      <c r="K57" s="191"/>
      <c r="L57" s="191"/>
      <c r="M57" s="192"/>
    </row>
    <row r="58" spans="1:18" s="188" customFormat="1" ht="16.350000000000001" customHeight="1">
      <c r="A58" s="683"/>
      <c r="B58" s="194" t="s">
        <v>206</v>
      </c>
      <c r="C58" s="194" t="s">
        <v>155</v>
      </c>
      <c r="D58" s="193" t="s">
        <v>207</v>
      </c>
      <c r="E58" s="193" t="s">
        <v>156</v>
      </c>
      <c r="F58" s="194" t="s">
        <v>348</v>
      </c>
      <c r="G58" s="195" t="s">
        <v>136</v>
      </c>
      <c r="H58" s="196" t="s">
        <v>208</v>
      </c>
      <c r="I58" s="195" t="s">
        <v>373</v>
      </c>
      <c r="J58" s="195" t="s">
        <v>142</v>
      </c>
      <c r="K58" s="197"/>
      <c r="L58" s="197"/>
      <c r="M58" s="189"/>
      <c r="N58" s="198"/>
      <c r="O58" s="198"/>
      <c r="P58" s="198"/>
      <c r="Q58" s="198"/>
      <c r="R58" s="198"/>
    </row>
    <row r="59" spans="1:18" s="177" customFormat="1" ht="15.75" customHeight="1">
      <c r="A59" s="684" t="s">
        <v>188</v>
      </c>
      <c r="B59" s="684"/>
      <c r="C59" s="159" t="s">
        <v>47</v>
      </c>
      <c r="D59" s="684" t="s">
        <v>12</v>
      </c>
      <c r="E59" s="686"/>
      <c r="F59" s="686"/>
      <c r="G59" s="159" t="s">
        <v>46</v>
      </c>
      <c r="H59" s="159" t="s">
        <v>374</v>
      </c>
      <c r="I59" s="159" t="s">
        <v>375</v>
      </c>
      <c r="J59" s="159" t="s">
        <v>332</v>
      </c>
      <c r="K59" s="684" t="s">
        <v>51</v>
      </c>
      <c r="L59" s="686"/>
      <c r="M59" s="192"/>
      <c r="N59" s="188"/>
      <c r="O59" s="198"/>
      <c r="P59" s="384"/>
      <c r="Q59" s="384"/>
      <c r="R59" s="198"/>
    </row>
    <row r="60" spans="1:18" s="188" customFormat="1" ht="15.75" customHeight="1">
      <c r="A60" s="683">
        <v>3</v>
      </c>
      <c r="B60" s="684" t="s">
        <v>377</v>
      </c>
      <c r="C60" s="199">
        <v>1</v>
      </c>
      <c r="D60" s="679" t="s">
        <v>347</v>
      </c>
      <c r="E60" s="680"/>
      <c r="F60" s="680"/>
      <c r="G60" s="199">
        <v>21.571428571428573</v>
      </c>
      <c r="H60" s="201">
        <v>2568.1236263736259</v>
      </c>
      <c r="I60" s="202">
        <v>119.01864595032293</v>
      </c>
      <c r="J60" s="220">
        <f>I60-I34</f>
        <v>-2.1510864911486323</v>
      </c>
      <c r="K60" s="679" t="s">
        <v>779</v>
      </c>
      <c r="L60" s="680"/>
      <c r="M60" s="189"/>
      <c r="O60" s="198"/>
      <c r="P60" s="384"/>
      <c r="Q60" s="384"/>
      <c r="R60" s="198"/>
    </row>
    <row r="61" spans="1:18" s="188" customFormat="1" ht="15.75" customHeight="1">
      <c r="A61" s="683"/>
      <c r="B61" s="684"/>
      <c r="C61" s="199">
        <v>2</v>
      </c>
      <c r="D61" s="679" t="s">
        <v>750</v>
      </c>
      <c r="E61" s="680"/>
      <c r="F61" s="680"/>
      <c r="G61" s="199">
        <v>22</v>
      </c>
      <c r="H61" s="201">
        <v>2484.1730769230758</v>
      </c>
      <c r="I61" s="202">
        <v>112.916958041958</v>
      </c>
      <c r="J61" s="220">
        <f>I61-I35</f>
        <v>7.3098677084111188</v>
      </c>
      <c r="K61" s="687" t="s">
        <v>824</v>
      </c>
      <c r="L61" s="680"/>
      <c r="M61" s="189"/>
      <c r="O61" s="198"/>
      <c r="P61" s="384"/>
      <c r="Q61" s="384"/>
      <c r="R61" s="198"/>
    </row>
    <row r="62" spans="1:18" s="188" customFormat="1" ht="15.75" customHeight="1">
      <c r="A62" s="683"/>
      <c r="B62" s="684"/>
      <c r="C62" s="199">
        <v>3</v>
      </c>
      <c r="D62" s="679"/>
      <c r="E62" s="680"/>
      <c r="F62" s="680"/>
      <c r="G62" s="199"/>
      <c r="H62" s="201"/>
      <c r="I62" s="202"/>
      <c r="J62" s="199"/>
      <c r="K62" s="679"/>
      <c r="L62" s="680"/>
      <c r="M62" s="189"/>
      <c r="O62" s="198"/>
      <c r="P62" s="384"/>
      <c r="Q62" s="384"/>
      <c r="R62" s="198"/>
    </row>
    <row r="63" spans="1:18" s="188" customFormat="1" ht="15.75" customHeight="1">
      <c r="A63" s="683"/>
      <c r="B63" s="684"/>
      <c r="C63" s="199">
        <v>4</v>
      </c>
      <c r="D63" s="679"/>
      <c r="E63" s="680"/>
      <c r="F63" s="680"/>
      <c r="G63" s="199"/>
      <c r="H63" s="201"/>
      <c r="I63" s="202"/>
      <c r="J63" s="199"/>
      <c r="K63" s="679"/>
      <c r="L63" s="680"/>
      <c r="M63" s="189"/>
      <c r="O63" s="198"/>
      <c r="P63" s="384"/>
      <c r="Q63" s="384"/>
      <c r="R63" s="198"/>
    </row>
    <row r="64" spans="1:18" s="188" customFormat="1" ht="15.75" customHeight="1">
      <c r="A64" s="683"/>
      <c r="B64" s="684"/>
      <c r="C64" s="199">
        <v>5</v>
      </c>
      <c r="D64" s="679"/>
      <c r="E64" s="680"/>
      <c r="F64" s="680"/>
      <c r="G64" s="199"/>
      <c r="H64" s="201"/>
      <c r="I64" s="202"/>
      <c r="J64" s="199"/>
      <c r="K64" s="679"/>
      <c r="L64" s="680"/>
      <c r="M64" s="189"/>
      <c r="O64" s="198"/>
      <c r="P64" s="384"/>
      <c r="Q64" s="384"/>
      <c r="R64" s="198"/>
    </row>
    <row r="65" spans="1:18" s="188" customFormat="1" ht="15.75" customHeight="1">
      <c r="A65" s="683"/>
      <c r="B65" s="684"/>
      <c r="C65" s="203" t="s">
        <v>204</v>
      </c>
      <c r="D65" s="679"/>
      <c r="E65" s="680"/>
      <c r="F65" s="680"/>
      <c r="G65" s="199"/>
      <c r="H65" s="201"/>
      <c r="I65" s="202"/>
      <c r="J65" s="199"/>
      <c r="K65" s="679"/>
      <c r="L65" s="680"/>
      <c r="M65" s="189"/>
      <c r="O65" s="198"/>
      <c r="P65" s="384"/>
      <c r="Q65" s="384"/>
      <c r="R65" s="198"/>
    </row>
    <row r="66" spans="1:18" s="188" customFormat="1" ht="15.75" customHeight="1">
      <c r="A66" s="683"/>
      <c r="B66" s="684"/>
      <c r="C66" s="203" t="s">
        <v>209</v>
      </c>
      <c r="D66" s="679"/>
      <c r="E66" s="680"/>
      <c r="F66" s="680"/>
      <c r="G66" s="199"/>
      <c r="H66" s="201"/>
      <c r="I66" s="202"/>
      <c r="J66" s="199"/>
      <c r="K66" s="679"/>
      <c r="L66" s="680"/>
      <c r="M66" s="189"/>
      <c r="N66" s="177"/>
      <c r="O66" s="177"/>
      <c r="P66" s="383"/>
      <c r="Q66" s="383"/>
      <c r="R66" s="177"/>
    </row>
    <row r="67" spans="1:18" s="188" customFormat="1" ht="15.75" customHeight="1">
      <c r="A67" s="683"/>
      <c r="B67" s="684"/>
      <c r="C67" s="203" t="s">
        <v>205</v>
      </c>
      <c r="D67" s="679"/>
      <c r="E67" s="680"/>
      <c r="F67" s="680"/>
      <c r="G67" s="201"/>
      <c r="H67" s="201"/>
      <c r="I67" s="202"/>
      <c r="J67" s="199"/>
      <c r="K67" s="679"/>
      <c r="L67" s="680"/>
      <c r="M67" s="189"/>
      <c r="O67" s="198"/>
      <c r="P67" s="384"/>
      <c r="Q67" s="384"/>
      <c r="R67" s="198"/>
    </row>
    <row r="68" spans="1:18" s="188" customFormat="1" ht="15.75" customHeight="1">
      <c r="A68" s="683"/>
      <c r="B68" s="684"/>
      <c r="C68" s="203" t="s">
        <v>210</v>
      </c>
      <c r="D68" s="679"/>
      <c r="E68" s="680"/>
      <c r="F68" s="680"/>
      <c r="G68" s="199"/>
      <c r="H68" s="201"/>
      <c r="I68" s="202"/>
      <c r="J68" s="199"/>
      <c r="K68" s="679"/>
      <c r="L68" s="680"/>
      <c r="O68" s="198"/>
      <c r="P68" s="384"/>
      <c r="Q68" s="384"/>
      <c r="R68" s="198"/>
    </row>
    <row r="69" spans="1:18" s="188" customFormat="1" ht="15.75" customHeight="1">
      <c r="A69" s="683"/>
      <c r="B69" s="684"/>
      <c r="C69" s="203" t="s">
        <v>211</v>
      </c>
      <c r="D69" s="679"/>
      <c r="E69" s="680"/>
      <c r="F69" s="680"/>
      <c r="G69" s="199"/>
      <c r="H69" s="201"/>
      <c r="I69" s="202"/>
      <c r="J69" s="199"/>
      <c r="K69" s="679"/>
      <c r="L69" s="680"/>
      <c r="O69" s="198"/>
      <c r="P69" s="384"/>
      <c r="Q69" s="384"/>
      <c r="R69" s="198"/>
    </row>
    <row r="70" spans="1:18" s="198" customFormat="1" ht="15.75" customHeight="1">
      <c r="A70" s="681" t="s">
        <v>188</v>
      </c>
      <c r="B70" s="681"/>
      <c r="C70" s="206" t="s">
        <v>47</v>
      </c>
      <c r="D70" s="681" t="s">
        <v>12</v>
      </c>
      <c r="E70" s="682"/>
      <c r="F70" s="682"/>
      <c r="G70" s="206" t="s">
        <v>46</v>
      </c>
      <c r="H70" s="206" t="s">
        <v>374</v>
      </c>
      <c r="I70" s="206" t="s">
        <v>375</v>
      </c>
      <c r="J70" s="159" t="s">
        <v>332</v>
      </c>
      <c r="K70" s="681" t="s">
        <v>50</v>
      </c>
      <c r="L70" s="682"/>
      <c r="M70" s="207"/>
      <c r="N70" s="188"/>
      <c r="P70" s="384"/>
      <c r="Q70" s="384"/>
    </row>
    <row r="71" spans="1:18" s="188" customFormat="1" ht="15.75" customHeight="1">
      <c r="A71" s="683">
        <v>4</v>
      </c>
      <c r="B71" s="684" t="s">
        <v>156</v>
      </c>
      <c r="C71" s="199">
        <v>1</v>
      </c>
      <c r="D71" s="679" t="s">
        <v>629</v>
      </c>
      <c r="E71" s="680"/>
      <c r="F71" s="680"/>
      <c r="G71" s="199">
        <v>5</v>
      </c>
      <c r="H71" s="201">
        <v>2967.8099528691168</v>
      </c>
      <c r="I71" s="202">
        <v>593.56199057382344</v>
      </c>
      <c r="J71" s="220">
        <f>I71-I45</f>
        <v>0.13092000000017379</v>
      </c>
      <c r="K71" s="679" t="s">
        <v>427</v>
      </c>
      <c r="L71" s="680"/>
      <c r="N71" s="198"/>
      <c r="O71" s="198"/>
      <c r="P71" s="384"/>
      <c r="Q71" s="384"/>
      <c r="R71" s="198"/>
    </row>
    <row r="72" spans="1:18" s="188" customFormat="1" ht="15.75" customHeight="1">
      <c r="A72" s="683"/>
      <c r="B72" s="684"/>
      <c r="C72" s="199">
        <v>2</v>
      </c>
      <c r="D72" s="679" t="s">
        <v>579</v>
      </c>
      <c r="E72" s="680"/>
      <c r="F72" s="680"/>
      <c r="G72" s="199">
        <v>6</v>
      </c>
      <c r="H72" s="201">
        <v>3248.0228571428565</v>
      </c>
      <c r="I72" s="202">
        <v>541.33714285714279</v>
      </c>
      <c r="J72" s="220">
        <f>I72-I46</f>
        <v>4.3769267377823553</v>
      </c>
      <c r="K72" s="687" t="s">
        <v>825</v>
      </c>
      <c r="L72" s="680"/>
      <c r="O72" s="198"/>
      <c r="P72" s="384"/>
      <c r="Q72" s="384"/>
      <c r="R72" s="198"/>
    </row>
    <row r="73" spans="1:18" s="188" customFormat="1" ht="15.75" customHeight="1">
      <c r="A73" s="683"/>
      <c r="B73" s="684"/>
      <c r="C73" s="199">
        <v>3</v>
      </c>
      <c r="D73" s="679" t="s">
        <v>578</v>
      </c>
      <c r="E73" s="680"/>
      <c r="F73" s="680"/>
      <c r="G73" s="199">
        <v>6</v>
      </c>
      <c r="H73" s="201">
        <v>3247.1485714285727</v>
      </c>
      <c r="I73" s="202">
        <v>541.19142857142867</v>
      </c>
      <c r="J73" s="220">
        <f>I73-I47</f>
        <v>4.3572669092582146</v>
      </c>
      <c r="K73" s="687" t="s">
        <v>825</v>
      </c>
      <c r="L73" s="680"/>
      <c r="O73" s="198"/>
      <c r="P73" s="384"/>
      <c r="Q73" s="384"/>
      <c r="R73" s="198"/>
    </row>
    <row r="74" spans="1:18" s="188" customFormat="1" ht="15.75" customHeight="1">
      <c r="A74" s="683"/>
      <c r="B74" s="684"/>
      <c r="C74" s="199">
        <v>4</v>
      </c>
      <c r="D74" s="679" t="s">
        <v>596</v>
      </c>
      <c r="E74" s="680"/>
      <c r="F74" s="680"/>
      <c r="G74" s="199">
        <v>6</v>
      </c>
      <c r="H74" s="201">
        <v>2961.6418775921857</v>
      </c>
      <c r="I74" s="202">
        <v>493.60697959869771</v>
      </c>
      <c r="J74" s="220">
        <f>I74-I48</f>
        <v>0</v>
      </c>
      <c r="K74" s="679" t="s">
        <v>427</v>
      </c>
      <c r="L74" s="680"/>
      <c r="O74" s="198"/>
      <c r="P74" s="384"/>
      <c r="Q74" s="384"/>
      <c r="R74" s="198"/>
    </row>
    <row r="75" spans="1:18" s="188" customFormat="1" ht="15.75" customHeight="1">
      <c r="A75" s="683"/>
      <c r="B75" s="684"/>
      <c r="C75" s="199">
        <v>5</v>
      </c>
      <c r="D75" s="679" t="s">
        <v>613</v>
      </c>
      <c r="E75" s="680"/>
      <c r="F75" s="680"/>
      <c r="G75" s="199">
        <v>20</v>
      </c>
      <c r="H75" s="201">
        <v>1893.9683422374978</v>
      </c>
      <c r="I75" s="202">
        <v>94.698417111874875</v>
      </c>
      <c r="J75" s="220">
        <f>I75-I49</f>
        <v>-0.14400000000000546</v>
      </c>
      <c r="K75" s="679" t="s">
        <v>427</v>
      </c>
      <c r="L75" s="680"/>
      <c r="O75" s="198"/>
      <c r="P75" s="384"/>
      <c r="Q75" s="384"/>
      <c r="R75" s="198"/>
    </row>
    <row r="76" spans="1:18" s="188" customFormat="1" ht="15.75" customHeight="1">
      <c r="A76" s="683"/>
      <c r="B76" s="684"/>
      <c r="C76" s="203" t="s">
        <v>204</v>
      </c>
      <c r="D76" s="679"/>
      <c r="E76" s="680"/>
      <c r="F76" s="680"/>
      <c r="G76" s="199"/>
      <c r="H76" s="201"/>
      <c r="I76" s="202"/>
      <c r="J76" s="199"/>
      <c r="K76" s="679"/>
      <c r="L76" s="680"/>
      <c r="O76" s="198"/>
      <c r="P76" s="384"/>
      <c r="Q76" s="384"/>
      <c r="R76" s="198"/>
    </row>
    <row r="77" spans="1:18" s="188" customFormat="1" ht="15.75" customHeight="1">
      <c r="A77" s="683"/>
      <c r="B77" s="684"/>
      <c r="C77" s="203" t="s">
        <v>209</v>
      </c>
      <c r="D77" s="679"/>
      <c r="E77" s="680"/>
      <c r="F77" s="680"/>
      <c r="G77" s="199"/>
      <c r="H77" s="201"/>
      <c r="I77" s="202"/>
      <c r="J77" s="199"/>
      <c r="K77" s="679"/>
      <c r="L77" s="680"/>
      <c r="O77" s="198"/>
      <c r="P77" s="384"/>
      <c r="Q77" s="384"/>
      <c r="R77" s="198"/>
    </row>
    <row r="78" spans="1:18" s="188" customFormat="1" ht="15.75" customHeight="1">
      <c r="A78" s="683"/>
      <c r="B78" s="684"/>
      <c r="C78" s="203" t="s">
        <v>205</v>
      </c>
      <c r="D78" s="679"/>
      <c r="E78" s="680"/>
      <c r="F78" s="680"/>
      <c r="G78" s="199"/>
      <c r="H78" s="201"/>
      <c r="I78" s="202"/>
      <c r="J78" s="199"/>
      <c r="K78" s="679"/>
      <c r="L78" s="680"/>
      <c r="O78" s="198"/>
      <c r="P78" s="384"/>
      <c r="Q78" s="384"/>
      <c r="R78" s="198"/>
    </row>
    <row r="79" spans="1:18" s="188" customFormat="1" ht="15.75" customHeight="1">
      <c r="A79" s="683"/>
      <c r="B79" s="684"/>
      <c r="C79" s="203" t="s">
        <v>210</v>
      </c>
      <c r="D79" s="679"/>
      <c r="E79" s="680"/>
      <c r="F79" s="680"/>
      <c r="G79" s="199"/>
      <c r="H79" s="201"/>
      <c r="I79" s="202"/>
      <c r="J79" s="199"/>
      <c r="K79" s="679"/>
      <c r="L79" s="680"/>
      <c r="O79" s="198"/>
      <c r="P79" s="384"/>
      <c r="Q79" s="384"/>
      <c r="R79" s="198"/>
    </row>
    <row r="80" spans="1:18" s="188" customFormat="1" ht="15.75" customHeight="1">
      <c r="A80" s="683"/>
      <c r="B80" s="684"/>
      <c r="C80" s="203" t="s">
        <v>211</v>
      </c>
      <c r="D80" s="679"/>
      <c r="E80" s="680"/>
      <c r="F80" s="680"/>
      <c r="G80" s="199"/>
      <c r="H80" s="201"/>
      <c r="I80" s="202"/>
      <c r="J80" s="199"/>
      <c r="K80" s="679"/>
      <c r="L80" s="680"/>
      <c r="O80" s="198"/>
      <c r="P80" s="384"/>
      <c r="Q80" s="384"/>
      <c r="R80" s="198"/>
    </row>
    <row r="81" spans="1:18" s="188" customFormat="1" ht="15.75" customHeight="1">
      <c r="A81" s="685" t="s">
        <v>851</v>
      </c>
      <c r="B81" s="685"/>
      <c r="C81" s="685"/>
      <c r="D81" s="685"/>
      <c r="E81" s="685"/>
      <c r="F81" s="685"/>
      <c r="G81" s="685"/>
      <c r="H81" s="685"/>
      <c r="I81" s="685"/>
      <c r="J81" s="685"/>
      <c r="K81" s="685"/>
      <c r="L81" s="685"/>
    </row>
    <row r="82" spans="1:18" s="189" customFormat="1" ht="15.75" customHeight="1">
      <c r="A82" s="685"/>
      <c r="B82" s="685"/>
      <c r="C82" s="685"/>
      <c r="D82" s="685"/>
      <c r="E82" s="685"/>
      <c r="F82" s="685"/>
      <c r="G82" s="685"/>
      <c r="H82" s="685"/>
      <c r="I82" s="685"/>
      <c r="J82" s="685"/>
      <c r="K82" s="685"/>
      <c r="L82" s="685"/>
    </row>
    <row r="83" spans="1:18" s="177" customFormat="1" ht="16.350000000000001" customHeight="1">
      <c r="A83" s="683" t="s">
        <v>162</v>
      </c>
      <c r="B83" s="169">
        <v>1</v>
      </c>
      <c r="C83" s="169">
        <v>2</v>
      </c>
      <c r="D83" s="190">
        <v>3</v>
      </c>
      <c r="E83" s="190">
        <v>4</v>
      </c>
      <c r="F83" s="169">
        <v>5</v>
      </c>
      <c r="G83" s="169">
        <v>6</v>
      </c>
      <c r="H83" s="169">
        <v>7</v>
      </c>
      <c r="I83" s="169">
        <v>8</v>
      </c>
      <c r="J83" s="169">
        <v>9</v>
      </c>
      <c r="K83" s="191"/>
      <c r="L83" s="191"/>
      <c r="M83" s="192"/>
    </row>
    <row r="84" spans="1:18" s="188" customFormat="1" ht="16.350000000000001" customHeight="1">
      <c r="A84" s="683"/>
      <c r="B84" s="194" t="s">
        <v>206</v>
      </c>
      <c r="C84" s="194" t="s">
        <v>155</v>
      </c>
      <c r="D84" s="193" t="s">
        <v>207</v>
      </c>
      <c r="E84" s="193" t="s">
        <v>156</v>
      </c>
      <c r="F84" s="194" t="s">
        <v>348</v>
      </c>
      <c r="G84" s="195" t="s">
        <v>136</v>
      </c>
      <c r="H84" s="196" t="s">
        <v>208</v>
      </c>
      <c r="I84" s="195" t="s">
        <v>373</v>
      </c>
      <c r="J84" s="195" t="s">
        <v>142</v>
      </c>
      <c r="K84" s="197"/>
      <c r="L84" s="197"/>
      <c r="M84" s="189"/>
      <c r="N84" s="198"/>
      <c r="O84" s="198"/>
      <c r="P84" s="198"/>
      <c r="Q84" s="198"/>
      <c r="R84" s="198"/>
    </row>
    <row r="85" spans="1:18" s="177" customFormat="1" ht="15.75" customHeight="1">
      <c r="A85" s="684" t="s">
        <v>188</v>
      </c>
      <c r="B85" s="684"/>
      <c r="C85" s="159" t="s">
        <v>47</v>
      </c>
      <c r="D85" s="684" t="s">
        <v>12</v>
      </c>
      <c r="E85" s="686"/>
      <c r="F85" s="686"/>
      <c r="G85" s="159" t="s">
        <v>46</v>
      </c>
      <c r="H85" s="159" t="s">
        <v>374</v>
      </c>
      <c r="I85" s="159" t="s">
        <v>375</v>
      </c>
      <c r="J85" s="159" t="s">
        <v>332</v>
      </c>
      <c r="K85" s="684" t="s">
        <v>51</v>
      </c>
      <c r="L85" s="686"/>
      <c r="M85" s="192"/>
      <c r="N85" s="188"/>
      <c r="O85" s="198"/>
      <c r="P85" s="384"/>
      <c r="Q85" s="384"/>
      <c r="R85" s="198"/>
    </row>
    <row r="86" spans="1:18" s="188" customFormat="1" ht="15.75" customHeight="1">
      <c r="A86" s="683">
        <v>3</v>
      </c>
      <c r="B86" s="684" t="s">
        <v>377</v>
      </c>
      <c r="C86" s="199">
        <v>1</v>
      </c>
      <c r="D86" s="679" t="s">
        <v>347</v>
      </c>
      <c r="E86" s="680"/>
      <c r="F86" s="680"/>
      <c r="G86" s="199">
        <v>22.285714285714285</v>
      </c>
      <c r="H86" s="201">
        <v>2657.1620879120878</v>
      </c>
      <c r="I86" s="202">
        <v>119.21918897872312</v>
      </c>
      <c r="J86" s="220">
        <f>I86-I60</f>
        <v>0.20054302840019034</v>
      </c>
      <c r="K86" s="679" t="s">
        <v>427</v>
      </c>
      <c r="L86" s="680"/>
      <c r="M86" s="189"/>
      <c r="O86" s="198"/>
      <c r="P86" s="384"/>
      <c r="Q86" s="384"/>
      <c r="R86" s="198"/>
    </row>
    <row r="87" spans="1:18" s="188" customFormat="1" ht="15.75" customHeight="1">
      <c r="A87" s="683"/>
      <c r="B87" s="684"/>
      <c r="C87" s="199">
        <v>2</v>
      </c>
      <c r="D87" s="679" t="s">
        <v>750</v>
      </c>
      <c r="E87" s="680"/>
      <c r="F87" s="680"/>
      <c r="G87" s="199">
        <v>23.857142857142858</v>
      </c>
      <c r="H87" s="201">
        <v>2743.6565934065939</v>
      </c>
      <c r="I87" s="202">
        <v>115.0007453875556</v>
      </c>
      <c r="J87" s="220">
        <f>I87-I61</f>
        <v>2.0837873455975995</v>
      </c>
      <c r="K87" s="679" t="s">
        <v>427</v>
      </c>
      <c r="L87" s="680"/>
      <c r="M87" s="189"/>
      <c r="O87" s="198"/>
      <c r="P87" s="384"/>
      <c r="Q87" s="384"/>
      <c r="R87" s="198"/>
    </row>
    <row r="88" spans="1:18" s="188" customFormat="1" ht="15.75" customHeight="1">
      <c r="A88" s="683"/>
      <c r="B88" s="684"/>
      <c r="C88" s="199">
        <v>3</v>
      </c>
      <c r="D88" s="679"/>
      <c r="E88" s="680"/>
      <c r="F88" s="680"/>
      <c r="G88" s="199"/>
      <c r="H88" s="201"/>
      <c r="I88" s="202"/>
      <c r="J88" s="199"/>
      <c r="K88" s="679"/>
      <c r="L88" s="680"/>
      <c r="M88" s="189"/>
      <c r="O88" s="198"/>
      <c r="P88" s="384"/>
      <c r="Q88" s="384"/>
      <c r="R88" s="198"/>
    </row>
    <row r="89" spans="1:18" s="188" customFormat="1" ht="15.75" customHeight="1">
      <c r="A89" s="683"/>
      <c r="B89" s="684"/>
      <c r="C89" s="199">
        <v>4</v>
      </c>
      <c r="D89" s="679"/>
      <c r="E89" s="680"/>
      <c r="F89" s="680"/>
      <c r="G89" s="199"/>
      <c r="H89" s="201"/>
      <c r="I89" s="202"/>
      <c r="J89" s="199"/>
      <c r="K89" s="679"/>
      <c r="L89" s="680"/>
      <c r="M89" s="189"/>
      <c r="O89" s="198"/>
      <c r="P89" s="384"/>
      <c r="Q89" s="384"/>
      <c r="R89" s="198"/>
    </row>
    <row r="90" spans="1:18" s="188" customFormat="1" ht="15.75" customHeight="1">
      <c r="A90" s="683"/>
      <c r="B90" s="684"/>
      <c r="C90" s="199">
        <v>5</v>
      </c>
      <c r="D90" s="679"/>
      <c r="E90" s="680"/>
      <c r="F90" s="680"/>
      <c r="G90" s="199"/>
      <c r="H90" s="201"/>
      <c r="I90" s="202"/>
      <c r="J90" s="199"/>
      <c r="K90" s="679"/>
      <c r="L90" s="680"/>
      <c r="M90" s="189"/>
      <c r="O90" s="198"/>
      <c r="P90" s="384"/>
      <c r="Q90" s="384"/>
      <c r="R90" s="198"/>
    </row>
    <row r="91" spans="1:18" s="188" customFormat="1" ht="15.75" customHeight="1">
      <c r="A91" s="683"/>
      <c r="B91" s="684"/>
      <c r="C91" s="203" t="s">
        <v>204</v>
      </c>
      <c r="D91" s="679"/>
      <c r="E91" s="680"/>
      <c r="F91" s="680"/>
      <c r="G91" s="199"/>
      <c r="H91" s="201"/>
      <c r="I91" s="202"/>
      <c r="J91" s="199"/>
      <c r="K91" s="679"/>
      <c r="L91" s="680"/>
      <c r="M91" s="189"/>
      <c r="O91" s="198"/>
      <c r="P91" s="384"/>
      <c r="Q91" s="384"/>
      <c r="R91" s="198"/>
    </row>
    <row r="92" spans="1:18" s="188" customFormat="1" ht="15.75" customHeight="1">
      <c r="A92" s="683"/>
      <c r="B92" s="684"/>
      <c r="C92" s="203" t="s">
        <v>209</v>
      </c>
      <c r="D92" s="679"/>
      <c r="E92" s="680"/>
      <c r="F92" s="680"/>
      <c r="G92" s="199"/>
      <c r="H92" s="201"/>
      <c r="I92" s="202"/>
      <c r="J92" s="199"/>
      <c r="K92" s="679"/>
      <c r="L92" s="680"/>
      <c r="M92" s="189"/>
      <c r="N92" s="177"/>
      <c r="O92" s="177"/>
      <c r="P92" s="383"/>
      <c r="Q92" s="383"/>
      <c r="R92" s="177"/>
    </row>
    <row r="93" spans="1:18" s="188" customFormat="1" ht="15.75" customHeight="1">
      <c r="A93" s="683"/>
      <c r="B93" s="684"/>
      <c r="C93" s="203" t="s">
        <v>205</v>
      </c>
      <c r="D93" s="679"/>
      <c r="E93" s="680"/>
      <c r="F93" s="680"/>
      <c r="G93" s="201"/>
      <c r="H93" s="201"/>
      <c r="I93" s="202"/>
      <c r="J93" s="199"/>
      <c r="K93" s="679"/>
      <c r="L93" s="680"/>
      <c r="M93" s="189"/>
      <c r="O93" s="198"/>
      <c r="P93" s="384"/>
      <c r="Q93" s="384"/>
      <c r="R93" s="198"/>
    </row>
    <row r="94" spans="1:18" s="188" customFormat="1" ht="15.75" customHeight="1">
      <c r="A94" s="683"/>
      <c r="B94" s="684"/>
      <c r="C94" s="203" t="s">
        <v>210</v>
      </c>
      <c r="D94" s="679"/>
      <c r="E94" s="680"/>
      <c r="F94" s="680"/>
      <c r="G94" s="199"/>
      <c r="H94" s="201"/>
      <c r="I94" s="202"/>
      <c r="J94" s="199"/>
      <c r="K94" s="679"/>
      <c r="L94" s="680"/>
      <c r="O94" s="198"/>
      <c r="P94" s="384"/>
      <c r="Q94" s="384"/>
      <c r="R94" s="198"/>
    </row>
    <row r="95" spans="1:18" s="188" customFormat="1" ht="15.75" customHeight="1">
      <c r="A95" s="683"/>
      <c r="B95" s="684"/>
      <c r="C95" s="203" t="s">
        <v>211</v>
      </c>
      <c r="D95" s="679"/>
      <c r="E95" s="680"/>
      <c r="F95" s="680"/>
      <c r="G95" s="199"/>
      <c r="H95" s="201"/>
      <c r="I95" s="202"/>
      <c r="J95" s="199"/>
      <c r="K95" s="679"/>
      <c r="L95" s="680"/>
      <c r="O95" s="198"/>
      <c r="P95" s="384"/>
      <c r="Q95" s="384"/>
      <c r="R95" s="198"/>
    </row>
    <row r="96" spans="1:18" s="198" customFormat="1" ht="15.75" customHeight="1">
      <c r="A96" s="681" t="s">
        <v>188</v>
      </c>
      <c r="B96" s="681"/>
      <c r="C96" s="206" t="s">
        <v>47</v>
      </c>
      <c r="D96" s="681" t="s">
        <v>12</v>
      </c>
      <c r="E96" s="682"/>
      <c r="F96" s="682"/>
      <c r="G96" s="206" t="s">
        <v>46</v>
      </c>
      <c r="H96" s="206" t="s">
        <v>374</v>
      </c>
      <c r="I96" s="206" t="s">
        <v>375</v>
      </c>
      <c r="J96" s="159" t="s">
        <v>332</v>
      </c>
      <c r="K96" s="681" t="s">
        <v>50</v>
      </c>
      <c r="L96" s="682"/>
      <c r="M96" s="207"/>
      <c r="N96" s="188"/>
      <c r="P96" s="384"/>
      <c r="Q96" s="384"/>
    </row>
    <row r="97" spans="1:18" s="188" customFormat="1" ht="15.75" customHeight="1">
      <c r="A97" s="683">
        <v>4</v>
      </c>
      <c r="B97" s="684" t="s">
        <v>156</v>
      </c>
      <c r="C97" s="199">
        <v>1</v>
      </c>
      <c r="D97" s="679" t="s">
        <v>629</v>
      </c>
      <c r="E97" s="680"/>
      <c r="F97" s="680"/>
      <c r="G97" s="199">
        <v>5</v>
      </c>
      <c r="H97" s="201">
        <v>2965.8461528691178</v>
      </c>
      <c r="I97" s="202">
        <v>593.1692305738236</v>
      </c>
      <c r="J97" s="220">
        <f>I97-I71</f>
        <v>-0.39275999999983924</v>
      </c>
      <c r="K97" s="679" t="s">
        <v>427</v>
      </c>
      <c r="L97" s="680"/>
      <c r="N97" s="198"/>
      <c r="O97" s="198"/>
      <c r="P97" s="384"/>
      <c r="Q97" s="384"/>
      <c r="R97" s="198"/>
    </row>
    <row r="98" spans="1:18" s="188" customFormat="1" ht="15.75" customHeight="1">
      <c r="A98" s="683"/>
      <c r="B98" s="684"/>
      <c r="C98" s="199">
        <v>2</v>
      </c>
      <c r="D98" s="679" t="s">
        <v>578</v>
      </c>
      <c r="E98" s="680"/>
      <c r="F98" s="680"/>
      <c r="G98" s="199">
        <v>6</v>
      </c>
      <c r="H98" s="201">
        <v>3247.5600000000009</v>
      </c>
      <c r="I98" s="202">
        <v>541.26000000000022</v>
      </c>
      <c r="J98" s="220">
        <f>I98-I73</f>
        <v>6.8571428571544857E-2</v>
      </c>
      <c r="K98" s="679" t="s">
        <v>427</v>
      </c>
      <c r="L98" s="680"/>
      <c r="O98" s="198"/>
      <c r="P98" s="384"/>
      <c r="Q98" s="384"/>
      <c r="R98" s="198"/>
    </row>
    <row r="99" spans="1:18" s="188" customFormat="1" ht="15.75" customHeight="1">
      <c r="A99" s="683"/>
      <c r="B99" s="684"/>
      <c r="C99" s="199">
        <v>3</v>
      </c>
      <c r="D99" s="679" t="s">
        <v>579</v>
      </c>
      <c r="E99" s="680"/>
      <c r="F99" s="680"/>
      <c r="G99" s="199">
        <v>6</v>
      </c>
      <c r="H99" s="201">
        <v>3246.8100775544372</v>
      </c>
      <c r="I99" s="202">
        <v>541.13501292573949</v>
      </c>
      <c r="J99" s="220">
        <f>I99-I72</f>
        <v>-0.20212993140330582</v>
      </c>
      <c r="K99" s="679" t="s">
        <v>427</v>
      </c>
      <c r="L99" s="680"/>
      <c r="O99" s="198"/>
      <c r="P99" s="384"/>
      <c r="Q99" s="384"/>
      <c r="R99" s="198"/>
    </row>
    <row r="100" spans="1:18" s="188" customFormat="1" ht="15.75" customHeight="1">
      <c r="A100" s="683"/>
      <c r="B100" s="684"/>
      <c r="C100" s="199">
        <v>4</v>
      </c>
      <c r="D100" s="679" t="s">
        <v>596</v>
      </c>
      <c r="E100" s="680"/>
      <c r="F100" s="680"/>
      <c r="G100" s="199">
        <v>6</v>
      </c>
      <c r="H100" s="201">
        <v>2961.7353918779008</v>
      </c>
      <c r="I100" s="202">
        <v>493.62256531298351</v>
      </c>
      <c r="J100" s="220">
        <f>I100-I74</f>
        <v>1.5585714285805352E-2</v>
      </c>
      <c r="K100" s="679" t="s">
        <v>427</v>
      </c>
      <c r="L100" s="680"/>
      <c r="O100" s="198"/>
      <c r="P100" s="384"/>
      <c r="Q100" s="384"/>
      <c r="R100" s="198"/>
    </row>
    <row r="101" spans="1:18" s="188" customFormat="1" ht="15.75" customHeight="1">
      <c r="A101" s="683"/>
      <c r="B101" s="684"/>
      <c r="C101" s="199">
        <v>5</v>
      </c>
      <c r="D101" s="679" t="s">
        <v>613</v>
      </c>
      <c r="E101" s="680"/>
      <c r="F101" s="680"/>
      <c r="G101" s="199">
        <v>20</v>
      </c>
      <c r="H101" s="201">
        <v>1893.5183422374971</v>
      </c>
      <c r="I101" s="202">
        <v>94.675917111874838</v>
      </c>
      <c r="J101" s="220">
        <f>I101-I75</f>
        <v>-2.250000000003638E-2</v>
      </c>
      <c r="K101" s="679" t="s">
        <v>427</v>
      </c>
      <c r="L101" s="680"/>
      <c r="O101" s="198"/>
      <c r="P101" s="384"/>
      <c r="Q101" s="384"/>
      <c r="R101" s="198"/>
    </row>
    <row r="102" spans="1:18" s="188" customFormat="1" ht="15.75" customHeight="1">
      <c r="A102" s="683"/>
      <c r="B102" s="684"/>
      <c r="C102" s="203" t="s">
        <v>204</v>
      </c>
      <c r="D102" s="679"/>
      <c r="E102" s="680"/>
      <c r="F102" s="680"/>
      <c r="G102" s="199"/>
      <c r="H102" s="201"/>
      <c r="I102" s="202"/>
      <c r="J102" s="199"/>
      <c r="K102" s="679"/>
      <c r="L102" s="680"/>
      <c r="O102" s="198"/>
      <c r="P102" s="384"/>
      <c r="Q102" s="384"/>
      <c r="R102" s="198"/>
    </row>
    <row r="103" spans="1:18" s="188" customFormat="1" ht="15.75" customHeight="1">
      <c r="A103" s="683"/>
      <c r="B103" s="684"/>
      <c r="C103" s="203" t="s">
        <v>209</v>
      </c>
      <c r="D103" s="679"/>
      <c r="E103" s="680"/>
      <c r="F103" s="680"/>
      <c r="G103" s="199"/>
      <c r="H103" s="201"/>
      <c r="I103" s="202"/>
      <c r="J103" s="199"/>
      <c r="K103" s="679"/>
      <c r="L103" s="680"/>
      <c r="O103" s="198"/>
      <c r="P103" s="384"/>
      <c r="Q103" s="384"/>
      <c r="R103" s="198"/>
    </row>
    <row r="104" spans="1:18" s="188" customFormat="1" ht="15.75" customHeight="1">
      <c r="A104" s="683"/>
      <c r="B104" s="684"/>
      <c r="C104" s="203" t="s">
        <v>205</v>
      </c>
      <c r="D104" s="679"/>
      <c r="E104" s="680"/>
      <c r="F104" s="680"/>
      <c r="G104" s="199"/>
      <c r="H104" s="201"/>
      <c r="I104" s="202"/>
      <c r="J104" s="199"/>
      <c r="K104" s="679"/>
      <c r="L104" s="680"/>
      <c r="O104" s="198"/>
      <c r="P104" s="384"/>
      <c r="Q104" s="384"/>
      <c r="R104" s="198"/>
    </row>
    <row r="105" spans="1:18" s="188" customFormat="1" ht="15.75" customHeight="1">
      <c r="A105" s="683"/>
      <c r="B105" s="684"/>
      <c r="C105" s="203" t="s">
        <v>210</v>
      </c>
      <c r="D105" s="679"/>
      <c r="E105" s="680"/>
      <c r="F105" s="680"/>
      <c r="G105" s="199"/>
      <c r="H105" s="201"/>
      <c r="I105" s="202"/>
      <c r="J105" s="199"/>
      <c r="K105" s="679"/>
      <c r="L105" s="680"/>
      <c r="O105" s="198"/>
      <c r="P105" s="384"/>
      <c r="Q105" s="384"/>
      <c r="R105" s="198"/>
    </row>
    <row r="106" spans="1:18" s="188" customFormat="1" ht="15.75" customHeight="1">
      <c r="A106" s="683"/>
      <c r="B106" s="684"/>
      <c r="C106" s="203" t="s">
        <v>211</v>
      </c>
      <c r="D106" s="679"/>
      <c r="E106" s="680"/>
      <c r="F106" s="680"/>
      <c r="G106" s="199"/>
      <c r="H106" s="201"/>
      <c r="I106" s="202"/>
      <c r="J106" s="199"/>
      <c r="K106" s="679"/>
      <c r="L106" s="680"/>
      <c r="O106" s="198"/>
      <c r="P106" s="384"/>
      <c r="Q106" s="384"/>
      <c r="R106" s="198"/>
    </row>
    <row r="107" spans="1:18" s="188" customFormat="1" ht="15.75" customHeight="1">
      <c r="A107" s="685" t="s">
        <v>852</v>
      </c>
      <c r="B107" s="685"/>
      <c r="C107" s="685"/>
      <c r="D107" s="685"/>
      <c r="E107" s="685"/>
      <c r="F107" s="685"/>
      <c r="G107" s="685"/>
      <c r="H107" s="685"/>
      <c r="I107" s="685"/>
      <c r="J107" s="685"/>
      <c r="K107" s="685"/>
      <c r="L107" s="685"/>
    </row>
    <row r="108" spans="1:18" s="189" customFormat="1" ht="15.75" customHeight="1">
      <c r="A108" s="685"/>
      <c r="B108" s="685"/>
      <c r="C108" s="685"/>
      <c r="D108" s="685"/>
      <c r="E108" s="685"/>
      <c r="F108" s="685"/>
      <c r="G108" s="685"/>
      <c r="H108" s="685"/>
      <c r="I108" s="685"/>
      <c r="J108" s="685"/>
      <c r="K108" s="685"/>
      <c r="L108" s="685"/>
    </row>
    <row r="109" spans="1:18" s="177" customFormat="1" ht="16.350000000000001" customHeight="1">
      <c r="A109" s="683" t="s">
        <v>162</v>
      </c>
      <c r="B109" s="169">
        <v>1</v>
      </c>
      <c r="C109" s="169">
        <v>2</v>
      </c>
      <c r="D109" s="190">
        <v>3</v>
      </c>
      <c r="E109" s="190">
        <v>4</v>
      </c>
      <c r="F109" s="169">
        <v>5</v>
      </c>
      <c r="G109" s="169">
        <v>6</v>
      </c>
      <c r="H109" s="169">
        <v>7</v>
      </c>
      <c r="I109" s="169">
        <v>8</v>
      </c>
      <c r="J109" s="169">
        <v>9</v>
      </c>
      <c r="K109" s="191"/>
      <c r="L109" s="191"/>
      <c r="M109" s="192"/>
    </row>
    <row r="110" spans="1:18" s="188" customFormat="1" ht="16.350000000000001" customHeight="1">
      <c r="A110" s="683"/>
      <c r="B110" s="194" t="s">
        <v>206</v>
      </c>
      <c r="C110" s="194" t="s">
        <v>155</v>
      </c>
      <c r="D110" s="193" t="s">
        <v>207</v>
      </c>
      <c r="E110" s="193" t="s">
        <v>156</v>
      </c>
      <c r="F110" s="194" t="s">
        <v>348</v>
      </c>
      <c r="G110" s="195" t="s">
        <v>136</v>
      </c>
      <c r="H110" s="196" t="s">
        <v>208</v>
      </c>
      <c r="I110" s="195" t="s">
        <v>373</v>
      </c>
      <c r="J110" s="195" t="s">
        <v>142</v>
      </c>
      <c r="K110" s="197"/>
      <c r="L110" s="197"/>
      <c r="M110" s="189"/>
      <c r="N110" s="198"/>
      <c r="O110" s="198"/>
      <c r="P110" s="198"/>
      <c r="Q110" s="198"/>
      <c r="R110" s="198"/>
    </row>
    <row r="111" spans="1:18" s="177" customFormat="1" ht="15.75" customHeight="1">
      <c r="A111" s="684" t="s">
        <v>188</v>
      </c>
      <c r="B111" s="684"/>
      <c r="C111" s="159" t="s">
        <v>47</v>
      </c>
      <c r="D111" s="684" t="s">
        <v>12</v>
      </c>
      <c r="E111" s="686"/>
      <c r="F111" s="686"/>
      <c r="G111" s="159" t="s">
        <v>46</v>
      </c>
      <c r="H111" s="159" t="s">
        <v>374</v>
      </c>
      <c r="I111" s="159" t="s">
        <v>375</v>
      </c>
      <c r="J111" s="159" t="s">
        <v>332</v>
      </c>
      <c r="K111" s="684" t="s">
        <v>51</v>
      </c>
      <c r="L111" s="686"/>
      <c r="M111" s="192"/>
      <c r="N111" s="188"/>
      <c r="O111" s="198"/>
      <c r="P111" s="384"/>
      <c r="Q111" s="384"/>
      <c r="R111" s="198"/>
    </row>
    <row r="112" spans="1:18" s="188" customFormat="1" ht="15.75" customHeight="1">
      <c r="A112" s="683">
        <v>3</v>
      </c>
      <c r="B112" s="684" t="s">
        <v>377</v>
      </c>
      <c r="C112" s="199">
        <v>1</v>
      </c>
      <c r="D112" s="679" t="s">
        <v>347</v>
      </c>
      <c r="E112" s="680"/>
      <c r="F112" s="680"/>
      <c r="G112" s="199">
        <v>22</v>
      </c>
      <c r="H112" s="201">
        <v>2626.6346153846148</v>
      </c>
      <c r="I112" s="202">
        <v>119.39248251748248</v>
      </c>
      <c r="J112" s="220">
        <f>I112-I86</f>
        <v>0.17329353875935283</v>
      </c>
      <c r="K112" s="679"/>
      <c r="L112" s="680"/>
      <c r="M112" s="189"/>
      <c r="O112" s="198"/>
      <c r="P112" s="384"/>
      <c r="Q112" s="384"/>
      <c r="R112" s="198"/>
    </row>
    <row r="113" spans="1:18" s="188" customFormat="1" ht="15.75" customHeight="1">
      <c r="A113" s="683"/>
      <c r="B113" s="684"/>
      <c r="C113" s="199">
        <v>2</v>
      </c>
      <c r="D113" s="679"/>
      <c r="E113" s="680"/>
      <c r="F113" s="680"/>
      <c r="G113" s="199"/>
      <c r="H113" s="201"/>
      <c r="I113" s="202"/>
      <c r="J113" s="220"/>
      <c r="K113" s="679"/>
      <c r="L113" s="680"/>
      <c r="M113" s="189"/>
      <c r="O113" s="198"/>
      <c r="P113" s="384"/>
      <c r="Q113" s="384"/>
      <c r="R113" s="198"/>
    </row>
    <row r="114" spans="1:18" s="188" customFormat="1" ht="15.75" customHeight="1">
      <c r="A114" s="683"/>
      <c r="B114" s="684"/>
      <c r="C114" s="199">
        <v>3</v>
      </c>
      <c r="D114" s="679"/>
      <c r="E114" s="680"/>
      <c r="F114" s="680"/>
      <c r="G114" s="199"/>
      <c r="H114" s="201"/>
      <c r="I114" s="202"/>
      <c r="J114" s="199"/>
      <c r="K114" s="679"/>
      <c r="L114" s="680"/>
      <c r="M114" s="189"/>
      <c r="O114" s="198"/>
      <c r="P114" s="384"/>
      <c r="Q114" s="384"/>
      <c r="R114" s="198"/>
    </row>
    <row r="115" spans="1:18" s="188" customFormat="1" ht="15.75" customHeight="1">
      <c r="A115" s="683"/>
      <c r="B115" s="684"/>
      <c r="C115" s="199">
        <v>4</v>
      </c>
      <c r="D115" s="679"/>
      <c r="E115" s="680"/>
      <c r="F115" s="680"/>
      <c r="G115" s="199"/>
      <c r="H115" s="201"/>
      <c r="I115" s="202"/>
      <c r="J115" s="199"/>
      <c r="K115" s="679"/>
      <c r="L115" s="680"/>
      <c r="M115" s="189"/>
      <c r="O115" s="198"/>
      <c r="P115" s="384"/>
      <c r="Q115" s="384"/>
      <c r="R115" s="198"/>
    </row>
    <row r="116" spans="1:18" s="188" customFormat="1" ht="15.75" customHeight="1">
      <c r="A116" s="683"/>
      <c r="B116" s="684"/>
      <c r="C116" s="199">
        <v>5</v>
      </c>
      <c r="D116" s="679"/>
      <c r="E116" s="680"/>
      <c r="F116" s="680"/>
      <c r="G116" s="199"/>
      <c r="H116" s="201"/>
      <c r="I116" s="202"/>
      <c r="J116" s="199"/>
      <c r="K116" s="679"/>
      <c r="L116" s="680"/>
      <c r="M116" s="189"/>
      <c r="O116" s="198"/>
      <c r="P116" s="384"/>
      <c r="Q116" s="384"/>
      <c r="R116" s="198"/>
    </row>
    <row r="117" spans="1:18" s="188" customFormat="1" ht="15.75" customHeight="1">
      <c r="A117" s="683"/>
      <c r="B117" s="684"/>
      <c r="C117" s="203" t="s">
        <v>204</v>
      </c>
      <c r="D117" s="679"/>
      <c r="E117" s="680"/>
      <c r="F117" s="680"/>
      <c r="G117" s="199"/>
      <c r="H117" s="201"/>
      <c r="I117" s="202"/>
      <c r="J117" s="199"/>
      <c r="K117" s="679"/>
      <c r="L117" s="680"/>
      <c r="M117" s="189"/>
      <c r="O117" s="198"/>
      <c r="P117" s="384"/>
      <c r="Q117" s="384"/>
      <c r="R117" s="198"/>
    </row>
    <row r="118" spans="1:18" s="188" customFormat="1" ht="15.75" customHeight="1">
      <c r="A118" s="683"/>
      <c r="B118" s="684"/>
      <c r="C118" s="203" t="s">
        <v>209</v>
      </c>
      <c r="D118" s="679"/>
      <c r="E118" s="680"/>
      <c r="F118" s="680"/>
      <c r="G118" s="199"/>
      <c r="H118" s="201"/>
      <c r="I118" s="202"/>
      <c r="J118" s="199"/>
      <c r="K118" s="679"/>
      <c r="L118" s="680"/>
      <c r="M118" s="189"/>
      <c r="N118" s="177"/>
      <c r="O118" s="177"/>
      <c r="P118" s="383"/>
      <c r="Q118" s="383"/>
      <c r="R118" s="177"/>
    </row>
    <row r="119" spans="1:18" s="188" customFormat="1" ht="15.75" customHeight="1">
      <c r="A119" s="683"/>
      <c r="B119" s="684"/>
      <c r="C119" s="203" t="s">
        <v>205</v>
      </c>
      <c r="D119" s="679"/>
      <c r="E119" s="680"/>
      <c r="F119" s="680"/>
      <c r="G119" s="201"/>
      <c r="H119" s="201"/>
      <c r="I119" s="202"/>
      <c r="J119" s="199"/>
      <c r="K119" s="679"/>
      <c r="L119" s="680"/>
      <c r="M119" s="189"/>
      <c r="O119" s="198"/>
      <c r="P119" s="384"/>
      <c r="Q119" s="384"/>
      <c r="R119" s="198"/>
    </row>
    <row r="120" spans="1:18" s="188" customFormat="1" ht="15.75" customHeight="1">
      <c r="A120" s="683"/>
      <c r="B120" s="684"/>
      <c r="C120" s="203" t="s">
        <v>210</v>
      </c>
      <c r="D120" s="679"/>
      <c r="E120" s="680"/>
      <c r="F120" s="680"/>
      <c r="G120" s="199"/>
      <c r="H120" s="201"/>
      <c r="I120" s="202"/>
      <c r="J120" s="199"/>
      <c r="K120" s="679"/>
      <c r="L120" s="680"/>
      <c r="O120" s="198"/>
      <c r="P120" s="384"/>
      <c r="Q120" s="384"/>
      <c r="R120" s="198"/>
    </row>
    <row r="121" spans="1:18" s="188" customFormat="1" ht="15.75" customHeight="1">
      <c r="A121" s="683"/>
      <c r="B121" s="684"/>
      <c r="C121" s="203" t="s">
        <v>211</v>
      </c>
      <c r="D121" s="679"/>
      <c r="E121" s="680"/>
      <c r="F121" s="680"/>
      <c r="G121" s="199"/>
      <c r="H121" s="201"/>
      <c r="I121" s="202"/>
      <c r="J121" s="199"/>
      <c r="K121" s="679"/>
      <c r="L121" s="680"/>
      <c r="O121" s="198"/>
      <c r="P121" s="384"/>
      <c r="Q121" s="384"/>
      <c r="R121" s="198"/>
    </row>
    <row r="122" spans="1:18" s="198" customFormat="1" ht="15.75" customHeight="1">
      <c r="A122" s="681" t="s">
        <v>188</v>
      </c>
      <c r="B122" s="681"/>
      <c r="C122" s="206" t="s">
        <v>47</v>
      </c>
      <c r="D122" s="681" t="s">
        <v>12</v>
      </c>
      <c r="E122" s="682"/>
      <c r="F122" s="682"/>
      <c r="G122" s="206" t="s">
        <v>46</v>
      </c>
      <c r="H122" s="206" t="s">
        <v>374</v>
      </c>
      <c r="I122" s="206" t="s">
        <v>375</v>
      </c>
      <c r="J122" s="159" t="s">
        <v>332</v>
      </c>
      <c r="K122" s="681" t="s">
        <v>50</v>
      </c>
      <c r="L122" s="682"/>
      <c r="M122" s="207"/>
      <c r="N122" s="188"/>
      <c r="P122" s="384"/>
      <c r="Q122" s="384"/>
    </row>
    <row r="123" spans="1:18" s="188" customFormat="1" ht="15.75" customHeight="1">
      <c r="A123" s="683">
        <v>4</v>
      </c>
      <c r="B123" s="684" t="s">
        <v>156</v>
      </c>
      <c r="C123" s="199">
        <v>1</v>
      </c>
      <c r="D123" s="679" t="s">
        <v>629</v>
      </c>
      <c r="E123" s="680"/>
      <c r="F123" s="680"/>
      <c r="G123" s="199">
        <v>5</v>
      </c>
      <c r="H123" s="201">
        <v>2965.9396671548334</v>
      </c>
      <c r="I123" s="202">
        <v>593.18793343096661</v>
      </c>
      <c r="J123" s="220">
        <f>I123-I97</f>
        <v>1.8702857143011897E-2</v>
      </c>
      <c r="K123" s="679"/>
      <c r="L123" s="680"/>
      <c r="N123" s="198"/>
      <c r="O123" s="198"/>
      <c r="P123" s="384"/>
      <c r="Q123" s="384"/>
      <c r="R123" s="198"/>
    </row>
    <row r="124" spans="1:18" s="188" customFormat="1" ht="15.75" customHeight="1">
      <c r="A124" s="683"/>
      <c r="B124" s="684"/>
      <c r="C124" s="199">
        <v>2</v>
      </c>
      <c r="D124" s="679" t="s">
        <v>579</v>
      </c>
      <c r="E124" s="680"/>
      <c r="F124" s="680"/>
      <c r="G124" s="199">
        <v>6</v>
      </c>
      <c r="H124" s="201">
        <v>3249.9253117770054</v>
      </c>
      <c r="I124" s="202">
        <v>541.65421862950086</v>
      </c>
      <c r="J124" s="220">
        <f>I124-I99</f>
        <v>0.51920570376137221</v>
      </c>
      <c r="K124" s="679"/>
      <c r="L124" s="680"/>
      <c r="O124" s="198"/>
      <c r="P124" s="384"/>
      <c r="Q124" s="384"/>
      <c r="R124" s="198"/>
    </row>
    <row r="125" spans="1:18" s="188" customFormat="1" ht="15.75" customHeight="1">
      <c r="A125" s="683"/>
      <c r="B125" s="684"/>
      <c r="C125" s="199">
        <v>3</v>
      </c>
      <c r="D125" s="679" t="s">
        <v>578</v>
      </c>
      <c r="E125" s="680"/>
      <c r="F125" s="680"/>
      <c r="G125" s="199">
        <v>6</v>
      </c>
      <c r="H125" s="201">
        <v>3249.7200000000016</v>
      </c>
      <c r="I125" s="202">
        <v>541.62000000000035</v>
      </c>
      <c r="J125" s="220">
        <f>I125-I98</f>
        <v>0.36000000000012733</v>
      </c>
      <c r="K125" s="679"/>
      <c r="L125" s="680"/>
      <c r="O125" s="198"/>
      <c r="P125" s="384"/>
      <c r="Q125" s="384"/>
      <c r="R125" s="198"/>
    </row>
    <row r="126" spans="1:18" s="188" customFormat="1" ht="15.75" customHeight="1">
      <c r="A126" s="683"/>
      <c r="B126" s="684"/>
      <c r="C126" s="199">
        <v>4</v>
      </c>
      <c r="D126" s="679" t="s">
        <v>596</v>
      </c>
      <c r="E126" s="680"/>
      <c r="F126" s="680"/>
      <c r="G126" s="199">
        <v>6</v>
      </c>
      <c r="H126" s="201">
        <v>2961.3145775921867</v>
      </c>
      <c r="I126" s="202">
        <v>493.55242959869776</v>
      </c>
      <c r="J126" s="220">
        <f>I126-I100</f>
        <v>-7.0135714285754602E-2</v>
      </c>
      <c r="K126" s="679"/>
      <c r="L126" s="680"/>
      <c r="O126" s="198"/>
      <c r="P126" s="384"/>
      <c r="Q126" s="384"/>
      <c r="R126" s="198"/>
    </row>
    <row r="127" spans="1:18" s="188" customFormat="1" ht="15.75" customHeight="1">
      <c r="A127" s="683"/>
      <c r="B127" s="684"/>
      <c r="C127" s="199">
        <v>5</v>
      </c>
      <c r="D127" s="679" t="s">
        <v>879</v>
      </c>
      <c r="E127" s="680"/>
      <c r="F127" s="680"/>
      <c r="G127" s="199">
        <v>6</v>
      </c>
      <c r="H127" s="201">
        <v>2188.7124277178118</v>
      </c>
      <c r="I127" s="202">
        <v>364.7854046196353</v>
      </c>
      <c r="J127" s="220"/>
      <c r="K127" s="679"/>
      <c r="L127" s="680"/>
      <c r="O127" s="198"/>
      <c r="P127" s="384"/>
      <c r="Q127" s="384"/>
      <c r="R127" s="198"/>
    </row>
    <row r="128" spans="1:18" s="188" customFormat="1" ht="15.75" customHeight="1">
      <c r="A128" s="683"/>
      <c r="B128" s="684"/>
      <c r="C128" s="203" t="s">
        <v>204</v>
      </c>
      <c r="D128" s="679" t="s">
        <v>613</v>
      </c>
      <c r="E128" s="680"/>
      <c r="F128" s="680"/>
      <c r="G128" s="199">
        <v>20</v>
      </c>
      <c r="H128" s="201">
        <v>1893.0983422374968</v>
      </c>
      <c r="I128" s="202">
        <v>94.654917111874838</v>
      </c>
      <c r="J128" s="220">
        <f>I128-I101</f>
        <v>-2.1000000000000796E-2</v>
      </c>
      <c r="K128" s="679"/>
      <c r="L128" s="680"/>
      <c r="O128" s="198"/>
      <c r="P128" s="384"/>
      <c r="Q128" s="384"/>
      <c r="R128" s="198"/>
    </row>
    <row r="129" spans="1:18" s="188" customFormat="1" ht="15.75" customHeight="1">
      <c r="A129" s="683"/>
      <c r="B129" s="684"/>
      <c r="C129" s="203" t="s">
        <v>209</v>
      </c>
      <c r="D129" s="679"/>
      <c r="E129" s="680"/>
      <c r="F129" s="680"/>
      <c r="G129" s="199"/>
      <c r="H129" s="201"/>
      <c r="I129" s="202"/>
      <c r="J129" s="199"/>
      <c r="K129" s="679"/>
      <c r="L129" s="680"/>
      <c r="O129" s="198"/>
      <c r="P129" s="384"/>
      <c r="Q129" s="384"/>
      <c r="R129" s="198"/>
    </row>
    <row r="130" spans="1:18" s="188" customFormat="1" ht="15.75" customHeight="1">
      <c r="A130" s="683"/>
      <c r="B130" s="684"/>
      <c r="C130" s="203" t="s">
        <v>205</v>
      </c>
      <c r="D130" s="679"/>
      <c r="E130" s="680"/>
      <c r="F130" s="680"/>
      <c r="G130" s="199"/>
      <c r="H130" s="201"/>
      <c r="I130" s="202"/>
      <c r="J130" s="199"/>
      <c r="K130" s="679"/>
      <c r="L130" s="680"/>
      <c r="O130" s="198"/>
      <c r="P130" s="384"/>
      <c r="Q130" s="384"/>
      <c r="R130" s="198"/>
    </row>
    <row r="131" spans="1:18" s="188" customFormat="1" ht="15.75" customHeight="1">
      <c r="A131" s="683"/>
      <c r="B131" s="684"/>
      <c r="C131" s="203" t="s">
        <v>210</v>
      </c>
      <c r="D131" s="679"/>
      <c r="E131" s="680"/>
      <c r="F131" s="680"/>
      <c r="G131" s="199"/>
      <c r="H131" s="201"/>
      <c r="I131" s="202"/>
      <c r="J131" s="199"/>
      <c r="K131" s="679"/>
      <c r="L131" s="680"/>
      <c r="O131" s="198"/>
      <c r="P131" s="384"/>
      <c r="Q131" s="384"/>
      <c r="R131" s="198"/>
    </row>
    <row r="132" spans="1:18" s="188" customFormat="1" ht="15.75" customHeight="1">
      <c r="A132" s="683"/>
      <c r="B132" s="684"/>
      <c r="C132" s="203" t="s">
        <v>211</v>
      </c>
      <c r="D132" s="679"/>
      <c r="E132" s="680"/>
      <c r="F132" s="680"/>
      <c r="G132" s="199"/>
      <c r="H132" s="201"/>
      <c r="I132" s="202"/>
      <c r="J132" s="199"/>
      <c r="K132" s="679"/>
      <c r="L132" s="680"/>
      <c r="O132" s="198"/>
      <c r="P132" s="384"/>
      <c r="Q132" s="384"/>
      <c r="R132" s="198"/>
    </row>
    <row r="133" spans="1:18" s="188" customFormat="1" ht="15.75" customHeight="1">
      <c r="A133" s="685" t="s">
        <v>881</v>
      </c>
      <c r="B133" s="685"/>
      <c r="C133" s="685"/>
      <c r="D133" s="685"/>
      <c r="E133" s="685"/>
      <c r="F133" s="685"/>
      <c r="G133" s="685"/>
      <c r="H133" s="685"/>
      <c r="I133" s="685"/>
      <c r="J133" s="685"/>
      <c r="K133" s="685"/>
      <c r="L133" s="685"/>
    </row>
    <row r="134" spans="1:18" s="189" customFormat="1" ht="15.75" customHeight="1">
      <c r="A134" s="685"/>
      <c r="B134" s="685"/>
      <c r="C134" s="685"/>
      <c r="D134" s="685"/>
      <c r="E134" s="685"/>
      <c r="F134" s="685"/>
      <c r="G134" s="685"/>
      <c r="H134" s="685"/>
      <c r="I134" s="685"/>
      <c r="J134" s="685"/>
      <c r="K134" s="685"/>
      <c r="L134" s="685"/>
    </row>
    <row r="135" spans="1:18" s="177" customFormat="1" ht="16.350000000000001" customHeight="1">
      <c r="A135" s="683" t="s">
        <v>162</v>
      </c>
      <c r="B135" s="169">
        <v>1</v>
      </c>
      <c r="C135" s="169">
        <v>2</v>
      </c>
      <c r="D135" s="190">
        <v>3</v>
      </c>
      <c r="E135" s="190">
        <v>4</v>
      </c>
      <c r="F135" s="169">
        <v>5</v>
      </c>
      <c r="G135" s="169">
        <v>6</v>
      </c>
      <c r="H135" s="169">
        <v>7</v>
      </c>
      <c r="I135" s="169">
        <v>8</v>
      </c>
      <c r="J135" s="169">
        <v>9</v>
      </c>
      <c r="K135" s="191"/>
      <c r="L135" s="191"/>
      <c r="M135" s="192"/>
    </row>
    <row r="136" spans="1:18" s="188" customFormat="1" ht="16.350000000000001" customHeight="1">
      <c r="A136" s="683"/>
      <c r="B136" s="194" t="s">
        <v>206</v>
      </c>
      <c r="C136" s="194" t="s">
        <v>155</v>
      </c>
      <c r="D136" s="193" t="s">
        <v>207</v>
      </c>
      <c r="E136" s="193" t="s">
        <v>156</v>
      </c>
      <c r="F136" s="194" t="s">
        <v>348</v>
      </c>
      <c r="G136" s="195" t="s">
        <v>136</v>
      </c>
      <c r="H136" s="196" t="s">
        <v>208</v>
      </c>
      <c r="I136" s="195" t="s">
        <v>373</v>
      </c>
      <c r="J136" s="195" t="s">
        <v>142</v>
      </c>
      <c r="K136" s="197"/>
      <c r="L136" s="197"/>
      <c r="M136" s="189"/>
      <c r="N136" s="198"/>
      <c r="O136" s="198"/>
      <c r="P136" s="198"/>
      <c r="Q136" s="198"/>
      <c r="R136" s="198"/>
    </row>
    <row r="137" spans="1:18" s="177" customFormat="1" ht="15.75" customHeight="1">
      <c r="A137" s="684" t="s">
        <v>188</v>
      </c>
      <c r="B137" s="684"/>
      <c r="C137" s="159" t="s">
        <v>47</v>
      </c>
      <c r="D137" s="684" t="s">
        <v>12</v>
      </c>
      <c r="E137" s="686"/>
      <c r="F137" s="686"/>
      <c r="G137" s="159" t="s">
        <v>46</v>
      </c>
      <c r="H137" s="159" t="s">
        <v>374</v>
      </c>
      <c r="I137" s="159" t="s">
        <v>375</v>
      </c>
      <c r="J137" s="159" t="s">
        <v>332</v>
      </c>
      <c r="K137" s="684" t="s">
        <v>51</v>
      </c>
      <c r="L137" s="686"/>
      <c r="M137" s="192"/>
      <c r="N137" s="188"/>
      <c r="O137" s="198"/>
      <c r="P137" s="384"/>
      <c r="Q137" s="384"/>
      <c r="R137" s="198"/>
    </row>
    <row r="138" spans="1:18" s="188" customFormat="1" ht="15.75" customHeight="1">
      <c r="A138" s="683">
        <v>3</v>
      </c>
      <c r="B138" s="684" t="s">
        <v>377</v>
      </c>
      <c r="C138" s="199">
        <v>1</v>
      </c>
      <c r="D138" s="679"/>
      <c r="E138" s="680"/>
      <c r="F138" s="680"/>
      <c r="G138" s="199"/>
      <c r="H138" s="201"/>
      <c r="I138" s="202"/>
      <c r="J138" s="220">
        <f>I138-I112</f>
        <v>-119.39248251748248</v>
      </c>
      <c r="K138" s="679"/>
      <c r="L138" s="680"/>
      <c r="M138" s="189"/>
      <c r="O138" s="198"/>
      <c r="P138" s="384"/>
      <c r="Q138" s="384"/>
      <c r="R138" s="198"/>
    </row>
    <row r="139" spans="1:18" s="188" customFormat="1" ht="15.75" customHeight="1">
      <c r="A139" s="683"/>
      <c r="B139" s="684"/>
      <c r="C139" s="199">
        <v>2</v>
      </c>
      <c r="D139" s="679"/>
      <c r="E139" s="680"/>
      <c r="F139" s="680"/>
      <c r="G139" s="199"/>
      <c r="H139" s="201"/>
      <c r="I139" s="202"/>
      <c r="J139" s="220"/>
      <c r="K139" s="679"/>
      <c r="L139" s="680"/>
      <c r="M139" s="189"/>
      <c r="O139" s="198"/>
      <c r="P139" s="384"/>
      <c r="Q139" s="384"/>
      <c r="R139" s="198"/>
    </row>
    <row r="140" spans="1:18" s="188" customFormat="1" ht="15.75" customHeight="1">
      <c r="A140" s="683"/>
      <c r="B140" s="684"/>
      <c r="C140" s="199">
        <v>3</v>
      </c>
      <c r="D140" s="679"/>
      <c r="E140" s="680"/>
      <c r="F140" s="680"/>
      <c r="G140" s="199"/>
      <c r="H140" s="201"/>
      <c r="I140" s="202"/>
      <c r="J140" s="199"/>
      <c r="K140" s="679"/>
      <c r="L140" s="680"/>
      <c r="M140" s="189"/>
      <c r="O140" s="198"/>
      <c r="P140" s="384"/>
      <c r="Q140" s="384"/>
      <c r="R140" s="198"/>
    </row>
    <row r="141" spans="1:18" s="188" customFormat="1" ht="15.75" customHeight="1">
      <c r="A141" s="683"/>
      <c r="B141" s="684"/>
      <c r="C141" s="199">
        <v>4</v>
      </c>
      <c r="D141" s="679"/>
      <c r="E141" s="680"/>
      <c r="F141" s="680"/>
      <c r="G141" s="199"/>
      <c r="H141" s="201"/>
      <c r="I141" s="202"/>
      <c r="J141" s="199"/>
      <c r="K141" s="679"/>
      <c r="L141" s="680"/>
      <c r="M141" s="189"/>
      <c r="O141" s="198"/>
      <c r="P141" s="384"/>
      <c r="Q141" s="384"/>
      <c r="R141" s="198"/>
    </row>
    <row r="142" spans="1:18" s="188" customFormat="1" ht="15.75" customHeight="1">
      <c r="A142" s="683"/>
      <c r="B142" s="684"/>
      <c r="C142" s="199">
        <v>5</v>
      </c>
      <c r="D142" s="679"/>
      <c r="E142" s="680"/>
      <c r="F142" s="680"/>
      <c r="G142" s="199"/>
      <c r="H142" s="201"/>
      <c r="I142" s="202"/>
      <c r="J142" s="199"/>
      <c r="K142" s="679"/>
      <c r="L142" s="680"/>
      <c r="M142" s="189"/>
      <c r="O142" s="198"/>
      <c r="P142" s="384"/>
      <c r="Q142" s="384"/>
      <c r="R142" s="198"/>
    </row>
    <row r="143" spans="1:18" s="188" customFormat="1" ht="15.75" customHeight="1">
      <c r="A143" s="683"/>
      <c r="B143" s="684"/>
      <c r="C143" s="203" t="s">
        <v>204</v>
      </c>
      <c r="D143" s="679"/>
      <c r="E143" s="680"/>
      <c r="F143" s="680"/>
      <c r="G143" s="199"/>
      <c r="H143" s="201"/>
      <c r="I143" s="202"/>
      <c r="J143" s="199"/>
      <c r="K143" s="679"/>
      <c r="L143" s="680"/>
      <c r="M143" s="189"/>
      <c r="O143" s="198"/>
      <c r="P143" s="384"/>
      <c r="Q143" s="384"/>
      <c r="R143" s="198"/>
    </row>
    <row r="144" spans="1:18" s="188" customFormat="1" ht="15.75" customHeight="1">
      <c r="A144" s="683"/>
      <c r="B144" s="684"/>
      <c r="C144" s="203" t="s">
        <v>209</v>
      </c>
      <c r="D144" s="679"/>
      <c r="E144" s="680"/>
      <c r="F144" s="680"/>
      <c r="G144" s="199"/>
      <c r="H144" s="201"/>
      <c r="I144" s="202"/>
      <c r="J144" s="199"/>
      <c r="K144" s="679"/>
      <c r="L144" s="680"/>
      <c r="M144" s="189"/>
      <c r="N144" s="177"/>
      <c r="O144" s="177"/>
      <c r="P144" s="383"/>
      <c r="Q144" s="383"/>
      <c r="R144" s="177"/>
    </row>
    <row r="145" spans="1:18" s="188" customFormat="1" ht="15.75" customHeight="1">
      <c r="A145" s="683"/>
      <c r="B145" s="684"/>
      <c r="C145" s="203" t="s">
        <v>205</v>
      </c>
      <c r="D145" s="679"/>
      <c r="E145" s="680"/>
      <c r="F145" s="680"/>
      <c r="G145" s="201"/>
      <c r="H145" s="201"/>
      <c r="I145" s="202"/>
      <c r="J145" s="199"/>
      <c r="K145" s="679"/>
      <c r="L145" s="680"/>
      <c r="M145" s="189"/>
      <c r="O145" s="198"/>
      <c r="P145" s="384"/>
      <c r="Q145" s="384"/>
      <c r="R145" s="198"/>
    </row>
    <row r="146" spans="1:18" s="188" customFormat="1" ht="15.75" customHeight="1">
      <c r="A146" s="683"/>
      <c r="B146" s="684"/>
      <c r="C146" s="203" t="s">
        <v>210</v>
      </c>
      <c r="D146" s="679"/>
      <c r="E146" s="680"/>
      <c r="F146" s="680"/>
      <c r="G146" s="199"/>
      <c r="H146" s="201"/>
      <c r="I146" s="202"/>
      <c r="J146" s="199"/>
      <c r="K146" s="679"/>
      <c r="L146" s="680"/>
      <c r="O146" s="198"/>
      <c r="P146" s="384"/>
      <c r="Q146" s="384"/>
      <c r="R146" s="198"/>
    </row>
    <row r="147" spans="1:18" s="188" customFormat="1" ht="15.75" customHeight="1">
      <c r="A147" s="683"/>
      <c r="B147" s="684"/>
      <c r="C147" s="203" t="s">
        <v>211</v>
      </c>
      <c r="D147" s="679"/>
      <c r="E147" s="680"/>
      <c r="F147" s="680"/>
      <c r="G147" s="199"/>
      <c r="H147" s="201"/>
      <c r="I147" s="202"/>
      <c r="J147" s="199"/>
      <c r="K147" s="679"/>
      <c r="L147" s="680"/>
      <c r="O147" s="198"/>
      <c r="P147" s="384"/>
      <c r="Q147" s="384"/>
      <c r="R147" s="198"/>
    </row>
    <row r="148" spans="1:18" s="198" customFormat="1" ht="15.75" customHeight="1">
      <c r="A148" s="681" t="s">
        <v>188</v>
      </c>
      <c r="B148" s="681"/>
      <c r="C148" s="206" t="s">
        <v>47</v>
      </c>
      <c r="D148" s="681" t="s">
        <v>12</v>
      </c>
      <c r="E148" s="682"/>
      <c r="F148" s="682"/>
      <c r="G148" s="206" t="s">
        <v>46</v>
      </c>
      <c r="H148" s="206" t="s">
        <v>374</v>
      </c>
      <c r="I148" s="206" t="s">
        <v>375</v>
      </c>
      <c r="J148" s="159" t="s">
        <v>332</v>
      </c>
      <c r="K148" s="681" t="s">
        <v>50</v>
      </c>
      <c r="L148" s="682"/>
      <c r="M148" s="207"/>
      <c r="N148" s="188"/>
      <c r="P148" s="384"/>
      <c r="Q148" s="384"/>
    </row>
    <row r="149" spans="1:18" s="188" customFormat="1" ht="15.75" customHeight="1">
      <c r="A149" s="683">
        <v>4</v>
      </c>
      <c r="B149" s="684" t="s">
        <v>156</v>
      </c>
      <c r="C149" s="199">
        <v>1</v>
      </c>
      <c r="D149" s="679"/>
      <c r="E149" s="680"/>
      <c r="F149" s="680"/>
      <c r="G149" s="199"/>
      <c r="H149" s="201"/>
      <c r="I149" s="202"/>
      <c r="J149" s="220">
        <f>I149-I123</f>
        <v>-593.18793343096661</v>
      </c>
      <c r="K149" s="679"/>
      <c r="L149" s="680"/>
      <c r="N149" s="198"/>
      <c r="O149" s="198"/>
      <c r="P149" s="384"/>
      <c r="Q149" s="384"/>
      <c r="R149" s="198"/>
    </row>
    <row r="150" spans="1:18" s="188" customFormat="1" ht="15.75" customHeight="1">
      <c r="A150" s="683"/>
      <c r="B150" s="684"/>
      <c r="C150" s="199">
        <v>2</v>
      </c>
      <c r="D150" s="679"/>
      <c r="E150" s="680"/>
      <c r="F150" s="680"/>
      <c r="G150" s="199"/>
      <c r="H150" s="201"/>
      <c r="I150" s="202"/>
      <c r="J150" s="220">
        <f>I150-I124</f>
        <v>-541.65421862950086</v>
      </c>
      <c r="K150" s="679"/>
      <c r="L150" s="680"/>
      <c r="O150" s="198"/>
      <c r="P150" s="384"/>
      <c r="Q150" s="384"/>
      <c r="R150" s="198"/>
    </row>
    <row r="151" spans="1:18" s="188" customFormat="1" ht="15.75" customHeight="1">
      <c r="A151" s="683"/>
      <c r="B151" s="684"/>
      <c r="C151" s="199">
        <v>3</v>
      </c>
      <c r="D151" s="679"/>
      <c r="E151" s="680"/>
      <c r="F151" s="680"/>
      <c r="G151" s="199"/>
      <c r="H151" s="201"/>
      <c r="I151" s="202"/>
      <c r="J151" s="220">
        <f>I151-I125</f>
        <v>-541.62000000000035</v>
      </c>
      <c r="K151" s="679"/>
      <c r="L151" s="680"/>
      <c r="O151" s="198"/>
      <c r="P151" s="384"/>
      <c r="Q151" s="384"/>
      <c r="R151" s="198"/>
    </row>
    <row r="152" spans="1:18" s="188" customFormat="1" ht="15.75" customHeight="1">
      <c r="A152" s="683"/>
      <c r="B152" s="684"/>
      <c r="C152" s="199">
        <v>4</v>
      </c>
      <c r="D152" s="679"/>
      <c r="E152" s="680"/>
      <c r="F152" s="680"/>
      <c r="G152" s="199"/>
      <c r="H152" s="201"/>
      <c r="I152" s="202"/>
      <c r="J152" s="220">
        <f>I152-I126</f>
        <v>-493.55242959869776</v>
      </c>
      <c r="K152" s="679"/>
      <c r="L152" s="680"/>
      <c r="O152" s="198"/>
      <c r="P152" s="384"/>
      <c r="Q152" s="384"/>
      <c r="R152" s="198"/>
    </row>
    <row r="153" spans="1:18" s="188" customFormat="1" ht="15.75" customHeight="1">
      <c r="A153" s="683"/>
      <c r="B153" s="684"/>
      <c r="C153" s="199">
        <v>5</v>
      </c>
      <c r="D153" s="679"/>
      <c r="E153" s="680"/>
      <c r="F153" s="680"/>
      <c r="G153" s="199"/>
      <c r="H153" s="201"/>
      <c r="I153" s="202"/>
      <c r="J153" s="220">
        <f>I153-I127</f>
        <v>-364.7854046196353</v>
      </c>
      <c r="K153" s="679"/>
      <c r="L153" s="680"/>
      <c r="O153" s="198"/>
      <c r="P153" s="384"/>
      <c r="Q153" s="384"/>
      <c r="R153" s="198"/>
    </row>
    <row r="154" spans="1:18" s="188" customFormat="1" ht="15.75" customHeight="1">
      <c r="A154" s="683"/>
      <c r="B154" s="684"/>
      <c r="C154" s="203" t="s">
        <v>204</v>
      </c>
      <c r="D154" s="679"/>
      <c r="E154" s="680"/>
      <c r="F154" s="680"/>
      <c r="G154" s="199"/>
      <c r="H154" s="201"/>
      <c r="I154" s="202"/>
      <c r="J154" s="199"/>
      <c r="K154" s="679"/>
      <c r="L154" s="680"/>
      <c r="O154" s="198"/>
      <c r="P154" s="384"/>
      <c r="Q154" s="384"/>
      <c r="R154" s="198"/>
    </row>
    <row r="155" spans="1:18" s="188" customFormat="1" ht="15.75" customHeight="1">
      <c r="A155" s="683"/>
      <c r="B155" s="684"/>
      <c r="C155" s="203" t="s">
        <v>209</v>
      </c>
      <c r="D155" s="679"/>
      <c r="E155" s="680"/>
      <c r="F155" s="680"/>
      <c r="G155" s="199"/>
      <c r="H155" s="201"/>
      <c r="I155" s="202"/>
      <c r="J155" s="199"/>
      <c r="K155" s="679"/>
      <c r="L155" s="680"/>
      <c r="O155" s="198"/>
      <c r="P155" s="384"/>
      <c r="Q155" s="384"/>
      <c r="R155" s="198"/>
    </row>
    <row r="156" spans="1:18" s="188" customFormat="1" ht="15.75" customHeight="1">
      <c r="A156" s="683"/>
      <c r="B156" s="684"/>
      <c r="C156" s="203" t="s">
        <v>205</v>
      </c>
      <c r="D156" s="679"/>
      <c r="E156" s="680"/>
      <c r="F156" s="680"/>
      <c r="G156" s="199"/>
      <c r="H156" s="201"/>
      <c r="I156" s="202"/>
      <c r="J156" s="199"/>
      <c r="K156" s="679"/>
      <c r="L156" s="680"/>
      <c r="O156" s="198"/>
      <c r="P156" s="384"/>
      <c r="Q156" s="384"/>
      <c r="R156" s="198"/>
    </row>
    <row r="157" spans="1:18" s="188" customFormat="1" ht="15.75" customHeight="1">
      <c r="A157" s="683"/>
      <c r="B157" s="684"/>
      <c r="C157" s="203" t="s">
        <v>210</v>
      </c>
      <c r="D157" s="679"/>
      <c r="E157" s="680"/>
      <c r="F157" s="680"/>
      <c r="G157" s="199"/>
      <c r="H157" s="201"/>
      <c r="I157" s="202"/>
      <c r="J157" s="199"/>
      <c r="K157" s="679"/>
      <c r="L157" s="680"/>
      <c r="O157" s="198"/>
      <c r="P157" s="384"/>
      <c r="Q157" s="384"/>
      <c r="R157" s="198"/>
    </row>
    <row r="158" spans="1:18" s="188" customFormat="1" ht="15.75" customHeight="1">
      <c r="A158" s="683"/>
      <c r="B158" s="684"/>
      <c r="C158" s="203" t="s">
        <v>211</v>
      </c>
      <c r="D158" s="679"/>
      <c r="E158" s="680"/>
      <c r="F158" s="680"/>
      <c r="G158" s="199"/>
      <c r="H158" s="201"/>
      <c r="I158" s="202"/>
      <c r="J158" s="199"/>
      <c r="K158" s="679"/>
      <c r="L158" s="680"/>
      <c r="O158" s="198"/>
      <c r="P158" s="384"/>
      <c r="Q158" s="384"/>
      <c r="R158" s="198"/>
    </row>
  </sheetData>
  <mergeCells count="313">
    <mergeCell ref="A85:B85"/>
    <mergeCell ref="A83:A84"/>
    <mergeCell ref="A81:L82"/>
    <mergeCell ref="K96:L96"/>
    <mergeCell ref="D96:F96"/>
    <mergeCell ref="A96:B96"/>
    <mergeCell ref="K95:L95"/>
    <mergeCell ref="D95:F95"/>
    <mergeCell ref="B86:B95"/>
    <mergeCell ref="A86:A95"/>
    <mergeCell ref="K94:L94"/>
    <mergeCell ref="D94:F94"/>
    <mergeCell ref="K93:L93"/>
    <mergeCell ref="D93:F93"/>
    <mergeCell ref="K92:L92"/>
    <mergeCell ref="D92:F92"/>
    <mergeCell ref="K91:L91"/>
    <mergeCell ref="D91:F91"/>
    <mergeCell ref="K90:L90"/>
    <mergeCell ref="D90:F90"/>
    <mergeCell ref="K89:L89"/>
    <mergeCell ref="D89:F89"/>
    <mergeCell ref="A97:A106"/>
    <mergeCell ref="K105:L105"/>
    <mergeCell ref="D105:F105"/>
    <mergeCell ref="K104:L104"/>
    <mergeCell ref="D104:F104"/>
    <mergeCell ref="K103:L103"/>
    <mergeCell ref="D103:F103"/>
    <mergeCell ref="K102:L102"/>
    <mergeCell ref="D102:F102"/>
    <mergeCell ref="K101:L101"/>
    <mergeCell ref="D101:F101"/>
    <mergeCell ref="K100:L100"/>
    <mergeCell ref="D100:F100"/>
    <mergeCell ref="K99:L99"/>
    <mergeCell ref="D99:F99"/>
    <mergeCell ref="K98:L98"/>
    <mergeCell ref="D98:F98"/>
    <mergeCell ref="K97:L97"/>
    <mergeCell ref="D97:F97"/>
    <mergeCell ref="K106:L106"/>
    <mergeCell ref="D106:F106"/>
    <mergeCell ref="B97:B106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2:F52"/>
    <mergeCell ref="K52:L52"/>
    <mergeCell ref="D53:F53"/>
    <mergeCell ref="K53:L53"/>
    <mergeCell ref="D54:F54"/>
    <mergeCell ref="K54:L54"/>
    <mergeCell ref="A1:L2"/>
    <mergeCell ref="K40:L40"/>
    <mergeCell ref="D41:F41"/>
    <mergeCell ref="K41:L41"/>
    <mergeCell ref="D42:F4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29:L30"/>
    <mergeCell ref="A31:A32"/>
    <mergeCell ref="A33:B33"/>
    <mergeCell ref="D33:F33"/>
    <mergeCell ref="K33:L33"/>
    <mergeCell ref="A34:A43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B34:B43"/>
    <mergeCell ref="D27:F27"/>
    <mergeCell ref="K27:L27"/>
    <mergeCell ref="D28:F28"/>
    <mergeCell ref="K28:L28"/>
    <mergeCell ref="K16:L16"/>
    <mergeCell ref="D17:F17"/>
    <mergeCell ref="K17:L17"/>
    <mergeCell ref="D51:F51"/>
    <mergeCell ref="K51:L51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2:L42"/>
    <mergeCell ref="D43:F43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K80:L80"/>
    <mergeCell ref="K68:L68"/>
    <mergeCell ref="D69:F69"/>
    <mergeCell ref="K69:L69"/>
    <mergeCell ref="K88:L88"/>
    <mergeCell ref="D88:F88"/>
    <mergeCell ref="K87:L87"/>
    <mergeCell ref="D87:F87"/>
    <mergeCell ref="K86:L86"/>
    <mergeCell ref="D86:F86"/>
    <mergeCell ref="K85:L85"/>
    <mergeCell ref="D85:F85"/>
    <mergeCell ref="D68:F68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K144:L144"/>
    <mergeCell ref="D145:F145"/>
    <mergeCell ref="K145:L145"/>
    <mergeCell ref="D146:F146"/>
    <mergeCell ref="D131:F131"/>
    <mergeCell ref="K131:L131"/>
    <mergeCell ref="D132:F132"/>
    <mergeCell ref="K132:L132"/>
    <mergeCell ref="K120:L120"/>
    <mergeCell ref="D121:F121"/>
    <mergeCell ref="K121:L121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>
    <tabColor rgb="FF92D050"/>
    <outlinePr summaryBelow="0" summaryRight="0"/>
  </sheetPr>
  <dimension ref="A1:S158"/>
  <sheetViews>
    <sheetView view="pageBreakPreview" topLeftCell="A107" zoomScaleNormal="60" zoomScaleSheetLayoutView="100" workbookViewId="0">
      <selection activeCell="K131" sqref="K131:L131"/>
    </sheetView>
  </sheetViews>
  <sheetFormatPr defaultColWidth="12.5703125" defaultRowHeight="15.75" customHeight="1"/>
  <cols>
    <col min="1" max="1" width="6.42578125" style="98" customWidth="1"/>
    <col min="2" max="10" width="11.5703125" style="98" customWidth="1"/>
    <col min="11" max="12" width="12.85546875" style="98" customWidth="1"/>
    <col min="13" max="13" width="12.5703125" style="99"/>
    <col min="14" max="18" width="12.5703125" style="188"/>
    <col min="19" max="16384" width="12.5703125" style="98"/>
  </cols>
  <sheetData>
    <row r="1" spans="1:18" ht="15.75" customHeight="1">
      <c r="A1" s="547" t="s">
        <v>372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98"/>
    </row>
    <row r="2" spans="1:18" s="99" customFormat="1" ht="15.75" customHeight="1">
      <c r="A2" s="547"/>
      <c r="B2" s="547"/>
      <c r="C2" s="547"/>
      <c r="D2" s="547"/>
      <c r="E2" s="547"/>
      <c r="F2" s="547"/>
      <c r="G2" s="547"/>
      <c r="H2" s="547"/>
      <c r="I2" s="547"/>
      <c r="J2" s="547"/>
      <c r="K2" s="547"/>
      <c r="L2" s="547"/>
      <c r="N2" s="189"/>
      <c r="O2" s="189"/>
      <c r="P2" s="189"/>
      <c r="Q2" s="189"/>
      <c r="R2" s="189"/>
    </row>
    <row r="3" spans="1:18" s="188" customFormat="1" ht="15.75" customHeight="1">
      <c r="A3" s="685" t="s">
        <v>670</v>
      </c>
      <c r="B3" s="685"/>
      <c r="C3" s="685"/>
      <c r="D3" s="685"/>
      <c r="E3" s="685"/>
      <c r="F3" s="685"/>
      <c r="G3" s="685"/>
      <c r="H3" s="685"/>
      <c r="I3" s="685"/>
      <c r="J3" s="685"/>
      <c r="K3" s="685"/>
      <c r="L3" s="685"/>
    </row>
    <row r="4" spans="1:18" s="189" customFormat="1" ht="15.75" customHeight="1">
      <c r="A4" s="685"/>
      <c r="B4" s="685"/>
      <c r="C4" s="685"/>
      <c r="D4" s="685"/>
      <c r="E4" s="685"/>
      <c r="F4" s="685"/>
      <c r="G4" s="685"/>
      <c r="H4" s="685"/>
      <c r="I4" s="685"/>
      <c r="J4" s="685"/>
      <c r="K4" s="685"/>
      <c r="L4" s="685"/>
    </row>
    <row r="5" spans="1:18" s="105" customFormat="1" ht="16.350000000000001" customHeight="1">
      <c r="A5" s="683" t="s">
        <v>162</v>
      </c>
      <c r="B5" s="169">
        <v>1</v>
      </c>
      <c r="C5" s="169">
        <v>2</v>
      </c>
      <c r="D5" s="169">
        <v>3</v>
      </c>
      <c r="E5" s="169">
        <v>4</v>
      </c>
      <c r="F5" s="190">
        <v>5</v>
      </c>
      <c r="G5" s="190">
        <v>6</v>
      </c>
      <c r="H5" s="169">
        <v>7</v>
      </c>
      <c r="I5" s="169">
        <v>8</v>
      </c>
      <c r="J5" s="169">
        <v>9</v>
      </c>
      <c r="K5" s="191"/>
      <c r="L5" s="191"/>
      <c r="M5" s="126"/>
      <c r="N5" s="177"/>
      <c r="O5" s="177"/>
      <c r="P5" s="177"/>
      <c r="Q5" s="177"/>
      <c r="R5" s="177"/>
    </row>
    <row r="6" spans="1:18" ht="16.350000000000001" customHeight="1">
      <c r="A6" s="683"/>
      <c r="B6" s="194" t="s">
        <v>206</v>
      </c>
      <c r="C6" s="194" t="s">
        <v>155</v>
      </c>
      <c r="D6" s="194" t="s">
        <v>207</v>
      </c>
      <c r="E6" s="194" t="s">
        <v>156</v>
      </c>
      <c r="F6" s="193" t="s">
        <v>348</v>
      </c>
      <c r="G6" s="208" t="s">
        <v>136</v>
      </c>
      <c r="H6" s="196" t="s">
        <v>208</v>
      </c>
      <c r="I6" s="195" t="s">
        <v>373</v>
      </c>
      <c r="J6" s="195" t="s">
        <v>142</v>
      </c>
      <c r="K6" s="197"/>
      <c r="L6" s="197"/>
      <c r="N6" s="198"/>
      <c r="O6" s="198"/>
      <c r="P6" s="198"/>
      <c r="Q6" s="198"/>
      <c r="R6" s="198"/>
    </row>
    <row r="7" spans="1:18" s="105" customFormat="1" ht="15.75" customHeight="1">
      <c r="A7" s="684" t="s">
        <v>188</v>
      </c>
      <c r="B7" s="684"/>
      <c r="C7" s="159" t="s">
        <v>47</v>
      </c>
      <c r="D7" s="684" t="s">
        <v>12</v>
      </c>
      <c r="E7" s="686"/>
      <c r="F7" s="686"/>
      <c r="G7" s="159" t="s">
        <v>46</v>
      </c>
      <c r="H7" s="159" t="s">
        <v>374</v>
      </c>
      <c r="I7" s="159" t="s">
        <v>375</v>
      </c>
      <c r="J7" s="159" t="s">
        <v>332</v>
      </c>
      <c r="K7" s="684" t="s">
        <v>51</v>
      </c>
      <c r="L7" s="686"/>
      <c r="M7" s="126"/>
      <c r="N7" s="188"/>
      <c r="O7" s="385"/>
      <c r="P7" s="384"/>
      <c r="Q7" s="384"/>
      <c r="R7" s="198"/>
    </row>
    <row r="8" spans="1:18" ht="15.75" customHeight="1">
      <c r="A8" s="683">
        <v>5</v>
      </c>
      <c r="B8" s="684" t="s">
        <v>348</v>
      </c>
      <c r="C8" s="199">
        <v>1</v>
      </c>
      <c r="D8" s="679" t="s">
        <v>566</v>
      </c>
      <c r="E8" s="680"/>
      <c r="F8" s="680"/>
      <c r="G8" s="199">
        <v>17.142857142857142</v>
      </c>
      <c r="H8" s="201">
        <v>1789.6285714285714</v>
      </c>
      <c r="I8" s="202">
        <v>104.43781512605041</v>
      </c>
      <c r="J8" s="351">
        <v>5.1028944911297884</v>
      </c>
      <c r="K8" s="687" t="s">
        <v>743</v>
      </c>
      <c r="L8" s="680"/>
      <c r="O8" s="385"/>
      <c r="P8" s="384"/>
      <c r="Q8" s="384"/>
      <c r="R8" s="198"/>
    </row>
    <row r="9" spans="1:18" ht="15.75" customHeight="1">
      <c r="A9" s="683"/>
      <c r="B9" s="684"/>
      <c r="C9" s="199">
        <v>2</v>
      </c>
      <c r="D9" s="679" t="s">
        <v>649</v>
      </c>
      <c r="E9" s="680"/>
      <c r="F9" s="680"/>
      <c r="G9" s="199">
        <v>18</v>
      </c>
      <c r="H9" s="201">
        <v>1789.8279990381252</v>
      </c>
      <c r="I9" s="202">
        <v>99.434888835451403</v>
      </c>
      <c r="J9" s="351"/>
      <c r="K9" s="679" t="s">
        <v>427</v>
      </c>
      <c r="L9" s="680"/>
      <c r="O9" s="385"/>
      <c r="P9" s="384"/>
      <c r="Q9" s="384"/>
      <c r="R9" s="198"/>
    </row>
    <row r="10" spans="1:18" ht="15.75" customHeight="1">
      <c r="A10" s="683"/>
      <c r="B10" s="684"/>
      <c r="C10" s="199">
        <v>3</v>
      </c>
      <c r="D10" s="679" t="s">
        <v>473</v>
      </c>
      <c r="E10" s="680"/>
      <c r="F10" s="680"/>
      <c r="G10" s="199">
        <v>19.142857142857142</v>
      </c>
      <c r="H10" s="201">
        <v>1789.247873556604</v>
      </c>
      <c r="I10" s="202">
        <v>93.499162067935472</v>
      </c>
      <c r="J10" s="351">
        <v>4.1015735362754526</v>
      </c>
      <c r="K10" s="687" t="s">
        <v>743</v>
      </c>
      <c r="L10" s="680"/>
      <c r="O10" s="385"/>
      <c r="P10" s="384"/>
      <c r="Q10" s="384"/>
      <c r="R10" s="198"/>
    </row>
    <row r="11" spans="1:18" ht="15.75" customHeight="1">
      <c r="A11" s="683"/>
      <c r="B11" s="684"/>
      <c r="C11" s="199">
        <v>4</v>
      </c>
      <c r="D11" s="679" t="s">
        <v>664</v>
      </c>
      <c r="E11" s="680"/>
      <c r="F11" s="680"/>
      <c r="G11" s="199">
        <v>20</v>
      </c>
      <c r="H11" s="201">
        <v>1790</v>
      </c>
      <c r="I11" s="202">
        <v>89.5</v>
      </c>
      <c r="J11" s="351">
        <v>2.178148621552495</v>
      </c>
      <c r="K11" s="679" t="s">
        <v>427</v>
      </c>
      <c r="L11" s="680"/>
      <c r="O11" s="385"/>
      <c r="P11" s="384"/>
      <c r="Q11" s="384"/>
      <c r="R11" s="198"/>
    </row>
    <row r="12" spans="1:18" ht="15.75" customHeight="1">
      <c r="A12" s="683"/>
      <c r="B12" s="684"/>
      <c r="C12" s="199">
        <v>5</v>
      </c>
      <c r="D12" s="679" t="s">
        <v>343</v>
      </c>
      <c r="E12" s="680"/>
      <c r="F12" s="680"/>
      <c r="G12" s="199">
        <v>23</v>
      </c>
      <c r="H12" s="201">
        <v>1793.8989699859656</v>
      </c>
      <c r="I12" s="202">
        <v>77.995607390694175</v>
      </c>
      <c r="J12" s="351">
        <v>1.3506362915578052E-2</v>
      </c>
      <c r="K12" s="679" t="s">
        <v>427</v>
      </c>
      <c r="L12" s="680"/>
      <c r="O12" s="385"/>
      <c r="P12" s="384"/>
      <c r="Q12" s="384"/>
      <c r="R12" s="198"/>
    </row>
    <row r="13" spans="1:18" ht="15.75" customHeight="1">
      <c r="A13" s="683"/>
      <c r="B13" s="684"/>
      <c r="C13" s="203" t="s">
        <v>204</v>
      </c>
      <c r="D13" s="679" t="s">
        <v>342</v>
      </c>
      <c r="E13" s="680"/>
      <c r="F13" s="680"/>
      <c r="G13" s="199">
        <v>24</v>
      </c>
      <c r="H13" s="201">
        <v>1791.7403014463873</v>
      </c>
      <c r="I13" s="202">
        <v>74.655845893599462</v>
      </c>
      <c r="J13" s="351">
        <v>0.32706467101320413</v>
      </c>
      <c r="K13" s="679" t="s">
        <v>427</v>
      </c>
      <c r="L13" s="680"/>
      <c r="O13" s="198"/>
      <c r="P13" s="384"/>
      <c r="Q13" s="384"/>
      <c r="R13" s="198"/>
    </row>
    <row r="14" spans="1:18" ht="15.75" customHeight="1">
      <c r="A14" s="683"/>
      <c r="B14" s="684"/>
      <c r="C14" s="203" t="s">
        <v>209</v>
      </c>
      <c r="D14" s="679" t="s">
        <v>472</v>
      </c>
      <c r="E14" s="680"/>
      <c r="F14" s="680"/>
      <c r="G14" s="199">
        <v>21</v>
      </c>
      <c r="H14" s="201">
        <v>1607.9855331561539</v>
      </c>
      <c r="I14" s="202">
        <v>76.570739674102569</v>
      </c>
      <c r="J14" s="351">
        <v>-4.2857142857101849E-2</v>
      </c>
      <c r="K14" s="679" t="s">
        <v>427</v>
      </c>
      <c r="L14" s="680"/>
      <c r="O14" s="385"/>
      <c r="P14" s="384"/>
      <c r="Q14" s="384"/>
      <c r="R14" s="198"/>
    </row>
    <row r="15" spans="1:18" ht="15.75" customHeight="1">
      <c r="A15" s="683"/>
      <c r="B15" s="684"/>
      <c r="C15" s="203" t="s">
        <v>205</v>
      </c>
      <c r="D15" s="679" t="s">
        <v>341</v>
      </c>
      <c r="E15" s="680"/>
      <c r="F15" s="680"/>
      <c r="G15" s="201">
        <v>23</v>
      </c>
      <c r="H15" s="201">
        <v>1790.0145229523434</v>
      </c>
      <c r="I15" s="202">
        <v>77.826718389232312</v>
      </c>
      <c r="J15" s="351">
        <v>-3.2298136645962927E-2</v>
      </c>
      <c r="K15" s="679" t="s">
        <v>427</v>
      </c>
      <c r="L15" s="680"/>
      <c r="N15" s="177"/>
      <c r="O15" s="386"/>
      <c r="P15" s="383"/>
      <c r="Q15" s="383"/>
      <c r="R15" s="177"/>
    </row>
    <row r="16" spans="1:18" ht="15.75" customHeight="1">
      <c r="A16" s="683"/>
      <c r="B16" s="684"/>
      <c r="C16" s="203" t="s">
        <v>210</v>
      </c>
      <c r="D16" s="679" t="s">
        <v>349</v>
      </c>
      <c r="E16" s="680"/>
      <c r="F16" s="680"/>
      <c r="G16" s="201">
        <v>23</v>
      </c>
      <c r="H16" s="201">
        <v>1790.3607611406537</v>
      </c>
      <c r="I16" s="202">
        <v>77.841772223506695</v>
      </c>
      <c r="J16" s="351">
        <v>-4.3478260869605379E-2</v>
      </c>
      <c r="K16" s="679" t="s">
        <v>427</v>
      </c>
      <c r="L16" s="680"/>
      <c r="M16" s="98"/>
      <c r="O16" s="385"/>
      <c r="P16" s="384"/>
      <c r="Q16" s="384"/>
      <c r="R16" s="198"/>
    </row>
    <row r="17" spans="1:18" ht="15.75" customHeight="1">
      <c r="A17" s="683"/>
      <c r="B17" s="684"/>
      <c r="C17" s="203" t="s">
        <v>211</v>
      </c>
      <c r="D17" s="679"/>
      <c r="E17" s="680"/>
      <c r="F17" s="680"/>
      <c r="G17" s="201"/>
      <c r="H17" s="201"/>
      <c r="I17" s="202"/>
      <c r="J17" s="199"/>
      <c r="K17" s="679"/>
      <c r="L17" s="680"/>
      <c r="M17" s="98"/>
      <c r="O17" s="385"/>
      <c r="P17" s="384"/>
      <c r="Q17" s="384"/>
      <c r="R17" s="198"/>
    </row>
    <row r="18" spans="1:18" s="103" customFormat="1" ht="15.75" customHeight="1">
      <c r="A18" s="681" t="s">
        <v>188</v>
      </c>
      <c r="B18" s="681"/>
      <c r="C18" s="206" t="s">
        <v>47</v>
      </c>
      <c r="D18" s="681" t="s">
        <v>12</v>
      </c>
      <c r="E18" s="682"/>
      <c r="F18" s="682"/>
      <c r="G18" s="206" t="s">
        <v>46</v>
      </c>
      <c r="H18" s="206" t="s">
        <v>374</v>
      </c>
      <c r="I18" s="206" t="s">
        <v>375</v>
      </c>
      <c r="J18" s="159" t="s">
        <v>332</v>
      </c>
      <c r="K18" s="681" t="s">
        <v>51</v>
      </c>
      <c r="L18" s="682"/>
      <c r="M18" s="127"/>
      <c r="N18" s="188"/>
      <c r="O18" s="385"/>
      <c r="P18" s="384"/>
      <c r="Q18" s="384"/>
      <c r="R18" s="198"/>
    </row>
    <row r="19" spans="1:18" ht="15.75" customHeight="1">
      <c r="A19" s="683">
        <v>6</v>
      </c>
      <c r="B19" s="684" t="s">
        <v>136</v>
      </c>
      <c r="C19" s="199">
        <v>1</v>
      </c>
      <c r="D19" s="679" t="s">
        <v>580</v>
      </c>
      <c r="E19" s="680"/>
      <c r="F19" s="680"/>
      <c r="G19" s="199">
        <v>20</v>
      </c>
      <c r="H19" s="201">
        <v>1791.5170144394017</v>
      </c>
      <c r="I19" s="202">
        <v>89.57585072197007</v>
      </c>
      <c r="J19" s="351">
        <v>-3.1428571428548935E-2</v>
      </c>
      <c r="K19" s="679" t="s">
        <v>427</v>
      </c>
      <c r="L19" s="680"/>
      <c r="M19" s="98"/>
      <c r="N19" s="198"/>
      <c r="O19" s="198"/>
      <c r="P19" s="384"/>
      <c r="Q19" s="384"/>
      <c r="R19" s="198"/>
    </row>
    <row r="20" spans="1:18" ht="15.75" customHeight="1">
      <c r="A20" s="683"/>
      <c r="B20" s="684"/>
      <c r="C20" s="199">
        <v>2</v>
      </c>
      <c r="D20" s="679" t="s">
        <v>437</v>
      </c>
      <c r="E20" s="680"/>
      <c r="F20" s="680"/>
      <c r="G20" s="201">
        <v>20</v>
      </c>
      <c r="H20" s="201">
        <v>1787.2952118528442</v>
      </c>
      <c r="I20" s="202">
        <v>89.364760592642227</v>
      </c>
      <c r="J20" s="351">
        <v>-2.3601977567281551E-2</v>
      </c>
      <c r="K20" s="679" t="s">
        <v>427</v>
      </c>
      <c r="L20" s="680"/>
      <c r="M20" s="98"/>
      <c r="O20" s="198"/>
      <c r="P20" s="384"/>
      <c r="Q20" s="384"/>
      <c r="R20" s="198"/>
    </row>
    <row r="21" spans="1:18" ht="15.75" customHeight="1">
      <c r="A21" s="683"/>
      <c r="B21" s="684"/>
      <c r="C21" s="199">
        <v>3</v>
      </c>
      <c r="D21" s="679" t="s">
        <v>435</v>
      </c>
      <c r="E21" s="680"/>
      <c r="F21" s="680"/>
      <c r="G21" s="201">
        <v>22</v>
      </c>
      <c r="H21" s="201">
        <v>1788.3167970196664</v>
      </c>
      <c r="I21" s="202">
        <v>81.287127137257571</v>
      </c>
      <c r="J21" s="351">
        <v>5.6590013053082089E-2</v>
      </c>
      <c r="K21" s="679" t="s">
        <v>427</v>
      </c>
      <c r="L21" s="680"/>
      <c r="M21" s="98"/>
      <c r="O21" s="198"/>
      <c r="P21" s="384"/>
      <c r="Q21" s="384"/>
      <c r="R21" s="198"/>
    </row>
    <row r="22" spans="1:18" ht="15.75" customHeight="1">
      <c r="A22" s="683"/>
      <c r="B22" s="684"/>
      <c r="C22" s="199">
        <v>4</v>
      </c>
      <c r="D22" s="679" t="s">
        <v>433</v>
      </c>
      <c r="E22" s="680"/>
      <c r="F22" s="680"/>
      <c r="G22" s="199">
        <v>23</v>
      </c>
      <c r="H22" s="201">
        <v>1795.6290322028235</v>
      </c>
      <c r="I22" s="202">
        <v>78.070827487079285</v>
      </c>
      <c r="J22" s="351">
        <v>-9.2968631972141225E-2</v>
      </c>
      <c r="K22" s="679" t="s">
        <v>427</v>
      </c>
      <c r="L22" s="680"/>
      <c r="M22" s="98"/>
      <c r="O22" s="198"/>
      <c r="P22" s="384"/>
      <c r="Q22" s="384"/>
      <c r="R22" s="198"/>
    </row>
    <row r="23" spans="1:18" ht="15.75" customHeight="1">
      <c r="A23" s="683"/>
      <c r="B23" s="684"/>
      <c r="C23" s="199">
        <v>5</v>
      </c>
      <c r="D23" s="679" t="s">
        <v>350</v>
      </c>
      <c r="E23" s="680"/>
      <c r="F23" s="680"/>
      <c r="G23" s="201">
        <v>23</v>
      </c>
      <c r="H23" s="201">
        <v>1794.9906582798924</v>
      </c>
      <c r="I23" s="202">
        <v>78.043072099125752</v>
      </c>
      <c r="J23" s="351">
        <v>4.9689440993603284E-3</v>
      </c>
      <c r="K23" s="679" t="s">
        <v>427</v>
      </c>
      <c r="L23" s="680"/>
      <c r="M23" s="98"/>
      <c r="O23" s="198"/>
      <c r="P23" s="384"/>
      <c r="Q23" s="384"/>
      <c r="R23" s="198"/>
    </row>
    <row r="24" spans="1:18" ht="15.75" customHeight="1">
      <c r="A24" s="683"/>
      <c r="B24" s="684"/>
      <c r="C24" s="203" t="s">
        <v>204</v>
      </c>
      <c r="D24" s="679" t="s">
        <v>508</v>
      </c>
      <c r="E24" s="680"/>
      <c r="F24" s="680"/>
      <c r="G24" s="199">
        <v>25</v>
      </c>
      <c r="H24" s="201">
        <v>1788.1971759908881</v>
      </c>
      <c r="I24" s="202">
        <v>71.52788703963553</v>
      </c>
      <c r="J24" s="351">
        <v>5.4494503816187034E-3</v>
      </c>
      <c r="K24" s="679" t="s">
        <v>427</v>
      </c>
      <c r="L24" s="680"/>
      <c r="M24" s="98"/>
      <c r="O24" s="198"/>
      <c r="P24" s="384"/>
      <c r="Q24" s="384"/>
      <c r="R24" s="198"/>
    </row>
    <row r="25" spans="1:18" ht="15.75" customHeight="1">
      <c r="A25" s="683"/>
      <c r="B25" s="684"/>
      <c r="C25" s="203" t="s">
        <v>209</v>
      </c>
      <c r="D25" s="679" t="s">
        <v>710</v>
      </c>
      <c r="E25" s="680"/>
      <c r="F25" s="680"/>
      <c r="G25" s="199">
        <v>24</v>
      </c>
      <c r="H25" s="201">
        <v>1729.233504034891</v>
      </c>
      <c r="I25" s="202">
        <v>72.051396001453796</v>
      </c>
      <c r="J25" s="351"/>
      <c r="K25" s="679" t="s">
        <v>584</v>
      </c>
      <c r="L25" s="680"/>
      <c r="M25" s="98"/>
      <c r="O25" s="198"/>
      <c r="P25" s="384"/>
      <c r="Q25" s="384"/>
      <c r="R25" s="198"/>
    </row>
    <row r="26" spans="1:18" ht="15.75" customHeight="1">
      <c r="A26" s="683"/>
      <c r="B26" s="684"/>
      <c r="C26" s="203" t="s">
        <v>205</v>
      </c>
      <c r="D26" s="679" t="s">
        <v>351</v>
      </c>
      <c r="E26" s="680"/>
      <c r="F26" s="680"/>
      <c r="G26" s="199">
        <v>24</v>
      </c>
      <c r="H26" s="201">
        <v>1796.9259582202544</v>
      </c>
      <c r="I26" s="202">
        <v>74.871914925843953</v>
      </c>
      <c r="J26" s="351">
        <v>-1.9047619047569242E-2</v>
      </c>
      <c r="K26" s="679" t="s">
        <v>427</v>
      </c>
      <c r="L26" s="680"/>
      <c r="M26" s="98"/>
      <c r="O26" s="198"/>
      <c r="P26" s="384"/>
      <c r="Q26" s="384"/>
      <c r="R26" s="198"/>
    </row>
    <row r="27" spans="1:18" ht="15.75" customHeight="1">
      <c r="A27" s="683"/>
      <c r="B27" s="684"/>
      <c r="C27" s="203" t="s">
        <v>210</v>
      </c>
      <c r="D27" s="679" t="s">
        <v>352</v>
      </c>
      <c r="E27" s="680"/>
      <c r="F27" s="680"/>
      <c r="G27" s="199">
        <v>23</v>
      </c>
      <c r="H27" s="201">
        <v>1787.2314929140468</v>
      </c>
      <c r="I27" s="202">
        <v>77.705717083219426</v>
      </c>
      <c r="J27" s="351">
        <v>-4.5679272417444849E-2</v>
      </c>
      <c r="K27" s="679" t="s">
        <v>427</v>
      </c>
      <c r="L27" s="680"/>
      <c r="M27" s="98"/>
      <c r="O27" s="198"/>
      <c r="P27" s="384"/>
      <c r="Q27" s="384"/>
      <c r="R27" s="198"/>
    </row>
    <row r="28" spans="1:18" ht="15.75" customHeight="1">
      <c r="A28" s="683"/>
      <c r="B28" s="684"/>
      <c r="C28" s="203" t="s">
        <v>211</v>
      </c>
      <c r="D28" s="679" t="s">
        <v>353</v>
      </c>
      <c r="E28" s="680"/>
      <c r="F28" s="680"/>
      <c r="G28" s="199">
        <v>23</v>
      </c>
      <c r="H28" s="201">
        <v>1791.0903867752415</v>
      </c>
      <c r="I28" s="202">
        <v>77.873495077184415</v>
      </c>
      <c r="J28" s="351">
        <v>-1.490683229815204E-2</v>
      </c>
      <c r="K28" s="679" t="s">
        <v>427</v>
      </c>
      <c r="L28" s="680"/>
      <c r="M28" s="98"/>
      <c r="O28" s="198"/>
      <c r="P28" s="384"/>
      <c r="Q28" s="384"/>
      <c r="R28" s="198"/>
    </row>
    <row r="29" spans="1:18" s="188" customFormat="1" ht="15.75" customHeight="1">
      <c r="A29" s="685" t="s">
        <v>742</v>
      </c>
      <c r="B29" s="685"/>
      <c r="C29" s="685"/>
      <c r="D29" s="685"/>
      <c r="E29" s="685"/>
      <c r="F29" s="685"/>
      <c r="G29" s="685"/>
      <c r="H29" s="685"/>
      <c r="I29" s="685"/>
      <c r="J29" s="685"/>
      <c r="K29" s="685"/>
      <c r="L29" s="685"/>
    </row>
    <row r="30" spans="1:18" s="189" customFormat="1" ht="15.75" customHeight="1">
      <c r="A30" s="685"/>
      <c r="B30" s="685"/>
      <c r="C30" s="685"/>
      <c r="D30" s="685"/>
      <c r="E30" s="685"/>
      <c r="F30" s="685"/>
      <c r="G30" s="685"/>
      <c r="H30" s="685"/>
      <c r="I30" s="685"/>
      <c r="J30" s="685"/>
      <c r="K30" s="685"/>
      <c r="L30" s="685"/>
    </row>
    <row r="31" spans="1:18" s="105" customFormat="1" ht="16.350000000000001" customHeight="1">
      <c r="A31" s="683" t="s">
        <v>162</v>
      </c>
      <c r="B31" s="169">
        <v>1</v>
      </c>
      <c r="C31" s="169">
        <v>2</v>
      </c>
      <c r="D31" s="169">
        <v>3</v>
      </c>
      <c r="E31" s="169">
        <v>4</v>
      </c>
      <c r="F31" s="190">
        <v>5</v>
      </c>
      <c r="G31" s="190">
        <v>6</v>
      </c>
      <c r="H31" s="169">
        <v>7</v>
      </c>
      <c r="I31" s="169">
        <v>8</v>
      </c>
      <c r="J31" s="169">
        <v>9</v>
      </c>
      <c r="K31" s="191"/>
      <c r="L31" s="191"/>
      <c r="M31" s="126"/>
      <c r="N31" s="177"/>
      <c r="O31" s="177"/>
      <c r="P31" s="177"/>
      <c r="Q31" s="177"/>
      <c r="R31" s="177"/>
    </row>
    <row r="32" spans="1:18" ht="16.350000000000001" customHeight="1">
      <c r="A32" s="683"/>
      <c r="B32" s="194" t="s">
        <v>206</v>
      </c>
      <c r="C32" s="194" t="s">
        <v>155</v>
      </c>
      <c r="D32" s="194" t="s">
        <v>207</v>
      </c>
      <c r="E32" s="194" t="s">
        <v>156</v>
      </c>
      <c r="F32" s="193" t="s">
        <v>348</v>
      </c>
      <c r="G32" s="208" t="s">
        <v>136</v>
      </c>
      <c r="H32" s="196" t="s">
        <v>208</v>
      </c>
      <c r="I32" s="195" t="s">
        <v>373</v>
      </c>
      <c r="J32" s="195" t="s">
        <v>142</v>
      </c>
      <c r="K32" s="197"/>
      <c r="L32" s="197"/>
      <c r="N32" s="198"/>
      <c r="O32" s="198"/>
      <c r="P32" s="198"/>
      <c r="Q32" s="198"/>
      <c r="R32" s="198"/>
    </row>
    <row r="33" spans="1:18" s="105" customFormat="1" ht="15.75" customHeight="1">
      <c r="A33" s="684" t="s">
        <v>188</v>
      </c>
      <c r="B33" s="684"/>
      <c r="C33" s="159" t="s">
        <v>47</v>
      </c>
      <c r="D33" s="684" t="s">
        <v>12</v>
      </c>
      <c r="E33" s="686"/>
      <c r="F33" s="686"/>
      <c r="G33" s="159" t="s">
        <v>46</v>
      </c>
      <c r="H33" s="159" t="s">
        <v>374</v>
      </c>
      <c r="I33" s="159" t="s">
        <v>375</v>
      </c>
      <c r="J33" s="159" t="s">
        <v>332</v>
      </c>
      <c r="K33" s="684" t="s">
        <v>51</v>
      </c>
      <c r="L33" s="686"/>
      <c r="M33" s="126"/>
      <c r="N33" s="188"/>
      <c r="O33" s="385"/>
      <c r="P33" s="384"/>
      <c r="Q33" s="384"/>
      <c r="R33" s="198"/>
    </row>
    <row r="34" spans="1:18" ht="15.75" customHeight="1">
      <c r="A34" s="683">
        <v>5</v>
      </c>
      <c r="B34" s="684" t="s">
        <v>348</v>
      </c>
      <c r="C34" s="199">
        <v>1</v>
      </c>
      <c r="D34" s="679" t="s">
        <v>566</v>
      </c>
      <c r="E34" s="680"/>
      <c r="F34" s="680"/>
      <c r="G34" s="201">
        <v>17</v>
      </c>
      <c r="H34" s="201">
        <v>1790</v>
      </c>
      <c r="I34" s="202">
        <v>105.29411764705881</v>
      </c>
      <c r="J34" s="351">
        <f>I34-I8</f>
        <v>0.8563025210084021</v>
      </c>
      <c r="K34" s="679" t="s">
        <v>427</v>
      </c>
      <c r="L34" s="680"/>
      <c r="O34" s="385"/>
      <c r="P34" s="384"/>
      <c r="Q34" s="384"/>
      <c r="R34" s="198"/>
    </row>
    <row r="35" spans="1:18" ht="15.75" customHeight="1">
      <c r="A35" s="683"/>
      <c r="B35" s="684"/>
      <c r="C35" s="199">
        <v>2</v>
      </c>
      <c r="D35" s="679" t="s">
        <v>649</v>
      </c>
      <c r="E35" s="680"/>
      <c r="F35" s="680"/>
      <c r="G35" s="201">
        <v>18</v>
      </c>
      <c r="H35" s="201">
        <v>1789.5994276095537</v>
      </c>
      <c r="I35" s="202">
        <v>99.42219042275299</v>
      </c>
      <c r="J35" s="351">
        <f>I35-I9</f>
        <v>-1.2698412698412653E-2</v>
      </c>
      <c r="K35" s="679" t="s">
        <v>427</v>
      </c>
      <c r="L35" s="680"/>
      <c r="O35" s="385"/>
      <c r="P35" s="384"/>
      <c r="Q35" s="384"/>
      <c r="R35" s="198"/>
    </row>
    <row r="36" spans="1:18" ht="15.75" customHeight="1">
      <c r="A36" s="683"/>
      <c r="B36" s="684"/>
      <c r="C36" s="199">
        <v>3</v>
      </c>
      <c r="D36" s="679" t="s">
        <v>473</v>
      </c>
      <c r="E36" s="680"/>
      <c r="F36" s="680"/>
      <c r="G36" s="201">
        <v>19</v>
      </c>
      <c r="H36" s="201">
        <v>1790</v>
      </c>
      <c r="I36" s="202">
        <v>94.21052631578948</v>
      </c>
      <c r="J36" s="351">
        <f>I36-I10</f>
        <v>0.7113642478540072</v>
      </c>
      <c r="K36" s="679" t="s">
        <v>427</v>
      </c>
      <c r="L36" s="680"/>
      <c r="O36" s="385"/>
      <c r="P36" s="384"/>
      <c r="Q36" s="384"/>
      <c r="R36" s="198"/>
    </row>
    <row r="37" spans="1:18" ht="15.75" customHeight="1">
      <c r="A37" s="683"/>
      <c r="B37" s="684"/>
      <c r="C37" s="199">
        <v>4</v>
      </c>
      <c r="D37" s="679" t="s">
        <v>664</v>
      </c>
      <c r="E37" s="680"/>
      <c r="F37" s="680"/>
      <c r="G37" s="201">
        <v>20</v>
      </c>
      <c r="H37" s="201">
        <v>1790</v>
      </c>
      <c r="I37" s="202">
        <v>89.5</v>
      </c>
      <c r="J37" s="351">
        <f>I37-I11</f>
        <v>0</v>
      </c>
      <c r="K37" s="679" t="s">
        <v>427</v>
      </c>
      <c r="L37" s="680"/>
      <c r="O37" s="385"/>
      <c r="P37" s="384"/>
      <c r="Q37" s="384"/>
      <c r="R37" s="198"/>
    </row>
    <row r="38" spans="1:18" ht="15.75" customHeight="1">
      <c r="A38" s="683"/>
      <c r="B38" s="684"/>
      <c r="C38" s="199">
        <v>5</v>
      </c>
      <c r="D38" s="679" t="s">
        <v>343</v>
      </c>
      <c r="E38" s="680"/>
      <c r="F38" s="680"/>
      <c r="G38" s="201">
        <v>23</v>
      </c>
      <c r="H38" s="201">
        <v>1794.6703985573934</v>
      </c>
      <c r="I38" s="202">
        <v>78.029147763364932</v>
      </c>
      <c r="J38" s="351">
        <f>I38-I12</f>
        <v>3.3540372670756824E-2</v>
      </c>
      <c r="K38" s="679" t="s">
        <v>427</v>
      </c>
      <c r="L38" s="680"/>
      <c r="O38" s="385"/>
      <c r="P38" s="384"/>
      <c r="Q38" s="384"/>
      <c r="R38" s="198"/>
    </row>
    <row r="39" spans="1:18" ht="15.75" customHeight="1">
      <c r="A39" s="683"/>
      <c r="B39" s="684"/>
      <c r="C39" s="203" t="s">
        <v>204</v>
      </c>
      <c r="D39" s="679" t="s">
        <v>751</v>
      </c>
      <c r="E39" s="680"/>
      <c r="F39" s="680"/>
      <c r="G39" s="201">
        <v>21</v>
      </c>
      <c r="H39" s="201">
        <v>1282.5625923806451</v>
      </c>
      <c r="I39" s="202">
        <v>61.074409160983102</v>
      </c>
      <c r="J39" s="351"/>
      <c r="K39" s="687" t="s">
        <v>782</v>
      </c>
      <c r="L39" s="680"/>
      <c r="O39" s="198"/>
      <c r="P39" s="384"/>
      <c r="Q39" s="384"/>
      <c r="R39" s="198"/>
    </row>
    <row r="40" spans="1:18" ht="15.75" customHeight="1">
      <c r="A40" s="683"/>
      <c r="B40" s="684"/>
      <c r="C40" s="203" t="s">
        <v>209</v>
      </c>
      <c r="D40" s="679" t="s">
        <v>342</v>
      </c>
      <c r="E40" s="680"/>
      <c r="F40" s="680"/>
      <c r="G40" s="201">
        <v>24</v>
      </c>
      <c r="H40" s="201">
        <v>1790.1688728749584</v>
      </c>
      <c r="I40" s="202">
        <v>74.590369703123272</v>
      </c>
      <c r="J40" s="351">
        <f>I40-I13</f>
        <v>-6.5476190476189799E-2</v>
      </c>
      <c r="K40" s="679" t="s">
        <v>427</v>
      </c>
      <c r="L40" s="680"/>
      <c r="O40" s="385"/>
      <c r="P40" s="384"/>
      <c r="Q40" s="384"/>
      <c r="R40" s="198"/>
    </row>
    <row r="41" spans="1:18" ht="15.75" customHeight="1">
      <c r="A41" s="683"/>
      <c r="B41" s="684"/>
      <c r="C41" s="203" t="s">
        <v>205</v>
      </c>
      <c r="D41" s="679" t="s">
        <v>341</v>
      </c>
      <c r="E41" s="680"/>
      <c r="F41" s="680"/>
      <c r="G41" s="201">
        <v>23</v>
      </c>
      <c r="H41" s="201">
        <v>1789.4606744690827</v>
      </c>
      <c r="I41" s="202">
        <v>77.802638020394923</v>
      </c>
      <c r="J41" s="351">
        <f>I41-I15</f>
        <v>-2.4080368837388733E-2</v>
      </c>
      <c r="K41" s="679" t="s">
        <v>427</v>
      </c>
      <c r="L41" s="680"/>
      <c r="N41" s="177"/>
      <c r="O41" s="386"/>
      <c r="P41" s="383"/>
      <c r="Q41" s="383"/>
      <c r="R41" s="177"/>
    </row>
    <row r="42" spans="1:18" ht="15.75" customHeight="1">
      <c r="A42" s="683"/>
      <c r="B42" s="684"/>
      <c r="C42" s="203" t="s">
        <v>210</v>
      </c>
      <c r="D42" s="679" t="s">
        <v>349</v>
      </c>
      <c r="E42" s="680"/>
      <c r="F42" s="680"/>
      <c r="G42" s="201">
        <v>23</v>
      </c>
      <c r="H42" s="201">
        <v>1791.4464754263674</v>
      </c>
      <c r="I42" s="202">
        <v>77.888977192450753</v>
      </c>
      <c r="J42" s="351">
        <f>I42-I16</f>
        <v>4.7204968944058123E-2</v>
      </c>
      <c r="K42" s="679" t="s">
        <v>427</v>
      </c>
      <c r="L42" s="680"/>
      <c r="M42" s="98"/>
      <c r="O42" s="385"/>
      <c r="P42" s="384"/>
      <c r="Q42" s="384"/>
      <c r="R42" s="198"/>
    </row>
    <row r="43" spans="1:18" ht="15.75" customHeight="1">
      <c r="A43" s="683"/>
      <c r="B43" s="684"/>
      <c r="C43" s="203" t="s">
        <v>211</v>
      </c>
      <c r="D43" s="679"/>
      <c r="E43" s="680"/>
      <c r="F43" s="680"/>
      <c r="G43" s="201"/>
      <c r="H43" s="201"/>
      <c r="I43" s="202"/>
      <c r="J43" s="199"/>
      <c r="K43" s="679"/>
      <c r="L43" s="680"/>
      <c r="M43" s="98"/>
      <c r="O43" s="385"/>
      <c r="P43" s="384"/>
      <c r="Q43" s="384"/>
      <c r="R43" s="198"/>
    </row>
    <row r="44" spans="1:18" s="103" customFormat="1" ht="15.75" customHeight="1">
      <c r="A44" s="681" t="s">
        <v>188</v>
      </c>
      <c r="B44" s="681"/>
      <c r="C44" s="206" t="s">
        <v>47</v>
      </c>
      <c r="D44" s="681" t="s">
        <v>12</v>
      </c>
      <c r="E44" s="682"/>
      <c r="F44" s="682"/>
      <c r="G44" s="206" t="s">
        <v>46</v>
      </c>
      <c r="H44" s="206" t="s">
        <v>374</v>
      </c>
      <c r="I44" s="206" t="s">
        <v>375</v>
      </c>
      <c r="J44" s="159" t="s">
        <v>332</v>
      </c>
      <c r="K44" s="681" t="s">
        <v>51</v>
      </c>
      <c r="L44" s="682"/>
      <c r="M44" s="127"/>
      <c r="N44" s="188"/>
      <c r="O44" s="385"/>
      <c r="P44" s="384"/>
      <c r="Q44" s="384"/>
      <c r="R44" s="198"/>
    </row>
    <row r="45" spans="1:18" ht="15.75" customHeight="1">
      <c r="A45" s="683">
        <v>6</v>
      </c>
      <c r="B45" s="684" t="s">
        <v>136</v>
      </c>
      <c r="C45" s="199">
        <v>1</v>
      </c>
      <c r="D45" s="679" t="s">
        <v>580</v>
      </c>
      <c r="E45" s="680"/>
      <c r="F45" s="680"/>
      <c r="G45" s="199">
        <v>20</v>
      </c>
      <c r="H45" s="201">
        <v>1791.9455858679733</v>
      </c>
      <c r="I45" s="202">
        <v>89.597279293398643</v>
      </c>
      <c r="J45" s="351">
        <f t="shared" ref="J45:J53" si="0">I45-I19</f>
        <v>2.1428571428572241E-2</v>
      </c>
      <c r="K45" s="679" t="s">
        <v>427</v>
      </c>
      <c r="L45" s="680"/>
      <c r="M45" s="98"/>
      <c r="N45" s="198"/>
      <c r="O45" s="198"/>
      <c r="P45" s="384"/>
      <c r="Q45" s="384"/>
      <c r="R45" s="198"/>
    </row>
    <row r="46" spans="1:18" ht="15.75" customHeight="1">
      <c r="A46" s="683"/>
      <c r="B46" s="684"/>
      <c r="C46" s="199">
        <v>2</v>
      </c>
      <c r="D46" s="679" t="s">
        <v>437</v>
      </c>
      <c r="E46" s="680"/>
      <c r="F46" s="680"/>
      <c r="G46" s="201">
        <v>20</v>
      </c>
      <c r="H46" s="201">
        <v>1789.5201174019098</v>
      </c>
      <c r="I46" s="202">
        <v>89.476005870095491</v>
      </c>
      <c r="J46" s="351">
        <f t="shared" si="0"/>
        <v>0.11124527745326418</v>
      </c>
      <c r="K46" s="679" t="s">
        <v>427</v>
      </c>
      <c r="L46" s="680"/>
      <c r="M46" s="98"/>
      <c r="O46" s="198"/>
      <c r="P46" s="384"/>
      <c r="Q46" s="384"/>
      <c r="R46" s="198"/>
    </row>
    <row r="47" spans="1:18" ht="15.75" customHeight="1">
      <c r="A47" s="683"/>
      <c r="B47" s="684"/>
      <c r="C47" s="199">
        <v>3</v>
      </c>
      <c r="D47" s="679" t="s">
        <v>435</v>
      </c>
      <c r="E47" s="680"/>
      <c r="F47" s="680"/>
      <c r="G47" s="201">
        <v>22</v>
      </c>
      <c r="H47" s="201">
        <v>1789.9796763500092</v>
      </c>
      <c r="I47" s="202">
        <v>81.362712561364063</v>
      </c>
      <c r="J47" s="351">
        <f t="shared" si="0"/>
        <v>7.5585424106492383E-2</v>
      </c>
      <c r="K47" s="679" t="s">
        <v>427</v>
      </c>
      <c r="L47" s="680"/>
      <c r="M47" s="98"/>
      <c r="O47" s="198"/>
      <c r="P47" s="384"/>
      <c r="Q47" s="384"/>
      <c r="R47" s="198"/>
    </row>
    <row r="48" spans="1:18" ht="15.75" customHeight="1">
      <c r="A48" s="683"/>
      <c r="B48" s="684"/>
      <c r="C48" s="199">
        <v>4</v>
      </c>
      <c r="D48" s="679" t="s">
        <v>433</v>
      </c>
      <c r="E48" s="680"/>
      <c r="F48" s="680"/>
      <c r="G48" s="199">
        <v>23</v>
      </c>
      <c r="H48" s="201">
        <v>1795.143317917109</v>
      </c>
      <c r="I48" s="202">
        <v>78.049709474656908</v>
      </c>
      <c r="J48" s="351">
        <f t="shared" si="0"/>
        <v>-2.1118012422377319E-2</v>
      </c>
      <c r="K48" s="679" t="s">
        <v>427</v>
      </c>
      <c r="L48" s="680"/>
      <c r="M48" s="98"/>
      <c r="O48" s="198"/>
      <c r="P48" s="384"/>
      <c r="Q48" s="384"/>
      <c r="R48" s="198"/>
    </row>
    <row r="49" spans="1:18" ht="15.75" customHeight="1">
      <c r="A49" s="683"/>
      <c r="B49" s="684"/>
      <c r="C49" s="199">
        <v>5</v>
      </c>
      <c r="D49" s="679" t="s">
        <v>350</v>
      </c>
      <c r="E49" s="680"/>
      <c r="F49" s="680"/>
      <c r="G49" s="201">
        <v>23</v>
      </c>
      <c r="H49" s="201">
        <v>1793.5620868513204</v>
      </c>
      <c r="I49" s="202">
        <v>77.980960297883513</v>
      </c>
      <c r="J49" s="351">
        <f t="shared" si="0"/>
        <v>-6.2111801242238585E-2</v>
      </c>
      <c r="K49" s="679" t="s">
        <v>427</v>
      </c>
      <c r="L49" s="680"/>
      <c r="M49" s="98"/>
      <c r="O49" s="198"/>
      <c r="P49" s="384"/>
      <c r="Q49" s="384"/>
      <c r="R49" s="198"/>
    </row>
    <row r="50" spans="1:18" ht="15.75" customHeight="1">
      <c r="A50" s="683"/>
      <c r="B50" s="684"/>
      <c r="C50" s="203" t="s">
        <v>204</v>
      </c>
      <c r="D50" s="679" t="s">
        <v>508</v>
      </c>
      <c r="E50" s="680"/>
      <c r="F50" s="680"/>
      <c r="G50" s="199">
        <v>25</v>
      </c>
      <c r="H50" s="201">
        <v>1790.8431649766985</v>
      </c>
      <c r="I50" s="202">
        <v>71.633726599067941</v>
      </c>
      <c r="J50" s="351">
        <f t="shared" si="0"/>
        <v>0.10583955943241108</v>
      </c>
      <c r="K50" s="679" t="s">
        <v>427</v>
      </c>
      <c r="L50" s="680"/>
      <c r="M50" s="98"/>
      <c r="O50" s="198"/>
      <c r="P50" s="384"/>
      <c r="Q50" s="384"/>
      <c r="R50" s="198"/>
    </row>
    <row r="51" spans="1:18" ht="15.75" customHeight="1">
      <c r="A51" s="683"/>
      <c r="B51" s="684"/>
      <c r="C51" s="203" t="s">
        <v>209</v>
      </c>
      <c r="D51" s="679" t="s">
        <v>710</v>
      </c>
      <c r="E51" s="680"/>
      <c r="F51" s="680"/>
      <c r="G51" s="199">
        <v>24</v>
      </c>
      <c r="H51" s="201">
        <v>1789.145631177269</v>
      </c>
      <c r="I51" s="202">
        <v>74.547734632386209</v>
      </c>
      <c r="J51" s="351">
        <f t="shared" si="0"/>
        <v>2.4963386309324136</v>
      </c>
      <c r="K51" s="679" t="s">
        <v>427</v>
      </c>
      <c r="L51" s="680"/>
      <c r="M51" s="98"/>
      <c r="O51" s="198"/>
      <c r="P51" s="384"/>
      <c r="Q51" s="384"/>
      <c r="R51" s="198"/>
    </row>
    <row r="52" spans="1:18" ht="15.75" customHeight="1">
      <c r="A52" s="683"/>
      <c r="B52" s="684"/>
      <c r="C52" s="203" t="s">
        <v>205</v>
      </c>
      <c r="D52" s="679" t="s">
        <v>351</v>
      </c>
      <c r="E52" s="680"/>
      <c r="F52" s="680"/>
      <c r="G52" s="199">
        <v>24</v>
      </c>
      <c r="H52" s="201">
        <v>1797.3831010773981</v>
      </c>
      <c r="I52" s="202">
        <v>74.890962544891607</v>
      </c>
      <c r="J52" s="351">
        <f t="shared" si="0"/>
        <v>1.9047619047654507E-2</v>
      </c>
      <c r="K52" s="679" t="s">
        <v>427</v>
      </c>
      <c r="L52" s="680"/>
      <c r="M52" s="98"/>
      <c r="O52" s="198"/>
      <c r="P52" s="384"/>
      <c r="Q52" s="384"/>
      <c r="R52" s="198"/>
    </row>
    <row r="53" spans="1:18" ht="15.75" customHeight="1">
      <c r="A53" s="683"/>
      <c r="B53" s="684"/>
      <c r="C53" s="203" t="s">
        <v>210</v>
      </c>
      <c r="D53" s="679" t="s">
        <v>352</v>
      </c>
      <c r="E53" s="680"/>
      <c r="F53" s="680"/>
      <c r="G53" s="199">
        <v>23</v>
      </c>
      <c r="H53" s="201">
        <v>1790.4281604436248</v>
      </c>
      <c r="I53" s="202">
        <v>77.844702627983679</v>
      </c>
      <c r="J53" s="351">
        <f t="shared" si="0"/>
        <v>0.13898554476425318</v>
      </c>
      <c r="K53" s="679" t="s">
        <v>427</v>
      </c>
      <c r="L53" s="680"/>
      <c r="M53" s="98"/>
      <c r="O53" s="198"/>
      <c r="P53" s="384"/>
      <c r="Q53" s="384"/>
      <c r="R53" s="198"/>
    </row>
    <row r="54" spans="1:18" ht="15.75" customHeight="1">
      <c r="A54" s="683"/>
      <c r="B54" s="684"/>
      <c r="C54" s="203" t="s">
        <v>211</v>
      </c>
      <c r="D54" s="679"/>
      <c r="E54" s="680"/>
      <c r="F54" s="680"/>
      <c r="G54" s="199"/>
      <c r="H54" s="201"/>
      <c r="I54" s="202"/>
      <c r="J54" s="351"/>
      <c r="K54" s="679"/>
      <c r="L54" s="680"/>
      <c r="M54" s="98"/>
      <c r="O54" s="198"/>
      <c r="P54" s="384"/>
      <c r="Q54" s="384"/>
      <c r="R54" s="198"/>
    </row>
    <row r="55" spans="1:18" s="188" customFormat="1" ht="15.75" customHeight="1">
      <c r="A55" s="685" t="s">
        <v>747</v>
      </c>
      <c r="B55" s="685"/>
      <c r="C55" s="685"/>
      <c r="D55" s="685"/>
      <c r="E55" s="685"/>
      <c r="F55" s="685"/>
      <c r="G55" s="685"/>
      <c r="H55" s="685"/>
      <c r="I55" s="685"/>
      <c r="J55" s="685"/>
      <c r="K55" s="685"/>
      <c r="L55" s="685"/>
    </row>
    <row r="56" spans="1:18" s="189" customFormat="1" ht="15.75" customHeight="1">
      <c r="A56" s="685"/>
      <c r="B56" s="685"/>
      <c r="C56" s="685"/>
      <c r="D56" s="685"/>
      <c r="E56" s="685"/>
      <c r="F56" s="685"/>
      <c r="G56" s="685"/>
      <c r="H56" s="685"/>
      <c r="I56" s="685"/>
      <c r="J56" s="685"/>
      <c r="K56" s="685"/>
      <c r="L56" s="685"/>
    </row>
    <row r="57" spans="1:18" s="105" customFormat="1" ht="16.350000000000001" customHeight="1">
      <c r="A57" s="683" t="s">
        <v>162</v>
      </c>
      <c r="B57" s="169">
        <v>1</v>
      </c>
      <c r="C57" s="169">
        <v>2</v>
      </c>
      <c r="D57" s="169">
        <v>3</v>
      </c>
      <c r="E57" s="169">
        <v>4</v>
      </c>
      <c r="F57" s="190">
        <v>5</v>
      </c>
      <c r="G57" s="190">
        <v>6</v>
      </c>
      <c r="H57" s="169">
        <v>7</v>
      </c>
      <c r="I57" s="169">
        <v>8</v>
      </c>
      <c r="J57" s="169">
        <v>9</v>
      </c>
      <c r="K57" s="191"/>
      <c r="L57" s="191"/>
      <c r="M57" s="126"/>
      <c r="N57" s="177"/>
      <c r="O57" s="177"/>
      <c r="P57" s="177"/>
      <c r="Q57" s="177"/>
      <c r="R57" s="177"/>
    </row>
    <row r="58" spans="1:18" ht="16.350000000000001" customHeight="1">
      <c r="A58" s="683"/>
      <c r="B58" s="194" t="s">
        <v>206</v>
      </c>
      <c r="C58" s="194" t="s">
        <v>155</v>
      </c>
      <c r="D58" s="194" t="s">
        <v>207</v>
      </c>
      <c r="E58" s="194" t="s">
        <v>156</v>
      </c>
      <c r="F58" s="193" t="s">
        <v>348</v>
      </c>
      <c r="G58" s="208" t="s">
        <v>136</v>
      </c>
      <c r="H58" s="196" t="s">
        <v>208</v>
      </c>
      <c r="I58" s="195" t="s">
        <v>373</v>
      </c>
      <c r="J58" s="195" t="s">
        <v>142</v>
      </c>
      <c r="K58" s="197"/>
      <c r="L58" s="197"/>
      <c r="N58" s="198"/>
      <c r="O58" s="198"/>
      <c r="P58" s="198"/>
      <c r="Q58" s="198"/>
      <c r="R58" s="198"/>
    </row>
    <row r="59" spans="1:18" s="105" customFormat="1" ht="15.75" customHeight="1">
      <c r="A59" s="684" t="s">
        <v>188</v>
      </c>
      <c r="B59" s="684"/>
      <c r="C59" s="159" t="s">
        <v>47</v>
      </c>
      <c r="D59" s="684" t="s">
        <v>12</v>
      </c>
      <c r="E59" s="686"/>
      <c r="F59" s="686"/>
      <c r="G59" s="159" t="s">
        <v>46</v>
      </c>
      <c r="H59" s="159" t="s">
        <v>374</v>
      </c>
      <c r="I59" s="159" t="s">
        <v>375</v>
      </c>
      <c r="J59" s="159" t="s">
        <v>332</v>
      </c>
      <c r="K59" s="684" t="s">
        <v>51</v>
      </c>
      <c r="L59" s="686"/>
      <c r="M59" s="126"/>
      <c r="N59" s="188"/>
      <c r="O59" s="385"/>
      <c r="P59" s="384"/>
      <c r="Q59" s="384"/>
      <c r="R59" s="198"/>
    </row>
    <row r="60" spans="1:18" ht="15.75" customHeight="1">
      <c r="A60" s="683">
        <v>5</v>
      </c>
      <c r="B60" s="684" t="s">
        <v>348</v>
      </c>
      <c r="C60" s="199">
        <v>1</v>
      </c>
      <c r="D60" s="679" t="s">
        <v>566</v>
      </c>
      <c r="E60" s="680"/>
      <c r="F60" s="680"/>
      <c r="G60" s="201">
        <v>17</v>
      </c>
      <c r="H60" s="201">
        <v>1790</v>
      </c>
      <c r="I60" s="202">
        <v>105.29411764705881</v>
      </c>
      <c r="J60" s="351">
        <f>I60-I34</f>
        <v>0</v>
      </c>
      <c r="K60" s="679" t="s">
        <v>427</v>
      </c>
      <c r="L60" s="680"/>
      <c r="O60" s="385"/>
      <c r="P60" s="384"/>
      <c r="Q60" s="384"/>
      <c r="R60" s="198"/>
    </row>
    <row r="61" spans="1:18" ht="15.75" customHeight="1">
      <c r="A61" s="683"/>
      <c r="B61" s="684"/>
      <c r="C61" s="199">
        <v>2</v>
      </c>
      <c r="D61" s="679" t="s">
        <v>649</v>
      </c>
      <c r="E61" s="680"/>
      <c r="F61" s="680"/>
      <c r="G61" s="201">
        <v>18</v>
      </c>
      <c r="H61" s="201">
        <v>1788.5137133238395</v>
      </c>
      <c r="I61" s="202">
        <v>99.361872962435527</v>
      </c>
      <c r="J61" s="351">
        <f>I61-I35</f>
        <v>-6.0317460317463656E-2</v>
      </c>
      <c r="K61" s="679" t="s">
        <v>427</v>
      </c>
      <c r="L61" s="680"/>
      <c r="O61" s="385"/>
      <c r="P61" s="384"/>
      <c r="Q61" s="384"/>
      <c r="R61" s="198"/>
    </row>
    <row r="62" spans="1:18" ht="15.75" customHeight="1">
      <c r="A62" s="683"/>
      <c r="B62" s="684"/>
      <c r="C62" s="199">
        <v>3</v>
      </c>
      <c r="D62" s="679" t="s">
        <v>473</v>
      </c>
      <c r="E62" s="680"/>
      <c r="F62" s="680"/>
      <c r="G62" s="201">
        <v>19</v>
      </c>
      <c r="H62" s="201">
        <v>1790</v>
      </c>
      <c r="I62" s="202">
        <v>94.21052631578948</v>
      </c>
      <c r="J62" s="351">
        <f>I62-I36</f>
        <v>0</v>
      </c>
      <c r="K62" s="679" t="s">
        <v>427</v>
      </c>
      <c r="L62" s="680"/>
      <c r="O62" s="385"/>
      <c r="P62" s="384"/>
      <c r="Q62" s="384"/>
      <c r="R62" s="198"/>
    </row>
    <row r="63" spans="1:18" ht="15.75" customHeight="1">
      <c r="A63" s="683"/>
      <c r="B63" s="684"/>
      <c r="C63" s="199">
        <v>4</v>
      </c>
      <c r="D63" s="679" t="s">
        <v>664</v>
      </c>
      <c r="E63" s="680"/>
      <c r="F63" s="680"/>
      <c r="G63" s="201">
        <v>20</v>
      </c>
      <c r="H63" s="201">
        <v>1790</v>
      </c>
      <c r="I63" s="202">
        <v>89.5</v>
      </c>
      <c r="J63" s="351">
        <f>I63-I37</f>
        <v>0</v>
      </c>
      <c r="K63" s="679" t="s">
        <v>427</v>
      </c>
      <c r="L63" s="680"/>
      <c r="O63" s="385"/>
      <c r="P63" s="384"/>
      <c r="Q63" s="384"/>
      <c r="R63" s="198"/>
    </row>
    <row r="64" spans="1:18" ht="15.75" customHeight="1">
      <c r="A64" s="683"/>
      <c r="B64" s="684"/>
      <c r="C64" s="199">
        <v>5</v>
      </c>
      <c r="D64" s="679" t="s">
        <v>343</v>
      </c>
      <c r="E64" s="680"/>
      <c r="F64" s="680"/>
      <c r="G64" s="201">
        <v>23</v>
      </c>
      <c r="H64" s="201">
        <v>1795.0132557002505</v>
      </c>
      <c r="I64" s="202">
        <v>78.044054595663056</v>
      </c>
      <c r="J64" s="351">
        <f>I64-I38</f>
        <v>1.4906832298123618E-2</v>
      </c>
      <c r="K64" s="679" t="s">
        <v>427</v>
      </c>
      <c r="L64" s="680"/>
      <c r="O64" s="385"/>
      <c r="P64" s="384"/>
      <c r="Q64" s="384"/>
      <c r="R64" s="198"/>
    </row>
    <row r="65" spans="1:18" ht="15.75" customHeight="1">
      <c r="A65" s="683"/>
      <c r="B65" s="684"/>
      <c r="C65" s="203" t="s">
        <v>204</v>
      </c>
      <c r="D65" s="679" t="s">
        <v>342</v>
      </c>
      <c r="E65" s="680"/>
      <c r="F65" s="680"/>
      <c r="G65" s="201">
        <v>24</v>
      </c>
      <c r="H65" s="201">
        <v>1789.0260157321027</v>
      </c>
      <c r="I65" s="202">
        <v>74.542750655504278</v>
      </c>
      <c r="J65" s="351">
        <f>I65-I40</f>
        <v>-4.7619047618994159E-2</v>
      </c>
      <c r="K65" s="679" t="s">
        <v>427</v>
      </c>
      <c r="L65" s="680"/>
      <c r="O65" s="198"/>
      <c r="P65" s="384"/>
      <c r="Q65" s="384"/>
      <c r="R65" s="198"/>
    </row>
    <row r="66" spans="1:18" ht="15.75" customHeight="1">
      <c r="A66" s="683"/>
      <c r="B66" s="684"/>
      <c r="C66" s="203" t="s">
        <v>209</v>
      </c>
      <c r="D66" s="679" t="s">
        <v>751</v>
      </c>
      <c r="E66" s="680"/>
      <c r="F66" s="680"/>
      <c r="G66" s="201">
        <v>21</v>
      </c>
      <c r="H66" s="201">
        <v>1593.4397803180686</v>
      </c>
      <c r="I66" s="202">
        <v>75.878084777050873</v>
      </c>
      <c r="J66" s="351">
        <f>I66-I39</f>
        <v>14.803675616067771</v>
      </c>
      <c r="K66" s="687" t="s">
        <v>826</v>
      </c>
      <c r="L66" s="680"/>
      <c r="O66" s="385"/>
      <c r="P66" s="384"/>
      <c r="Q66" s="384"/>
      <c r="R66" s="198"/>
    </row>
    <row r="67" spans="1:18" ht="15.75" customHeight="1">
      <c r="A67" s="683"/>
      <c r="B67" s="684"/>
      <c r="C67" s="203" t="s">
        <v>205</v>
      </c>
      <c r="D67" s="679" t="s">
        <v>341</v>
      </c>
      <c r="E67" s="680"/>
      <c r="F67" s="680"/>
      <c r="G67" s="201">
        <v>23</v>
      </c>
      <c r="H67" s="201">
        <v>1791.1952881066375</v>
      </c>
      <c r="I67" s="202">
        <v>77.878056004636392</v>
      </c>
      <c r="J67" s="351">
        <f>I67-I41</f>
        <v>7.5417984241468616E-2</v>
      </c>
      <c r="K67" s="679" t="s">
        <v>427</v>
      </c>
      <c r="L67" s="680"/>
      <c r="N67" s="177"/>
      <c r="O67" s="386"/>
      <c r="P67" s="383"/>
      <c r="Q67" s="383"/>
      <c r="R67" s="177"/>
    </row>
    <row r="68" spans="1:18" ht="15.75" customHeight="1">
      <c r="A68" s="683"/>
      <c r="B68" s="684"/>
      <c r="C68" s="203" t="s">
        <v>210</v>
      </c>
      <c r="D68" s="679" t="s">
        <v>349</v>
      </c>
      <c r="E68" s="680"/>
      <c r="F68" s="680"/>
      <c r="G68" s="201">
        <v>23</v>
      </c>
      <c r="H68" s="201">
        <v>1792.4464754263661</v>
      </c>
      <c r="I68" s="202">
        <v>77.932455453320273</v>
      </c>
      <c r="J68" s="351">
        <f>I68-I42</f>
        <v>4.3478260869520113E-2</v>
      </c>
      <c r="K68" s="679" t="s">
        <v>427</v>
      </c>
      <c r="L68" s="680"/>
      <c r="M68" s="98"/>
      <c r="O68" s="385"/>
      <c r="P68" s="384"/>
      <c r="Q68" s="384"/>
      <c r="R68" s="198"/>
    </row>
    <row r="69" spans="1:18" ht="15.75" customHeight="1">
      <c r="A69" s="683"/>
      <c r="B69" s="684"/>
      <c r="C69" s="203" t="s">
        <v>211</v>
      </c>
      <c r="D69" s="679"/>
      <c r="E69" s="680"/>
      <c r="F69" s="680"/>
      <c r="G69" s="201"/>
      <c r="H69" s="201"/>
      <c r="I69" s="202"/>
      <c r="J69" s="199"/>
      <c r="K69" s="679"/>
      <c r="L69" s="680"/>
      <c r="M69" s="98"/>
      <c r="O69" s="385"/>
      <c r="P69" s="384"/>
      <c r="Q69" s="384"/>
      <c r="R69" s="198"/>
    </row>
    <row r="70" spans="1:18" s="103" customFormat="1" ht="15.75" customHeight="1">
      <c r="A70" s="681" t="s">
        <v>188</v>
      </c>
      <c r="B70" s="681"/>
      <c r="C70" s="206" t="s">
        <v>47</v>
      </c>
      <c r="D70" s="681" t="s">
        <v>12</v>
      </c>
      <c r="E70" s="682"/>
      <c r="F70" s="682"/>
      <c r="G70" s="206" t="s">
        <v>46</v>
      </c>
      <c r="H70" s="206" t="s">
        <v>374</v>
      </c>
      <c r="I70" s="206" t="s">
        <v>375</v>
      </c>
      <c r="J70" s="159" t="s">
        <v>332</v>
      </c>
      <c r="K70" s="681" t="s">
        <v>51</v>
      </c>
      <c r="L70" s="682"/>
      <c r="M70" s="127"/>
      <c r="N70" s="188"/>
      <c r="O70" s="385"/>
      <c r="P70" s="384"/>
      <c r="Q70" s="384"/>
      <c r="R70" s="198"/>
    </row>
    <row r="71" spans="1:18" ht="15.75" customHeight="1">
      <c r="A71" s="683">
        <v>6</v>
      </c>
      <c r="B71" s="684" t="s">
        <v>136</v>
      </c>
      <c r="C71" s="199">
        <v>1</v>
      </c>
      <c r="D71" s="679" t="s">
        <v>580</v>
      </c>
      <c r="E71" s="680"/>
      <c r="F71" s="680"/>
      <c r="G71" s="199">
        <v>20</v>
      </c>
      <c r="H71" s="201">
        <v>1794.8884430108296</v>
      </c>
      <c r="I71" s="202">
        <v>89.744422150541482</v>
      </c>
      <c r="J71" s="351">
        <f t="shared" ref="J71:J76" si="1">I71-I45</f>
        <v>0.14714285714283903</v>
      </c>
      <c r="K71" s="679" t="s">
        <v>427</v>
      </c>
      <c r="L71" s="680"/>
      <c r="M71" s="98"/>
      <c r="N71" s="198"/>
      <c r="O71" s="198"/>
      <c r="P71" s="384"/>
      <c r="Q71" s="384"/>
      <c r="R71" s="198"/>
    </row>
    <row r="72" spans="1:18" ht="15.75" customHeight="1">
      <c r="A72" s="683"/>
      <c r="B72" s="684"/>
      <c r="C72" s="199">
        <v>2</v>
      </c>
      <c r="D72" s="679" t="s">
        <v>437</v>
      </c>
      <c r="E72" s="680"/>
      <c r="F72" s="680"/>
      <c r="G72" s="201">
        <v>20</v>
      </c>
      <c r="H72" s="201">
        <v>1791.0344031161947</v>
      </c>
      <c r="I72" s="202">
        <v>89.551720155809718</v>
      </c>
      <c r="J72" s="351">
        <f t="shared" si="1"/>
        <v>7.5714285714227003E-2</v>
      </c>
      <c r="K72" s="679" t="s">
        <v>427</v>
      </c>
      <c r="L72" s="680"/>
      <c r="M72" s="98"/>
      <c r="O72" s="198"/>
      <c r="P72" s="384"/>
      <c r="Q72" s="384"/>
      <c r="R72" s="198"/>
    </row>
    <row r="73" spans="1:18" ht="15.75" customHeight="1">
      <c r="A73" s="683"/>
      <c r="B73" s="684"/>
      <c r="C73" s="199">
        <v>3</v>
      </c>
      <c r="D73" s="679" t="s">
        <v>435</v>
      </c>
      <c r="E73" s="680"/>
      <c r="F73" s="680"/>
      <c r="G73" s="201">
        <v>22</v>
      </c>
      <c r="H73" s="201">
        <v>1791.608247778581</v>
      </c>
      <c r="I73" s="202">
        <v>81.436738535390063</v>
      </c>
      <c r="J73" s="351">
        <f t="shared" si="1"/>
        <v>7.4025974026000085E-2</v>
      </c>
      <c r="K73" s="679" t="s">
        <v>427</v>
      </c>
      <c r="L73" s="680"/>
      <c r="M73" s="98"/>
      <c r="O73" s="198"/>
      <c r="P73" s="384"/>
      <c r="Q73" s="384"/>
      <c r="R73" s="198"/>
    </row>
    <row r="74" spans="1:18" ht="15.75" customHeight="1">
      <c r="A74" s="683"/>
      <c r="B74" s="684"/>
      <c r="C74" s="199">
        <v>4</v>
      </c>
      <c r="D74" s="679" t="s">
        <v>433</v>
      </c>
      <c r="E74" s="680"/>
      <c r="F74" s="680"/>
      <c r="G74" s="199">
        <v>23</v>
      </c>
      <c r="H74" s="201">
        <v>1794.8290322028229</v>
      </c>
      <c r="I74" s="202">
        <v>78.036044878383606</v>
      </c>
      <c r="J74" s="351">
        <f t="shared" si="1"/>
        <v>-1.3664596273301299E-2</v>
      </c>
      <c r="K74" s="679" t="s">
        <v>427</v>
      </c>
      <c r="L74" s="680"/>
      <c r="M74" s="98"/>
      <c r="O74" s="198"/>
      <c r="P74" s="384"/>
      <c r="Q74" s="384"/>
      <c r="R74" s="198"/>
    </row>
    <row r="75" spans="1:18" ht="15.75" customHeight="1">
      <c r="A75" s="683"/>
      <c r="B75" s="684"/>
      <c r="C75" s="199">
        <v>5</v>
      </c>
      <c r="D75" s="679" t="s">
        <v>350</v>
      </c>
      <c r="E75" s="680"/>
      <c r="F75" s="680"/>
      <c r="G75" s="201">
        <v>23</v>
      </c>
      <c r="H75" s="201">
        <v>1793.1620868513201</v>
      </c>
      <c r="I75" s="202">
        <v>77.96356899353566</v>
      </c>
      <c r="J75" s="351">
        <f t="shared" si="1"/>
        <v>-1.739130434785352E-2</v>
      </c>
      <c r="K75" s="679" t="s">
        <v>427</v>
      </c>
      <c r="L75" s="680"/>
      <c r="M75" s="98"/>
      <c r="O75" s="198"/>
      <c r="P75" s="384"/>
      <c r="Q75" s="384"/>
      <c r="R75" s="198"/>
    </row>
    <row r="76" spans="1:18" ht="15.75" customHeight="1">
      <c r="A76" s="683"/>
      <c r="B76" s="684"/>
      <c r="C76" s="203" t="s">
        <v>204</v>
      </c>
      <c r="D76" s="679" t="s">
        <v>508</v>
      </c>
      <c r="E76" s="680"/>
      <c r="F76" s="680"/>
      <c r="G76" s="199">
        <v>25</v>
      </c>
      <c r="H76" s="201">
        <v>1791.614593548127</v>
      </c>
      <c r="I76" s="202">
        <v>71.6645837419251</v>
      </c>
      <c r="J76" s="351">
        <f t="shared" si="1"/>
        <v>3.0857142857158237E-2</v>
      </c>
      <c r="K76" s="679" t="s">
        <v>427</v>
      </c>
      <c r="L76" s="680"/>
      <c r="M76" s="98"/>
      <c r="O76" s="198"/>
      <c r="P76" s="384"/>
      <c r="Q76" s="384"/>
      <c r="R76" s="198"/>
    </row>
    <row r="77" spans="1:18" ht="15.75" customHeight="1">
      <c r="A77" s="683"/>
      <c r="B77" s="684"/>
      <c r="C77" s="203" t="s">
        <v>209</v>
      </c>
      <c r="D77" s="679" t="s">
        <v>710</v>
      </c>
      <c r="E77" s="680"/>
      <c r="F77" s="680"/>
      <c r="G77" s="199">
        <v>24</v>
      </c>
      <c r="H77" s="201">
        <v>1787.770488950031</v>
      </c>
      <c r="I77" s="202">
        <v>74.49043703958462</v>
      </c>
      <c r="J77" s="351"/>
      <c r="K77" s="679" t="s">
        <v>427</v>
      </c>
      <c r="L77" s="680"/>
      <c r="M77" s="98"/>
      <c r="O77" s="198"/>
      <c r="P77" s="384"/>
      <c r="Q77" s="384"/>
      <c r="R77" s="198"/>
    </row>
    <row r="78" spans="1:18" ht="15.75" customHeight="1">
      <c r="A78" s="683"/>
      <c r="B78" s="684"/>
      <c r="C78" s="203" t="s">
        <v>205</v>
      </c>
      <c r="D78" s="679" t="s">
        <v>351</v>
      </c>
      <c r="E78" s="680"/>
      <c r="F78" s="680"/>
      <c r="G78" s="199">
        <v>24</v>
      </c>
      <c r="H78" s="201">
        <v>1796.0116725059713</v>
      </c>
      <c r="I78" s="202">
        <v>74.8338196877488</v>
      </c>
      <c r="J78" s="351">
        <f>I78-I51</f>
        <v>0.28608505536259088</v>
      </c>
      <c r="K78" s="679" t="s">
        <v>427</v>
      </c>
      <c r="L78" s="680"/>
      <c r="M78" s="98"/>
      <c r="O78" s="198"/>
      <c r="P78" s="384"/>
      <c r="Q78" s="384"/>
      <c r="R78" s="198"/>
    </row>
    <row r="79" spans="1:18" ht="15.75" customHeight="1">
      <c r="A79" s="683"/>
      <c r="B79" s="684"/>
      <c r="C79" s="203" t="s">
        <v>210</v>
      </c>
      <c r="D79" s="679" t="s">
        <v>352</v>
      </c>
      <c r="E79" s="680"/>
      <c r="F79" s="680"/>
      <c r="G79" s="199">
        <v>23</v>
      </c>
      <c r="H79" s="201">
        <v>1792.7094895686553</v>
      </c>
      <c r="I79" s="202">
        <v>77.943890850811087</v>
      </c>
      <c r="J79" s="351">
        <f>I79-I52</f>
        <v>3.0529283059194796</v>
      </c>
      <c r="K79" s="679" t="s">
        <v>427</v>
      </c>
      <c r="L79" s="680"/>
      <c r="M79" s="98"/>
      <c r="O79" s="198"/>
      <c r="P79" s="384"/>
      <c r="Q79" s="384"/>
      <c r="R79" s="198"/>
    </row>
    <row r="80" spans="1:18" ht="15.75" customHeight="1">
      <c r="A80" s="683"/>
      <c r="B80" s="684"/>
      <c r="C80" s="203" t="s">
        <v>211</v>
      </c>
      <c r="D80" s="679"/>
      <c r="E80" s="680"/>
      <c r="F80" s="680"/>
      <c r="G80" s="199"/>
      <c r="H80" s="201"/>
      <c r="I80" s="202"/>
      <c r="J80" s="351"/>
      <c r="K80" s="679"/>
      <c r="L80" s="680"/>
      <c r="M80" s="98"/>
      <c r="O80" s="198"/>
      <c r="P80" s="384"/>
      <c r="Q80" s="384"/>
      <c r="R80" s="198"/>
    </row>
    <row r="81" spans="1:19" s="188" customFormat="1" ht="15.75" customHeight="1">
      <c r="A81" s="685" t="s">
        <v>851</v>
      </c>
      <c r="B81" s="685"/>
      <c r="C81" s="685"/>
      <c r="D81" s="685"/>
      <c r="E81" s="685"/>
      <c r="F81" s="685"/>
      <c r="G81" s="685"/>
      <c r="H81" s="685"/>
      <c r="I81" s="685"/>
      <c r="J81" s="685"/>
      <c r="K81" s="685"/>
      <c r="L81" s="685"/>
    </row>
    <row r="82" spans="1:19" s="189" customFormat="1" ht="15.75" customHeight="1">
      <c r="A82" s="685"/>
      <c r="B82" s="685"/>
      <c r="C82" s="685"/>
      <c r="D82" s="685"/>
      <c r="E82" s="685"/>
      <c r="F82" s="685"/>
      <c r="G82" s="685"/>
      <c r="H82" s="685"/>
      <c r="I82" s="685"/>
      <c r="J82" s="685"/>
      <c r="K82" s="685"/>
      <c r="L82" s="685"/>
    </row>
    <row r="83" spans="1:19" s="105" customFormat="1" ht="15.75" customHeight="1">
      <c r="A83" s="694" t="s">
        <v>162</v>
      </c>
      <c r="B83" s="169">
        <v>1</v>
      </c>
      <c r="C83" s="169">
        <v>2</v>
      </c>
      <c r="D83" s="169">
        <v>3</v>
      </c>
      <c r="E83" s="169">
        <v>4</v>
      </c>
      <c r="F83" s="190">
        <v>5</v>
      </c>
      <c r="G83" s="190">
        <v>6</v>
      </c>
      <c r="H83" s="169">
        <v>7</v>
      </c>
      <c r="I83" s="169">
        <v>8</v>
      </c>
      <c r="J83" s="169">
        <v>9</v>
      </c>
      <c r="K83" s="191"/>
      <c r="L83" s="191"/>
      <c r="M83" s="192"/>
      <c r="N83" s="178"/>
      <c r="O83" s="178"/>
      <c r="P83" s="178"/>
      <c r="Q83" s="178"/>
      <c r="R83" s="178"/>
      <c r="S83" s="177"/>
    </row>
    <row r="84" spans="1:19" ht="15.75" customHeight="1">
      <c r="A84" s="696"/>
      <c r="B84" s="194" t="s">
        <v>206</v>
      </c>
      <c r="C84" s="194" t="s">
        <v>155</v>
      </c>
      <c r="D84" s="194" t="s">
        <v>207</v>
      </c>
      <c r="E84" s="194" t="s">
        <v>156</v>
      </c>
      <c r="F84" s="193" t="s">
        <v>348</v>
      </c>
      <c r="G84" s="208" t="s">
        <v>136</v>
      </c>
      <c r="H84" s="196" t="s">
        <v>208</v>
      </c>
      <c r="I84" s="195" t="s">
        <v>373</v>
      </c>
      <c r="J84" s="195" t="s">
        <v>142</v>
      </c>
      <c r="K84" s="197"/>
      <c r="L84" s="197"/>
      <c r="M84" s="189"/>
      <c r="N84" s="178"/>
      <c r="O84" s="178"/>
      <c r="P84" s="178"/>
      <c r="Q84" s="178"/>
      <c r="R84" s="178"/>
      <c r="S84" s="188"/>
    </row>
    <row r="85" spans="1:19" s="105" customFormat="1" ht="14.25">
      <c r="A85" s="700" t="s">
        <v>188</v>
      </c>
      <c r="B85" s="701"/>
      <c r="C85" s="159" t="s">
        <v>47</v>
      </c>
      <c r="D85" s="700" t="s">
        <v>12</v>
      </c>
      <c r="E85" s="702"/>
      <c r="F85" s="701"/>
      <c r="G85" s="159" t="s">
        <v>46</v>
      </c>
      <c r="H85" s="159" t="s">
        <v>374</v>
      </c>
      <c r="I85" s="159" t="s">
        <v>375</v>
      </c>
      <c r="J85" s="159" t="s">
        <v>332</v>
      </c>
      <c r="K85" s="700" t="s">
        <v>51</v>
      </c>
      <c r="L85" s="701"/>
      <c r="M85" s="192"/>
      <c r="N85" s="178"/>
      <c r="O85" s="519"/>
      <c r="P85" s="519"/>
      <c r="Q85" s="519"/>
      <c r="R85" s="178"/>
      <c r="S85" s="177"/>
    </row>
    <row r="86" spans="1:19" ht="13.5">
      <c r="A86" s="694">
        <v>5</v>
      </c>
      <c r="B86" s="697" t="s">
        <v>348</v>
      </c>
      <c r="C86" s="199">
        <v>1</v>
      </c>
      <c r="D86" s="679" t="s">
        <v>566</v>
      </c>
      <c r="E86" s="680"/>
      <c r="F86" s="680"/>
      <c r="G86" s="201">
        <v>17</v>
      </c>
      <c r="H86" s="201">
        <v>1790</v>
      </c>
      <c r="I86" s="202">
        <v>105.29411764705881</v>
      </c>
      <c r="J86" s="351">
        <f>I86-I60</f>
        <v>0</v>
      </c>
      <c r="K86" s="679" t="s">
        <v>427</v>
      </c>
      <c r="L86" s="680"/>
      <c r="N86" s="178"/>
      <c r="O86" s="178"/>
      <c r="P86" s="520"/>
      <c r="Q86" s="520"/>
      <c r="R86" s="178"/>
      <c r="S86" s="188"/>
    </row>
    <row r="87" spans="1:19" ht="13.5">
      <c r="A87" s="695"/>
      <c r="B87" s="698"/>
      <c r="C87" s="199">
        <v>2</v>
      </c>
      <c r="D87" s="679" t="s">
        <v>473</v>
      </c>
      <c r="E87" s="680"/>
      <c r="F87" s="680"/>
      <c r="G87" s="201">
        <v>19</v>
      </c>
      <c r="H87" s="201">
        <v>1790.0571428571427</v>
      </c>
      <c r="I87" s="202">
        <v>94.213533834586471</v>
      </c>
      <c r="J87" s="351">
        <f>I87-I62</f>
        <v>3.0075187969913486E-3</v>
      </c>
      <c r="K87" s="679" t="s">
        <v>427</v>
      </c>
      <c r="L87" s="680"/>
      <c r="N87" s="178"/>
      <c r="O87" s="178"/>
      <c r="P87" s="520"/>
      <c r="Q87" s="520"/>
      <c r="R87" s="178"/>
      <c r="S87" s="188"/>
    </row>
    <row r="88" spans="1:19" ht="13.5">
      <c r="A88" s="695"/>
      <c r="B88" s="698"/>
      <c r="C88" s="199">
        <v>3</v>
      </c>
      <c r="D88" s="679" t="s">
        <v>664</v>
      </c>
      <c r="E88" s="680"/>
      <c r="F88" s="680"/>
      <c r="G88" s="201">
        <v>20</v>
      </c>
      <c r="H88" s="201">
        <v>1790.0571428571427</v>
      </c>
      <c r="I88" s="202">
        <v>89.502857142857138</v>
      </c>
      <c r="J88" s="351">
        <f>I88-I63</f>
        <v>2.8571428571382285E-3</v>
      </c>
      <c r="K88" s="679" t="s">
        <v>427</v>
      </c>
      <c r="L88" s="680"/>
      <c r="N88" s="178"/>
      <c r="O88" s="178"/>
      <c r="P88" s="520"/>
      <c r="Q88" s="520"/>
      <c r="R88" s="178"/>
      <c r="S88" s="188"/>
    </row>
    <row r="89" spans="1:19" ht="13.5">
      <c r="A89" s="695"/>
      <c r="B89" s="698"/>
      <c r="C89" s="199">
        <v>4</v>
      </c>
      <c r="D89" s="679" t="s">
        <v>343</v>
      </c>
      <c r="E89" s="680"/>
      <c r="F89" s="680"/>
      <c r="G89" s="201">
        <v>23</v>
      </c>
      <c r="H89" s="201">
        <v>1796.4703985573926</v>
      </c>
      <c r="I89" s="202">
        <v>78.107408632930102</v>
      </c>
      <c r="J89" s="351">
        <f>I89-I64</f>
        <v>6.3354037267046692E-2</v>
      </c>
      <c r="K89" s="679" t="s">
        <v>427</v>
      </c>
      <c r="L89" s="680"/>
      <c r="N89" s="178"/>
      <c r="O89" s="178"/>
      <c r="P89" s="520"/>
      <c r="Q89" s="520"/>
      <c r="R89" s="178"/>
      <c r="S89" s="188"/>
    </row>
    <row r="90" spans="1:19" ht="13.5">
      <c r="A90" s="695"/>
      <c r="B90" s="698"/>
      <c r="C90" s="199">
        <v>5</v>
      </c>
      <c r="D90" s="679" t="s">
        <v>349</v>
      </c>
      <c r="E90" s="680"/>
      <c r="F90" s="680"/>
      <c r="G90" s="201">
        <v>23</v>
      </c>
      <c r="H90" s="201">
        <v>1794.0692793597937</v>
      </c>
      <c r="I90" s="202">
        <v>78.003012146077978</v>
      </c>
      <c r="J90" s="351">
        <f>I90-I68</f>
        <v>7.0556692757705264E-2</v>
      </c>
      <c r="K90" s="679" t="s">
        <v>427</v>
      </c>
      <c r="L90" s="680"/>
      <c r="N90" s="178"/>
      <c r="O90" s="178"/>
      <c r="P90" s="520"/>
      <c r="Q90" s="520"/>
      <c r="R90" s="178"/>
      <c r="S90" s="188"/>
    </row>
    <row r="91" spans="1:19" ht="13.5">
      <c r="A91" s="695"/>
      <c r="B91" s="698"/>
      <c r="C91" s="203" t="s">
        <v>204</v>
      </c>
      <c r="D91" s="679" t="s">
        <v>342</v>
      </c>
      <c r="E91" s="680"/>
      <c r="F91" s="680"/>
      <c r="G91" s="201">
        <v>24</v>
      </c>
      <c r="H91" s="201">
        <v>1790.1686175007592</v>
      </c>
      <c r="I91" s="202">
        <v>74.590359062531633</v>
      </c>
      <c r="J91" s="351">
        <f>I91-I65</f>
        <v>4.760840702735436E-2</v>
      </c>
      <c r="K91" s="679" t="s">
        <v>427</v>
      </c>
      <c r="L91" s="680"/>
      <c r="N91" s="178"/>
      <c r="O91" s="178"/>
      <c r="P91" s="520"/>
      <c r="Q91" s="520"/>
      <c r="R91" s="178"/>
      <c r="S91" s="188"/>
    </row>
    <row r="92" spans="1:19" ht="13.5">
      <c r="A92" s="695"/>
      <c r="B92" s="698"/>
      <c r="C92" s="203" t="s">
        <v>209</v>
      </c>
      <c r="D92" s="679" t="s">
        <v>751</v>
      </c>
      <c r="E92" s="680"/>
      <c r="F92" s="680"/>
      <c r="G92" s="201">
        <v>21</v>
      </c>
      <c r="H92" s="201">
        <v>1622.5638793313556</v>
      </c>
      <c r="I92" s="202">
        <v>77.264946634826444</v>
      </c>
      <c r="J92" s="351">
        <f>I92-I66</f>
        <v>1.3868618577755711</v>
      </c>
      <c r="K92" s="679" t="s">
        <v>427</v>
      </c>
      <c r="L92" s="680"/>
      <c r="N92" s="178"/>
      <c r="O92" s="178"/>
      <c r="P92" s="520"/>
      <c r="Q92" s="520"/>
      <c r="R92" s="178"/>
      <c r="S92" s="188"/>
    </row>
    <row r="93" spans="1:19" ht="13.5">
      <c r="A93" s="695"/>
      <c r="B93" s="698"/>
      <c r="C93" s="203" t="s">
        <v>205</v>
      </c>
      <c r="D93" s="679" t="s">
        <v>341</v>
      </c>
      <c r="E93" s="680"/>
      <c r="F93" s="680"/>
      <c r="G93" s="201">
        <v>23</v>
      </c>
      <c r="H93" s="201">
        <v>1794.0305816075384</v>
      </c>
      <c r="I93" s="202">
        <v>78.001329635110352</v>
      </c>
      <c r="J93" s="351">
        <f>I93-I67</f>
        <v>0.12327363047396034</v>
      </c>
      <c r="K93" s="679" t="s">
        <v>427</v>
      </c>
      <c r="L93" s="680"/>
      <c r="N93" s="178"/>
      <c r="O93" s="178"/>
      <c r="P93" s="520"/>
      <c r="Q93" s="520"/>
      <c r="R93" s="178"/>
      <c r="S93" s="188"/>
    </row>
    <row r="94" spans="1:19" ht="13.5">
      <c r="A94" s="695"/>
      <c r="B94" s="698"/>
      <c r="C94" s="203" t="s">
        <v>210</v>
      </c>
      <c r="D94" s="679"/>
      <c r="E94" s="680"/>
      <c r="F94" s="680"/>
      <c r="G94" s="201"/>
      <c r="H94" s="201"/>
      <c r="I94" s="202"/>
      <c r="J94" s="351"/>
      <c r="K94" s="688"/>
      <c r="L94" s="690"/>
      <c r="M94" s="98"/>
      <c r="N94" s="178"/>
      <c r="O94" s="178"/>
      <c r="P94" s="520"/>
      <c r="Q94" s="520"/>
      <c r="R94" s="178"/>
      <c r="S94" s="188"/>
    </row>
    <row r="95" spans="1:19" ht="13.5">
      <c r="A95" s="696"/>
      <c r="B95" s="699"/>
      <c r="C95" s="203" t="s">
        <v>211</v>
      </c>
      <c r="D95" s="679"/>
      <c r="E95" s="680"/>
      <c r="F95" s="680"/>
      <c r="G95" s="201"/>
      <c r="H95" s="201"/>
      <c r="I95" s="202"/>
      <c r="J95" s="199"/>
      <c r="K95" s="688"/>
      <c r="L95" s="690"/>
      <c r="M95" s="98"/>
      <c r="N95" s="178"/>
      <c r="O95" s="178"/>
      <c r="P95" s="520"/>
      <c r="Q95" s="520"/>
      <c r="R95" s="178"/>
      <c r="S95" s="188"/>
    </row>
    <row r="96" spans="1:19" s="103" customFormat="1" ht="14.25">
      <c r="A96" s="691" t="s">
        <v>188</v>
      </c>
      <c r="B96" s="692"/>
      <c r="C96" s="206" t="s">
        <v>47</v>
      </c>
      <c r="D96" s="681" t="s">
        <v>12</v>
      </c>
      <c r="E96" s="682"/>
      <c r="F96" s="682"/>
      <c r="G96" s="206" t="s">
        <v>46</v>
      </c>
      <c r="H96" s="206" t="s">
        <v>374</v>
      </c>
      <c r="I96" s="206" t="s">
        <v>375</v>
      </c>
      <c r="J96" s="159" t="s">
        <v>332</v>
      </c>
      <c r="K96" s="691" t="s">
        <v>51</v>
      </c>
      <c r="L96" s="692"/>
      <c r="M96" s="127"/>
      <c r="N96" s="178"/>
      <c r="O96" s="178"/>
      <c r="P96" s="520"/>
      <c r="Q96" s="520"/>
      <c r="R96" s="178"/>
      <c r="S96" s="198"/>
    </row>
    <row r="97" spans="1:19" ht="13.5">
      <c r="A97" s="694">
        <v>6</v>
      </c>
      <c r="B97" s="697" t="s">
        <v>136</v>
      </c>
      <c r="C97" s="199">
        <v>1</v>
      </c>
      <c r="D97" s="679" t="s">
        <v>580</v>
      </c>
      <c r="E97" s="680"/>
      <c r="F97" s="680"/>
      <c r="G97" s="199">
        <v>20</v>
      </c>
      <c r="H97" s="201">
        <v>1798.3171061240866</v>
      </c>
      <c r="I97" s="202">
        <v>89.915855306204335</v>
      </c>
      <c r="J97" s="351">
        <f t="shared" ref="J97:J102" si="2">I97-I71</f>
        <v>0.17143315566285366</v>
      </c>
      <c r="K97" s="679" t="s">
        <v>427</v>
      </c>
      <c r="L97" s="680"/>
      <c r="M97" s="98"/>
      <c r="N97" s="178"/>
      <c r="O97" s="178"/>
      <c r="P97" s="520"/>
      <c r="Q97" s="520"/>
      <c r="R97" s="178"/>
      <c r="S97" s="188"/>
    </row>
    <row r="98" spans="1:19" ht="13.5">
      <c r="A98" s="695"/>
      <c r="B98" s="698"/>
      <c r="C98" s="199">
        <v>2</v>
      </c>
      <c r="D98" s="679" t="s">
        <v>437</v>
      </c>
      <c r="E98" s="680"/>
      <c r="F98" s="680"/>
      <c r="G98" s="201">
        <v>20</v>
      </c>
      <c r="H98" s="201">
        <v>1792.8174138417053</v>
      </c>
      <c r="I98" s="202">
        <v>89.640870692085272</v>
      </c>
      <c r="J98" s="351">
        <f t="shared" si="2"/>
        <v>8.9150536275553804E-2</v>
      </c>
      <c r="K98" s="679" t="s">
        <v>427</v>
      </c>
      <c r="L98" s="680"/>
      <c r="M98" s="98"/>
      <c r="N98" s="178"/>
      <c r="O98" s="178"/>
      <c r="P98" s="520"/>
      <c r="Q98" s="520"/>
      <c r="R98" s="178"/>
      <c r="S98" s="188"/>
    </row>
    <row r="99" spans="1:19" ht="13.5">
      <c r="A99" s="695"/>
      <c r="B99" s="698"/>
      <c r="C99" s="199">
        <v>3</v>
      </c>
      <c r="D99" s="679" t="s">
        <v>435</v>
      </c>
      <c r="E99" s="680"/>
      <c r="F99" s="680"/>
      <c r="G99" s="201">
        <v>22</v>
      </c>
      <c r="H99" s="201">
        <v>1793.2031372595541</v>
      </c>
      <c r="I99" s="202">
        <v>81.509233511797916</v>
      </c>
      <c r="J99" s="351">
        <f t="shared" si="2"/>
        <v>7.2494976407853073E-2</v>
      </c>
      <c r="K99" s="679" t="s">
        <v>427</v>
      </c>
      <c r="L99" s="680"/>
      <c r="M99" s="98"/>
      <c r="N99" s="178"/>
      <c r="O99" s="178"/>
      <c r="P99" s="520"/>
      <c r="Q99" s="520"/>
      <c r="R99" s="178"/>
      <c r="S99" s="188"/>
    </row>
    <row r="100" spans="1:19" ht="13.5">
      <c r="A100" s="695"/>
      <c r="B100" s="698"/>
      <c r="C100" s="199">
        <v>4</v>
      </c>
      <c r="D100" s="679" t="s">
        <v>433</v>
      </c>
      <c r="E100" s="680"/>
      <c r="F100" s="680"/>
      <c r="G100" s="199">
        <v>23</v>
      </c>
      <c r="H100" s="201">
        <v>1795.4290322028223</v>
      </c>
      <c r="I100" s="202">
        <v>78.06213183490533</v>
      </c>
      <c r="J100" s="351">
        <f t="shared" si="2"/>
        <v>2.6086956521723437E-2</v>
      </c>
      <c r="K100" s="679" t="s">
        <v>427</v>
      </c>
      <c r="L100" s="680"/>
      <c r="M100" s="98"/>
      <c r="N100" s="178"/>
      <c r="O100" s="178"/>
      <c r="P100" s="520"/>
      <c r="Q100" s="520"/>
      <c r="R100" s="178"/>
      <c r="S100" s="188"/>
    </row>
    <row r="101" spans="1:19" ht="13.5">
      <c r="A101" s="695"/>
      <c r="B101" s="698"/>
      <c r="C101" s="199">
        <v>5</v>
      </c>
      <c r="D101" s="679" t="s">
        <v>350</v>
      </c>
      <c r="E101" s="680"/>
      <c r="F101" s="680"/>
      <c r="G101" s="201">
        <v>23</v>
      </c>
      <c r="H101" s="201">
        <v>1793.6698825135747</v>
      </c>
      <c r="I101" s="202">
        <v>77.985647065807584</v>
      </c>
      <c r="J101" s="351">
        <f t="shared" si="2"/>
        <v>2.2078072271924043E-2</v>
      </c>
      <c r="K101" s="679" t="s">
        <v>427</v>
      </c>
      <c r="L101" s="680"/>
      <c r="M101" s="98"/>
      <c r="N101" s="178"/>
      <c r="O101" s="178"/>
      <c r="P101" s="520"/>
      <c r="Q101" s="520"/>
      <c r="R101" s="178"/>
      <c r="S101" s="188"/>
    </row>
    <row r="102" spans="1:19" ht="13.5">
      <c r="A102" s="695"/>
      <c r="B102" s="698"/>
      <c r="C102" s="203" t="s">
        <v>204</v>
      </c>
      <c r="D102" s="679" t="s">
        <v>508</v>
      </c>
      <c r="E102" s="680"/>
      <c r="F102" s="680"/>
      <c r="G102" s="199">
        <v>25</v>
      </c>
      <c r="H102" s="201">
        <v>1792.8689429579988</v>
      </c>
      <c r="I102" s="202">
        <v>71.714757718319945</v>
      </c>
      <c r="J102" s="351">
        <f t="shared" si="2"/>
        <v>5.0173976394844999E-2</v>
      </c>
      <c r="K102" s="679" t="s">
        <v>427</v>
      </c>
      <c r="L102" s="680"/>
      <c r="M102" s="98"/>
      <c r="N102" s="178"/>
      <c r="O102" s="178"/>
      <c r="P102" s="520"/>
      <c r="Q102" s="520"/>
      <c r="R102" s="178"/>
      <c r="S102" s="188"/>
    </row>
    <row r="103" spans="1:19" ht="15">
      <c r="A103" s="695"/>
      <c r="B103" s="698"/>
      <c r="C103" s="203" t="s">
        <v>209</v>
      </c>
      <c r="D103" s="679" t="s">
        <v>351</v>
      </c>
      <c r="E103" s="680"/>
      <c r="F103" s="680"/>
      <c r="G103" s="199">
        <v>24.142857142857142</v>
      </c>
      <c r="H103" s="201">
        <v>1796.5831010774011</v>
      </c>
      <c r="I103" s="202">
        <v>74.429864527628382</v>
      </c>
      <c r="J103" s="351">
        <f>I103-I78</f>
        <v>-0.4039551601204181</v>
      </c>
      <c r="K103" s="687" t="s">
        <v>867</v>
      </c>
      <c r="L103" s="680"/>
      <c r="M103" s="98"/>
      <c r="N103" s="178"/>
      <c r="O103" s="178"/>
      <c r="P103" s="520"/>
      <c r="Q103" s="520"/>
      <c r="R103" s="178"/>
      <c r="S103" s="188"/>
    </row>
    <row r="104" spans="1:19" ht="13.5">
      <c r="A104" s="695"/>
      <c r="B104" s="698"/>
      <c r="C104" s="203" t="s">
        <v>205</v>
      </c>
      <c r="D104" s="679" t="s">
        <v>710</v>
      </c>
      <c r="E104" s="680"/>
      <c r="F104" s="680"/>
      <c r="G104" s="199">
        <v>24</v>
      </c>
      <c r="H104" s="201">
        <v>1791.4285780993446</v>
      </c>
      <c r="I104" s="202">
        <v>74.64285742080601</v>
      </c>
      <c r="J104" s="351">
        <f>I104-I77</f>
        <v>0.15242038122138979</v>
      </c>
      <c r="K104" s="679" t="s">
        <v>427</v>
      </c>
      <c r="L104" s="680"/>
      <c r="M104" s="98"/>
      <c r="N104" s="178"/>
      <c r="O104" s="178"/>
      <c r="P104" s="520"/>
      <c r="Q104" s="520"/>
      <c r="R104" s="178"/>
      <c r="S104" s="188"/>
    </row>
    <row r="105" spans="1:19" ht="13.5">
      <c r="A105" s="695"/>
      <c r="B105" s="698"/>
      <c r="C105" s="203" t="s">
        <v>210</v>
      </c>
      <c r="D105" s="679" t="s">
        <v>352</v>
      </c>
      <c r="E105" s="680"/>
      <c r="F105" s="680"/>
      <c r="G105" s="199">
        <v>23</v>
      </c>
      <c r="H105" s="201">
        <v>1793.388976718207</v>
      </c>
      <c r="I105" s="202">
        <v>77.973433770356806</v>
      </c>
      <c r="J105" s="351">
        <f>I105-I79</f>
        <v>2.954291954571886E-2</v>
      </c>
      <c r="K105" s="679" t="s">
        <v>427</v>
      </c>
      <c r="L105" s="680"/>
      <c r="M105" s="98"/>
      <c r="N105" s="178"/>
      <c r="O105" s="178"/>
      <c r="P105" s="520"/>
      <c r="Q105" s="520"/>
      <c r="R105" s="178"/>
      <c r="S105" s="188"/>
    </row>
    <row r="106" spans="1:19" ht="13.5">
      <c r="A106" s="696"/>
      <c r="B106" s="699"/>
      <c r="C106" s="203" t="s">
        <v>211</v>
      </c>
      <c r="D106" s="688"/>
      <c r="E106" s="689"/>
      <c r="F106" s="690"/>
      <c r="G106" s="199"/>
      <c r="H106" s="201"/>
      <c r="I106" s="202"/>
      <c r="J106" s="351"/>
      <c r="K106" s="688"/>
      <c r="L106" s="690"/>
      <c r="M106" s="98"/>
      <c r="N106" s="178"/>
      <c r="O106" s="178"/>
      <c r="P106" s="520"/>
      <c r="Q106" s="520"/>
      <c r="R106" s="178"/>
      <c r="S106" s="188"/>
    </row>
    <row r="107" spans="1:19" s="188" customFormat="1" ht="15.75" customHeight="1">
      <c r="A107" s="685" t="s">
        <v>852</v>
      </c>
      <c r="B107" s="685"/>
      <c r="C107" s="685"/>
      <c r="D107" s="685"/>
      <c r="E107" s="685"/>
      <c r="F107" s="685"/>
      <c r="G107" s="685"/>
      <c r="H107" s="685"/>
      <c r="I107" s="685"/>
      <c r="J107" s="685"/>
      <c r="K107" s="685"/>
      <c r="L107" s="685"/>
    </row>
    <row r="108" spans="1:19" s="189" customFormat="1" ht="15.75" customHeight="1">
      <c r="A108" s="685"/>
      <c r="B108" s="685"/>
      <c r="C108" s="685"/>
      <c r="D108" s="685"/>
      <c r="E108" s="685"/>
      <c r="F108" s="685"/>
      <c r="G108" s="685"/>
      <c r="H108" s="685"/>
      <c r="I108" s="685"/>
      <c r="J108" s="685"/>
      <c r="K108" s="685"/>
      <c r="L108" s="685"/>
    </row>
    <row r="109" spans="1:19" s="105" customFormat="1" ht="15.75" customHeight="1">
      <c r="A109" s="694" t="s">
        <v>162</v>
      </c>
      <c r="B109" s="169">
        <v>1</v>
      </c>
      <c r="C109" s="169">
        <v>2</v>
      </c>
      <c r="D109" s="169">
        <v>3</v>
      </c>
      <c r="E109" s="169">
        <v>4</v>
      </c>
      <c r="F109" s="190">
        <v>5</v>
      </c>
      <c r="G109" s="190">
        <v>6</v>
      </c>
      <c r="H109" s="169">
        <v>7</v>
      </c>
      <c r="I109" s="169">
        <v>8</v>
      </c>
      <c r="J109" s="169">
        <v>9</v>
      </c>
      <c r="K109" s="191"/>
      <c r="L109" s="191"/>
      <c r="M109" s="192"/>
      <c r="N109" s="178"/>
      <c r="O109" s="178"/>
      <c r="P109" s="178"/>
      <c r="Q109" s="178"/>
      <c r="R109" s="178"/>
      <c r="S109" s="177"/>
    </row>
    <row r="110" spans="1:19" ht="15.75" customHeight="1">
      <c r="A110" s="696"/>
      <c r="B110" s="194" t="s">
        <v>206</v>
      </c>
      <c r="C110" s="194" t="s">
        <v>155</v>
      </c>
      <c r="D110" s="194" t="s">
        <v>207</v>
      </c>
      <c r="E110" s="194" t="s">
        <v>156</v>
      </c>
      <c r="F110" s="193" t="s">
        <v>348</v>
      </c>
      <c r="G110" s="208" t="s">
        <v>136</v>
      </c>
      <c r="H110" s="196" t="s">
        <v>208</v>
      </c>
      <c r="I110" s="195" t="s">
        <v>373</v>
      </c>
      <c r="J110" s="195" t="s">
        <v>142</v>
      </c>
      <c r="K110" s="197"/>
      <c r="L110" s="197"/>
      <c r="M110" s="189"/>
      <c r="N110" s="178"/>
      <c r="O110" s="178"/>
      <c r="P110" s="178"/>
      <c r="Q110" s="178"/>
      <c r="R110" s="178"/>
      <c r="S110" s="188"/>
    </row>
    <row r="111" spans="1:19" s="105" customFormat="1" ht="14.25">
      <c r="A111" s="700" t="s">
        <v>188</v>
      </c>
      <c r="B111" s="701"/>
      <c r="C111" s="159" t="s">
        <v>47</v>
      </c>
      <c r="D111" s="700" t="s">
        <v>12</v>
      </c>
      <c r="E111" s="702"/>
      <c r="F111" s="701"/>
      <c r="G111" s="159" t="s">
        <v>46</v>
      </c>
      <c r="H111" s="159" t="s">
        <v>374</v>
      </c>
      <c r="I111" s="159" t="s">
        <v>375</v>
      </c>
      <c r="J111" s="159" t="s">
        <v>332</v>
      </c>
      <c r="K111" s="700" t="s">
        <v>51</v>
      </c>
      <c r="L111" s="701"/>
      <c r="M111" s="192"/>
      <c r="N111" s="178"/>
      <c r="O111" s="519"/>
      <c r="P111" s="519"/>
      <c r="Q111" s="519"/>
      <c r="R111" s="178"/>
      <c r="S111" s="177"/>
    </row>
    <row r="112" spans="1:19" ht="13.5">
      <c r="A112" s="694">
        <v>5</v>
      </c>
      <c r="B112" s="697" t="s">
        <v>348</v>
      </c>
      <c r="C112" s="199">
        <v>1</v>
      </c>
      <c r="D112" s="679" t="s">
        <v>566</v>
      </c>
      <c r="E112" s="680"/>
      <c r="F112" s="680"/>
      <c r="G112" s="201">
        <v>17</v>
      </c>
      <c r="H112" s="201">
        <v>1795.6351185148455</v>
      </c>
      <c r="I112" s="202">
        <v>105.62559520675561</v>
      </c>
      <c r="J112" s="351">
        <f>I112-I86</f>
        <v>0.33147755969679338</v>
      </c>
      <c r="K112" s="688"/>
      <c r="L112" s="690"/>
      <c r="N112" s="178"/>
      <c r="O112" s="178"/>
      <c r="P112" s="520"/>
      <c r="Q112" s="520"/>
      <c r="R112" s="178"/>
      <c r="S112" s="188"/>
    </row>
    <row r="113" spans="1:19" ht="13.5">
      <c r="A113" s="695"/>
      <c r="B113" s="698"/>
      <c r="C113" s="199">
        <v>2</v>
      </c>
      <c r="D113" s="679" t="s">
        <v>473</v>
      </c>
      <c r="E113" s="680"/>
      <c r="F113" s="680"/>
      <c r="G113" s="201">
        <v>19</v>
      </c>
      <c r="H113" s="201">
        <v>1795.4511960520019</v>
      </c>
      <c r="I113" s="202">
        <v>94.497431371158001</v>
      </c>
      <c r="J113" s="351">
        <f>I113-I87</f>
        <v>0.28389753657152994</v>
      </c>
      <c r="K113" s="688"/>
      <c r="L113" s="690"/>
      <c r="N113" s="178"/>
      <c r="O113" s="178"/>
      <c r="P113" s="520"/>
      <c r="Q113" s="520"/>
      <c r="R113" s="178"/>
      <c r="S113" s="188"/>
    </row>
    <row r="114" spans="1:19" ht="13.5">
      <c r="A114" s="695"/>
      <c r="B114" s="698"/>
      <c r="C114" s="199">
        <v>3</v>
      </c>
      <c r="D114" s="679" t="s">
        <v>664</v>
      </c>
      <c r="E114" s="680"/>
      <c r="F114" s="680"/>
      <c r="G114" s="201">
        <v>20</v>
      </c>
      <c r="H114" s="201">
        <v>1795.3545183099479</v>
      </c>
      <c r="I114" s="202">
        <v>89.767725915497394</v>
      </c>
      <c r="J114" s="351">
        <f>I114-I88</f>
        <v>0.26486877264025566</v>
      </c>
      <c r="K114" s="688"/>
      <c r="L114" s="690"/>
      <c r="N114" s="178"/>
      <c r="O114" s="178"/>
      <c r="P114" s="520"/>
      <c r="Q114" s="520"/>
      <c r="R114" s="178"/>
      <c r="S114" s="188"/>
    </row>
    <row r="115" spans="1:19" ht="13.5">
      <c r="A115" s="695"/>
      <c r="B115" s="698"/>
      <c r="C115" s="199">
        <v>4</v>
      </c>
      <c r="D115" s="679" t="s">
        <v>343</v>
      </c>
      <c r="E115" s="680"/>
      <c r="F115" s="680"/>
      <c r="G115" s="201">
        <v>23</v>
      </c>
      <c r="H115" s="201">
        <v>1799.5063717140899</v>
      </c>
      <c r="I115" s="202">
        <v>78.239407465830013</v>
      </c>
      <c r="J115" s="351">
        <f>I115-I89</f>
        <v>0.13199883289991021</v>
      </c>
      <c r="K115" s="688"/>
      <c r="L115" s="690"/>
      <c r="N115" s="178"/>
      <c r="O115" s="178"/>
      <c r="P115" s="520"/>
      <c r="Q115" s="520"/>
      <c r="R115" s="178"/>
      <c r="S115" s="188"/>
    </row>
    <row r="116" spans="1:19" ht="13.5">
      <c r="A116" s="695"/>
      <c r="B116" s="698"/>
      <c r="C116" s="199">
        <v>5</v>
      </c>
      <c r="D116" s="679" t="s">
        <v>341</v>
      </c>
      <c r="E116" s="680"/>
      <c r="F116" s="680"/>
      <c r="G116" s="201">
        <v>23</v>
      </c>
      <c r="H116" s="201">
        <v>1799.4841797594167</v>
      </c>
      <c r="I116" s="202">
        <v>78.238442598235537</v>
      </c>
      <c r="J116" s="351">
        <f>I116-I93</f>
        <v>0.23711296312518471</v>
      </c>
      <c r="K116" s="688"/>
      <c r="L116" s="690"/>
      <c r="N116" s="178"/>
      <c r="O116" s="178"/>
      <c r="P116" s="520"/>
      <c r="Q116" s="520"/>
      <c r="R116" s="178"/>
      <c r="S116" s="188"/>
    </row>
    <row r="117" spans="1:19" ht="13.5">
      <c r="A117" s="695"/>
      <c r="B117" s="698"/>
      <c r="C117" s="203" t="s">
        <v>204</v>
      </c>
      <c r="D117" s="679" t="s">
        <v>342</v>
      </c>
      <c r="E117" s="680"/>
      <c r="F117" s="680"/>
      <c r="G117" s="201">
        <v>24</v>
      </c>
      <c r="H117" s="201">
        <v>1798.893059770608</v>
      </c>
      <c r="I117" s="202">
        <v>74.953877490442011</v>
      </c>
      <c r="J117" s="351">
        <f>I117-I91</f>
        <v>0.36351842791037825</v>
      </c>
      <c r="K117" s="688"/>
      <c r="L117" s="690"/>
      <c r="N117" s="178"/>
      <c r="O117" s="178"/>
      <c r="P117" s="520"/>
      <c r="Q117" s="520"/>
      <c r="R117" s="178"/>
      <c r="S117" s="188"/>
    </row>
    <row r="118" spans="1:19" ht="13.5">
      <c r="A118" s="695"/>
      <c r="B118" s="698"/>
      <c r="C118" s="203" t="s">
        <v>209</v>
      </c>
      <c r="D118" s="679" t="s">
        <v>751</v>
      </c>
      <c r="E118" s="680"/>
      <c r="F118" s="680"/>
      <c r="G118" s="201">
        <v>21</v>
      </c>
      <c r="H118" s="201">
        <v>1622.6332543740639</v>
      </c>
      <c r="I118" s="202">
        <v>77.268250208288762</v>
      </c>
      <c r="J118" s="351">
        <f>I118-I92</f>
        <v>3.3035734623183544E-3</v>
      </c>
      <c r="K118" s="688"/>
      <c r="L118" s="690"/>
      <c r="N118" s="178"/>
      <c r="O118" s="178"/>
      <c r="P118" s="520"/>
      <c r="Q118" s="520"/>
      <c r="R118" s="178"/>
      <c r="S118" s="188"/>
    </row>
    <row r="119" spans="1:19" ht="13.5">
      <c r="A119" s="695"/>
      <c r="B119" s="698"/>
      <c r="C119" s="203" t="s">
        <v>205</v>
      </c>
      <c r="D119" s="679" t="s">
        <v>349</v>
      </c>
      <c r="E119" s="680"/>
      <c r="F119" s="680"/>
      <c r="G119" s="201">
        <v>23</v>
      </c>
      <c r="H119" s="201">
        <v>1798.2785907695647</v>
      </c>
      <c r="I119" s="202">
        <v>78.18602568563324</v>
      </c>
      <c r="J119" s="351">
        <f>I119-I90</f>
        <v>0.18301353955526167</v>
      </c>
      <c r="K119" s="688"/>
      <c r="L119" s="690"/>
      <c r="N119" s="178"/>
      <c r="O119" s="178"/>
      <c r="P119" s="520"/>
      <c r="Q119" s="520"/>
      <c r="R119" s="178"/>
      <c r="S119" s="188"/>
    </row>
    <row r="120" spans="1:19" ht="13.5">
      <c r="A120" s="695"/>
      <c r="B120" s="698"/>
      <c r="C120" s="203" t="s">
        <v>210</v>
      </c>
      <c r="D120" s="679"/>
      <c r="E120" s="680"/>
      <c r="F120" s="680"/>
      <c r="G120" s="201"/>
      <c r="H120" s="201"/>
      <c r="I120" s="202"/>
      <c r="J120" s="351"/>
      <c r="K120" s="688"/>
      <c r="L120" s="690"/>
      <c r="M120" s="98"/>
      <c r="N120" s="178"/>
      <c r="O120" s="178"/>
      <c r="P120" s="520"/>
      <c r="Q120" s="520"/>
      <c r="R120" s="178"/>
      <c r="S120" s="188"/>
    </row>
    <row r="121" spans="1:19" ht="13.5">
      <c r="A121" s="696"/>
      <c r="B121" s="699"/>
      <c r="C121" s="203" t="s">
        <v>211</v>
      </c>
      <c r="D121" s="679"/>
      <c r="E121" s="680"/>
      <c r="F121" s="680"/>
      <c r="G121" s="201"/>
      <c r="H121" s="201"/>
      <c r="I121" s="202"/>
      <c r="J121" s="199"/>
      <c r="K121" s="688"/>
      <c r="L121" s="690"/>
      <c r="M121" s="98"/>
      <c r="N121" s="178"/>
      <c r="O121" s="178"/>
      <c r="P121" s="520"/>
      <c r="Q121" s="520"/>
      <c r="R121" s="178"/>
      <c r="S121" s="188"/>
    </row>
    <row r="122" spans="1:19" s="103" customFormat="1" ht="14.25">
      <c r="A122" s="691" t="s">
        <v>188</v>
      </c>
      <c r="B122" s="692"/>
      <c r="C122" s="206" t="s">
        <v>47</v>
      </c>
      <c r="D122" s="681" t="s">
        <v>12</v>
      </c>
      <c r="E122" s="682"/>
      <c r="F122" s="682"/>
      <c r="G122" s="206" t="s">
        <v>46</v>
      </c>
      <c r="H122" s="206" t="s">
        <v>374</v>
      </c>
      <c r="I122" s="206" t="s">
        <v>375</v>
      </c>
      <c r="J122" s="159" t="s">
        <v>332</v>
      </c>
      <c r="K122" s="691" t="s">
        <v>51</v>
      </c>
      <c r="L122" s="692"/>
      <c r="M122" s="127"/>
      <c r="N122" s="178"/>
      <c r="O122" s="178"/>
      <c r="P122" s="520"/>
      <c r="Q122" s="520"/>
      <c r="R122" s="178"/>
      <c r="S122" s="198"/>
    </row>
    <row r="123" spans="1:19" ht="13.5">
      <c r="A123" s="694">
        <v>6</v>
      </c>
      <c r="B123" s="697" t="s">
        <v>136</v>
      </c>
      <c r="C123" s="199">
        <v>1</v>
      </c>
      <c r="D123" s="679" t="s">
        <v>580</v>
      </c>
      <c r="E123" s="680"/>
      <c r="F123" s="680"/>
      <c r="G123" s="199">
        <v>20</v>
      </c>
      <c r="H123" s="201">
        <v>1799.6744781929467</v>
      </c>
      <c r="I123" s="202">
        <v>89.983723909647338</v>
      </c>
      <c r="J123" s="351">
        <f>I123-I97</f>
        <v>6.7868603443002939E-2</v>
      </c>
      <c r="K123" s="688"/>
      <c r="L123" s="690"/>
      <c r="M123" s="98"/>
      <c r="N123" s="178"/>
      <c r="O123" s="178"/>
      <c r="P123" s="520"/>
      <c r="Q123" s="520"/>
      <c r="R123" s="178"/>
      <c r="S123" s="188"/>
    </row>
    <row r="124" spans="1:19" ht="13.5">
      <c r="A124" s="695"/>
      <c r="B124" s="698"/>
      <c r="C124" s="199">
        <v>2</v>
      </c>
      <c r="D124" s="679" t="s">
        <v>437</v>
      </c>
      <c r="E124" s="680"/>
      <c r="F124" s="680"/>
      <c r="G124" s="201">
        <v>20</v>
      </c>
      <c r="H124" s="201">
        <v>1797.09388324867</v>
      </c>
      <c r="I124" s="202">
        <v>89.854694162433503</v>
      </c>
      <c r="J124" s="351">
        <f>I124-I98</f>
        <v>0.21382347034823113</v>
      </c>
      <c r="K124" s="688"/>
      <c r="L124" s="690"/>
      <c r="M124" s="98"/>
      <c r="N124" s="178"/>
      <c r="O124" s="178"/>
      <c r="P124" s="520"/>
      <c r="Q124" s="520"/>
      <c r="R124" s="178"/>
      <c r="S124" s="188"/>
    </row>
    <row r="125" spans="1:19" ht="13.5">
      <c r="A125" s="695"/>
      <c r="B125" s="698"/>
      <c r="C125" s="199">
        <v>3</v>
      </c>
      <c r="D125" s="679" t="s">
        <v>435</v>
      </c>
      <c r="E125" s="680"/>
      <c r="F125" s="680"/>
      <c r="G125" s="201">
        <v>22</v>
      </c>
      <c r="H125" s="201">
        <v>1798.0689357827664</v>
      </c>
      <c r="I125" s="202">
        <v>81.73040617194394</v>
      </c>
      <c r="J125" s="351">
        <f>I125-I99</f>
        <v>0.22117266014602421</v>
      </c>
      <c r="K125" s="688"/>
      <c r="L125" s="690"/>
      <c r="M125" s="98"/>
      <c r="N125" s="178"/>
      <c r="O125" s="178"/>
      <c r="P125" s="520"/>
      <c r="Q125" s="520"/>
      <c r="R125" s="178"/>
      <c r="S125" s="188"/>
    </row>
    <row r="126" spans="1:19" ht="13.5">
      <c r="A126" s="695"/>
      <c r="B126" s="698"/>
      <c r="C126" s="199">
        <v>4</v>
      </c>
      <c r="D126" s="679" t="s">
        <v>350</v>
      </c>
      <c r="E126" s="680"/>
      <c r="F126" s="680"/>
      <c r="G126" s="199">
        <v>23</v>
      </c>
      <c r="H126" s="201">
        <v>1798.4173487769492</v>
      </c>
      <c r="I126" s="202">
        <v>78.192058642476042</v>
      </c>
      <c r="J126" s="351">
        <f>I126-I101</f>
        <v>0.206411576668458</v>
      </c>
      <c r="K126" s="688"/>
      <c r="L126" s="690"/>
      <c r="M126" s="98"/>
      <c r="N126" s="178"/>
      <c r="O126" s="178"/>
      <c r="P126" s="520"/>
      <c r="Q126" s="520"/>
      <c r="R126" s="178"/>
      <c r="S126" s="188"/>
    </row>
    <row r="127" spans="1:19" ht="13.5">
      <c r="A127" s="695"/>
      <c r="B127" s="698"/>
      <c r="C127" s="199">
        <v>5</v>
      </c>
      <c r="D127" s="679" t="s">
        <v>352</v>
      </c>
      <c r="E127" s="680"/>
      <c r="F127" s="680"/>
      <c r="G127" s="201">
        <v>23</v>
      </c>
      <c r="H127" s="201">
        <v>1798.047943840837</v>
      </c>
      <c r="I127" s="202">
        <v>78.175997558297254</v>
      </c>
      <c r="J127" s="351">
        <f>I127-I105</f>
        <v>0.20256378794044849</v>
      </c>
      <c r="K127" s="688"/>
      <c r="L127" s="690"/>
      <c r="M127" s="98"/>
      <c r="N127" s="178"/>
      <c r="O127" s="178"/>
      <c r="P127" s="520"/>
      <c r="Q127" s="520"/>
      <c r="R127" s="178"/>
      <c r="S127" s="188"/>
    </row>
    <row r="128" spans="1:19" ht="13.5">
      <c r="A128" s="695"/>
      <c r="B128" s="698"/>
      <c r="C128" s="203" t="s">
        <v>204</v>
      </c>
      <c r="D128" s="679" t="s">
        <v>508</v>
      </c>
      <c r="E128" s="680"/>
      <c r="F128" s="680"/>
      <c r="G128" s="199">
        <v>25</v>
      </c>
      <c r="H128" s="201">
        <v>1798.3579812124076</v>
      </c>
      <c r="I128" s="202">
        <v>71.934319248496294</v>
      </c>
      <c r="J128" s="351">
        <f>I128-I102</f>
        <v>0.21956153017634961</v>
      </c>
      <c r="K128" s="688"/>
      <c r="L128" s="690"/>
      <c r="M128" s="98"/>
      <c r="N128" s="178"/>
      <c r="O128" s="178"/>
      <c r="P128" s="520"/>
      <c r="Q128" s="520"/>
      <c r="R128" s="178"/>
      <c r="S128" s="188"/>
    </row>
    <row r="129" spans="1:19" ht="13.5">
      <c r="A129" s="695"/>
      <c r="B129" s="698"/>
      <c r="C129" s="203" t="s">
        <v>209</v>
      </c>
      <c r="D129" s="679" t="s">
        <v>710</v>
      </c>
      <c r="E129" s="680"/>
      <c r="F129" s="680"/>
      <c r="G129" s="199">
        <v>24</v>
      </c>
      <c r="H129" s="201">
        <v>1799.0720951222054</v>
      </c>
      <c r="I129" s="202">
        <v>74.961337296758558</v>
      </c>
      <c r="J129" s="351">
        <f>I129-I104</f>
        <v>0.31847987595254779</v>
      </c>
      <c r="K129" s="688"/>
      <c r="L129" s="690"/>
      <c r="M129" s="98"/>
      <c r="N129" s="178"/>
      <c r="O129" s="178"/>
      <c r="P129" s="520"/>
      <c r="Q129" s="520"/>
      <c r="R129" s="178"/>
      <c r="S129" s="188"/>
    </row>
    <row r="130" spans="1:19" ht="13.5">
      <c r="A130" s="695"/>
      <c r="B130" s="698"/>
      <c r="C130" s="203" t="s">
        <v>205</v>
      </c>
      <c r="D130" s="679" t="s">
        <v>351</v>
      </c>
      <c r="E130" s="680"/>
      <c r="F130" s="680"/>
      <c r="G130" s="199">
        <v>24</v>
      </c>
      <c r="H130" s="201">
        <v>1799.7255861173473</v>
      </c>
      <c r="I130" s="202">
        <v>74.988566088222811</v>
      </c>
      <c r="J130" s="351">
        <f>I130-I103</f>
        <v>0.55870156059442877</v>
      </c>
      <c r="K130" s="688"/>
      <c r="L130" s="690"/>
      <c r="M130" s="98"/>
      <c r="N130" s="178"/>
      <c r="O130" s="178"/>
      <c r="P130" s="520"/>
      <c r="Q130" s="520"/>
      <c r="R130" s="178"/>
      <c r="S130" s="188"/>
    </row>
    <row r="131" spans="1:19" ht="13.5">
      <c r="A131" s="695"/>
      <c r="B131" s="698"/>
      <c r="C131" s="203" t="s">
        <v>210</v>
      </c>
      <c r="D131" s="679" t="s">
        <v>433</v>
      </c>
      <c r="E131" s="680"/>
      <c r="F131" s="680"/>
      <c r="G131" s="199">
        <v>23</v>
      </c>
      <c r="H131" s="201">
        <v>1797.9481808238481</v>
      </c>
      <c r="I131" s="202">
        <v>78.171660035819485</v>
      </c>
      <c r="J131" s="351">
        <f>I131-I100</f>
        <v>0.1095282009141556</v>
      </c>
      <c r="K131" s="688"/>
      <c r="L131" s="690"/>
      <c r="M131" s="98"/>
      <c r="N131" s="178"/>
      <c r="O131" s="178"/>
      <c r="P131" s="520"/>
      <c r="Q131" s="520"/>
      <c r="R131" s="178"/>
      <c r="S131" s="188"/>
    </row>
    <row r="132" spans="1:19" ht="13.5">
      <c r="A132" s="696"/>
      <c r="B132" s="699"/>
      <c r="C132" s="203" t="s">
        <v>211</v>
      </c>
      <c r="D132" s="688"/>
      <c r="E132" s="689"/>
      <c r="F132" s="690"/>
      <c r="G132" s="199"/>
      <c r="H132" s="201"/>
      <c r="I132" s="202"/>
      <c r="J132" s="351"/>
      <c r="K132" s="688"/>
      <c r="L132" s="690"/>
      <c r="M132" s="98"/>
      <c r="N132" s="178"/>
      <c r="O132" s="178"/>
      <c r="P132" s="520"/>
      <c r="Q132" s="520"/>
      <c r="R132" s="178"/>
      <c r="S132" s="188"/>
    </row>
    <row r="133" spans="1:19" s="188" customFormat="1" ht="15.75" customHeight="1">
      <c r="A133" s="685" t="s">
        <v>881</v>
      </c>
      <c r="B133" s="685"/>
      <c r="C133" s="685"/>
      <c r="D133" s="685"/>
      <c r="E133" s="685"/>
      <c r="F133" s="685"/>
      <c r="G133" s="685"/>
      <c r="H133" s="685"/>
      <c r="I133" s="685"/>
      <c r="J133" s="685"/>
      <c r="K133" s="685"/>
      <c r="L133" s="685"/>
    </row>
    <row r="134" spans="1:19" s="189" customFormat="1" ht="15.75" customHeight="1">
      <c r="A134" s="685"/>
      <c r="B134" s="685"/>
      <c r="C134" s="685"/>
      <c r="D134" s="685"/>
      <c r="E134" s="685"/>
      <c r="F134" s="685"/>
      <c r="G134" s="685"/>
      <c r="H134" s="685"/>
      <c r="I134" s="685"/>
      <c r="J134" s="685"/>
      <c r="K134" s="685"/>
      <c r="L134" s="685"/>
    </row>
    <row r="135" spans="1:19" s="105" customFormat="1" ht="15.75" customHeight="1">
      <c r="A135" s="694" t="s">
        <v>162</v>
      </c>
      <c r="B135" s="169">
        <v>1</v>
      </c>
      <c r="C135" s="169">
        <v>2</v>
      </c>
      <c r="D135" s="169">
        <v>3</v>
      </c>
      <c r="E135" s="169">
        <v>4</v>
      </c>
      <c r="F135" s="190">
        <v>5</v>
      </c>
      <c r="G135" s="190">
        <v>6</v>
      </c>
      <c r="H135" s="169">
        <v>7</v>
      </c>
      <c r="I135" s="169">
        <v>8</v>
      </c>
      <c r="J135" s="169">
        <v>9</v>
      </c>
      <c r="K135" s="191"/>
      <c r="L135" s="191"/>
      <c r="M135" s="192"/>
      <c r="N135" s="178"/>
      <c r="O135" s="178"/>
      <c r="P135" s="178"/>
      <c r="Q135" s="178"/>
      <c r="R135" s="178"/>
      <c r="S135" s="177"/>
    </row>
    <row r="136" spans="1:19" ht="15.75" customHeight="1">
      <c r="A136" s="696"/>
      <c r="B136" s="194" t="s">
        <v>206</v>
      </c>
      <c r="C136" s="194" t="s">
        <v>155</v>
      </c>
      <c r="D136" s="194" t="s">
        <v>207</v>
      </c>
      <c r="E136" s="194" t="s">
        <v>156</v>
      </c>
      <c r="F136" s="193" t="s">
        <v>348</v>
      </c>
      <c r="G136" s="208" t="s">
        <v>136</v>
      </c>
      <c r="H136" s="196" t="s">
        <v>208</v>
      </c>
      <c r="I136" s="195" t="s">
        <v>373</v>
      </c>
      <c r="J136" s="195" t="s">
        <v>142</v>
      </c>
      <c r="K136" s="197"/>
      <c r="L136" s="197"/>
      <c r="M136" s="189"/>
      <c r="N136" s="178"/>
      <c r="O136" s="178"/>
      <c r="P136" s="178"/>
      <c r="Q136" s="178"/>
      <c r="R136" s="178"/>
      <c r="S136" s="188"/>
    </row>
    <row r="137" spans="1:19" s="105" customFormat="1" ht="14.25">
      <c r="A137" s="700" t="s">
        <v>188</v>
      </c>
      <c r="B137" s="701"/>
      <c r="C137" s="159" t="s">
        <v>47</v>
      </c>
      <c r="D137" s="700" t="s">
        <v>12</v>
      </c>
      <c r="E137" s="702"/>
      <c r="F137" s="701"/>
      <c r="G137" s="159" t="s">
        <v>46</v>
      </c>
      <c r="H137" s="159" t="s">
        <v>374</v>
      </c>
      <c r="I137" s="159" t="s">
        <v>375</v>
      </c>
      <c r="J137" s="159" t="s">
        <v>332</v>
      </c>
      <c r="K137" s="700" t="s">
        <v>51</v>
      </c>
      <c r="L137" s="701"/>
      <c r="M137" s="192"/>
      <c r="N137" s="178"/>
      <c r="O137" s="519"/>
      <c r="P137" s="519"/>
      <c r="Q137" s="519"/>
      <c r="R137" s="178"/>
      <c r="S137" s="177"/>
    </row>
    <row r="138" spans="1:19" ht="13.5">
      <c r="A138" s="694">
        <v>5</v>
      </c>
      <c r="B138" s="697" t="s">
        <v>348</v>
      </c>
      <c r="C138" s="199">
        <v>1</v>
      </c>
      <c r="D138" s="688"/>
      <c r="E138" s="689"/>
      <c r="F138" s="690"/>
      <c r="G138" s="201"/>
      <c r="H138" s="201"/>
      <c r="I138" s="202"/>
      <c r="J138" s="351">
        <f>I138-I113</f>
        <v>-94.497431371158001</v>
      </c>
      <c r="K138" s="688"/>
      <c r="L138" s="690"/>
      <c r="N138" s="178"/>
      <c r="O138" s="178"/>
      <c r="P138" s="520"/>
      <c r="Q138" s="520"/>
      <c r="R138" s="178"/>
      <c r="S138" s="188"/>
    </row>
    <row r="139" spans="1:19" ht="13.5">
      <c r="A139" s="695"/>
      <c r="B139" s="698"/>
      <c r="C139" s="199">
        <v>2</v>
      </c>
      <c r="D139" s="688"/>
      <c r="E139" s="689"/>
      <c r="F139" s="690"/>
      <c r="G139" s="201"/>
      <c r="H139" s="201"/>
      <c r="I139" s="202"/>
      <c r="J139" s="351"/>
      <c r="K139" s="688"/>
      <c r="L139" s="690"/>
      <c r="N139" s="178"/>
      <c r="O139" s="178"/>
      <c r="P139" s="520"/>
      <c r="Q139" s="520"/>
      <c r="R139" s="178"/>
      <c r="S139" s="188"/>
    </row>
    <row r="140" spans="1:19" ht="13.5">
      <c r="A140" s="695"/>
      <c r="B140" s="698"/>
      <c r="C140" s="199">
        <v>3</v>
      </c>
      <c r="D140" s="688"/>
      <c r="E140" s="689"/>
      <c r="F140" s="690"/>
      <c r="G140" s="201"/>
      <c r="H140" s="201"/>
      <c r="I140" s="202"/>
      <c r="J140" s="351">
        <f t="shared" ref="J140:J146" si="3">I140-I114</f>
        <v>-89.767725915497394</v>
      </c>
      <c r="K140" s="688"/>
      <c r="L140" s="690"/>
      <c r="N140" s="178"/>
      <c r="O140" s="178"/>
      <c r="P140" s="520"/>
      <c r="Q140" s="520"/>
      <c r="R140" s="178"/>
      <c r="S140" s="188"/>
    </row>
    <row r="141" spans="1:19" ht="13.5">
      <c r="A141" s="695"/>
      <c r="B141" s="698"/>
      <c r="C141" s="199">
        <v>4</v>
      </c>
      <c r="D141" s="688"/>
      <c r="E141" s="689"/>
      <c r="F141" s="690"/>
      <c r="G141" s="201"/>
      <c r="H141" s="201"/>
      <c r="I141" s="202"/>
      <c r="J141" s="351">
        <f t="shared" si="3"/>
        <v>-78.239407465830013</v>
      </c>
      <c r="K141" s="688"/>
      <c r="L141" s="690"/>
      <c r="N141" s="178"/>
      <c r="O141" s="178"/>
      <c r="P141" s="520"/>
      <c r="Q141" s="520"/>
      <c r="R141" s="178"/>
      <c r="S141" s="188"/>
    </row>
    <row r="142" spans="1:19" ht="13.5">
      <c r="A142" s="695"/>
      <c r="B142" s="698"/>
      <c r="C142" s="199">
        <v>5</v>
      </c>
      <c r="D142" s="688"/>
      <c r="E142" s="689"/>
      <c r="F142" s="690"/>
      <c r="G142" s="201"/>
      <c r="H142" s="201"/>
      <c r="I142" s="202"/>
      <c r="J142" s="351">
        <f t="shared" si="3"/>
        <v>-78.238442598235537</v>
      </c>
      <c r="K142" s="688"/>
      <c r="L142" s="690"/>
      <c r="N142" s="178"/>
      <c r="O142" s="178"/>
      <c r="P142" s="520"/>
      <c r="Q142" s="520"/>
      <c r="R142" s="178"/>
      <c r="S142" s="188"/>
    </row>
    <row r="143" spans="1:19" ht="13.5">
      <c r="A143" s="695"/>
      <c r="B143" s="698"/>
      <c r="C143" s="203" t="s">
        <v>204</v>
      </c>
      <c r="D143" s="688"/>
      <c r="E143" s="689"/>
      <c r="F143" s="690"/>
      <c r="G143" s="201"/>
      <c r="H143" s="201"/>
      <c r="I143" s="202"/>
      <c r="J143" s="351">
        <f t="shared" si="3"/>
        <v>-74.953877490442011</v>
      </c>
      <c r="K143" s="688"/>
      <c r="L143" s="690"/>
      <c r="N143" s="178"/>
      <c r="O143" s="178"/>
      <c r="P143" s="520"/>
      <c r="Q143" s="520"/>
      <c r="R143" s="178"/>
      <c r="S143" s="188"/>
    </row>
    <row r="144" spans="1:19" ht="13.5">
      <c r="A144" s="695"/>
      <c r="B144" s="698"/>
      <c r="C144" s="203" t="s">
        <v>209</v>
      </c>
      <c r="D144" s="688"/>
      <c r="E144" s="689"/>
      <c r="F144" s="690"/>
      <c r="G144" s="201"/>
      <c r="H144" s="201"/>
      <c r="I144" s="202"/>
      <c r="J144" s="351">
        <f t="shared" si="3"/>
        <v>-77.268250208288762</v>
      </c>
      <c r="K144" s="688"/>
      <c r="L144" s="690"/>
      <c r="N144" s="178"/>
      <c r="O144" s="178"/>
      <c r="P144" s="520"/>
      <c r="Q144" s="520"/>
      <c r="R144" s="178"/>
      <c r="S144" s="188"/>
    </row>
    <row r="145" spans="1:19" ht="13.5">
      <c r="A145" s="695"/>
      <c r="B145" s="698"/>
      <c r="C145" s="203" t="s">
        <v>205</v>
      </c>
      <c r="D145" s="688"/>
      <c r="E145" s="689"/>
      <c r="F145" s="690"/>
      <c r="G145" s="201"/>
      <c r="H145" s="201"/>
      <c r="I145" s="202"/>
      <c r="J145" s="351">
        <f t="shared" si="3"/>
        <v>-78.18602568563324</v>
      </c>
      <c r="K145" s="688"/>
      <c r="L145" s="690"/>
      <c r="N145" s="178"/>
      <c r="O145" s="178"/>
      <c r="P145" s="520"/>
      <c r="Q145" s="520"/>
      <c r="R145" s="178"/>
      <c r="S145" s="188"/>
    </row>
    <row r="146" spans="1:19" ht="13.5">
      <c r="A146" s="695"/>
      <c r="B146" s="698"/>
      <c r="C146" s="203" t="s">
        <v>210</v>
      </c>
      <c r="D146" s="688"/>
      <c r="E146" s="689"/>
      <c r="F146" s="690"/>
      <c r="G146" s="201"/>
      <c r="H146" s="201"/>
      <c r="I146" s="202"/>
      <c r="J146" s="351">
        <f t="shared" si="3"/>
        <v>0</v>
      </c>
      <c r="K146" s="688"/>
      <c r="L146" s="690"/>
      <c r="M146" s="98"/>
      <c r="N146" s="178"/>
      <c r="O146" s="178"/>
      <c r="P146" s="520"/>
      <c r="Q146" s="520"/>
      <c r="R146" s="178"/>
      <c r="S146" s="188"/>
    </row>
    <row r="147" spans="1:19" ht="13.5">
      <c r="A147" s="696"/>
      <c r="B147" s="699"/>
      <c r="C147" s="203" t="s">
        <v>211</v>
      </c>
      <c r="D147" s="688"/>
      <c r="E147" s="689"/>
      <c r="F147" s="690"/>
      <c r="G147" s="201"/>
      <c r="H147" s="201"/>
      <c r="I147" s="202"/>
      <c r="J147" s="199"/>
      <c r="K147" s="688"/>
      <c r="L147" s="690"/>
      <c r="M147" s="98"/>
      <c r="N147" s="178"/>
      <c r="O147" s="178"/>
      <c r="P147" s="520"/>
      <c r="Q147" s="520"/>
      <c r="R147" s="178"/>
      <c r="S147" s="188"/>
    </row>
    <row r="148" spans="1:19" s="103" customFormat="1" ht="14.25">
      <c r="A148" s="691" t="s">
        <v>188</v>
      </c>
      <c r="B148" s="692"/>
      <c r="C148" s="206" t="s">
        <v>47</v>
      </c>
      <c r="D148" s="691" t="s">
        <v>12</v>
      </c>
      <c r="E148" s="693"/>
      <c r="F148" s="692"/>
      <c r="G148" s="206" t="s">
        <v>46</v>
      </c>
      <c r="H148" s="206" t="s">
        <v>374</v>
      </c>
      <c r="I148" s="206" t="s">
        <v>375</v>
      </c>
      <c r="J148" s="159" t="s">
        <v>332</v>
      </c>
      <c r="K148" s="691" t="s">
        <v>51</v>
      </c>
      <c r="L148" s="692"/>
      <c r="M148" s="127"/>
      <c r="N148" s="178"/>
      <c r="O148" s="178"/>
      <c r="P148" s="520"/>
      <c r="Q148" s="520"/>
      <c r="R148" s="178"/>
      <c r="S148" s="198"/>
    </row>
    <row r="149" spans="1:19" ht="13.5">
      <c r="A149" s="694">
        <v>6</v>
      </c>
      <c r="B149" s="697" t="s">
        <v>136</v>
      </c>
      <c r="C149" s="199">
        <v>1</v>
      </c>
      <c r="D149" s="688"/>
      <c r="E149" s="689"/>
      <c r="F149" s="690"/>
      <c r="G149" s="199"/>
      <c r="H149" s="201"/>
      <c r="I149" s="202"/>
      <c r="J149" s="351">
        <f t="shared" ref="J149:J154" si="4">I149-I123</f>
        <v>-89.983723909647338</v>
      </c>
      <c r="K149" s="688"/>
      <c r="L149" s="690"/>
      <c r="M149" s="98"/>
      <c r="N149" s="178"/>
      <c r="O149" s="178"/>
      <c r="P149" s="520"/>
      <c r="Q149" s="520"/>
      <c r="R149" s="178"/>
      <c r="S149" s="188"/>
    </row>
    <row r="150" spans="1:19" ht="13.5">
      <c r="A150" s="695"/>
      <c r="B150" s="698"/>
      <c r="C150" s="199">
        <v>2</v>
      </c>
      <c r="D150" s="688"/>
      <c r="E150" s="689"/>
      <c r="F150" s="690"/>
      <c r="G150" s="201"/>
      <c r="H150" s="201"/>
      <c r="I150" s="202"/>
      <c r="J150" s="351">
        <f t="shared" si="4"/>
        <v>-89.854694162433503</v>
      </c>
      <c r="K150" s="688"/>
      <c r="L150" s="690"/>
      <c r="M150" s="98"/>
      <c r="N150" s="178"/>
      <c r="O150" s="178"/>
      <c r="P150" s="520"/>
      <c r="Q150" s="520"/>
      <c r="R150" s="178"/>
      <c r="S150" s="188"/>
    </row>
    <row r="151" spans="1:19" ht="13.5">
      <c r="A151" s="695"/>
      <c r="B151" s="698"/>
      <c r="C151" s="199">
        <v>3</v>
      </c>
      <c r="D151" s="688"/>
      <c r="E151" s="689"/>
      <c r="F151" s="690"/>
      <c r="G151" s="201"/>
      <c r="H151" s="201"/>
      <c r="I151" s="202"/>
      <c r="J151" s="351">
        <f t="shared" si="4"/>
        <v>-81.73040617194394</v>
      </c>
      <c r="K151" s="688"/>
      <c r="L151" s="690"/>
      <c r="M151" s="98"/>
      <c r="N151" s="178"/>
      <c r="O151" s="178"/>
      <c r="P151" s="520"/>
      <c r="Q151" s="520"/>
      <c r="R151" s="178"/>
      <c r="S151" s="188"/>
    </row>
    <row r="152" spans="1:19" ht="13.5">
      <c r="A152" s="695"/>
      <c r="B152" s="698"/>
      <c r="C152" s="199">
        <v>4</v>
      </c>
      <c r="D152" s="688"/>
      <c r="E152" s="689"/>
      <c r="F152" s="690"/>
      <c r="G152" s="199"/>
      <c r="H152" s="201"/>
      <c r="I152" s="202"/>
      <c r="J152" s="351">
        <f t="shared" si="4"/>
        <v>-78.192058642476042</v>
      </c>
      <c r="K152" s="688"/>
      <c r="L152" s="690"/>
      <c r="M152" s="98"/>
      <c r="N152" s="178"/>
      <c r="O152" s="178"/>
      <c r="P152" s="520"/>
      <c r="Q152" s="520"/>
      <c r="R152" s="178"/>
      <c r="S152" s="188"/>
    </row>
    <row r="153" spans="1:19" ht="13.5">
      <c r="A153" s="695"/>
      <c r="B153" s="698"/>
      <c r="C153" s="199">
        <v>5</v>
      </c>
      <c r="D153" s="688"/>
      <c r="E153" s="689"/>
      <c r="F153" s="690"/>
      <c r="G153" s="201"/>
      <c r="H153" s="201"/>
      <c r="I153" s="202"/>
      <c r="J153" s="351">
        <f t="shared" si="4"/>
        <v>-78.175997558297254</v>
      </c>
      <c r="K153" s="688"/>
      <c r="L153" s="690"/>
      <c r="M153" s="98"/>
      <c r="N153" s="178"/>
      <c r="O153" s="178"/>
      <c r="P153" s="520"/>
      <c r="Q153" s="520"/>
      <c r="R153" s="178"/>
      <c r="S153" s="188"/>
    </row>
    <row r="154" spans="1:19" ht="13.5">
      <c r="A154" s="695"/>
      <c r="B154" s="698"/>
      <c r="C154" s="203" t="s">
        <v>204</v>
      </c>
      <c r="D154" s="688"/>
      <c r="E154" s="689"/>
      <c r="F154" s="690"/>
      <c r="G154" s="199"/>
      <c r="H154" s="201"/>
      <c r="I154" s="202"/>
      <c r="J154" s="351">
        <f t="shared" si="4"/>
        <v>-71.934319248496294</v>
      </c>
      <c r="K154" s="688"/>
      <c r="L154" s="690"/>
      <c r="M154" s="98"/>
      <c r="N154" s="178"/>
      <c r="O154" s="178"/>
      <c r="P154" s="520"/>
      <c r="Q154" s="520"/>
      <c r="R154" s="178"/>
      <c r="S154" s="188"/>
    </row>
    <row r="155" spans="1:19" ht="13.5">
      <c r="A155" s="695"/>
      <c r="B155" s="698"/>
      <c r="C155" s="203" t="s">
        <v>209</v>
      </c>
      <c r="D155" s="688"/>
      <c r="E155" s="689"/>
      <c r="F155" s="690"/>
      <c r="G155" s="199"/>
      <c r="H155" s="201"/>
      <c r="I155" s="202"/>
      <c r="J155" s="351"/>
      <c r="K155" s="688"/>
      <c r="L155" s="690"/>
      <c r="M155" s="98"/>
      <c r="N155" s="178"/>
      <c r="O155" s="178"/>
      <c r="P155" s="520"/>
      <c r="Q155" s="520"/>
      <c r="R155" s="178"/>
      <c r="S155" s="188"/>
    </row>
    <row r="156" spans="1:19" ht="13.5">
      <c r="A156" s="695"/>
      <c r="B156" s="698"/>
      <c r="C156" s="203" t="s">
        <v>205</v>
      </c>
      <c r="D156" s="688"/>
      <c r="E156" s="689"/>
      <c r="F156" s="690"/>
      <c r="G156" s="199"/>
      <c r="H156" s="201"/>
      <c r="I156" s="202"/>
      <c r="J156" s="351">
        <f>I156-I129</f>
        <v>-74.961337296758558</v>
      </c>
      <c r="K156" s="688"/>
      <c r="L156" s="690"/>
      <c r="M156" s="98"/>
      <c r="N156" s="178"/>
      <c r="O156" s="178"/>
      <c r="P156" s="520"/>
      <c r="Q156" s="520"/>
      <c r="R156" s="178"/>
      <c r="S156" s="188"/>
    </row>
    <row r="157" spans="1:19" ht="13.5">
      <c r="A157" s="695"/>
      <c r="B157" s="698"/>
      <c r="C157" s="203" t="s">
        <v>210</v>
      </c>
      <c r="D157" s="688"/>
      <c r="E157" s="689"/>
      <c r="F157" s="690"/>
      <c r="G157" s="199"/>
      <c r="H157" s="201"/>
      <c r="I157" s="202"/>
      <c r="J157" s="351">
        <f>I157-I130</f>
        <v>-74.988566088222811</v>
      </c>
      <c r="K157" s="688"/>
      <c r="L157" s="690"/>
      <c r="M157" s="98"/>
      <c r="N157" s="178"/>
      <c r="O157" s="178"/>
      <c r="P157" s="520"/>
      <c r="Q157" s="520"/>
      <c r="R157" s="178"/>
      <c r="S157" s="188"/>
    </row>
    <row r="158" spans="1:19" ht="13.5">
      <c r="A158" s="696"/>
      <c r="B158" s="699"/>
      <c r="C158" s="203" t="s">
        <v>211</v>
      </c>
      <c r="D158" s="688"/>
      <c r="E158" s="689"/>
      <c r="F158" s="690"/>
      <c r="G158" s="199"/>
      <c r="H158" s="201"/>
      <c r="I158" s="202"/>
      <c r="J158" s="351">
        <f>I158-I131</f>
        <v>-78.171660035819485</v>
      </c>
      <c r="K158" s="688"/>
      <c r="L158" s="690"/>
      <c r="M158" s="98"/>
      <c r="N158" s="178"/>
      <c r="O158" s="178"/>
      <c r="P158" s="520"/>
      <c r="Q158" s="520"/>
      <c r="R158" s="178"/>
      <c r="S158" s="188"/>
    </row>
  </sheetData>
  <mergeCells count="313"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D104:F104"/>
    <mergeCell ref="K43:L43"/>
    <mergeCell ref="K92:L92"/>
    <mergeCell ref="D93:F93"/>
    <mergeCell ref="K93:L93"/>
    <mergeCell ref="D94:F94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K66:L66"/>
    <mergeCell ref="D67:F67"/>
    <mergeCell ref="A1:L2"/>
    <mergeCell ref="K40:L40"/>
    <mergeCell ref="D41:F41"/>
    <mergeCell ref="K41:L41"/>
    <mergeCell ref="D42:F4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29:L30"/>
    <mergeCell ref="A31:A32"/>
    <mergeCell ref="A33:B33"/>
    <mergeCell ref="D33:F33"/>
    <mergeCell ref="K33:L33"/>
    <mergeCell ref="A34:A43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D52:F52"/>
    <mergeCell ref="K52:L52"/>
    <mergeCell ref="D53:F53"/>
    <mergeCell ref="K53:L53"/>
    <mergeCell ref="D54:F54"/>
    <mergeCell ref="K54:L5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B34:B43"/>
    <mergeCell ref="D27:F27"/>
    <mergeCell ref="K27:L27"/>
    <mergeCell ref="D28:F28"/>
    <mergeCell ref="K28:L28"/>
    <mergeCell ref="K16:L16"/>
    <mergeCell ref="D17:F17"/>
    <mergeCell ref="K17:L17"/>
    <mergeCell ref="D51:F51"/>
    <mergeCell ref="K51:L51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2:L42"/>
    <mergeCell ref="D43:F43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68:F68"/>
    <mergeCell ref="K67:L67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80:L80"/>
    <mergeCell ref="K68:L68"/>
    <mergeCell ref="D69:F69"/>
    <mergeCell ref="K69:L69"/>
    <mergeCell ref="D103:F103"/>
    <mergeCell ref="K103:L103"/>
    <mergeCell ref="A107:L108"/>
    <mergeCell ref="A109:A110"/>
    <mergeCell ref="A111:B111"/>
    <mergeCell ref="D111:F111"/>
    <mergeCell ref="K111:L111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K102:L102"/>
    <mergeCell ref="D87:F87"/>
    <mergeCell ref="K87:L87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K144:L144"/>
    <mergeCell ref="D145:F145"/>
    <mergeCell ref="K145:L145"/>
    <mergeCell ref="D146:F146"/>
    <mergeCell ref="D131:F131"/>
    <mergeCell ref="K131:L131"/>
    <mergeCell ref="D132:F132"/>
    <mergeCell ref="K132:L132"/>
    <mergeCell ref="K120:L120"/>
    <mergeCell ref="D121:F121"/>
    <mergeCell ref="K121:L121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5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>
    <tabColor rgb="FF92D050"/>
    <outlinePr summaryBelow="0" summaryRight="0"/>
  </sheetPr>
  <dimension ref="A1:R158"/>
  <sheetViews>
    <sheetView view="pageBreakPreview" topLeftCell="A103" zoomScale="110" zoomScaleNormal="60" zoomScaleSheetLayoutView="110" workbookViewId="0">
      <selection activeCell="J131" sqref="J131"/>
    </sheetView>
  </sheetViews>
  <sheetFormatPr defaultColWidth="12.5703125" defaultRowHeight="15.75" customHeight="1"/>
  <cols>
    <col min="1" max="1" width="6.42578125" style="98" customWidth="1"/>
    <col min="2" max="10" width="11.5703125" style="98" customWidth="1"/>
    <col min="11" max="12" width="12.85546875" style="98" customWidth="1"/>
    <col min="13" max="13" width="12.5703125" style="99"/>
    <col min="14" max="18" width="12.5703125" style="188"/>
    <col min="19" max="16384" width="12.5703125" style="98"/>
  </cols>
  <sheetData>
    <row r="1" spans="1:18" ht="15.75" customHeight="1">
      <c r="A1" s="547" t="s">
        <v>372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98"/>
    </row>
    <row r="2" spans="1:18" s="99" customFormat="1" ht="15.75" customHeight="1">
      <c r="A2" s="547"/>
      <c r="B2" s="547"/>
      <c r="C2" s="547"/>
      <c r="D2" s="547"/>
      <c r="E2" s="547"/>
      <c r="F2" s="547"/>
      <c r="G2" s="547"/>
      <c r="H2" s="547"/>
      <c r="I2" s="547"/>
      <c r="J2" s="547"/>
      <c r="K2" s="547"/>
      <c r="L2" s="547"/>
      <c r="N2" s="189"/>
      <c r="O2" s="189"/>
      <c r="P2" s="189"/>
      <c r="Q2" s="189"/>
      <c r="R2" s="189"/>
    </row>
    <row r="3" spans="1:18" s="188" customFormat="1" ht="15.75" customHeight="1">
      <c r="A3" s="685" t="s">
        <v>670</v>
      </c>
      <c r="B3" s="685"/>
      <c r="C3" s="685"/>
      <c r="D3" s="685"/>
      <c r="E3" s="685"/>
      <c r="F3" s="685"/>
      <c r="G3" s="685"/>
      <c r="H3" s="685"/>
      <c r="I3" s="685"/>
      <c r="J3" s="685"/>
      <c r="K3" s="685"/>
      <c r="L3" s="685"/>
    </row>
    <row r="4" spans="1:18" s="189" customFormat="1" ht="15.75" customHeight="1">
      <c r="A4" s="685"/>
      <c r="B4" s="685"/>
      <c r="C4" s="685"/>
      <c r="D4" s="685"/>
      <c r="E4" s="685"/>
      <c r="F4" s="685"/>
      <c r="G4" s="685"/>
      <c r="H4" s="685"/>
      <c r="I4" s="685"/>
      <c r="J4" s="685"/>
      <c r="K4" s="685"/>
      <c r="L4" s="685"/>
    </row>
    <row r="5" spans="1:18" s="105" customFormat="1" ht="16.350000000000001" customHeight="1">
      <c r="A5" s="694" t="s">
        <v>162</v>
      </c>
      <c r="B5" s="169">
        <v>1</v>
      </c>
      <c r="C5" s="169">
        <v>2</v>
      </c>
      <c r="D5" s="169">
        <v>3</v>
      </c>
      <c r="E5" s="169">
        <v>4</v>
      </c>
      <c r="F5" s="169">
        <v>5</v>
      </c>
      <c r="G5" s="169">
        <v>6</v>
      </c>
      <c r="H5" s="190">
        <v>7</v>
      </c>
      <c r="I5" s="190">
        <v>8</v>
      </c>
      <c r="J5" s="169">
        <v>9</v>
      </c>
      <c r="K5" s="191"/>
      <c r="L5" s="191"/>
      <c r="M5" s="126"/>
      <c r="N5" s="177"/>
      <c r="O5" s="177"/>
      <c r="P5" s="177"/>
      <c r="Q5" s="177"/>
      <c r="R5" s="177"/>
    </row>
    <row r="6" spans="1:18" ht="16.350000000000001" customHeight="1">
      <c r="A6" s="696"/>
      <c r="B6" s="194" t="s">
        <v>206</v>
      </c>
      <c r="C6" s="194" t="s">
        <v>155</v>
      </c>
      <c r="D6" s="194" t="s">
        <v>207</v>
      </c>
      <c r="E6" s="194" t="s">
        <v>156</v>
      </c>
      <c r="F6" s="194" t="s">
        <v>138</v>
      </c>
      <c r="G6" s="195" t="s">
        <v>136</v>
      </c>
      <c r="H6" s="193" t="s">
        <v>208</v>
      </c>
      <c r="I6" s="208" t="s">
        <v>373</v>
      </c>
      <c r="J6" s="195" t="s">
        <v>142</v>
      </c>
      <c r="K6" s="197"/>
      <c r="L6" s="197"/>
      <c r="N6" s="198"/>
      <c r="O6" s="198"/>
      <c r="P6" s="198"/>
      <c r="Q6" s="198"/>
      <c r="R6" s="198"/>
    </row>
    <row r="7" spans="1:18" s="105" customFormat="1" ht="15.75" customHeight="1">
      <c r="A7" s="700" t="s">
        <v>188</v>
      </c>
      <c r="B7" s="701"/>
      <c r="C7" s="159" t="s">
        <v>47</v>
      </c>
      <c r="D7" s="700" t="s">
        <v>12</v>
      </c>
      <c r="E7" s="702"/>
      <c r="F7" s="701"/>
      <c r="G7" s="159" t="s">
        <v>46</v>
      </c>
      <c r="H7" s="159" t="s">
        <v>374</v>
      </c>
      <c r="I7" s="159" t="s">
        <v>375</v>
      </c>
      <c r="J7" s="159" t="s">
        <v>332</v>
      </c>
      <c r="K7" s="700" t="s">
        <v>51</v>
      </c>
      <c r="L7" s="701"/>
      <c r="M7" s="126"/>
      <c r="N7" s="188"/>
      <c r="O7" s="198"/>
      <c r="P7" s="384"/>
      <c r="Q7" s="384"/>
      <c r="R7" s="198"/>
    </row>
    <row r="8" spans="1:18" ht="15">
      <c r="A8" s="694">
        <v>7</v>
      </c>
      <c r="B8" s="697" t="s">
        <v>378</v>
      </c>
      <c r="C8" s="199">
        <v>1</v>
      </c>
      <c r="D8" s="703"/>
      <c r="E8" s="680"/>
      <c r="F8" s="680"/>
      <c r="G8" s="199"/>
      <c r="H8" s="201"/>
      <c r="I8" s="202"/>
      <c r="J8" s="199"/>
      <c r="K8" s="688"/>
      <c r="L8" s="690"/>
      <c r="N8" s="387"/>
      <c r="O8" s="198"/>
      <c r="P8" s="384"/>
      <c r="Q8" s="384"/>
      <c r="R8" s="198"/>
    </row>
    <row r="9" spans="1:18" ht="15">
      <c r="A9" s="695"/>
      <c r="B9" s="698"/>
      <c r="C9" s="199">
        <v>2</v>
      </c>
      <c r="D9" s="703"/>
      <c r="E9" s="680"/>
      <c r="F9" s="680"/>
      <c r="G9" s="199"/>
      <c r="H9" s="201"/>
      <c r="I9" s="202"/>
      <c r="J9" s="199"/>
      <c r="K9" s="688"/>
      <c r="L9" s="690"/>
      <c r="O9" s="198"/>
      <c r="P9" s="384"/>
      <c r="Q9" s="384"/>
      <c r="R9" s="198"/>
    </row>
    <row r="10" spans="1:18" ht="13.5">
      <c r="A10" s="695"/>
      <c r="B10" s="698"/>
      <c r="C10" s="199">
        <v>3</v>
      </c>
      <c r="D10" s="688"/>
      <c r="E10" s="689"/>
      <c r="F10" s="690"/>
      <c r="G10" s="199"/>
      <c r="H10" s="201"/>
      <c r="I10" s="202"/>
      <c r="J10" s="199"/>
      <c r="K10" s="688"/>
      <c r="L10" s="690"/>
      <c r="O10" s="198"/>
      <c r="P10" s="384"/>
      <c r="Q10" s="384"/>
      <c r="R10" s="198"/>
    </row>
    <row r="11" spans="1:18" ht="13.5">
      <c r="A11" s="695"/>
      <c r="B11" s="698"/>
      <c r="C11" s="199">
        <v>4</v>
      </c>
      <c r="D11" s="688"/>
      <c r="E11" s="689"/>
      <c r="F11" s="690"/>
      <c r="G11" s="199"/>
      <c r="H11" s="201"/>
      <c r="I11" s="202"/>
      <c r="J11" s="199"/>
      <c r="K11" s="688"/>
      <c r="L11" s="690"/>
      <c r="O11" s="198"/>
      <c r="P11" s="384"/>
      <c r="Q11" s="384"/>
      <c r="R11" s="198"/>
    </row>
    <row r="12" spans="1:18" ht="13.5">
      <c r="A12" s="695"/>
      <c r="B12" s="698"/>
      <c r="C12" s="199">
        <v>5</v>
      </c>
      <c r="D12" s="688"/>
      <c r="E12" s="689"/>
      <c r="F12" s="690"/>
      <c r="G12" s="199"/>
      <c r="H12" s="201"/>
      <c r="I12" s="202"/>
      <c r="J12" s="199"/>
      <c r="K12" s="688"/>
      <c r="L12" s="690"/>
      <c r="N12" s="177"/>
      <c r="O12" s="198"/>
      <c r="P12" s="384"/>
      <c r="Q12" s="384"/>
      <c r="R12" s="198"/>
    </row>
    <row r="13" spans="1:18" ht="13.5">
      <c r="A13" s="695"/>
      <c r="B13" s="698"/>
      <c r="C13" s="203" t="s">
        <v>204</v>
      </c>
      <c r="D13" s="688"/>
      <c r="E13" s="689"/>
      <c r="F13" s="690"/>
      <c r="G13" s="199"/>
      <c r="H13" s="201"/>
      <c r="I13" s="202"/>
      <c r="J13" s="199"/>
      <c r="K13" s="688"/>
      <c r="L13" s="690"/>
      <c r="N13" s="387"/>
      <c r="O13" s="198"/>
      <c r="P13" s="384"/>
      <c r="Q13" s="384"/>
      <c r="R13" s="198"/>
    </row>
    <row r="14" spans="1:18" ht="13.5">
      <c r="A14" s="695"/>
      <c r="B14" s="698"/>
      <c r="C14" s="203" t="s">
        <v>209</v>
      </c>
      <c r="D14" s="688"/>
      <c r="E14" s="689"/>
      <c r="F14" s="690"/>
      <c r="G14" s="199"/>
      <c r="H14" s="201"/>
      <c r="I14" s="202"/>
      <c r="J14" s="199"/>
      <c r="K14" s="688"/>
      <c r="L14" s="690"/>
      <c r="O14" s="198"/>
      <c r="P14" s="384"/>
      <c r="Q14" s="384"/>
      <c r="R14" s="198"/>
    </row>
    <row r="15" spans="1:18" ht="13.5">
      <c r="A15" s="695"/>
      <c r="B15" s="698"/>
      <c r="C15" s="203" t="s">
        <v>205</v>
      </c>
      <c r="D15" s="688"/>
      <c r="E15" s="689"/>
      <c r="F15" s="690"/>
      <c r="G15" s="199"/>
      <c r="H15" s="201"/>
      <c r="I15" s="202"/>
      <c r="J15" s="199"/>
      <c r="K15" s="688"/>
      <c r="L15" s="690"/>
      <c r="O15" s="198"/>
      <c r="P15" s="384"/>
      <c r="Q15" s="384"/>
      <c r="R15" s="198"/>
    </row>
    <row r="16" spans="1:18" ht="13.5">
      <c r="A16" s="695"/>
      <c r="B16" s="698"/>
      <c r="C16" s="203" t="s">
        <v>210</v>
      </c>
      <c r="D16" s="688"/>
      <c r="E16" s="689"/>
      <c r="F16" s="690"/>
      <c r="G16" s="199"/>
      <c r="H16" s="201"/>
      <c r="I16" s="202"/>
      <c r="J16" s="199"/>
      <c r="K16" s="688"/>
      <c r="L16" s="690"/>
      <c r="M16" s="98"/>
      <c r="O16" s="198"/>
      <c r="P16" s="384"/>
      <c r="Q16" s="384"/>
      <c r="R16" s="198"/>
    </row>
    <row r="17" spans="1:18" ht="13.5">
      <c r="A17" s="696"/>
      <c r="B17" s="699"/>
      <c r="C17" s="203" t="s">
        <v>211</v>
      </c>
      <c r="D17" s="688"/>
      <c r="E17" s="689"/>
      <c r="F17" s="690"/>
      <c r="G17" s="199"/>
      <c r="H17" s="201"/>
      <c r="I17" s="202"/>
      <c r="J17" s="199"/>
      <c r="K17" s="688"/>
      <c r="L17" s="690"/>
      <c r="M17" s="98"/>
      <c r="N17" s="198"/>
      <c r="O17" s="198"/>
      <c r="P17" s="384"/>
      <c r="Q17" s="384"/>
      <c r="R17" s="198"/>
    </row>
    <row r="18" spans="1:18" s="103" customFormat="1" ht="14.25">
      <c r="A18" s="691" t="s">
        <v>188</v>
      </c>
      <c r="B18" s="692"/>
      <c r="C18" s="206" t="s">
        <v>47</v>
      </c>
      <c r="D18" s="691" t="s">
        <v>12</v>
      </c>
      <c r="E18" s="693"/>
      <c r="F18" s="692"/>
      <c r="G18" s="206" t="s">
        <v>46</v>
      </c>
      <c r="H18" s="206" t="s">
        <v>374</v>
      </c>
      <c r="I18" s="206" t="s">
        <v>375</v>
      </c>
      <c r="J18" s="159" t="s">
        <v>332</v>
      </c>
      <c r="K18" s="691" t="s">
        <v>51</v>
      </c>
      <c r="L18" s="692"/>
      <c r="M18" s="127"/>
      <c r="N18" s="188"/>
      <c r="O18" s="198"/>
      <c r="P18" s="384"/>
      <c r="Q18" s="384"/>
      <c r="R18" s="198"/>
    </row>
    <row r="19" spans="1:18" ht="13.5">
      <c r="A19" s="694">
        <v>8</v>
      </c>
      <c r="B19" s="697" t="s">
        <v>379</v>
      </c>
      <c r="C19" s="199">
        <v>1</v>
      </c>
      <c r="D19" s="688" t="s">
        <v>533</v>
      </c>
      <c r="E19" s="689"/>
      <c r="F19" s="690"/>
      <c r="G19" s="199">
        <v>19</v>
      </c>
      <c r="H19" s="201">
        <v>3190.3979423240085</v>
      </c>
      <c r="I19" s="202">
        <v>167.91568117494782</v>
      </c>
      <c r="J19" s="351">
        <v>0.11639097744361493</v>
      </c>
      <c r="K19" s="679" t="s">
        <v>427</v>
      </c>
      <c r="L19" s="680"/>
      <c r="M19" s="98"/>
      <c r="O19" s="198"/>
      <c r="P19" s="384"/>
      <c r="Q19" s="384"/>
      <c r="R19" s="198"/>
    </row>
    <row r="20" spans="1:18" ht="13.5">
      <c r="A20" s="695"/>
      <c r="B20" s="698"/>
      <c r="C20" s="199">
        <v>2</v>
      </c>
      <c r="D20" s="688" t="s">
        <v>543</v>
      </c>
      <c r="E20" s="689"/>
      <c r="F20" s="690"/>
      <c r="G20" s="199">
        <v>19</v>
      </c>
      <c r="H20" s="201">
        <v>3187.0605783769715</v>
      </c>
      <c r="I20" s="202">
        <v>167.74003044089321</v>
      </c>
      <c r="J20" s="351">
        <v>9.7854892068312438E-2</v>
      </c>
      <c r="K20" s="679" t="s">
        <v>427</v>
      </c>
      <c r="L20" s="680"/>
      <c r="M20" s="98"/>
      <c r="O20" s="177"/>
      <c r="P20" s="383"/>
      <c r="Q20" s="383"/>
      <c r="R20" s="177"/>
    </row>
    <row r="21" spans="1:18" ht="13.5">
      <c r="A21" s="695"/>
      <c r="B21" s="698"/>
      <c r="C21" s="199">
        <v>3</v>
      </c>
      <c r="D21" s="688" t="s">
        <v>539</v>
      </c>
      <c r="E21" s="689"/>
      <c r="F21" s="690"/>
      <c r="G21" s="199">
        <v>19</v>
      </c>
      <c r="H21" s="201">
        <v>3185.7420154183096</v>
      </c>
      <c r="I21" s="202">
        <v>167.67063239043733</v>
      </c>
      <c r="J21" s="351">
        <v>-1.817269630353735E-2</v>
      </c>
      <c r="K21" s="679" t="s">
        <v>427</v>
      </c>
      <c r="L21" s="680"/>
      <c r="M21" s="98"/>
      <c r="O21" s="198"/>
      <c r="P21" s="384"/>
      <c r="Q21" s="384"/>
      <c r="R21" s="198"/>
    </row>
    <row r="22" spans="1:18" ht="13.5">
      <c r="A22" s="695"/>
      <c r="B22" s="698"/>
      <c r="C22" s="199">
        <v>4</v>
      </c>
      <c r="D22" s="688" t="s">
        <v>614</v>
      </c>
      <c r="E22" s="689"/>
      <c r="F22" s="690"/>
      <c r="G22" s="199">
        <v>19</v>
      </c>
      <c r="H22" s="201">
        <v>3184.8176608483977</v>
      </c>
      <c r="I22" s="202">
        <v>167.62198214991568</v>
      </c>
      <c r="J22" s="351">
        <v>-5.6240215624967504E-2</v>
      </c>
      <c r="K22" s="679" t="s">
        <v>427</v>
      </c>
      <c r="L22" s="680"/>
      <c r="M22" s="98"/>
      <c r="O22" s="198"/>
      <c r="P22" s="384"/>
      <c r="Q22" s="384"/>
      <c r="R22" s="198"/>
    </row>
    <row r="23" spans="1:18" ht="13.5">
      <c r="A23" s="695"/>
      <c r="B23" s="698"/>
      <c r="C23" s="199">
        <v>5</v>
      </c>
      <c r="D23" s="688" t="s">
        <v>531</v>
      </c>
      <c r="E23" s="689"/>
      <c r="F23" s="690"/>
      <c r="G23" s="199">
        <v>20</v>
      </c>
      <c r="H23" s="201">
        <v>3261.2765221447598</v>
      </c>
      <c r="I23" s="202">
        <v>163.06382610723799</v>
      </c>
      <c r="J23" s="351">
        <v>1.8000000000029104E-2</v>
      </c>
      <c r="K23" s="679" t="s">
        <v>427</v>
      </c>
      <c r="L23" s="680"/>
      <c r="M23" s="98"/>
      <c r="O23" s="198"/>
      <c r="P23" s="384"/>
      <c r="Q23" s="384"/>
      <c r="R23" s="198"/>
    </row>
    <row r="24" spans="1:18" ht="13.5">
      <c r="A24" s="695"/>
      <c r="B24" s="698"/>
      <c r="C24" s="203" t="s">
        <v>204</v>
      </c>
      <c r="D24" s="688" t="s">
        <v>597</v>
      </c>
      <c r="E24" s="689"/>
      <c r="F24" s="690"/>
      <c r="G24" s="199">
        <v>24</v>
      </c>
      <c r="H24" s="201">
        <v>3257.7008943134801</v>
      </c>
      <c r="I24" s="202">
        <v>135.73753726306168</v>
      </c>
      <c r="J24" s="351">
        <v>-0.16004051605551695</v>
      </c>
      <c r="K24" s="679" t="s">
        <v>427</v>
      </c>
      <c r="L24" s="680"/>
      <c r="M24" s="98"/>
      <c r="O24" s="198"/>
      <c r="P24" s="384"/>
      <c r="Q24" s="384"/>
      <c r="R24" s="198"/>
    </row>
    <row r="25" spans="1:18" ht="13.5">
      <c r="A25" s="695"/>
      <c r="B25" s="698"/>
      <c r="C25" s="203" t="s">
        <v>209</v>
      </c>
      <c r="D25" s="688" t="s">
        <v>630</v>
      </c>
      <c r="E25" s="689"/>
      <c r="F25" s="690"/>
      <c r="G25" s="199">
        <v>24</v>
      </c>
      <c r="H25" s="201">
        <v>3262.3733825413874</v>
      </c>
      <c r="I25" s="202">
        <v>135.93222427255782</v>
      </c>
      <c r="J25" s="351">
        <v>9.9513767793922625E-2</v>
      </c>
      <c r="K25" s="679" t="s">
        <v>427</v>
      </c>
      <c r="L25" s="680"/>
      <c r="M25" s="98"/>
      <c r="O25" s="198"/>
      <c r="P25" s="384"/>
      <c r="Q25" s="384"/>
      <c r="R25" s="198"/>
    </row>
    <row r="26" spans="1:18" ht="13.5">
      <c r="A26" s="695"/>
      <c r="B26" s="698"/>
      <c r="C26" s="203" t="s">
        <v>205</v>
      </c>
      <c r="D26" s="688" t="s">
        <v>532</v>
      </c>
      <c r="E26" s="689"/>
      <c r="F26" s="690"/>
      <c r="G26" s="199">
        <v>21</v>
      </c>
      <c r="H26" s="201">
        <v>3257.2949390732165</v>
      </c>
      <c r="I26" s="202">
        <v>155.10928281301025</v>
      </c>
      <c r="J26" s="351">
        <v>-1.9591836734662138E-2</v>
      </c>
      <c r="K26" s="679" t="s">
        <v>427</v>
      </c>
      <c r="L26" s="680"/>
      <c r="M26" s="98"/>
      <c r="O26" s="198"/>
      <c r="P26" s="384"/>
      <c r="Q26" s="384"/>
      <c r="R26" s="198"/>
    </row>
    <row r="27" spans="1:18" ht="13.5">
      <c r="A27" s="695"/>
      <c r="B27" s="698"/>
      <c r="C27" s="203" t="s">
        <v>210</v>
      </c>
      <c r="D27" s="688"/>
      <c r="E27" s="689"/>
      <c r="F27" s="690"/>
      <c r="G27" s="199"/>
      <c r="H27" s="201"/>
      <c r="I27" s="202"/>
      <c r="J27" s="199"/>
      <c r="K27" s="688"/>
      <c r="L27" s="690"/>
      <c r="M27" s="98"/>
      <c r="O27" s="198"/>
      <c r="P27" s="384"/>
      <c r="Q27" s="384"/>
      <c r="R27" s="198"/>
    </row>
    <row r="28" spans="1:18" ht="13.5">
      <c r="A28" s="696"/>
      <c r="B28" s="699"/>
      <c r="C28" s="203" t="s">
        <v>211</v>
      </c>
      <c r="D28" s="688"/>
      <c r="E28" s="689"/>
      <c r="F28" s="690"/>
      <c r="G28" s="199"/>
      <c r="H28" s="201"/>
      <c r="I28" s="202"/>
      <c r="J28" s="199"/>
      <c r="K28" s="688"/>
      <c r="L28" s="690"/>
      <c r="M28" s="98"/>
      <c r="O28" s="198"/>
      <c r="P28" s="384"/>
      <c r="Q28" s="384"/>
      <c r="R28" s="198"/>
    </row>
    <row r="29" spans="1:18" s="188" customFormat="1" ht="15.75" customHeight="1">
      <c r="A29" s="685" t="s">
        <v>742</v>
      </c>
      <c r="B29" s="685"/>
      <c r="C29" s="685"/>
      <c r="D29" s="685"/>
      <c r="E29" s="685"/>
      <c r="F29" s="685"/>
      <c r="G29" s="685"/>
      <c r="H29" s="685"/>
      <c r="I29" s="685"/>
      <c r="J29" s="685"/>
      <c r="K29" s="685"/>
      <c r="L29" s="685"/>
    </row>
    <row r="30" spans="1:18" s="189" customFormat="1" ht="15.75" customHeight="1">
      <c r="A30" s="685"/>
      <c r="B30" s="685"/>
      <c r="C30" s="685"/>
      <c r="D30" s="685"/>
      <c r="E30" s="685"/>
      <c r="F30" s="685"/>
      <c r="G30" s="685"/>
      <c r="H30" s="685"/>
      <c r="I30" s="685"/>
      <c r="J30" s="685"/>
      <c r="K30" s="685"/>
      <c r="L30" s="685"/>
    </row>
    <row r="31" spans="1:18" s="105" customFormat="1" ht="16.350000000000001" customHeight="1">
      <c r="A31" s="694" t="s">
        <v>162</v>
      </c>
      <c r="B31" s="169">
        <v>1</v>
      </c>
      <c r="C31" s="169">
        <v>2</v>
      </c>
      <c r="D31" s="169">
        <v>3</v>
      </c>
      <c r="E31" s="169">
        <v>4</v>
      </c>
      <c r="F31" s="169">
        <v>5</v>
      </c>
      <c r="G31" s="169">
        <v>6</v>
      </c>
      <c r="H31" s="190">
        <v>7</v>
      </c>
      <c r="I31" s="190">
        <v>8</v>
      </c>
      <c r="J31" s="169">
        <v>9</v>
      </c>
      <c r="K31" s="191"/>
      <c r="L31" s="191"/>
      <c r="M31" s="126"/>
      <c r="N31" s="177"/>
      <c r="O31" s="177"/>
      <c r="P31" s="177"/>
      <c r="Q31" s="177"/>
      <c r="R31" s="177"/>
    </row>
    <row r="32" spans="1:18" ht="16.350000000000001" customHeight="1">
      <c r="A32" s="696"/>
      <c r="B32" s="194" t="s">
        <v>206</v>
      </c>
      <c r="C32" s="194" t="s">
        <v>155</v>
      </c>
      <c r="D32" s="194" t="s">
        <v>207</v>
      </c>
      <c r="E32" s="194" t="s">
        <v>156</v>
      </c>
      <c r="F32" s="194" t="s">
        <v>138</v>
      </c>
      <c r="G32" s="195" t="s">
        <v>136</v>
      </c>
      <c r="H32" s="193" t="s">
        <v>208</v>
      </c>
      <c r="I32" s="208" t="s">
        <v>373</v>
      </c>
      <c r="J32" s="195" t="s">
        <v>142</v>
      </c>
      <c r="K32" s="197"/>
      <c r="L32" s="197"/>
      <c r="N32" s="198"/>
      <c r="O32" s="198"/>
      <c r="P32" s="198"/>
      <c r="Q32" s="198"/>
      <c r="R32" s="198"/>
    </row>
    <row r="33" spans="1:18" s="105" customFormat="1" ht="15.75" customHeight="1">
      <c r="A33" s="700" t="s">
        <v>188</v>
      </c>
      <c r="B33" s="701"/>
      <c r="C33" s="159" t="s">
        <v>47</v>
      </c>
      <c r="D33" s="700" t="s">
        <v>12</v>
      </c>
      <c r="E33" s="702"/>
      <c r="F33" s="701"/>
      <c r="G33" s="159" t="s">
        <v>46</v>
      </c>
      <c r="H33" s="159" t="s">
        <v>374</v>
      </c>
      <c r="I33" s="159" t="s">
        <v>375</v>
      </c>
      <c r="J33" s="159" t="s">
        <v>332</v>
      </c>
      <c r="K33" s="700" t="s">
        <v>51</v>
      </c>
      <c r="L33" s="701"/>
      <c r="M33" s="126"/>
      <c r="N33" s="188"/>
      <c r="O33" s="198"/>
      <c r="P33" s="384"/>
      <c r="Q33" s="384"/>
      <c r="R33" s="198"/>
    </row>
    <row r="34" spans="1:18" ht="15">
      <c r="A34" s="694">
        <v>7</v>
      </c>
      <c r="B34" s="697" t="s">
        <v>378</v>
      </c>
      <c r="C34" s="199">
        <v>1</v>
      </c>
      <c r="D34" s="703"/>
      <c r="E34" s="680"/>
      <c r="F34" s="680"/>
      <c r="G34" s="199"/>
      <c r="H34" s="201"/>
      <c r="I34" s="202"/>
      <c r="J34" s="199"/>
      <c r="K34" s="688"/>
      <c r="L34" s="690"/>
      <c r="N34" s="387"/>
      <c r="O34" s="198"/>
      <c r="P34" s="384"/>
      <c r="Q34" s="384"/>
      <c r="R34" s="198"/>
    </row>
    <row r="35" spans="1:18" ht="15">
      <c r="A35" s="695"/>
      <c r="B35" s="698"/>
      <c r="C35" s="199">
        <v>2</v>
      </c>
      <c r="D35" s="703"/>
      <c r="E35" s="680"/>
      <c r="F35" s="680"/>
      <c r="G35" s="199"/>
      <c r="H35" s="201"/>
      <c r="I35" s="202"/>
      <c r="J35" s="199"/>
      <c r="K35" s="688"/>
      <c r="L35" s="690"/>
      <c r="O35" s="198"/>
      <c r="P35" s="384"/>
      <c r="Q35" s="384"/>
      <c r="R35" s="198"/>
    </row>
    <row r="36" spans="1:18" ht="13.5">
      <c r="A36" s="695"/>
      <c r="B36" s="698"/>
      <c r="C36" s="199">
        <v>3</v>
      </c>
      <c r="D36" s="688"/>
      <c r="E36" s="689"/>
      <c r="F36" s="690"/>
      <c r="G36" s="199"/>
      <c r="H36" s="201"/>
      <c r="I36" s="202"/>
      <c r="J36" s="199"/>
      <c r="K36" s="688"/>
      <c r="L36" s="690"/>
      <c r="O36" s="198"/>
      <c r="P36" s="384"/>
      <c r="Q36" s="384"/>
      <c r="R36" s="198"/>
    </row>
    <row r="37" spans="1:18" ht="13.5">
      <c r="A37" s="695"/>
      <c r="B37" s="698"/>
      <c r="C37" s="199">
        <v>4</v>
      </c>
      <c r="D37" s="688"/>
      <c r="E37" s="689"/>
      <c r="F37" s="690"/>
      <c r="G37" s="199"/>
      <c r="H37" s="201"/>
      <c r="I37" s="202"/>
      <c r="J37" s="199"/>
      <c r="K37" s="688"/>
      <c r="L37" s="690"/>
      <c r="O37" s="198"/>
      <c r="P37" s="384"/>
      <c r="Q37" s="384"/>
      <c r="R37" s="198"/>
    </row>
    <row r="38" spans="1:18" ht="13.5">
      <c r="A38" s="695"/>
      <c r="B38" s="698"/>
      <c r="C38" s="199">
        <v>5</v>
      </c>
      <c r="D38" s="688"/>
      <c r="E38" s="689"/>
      <c r="F38" s="690"/>
      <c r="G38" s="199"/>
      <c r="H38" s="201"/>
      <c r="I38" s="202"/>
      <c r="J38" s="199"/>
      <c r="K38" s="688"/>
      <c r="L38" s="690"/>
      <c r="N38" s="177"/>
      <c r="O38" s="198"/>
      <c r="P38" s="384"/>
      <c r="Q38" s="384"/>
      <c r="R38" s="198"/>
    </row>
    <row r="39" spans="1:18" ht="13.5">
      <c r="A39" s="695"/>
      <c r="B39" s="698"/>
      <c r="C39" s="203" t="s">
        <v>204</v>
      </c>
      <c r="D39" s="688"/>
      <c r="E39" s="689"/>
      <c r="F39" s="690"/>
      <c r="G39" s="199"/>
      <c r="H39" s="201"/>
      <c r="I39" s="202"/>
      <c r="J39" s="199"/>
      <c r="K39" s="688"/>
      <c r="L39" s="690"/>
      <c r="N39" s="387"/>
      <c r="O39" s="198"/>
      <c r="P39" s="384"/>
      <c r="Q39" s="384"/>
      <c r="R39" s="198"/>
    </row>
    <row r="40" spans="1:18" ht="13.5">
      <c r="A40" s="695"/>
      <c r="B40" s="698"/>
      <c r="C40" s="203" t="s">
        <v>209</v>
      </c>
      <c r="D40" s="688"/>
      <c r="E40" s="689"/>
      <c r="F40" s="690"/>
      <c r="G40" s="199"/>
      <c r="H40" s="201"/>
      <c r="I40" s="202"/>
      <c r="J40" s="199"/>
      <c r="K40" s="688"/>
      <c r="L40" s="690"/>
      <c r="O40" s="198"/>
      <c r="P40" s="384"/>
      <c r="Q40" s="384"/>
      <c r="R40" s="198"/>
    </row>
    <row r="41" spans="1:18" ht="13.5">
      <c r="A41" s="695"/>
      <c r="B41" s="698"/>
      <c r="C41" s="203" t="s">
        <v>205</v>
      </c>
      <c r="D41" s="688"/>
      <c r="E41" s="689"/>
      <c r="F41" s="690"/>
      <c r="G41" s="199"/>
      <c r="H41" s="201"/>
      <c r="I41" s="202"/>
      <c r="J41" s="199"/>
      <c r="K41" s="688"/>
      <c r="L41" s="690"/>
      <c r="O41" s="198"/>
      <c r="P41" s="384"/>
      <c r="Q41" s="384"/>
      <c r="R41" s="198"/>
    </row>
    <row r="42" spans="1:18" ht="13.5">
      <c r="A42" s="695"/>
      <c r="B42" s="698"/>
      <c r="C42" s="203" t="s">
        <v>210</v>
      </c>
      <c r="D42" s="688"/>
      <c r="E42" s="689"/>
      <c r="F42" s="690"/>
      <c r="G42" s="199"/>
      <c r="H42" s="201"/>
      <c r="I42" s="202"/>
      <c r="J42" s="199"/>
      <c r="K42" s="688"/>
      <c r="L42" s="690"/>
      <c r="M42" s="98"/>
      <c r="O42" s="198"/>
      <c r="P42" s="384"/>
      <c r="Q42" s="384"/>
      <c r="R42" s="198"/>
    </row>
    <row r="43" spans="1:18" ht="13.5">
      <c r="A43" s="696"/>
      <c r="B43" s="699"/>
      <c r="C43" s="203" t="s">
        <v>211</v>
      </c>
      <c r="D43" s="688"/>
      <c r="E43" s="689"/>
      <c r="F43" s="690"/>
      <c r="G43" s="199"/>
      <c r="H43" s="201"/>
      <c r="I43" s="202"/>
      <c r="J43" s="199"/>
      <c r="K43" s="688"/>
      <c r="L43" s="690"/>
      <c r="M43" s="98"/>
      <c r="N43" s="198"/>
      <c r="O43" s="198"/>
      <c r="P43" s="384"/>
      <c r="Q43" s="384"/>
      <c r="R43" s="198"/>
    </row>
    <row r="44" spans="1:18" s="103" customFormat="1" ht="14.25">
      <c r="A44" s="691" t="s">
        <v>188</v>
      </c>
      <c r="B44" s="692"/>
      <c r="C44" s="206" t="s">
        <v>47</v>
      </c>
      <c r="D44" s="691" t="s">
        <v>12</v>
      </c>
      <c r="E44" s="693"/>
      <c r="F44" s="692"/>
      <c r="G44" s="206" t="s">
        <v>46</v>
      </c>
      <c r="H44" s="206" t="s">
        <v>374</v>
      </c>
      <c r="I44" s="206" t="s">
        <v>375</v>
      </c>
      <c r="J44" s="159" t="s">
        <v>332</v>
      </c>
      <c r="K44" s="691" t="s">
        <v>51</v>
      </c>
      <c r="L44" s="692"/>
      <c r="M44" s="127"/>
      <c r="N44" s="188"/>
      <c r="O44" s="198"/>
      <c r="P44" s="384"/>
      <c r="Q44" s="384"/>
      <c r="R44" s="198"/>
    </row>
    <row r="45" spans="1:18" ht="13.5">
      <c r="A45" s="694">
        <v>8</v>
      </c>
      <c r="B45" s="697" t="s">
        <v>379</v>
      </c>
      <c r="C45" s="199">
        <v>1</v>
      </c>
      <c r="D45" s="688" t="s">
        <v>533</v>
      </c>
      <c r="E45" s="689"/>
      <c r="F45" s="690"/>
      <c r="G45" s="199">
        <v>19</v>
      </c>
      <c r="H45" s="201">
        <v>3191.1179423240069</v>
      </c>
      <c r="I45" s="202">
        <v>167.95357591178981</v>
      </c>
      <c r="J45" s="351">
        <f>I45-I19</f>
        <v>3.7894736841991516E-2</v>
      </c>
      <c r="K45" s="679" t="s">
        <v>427</v>
      </c>
      <c r="L45" s="680"/>
      <c r="M45" s="98"/>
      <c r="O45" s="198"/>
      <c r="P45" s="384"/>
      <c r="Q45" s="384"/>
      <c r="R45" s="198"/>
    </row>
    <row r="46" spans="1:18" ht="13.5">
      <c r="A46" s="695"/>
      <c r="B46" s="698"/>
      <c r="C46" s="199">
        <v>2</v>
      </c>
      <c r="D46" s="688" t="s">
        <v>614</v>
      </c>
      <c r="E46" s="689"/>
      <c r="F46" s="690"/>
      <c r="G46" s="199">
        <v>19</v>
      </c>
      <c r="H46" s="201">
        <v>3188.4312659167049</v>
      </c>
      <c r="I46" s="202">
        <v>167.81217189035289</v>
      </c>
      <c r="J46" s="351">
        <f>I46-I22</f>
        <v>0.19018974043720505</v>
      </c>
      <c r="K46" s="679" t="s">
        <v>427</v>
      </c>
      <c r="L46" s="680"/>
      <c r="M46" s="98"/>
      <c r="O46" s="177"/>
      <c r="P46" s="383"/>
      <c r="Q46" s="383"/>
      <c r="R46" s="177"/>
    </row>
    <row r="47" spans="1:18" ht="13.5">
      <c r="A47" s="695"/>
      <c r="B47" s="698"/>
      <c r="C47" s="199">
        <v>3</v>
      </c>
      <c r="D47" s="688" t="s">
        <v>543</v>
      </c>
      <c r="E47" s="689"/>
      <c r="F47" s="690"/>
      <c r="G47" s="199">
        <v>19</v>
      </c>
      <c r="H47" s="201">
        <v>3187.7634355198265</v>
      </c>
      <c r="I47" s="202">
        <v>167.77702292209611</v>
      </c>
      <c r="J47" s="351">
        <f>I47-I20</f>
        <v>3.6992481202901217E-2</v>
      </c>
      <c r="K47" s="679" t="s">
        <v>427</v>
      </c>
      <c r="L47" s="680"/>
      <c r="M47" s="98"/>
      <c r="O47" s="198"/>
      <c r="P47" s="384"/>
      <c r="Q47" s="384"/>
      <c r="R47" s="198"/>
    </row>
    <row r="48" spans="1:18" ht="13.5">
      <c r="A48" s="695"/>
      <c r="B48" s="698"/>
      <c r="C48" s="199">
        <v>4</v>
      </c>
      <c r="D48" s="688" t="s">
        <v>539</v>
      </c>
      <c r="E48" s="689"/>
      <c r="F48" s="690"/>
      <c r="G48" s="199">
        <v>19</v>
      </c>
      <c r="H48" s="201">
        <v>3187.4416259245554</v>
      </c>
      <c r="I48" s="202">
        <v>167.76008557497661</v>
      </c>
      <c r="J48" s="351">
        <f>I48-I21</f>
        <v>8.9453184539280528E-2</v>
      </c>
      <c r="K48" s="679" t="s">
        <v>427</v>
      </c>
      <c r="L48" s="680"/>
      <c r="M48" s="98"/>
      <c r="O48" s="198"/>
      <c r="P48" s="384"/>
      <c r="Q48" s="384"/>
      <c r="R48" s="198"/>
    </row>
    <row r="49" spans="1:18" ht="13.5">
      <c r="A49" s="695"/>
      <c r="B49" s="698"/>
      <c r="C49" s="199">
        <v>5</v>
      </c>
      <c r="D49" s="688" t="s">
        <v>531</v>
      </c>
      <c r="E49" s="689"/>
      <c r="F49" s="690"/>
      <c r="G49" s="199">
        <v>20</v>
      </c>
      <c r="H49" s="201">
        <v>3261.8936650019027</v>
      </c>
      <c r="I49" s="202">
        <v>163.09468325009513</v>
      </c>
      <c r="J49" s="351">
        <f>I49-I23</f>
        <v>3.0857142857144026E-2</v>
      </c>
      <c r="K49" s="679" t="s">
        <v>427</v>
      </c>
      <c r="L49" s="680"/>
      <c r="M49" s="98"/>
      <c r="O49" s="198"/>
      <c r="P49" s="384"/>
      <c r="Q49" s="384"/>
      <c r="R49" s="198"/>
    </row>
    <row r="50" spans="1:18" ht="13.5">
      <c r="A50" s="695"/>
      <c r="B50" s="698"/>
      <c r="C50" s="203" t="s">
        <v>204</v>
      </c>
      <c r="D50" s="688" t="s">
        <v>597</v>
      </c>
      <c r="E50" s="689"/>
      <c r="F50" s="690"/>
      <c r="G50" s="199">
        <v>24</v>
      </c>
      <c r="H50" s="201">
        <v>3256.7237514563381</v>
      </c>
      <c r="I50" s="202">
        <v>135.69682297734741</v>
      </c>
      <c r="J50" s="351">
        <f>I50-I24</f>
        <v>-4.0714285714273046E-2</v>
      </c>
      <c r="K50" s="679" t="s">
        <v>427</v>
      </c>
      <c r="L50" s="680"/>
      <c r="M50" s="98"/>
      <c r="O50" s="198"/>
      <c r="P50" s="384"/>
      <c r="Q50" s="384"/>
      <c r="R50" s="198"/>
    </row>
    <row r="51" spans="1:18" ht="13.5">
      <c r="A51" s="695"/>
      <c r="B51" s="698"/>
      <c r="C51" s="203" t="s">
        <v>209</v>
      </c>
      <c r="D51" s="688" t="s">
        <v>630</v>
      </c>
      <c r="E51" s="689"/>
      <c r="F51" s="690"/>
      <c r="G51" s="199">
        <v>24</v>
      </c>
      <c r="H51" s="201">
        <v>3263.9162396842435</v>
      </c>
      <c r="I51" s="202">
        <v>135.99650998684348</v>
      </c>
      <c r="J51" s="351">
        <f>I51-I25</f>
        <v>6.4285714285659878E-2</v>
      </c>
      <c r="K51" s="679" t="s">
        <v>427</v>
      </c>
      <c r="L51" s="680"/>
      <c r="M51" s="98"/>
      <c r="O51" s="198"/>
      <c r="P51" s="384"/>
      <c r="Q51" s="384"/>
      <c r="R51" s="198"/>
    </row>
    <row r="52" spans="1:18" ht="13.5">
      <c r="A52" s="695"/>
      <c r="B52" s="698"/>
      <c r="C52" s="203" t="s">
        <v>205</v>
      </c>
      <c r="D52" s="688" t="s">
        <v>532</v>
      </c>
      <c r="E52" s="689"/>
      <c r="F52" s="690"/>
      <c r="G52" s="199">
        <v>21</v>
      </c>
      <c r="H52" s="201">
        <v>3260.0206533589308</v>
      </c>
      <c r="I52" s="202">
        <v>155.23907873137765</v>
      </c>
      <c r="J52" s="351">
        <f>I52-I26</f>
        <v>0.12979591836739246</v>
      </c>
      <c r="K52" s="679" t="s">
        <v>427</v>
      </c>
      <c r="L52" s="680"/>
      <c r="M52" s="98"/>
      <c r="O52" s="198"/>
      <c r="P52" s="384"/>
      <c r="Q52" s="384"/>
      <c r="R52" s="198"/>
    </row>
    <row r="53" spans="1:18">
      <c r="A53" s="695"/>
      <c r="B53" s="698"/>
      <c r="C53" s="203" t="s">
        <v>210</v>
      </c>
      <c r="D53" s="688" t="s">
        <v>752</v>
      </c>
      <c r="E53" s="689"/>
      <c r="F53" s="690"/>
      <c r="G53" s="199">
        <v>20</v>
      </c>
      <c r="H53" s="201">
        <v>3118.1563459605654</v>
      </c>
      <c r="I53" s="202">
        <v>155.90781729802828</v>
      </c>
      <c r="J53" s="351"/>
      <c r="K53" s="704" t="s">
        <v>783</v>
      </c>
      <c r="L53" s="690"/>
      <c r="M53" s="98"/>
      <c r="O53" s="198"/>
      <c r="P53" s="384"/>
      <c r="Q53" s="384"/>
      <c r="R53" s="198"/>
    </row>
    <row r="54" spans="1:18" ht="13.5">
      <c r="A54" s="696"/>
      <c r="B54" s="699"/>
      <c r="C54" s="203" t="s">
        <v>211</v>
      </c>
      <c r="D54" s="688"/>
      <c r="E54" s="689"/>
      <c r="F54" s="690"/>
      <c r="G54" s="199"/>
      <c r="H54" s="201"/>
      <c r="I54" s="202"/>
      <c r="J54" s="199"/>
      <c r="K54" s="688"/>
      <c r="L54" s="690"/>
      <c r="M54" s="98"/>
      <c r="O54" s="198"/>
      <c r="P54" s="384"/>
      <c r="Q54" s="384"/>
      <c r="R54" s="198"/>
    </row>
    <row r="55" spans="1:18" s="188" customFormat="1" ht="15.75" customHeight="1">
      <c r="A55" s="685" t="s">
        <v>747</v>
      </c>
      <c r="B55" s="685"/>
      <c r="C55" s="685"/>
      <c r="D55" s="685"/>
      <c r="E55" s="685"/>
      <c r="F55" s="685"/>
      <c r="G55" s="685"/>
      <c r="H55" s="685"/>
      <c r="I55" s="685"/>
      <c r="J55" s="685"/>
      <c r="K55" s="685"/>
      <c r="L55" s="685"/>
    </row>
    <row r="56" spans="1:18" s="189" customFormat="1" ht="15.75" customHeight="1">
      <c r="A56" s="685"/>
      <c r="B56" s="685"/>
      <c r="C56" s="685"/>
      <c r="D56" s="685"/>
      <c r="E56" s="685"/>
      <c r="F56" s="685"/>
      <c r="G56" s="685"/>
      <c r="H56" s="685"/>
      <c r="I56" s="685"/>
      <c r="J56" s="685"/>
      <c r="K56" s="685"/>
      <c r="L56" s="685"/>
    </row>
    <row r="57" spans="1:18" s="105" customFormat="1" ht="16.350000000000001" customHeight="1">
      <c r="A57" s="694" t="s">
        <v>162</v>
      </c>
      <c r="B57" s="169">
        <v>1</v>
      </c>
      <c r="C57" s="169">
        <v>2</v>
      </c>
      <c r="D57" s="169">
        <v>3</v>
      </c>
      <c r="E57" s="169">
        <v>4</v>
      </c>
      <c r="F57" s="169">
        <v>5</v>
      </c>
      <c r="G57" s="169">
        <v>6</v>
      </c>
      <c r="H57" s="190">
        <v>7</v>
      </c>
      <c r="I57" s="190">
        <v>8</v>
      </c>
      <c r="J57" s="169">
        <v>9</v>
      </c>
      <c r="K57" s="191"/>
      <c r="L57" s="191"/>
      <c r="M57" s="126"/>
      <c r="N57" s="177"/>
      <c r="O57" s="177"/>
      <c r="P57" s="177"/>
      <c r="Q57" s="177"/>
      <c r="R57" s="177"/>
    </row>
    <row r="58" spans="1:18" ht="16.350000000000001" customHeight="1">
      <c r="A58" s="696"/>
      <c r="B58" s="194" t="s">
        <v>206</v>
      </c>
      <c r="C58" s="194" t="s">
        <v>155</v>
      </c>
      <c r="D58" s="194" t="s">
        <v>207</v>
      </c>
      <c r="E58" s="194" t="s">
        <v>156</v>
      </c>
      <c r="F58" s="194" t="s">
        <v>138</v>
      </c>
      <c r="G58" s="195" t="s">
        <v>136</v>
      </c>
      <c r="H58" s="193" t="s">
        <v>208</v>
      </c>
      <c r="I58" s="208" t="s">
        <v>373</v>
      </c>
      <c r="J58" s="195" t="s">
        <v>142</v>
      </c>
      <c r="K58" s="197"/>
      <c r="L58" s="197"/>
      <c r="N58" s="198"/>
      <c r="O58" s="198"/>
      <c r="P58" s="198"/>
      <c r="Q58" s="198"/>
      <c r="R58" s="198"/>
    </row>
    <row r="59" spans="1:18" s="105" customFormat="1" ht="15.75" customHeight="1">
      <c r="A59" s="700" t="s">
        <v>188</v>
      </c>
      <c r="B59" s="701"/>
      <c r="C59" s="159" t="s">
        <v>47</v>
      </c>
      <c r="D59" s="700" t="s">
        <v>12</v>
      </c>
      <c r="E59" s="702"/>
      <c r="F59" s="701"/>
      <c r="G59" s="159" t="s">
        <v>46</v>
      </c>
      <c r="H59" s="159" t="s">
        <v>374</v>
      </c>
      <c r="I59" s="159" t="s">
        <v>375</v>
      </c>
      <c r="J59" s="159" t="s">
        <v>332</v>
      </c>
      <c r="K59" s="700" t="s">
        <v>51</v>
      </c>
      <c r="L59" s="701"/>
      <c r="M59" s="126"/>
      <c r="N59" s="188"/>
      <c r="O59" s="198"/>
      <c r="P59" s="384"/>
      <c r="Q59" s="384"/>
      <c r="R59" s="198"/>
    </row>
    <row r="60" spans="1:18" ht="15">
      <c r="A60" s="694">
        <v>7</v>
      </c>
      <c r="B60" s="697" t="s">
        <v>378</v>
      </c>
      <c r="C60" s="199">
        <v>1</v>
      </c>
      <c r="D60" s="703"/>
      <c r="E60" s="680"/>
      <c r="F60" s="680"/>
      <c r="G60" s="199"/>
      <c r="H60" s="201"/>
      <c r="I60" s="202"/>
      <c r="J60" s="199"/>
      <c r="K60" s="688"/>
      <c r="L60" s="690"/>
      <c r="N60" s="387"/>
      <c r="O60" s="198"/>
      <c r="P60" s="384"/>
      <c r="Q60" s="384"/>
      <c r="R60" s="198"/>
    </row>
    <row r="61" spans="1:18" ht="15">
      <c r="A61" s="695"/>
      <c r="B61" s="698"/>
      <c r="C61" s="199">
        <v>2</v>
      </c>
      <c r="D61" s="703"/>
      <c r="E61" s="680"/>
      <c r="F61" s="680"/>
      <c r="G61" s="199"/>
      <c r="H61" s="201"/>
      <c r="I61" s="202"/>
      <c r="J61" s="199"/>
      <c r="K61" s="688"/>
      <c r="L61" s="690"/>
      <c r="O61" s="198"/>
      <c r="P61" s="384"/>
      <c r="Q61" s="384"/>
      <c r="R61" s="198"/>
    </row>
    <row r="62" spans="1:18" ht="13.5">
      <c r="A62" s="695"/>
      <c r="B62" s="698"/>
      <c r="C62" s="199">
        <v>3</v>
      </c>
      <c r="D62" s="688"/>
      <c r="E62" s="689"/>
      <c r="F62" s="690"/>
      <c r="G62" s="199"/>
      <c r="H62" s="201"/>
      <c r="I62" s="202"/>
      <c r="J62" s="199"/>
      <c r="K62" s="688"/>
      <c r="L62" s="690"/>
      <c r="O62" s="198"/>
      <c r="P62" s="384"/>
      <c r="Q62" s="384"/>
      <c r="R62" s="198"/>
    </row>
    <row r="63" spans="1:18" ht="13.5">
      <c r="A63" s="695"/>
      <c r="B63" s="698"/>
      <c r="C63" s="199">
        <v>4</v>
      </c>
      <c r="D63" s="688"/>
      <c r="E63" s="689"/>
      <c r="F63" s="690"/>
      <c r="G63" s="199"/>
      <c r="H63" s="201"/>
      <c r="I63" s="202"/>
      <c r="J63" s="199"/>
      <c r="K63" s="688"/>
      <c r="L63" s="690"/>
      <c r="O63" s="198"/>
      <c r="P63" s="384"/>
      <c r="Q63" s="384"/>
      <c r="R63" s="198"/>
    </row>
    <row r="64" spans="1:18" ht="13.5">
      <c r="A64" s="695"/>
      <c r="B64" s="698"/>
      <c r="C64" s="199">
        <v>5</v>
      </c>
      <c r="D64" s="688"/>
      <c r="E64" s="689"/>
      <c r="F64" s="690"/>
      <c r="G64" s="199"/>
      <c r="H64" s="201"/>
      <c r="I64" s="202"/>
      <c r="J64" s="199"/>
      <c r="K64" s="688"/>
      <c r="L64" s="690"/>
      <c r="N64" s="177"/>
      <c r="O64" s="198"/>
      <c r="P64" s="384"/>
      <c r="Q64" s="384"/>
      <c r="R64" s="198"/>
    </row>
    <row r="65" spans="1:18" ht="13.5">
      <c r="A65" s="695"/>
      <c r="B65" s="698"/>
      <c r="C65" s="203" t="s">
        <v>204</v>
      </c>
      <c r="D65" s="688"/>
      <c r="E65" s="689"/>
      <c r="F65" s="690"/>
      <c r="G65" s="199"/>
      <c r="H65" s="201"/>
      <c r="I65" s="202"/>
      <c r="J65" s="199"/>
      <c r="K65" s="688"/>
      <c r="L65" s="690"/>
      <c r="N65" s="387"/>
      <c r="O65" s="198"/>
      <c r="P65" s="384"/>
      <c r="Q65" s="384"/>
      <c r="R65" s="198"/>
    </row>
    <row r="66" spans="1:18" ht="13.5">
      <c r="A66" s="695"/>
      <c r="B66" s="698"/>
      <c r="C66" s="203" t="s">
        <v>209</v>
      </c>
      <c r="D66" s="688"/>
      <c r="E66" s="689"/>
      <c r="F66" s="690"/>
      <c r="G66" s="199"/>
      <c r="H66" s="201"/>
      <c r="I66" s="202"/>
      <c r="J66" s="199"/>
      <c r="K66" s="688"/>
      <c r="L66" s="690"/>
      <c r="O66" s="198"/>
      <c r="P66" s="384"/>
      <c r="Q66" s="384"/>
      <c r="R66" s="198"/>
    </row>
    <row r="67" spans="1:18" ht="13.5">
      <c r="A67" s="695"/>
      <c r="B67" s="698"/>
      <c r="C67" s="203" t="s">
        <v>205</v>
      </c>
      <c r="D67" s="688"/>
      <c r="E67" s="689"/>
      <c r="F67" s="690"/>
      <c r="G67" s="199"/>
      <c r="H67" s="201"/>
      <c r="I67" s="202"/>
      <c r="J67" s="199"/>
      <c r="K67" s="688"/>
      <c r="L67" s="690"/>
      <c r="O67" s="198"/>
      <c r="P67" s="384"/>
      <c r="Q67" s="384"/>
      <c r="R67" s="198"/>
    </row>
    <row r="68" spans="1:18" ht="13.5">
      <c r="A68" s="695"/>
      <c r="B68" s="698"/>
      <c r="C68" s="203" t="s">
        <v>210</v>
      </c>
      <c r="D68" s="688"/>
      <c r="E68" s="689"/>
      <c r="F68" s="690"/>
      <c r="G68" s="199"/>
      <c r="H68" s="201"/>
      <c r="I68" s="202"/>
      <c r="J68" s="199"/>
      <c r="K68" s="688"/>
      <c r="L68" s="690"/>
      <c r="M68" s="98"/>
      <c r="O68" s="198"/>
      <c r="P68" s="384"/>
      <c r="Q68" s="384"/>
      <c r="R68" s="198"/>
    </row>
    <row r="69" spans="1:18" ht="13.5">
      <c r="A69" s="696"/>
      <c r="B69" s="699"/>
      <c r="C69" s="203" t="s">
        <v>211</v>
      </c>
      <c r="D69" s="688"/>
      <c r="E69" s="689"/>
      <c r="F69" s="690"/>
      <c r="G69" s="199"/>
      <c r="H69" s="201"/>
      <c r="I69" s="202"/>
      <c r="J69" s="199"/>
      <c r="K69" s="688"/>
      <c r="L69" s="690"/>
      <c r="M69" s="98"/>
      <c r="N69" s="198"/>
      <c r="O69" s="198"/>
      <c r="P69" s="384"/>
      <c r="Q69" s="384"/>
      <c r="R69" s="198"/>
    </row>
    <row r="70" spans="1:18" s="103" customFormat="1" ht="14.25">
      <c r="A70" s="691" t="s">
        <v>188</v>
      </c>
      <c r="B70" s="692"/>
      <c r="C70" s="206" t="s">
        <v>47</v>
      </c>
      <c r="D70" s="691" t="s">
        <v>12</v>
      </c>
      <c r="E70" s="693"/>
      <c r="F70" s="692"/>
      <c r="G70" s="206" t="s">
        <v>46</v>
      </c>
      <c r="H70" s="206" t="s">
        <v>374</v>
      </c>
      <c r="I70" s="206" t="s">
        <v>375</v>
      </c>
      <c r="J70" s="159" t="s">
        <v>332</v>
      </c>
      <c r="K70" s="691" t="s">
        <v>51</v>
      </c>
      <c r="L70" s="692"/>
      <c r="M70" s="127"/>
      <c r="N70" s="188"/>
      <c r="O70" s="198"/>
      <c r="P70" s="384"/>
      <c r="Q70" s="384"/>
      <c r="R70" s="198"/>
    </row>
    <row r="71" spans="1:18" ht="13.5">
      <c r="A71" s="694">
        <v>8</v>
      </c>
      <c r="B71" s="697" t="s">
        <v>379</v>
      </c>
      <c r="C71" s="199">
        <v>1</v>
      </c>
      <c r="D71" s="688" t="s">
        <v>533</v>
      </c>
      <c r="E71" s="689"/>
      <c r="F71" s="690"/>
      <c r="G71" s="199">
        <v>19</v>
      </c>
      <c r="H71" s="201">
        <v>3192.0436566097187</v>
      </c>
      <c r="I71" s="202">
        <v>168.00229771630097</v>
      </c>
      <c r="J71" s="351">
        <f>I71-I45</f>
        <v>4.8721804511160371E-2</v>
      </c>
      <c r="K71" s="679" t="s">
        <v>427</v>
      </c>
      <c r="L71" s="680"/>
      <c r="M71" s="98"/>
      <c r="O71" s="198"/>
      <c r="P71" s="384"/>
      <c r="Q71" s="384"/>
      <c r="R71" s="198"/>
    </row>
    <row r="72" spans="1:18" ht="13.5">
      <c r="A72" s="695"/>
      <c r="B72" s="698"/>
      <c r="C72" s="199">
        <v>2</v>
      </c>
      <c r="D72" s="688" t="s">
        <v>614</v>
      </c>
      <c r="E72" s="689"/>
      <c r="F72" s="690"/>
      <c r="G72" s="199">
        <v>19</v>
      </c>
      <c r="H72" s="201">
        <v>3191.8521555976813</v>
      </c>
      <c r="I72" s="202">
        <v>167.99221871566743</v>
      </c>
      <c r="J72" s="351">
        <f>I72-I46</f>
        <v>0.18004682531454819</v>
      </c>
      <c r="K72" s="679" t="s">
        <v>427</v>
      </c>
      <c r="L72" s="680"/>
      <c r="M72" s="98"/>
      <c r="O72" s="177"/>
      <c r="P72" s="383"/>
      <c r="Q72" s="383"/>
      <c r="R72" s="177"/>
    </row>
    <row r="73" spans="1:18" ht="13.5">
      <c r="A73" s="695"/>
      <c r="B73" s="698"/>
      <c r="C73" s="199">
        <v>3</v>
      </c>
      <c r="D73" s="688" t="s">
        <v>531</v>
      </c>
      <c r="E73" s="689"/>
      <c r="F73" s="690"/>
      <c r="G73" s="199">
        <v>20</v>
      </c>
      <c r="H73" s="201">
        <v>3259.7336650019024</v>
      </c>
      <c r="I73" s="202">
        <v>162.98668325009513</v>
      </c>
      <c r="J73" s="351">
        <f>I73-I49</f>
        <v>-0.10800000000000409</v>
      </c>
      <c r="K73" s="679" t="s">
        <v>427</v>
      </c>
      <c r="L73" s="680"/>
      <c r="M73" s="98"/>
      <c r="O73" s="198"/>
      <c r="P73" s="384"/>
      <c r="Q73" s="384"/>
      <c r="R73" s="198"/>
    </row>
    <row r="74" spans="1:18" ht="15">
      <c r="A74" s="695"/>
      <c r="B74" s="698"/>
      <c r="C74" s="199">
        <v>4</v>
      </c>
      <c r="D74" s="688" t="s">
        <v>752</v>
      </c>
      <c r="E74" s="689"/>
      <c r="F74" s="690"/>
      <c r="G74" s="199">
        <v>20</v>
      </c>
      <c r="H74" s="201">
        <v>3257.0491357591882</v>
      </c>
      <c r="I74" s="202">
        <v>162.8524567879594</v>
      </c>
      <c r="J74" s="351">
        <f>I74-I53</f>
        <v>6.9446394899311201</v>
      </c>
      <c r="K74" s="687" t="s">
        <v>827</v>
      </c>
      <c r="L74" s="680"/>
      <c r="M74" s="98"/>
      <c r="O74" s="198"/>
      <c r="P74" s="384"/>
      <c r="Q74" s="384"/>
      <c r="R74" s="198"/>
    </row>
    <row r="75" spans="1:18" ht="13.5">
      <c r="A75" s="695"/>
      <c r="B75" s="698"/>
      <c r="C75" s="199">
        <v>5</v>
      </c>
      <c r="D75" s="688" t="s">
        <v>532</v>
      </c>
      <c r="E75" s="689"/>
      <c r="F75" s="690"/>
      <c r="G75" s="199">
        <v>21</v>
      </c>
      <c r="H75" s="201">
        <v>3262.0777962160751</v>
      </c>
      <c r="I75" s="202">
        <v>155.33703791505118</v>
      </c>
      <c r="J75" s="351">
        <f>I75-I52</f>
        <v>9.7959183673538064E-2</v>
      </c>
      <c r="K75" s="679" t="s">
        <v>427</v>
      </c>
      <c r="L75" s="680"/>
      <c r="M75" s="98"/>
      <c r="O75" s="198"/>
      <c r="P75" s="384"/>
      <c r="Q75" s="384"/>
      <c r="R75" s="198"/>
    </row>
    <row r="76" spans="1:18" ht="13.5">
      <c r="A76" s="695"/>
      <c r="B76" s="698"/>
      <c r="C76" s="203" t="s">
        <v>204</v>
      </c>
      <c r="D76" s="688" t="s">
        <v>597</v>
      </c>
      <c r="E76" s="689"/>
      <c r="F76" s="690"/>
      <c r="G76" s="199">
        <v>24</v>
      </c>
      <c r="H76" s="201">
        <v>3261.4234651247284</v>
      </c>
      <c r="I76" s="202">
        <v>135.89264438019703</v>
      </c>
      <c r="J76" s="351">
        <f>I76-I50</f>
        <v>0.19582140284961724</v>
      </c>
      <c r="K76" s="679" t="s">
        <v>427</v>
      </c>
      <c r="L76" s="680"/>
      <c r="M76" s="98"/>
      <c r="O76" s="198"/>
      <c r="P76" s="384"/>
      <c r="Q76" s="384"/>
      <c r="R76" s="198"/>
    </row>
    <row r="77" spans="1:18" ht="13.5">
      <c r="A77" s="695"/>
      <c r="B77" s="698"/>
      <c r="C77" s="203" t="s">
        <v>209</v>
      </c>
      <c r="D77" s="688" t="s">
        <v>630</v>
      </c>
      <c r="E77" s="689"/>
      <c r="F77" s="690"/>
      <c r="G77" s="199">
        <v>24</v>
      </c>
      <c r="H77" s="201">
        <v>3266.0248111128135</v>
      </c>
      <c r="I77" s="202">
        <v>136.08436712970055</v>
      </c>
      <c r="J77" s="351">
        <f>I77-I51</f>
        <v>8.7857142857075132E-2</v>
      </c>
      <c r="K77" s="679" t="s">
        <v>427</v>
      </c>
      <c r="L77" s="680"/>
      <c r="M77" s="98"/>
      <c r="O77" s="198"/>
      <c r="P77" s="384"/>
      <c r="Q77" s="384"/>
      <c r="R77" s="198"/>
    </row>
    <row r="78" spans="1:18" ht="13.5">
      <c r="A78" s="695"/>
      <c r="B78" s="698"/>
      <c r="C78" s="203" t="s">
        <v>205</v>
      </c>
      <c r="D78" s="688"/>
      <c r="E78" s="689"/>
      <c r="F78" s="690"/>
      <c r="G78" s="199"/>
      <c r="H78" s="201"/>
      <c r="I78" s="202"/>
      <c r="J78" s="351"/>
      <c r="K78" s="679"/>
      <c r="L78" s="680"/>
      <c r="M78" s="98"/>
      <c r="O78" s="198"/>
      <c r="P78" s="384"/>
      <c r="Q78" s="384"/>
      <c r="R78" s="198"/>
    </row>
    <row r="79" spans="1:18" ht="13.5">
      <c r="A79" s="695"/>
      <c r="B79" s="698"/>
      <c r="C79" s="203" t="s">
        <v>210</v>
      </c>
      <c r="D79" s="688"/>
      <c r="E79" s="689"/>
      <c r="F79" s="690"/>
      <c r="G79" s="199"/>
      <c r="H79" s="201"/>
      <c r="I79" s="202"/>
      <c r="J79" s="199"/>
      <c r="K79" s="688"/>
      <c r="L79" s="690"/>
      <c r="M79" s="98"/>
      <c r="O79" s="198"/>
      <c r="P79" s="384"/>
      <c r="Q79" s="384"/>
      <c r="R79" s="198"/>
    </row>
    <row r="80" spans="1:18" ht="13.5">
      <c r="A80" s="696"/>
      <c r="B80" s="699"/>
      <c r="C80" s="203" t="s">
        <v>211</v>
      </c>
      <c r="D80" s="688"/>
      <c r="E80" s="689"/>
      <c r="F80" s="690"/>
      <c r="G80" s="199"/>
      <c r="H80" s="201"/>
      <c r="I80" s="202"/>
      <c r="J80" s="199"/>
      <c r="K80" s="688"/>
      <c r="L80" s="690"/>
      <c r="M80" s="98"/>
      <c r="O80" s="198"/>
      <c r="P80" s="384"/>
      <c r="Q80" s="384"/>
      <c r="R80" s="198"/>
    </row>
    <row r="81" spans="1:18" s="188" customFormat="1" ht="15.75" customHeight="1">
      <c r="A81" s="685" t="s">
        <v>851</v>
      </c>
      <c r="B81" s="685"/>
      <c r="C81" s="685"/>
      <c r="D81" s="685"/>
      <c r="E81" s="685"/>
      <c r="F81" s="685"/>
      <c r="G81" s="685"/>
      <c r="H81" s="685"/>
      <c r="I81" s="685"/>
      <c r="J81" s="685"/>
      <c r="K81" s="685"/>
      <c r="L81" s="685"/>
    </row>
    <row r="82" spans="1:18" s="189" customFormat="1" ht="15.75" customHeight="1">
      <c r="A82" s="685"/>
      <c r="B82" s="685"/>
      <c r="C82" s="685"/>
      <c r="D82" s="685"/>
      <c r="E82" s="685"/>
      <c r="F82" s="685"/>
      <c r="G82" s="685"/>
      <c r="H82" s="685"/>
      <c r="I82" s="685"/>
      <c r="J82" s="685"/>
      <c r="K82" s="685"/>
      <c r="L82" s="685"/>
    </row>
    <row r="83" spans="1:18" s="105" customFormat="1" ht="16.350000000000001" customHeight="1">
      <c r="A83" s="694" t="s">
        <v>162</v>
      </c>
      <c r="B83" s="169">
        <v>1</v>
      </c>
      <c r="C83" s="169">
        <v>2</v>
      </c>
      <c r="D83" s="169">
        <v>3</v>
      </c>
      <c r="E83" s="169">
        <v>4</v>
      </c>
      <c r="F83" s="169">
        <v>5</v>
      </c>
      <c r="G83" s="169">
        <v>6</v>
      </c>
      <c r="H83" s="190">
        <v>7</v>
      </c>
      <c r="I83" s="190">
        <v>8</v>
      </c>
      <c r="J83" s="169">
        <v>9</v>
      </c>
      <c r="K83" s="191"/>
      <c r="L83" s="191"/>
      <c r="M83" s="126"/>
      <c r="N83" s="177"/>
      <c r="O83" s="177"/>
      <c r="P83" s="177"/>
      <c r="Q83" s="177"/>
      <c r="R83" s="177"/>
    </row>
    <row r="84" spans="1:18" ht="16.350000000000001" customHeight="1">
      <c r="A84" s="696"/>
      <c r="B84" s="194" t="s">
        <v>206</v>
      </c>
      <c r="C84" s="194" t="s">
        <v>155</v>
      </c>
      <c r="D84" s="194" t="s">
        <v>207</v>
      </c>
      <c r="E84" s="194" t="s">
        <v>156</v>
      </c>
      <c r="F84" s="194" t="s">
        <v>138</v>
      </c>
      <c r="G84" s="195" t="s">
        <v>136</v>
      </c>
      <c r="H84" s="193" t="s">
        <v>208</v>
      </c>
      <c r="I84" s="208" t="s">
        <v>373</v>
      </c>
      <c r="J84" s="195" t="s">
        <v>142</v>
      </c>
      <c r="K84" s="197"/>
      <c r="L84" s="197"/>
      <c r="N84" s="198"/>
      <c r="O84" s="198"/>
      <c r="P84" s="198"/>
      <c r="Q84" s="198"/>
      <c r="R84" s="198"/>
    </row>
    <row r="85" spans="1:18" s="105" customFormat="1" ht="15.75" customHeight="1">
      <c r="A85" s="700" t="s">
        <v>188</v>
      </c>
      <c r="B85" s="701"/>
      <c r="C85" s="159" t="s">
        <v>47</v>
      </c>
      <c r="D85" s="700" t="s">
        <v>12</v>
      </c>
      <c r="E85" s="702"/>
      <c r="F85" s="701"/>
      <c r="G85" s="159" t="s">
        <v>46</v>
      </c>
      <c r="H85" s="159" t="s">
        <v>374</v>
      </c>
      <c r="I85" s="159" t="s">
        <v>375</v>
      </c>
      <c r="J85" s="159" t="s">
        <v>332</v>
      </c>
      <c r="K85" s="700" t="s">
        <v>51</v>
      </c>
      <c r="L85" s="701"/>
      <c r="M85" s="126"/>
      <c r="N85" s="188"/>
      <c r="O85" s="198"/>
      <c r="P85" s="384"/>
      <c r="Q85" s="384"/>
      <c r="R85" s="198"/>
    </row>
    <row r="86" spans="1:18" ht="15">
      <c r="A86" s="694">
        <v>7</v>
      </c>
      <c r="B86" s="697" t="s">
        <v>378</v>
      </c>
      <c r="C86" s="199">
        <v>1</v>
      </c>
      <c r="D86" s="703"/>
      <c r="E86" s="680"/>
      <c r="F86" s="680"/>
      <c r="G86" s="199"/>
      <c r="H86" s="201"/>
      <c r="I86" s="202"/>
      <c r="J86" s="199"/>
      <c r="K86" s="688"/>
      <c r="L86" s="690"/>
      <c r="N86" s="387"/>
      <c r="O86" s="198"/>
      <c r="P86" s="384"/>
      <c r="Q86" s="384"/>
      <c r="R86" s="198"/>
    </row>
    <row r="87" spans="1:18" ht="15">
      <c r="A87" s="695"/>
      <c r="B87" s="698"/>
      <c r="C87" s="199">
        <v>2</v>
      </c>
      <c r="D87" s="703"/>
      <c r="E87" s="680"/>
      <c r="F87" s="680"/>
      <c r="G87" s="199"/>
      <c r="H87" s="201"/>
      <c r="I87" s="202"/>
      <c r="J87" s="199"/>
      <c r="K87" s="688"/>
      <c r="L87" s="690"/>
      <c r="O87" s="198"/>
      <c r="P87" s="384"/>
      <c r="Q87" s="384"/>
      <c r="R87" s="198"/>
    </row>
    <row r="88" spans="1:18" ht="13.5">
      <c r="A88" s="695"/>
      <c r="B88" s="698"/>
      <c r="C88" s="199">
        <v>3</v>
      </c>
      <c r="D88" s="688"/>
      <c r="E88" s="689"/>
      <c r="F88" s="690"/>
      <c r="G88" s="199"/>
      <c r="H88" s="201"/>
      <c r="I88" s="202"/>
      <c r="J88" s="199"/>
      <c r="K88" s="688"/>
      <c r="L88" s="690"/>
      <c r="O88" s="198"/>
      <c r="P88" s="384"/>
      <c r="Q88" s="384"/>
      <c r="R88" s="198"/>
    </row>
    <row r="89" spans="1:18" ht="13.5">
      <c r="A89" s="695"/>
      <c r="B89" s="698"/>
      <c r="C89" s="199">
        <v>4</v>
      </c>
      <c r="D89" s="688"/>
      <c r="E89" s="689"/>
      <c r="F89" s="690"/>
      <c r="G89" s="199"/>
      <c r="H89" s="201"/>
      <c r="I89" s="202"/>
      <c r="J89" s="199"/>
      <c r="K89" s="688"/>
      <c r="L89" s="690"/>
      <c r="O89" s="198"/>
      <c r="P89" s="384"/>
      <c r="Q89" s="384"/>
      <c r="R89" s="198"/>
    </row>
    <row r="90" spans="1:18" ht="13.5">
      <c r="A90" s="695"/>
      <c r="B90" s="698"/>
      <c r="C90" s="199">
        <v>5</v>
      </c>
      <c r="D90" s="688"/>
      <c r="E90" s="689"/>
      <c r="F90" s="690"/>
      <c r="G90" s="199"/>
      <c r="H90" s="201"/>
      <c r="I90" s="202"/>
      <c r="J90" s="199"/>
      <c r="K90" s="688"/>
      <c r="L90" s="690"/>
      <c r="N90" s="177"/>
      <c r="O90" s="198"/>
      <c r="P90" s="384"/>
      <c r="Q90" s="384"/>
      <c r="R90" s="198"/>
    </row>
    <row r="91" spans="1:18" ht="13.5">
      <c r="A91" s="695"/>
      <c r="B91" s="698"/>
      <c r="C91" s="203" t="s">
        <v>204</v>
      </c>
      <c r="D91" s="688"/>
      <c r="E91" s="689"/>
      <c r="F91" s="690"/>
      <c r="G91" s="199"/>
      <c r="H91" s="201"/>
      <c r="I91" s="202"/>
      <c r="J91" s="199"/>
      <c r="K91" s="688"/>
      <c r="L91" s="690"/>
      <c r="N91" s="387"/>
      <c r="O91" s="198"/>
      <c r="P91" s="384"/>
      <c r="Q91" s="384"/>
      <c r="R91" s="198"/>
    </row>
    <row r="92" spans="1:18" ht="13.5">
      <c r="A92" s="695"/>
      <c r="B92" s="698"/>
      <c r="C92" s="203" t="s">
        <v>209</v>
      </c>
      <c r="D92" s="688"/>
      <c r="E92" s="689"/>
      <c r="F92" s="690"/>
      <c r="G92" s="199"/>
      <c r="H92" s="201"/>
      <c r="I92" s="202"/>
      <c r="J92" s="199"/>
      <c r="K92" s="688"/>
      <c r="L92" s="690"/>
      <c r="O92" s="198"/>
      <c r="P92" s="384"/>
      <c r="Q92" s="384"/>
      <c r="R92" s="198"/>
    </row>
    <row r="93" spans="1:18" ht="13.5">
      <c r="A93" s="695"/>
      <c r="B93" s="698"/>
      <c r="C93" s="203" t="s">
        <v>205</v>
      </c>
      <c r="D93" s="688"/>
      <c r="E93" s="689"/>
      <c r="F93" s="690"/>
      <c r="G93" s="199"/>
      <c r="H93" s="201"/>
      <c r="I93" s="202"/>
      <c r="J93" s="199"/>
      <c r="K93" s="688"/>
      <c r="L93" s="690"/>
      <c r="O93" s="198"/>
      <c r="P93" s="384"/>
      <c r="Q93" s="384"/>
      <c r="R93" s="198"/>
    </row>
    <row r="94" spans="1:18" ht="13.5">
      <c r="A94" s="695"/>
      <c r="B94" s="698"/>
      <c r="C94" s="203" t="s">
        <v>210</v>
      </c>
      <c r="D94" s="688"/>
      <c r="E94" s="689"/>
      <c r="F94" s="690"/>
      <c r="G94" s="199"/>
      <c r="H94" s="201"/>
      <c r="I94" s="202"/>
      <c r="J94" s="199"/>
      <c r="K94" s="688"/>
      <c r="L94" s="690"/>
      <c r="M94" s="98"/>
      <c r="O94" s="198"/>
      <c r="P94" s="384"/>
      <c r="Q94" s="384"/>
      <c r="R94" s="198"/>
    </row>
    <row r="95" spans="1:18" ht="13.5">
      <c r="A95" s="696"/>
      <c r="B95" s="699"/>
      <c r="C95" s="203" t="s">
        <v>211</v>
      </c>
      <c r="D95" s="688"/>
      <c r="E95" s="689"/>
      <c r="F95" s="690"/>
      <c r="G95" s="199"/>
      <c r="H95" s="201"/>
      <c r="I95" s="202"/>
      <c r="J95" s="199"/>
      <c r="K95" s="688"/>
      <c r="L95" s="690"/>
      <c r="M95" s="98"/>
      <c r="N95" s="198"/>
      <c r="O95" s="198"/>
      <c r="P95" s="384"/>
      <c r="Q95" s="384"/>
      <c r="R95" s="198"/>
    </row>
    <row r="96" spans="1:18" s="103" customFormat="1" ht="14.25">
      <c r="A96" s="691" t="s">
        <v>188</v>
      </c>
      <c r="B96" s="692"/>
      <c r="C96" s="206" t="s">
        <v>47</v>
      </c>
      <c r="D96" s="691" t="s">
        <v>12</v>
      </c>
      <c r="E96" s="693"/>
      <c r="F96" s="692"/>
      <c r="G96" s="206" t="s">
        <v>46</v>
      </c>
      <c r="H96" s="206" t="s">
        <v>374</v>
      </c>
      <c r="I96" s="206" t="s">
        <v>375</v>
      </c>
      <c r="J96" s="159" t="s">
        <v>332</v>
      </c>
      <c r="K96" s="691" t="s">
        <v>51</v>
      </c>
      <c r="L96" s="692"/>
      <c r="M96" s="127"/>
      <c r="N96" s="188"/>
      <c r="O96" s="198"/>
      <c r="P96" s="384"/>
      <c r="Q96" s="384"/>
      <c r="R96" s="198"/>
    </row>
    <row r="97" spans="1:18" ht="13.5">
      <c r="A97" s="694">
        <v>8</v>
      </c>
      <c r="B97" s="697" t="s">
        <v>379</v>
      </c>
      <c r="C97" s="199">
        <v>1</v>
      </c>
      <c r="D97" s="688" t="s">
        <v>614</v>
      </c>
      <c r="E97" s="689"/>
      <c r="F97" s="690"/>
      <c r="G97" s="199">
        <v>19</v>
      </c>
      <c r="H97" s="201">
        <v>3192.4077616340319</v>
      </c>
      <c r="I97" s="202">
        <v>168.02146113863324</v>
      </c>
      <c r="J97" s="351">
        <f>I97-I72</f>
        <v>2.9242422965808146E-2</v>
      </c>
      <c r="K97" s="679" t="s">
        <v>427</v>
      </c>
      <c r="L97" s="680"/>
      <c r="M97" s="98"/>
      <c r="O97" s="198"/>
      <c r="P97" s="384"/>
      <c r="Q97" s="384"/>
      <c r="R97" s="198"/>
    </row>
    <row r="98" spans="1:18" ht="13.5">
      <c r="A98" s="695"/>
      <c r="B98" s="698"/>
      <c r="C98" s="199">
        <v>2</v>
      </c>
      <c r="D98" s="688" t="s">
        <v>533</v>
      </c>
      <c r="E98" s="689"/>
      <c r="F98" s="690"/>
      <c r="G98" s="199">
        <v>19</v>
      </c>
      <c r="H98" s="201">
        <v>3192.300799466861</v>
      </c>
      <c r="I98" s="202">
        <v>168.01583155088741</v>
      </c>
      <c r="J98" s="351">
        <f>I98-I71</f>
        <v>1.3533834586439752E-2</v>
      </c>
      <c r="K98" s="679" t="s">
        <v>427</v>
      </c>
      <c r="L98" s="680"/>
      <c r="M98" s="98"/>
      <c r="O98" s="177"/>
      <c r="P98" s="383"/>
      <c r="Q98" s="383"/>
      <c r="R98" s="177"/>
    </row>
    <row r="99" spans="1:18" ht="13.5">
      <c r="A99" s="695"/>
      <c r="B99" s="698"/>
      <c r="C99" s="199">
        <v>3</v>
      </c>
      <c r="D99" s="688" t="s">
        <v>752</v>
      </c>
      <c r="E99" s="689"/>
      <c r="F99" s="690"/>
      <c r="G99" s="199">
        <v>20</v>
      </c>
      <c r="H99" s="201">
        <v>3258.9117081155941</v>
      </c>
      <c r="I99" s="202">
        <v>162.94558540577972</v>
      </c>
      <c r="J99" s="351">
        <f>I99-I74</f>
        <v>9.3128617820326554E-2</v>
      </c>
      <c r="K99" s="679" t="s">
        <v>427</v>
      </c>
      <c r="L99" s="680"/>
      <c r="M99" s="98"/>
      <c r="O99" s="198"/>
      <c r="P99" s="384"/>
      <c r="Q99" s="384"/>
      <c r="R99" s="198"/>
    </row>
    <row r="100" spans="1:18">
      <c r="A100" s="695"/>
      <c r="B100" s="698"/>
      <c r="C100" s="199">
        <v>4</v>
      </c>
      <c r="D100" s="688" t="s">
        <v>531</v>
      </c>
      <c r="E100" s="689"/>
      <c r="F100" s="690"/>
      <c r="G100" s="199">
        <v>20.428571428571427</v>
      </c>
      <c r="H100" s="201">
        <v>3263.0461993102767</v>
      </c>
      <c r="I100" s="202">
        <v>159.82307084527682</v>
      </c>
      <c r="J100" s="351">
        <f>I100-I73</f>
        <v>-3.1636124048183092</v>
      </c>
      <c r="K100" s="705" t="s">
        <v>868</v>
      </c>
      <c r="L100" s="680"/>
      <c r="M100" s="98"/>
      <c r="O100" s="198"/>
      <c r="P100" s="384"/>
      <c r="Q100" s="384"/>
      <c r="R100" s="198"/>
    </row>
    <row r="101" spans="1:18">
      <c r="A101" s="695"/>
      <c r="B101" s="698"/>
      <c r="C101" s="199">
        <v>5</v>
      </c>
      <c r="D101" s="688" t="s">
        <v>532</v>
      </c>
      <c r="E101" s="689"/>
      <c r="F101" s="690"/>
      <c r="G101" s="199">
        <v>21.428571428571427</v>
      </c>
      <c r="H101" s="201">
        <v>3260.3984152525732</v>
      </c>
      <c r="I101" s="202">
        <v>152.23313418333217</v>
      </c>
      <c r="J101" s="351">
        <f>I101-I75</f>
        <v>-3.103903731719015</v>
      </c>
      <c r="K101" s="705" t="s">
        <v>868</v>
      </c>
      <c r="L101" s="680"/>
      <c r="M101" s="98"/>
      <c r="O101" s="198"/>
      <c r="P101" s="384"/>
      <c r="Q101" s="384"/>
      <c r="R101" s="198"/>
    </row>
    <row r="102" spans="1:18" ht="13.5">
      <c r="A102" s="695"/>
      <c r="B102" s="698"/>
      <c r="C102" s="203" t="s">
        <v>204</v>
      </c>
      <c r="D102" s="688" t="s">
        <v>597</v>
      </c>
      <c r="E102" s="689"/>
      <c r="F102" s="690"/>
      <c r="G102" s="199">
        <v>24</v>
      </c>
      <c r="H102" s="201">
        <v>3265.4571362822039</v>
      </c>
      <c r="I102" s="202">
        <v>136.06071401175851</v>
      </c>
      <c r="J102" s="351">
        <f>I102-I76</f>
        <v>0.16806963156147958</v>
      </c>
      <c r="K102" s="679" t="s">
        <v>427</v>
      </c>
      <c r="L102" s="680"/>
      <c r="M102" s="98"/>
      <c r="O102" s="198"/>
      <c r="P102" s="384"/>
      <c r="Q102" s="384"/>
      <c r="R102" s="198"/>
    </row>
    <row r="103" spans="1:18" ht="13.5">
      <c r="A103" s="695"/>
      <c r="B103" s="698"/>
      <c r="C103" s="203" t="s">
        <v>209</v>
      </c>
      <c r="D103" s="688" t="s">
        <v>630</v>
      </c>
      <c r="E103" s="689"/>
      <c r="F103" s="690"/>
      <c r="G103" s="199">
        <v>24</v>
      </c>
      <c r="H103" s="201">
        <v>3265.4590968270991</v>
      </c>
      <c r="I103" s="202">
        <v>136.06079570112911</v>
      </c>
      <c r="J103" s="351">
        <f>I103-I77</f>
        <v>-2.3571428571443676E-2</v>
      </c>
      <c r="K103" s="679" t="s">
        <v>427</v>
      </c>
      <c r="L103" s="680"/>
      <c r="M103" s="98"/>
      <c r="O103" s="198"/>
      <c r="P103" s="384"/>
      <c r="Q103" s="384"/>
      <c r="R103" s="198"/>
    </row>
    <row r="104" spans="1:18">
      <c r="A104" s="695"/>
      <c r="B104" s="698"/>
      <c r="C104" s="203" t="s">
        <v>205</v>
      </c>
      <c r="D104" s="688" t="s">
        <v>850</v>
      </c>
      <c r="E104" s="689"/>
      <c r="F104" s="690"/>
      <c r="G104" s="199">
        <v>22</v>
      </c>
      <c r="H104" s="201">
        <v>3132.5637243655356</v>
      </c>
      <c r="I104" s="202">
        <v>142.38926019843342</v>
      </c>
      <c r="J104" s="351"/>
      <c r="K104" s="704" t="s">
        <v>783</v>
      </c>
      <c r="L104" s="690"/>
      <c r="M104" s="98"/>
      <c r="O104" s="198"/>
      <c r="P104" s="384"/>
      <c r="Q104" s="384"/>
      <c r="R104" s="198"/>
    </row>
    <row r="105" spans="1:18" ht="13.5">
      <c r="A105" s="695"/>
      <c r="B105" s="698"/>
      <c r="C105" s="203" t="s">
        <v>210</v>
      </c>
      <c r="D105" s="688"/>
      <c r="E105" s="689"/>
      <c r="F105" s="690"/>
      <c r="G105" s="199"/>
      <c r="H105" s="201"/>
      <c r="I105" s="202"/>
      <c r="J105" s="199"/>
      <c r="K105" s="688"/>
      <c r="L105" s="690"/>
      <c r="M105" s="98"/>
      <c r="O105" s="198"/>
      <c r="P105" s="384"/>
      <c r="Q105" s="384"/>
      <c r="R105" s="198"/>
    </row>
    <row r="106" spans="1:18" ht="13.5">
      <c r="A106" s="696"/>
      <c r="B106" s="699"/>
      <c r="C106" s="203" t="s">
        <v>211</v>
      </c>
      <c r="D106" s="688"/>
      <c r="E106" s="689"/>
      <c r="F106" s="690"/>
      <c r="G106" s="199"/>
      <c r="H106" s="201"/>
      <c r="I106" s="202"/>
      <c r="J106" s="199"/>
      <c r="K106" s="688"/>
      <c r="L106" s="690"/>
      <c r="M106" s="98"/>
      <c r="O106" s="198"/>
      <c r="P106" s="384"/>
      <c r="Q106" s="384"/>
      <c r="R106" s="198"/>
    </row>
    <row r="107" spans="1:18" s="188" customFormat="1" ht="15.75" customHeight="1">
      <c r="A107" s="685" t="s">
        <v>852</v>
      </c>
      <c r="B107" s="685"/>
      <c r="C107" s="685"/>
      <c r="D107" s="685"/>
      <c r="E107" s="685"/>
      <c r="F107" s="685"/>
      <c r="G107" s="685"/>
      <c r="H107" s="685"/>
      <c r="I107" s="685"/>
      <c r="J107" s="685"/>
      <c r="K107" s="685"/>
      <c r="L107" s="685"/>
    </row>
    <row r="108" spans="1:18" s="189" customFormat="1" ht="15.75" customHeight="1">
      <c r="A108" s="685"/>
      <c r="B108" s="685"/>
      <c r="C108" s="685"/>
      <c r="D108" s="685"/>
      <c r="E108" s="685"/>
      <c r="F108" s="685"/>
      <c r="G108" s="685"/>
      <c r="H108" s="685"/>
      <c r="I108" s="685"/>
      <c r="J108" s="685"/>
      <c r="K108" s="685"/>
      <c r="L108" s="685"/>
    </row>
    <row r="109" spans="1:18" s="105" customFormat="1" ht="16.350000000000001" customHeight="1">
      <c r="A109" s="694" t="s">
        <v>162</v>
      </c>
      <c r="B109" s="169">
        <v>1</v>
      </c>
      <c r="C109" s="169">
        <v>2</v>
      </c>
      <c r="D109" s="169">
        <v>3</v>
      </c>
      <c r="E109" s="169">
        <v>4</v>
      </c>
      <c r="F109" s="169">
        <v>5</v>
      </c>
      <c r="G109" s="169">
        <v>6</v>
      </c>
      <c r="H109" s="190">
        <v>7</v>
      </c>
      <c r="I109" s="190">
        <v>8</v>
      </c>
      <c r="J109" s="169">
        <v>9</v>
      </c>
      <c r="K109" s="191"/>
      <c r="L109" s="191"/>
      <c r="M109" s="126"/>
      <c r="N109" s="177"/>
      <c r="O109" s="177"/>
      <c r="P109" s="177"/>
      <c r="Q109" s="177"/>
      <c r="R109" s="177"/>
    </row>
    <row r="110" spans="1:18" ht="16.350000000000001" customHeight="1">
      <c r="A110" s="696"/>
      <c r="B110" s="194" t="s">
        <v>206</v>
      </c>
      <c r="C110" s="194" t="s">
        <v>155</v>
      </c>
      <c r="D110" s="194" t="s">
        <v>207</v>
      </c>
      <c r="E110" s="194" t="s">
        <v>156</v>
      </c>
      <c r="F110" s="194" t="s">
        <v>138</v>
      </c>
      <c r="G110" s="195" t="s">
        <v>136</v>
      </c>
      <c r="H110" s="193" t="s">
        <v>208</v>
      </c>
      <c r="I110" s="208" t="s">
        <v>373</v>
      </c>
      <c r="J110" s="195" t="s">
        <v>142</v>
      </c>
      <c r="K110" s="197"/>
      <c r="L110" s="197"/>
      <c r="N110" s="198"/>
      <c r="O110" s="198"/>
      <c r="P110" s="198"/>
      <c r="Q110" s="198"/>
      <c r="R110" s="198"/>
    </row>
    <row r="111" spans="1:18" s="105" customFormat="1" ht="15.75" customHeight="1">
      <c r="A111" s="700" t="s">
        <v>188</v>
      </c>
      <c r="B111" s="701"/>
      <c r="C111" s="159" t="s">
        <v>47</v>
      </c>
      <c r="D111" s="700" t="s">
        <v>12</v>
      </c>
      <c r="E111" s="702"/>
      <c r="F111" s="701"/>
      <c r="G111" s="159" t="s">
        <v>46</v>
      </c>
      <c r="H111" s="159" t="s">
        <v>374</v>
      </c>
      <c r="I111" s="159" t="s">
        <v>375</v>
      </c>
      <c r="J111" s="159" t="s">
        <v>332</v>
      </c>
      <c r="K111" s="700" t="s">
        <v>51</v>
      </c>
      <c r="L111" s="701"/>
      <c r="M111" s="126"/>
      <c r="N111" s="188"/>
      <c r="O111" s="198"/>
      <c r="P111" s="384"/>
      <c r="Q111" s="384"/>
      <c r="R111" s="198"/>
    </row>
    <row r="112" spans="1:18" ht="15">
      <c r="A112" s="694">
        <v>7</v>
      </c>
      <c r="B112" s="697" t="s">
        <v>378</v>
      </c>
      <c r="C112" s="199">
        <v>1</v>
      </c>
      <c r="D112" s="703"/>
      <c r="E112" s="680"/>
      <c r="F112" s="680"/>
      <c r="G112" s="199"/>
      <c r="H112" s="201"/>
      <c r="I112" s="202"/>
      <c r="J112" s="199"/>
      <c r="K112" s="688"/>
      <c r="L112" s="690"/>
      <c r="N112" s="387"/>
      <c r="O112" s="198"/>
      <c r="P112" s="384"/>
      <c r="Q112" s="384"/>
      <c r="R112" s="198"/>
    </row>
    <row r="113" spans="1:18" ht="15">
      <c r="A113" s="695"/>
      <c r="B113" s="698"/>
      <c r="C113" s="199">
        <v>2</v>
      </c>
      <c r="D113" s="703"/>
      <c r="E113" s="680"/>
      <c r="F113" s="680"/>
      <c r="G113" s="199"/>
      <c r="H113" s="201"/>
      <c r="I113" s="202"/>
      <c r="J113" s="199"/>
      <c r="K113" s="688"/>
      <c r="L113" s="690"/>
      <c r="O113" s="198"/>
      <c r="P113" s="384"/>
      <c r="Q113" s="384"/>
      <c r="R113" s="198"/>
    </row>
    <row r="114" spans="1:18" ht="13.5">
      <c r="A114" s="695"/>
      <c r="B114" s="698"/>
      <c r="C114" s="199">
        <v>3</v>
      </c>
      <c r="D114" s="688"/>
      <c r="E114" s="689"/>
      <c r="F114" s="690"/>
      <c r="G114" s="199"/>
      <c r="H114" s="201"/>
      <c r="I114" s="202"/>
      <c r="J114" s="199"/>
      <c r="K114" s="688"/>
      <c r="L114" s="690"/>
      <c r="O114" s="198"/>
      <c r="P114" s="384"/>
      <c r="Q114" s="384"/>
      <c r="R114" s="198"/>
    </row>
    <row r="115" spans="1:18" ht="13.5">
      <c r="A115" s="695"/>
      <c r="B115" s="698"/>
      <c r="C115" s="199">
        <v>4</v>
      </c>
      <c r="D115" s="688"/>
      <c r="E115" s="689"/>
      <c r="F115" s="690"/>
      <c r="G115" s="199"/>
      <c r="H115" s="201"/>
      <c r="I115" s="202"/>
      <c r="J115" s="199"/>
      <c r="K115" s="688"/>
      <c r="L115" s="690"/>
      <c r="O115" s="198"/>
      <c r="P115" s="384"/>
      <c r="Q115" s="384"/>
      <c r="R115" s="198"/>
    </row>
    <row r="116" spans="1:18" ht="13.5">
      <c r="A116" s="695"/>
      <c r="B116" s="698"/>
      <c r="C116" s="199">
        <v>5</v>
      </c>
      <c r="D116" s="688"/>
      <c r="E116" s="689"/>
      <c r="F116" s="690"/>
      <c r="G116" s="199"/>
      <c r="H116" s="201"/>
      <c r="I116" s="202"/>
      <c r="J116" s="199"/>
      <c r="K116" s="688"/>
      <c r="L116" s="690"/>
      <c r="N116" s="177"/>
      <c r="O116" s="198"/>
      <c r="P116" s="384"/>
      <c r="Q116" s="384"/>
      <c r="R116" s="198"/>
    </row>
    <row r="117" spans="1:18" ht="13.5">
      <c r="A117" s="695"/>
      <c r="B117" s="698"/>
      <c r="C117" s="203" t="s">
        <v>204</v>
      </c>
      <c r="D117" s="688"/>
      <c r="E117" s="689"/>
      <c r="F117" s="690"/>
      <c r="G117" s="199"/>
      <c r="H117" s="201"/>
      <c r="I117" s="202"/>
      <c r="J117" s="199"/>
      <c r="K117" s="688"/>
      <c r="L117" s="690"/>
      <c r="N117" s="387"/>
      <c r="O117" s="198"/>
      <c r="P117" s="384"/>
      <c r="Q117" s="384"/>
      <c r="R117" s="198"/>
    </row>
    <row r="118" spans="1:18" ht="13.5">
      <c r="A118" s="695"/>
      <c r="B118" s="698"/>
      <c r="C118" s="203" t="s">
        <v>209</v>
      </c>
      <c r="D118" s="688"/>
      <c r="E118" s="689"/>
      <c r="F118" s="690"/>
      <c r="G118" s="199"/>
      <c r="H118" s="201"/>
      <c r="I118" s="202"/>
      <c r="J118" s="199"/>
      <c r="K118" s="688"/>
      <c r="L118" s="690"/>
      <c r="O118" s="198"/>
      <c r="P118" s="384"/>
      <c r="Q118" s="384"/>
      <c r="R118" s="198"/>
    </row>
    <row r="119" spans="1:18" ht="13.5">
      <c r="A119" s="695"/>
      <c r="B119" s="698"/>
      <c r="C119" s="203" t="s">
        <v>205</v>
      </c>
      <c r="D119" s="688"/>
      <c r="E119" s="689"/>
      <c r="F119" s="690"/>
      <c r="G119" s="199"/>
      <c r="H119" s="201"/>
      <c r="I119" s="202"/>
      <c r="J119" s="199"/>
      <c r="K119" s="688"/>
      <c r="L119" s="690"/>
      <c r="O119" s="198"/>
      <c r="P119" s="384"/>
      <c r="Q119" s="384"/>
      <c r="R119" s="198"/>
    </row>
    <row r="120" spans="1:18" ht="13.5">
      <c r="A120" s="695"/>
      <c r="B120" s="698"/>
      <c r="C120" s="203" t="s">
        <v>210</v>
      </c>
      <c r="D120" s="688"/>
      <c r="E120" s="689"/>
      <c r="F120" s="690"/>
      <c r="G120" s="199"/>
      <c r="H120" s="201"/>
      <c r="I120" s="202"/>
      <c r="J120" s="199"/>
      <c r="K120" s="688"/>
      <c r="L120" s="690"/>
      <c r="M120" s="98"/>
      <c r="O120" s="198"/>
      <c r="P120" s="384"/>
      <c r="Q120" s="384"/>
      <c r="R120" s="198"/>
    </row>
    <row r="121" spans="1:18" ht="13.5">
      <c r="A121" s="696"/>
      <c r="B121" s="699"/>
      <c r="C121" s="203" t="s">
        <v>211</v>
      </c>
      <c r="D121" s="688"/>
      <c r="E121" s="689"/>
      <c r="F121" s="690"/>
      <c r="G121" s="199"/>
      <c r="H121" s="201"/>
      <c r="I121" s="202"/>
      <c r="J121" s="199"/>
      <c r="K121" s="688"/>
      <c r="L121" s="690"/>
      <c r="M121" s="98"/>
      <c r="N121" s="198"/>
      <c r="O121" s="198"/>
      <c r="P121" s="384"/>
      <c r="Q121" s="384"/>
      <c r="R121" s="198"/>
    </row>
    <row r="122" spans="1:18" s="103" customFormat="1" ht="14.25">
      <c r="A122" s="691" t="s">
        <v>188</v>
      </c>
      <c r="B122" s="692"/>
      <c r="C122" s="206" t="s">
        <v>47</v>
      </c>
      <c r="D122" s="691" t="s">
        <v>12</v>
      </c>
      <c r="E122" s="693"/>
      <c r="F122" s="692"/>
      <c r="G122" s="206" t="s">
        <v>46</v>
      </c>
      <c r="H122" s="206" t="s">
        <v>374</v>
      </c>
      <c r="I122" s="206" t="s">
        <v>375</v>
      </c>
      <c r="J122" s="159" t="s">
        <v>332</v>
      </c>
      <c r="K122" s="691" t="s">
        <v>51</v>
      </c>
      <c r="L122" s="692"/>
      <c r="M122" s="127"/>
      <c r="N122" s="188"/>
      <c r="O122" s="198"/>
      <c r="P122" s="384"/>
      <c r="Q122" s="384"/>
      <c r="R122" s="198"/>
    </row>
    <row r="123" spans="1:18" ht="15">
      <c r="A123" s="694">
        <v>8</v>
      </c>
      <c r="B123" s="697" t="s">
        <v>379</v>
      </c>
      <c r="C123" s="199">
        <v>1</v>
      </c>
      <c r="D123" s="703" t="s">
        <v>614</v>
      </c>
      <c r="E123" s="680"/>
      <c r="F123" s="680"/>
      <c r="G123" s="199">
        <v>19</v>
      </c>
      <c r="H123" s="201">
        <v>3192.7189541137695</v>
      </c>
      <c r="I123" s="202">
        <v>168.03783969019838</v>
      </c>
      <c r="J123" s="351">
        <f>I123-I97</f>
        <v>1.6378551565139787E-2</v>
      </c>
      <c r="K123" s="679"/>
      <c r="L123" s="680"/>
      <c r="M123" s="98"/>
      <c r="O123" s="198"/>
      <c r="P123" s="384"/>
      <c r="Q123" s="384"/>
      <c r="R123" s="198"/>
    </row>
    <row r="124" spans="1:18" ht="15">
      <c r="A124" s="695"/>
      <c r="B124" s="698"/>
      <c r="C124" s="199">
        <v>2</v>
      </c>
      <c r="D124" s="703" t="s">
        <v>533</v>
      </c>
      <c r="E124" s="680"/>
      <c r="F124" s="680"/>
      <c r="G124" s="199">
        <v>19</v>
      </c>
      <c r="H124" s="201">
        <v>3191.5807994668603</v>
      </c>
      <c r="I124" s="202">
        <v>167.97793681404528</v>
      </c>
      <c r="J124" s="351">
        <f>I124-I98</f>
        <v>-3.7894736842133625E-2</v>
      </c>
      <c r="K124" s="679"/>
      <c r="L124" s="680"/>
      <c r="M124" s="98"/>
      <c r="O124" s="177"/>
      <c r="P124" s="383"/>
      <c r="Q124" s="383"/>
      <c r="R124" s="177"/>
    </row>
    <row r="125" spans="1:18" ht="15">
      <c r="A125" s="695"/>
      <c r="B125" s="698"/>
      <c r="C125" s="199">
        <v>3</v>
      </c>
      <c r="D125" s="703" t="s">
        <v>531</v>
      </c>
      <c r="E125" s="680"/>
      <c r="F125" s="680"/>
      <c r="G125" s="199">
        <v>20</v>
      </c>
      <c r="H125" s="201">
        <v>3266.9501893310226</v>
      </c>
      <c r="I125" s="202">
        <v>163.34750946655114</v>
      </c>
      <c r="J125" s="351">
        <f>I125-I100</f>
        <v>3.5244386212743279</v>
      </c>
      <c r="K125" s="679"/>
      <c r="L125" s="680"/>
      <c r="M125" s="98"/>
      <c r="O125" s="198"/>
      <c r="P125" s="384"/>
      <c r="Q125" s="384"/>
      <c r="R125" s="198"/>
    </row>
    <row r="126" spans="1:18" ht="15">
      <c r="A126" s="695"/>
      <c r="B126" s="698"/>
      <c r="C126" s="199">
        <v>4</v>
      </c>
      <c r="D126" s="703" t="s">
        <v>752</v>
      </c>
      <c r="E126" s="680"/>
      <c r="F126" s="680"/>
      <c r="G126" s="199">
        <v>20</v>
      </c>
      <c r="H126" s="201">
        <v>3260.9709961494686</v>
      </c>
      <c r="I126" s="202">
        <v>163.04854980747339</v>
      </c>
      <c r="J126" s="351">
        <f>I126-I99</f>
        <v>0.10296440169366861</v>
      </c>
      <c r="K126" s="679"/>
      <c r="L126" s="680"/>
      <c r="M126" s="98"/>
      <c r="O126" s="198"/>
      <c r="P126" s="384"/>
      <c r="Q126" s="384"/>
      <c r="R126" s="198"/>
    </row>
    <row r="127" spans="1:18" ht="15">
      <c r="A127" s="695"/>
      <c r="B127" s="698"/>
      <c r="C127" s="199">
        <v>5</v>
      </c>
      <c r="D127" s="703" t="s">
        <v>532</v>
      </c>
      <c r="E127" s="680"/>
      <c r="F127" s="680"/>
      <c r="G127" s="199">
        <v>21</v>
      </c>
      <c r="H127" s="201">
        <v>3267.3140019737198</v>
      </c>
      <c r="I127" s="202">
        <v>155.58638104636762</v>
      </c>
      <c r="J127" s="351">
        <f>I127-I101</f>
        <v>3.3532468630354515</v>
      </c>
      <c r="K127" s="679"/>
      <c r="L127" s="680"/>
      <c r="M127" s="98"/>
      <c r="O127" s="198"/>
      <c r="P127" s="384"/>
      <c r="Q127" s="384"/>
      <c r="R127" s="198"/>
    </row>
    <row r="128" spans="1:18" ht="13.5">
      <c r="A128" s="695"/>
      <c r="B128" s="698"/>
      <c r="C128" s="203" t="s">
        <v>204</v>
      </c>
      <c r="D128" s="688" t="s">
        <v>630</v>
      </c>
      <c r="E128" s="689"/>
      <c r="F128" s="690"/>
      <c r="G128" s="199">
        <v>24</v>
      </c>
      <c r="H128" s="201">
        <v>3267.1187397653316</v>
      </c>
      <c r="I128" s="202">
        <v>136.12994749022218</v>
      </c>
      <c r="J128" s="351">
        <f>I128-I103</f>
        <v>6.9151789093069738E-2</v>
      </c>
      <c r="K128" s="679"/>
      <c r="L128" s="680"/>
      <c r="M128" s="98"/>
      <c r="O128" s="198"/>
      <c r="P128" s="384"/>
      <c r="Q128" s="384"/>
      <c r="R128" s="198"/>
    </row>
    <row r="129" spans="1:18" ht="13.5">
      <c r="A129" s="695"/>
      <c r="B129" s="698"/>
      <c r="C129" s="203" t="s">
        <v>209</v>
      </c>
      <c r="D129" s="688" t="s">
        <v>597</v>
      </c>
      <c r="E129" s="689"/>
      <c r="F129" s="690"/>
      <c r="G129" s="199">
        <v>24</v>
      </c>
      <c r="H129" s="201">
        <v>3267.2659825817213</v>
      </c>
      <c r="I129" s="202">
        <v>136.13608260757172</v>
      </c>
      <c r="J129" s="351">
        <f>I129-I102</f>
        <v>7.5368595813216643E-2</v>
      </c>
      <c r="K129" s="679"/>
      <c r="L129" s="680"/>
      <c r="M129" s="98"/>
      <c r="O129" s="198"/>
      <c r="P129" s="384"/>
      <c r="Q129" s="384"/>
      <c r="R129" s="198"/>
    </row>
    <row r="130" spans="1:18" ht="13.5">
      <c r="A130" s="695"/>
      <c r="B130" s="698"/>
      <c r="C130" s="203" t="s">
        <v>205</v>
      </c>
      <c r="D130" s="688" t="s">
        <v>850</v>
      </c>
      <c r="E130" s="689"/>
      <c r="F130" s="690"/>
      <c r="G130" s="199">
        <v>22</v>
      </c>
      <c r="H130" s="201">
        <v>3263.7566377250323</v>
      </c>
      <c r="I130" s="202">
        <v>148.35257444204692</v>
      </c>
      <c r="J130" s="351">
        <f>I130-I104</f>
        <v>5.963314243613496</v>
      </c>
      <c r="K130" s="679"/>
      <c r="L130" s="680"/>
      <c r="M130" s="98"/>
      <c r="O130" s="198"/>
      <c r="P130" s="384"/>
      <c r="Q130" s="384"/>
      <c r="R130" s="198"/>
    </row>
    <row r="131" spans="1:18" ht="13.5">
      <c r="A131" s="695"/>
      <c r="B131" s="698"/>
      <c r="C131" s="203" t="s">
        <v>210</v>
      </c>
      <c r="D131" s="688"/>
      <c r="E131" s="689"/>
      <c r="F131" s="690"/>
      <c r="G131" s="199"/>
      <c r="H131" s="201"/>
      <c r="I131" s="202"/>
      <c r="J131" s="199"/>
      <c r="K131" s="688"/>
      <c r="L131" s="690"/>
      <c r="M131" s="98"/>
      <c r="O131" s="198"/>
      <c r="P131" s="384"/>
      <c r="Q131" s="384"/>
      <c r="R131" s="198"/>
    </row>
    <row r="132" spans="1:18" ht="13.5">
      <c r="A132" s="696"/>
      <c r="B132" s="699"/>
      <c r="C132" s="203" t="s">
        <v>211</v>
      </c>
      <c r="D132" s="688"/>
      <c r="E132" s="689"/>
      <c r="F132" s="690"/>
      <c r="G132" s="199"/>
      <c r="H132" s="201"/>
      <c r="I132" s="202"/>
      <c r="J132" s="199"/>
      <c r="K132" s="688"/>
      <c r="L132" s="690"/>
      <c r="M132" s="98"/>
      <c r="O132" s="198"/>
      <c r="P132" s="384"/>
      <c r="Q132" s="384"/>
      <c r="R132" s="198"/>
    </row>
    <row r="133" spans="1:18" s="188" customFormat="1" ht="15.75" customHeight="1">
      <c r="A133" s="685" t="s">
        <v>881</v>
      </c>
      <c r="B133" s="685"/>
      <c r="C133" s="685"/>
      <c r="D133" s="685"/>
      <c r="E133" s="685"/>
      <c r="F133" s="685"/>
      <c r="G133" s="685"/>
      <c r="H133" s="685"/>
      <c r="I133" s="685"/>
      <c r="J133" s="685"/>
      <c r="K133" s="685"/>
      <c r="L133" s="685"/>
    </row>
    <row r="134" spans="1:18" s="189" customFormat="1" ht="15.75" customHeight="1">
      <c r="A134" s="685"/>
      <c r="B134" s="685"/>
      <c r="C134" s="685"/>
      <c r="D134" s="685"/>
      <c r="E134" s="685"/>
      <c r="F134" s="685"/>
      <c r="G134" s="685"/>
      <c r="H134" s="685"/>
      <c r="I134" s="685"/>
      <c r="J134" s="685"/>
      <c r="K134" s="685"/>
      <c r="L134" s="685"/>
    </row>
    <row r="135" spans="1:18" s="105" customFormat="1" ht="16.350000000000001" customHeight="1">
      <c r="A135" s="694" t="s">
        <v>162</v>
      </c>
      <c r="B135" s="169">
        <v>1</v>
      </c>
      <c r="C135" s="169">
        <v>2</v>
      </c>
      <c r="D135" s="169">
        <v>3</v>
      </c>
      <c r="E135" s="169">
        <v>4</v>
      </c>
      <c r="F135" s="169">
        <v>5</v>
      </c>
      <c r="G135" s="169">
        <v>6</v>
      </c>
      <c r="H135" s="190">
        <v>7</v>
      </c>
      <c r="I135" s="190">
        <v>8</v>
      </c>
      <c r="J135" s="169">
        <v>9</v>
      </c>
      <c r="K135" s="191"/>
      <c r="L135" s="191"/>
      <c r="M135" s="126"/>
      <c r="N135" s="177"/>
      <c r="O135" s="177"/>
      <c r="P135" s="177"/>
      <c r="Q135" s="177"/>
      <c r="R135" s="177"/>
    </row>
    <row r="136" spans="1:18" ht="16.350000000000001" customHeight="1">
      <c r="A136" s="696"/>
      <c r="B136" s="194" t="s">
        <v>206</v>
      </c>
      <c r="C136" s="194" t="s">
        <v>155</v>
      </c>
      <c r="D136" s="194" t="s">
        <v>207</v>
      </c>
      <c r="E136" s="194" t="s">
        <v>156</v>
      </c>
      <c r="F136" s="194" t="s">
        <v>138</v>
      </c>
      <c r="G136" s="195" t="s">
        <v>136</v>
      </c>
      <c r="H136" s="193" t="s">
        <v>208</v>
      </c>
      <c r="I136" s="208" t="s">
        <v>373</v>
      </c>
      <c r="J136" s="195" t="s">
        <v>142</v>
      </c>
      <c r="K136" s="197"/>
      <c r="L136" s="197"/>
      <c r="N136" s="198"/>
      <c r="O136" s="198"/>
      <c r="P136" s="198"/>
      <c r="Q136" s="198"/>
      <c r="R136" s="198"/>
    </row>
    <row r="137" spans="1:18" s="105" customFormat="1" ht="15.75" customHeight="1">
      <c r="A137" s="700" t="s">
        <v>188</v>
      </c>
      <c r="B137" s="701"/>
      <c r="C137" s="159" t="s">
        <v>47</v>
      </c>
      <c r="D137" s="700" t="s">
        <v>12</v>
      </c>
      <c r="E137" s="702"/>
      <c r="F137" s="701"/>
      <c r="G137" s="159" t="s">
        <v>46</v>
      </c>
      <c r="H137" s="159" t="s">
        <v>374</v>
      </c>
      <c r="I137" s="159" t="s">
        <v>375</v>
      </c>
      <c r="J137" s="159" t="s">
        <v>332</v>
      </c>
      <c r="K137" s="700" t="s">
        <v>51</v>
      </c>
      <c r="L137" s="701"/>
      <c r="M137" s="126"/>
      <c r="N137" s="188"/>
      <c r="O137" s="198"/>
      <c r="P137" s="384"/>
      <c r="Q137" s="384"/>
      <c r="R137" s="198"/>
    </row>
    <row r="138" spans="1:18" ht="15">
      <c r="A138" s="694">
        <v>7</v>
      </c>
      <c r="B138" s="697" t="s">
        <v>378</v>
      </c>
      <c r="C138" s="199">
        <v>1</v>
      </c>
      <c r="D138" s="703"/>
      <c r="E138" s="680"/>
      <c r="F138" s="680"/>
      <c r="G138" s="199"/>
      <c r="H138" s="201"/>
      <c r="I138" s="202"/>
      <c r="J138" s="199"/>
      <c r="K138" s="688"/>
      <c r="L138" s="690"/>
      <c r="N138" s="387"/>
      <c r="O138" s="198"/>
      <c r="P138" s="384"/>
      <c r="Q138" s="384"/>
      <c r="R138" s="198"/>
    </row>
    <row r="139" spans="1:18" ht="15">
      <c r="A139" s="695"/>
      <c r="B139" s="698"/>
      <c r="C139" s="199">
        <v>2</v>
      </c>
      <c r="D139" s="703"/>
      <c r="E139" s="680"/>
      <c r="F139" s="680"/>
      <c r="G139" s="199"/>
      <c r="H139" s="201"/>
      <c r="I139" s="202"/>
      <c r="J139" s="199"/>
      <c r="K139" s="688"/>
      <c r="L139" s="690"/>
      <c r="O139" s="198"/>
      <c r="P139" s="384"/>
      <c r="Q139" s="384"/>
      <c r="R139" s="198"/>
    </row>
    <row r="140" spans="1:18" ht="13.5">
      <c r="A140" s="695"/>
      <c r="B140" s="698"/>
      <c r="C140" s="199">
        <v>3</v>
      </c>
      <c r="D140" s="688"/>
      <c r="E140" s="689"/>
      <c r="F140" s="690"/>
      <c r="G140" s="199"/>
      <c r="H140" s="201"/>
      <c r="I140" s="202"/>
      <c r="J140" s="199"/>
      <c r="K140" s="688"/>
      <c r="L140" s="690"/>
      <c r="O140" s="198"/>
      <c r="P140" s="384"/>
      <c r="Q140" s="384"/>
      <c r="R140" s="198"/>
    </row>
    <row r="141" spans="1:18" ht="13.5">
      <c r="A141" s="695"/>
      <c r="B141" s="698"/>
      <c r="C141" s="199">
        <v>4</v>
      </c>
      <c r="D141" s="688"/>
      <c r="E141" s="689"/>
      <c r="F141" s="690"/>
      <c r="G141" s="199"/>
      <c r="H141" s="201"/>
      <c r="I141" s="202"/>
      <c r="J141" s="199"/>
      <c r="K141" s="688"/>
      <c r="L141" s="690"/>
      <c r="O141" s="198"/>
      <c r="P141" s="384"/>
      <c r="Q141" s="384"/>
      <c r="R141" s="198"/>
    </row>
    <row r="142" spans="1:18" ht="13.5">
      <c r="A142" s="695"/>
      <c r="B142" s="698"/>
      <c r="C142" s="199">
        <v>5</v>
      </c>
      <c r="D142" s="688"/>
      <c r="E142" s="689"/>
      <c r="F142" s="690"/>
      <c r="G142" s="199"/>
      <c r="H142" s="201"/>
      <c r="I142" s="202"/>
      <c r="J142" s="199"/>
      <c r="K142" s="688"/>
      <c r="L142" s="690"/>
      <c r="N142" s="177"/>
      <c r="O142" s="198"/>
      <c r="P142" s="384"/>
      <c r="Q142" s="384"/>
      <c r="R142" s="198"/>
    </row>
    <row r="143" spans="1:18" ht="13.5">
      <c r="A143" s="695"/>
      <c r="B143" s="698"/>
      <c r="C143" s="203" t="s">
        <v>204</v>
      </c>
      <c r="D143" s="688"/>
      <c r="E143" s="689"/>
      <c r="F143" s="690"/>
      <c r="G143" s="199"/>
      <c r="H143" s="201"/>
      <c r="I143" s="202"/>
      <c r="J143" s="199"/>
      <c r="K143" s="688"/>
      <c r="L143" s="690"/>
      <c r="N143" s="387"/>
      <c r="O143" s="198"/>
      <c r="P143" s="384"/>
      <c r="Q143" s="384"/>
      <c r="R143" s="198"/>
    </row>
    <row r="144" spans="1:18" ht="13.5">
      <c r="A144" s="695"/>
      <c r="B144" s="698"/>
      <c r="C144" s="203" t="s">
        <v>209</v>
      </c>
      <c r="D144" s="688"/>
      <c r="E144" s="689"/>
      <c r="F144" s="690"/>
      <c r="G144" s="199"/>
      <c r="H144" s="201"/>
      <c r="I144" s="202"/>
      <c r="J144" s="199"/>
      <c r="K144" s="688"/>
      <c r="L144" s="690"/>
      <c r="O144" s="198"/>
      <c r="P144" s="384"/>
      <c r="Q144" s="384"/>
      <c r="R144" s="198"/>
    </row>
    <row r="145" spans="1:18" ht="13.5">
      <c r="A145" s="695"/>
      <c r="B145" s="698"/>
      <c r="C145" s="203" t="s">
        <v>205</v>
      </c>
      <c r="D145" s="688"/>
      <c r="E145" s="689"/>
      <c r="F145" s="690"/>
      <c r="G145" s="199"/>
      <c r="H145" s="201"/>
      <c r="I145" s="202"/>
      <c r="J145" s="199"/>
      <c r="K145" s="688"/>
      <c r="L145" s="690"/>
      <c r="O145" s="198"/>
      <c r="P145" s="384"/>
      <c r="Q145" s="384"/>
      <c r="R145" s="198"/>
    </row>
    <row r="146" spans="1:18" ht="13.5">
      <c r="A146" s="695"/>
      <c r="B146" s="698"/>
      <c r="C146" s="203" t="s">
        <v>210</v>
      </c>
      <c r="D146" s="688"/>
      <c r="E146" s="689"/>
      <c r="F146" s="690"/>
      <c r="G146" s="199"/>
      <c r="H146" s="201"/>
      <c r="I146" s="202"/>
      <c r="J146" s="199"/>
      <c r="K146" s="688"/>
      <c r="L146" s="690"/>
      <c r="M146" s="98"/>
      <c r="O146" s="198"/>
      <c r="P146" s="384"/>
      <c r="Q146" s="384"/>
      <c r="R146" s="198"/>
    </row>
    <row r="147" spans="1:18" ht="13.5">
      <c r="A147" s="696"/>
      <c r="B147" s="699"/>
      <c r="C147" s="203" t="s">
        <v>211</v>
      </c>
      <c r="D147" s="688"/>
      <c r="E147" s="689"/>
      <c r="F147" s="690"/>
      <c r="G147" s="199"/>
      <c r="H147" s="201"/>
      <c r="I147" s="202"/>
      <c r="J147" s="199"/>
      <c r="K147" s="688"/>
      <c r="L147" s="690"/>
      <c r="M147" s="98"/>
      <c r="N147" s="198"/>
      <c r="O147" s="198"/>
      <c r="P147" s="384"/>
      <c r="Q147" s="384"/>
      <c r="R147" s="198"/>
    </row>
    <row r="148" spans="1:18" s="103" customFormat="1" ht="14.25">
      <c r="A148" s="691" t="s">
        <v>188</v>
      </c>
      <c r="B148" s="692"/>
      <c r="C148" s="206" t="s">
        <v>47</v>
      </c>
      <c r="D148" s="691" t="s">
        <v>12</v>
      </c>
      <c r="E148" s="693"/>
      <c r="F148" s="692"/>
      <c r="G148" s="206" t="s">
        <v>46</v>
      </c>
      <c r="H148" s="206" t="s">
        <v>374</v>
      </c>
      <c r="I148" s="206" t="s">
        <v>375</v>
      </c>
      <c r="J148" s="159" t="s">
        <v>332</v>
      </c>
      <c r="K148" s="691" t="s">
        <v>51</v>
      </c>
      <c r="L148" s="692"/>
      <c r="M148" s="127"/>
      <c r="N148" s="188"/>
      <c r="O148" s="198"/>
      <c r="P148" s="384"/>
      <c r="Q148" s="384"/>
      <c r="R148" s="198"/>
    </row>
    <row r="149" spans="1:18" ht="13.5">
      <c r="A149" s="694">
        <v>8</v>
      </c>
      <c r="B149" s="697" t="s">
        <v>379</v>
      </c>
      <c r="C149" s="199">
        <v>1</v>
      </c>
      <c r="D149" s="688"/>
      <c r="E149" s="689"/>
      <c r="F149" s="690"/>
      <c r="G149" s="199"/>
      <c r="H149" s="201"/>
      <c r="I149" s="202"/>
      <c r="J149" s="351">
        <f>I149-I123</f>
        <v>-168.03783969019838</v>
      </c>
      <c r="K149" s="679"/>
      <c r="L149" s="680"/>
      <c r="M149" s="98"/>
      <c r="O149" s="198"/>
      <c r="P149" s="384"/>
      <c r="Q149" s="384"/>
      <c r="R149" s="198"/>
    </row>
    <row r="150" spans="1:18" ht="13.5">
      <c r="A150" s="695"/>
      <c r="B150" s="698"/>
      <c r="C150" s="199">
        <v>2</v>
      </c>
      <c r="D150" s="688"/>
      <c r="E150" s="689"/>
      <c r="F150" s="690"/>
      <c r="G150" s="199"/>
      <c r="H150" s="201"/>
      <c r="I150" s="202"/>
      <c r="J150" s="351">
        <f>I150-I126</f>
        <v>-163.04854980747339</v>
      </c>
      <c r="K150" s="679"/>
      <c r="L150" s="680"/>
      <c r="M150" s="98"/>
      <c r="O150" s="177"/>
      <c r="P150" s="383"/>
      <c r="Q150" s="383"/>
      <c r="R150" s="177"/>
    </row>
    <row r="151" spans="1:18" ht="13.5">
      <c r="A151" s="695"/>
      <c r="B151" s="698"/>
      <c r="C151" s="199">
        <v>3</v>
      </c>
      <c r="D151" s="688"/>
      <c r="E151" s="689"/>
      <c r="F151" s="690"/>
      <c r="G151" s="199"/>
      <c r="H151" s="201"/>
      <c r="I151" s="202"/>
      <c r="J151" s="351">
        <f>I151-I124</f>
        <v>-167.97793681404528</v>
      </c>
      <c r="K151" s="679"/>
      <c r="L151" s="680"/>
      <c r="M151" s="98"/>
      <c r="O151" s="198"/>
      <c r="P151" s="384"/>
      <c r="Q151" s="384"/>
      <c r="R151" s="198"/>
    </row>
    <row r="152" spans="1:18" ht="13.5">
      <c r="A152" s="695"/>
      <c r="B152" s="698"/>
      <c r="C152" s="199">
        <v>4</v>
      </c>
      <c r="D152" s="688"/>
      <c r="E152" s="689"/>
      <c r="F152" s="690"/>
      <c r="G152" s="199"/>
      <c r="H152" s="201"/>
      <c r="I152" s="202"/>
      <c r="J152" s="351">
        <f>I152-I125</f>
        <v>-163.34750946655114</v>
      </c>
      <c r="K152" s="679"/>
      <c r="L152" s="680"/>
      <c r="M152" s="98"/>
      <c r="O152" s="198"/>
      <c r="P152" s="384"/>
      <c r="Q152" s="384"/>
      <c r="R152" s="198"/>
    </row>
    <row r="153" spans="1:18" ht="13.5">
      <c r="A153" s="695"/>
      <c r="B153" s="698"/>
      <c r="C153" s="199">
        <v>5</v>
      </c>
      <c r="D153" s="688"/>
      <c r="E153" s="689"/>
      <c r="F153" s="690"/>
      <c r="G153" s="199"/>
      <c r="H153" s="201"/>
      <c r="I153" s="202"/>
      <c r="J153" s="351">
        <f>I153-I127</f>
        <v>-155.58638104636762</v>
      </c>
      <c r="K153" s="679"/>
      <c r="L153" s="680"/>
      <c r="M153" s="98"/>
      <c r="O153" s="198"/>
      <c r="P153" s="384"/>
      <c r="Q153" s="384"/>
      <c r="R153" s="198"/>
    </row>
    <row r="154" spans="1:18" ht="13.5">
      <c r="A154" s="695"/>
      <c r="B154" s="698"/>
      <c r="C154" s="203" t="s">
        <v>204</v>
      </c>
      <c r="D154" s="688"/>
      <c r="E154" s="689"/>
      <c r="F154" s="690"/>
      <c r="G154" s="199"/>
      <c r="H154" s="201"/>
      <c r="I154" s="202"/>
      <c r="J154" s="351">
        <f>I154-I129</f>
        <v>-136.13608260757172</v>
      </c>
      <c r="K154" s="679"/>
      <c r="L154" s="680"/>
      <c r="M154" s="98"/>
      <c r="O154" s="198"/>
      <c r="P154" s="384"/>
      <c r="Q154" s="384"/>
      <c r="R154" s="198"/>
    </row>
    <row r="155" spans="1:18" ht="13.5">
      <c r="A155" s="695"/>
      <c r="B155" s="698"/>
      <c r="C155" s="203" t="s">
        <v>209</v>
      </c>
      <c r="D155" s="688"/>
      <c r="E155" s="689"/>
      <c r="F155" s="690"/>
      <c r="G155" s="199"/>
      <c r="H155" s="201"/>
      <c r="I155" s="202"/>
      <c r="J155" s="351">
        <f>I155-I128</f>
        <v>-136.12994749022218</v>
      </c>
      <c r="K155" s="679"/>
      <c r="L155" s="680"/>
      <c r="M155" s="98"/>
      <c r="O155" s="198"/>
      <c r="P155" s="384"/>
      <c r="Q155" s="384"/>
      <c r="R155" s="198"/>
    </row>
    <row r="156" spans="1:18" ht="13.5">
      <c r="A156" s="695"/>
      <c r="B156" s="698"/>
      <c r="C156" s="203" t="s">
        <v>205</v>
      </c>
      <c r="D156" s="688"/>
      <c r="E156" s="689"/>
      <c r="F156" s="690"/>
      <c r="G156" s="199"/>
      <c r="H156" s="201"/>
      <c r="I156" s="202"/>
      <c r="J156" s="351">
        <f>I156-I130</f>
        <v>-148.35257444204692</v>
      </c>
      <c r="K156" s="679"/>
      <c r="L156" s="680"/>
      <c r="M156" s="98"/>
      <c r="O156" s="198"/>
      <c r="P156" s="384"/>
      <c r="Q156" s="384"/>
      <c r="R156" s="198"/>
    </row>
    <row r="157" spans="1:18" ht="13.5">
      <c r="A157" s="695"/>
      <c r="B157" s="698"/>
      <c r="C157" s="203" t="s">
        <v>210</v>
      </c>
      <c r="D157" s="688"/>
      <c r="E157" s="689"/>
      <c r="F157" s="690"/>
      <c r="G157" s="199"/>
      <c r="H157" s="201"/>
      <c r="I157" s="202"/>
      <c r="J157" s="199"/>
      <c r="K157" s="688"/>
      <c r="L157" s="690"/>
      <c r="M157" s="98"/>
      <c r="O157" s="198"/>
      <c r="P157" s="384"/>
      <c r="Q157" s="384"/>
      <c r="R157" s="198"/>
    </row>
    <row r="158" spans="1:18" ht="13.5">
      <c r="A158" s="696"/>
      <c r="B158" s="699"/>
      <c r="C158" s="203" t="s">
        <v>211</v>
      </c>
      <c r="D158" s="688"/>
      <c r="E158" s="689"/>
      <c r="F158" s="690"/>
      <c r="G158" s="199"/>
      <c r="H158" s="201"/>
      <c r="I158" s="202"/>
      <c r="J158" s="199"/>
      <c r="K158" s="688"/>
      <c r="L158" s="690"/>
      <c r="M158" s="98"/>
      <c r="O158" s="198"/>
      <c r="P158" s="384"/>
      <c r="Q158" s="384"/>
      <c r="R158" s="198"/>
    </row>
  </sheetData>
  <mergeCells count="313"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K50:L50"/>
    <mergeCell ref="A71:A80"/>
    <mergeCell ref="B71:B80"/>
    <mergeCell ref="D71:F71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54:L54"/>
    <mergeCell ref="K42:L42"/>
    <mergeCell ref="D43:F43"/>
    <mergeCell ref="K43:L43"/>
    <mergeCell ref="K92:L92"/>
    <mergeCell ref="D93:F93"/>
    <mergeCell ref="K93:L93"/>
    <mergeCell ref="D94:F94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D7:F7"/>
    <mergeCell ref="K7:L7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79:L79"/>
    <mergeCell ref="D80:F80"/>
    <mergeCell ref="K80:L80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9:F79"/>
    <mergeCell ref="D76:F76"/>
    <mergeCell ref="K76:L76"/>
    <mergeCell ref="D77:F77"/>
    <mergeCell ref="K77:L77"/>
    <mergeCell ref="D78:F78"/>
    <mergeCell ref="K78:L78"/>
    <mergeCell ref="A1:L2"/>
    <mergeCell ref="A55:L56"/>
    <mergeCell ref="A57:A58"/>
    <mergeCell ref="A59:B59"/>
    <mergeCell ref="D59:F59"/>
    <mergeCell ref="K59:L59"/>
    <mergeCell ref="D66:F66"/>
    <mergeCell ref="K66:L66"/>
    <mergeCell ref="K65:L65"/>
    <mergeCell ref="K40:L40"/>
    <mergeCell ref="D41:F41"/>
    <mergeCell ref="K41:L41"/>
    <mergeCell ref="D42:F4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K24:L24"/>
    <mergeCell ref="D27:F27"/>
    <mergeCell ref="K27:L27"/>
    <mergeCell ref="D28:F28"/>
    <mergeCell ref="K28:L28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6:L16"/>
    <mergeCell ref="D17:F17"/>
    <mergeCell ref="K17:L17"/>
    <mergeCell ref="K61:L61"/>
    <mergeCell ref="D62:F62"/>
    <mergeCell ref="K62:L62"/>
    <mergeCell ref="D63:F63"/>
    <mergeCell ref="K63:L63"/>
    <mergeCell ref="D64:F64"/>
    <mergeCell ref="K64:L64"/>
    <mergeCell ref="D65:F6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39:L39"/>
    <mergeCell ref="D40:F40"/>
    <mergeCell ref="D53:F53"/>
    <mergeCell ref="K53:L53"/>
    <mergeCell ref="D54:F54"/>
    <mergeCell ref="A107:L108"/>
    <mergeCell ref="A109:A110"/>
    <mergeCell ref="A111:B111"/>
    <mergeCell ref="D111:F111"/>
    <mergeCell ref="K111:L111"/>
    <mergeCell ref="A70:B70"/>
    <mergeCell ref="D70:F70"/>
    <mergeCell ref="K70:L70"/>
    <mergeCell ref="A60:A69"/>
    <mergeCell ref="B60:B69"/>
    <mergeCell ref="D60:F60"/>
    <mergeCell ref="D68:F68"/>
    <mergeCell ref="K68:L68"/>
    <mergeCell ref="D69:F69"/>
    <mergeCell ref="K69:L69"/>
    <mergeCell ref="D67:F67"/>
    <mergeCell ref="K67:L67"/>
    <mergeCell ref="K60:L60"/>
    <mergeCell ref="D61:F6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K144:L144"/>
    <mergeCell ref="D145:F145"/>
    <mergeCell ref="K145:L145"/>
    <mergeCell ref="D146:F146"/>
    <mergeCell ref="D131:F131"/>
    <mergeCell ref="K131:L131"/>
    <mergeCell ref="D132:F132"/>
    <mergeCell ref="K132:L132"/>
    <mergeCell ref="K120:L120"/>
    <mergeCell ref="D121:F121"/>
    <mergeCell ref="K121:L121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>
    <tabColor rgb="FF92D050"/>
    <outlinePr summaryBelow="0" summaryRight="0"/>
  </sheetPr>
  <dimension ref="A1:S158"/>
  <sheetViews>
    <sheetView view="pageBreakPreview" topLeftCell="A93" zoomScale="110" zoomScaleNormal="60" zoomScaleSheetLayoutView="110" workbookViewId="0">
      <selection activeCell="J116" sqref="J116"/>
    </sheetView>
  </sheetViews>
  <sheetFormatPr defaultColWidth="12.5703125" defaultRowHeight="15.75" customHeight="1"/>
  <cols>
    <col min="1" max="1" width="6.42578125" style="98" customWidth="1"/>
    <col min="2" max="10" width="11.5703125" style="98" customWidth="1"/>
    <col min="11" max="12" width="12.85546875" style="98" customWidth="1"/>
    <col min="13" max="13" width="12.5703125" style="99"/>
    <col min="14" max="18" width="12.5703125" style="188"/>
    <col min="19" max="16384" width="12.5703125" style="98"/>
  </cols>
  <sheetData>
    <row r="1" spans="1:18" ht="15.75" customHeight="1">
      <c r="A1" s="547" t="s">
        <v>372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98"/>
    </row>
    <row r="2" spans="1:18" s="99" customFormat="1" ht="15.75" customHeight="1">
      <c r="A2" s="547"/>
      <c r="B2" s="547"/>
      <c r="C2" s="547"/>
      <c r="D2" s="547"/>
      <c r="E2" s="547"/>
      <c r="F2" s="547"/>
      <c r="G2" s="547"/>
      <c r="H2" s="547"/>
      <c r="I2" s="547"/>
      <c r="J2" s="547"/>
      <c r="K2" s="547"/>
      <c r="L2" s="547"/>
      <c r="N2" s="189"/>
      <c r="O2" s="189"/>
      <c r="P2" s="189"/>
      <c r="Q2" s="189"/>
      <c r="R2" s="189"/>
    </row>
    <row r="3" spans="1:18" s="188" customFormat="1" ht="15.75" customHeight="1">
      <c r="A3" s="685" t="s">
        <v>670</v>
      </c>
      <c r="B3" s="685"/>
      <c r="C3" s="685"/>
      <c r="D3" s="685"/>
      <c r="E3" s="685"/>
      <c r="F3" s="685"/>
      <c r="G3" s="685"/>
      <c r="H3" s="685"/>
      <c r="I3" s="685"/>
      <c r="J3" s="685"/>
      <c r="K3" s="685"/>
      <c r="L3" s="685"/>
    </row>
    <row r="4" spans="1:18" s="189" customFormat="1" ht="15.75" customHeight="1">
      <c r="A4" s="685"/>
      <c r="B4" s="685"/>
      <c r="C4" s="685"/>
      <c r="D4" s="685"/>
      <c r="E4" s="685"/>
      <c r="F4" s="685"/>
      <c r="G4" s="685"/>
      <c r="H4" s="685"/>
      <c r="I4" s="685"/>
      <c r="J4" s="685"/>
      <c r="K4" s="685"/>
      <c r="L4" s="685"/>
    </row>
    <row r="5" spans="1:18" s="105" customFormat="1" ht="16.350000000000001" customHeight="1">
      <c r="A5" s="694" t="s">
        <v>162</v>
      </c>
      <c r="B5" s="169">
        <v>1</v>
      </c>
      <c r="C5" s="169">
        <v>2</v>
      </c>
      <c r="D5" s="169">
        <v>3</v>
      </c>
      <c r="E5" s="169">
        <v>4</v>
      </c>
      <c r="F5" s="169">
        <v>5</v>
      </c>
      <c r="G5" s="169">
        <v>6</v>
      </c>
      <c r="H5" s="169">
        <v>7</v>
      </c>
      <c r="I5" s="169">
        <v>8</v>
      </c>
      <c r="J5" s="190">
        <v>9</v>
      </c>
      <c r="K5" s="191"/>
      <c r="L5" s="191"/>
      <c r="M5" s="126"/>
      <c r="N5" s="177"/>
      <c r="O5" s="177"/>
      <c r="P5" s="177"/>
      <c r="Q5" s="177"/>
      <c r="R5" s="177"/>
    </row>
    <row r="6" spans="1:18" ht="16.350000000000001" customHeight="1">
      <c r="A6" s="696"/>
      <c r="B6" s="194" t="s">
        <v>206</v>
      </c>
      <c r="C6" s="194" t="s">
        <v>155</v>
      </c>
      <c r="D6" s="194" t="s">
        <v>207</v>
      </c>
      <c r="E6" s="194" t="s">
        <v>156</v>
      </c>
      <c r="F6" s="194" t="s">
        <v>138</v>
      </c>
      <c r="G6" s="195" t="s">
        <v>136</v>
      </c>
      <c r="H6" s="196" t="s">
        <v>208</v>
      </c>
      <c r="I6" s="195" t="s">
        <v>373</v>
      </c>
      <c r="J6" s="208" t="s">
        <v>142</v>
      </c>
      <c r="K6" s="197"/>
      <c r="L6" s="197"/>
      <c r="N6" s="198"/>
      <c r="O6" s="198"/>
      <c r="P6" s="198"/>
      <c r="Q6" s="198"/>
      <c r="R6" s="198"/>
    </row>
    <row r="7" spans="1:18" s="105" customFormat="1" ht="15.75" customHeight="1">
      <c r="A7" s="700" t="s">
        <v>188</v>
      </c>
      <c r="B7" s="701"/>
      <c r="C7" s="159" t="s">
        <v>47</v>
      </c>
      <c r="D7" s="700" t="s">
        <v>12</v>
      </c>
      <c r="E7" s="702"/>
      <c r="F7" s="701"/>
      <c r="G7" s="159" t="s">
        <v>46</v>
      </c>
      <c r="H7" s="159" t="s">
        <v>374</v>
      </c>
      <c r="I7" s="159" t="s">
        <v>375</v>
      </c>
      <c r="J7" s="159" t="s">
        <v>332</v>
      </c>
      <c r="K7" s="700" t="s">
        <v>51</v>
      </c>
      <c r="L7" s="701"/>
      <c r="M7" s="126"/>
      <c r="N7" s="188"/>
      <c r="O7" s="198"/>
      <c r="P7" s="384"/>
      <c r="Q7" s="384"/>
      <c r="R7" s="198"/>
    </row>
    <row r="8" spans="1:18" ht="15.75" customHeight="1">
      <c r="A8" s="694">
        <f>J5</f>
        <v>9</v>
      </c>
      <c r="B8" s="697" t="str">
        <f>J6</f>
        <v>微波小吃</v>
      </c>
      <c r="C8" s="199">
        <v>1</v>
      </c>
      <c r="D8" s="688" t="s">
        <v>617</v>
      </c>
      <c r="E8" s="689"/>
      <c r="F8" s="690"/>
      <c r="G8" s="199">
        <v>11</v>
      </c>
      <c r="H8" s="201">
        <v>1806.1836633946248</v>
      </c>
      <c r="I8" s="202">
        <v>164.19851485405681</v>
      </c>
      <c r="J8" s="351">
        <v>0.14327235426668494</v>
      </c>
      <c r="K8" s="688" t="s">
        <v>427</v>
      </c>
      <c r="L8" s="690"/>
      <c r="O8" s="198"/>
      <c r="P8" s="384"/>
      <c r="Q8" s="384"/>
      <c r="R8" s="198"/>
    </row>
    <row r="9" spans="1:18" ht="15.75" customHeight="1">
      <c r="A9" s="695"/>
      <c r="B9" s="698"/>
      <c r="C9" s="199">
        <v>2</v>
      </c>
      <c r="D9" s="688" t="s">
        <v>615</v>
      </c>
      <c r="E9" s="689"/>
      <c r="F9" s="690"/>
      <c r="G9" s="199">
        <v>11</v>
      </c>
      <c r="H9" s="201">
        <v>1804.6932335150127</v>
      </c>
      <c r="I9" s="202">
        <v>164.0630212286375</v>
      </c>
      <c r="J9" s="351">
        <v>-1.1232403991840556E-2</v>
      </c>
      <c r="K9" s="688" t="s">
        <v>427</v>
      </c>
      <c r="L9" s="690"/>
      <c r="O9" s="198"/>
      <c r="P9" s="384"/>
      <c r="Q9" s="384"/>
      <c r="R9" s="198"/>
    </row>
    <row r="10" spans="1:18" ht="15.75" customHeight="1">
      <c r="A10" s="695"/>
      <c r="B10" s="698"/>
      <c r="C10" s="199">
        <v>3</v>
      </c>
      <c r="D10" s="688" t="s">
        <v>650</v>
      </c>
      <c r="E10" s="689"/>
      <c r="F10" s="690"/>
      <c r="G10" s="199">
        <v>19</v>
      </c>
      <c r="H10" s="201">
        <v>1787.7152450743363</v>
      </c>
      <c r="I10" s="202">
        <v>94.090276056543999</v>
      </c>
      <c r="J10" s="351">
        <v>3.436529041246672E-2</v>
      </c>
      <c r="K10" s="688" t="s">
        <v>427</v>
      </c>
      <c r="L10" s="690"/>
      <c r="O10" s="198"/>
      <c r="P10" s="384"/>
      <c r="Q10" s="384"/>
      <c r="R10" s="198"/>
    </row>
    <row r="11" spans="1:18" ht="15.75" customHeight="1">
      <c r="A11" s="695"/>
      <c r="B11" s="698"/>
      <c r="C11" s="199">
        <v>4</v>
      </c>
      <c r="D11" s="688" t="s">
        <v>354</v>
      </c>
      <c r="E11" s="689"/>
      <c r="F11" s="690"/>
      <c r="G11" s="201">
        <v>13</v>
      </c>
      <c r="H11" s="201">
        <v>1082.5362039531706</v>
      </c>
      <c r="I11" s="202">
        <v>83.272015688705451</v>
      </c>
      <c r="J11" s="351">
        <v>4.8512552283355603E-2</v>
      </c>
      <c r="K11" s="688" t="s">
        <v>427</v>
      </c>
      <c r="L11" s="690"/>
      <c r="O11" s="198"/>
      <c r="P11" s="384"/>
      <c r="Q11" s="384"/>
      <c r="R11" s="198"/>
    </row>
    <row r="12" spans="1:18" ht="15.75" customHeight="1">
      <c r="A12" s="695"/>
      <c r="B12" s="698"/>
      <c r="C12" s="199">
        <v>5</v>
      </c>
      <c r="D12" s="688" t="s">
        <v>616</v>
      </c>
      <c r="E12" s="689"/>
      <c r="F12" s="690"/>
      <c r="G12" s="199">
        <v>22</v>
      </c>
      <c r="H12" s="201">
        <v>1800.2072198559144</v>
      </c>
      <c r="I12" s="202">
        <v>81.827600902541576</v>
      </c>
      <c r="J12" s="351">
        <v>2.0779220779246543E-2</v>
      </c>
      <c r="K12" s="688" t="s">
        <v>427</v>
      </c>
      <c r="L12" s="690"/>
      <c r="O12" s="198"/>
      <c r="P12" s="384"/>
      <c r="Q12" s="384"/>
      <c r="R12" s="198"/>
    </row>
    <row r="13" spans="1:18" ht="15.75" customHeight="1">
      <c r="A13" s="695"/>
      <c r="B13" s="698"/>
      <c r="C13" s="203" t="s">
        <v>204</v>
      </c>
      <c r="D13" s="688"/>
      <c r="E13" s="689"/>
      <c r="F13" s="690"/>
      <c r="G13" s="199"/>
      <c r="H13" s="201"/>
      <c r="I13" s="202"/>
      <c r="J13" s="199"/>
      <c r="K13" s="688"/>
      <c r="L13" s="690"/>
      <c r="O13" s="198"/>
      <c r="P13" s="384"/>
      <c r="Q13" s="384"/>
      <c r="R13" s="198"/>
    </row>
    <row r="14" spans="1:18" ht="15.75" customHeight="1">
      <c r="A14" s="695"/>
      <c r="B14" s="698"/>
      <c r="C14" s="203" t="s">
        <v>209</v>
      </c>
      <c r="D14" s="688"/>
      <c r="E14" s="689"/>
      <c r="F14" s="690"/>
      <c r="G14" s="199"/>
      <c r="H14" s="201"/>
      <c r="I14" s="202"/>
      <c r="J14" s="199"/>
      <c r="K14" s="688"/>
      <c r="L14" s="690"/>
      <c r="N14" s="177"/>
      <c r="O14" s="177"/>
      <c r="P14" s="383"/>
      <c r="Q14" s="383"/>
      <c r="R14" s="177"/>
    </row>
    <row r="15" spans="1:18" ht="15.75" customHeight="1">
      <c r="A15" s="695"/>
      <c r="B15" s="698"/>
      <c r="C15" s="203" t="s">
        <v>205</v>
      </c>
      <c r="D15" s="688"/>
      <c r="E15" s="689"/>
      <c r="F15" s="690"/>
      <c r="G15" s="199"/>
      <c r="H15" s="201"/>
      <c r="I15" s="202"/>
      <c r="J15" s="199"/>
      <c r="K15" s="688"/>
      <c r="L15" s="690"/>
      <c r="O15" s="198"/>
      <c r="P15" s="384"/>
      <c r="Q15" s="384"/>
      <c r="R15" s="198"/>
    </row>
    <row r="16" spans="1:18" ht="15.75" customHeight="1">
      <c r="A16" s="695"/>
      <c r="B16" s="698"/>
      <c r="C16" s="203" t="s">
        <v>210</v>
      </c>
      <c r="D16" s="688"/>
      <c r="E16" s="689"/>
      <c r="F16" s="690"/>
      <c r="G16" s="199"/>
      <c r="H16" s="201"/>
      <c r="I16" s="202"/>
      <c r="J16" s="199"/>
      <c r="K16" s="688"/>
      <c r="L16" s="690"/>
      <c r="M16" s="98"/>
      <c r="O16" s="198"/>
      <c r="P16" s="384"/>
      <c r="Q16" s="384"/>
      <c r="R16" s="198"/>
    </row>
    <row r="17" spans="1:18" ht="15.75" customHeight="1">
      <c r="A17" s="696"/>
      <c r="B17" s="699"/>
      <c r="C17" s="203" t="s">
        <v>211</v>
      </c>
      <c r="D17" s="688"/>
      <c r="E17" s="689"/>
      <c r="F17" s="690"/>
      <c r="G17" s="199"/>
      <c r="H17" s="201"/>
      <c r="I17" s="202"/>
      <c r="J17" s="199"/>
      <c r="K17" s="688"/>
      <c r="L17" s="690"/>
      <c r="M17" s="98"/>
      <c r="O17" s="198"/>
      <c r="P17" s="384"/>
      <c r="Q17" s="384"/>
      <c r="R17" s="198"/>
    </row>
    <row r="18" spans="1:18" s="103" customFormat="1" ht="15.75" customHeight="1">
      <c r="A18" s="691" t="s">
        <v>188</v>
      </c>
      <c r="B18" s="692"/>
      <c r="C18" s="206" t="s">
        <v>47</v>
      </c>
      <c r="D18" s="691" t="s">
        <v>12</v>
      </c>
      <c r="E18" s="693"/>
      <c r="F18" s="692"/>
      <c r="G18" s="206" t="s">
        <v>46</v>
      </c>
      <c r="H18" s="206" t="s">
        <v>374</v>
      </c>
      <c r="I18" s="206" t="s">
        <v>375</v>
      </c>
      <c r="J18" s="159" t="s">
        <v>332</v>
      </c>
      <c r="K18" s="691" t="s">
        <v>51</v>
      </c>
      <c r="L18" s="692"/>
      <c r="M18" s="127"/>
      <c r="N18" s="188"/>
      <c r="O18" s="198"/>
      <c r="P18" s="384"/>
      <c r="Q18" s="384"/>
      <c r="R18" s="198"/>
    </row>
    <row r="19" spans="1:18" ht="15.75" customHeight="1">
      <c r="A19" s="694"/>
      <c r="B19" s="697"/>
      <c r="C19" s="199">
        <v>1</v>
      </c>
      <c r="D19" s="688"/>
      <c r="E19" s="689"/>
      <c r="F19" s="690"/>
      <c r="G19" s="199"/>
      <c r="H19" s="201"/>
      <c r="I19" s="202"/>
      <c r="J19" s="199"/>
      <c r="K19" s="688"/>
      <c r="L19" s="690"/>
      <c r="M19" s="98"/>
      <c r="N19" s="198"/>
      <c r="O19" s="198"/>
      <c r="P19" s="384"/>
      <c r="Q19" s="384"/>
      <c r="R19" s="198"/>
    </row>
    <row r="20" spans="1:18" ht="15.75" customHeight="1">
      <c r="A20" s="695"/>
      <c r="B20" s="698"/>
      <c r="C20" s="199">
        <v>2</v>
      </c>
      <c r="D20" s="688"/>
      <c r="E20" s="689"/>
      <c r="F20" s="690"/>
      <c r="G20" s="199"/>
      <c r="H20" s="201"/>
      <c r="I20" s="202"/>
      <c r="J20" s="199"/>
      <c r="K20" s="688"/>
      <c r="L20" s="690"/>
      <c r="M20" s="98"/>
      <c r="O20" s="198"/>
      <c r="P20" s="384"/>
      <c r="Q20" s="384"/>
      <c r="R20" s="198"/>
    </row>
    <row r="21" spans="1:18" ht="15.75" customHeight="1">
      <c r="A21" s="695"/>
      <c r="B21" s="698"/>
      <c r="C21" s="199">
        <v>3</v>
      </c>
      <c r="D21" s="688"/>
      <c r="E21" s="689"/>
      <c r="F21" s="690"/>
      <c r="G21" s="199"/>
      <c r="H21" s="201"/>
      <c r="I21" s="202"/>
      <c r="J21" s="199"/>
      <c r="K21" s="688"/>
      <c r="L21" s="690"/>
      <c r="M21" s="98"/>
      <c r="O21" s="198"/>
      <c r="P21" s="384"/>
      <c r="Q21" s="384"/>
      <c r="R21" s="198"/>
    </row>
    <row r="22" spans="1:18" ht="15.75" customHeight="1">
      <c r="A22" s="695"/>
      <c r="B22" s="698"/>
      <c r="C22" s="199">
        <v>4</v>
      </c>
      <c r="D22" s="688"/>
      <c r="E22" s="689"/>
      <c r="F22" s="690"/>
      <c r="G22" s="199"/>
      <c r="H22" s="201"/>
      <c r="I22" s="202"/>
      <c r="J22" s="199"/>
      <c r="K22" s="688"/>
      <c r="L22" s="690"/>
      <c r="M22" s="98"/>
      <c r="O22" s="198"/>
      <c r="P22" s="384"/>
      <c r="Q22" s="384"/>
      <c r="R22" s="198"/>
    </row>
    <row r="23" spans="1:18" ht="15.75" customHeight="1">
      <c r="A23" s="695"/>
      <c r="B23" s="698"/>
      <c r="C23" s="199">
        <v>5</v>
      </c>
      <c r="D23" s="688"/>
      <c r="E23" s="689"/>
      <c r="F23" s="690"/>
      <c r="G23" s="199"/>
      <c r="H23" s="201"/>
      <c r="I23" s="202"/>
      <c r="J23" s="199"/>
      <c r="K23" s="688"/>
      <c r="L23" s="690"/>
      <c r="M23" s="98"/>
      <c r="O23" s="198"/>
      <c r="P23" s="384"/>
      <c r="Q23" s="384"/>
      <c r="R23" s="198"/>
    </row>
    <row r="24" spans="1:18" ht="15.75" customHeight="1">
      <c r="A24" s="695"/>
      <c r="B24" s="698"/>
      <c r="C24" s="203" t="s">
        <v>204</v>
      </c>
      <c r="D24" s="688"/>
      <c r="E24" s="689"/>
      <c r="F24" s="690"/>
      <c r="G24" s="199"/>
      <c r="H24" s="201"/>
      <c r="I24" s="202"/>
      <c r="J24" s="199"/>
      <c r="K24" s="688"/>
      <c r="L24" s="690"/>
      <c r="M24" s="98"/>
      <c r="O24" s="198"/>
      <c r="P24" s="384"/>
      <c r="Q24" s="384"/>
      <c r="R24" s="198"/>
    </row>
    <row r="25" spans="1:18" ht="15.75" customHeight="1">
      <c r="A25" s="695"/>
      <c r="B25" s="698"/>
      <c r="C25" s="203" t="s">
        <v>209</v>
      </c>
      <c r="D25" s="688"/>
      <c r="E25" s="689"/>
      <c r="F25" s="690"/>
      <c r="G25" s="199"/>
      <c r="H25" s="201"/>
      <c r="I25" s="202"/>
      <c r="J25" s="199"/>
      <c r="K25" s="688"/>
      <c r="L25" s="690"/>
      <c r="M25" s="98"/>
      <c r="O25" s="198"/>
      <c r="P25" s="384"/>
      <c r="Q25" s="384"/>
      <c r="R25" s="198"/>
    </row>
    <row r="26" spans="1:18" ht="15.75" customHeight="1">
      <c r="A26" s="695"/>
      <c r="B26" s="698"/>
      <c r="C26" s="203" t="s">
        <v>205</v>
      </c>
      <c r="D26" s="688"/>
      <c r="E26" s="689"/>
      <c r="F26" s="690"/>
      <c r="G26" s="199"/>
      <c r="H26" s="201"/>
      <c r="I26" s="202"/>
      <c r="J26" s="199"/>
      <c r="K26" s="688"/>
      <c r="L26" s="690"/>
      <c r="M26" s="98"/>
      <c r="O26" s="198"/>
      <c r="P26" s="384"/>
      <c r="Q26" s="384"/>
      <c r="R26" s="198"/>
    </row>
    <row r="27" spans="1:18" ht="15.75" customHeight="1">
      <c r="A27" s="695"/>
      <c r="B27" s="698"/>
      <c r="C27" s="203" t="s">
        <v>210</v>
      </c>
      <c r="D27" s="688"/>
      <c r="E27" s="689"/>
      <c r="F27" s="690"/>
      <c r="G27" s="199"/>
      <c r="H27" s="201"/>
      <c r="I27" s="202"/>
      <c r="J27" s="199"/>
      <c r="K27" s="688"/>
      <c r="L27" s="690"/>
      <c r="M27" s="98"/>
      <c r="O27" s="198"/>
      <c r="P27" s="384"/>
      <c r="Q27" s="384"/>
      <c r="R27" s="198"/>
    </row>
    <row r="28" spans="1:18" ht="15.75" customHeight="1">
      <c r="A28" s="696"/>
      <c r="B28" s="699"/>
      <c r="C28" s="203" t="s">
        <v>211</v>
      </c>
      <c r="D28" s="688"/>
      <c r="E28" s="689"/>
      <c r="F28" s="690"/>
      <c r="G28" s="199"/>
      <c r="H28" s="201"/>
      <c r="I28" s="202"/>
      <c r="J28" s="199"/>
      <c r="K28" s="688"/>
      <c r="L28" s="690"/>
      <c r="M28" s="98"/>
      <c r="O28" s="198"/>
      <c r="P28" s="384"/>
      <c r="Q28" s="384"/>
      <c r="R28" s="198"/>
    </row>
    <row r="29" spans="1:18" s="188" customFormat="1" ht="15.75" customHeight="1">
      <c r="A29" s="685" t="s">
        <v>742</v>
      </c>
      <c r="B29" s="685"/>
      <c r="C29" s="685"/>
      <c r="D29" s="685"/>
      <c r="E29" s="685"/>
      <c r="F29" s="685"/>
      <c r="G29" s="685"/>
      <c r="H29" s="685"/>
      <c r="I29" s="685"/>
      <c r="J29" s="685"/>
      <c r="K29" s="685"/>
      <c r="L29" s="685"/>
    </row>
    <row r="30" spans="1:18" s="189" customFormat="1" ht="15.75" customHeight="1">
      <c r="A30" s="685"/>
      <c r="B30" s="685"/>
      <c r="C30" s="685"/>
      <c r="D30" s="685"/>
      <c r="E30" s="685"/>
      <c r="F30" s="685"/>
      <c r="G30" s="685"/>
      <c r="H30" s="685"/>
      <c r="I30" s="685"/>
      <c r="J30" s="685"/>
      <c r="K30" s="685"/>
      <c r="L30" s="685"/>
    </row>
    <row r="31" spans="1:18" s="105" customFormat="1" ht="16.350000000000001" customHeight="1">
      <c r="A31" s="694" t="s">
        <v>162</v>
      </c>
      <c r="B31" s="169">
        <v>1</v>
      </c>
      <c r="C31" s="169">
        <v>2</v>
      </c>
      <c r="D31" s="169">
        <v>3</v>
      </c>
      <c r="E31" s="169">
        <v>4</v>
      </c>
      <c r="F31" s="169">
        <v>5</v>
      </c>
      <c r="G31" s="169">
        <v>6</v>
      </c>
      <c r="H31" s="169">
        <v>7</v>
      </c>
      <c r="I31" s="169">
        <v>8</v>
      </c>
      <c r="J31" s="190">
        <v>9</v>
      </c>
      <c r="K31" s="191"/>
      <c r="L31" s="191"/>
      <c r="M31" s="126"/>
      <c r="N31" s="177"/>
      <c r="O31" s="177"/>
      <c r="P31" s="177"/>
      <c r="Q31" s="177"/>
      <c r="R31" s="177"/>
    </row>
    <row r="32" spans="1:18" ht="16.350000000000001" customHeight="1">
      <c r="A32" s="696"/>
      <c r="B32" s="194" t="s">
        <v>206</v>
      </c>
      <c r="C32" s="194" t="s">
        <v>155</v>
      </c>
      <c r="D32" s="194" t="s">
        <v>207</v>
      </c>
      <c r="E32" s="194" t="s">
        <v>156</v>
      </c>
      <c r="F32" s="194" t="s">
        <v>138</v>
      </c>
      <c r="G32" s="195" t="s">
        <v>136</v>
      </c>
      <c r="H32" s="196" t="s">
        <v>208</v>
      </c>
      <c r="I32" s="195" t="s">
        <v>373</v>
      </c>
      <c r="J32" s="208" t="s">
        <v>142</v>
      </c>
      <c r="K32" s="197"/>
      <c r="L32" s="197"/>
      <c r="N32" s="198"/>
      <c r="O32" s="198"/>
      <c r="P32" s="198"/>
      <c r="Q32" s="198"/>
      <c r="R32" s="198"/>
    </row>
    <row r="33" spans="1:18" s="105" customFormat="1" ht="15.75" customHeight="1">
      <c r="A33" s="700" t="s">
        <v>188</v>
      </c>
      <c r="B33" s="701"/>
      <c r="C33" s="159" t="s">
        <v>47</v>
      </c>
      <c r="D33" s="700" t="s">
        <v>12</v>
      </c>
      <c r="E33" s="702"/>
      <c r="F33" s="701"/>
      <c r="G33" s="159" t="s">
        <v>46</v>
      </c>
      <c r="H33" s="159" t="s">
        <v>374</v>
      </c>
      <c r="I33" s="159" t="s">
        <v>375</v>
      </c>
      <c r="J33" s="159" t="s">
        <v>332</v>
      </c>
      <c r="K33" s="700" t="s">
        <v>51</v>
      </c>
      <c r="L33" s="701"/>
      <c r="M33" s="126"/>
      <c r="N33" s="188"/>
      <c r="O33" s="198"/>
      <c r="P33" s="384"/>
      <c r="Q33" s="384"/>
      <c r="R33" s="198"/>
    </row>
    <row r="34" spans="1:18" ht="15.75" customHeight="1">
      <c r="A34" s="694">
        <f>J31</f>
        <v>9</v>
      </c>
      <c r="B34" s="697" t="str">
        <f>J32</f>
        <v>微波小吃</v>
      </c>
      <c r="C34" s="199">
        <v>1</v>
      </c>
      <c r="D34" s="688" t="s">
        <v>617</v>
      </c>
      <c r="E34" s="689"/>
      <c r="F34" s="690"/>
      <c r="G34" s="199">
        <v>11</v>
      </c>
      <c r="H34" s="201">
        <v>1806.5606150917336</v>
      </c>
      <c r="I34" s="202">
        <v>164.23278319015759</v>
      </c>
      <c r="J34" s="351">
        <f>I34-I8</f>
        <v>3.4268336100780061E-2</v>
      </c>
      <c r="K34" s="688" t="s">
        <v>427</v>
      </c>
      <c r="L34" s="690"/>
      <c r="O34" s="198"/>
      <c r="P34" s="384"/>
      <c r="Q34" s="384"/>
      <c r="R34" s="198"/>
    </row>
    <row r="35" spans="1:18" ht="15.75" customHeight="1">
      <c r="A35" s="695"/>
      <c r="B35" s="698"/>
      <c r="C35" s="199">
        <v>2</v>
      </c>
      <c r="D35" s="688" t="s">
        <v>615</v>
      </c>
      <c r="E35" s="689"/>
      <c r="F35" s="690"/>
      <c r="G35" s="199">
        <v>11</v>
      </c>
      <c r="H35" s="201">
        <v>1805.0567096497603</v>
      </c>
      <c r="I35" s="202">
        <v>164.09606451361455</v>
      </c>
      <c r="J35" s="351">
        <f>I35-I9</f>
        <v>3.3043284977054554E-2</v>
      </c>
      <c r="K35" s="688" t="s">
        <v>427</v>
      </c>
      <c r="L35" s="690"/>
      <c r="O35" s="198"/>
      <c r="P35" s="384"/>
      <c r="Q35" s="384"/>
      <c r="R35" s="198"/>
    </row>
    <row r="36" spans="1:18" ht="15.75" customHeight="1">
      <c r="A36" s="695"/>
      <c r="B36" s="698"/>
      <c r="C36" s="199">
        <v>3</v>
      </c>
      <c r="D36" s="688" t="s">
        <v>650</v>
      </c>
      <c r="E36" s="689"/>
      <c r="F36" s="690"/>
      <c r="G36" s="199">
        <v>19</v>
      </c>
      <c r="H36" s="201">
        <v>1790.0171092346918</v>
      </c>
      <c r="I36" s="202">
        <v>94.21142680182588</v>
      </c>
      <c r="J36" s="351">
        <f>I36-I10</f>
        <v>0.12115074528188075</v>
      </c>
      <c r="K36" s="688" t="s">
        <v>427</v>
      </c>
      <c r="L36" s="690"/>
      <c r="O36" s="198"/>
      <c r="P36" s="384"/>
      <c r="Q36" s="384"/>
      <c r="R36" s="198"/>
    </row>
    <row r="37" spans="1:18" ht="15.75" customHeight="1">
      <c r="A37" s="695"/>
      <c r="B37" s="698"/>
      <c r="C37" s="199">
        <v>4</v>
      </c>
      <c r="D37" s="688" t="s">
        <v>354</v>
      </c>
      <c r="E37" s="689"/>
      <c r="F37" s="690"/>
      <c r="G37" s="201">
        <v>13</v>
      </c>
      <c r="H37" s="201">
        <v>1082.2619182388853</v>
      </c>
      <c r="I37" s="202">
        <v>83.250916787606556</v>
      </c>
      <c r="J37" s="351">
        <f>I37-I11</f>
        <v>-2.109890109889534E-2</v>
      </c>
      <c r="K37" s="688" t="s">
        <v>427</v>
      </c>
      <c r="L37" s="690"/>
      <c r="O37" s="198"/>
      <c r="P37" s="384"/>
      <c r="Q37" s="384"/>
      <c r="R37" s="198"/>
    </row>
    <row r="38" spans="1:18" ht="15.75" customHeight="1">
      <c r="A38" s="695"/>
      <c r="B38" s="698"/>
      <c r="C38" s="199">
        <v>5</v>
      </c>
      <c r="D38" s="688" t="s">
        <v>616</v>
      </c>
      <c r="E38" s="689"/>
      <c r="F38" s="690"/>
      <c r="G38" s="199">
        <v>22</v>
      </c>
      <c r="H38" s="201">
        <v>1799.9500769987733</v>
      </c>
      <c r="I38" s="202">
        <v>81.81591259085333</v>
      </c>
      <c r="J38" s="351">
        <f>I38-I12</f>
        <v>-1.1688311688246245E-2</v>
      </c>
      <c r="K38" s="688" t="s">
        <v>427</v>
      </c>
      <c r="L38" s="690"/>
      <c r="O38" s="198"/>
      <c r="P38" s="384"/>
      <c r="Q38" s="384"/>
      <c r="R38" s="198"/>
    </row>
    <row r="39" spans="1:18" ht="15.75" customHeight="1">
      <c r="A39" s="695"/>
      <c r="B39" s="698"/>
      <c r="C39" s="203" t="s">
        <v>204</v>
      </c>
      <c r="D39" s="688"/>
      <c r="E39" s="689"/>
      <c r="F39" s="690"/>
      <c r="G39" s="199"/>
      <c r="H39" s="201"/>
      <c r="I39" s="202"/>
      <c r="J39" s="199"/>
      <c r="K39" s="688"/>
      <c r="L39" s="690"/>
      <c r="O39" s="198"/>
      <c r="P39" s="384"/>
      <c r="Q39" s="384"/>
      <c r="R39" s="198"/>
    </row>
    <row r="40" spans="1:18" ht="15.75" customHeight="1">
      <c r="A40" s="695"/>
      <c r="B40" s="698"/>
      <c r="C40" s="203" t="s">
        <v>209</v>
      </c>
      <c r="D40" s="688"/>
      <c r="E40" s="689"/>
      <c r="F40" s="690"/>
      <c r="G40" s="199"/>
      <c r="H40" s="201"/>
      <c r="I40" s="202"/>
      <c r="J40" s="199"/>
      <c r="K40" s="688"/>
      <c r="L40" s="690"/>
      <c r="N40" s="177"/>
      <c r="O40" s="177"/>
      <c r="P40" s="383"/>
      <c r="Q40" s="383"/>
      <c r="R40" s="177"/>
    </row>
    <row r="41" spans="1:18" ht="15.75" customHeight="1">
      <c r="A41" s="695"/>
      <c r="B41" s="698"/>
      <c r="C41" s="203" t="s">
        <v>205</v>
      </c>
      <c r="D41" s="688"/>
      <c r="E41" s="689"/>
      <c r="F41" s="690"/>
      <c r="G41" s="199"/>
      <c r="H41" s="201"/>
      <c r="I41" s="202"/>
      <c r="J41" s="199"/>
      <c r="K41" s="688"/>
      <c r="L41" s="690"/>
      <c r="O41" s="198"/>
      <c r="P41" s="384"/>
      <c r="Q41" s="384"/>
      <c r="R41" s="198"/>
    </row>
    <row r="42" spans="1:18" ht="15.75" customHeight="1">
      <c r="A42" s="695"/>
      <c r="B42" s="698"/>
      <c r="C42" s="203" t="s">
        <v>210</v>
      </c>
      <c r="D42" s="688"/>
      <c r="E42" s="689"/>
      <c r="F42" s="690"/>
      <c r="G42" s="199"/>
      <c r="H42" s="201"/>
      <c r="I42" s="202"/>
      <c r="J42" s="199"/>
      <c r="K42" s="688"/>
      <c r="L42" s="690"/>
      <c r="M42" s="98"/>
      <c r="O42" s="198"/>
      <c r="P42" s="384"/>
      <c r="Q42" s="384"/>
      <c r="R42" s="198"/>
    </row>
    <row r="43" spans="1:18" ht="15.75" customHeight="1">
      <c r="A43" s="696"/>
      <c r="B43" s="699"/>
      <c r="C43" s="203" t="s">
        <v>211</v>
      </c>
      <c r="D43" s="688"/>
      <c r="E43" s="689"/>
      <c r="F43" s="690"/>
      <c r="G43" s="199"/>
      <c r="H43" s="201"/>
      <c r="I43" s="202"/>
      <c r="J43" s="199"/>
      <c r="K43" s="688"/>
      <c r="L43" s="690"/>
      <c r="M43" s="98"/>
      <c r="O43" s="198"/>
      <c r="P43" s="384"/>
      <c r="Q43" s="384"/>
      <c r="R43" s="198"/>
    </row>
    <row r="44" spans="1:18" s="103" customFormat="1" ht="15.75" customHeight="1">
      <c r="A44" s="691" t="s">
        <v>188</v>
      </c>
      <c r="B44" s="692"/>
      <c r="C44" s="206" t="s">
        <v>47</v>
      </c>
      <c r="D44" s="691" t="s">
        <v>12</v>
      </c>
      <c r="E44" s="693"/>
      <c r="F44" s="692"/>
      <c r="G44" s="206" t="s">
        <v>46</v>
      </c>
      <c r="H44" s="206" t="s">
        <v>374</v>
      </c>
      <c r="I44" s="206" t="s">
        <v>375</v>
      </c>
      <c r="J44" s="159" t="s">
        <v>332</v>
      </c>
      <c r="K44" s="691" t="s">
        <v>51</v>
      </c>
      <c r="L44" s="692"/>
      <c r="M44" s="127"/>
      <c r="N44" s="188"/>
      <c r="O44" s="198"/>
      <c r="P44" s="384"/>
      <c r="Q44" s="384"/>
      <c r="R44" s="198"/>
    </row>
    <row r="45" spans="1:18" ht="15.75" customHeight="1">
      <c r="A45" s="694"/>
      <c r="B45" s="697"/>
      <c r="C45" s="199">
        <v>1</v>
      </c>
      <c r="D45" s="688"/>
      <c r="E45" s="689"/>
      <c r="F45" s="690"/>
      <c r="G45" s="199"/>
      <c r="H45" s="201"/>
      <c r="I45" s="202"/>
      <c r="J45" s="199"/>
      <c r="K45" s="688"/>
      <c r="L45" s="690"/>
      <c r="M45" s="98"/>
      <c r="N45" s="198"/>
      <c r="O45" s="198"/>
      <c r="P45" s="384"/>
      <c r="Q45" s="384"/>
      <c r="R45" s="198"/>
    </row>
    <row r="46" spans="1:18" ht="15.75" customHeight="1">
      <c r="A46" s="695"/>
      <c r="B46" s="698"/>
      <c r="C46" s="199">
        <v>2</v>
      </c>
      <c r="D46" s="688"/>
      <c r="E46" s="689"/>
      <c r="F46" s="690"/>
      <c r="G46" s="199"/>
      <c r="H46" s="201"/>
      <c r="I46" s="202"/>
      <c r="J46" s="199"/>
      <c r="K46" s="688"/>
      <c r="L46" s="690"/>
      <c r="M46" s="98"/>
      <c r="O46" s="198"/>
      <c r="P46" s="384"/>
      <c r="Q46" s="384"/>
      <c r="R46" s="198"/>
    </row>
    <row r="47" spans="1:18" ht="15.75" customHeight="1">
      <c r="A47" s="695"/>
      <c r="B47" s="698"/>
      <c r="C47" s="199">
        <v>3</v>
      </c>
      <c r="D47" s="688"/>
      <c r="E47" s="689"/>
      <c r="F47" s="690"/>
      <c r="G47" s="199"/>
      <c r="H47" s="201"/>
      <c r="I47" s="202"/>
      <c r="J47" s="199"/>
      <c r="K47" s="688"/>
      <c r="L47" s="690"/>
      <c r="M47" s="98"/>
      <c r="O47" s="198"/>
      <c r="P47" s="384"/>
      <c r="Q47" s="384"/>
      <c r="R47" s="198"/>
    </row>
    <row r="48" spans="1:18" ht="15.75" customHeight="1">
      <c r="A48" s="695"/>
      <c r="B48" s="698"/>
      <c r="C48" s="199">
        <v>4</v>
      </c>
      <c r="D48" s="688"/>
      <c r="E48" s="689"/>
      <c r="F48" s="690"/>
      <c r="G48" s="199"/>
      <c r="H48" s="201"/>
      <c r="I48" s="202"/>
      <c r="J48" s="199"/>
      <c r="K48" s="688"/>
      <c r="L48" s="690"/>
      <c r="M48" s="98"/>
      <c r="O48" s="198"/>
      <c r="P48" s="384"/>
      <c r="Q48" s="384"/>
      <c r="R48" s="198"/>
    </row>
    <row r="49" spans="1:18" ht="15.75" customHeight="1">
      <c r="A49" s="695"/>
      <c r="B49" s="698"/>
      <c r="C49" s="199">
        <v>5</v>
      </c>
      <c r="D49" s="688"/>
      <c r="E49" s="689"/>
      <c r="F49" s="690"/>
      <c r="G49" s="199"/>
      <c r="H49" s="201"/>
      <c r="I49" s="202"/>
      <c r="J49" s="199"/>
      <c r="K49" s="688"/>
      <c r="L49" s="690"/>
      <c r="M49" s="98"/>
      <c r="O49" s="198"/>
      <c r="P49" s="384"/>
      <c r="Q49" s="384"/>
      <c r="R49" s="198"/>
    </row>
    <row r="50" spans="1:18" ht="15.75" customHeight="1">
      <c r="A50" s="695"/>
      <c r="B50" s="698"/>
      <c r="C50" s="203" t="s">
        <v>204</v>
      </c>
      <c r="D50" s="688"/>
      <c r="E50" s="689"/>
      <c r="F50" s="690"/>
      <c r="G50" s="199"/>
      <c r="H50" s="201"/>
      <c r="I50" s="202"/>
      <c r="J50" s="199"/>
      <c r="K50" s="688"/>
      <c r="L50" s="690"/>
      <c r="M50" s="98"/>
      <c r="O50" s="198"/>
      <c r="P50" s="384"/>
      <c r="Q50" s="384"/>
      <c r="R50" s="198"/>
    </row>
    <row r="51" spans="1:18" ht="15.75" customHeight="1">
      <c r="A51" s="695"/>
      <c r="B51" s="698"/>
      <c r="C51" s="203" t="s">
        <v>209</v>
      </c>
      <c r="D51" s="688"/>
      <c r="E51" s="689"/>
      <c r="F51" s="690"/>
      <c r="G51" s="199"/>
      <c r="H51" s="201"/>
      <c r="I51" s="202"/>
      <c r="J51" s="199"/>
      <c r="K51" s="688"/>
      <c r="L51" s="690"/>
      <c r="M51" s="98"/>
      <c r="O51" s="198"/>
      <c r="P51" s="384"/>
      <c r="Q51" s="384"/>
      <c r="R51" s="198"/>
    </row>
    <row r="52" spans="1:18" ht="15.75" customHeight="1">
      <c r="A52" s="695"/>
      <c r="B52" s="698"/>
      <c r="C52" s="203" t="s">
        <v>205</v>
      </c>
      <c r="D52" s="688"/>
      <c r="E52" s="689"/>
      <c r="F52" s="690"/>
      <c r="G52" s="199"/>
      <c r="H52" s="201"/>
      <c r="I52" s="202"/>
      <c r="J52" s="199"/>
      <c r="K52" s="688"/>
      <c r="L52" s="690"/>
      <c r="M52" s="98"/>
      <c r="O52" s="198"/>
      <c r="P52" s="384"/>
      <c r="Q52" s="384"/>
      <c r="R52" s="198"/>
    </row>
    <row r="53" spans="1:18" ht="15.75" customHeight="1">
      <c r="A53" s="695"/>
      <c r="B53" s="698"/>
      <c r="C53" s="203" t="s">
        <v>210</v>
      </c>
      <c r="D53" s="688"/>
      <c r="E53" s="689"/>
      <c r="F53" s="690"/>
      <c r="G53" s="199"/>
      <c r="H53" s="201"/>
      <c r="I53" s="202"/>
      <c r="J53" s="199"/>
      <c r="K53" s="688"/>
      <c r="L53" s="690"/>
      <c r="M53" s="98"/>
      <c r="O53" s="198"/>
      <c r="P53" s="384"/>
      <c r="Q53" s="384"/>
      <c r="R53" s="198"/>
    </row>
    <row r="54" spans="1:18" ht="15.75" customHeight="1">
      <c r="A54" s="696"/>
      <c r="B54" s="699"/>
      <c r="C54" s="203" t="s">
        <v>211</v>
      </c>
      <c r="D54" s="688"/>
      <c r="E54" s="689"/>
      <c r="F54" s="690"/>
      <c r="G54" s="199"/>
      <c r="H54" s="201"/>
      <c r="I54" s="202"/>
      <c r="J54" s="199"/>
      <c r="K54" s="688"/>
      <c r="L54" s="690"/>
      <c r="M54" s="98"/>
      <c r="O54" s="198"/>
      <c r="P54" s="384"/>
      <c r="Q54" s="384"/>
      <c r="R54" s="198"/>
    </row>
    <row r="55" spans="1:18" s="188" customFormat="1" ht="15.75" customHeight="1">
      <c r="A55" s="685" t="s">
        <v>747</v>
      </c>
      <c r="B55" s="685"/>
      <c r="C55" s="685"/>
      <c r="D55" s="685"/>
      <c r="E55" s="685"/>
      <c r="F55" s="685"/>
      <c r="G55" s="685"/>
      <c r="H55" s="685"/>
      <c r="I55" s="685"/>
      <c r="J55" s="685"/>
      <c r="K55" s="685"/>
      <c r="L55" s="685"/>
    </row>
    <row r="56" spans="1:18" s="189" customFormat="1" ht="15.75" customHeight="1">
      <c r="A56" s="685"/>
      <c r="B56" s="685"/>
      <c r="C56" s="685"/>
      <c r="D56" s="685"/>
      <c r="E56" s="685"/>
      <c r="F56" s="685"/>
      <c r="G56" s="685"/>
      <c r="H56" s="685"/>
      <c r="I56" s="685"/>
      <c r="J56" s="685"/>
      <c r="K56" s="685"/>
      <c r="L56" s="685"/>
    </row>
    <row r="57" spans="1:18" s="105" customFormat="1" ht="16.350000000000001" customHeight="1">
      <c r="A57" s="694" t="s">
        <v>162</v>
      </c>
      <c r="B57" s="169">
        <v>1</v>
      </c>
      <c r="C57" s="169">
        <v>2</v>
      </c>
      <c r="D57" s="169">
        <v>3</v>
      </c>
      <c r="E57" s="169">
        <v>4</v>
      </c>
      <c r="F57" s="169">
        <v>5</v>
      </c>
      <c r="G57" s="169">
        <v>6</v>
      </c>
      <c r="H57" s="169">
        <v>7</v>
      </c>
      <c r="I57" s="169">
        <v>8</v>
      </c>
      <c r="J57" s="190">
        <v>9</v>
      </c>
      <c r="K57" s="191"/>
      <c r="L57" s="191"/>
      <c r="M57" s="126"/>
      <c r="N57" s="177"/>
      <c r="O57" s="177"/>
      <c r="P57" s="177"/>
      <c r="Q57" s="177"/>
      <c r="R57" s="177"/>
    </row>
    <row r="58" spans="1:18" ht="16.350000000000001" customHeight="1">
      <c r="A58" s="696"/>
      <c r="B58" s="194" t="s">
        <v>206</v>
      </c>
      <c r="C58" s="194" t="s">
        <v>155</v>
      </c>
      <c r="D58" s="194" t="s">
        <v>207</v>
      </c>
      <c r="E58" s="194" t="s">
        <v>156</v>
      </c>
      <c r="F58" s="194" t="s">
        <v>138</v>
      </c>
      <c r="G58" s="195" t="s">
        <v>136</v>
      </c>
      <c r="H58" s="196" t="s">
        <v>208</v>
      </c>
      <c r="I58" s="195" t="s">
        <v>373</v>
      </c>
      <c r="J58" s="208" t="s">
        <v>142</v>
      </c>
      <c r="K58" s="197"/>
      <c r="L58" s="197"/>
      <c r="N58" s="198"/>
      <c r="O58" s="198"/>
      <c r="P58" s="198"/>
      <c r="Q58" s="198"/>
      <c r="R58" s="198"/>
    </row>
    <row r="59" spans="1:18" s="105" customFormat="1" ht="15.75" customHeight="1">
      <c r="A59" s="700" t="s">
        <v>188</v>
      </c>
      <c r="B59" s="701"/>
      <c r="C59" s="159" t="s">
        <v>47</v>
      </c>
      <c r="D59" s="700" t="s">
        <v>12</v>
      </c>
      <c r="E59" s="702"/>
      <c r="F59" s="701"/>
      <c r="G59" s="159" t="s">
        <v>46</v>
      </c>
      <c r="H59" s="159" t="s">
        <v>374</v>
      </c>
      <c r="I59" s="159" t="s">
        <v>375</v>
      </c>
      <c r="J59" s="159" t="s">
        <v>332</v>
      </c>
      <c r="K59" s="700" t="s">
        <v>51</v>
      </c>
      <c r="L59" s="701"/>
      <c r="M59" s="126"/>
      <c r="N59" s="188"/>
      <c r="O59" s="198"/>
      <c r="P59" s="384"/>
      <c r="Q59" s="384"/>
      <c r="R59" s="198"/>
    </row>
    <row r="60" spans="1:18" ht="15.75" customHeight="1">
      <c r="A60" s="694">
        <f>J57</f>
        <v>9</v>
      </c>
      <c r="B60" s="697" t="str">
        <f>J58</f>
        <v>微波小吃</v>
      </c>
      <c r="C60" s="199">
        <v>1</v>
      </c>
      <c r="D60" s="688" t="s">
        <v>617</v>
      </c>
      <c r="E60" s="689"/>
      <c r="F60" s="690"/>
      <c r="G60" s="199">
        <v>11</v>
      </c>
      <c r="H60" s="201">
        <v>1805.9034722345914</v>
      </c>
      <c r="I60" s="202">
        <v>164.17304293041738</v>
      </c>
      <c r="J60" s="351">
        <f>I60-I34</f>
        <v>-5.9740259740209467E-2</v>
      </c>
      <c r="K60" s="688" t="s">
        <v>427</v>
      </c>
      <c r="L60" s="690"/>
      <c r="O60" s="198"/>
      <c r="P60" s="384"/>
      <c r="Q60" s="384"/>
      <c r="R60" s="198"/>
    </row>
    <row r="61" spans="1:18" ht="15.75" customHeight="1">
      <c r="A61" s="695"/>
      <c r="B61" s="698"/>
      <c r="C61" s="199">
        <v>2</v>
      </c>
      <c r="D61" s="688" t="s">
        <v>615</v>
      </c>
      <c r="E61" s="689"/>
      <c r="F61" s="690"/>
      <c r="G61" s="199">
        <v>11</v>
      </c>
      <c r="H61" s="201">
        <v>1804.4930696569204</v>
      </c>
      <c r="I61" s="202">
        <v>164.04482451426546</v>
      </c>
      <c r="J61" s="351">
        <f>I61-I35</f>
        <v>-5.1239999349093068E-2</v>
      </c>
      <c r="K61" s="688" t="s">
        <v>427</v>
      </c>
      <c r="L61" s="690"/>
      <c r="O61" s="198"/>
      <c r="P61" s="384"/>
      <c r="Q61" s="384"/>
      <c r="R61" s="198"/>
    </row>
    <row r="62" spans="1:18" ht="15.75" customHeight="1">
      <c r="A62" s="695"/>
      <c r="B62" s="698"/>
      <c r="C62" s="199">
        <v>3</v>
      </c>
      <c r="D62" s="688" t="s">
        <v>650</v>
      </c>
      <c r="E62" s="689"/>
      <c r="F62" s="690"/>
      <c r="G62" s="199">
        <v>19</v>
      </c>
      <c r="H62" s="201">
        <v>1792.6515942538358</v>
      </c>
      <c r="I62" s="202">
        <v>94.350083908096622</v>
      </c>
      <c r="J62" s="351">
        <f>I62-I36</f>
        <v>0.13865710627074179</v>
      </c>
      <c r="K62" s="688" t="s">
        <v>427</v>
      </c>
      <c r="L62" s="690"/>
      <c r="O62" s="198"/>
      <c r="P62" s="384"/>
      <c r="Q62" s="384"/>
      <c r="R62" s="198"/>
    </row>
    <row r="63" spans="1:18" ht="15.75" customHeight="1">
      <c r="A63" s="695"/>
      <c r="B63" s="698"/>
      <c r="C63" s="199">
        <v>4</v>
      </c>
      <c r="D63" s="688" t="s">
        <v>354</v>
      </c>
      <c r="E63" s="689"/>
      <c r="F63" s="690"/>
      <c r="G63" s="201">
        <v>13</v>
      </c>
      <c r="H63" s="201">
        <v>1081.5076325246</v>
      </c>
      <c r="I63" s="202">
        <v>83.192894809584615</v>
      </c>
      <c r="J63" s="351">
        <f>I63-I37</f>
        <v>-5.8021978021940868E-2</v>
      </c>
      <c r="K63" s="688" t="s">
        <v>427</v>
      </c>
      <c r="L63" s="690"/>
      <c r="O63" s="198"/>
      <c r="P63" s="384"/>
      <c r="Q63" s="384"/>
      <c r="R63" s="198"/>
    </row>
    <row r="64" spans="1:18" ht="15.75" customHeight="1">
      <c r="A64" s="695"/>
      <c r="B64" s="698"/>
      <c r="C64" s="199">
        <v>5</v>
      </c>
      <c r="D64" s="688" t="s">
        <v>616</v>
      </c>
      <c r="E64" s="689"/>
      <c r="F64" s="690"/>
      <c r="G64" s="199">
        <v>22</v>
      </c>
      <c r="H64" s="201">
        <v>1800.1406628782086</v>
      </c>
      <c r="I64" s="202">
        <v>81.824575585373125</v>
      </c>
      <c r="J64" s="351">
        <f>I64-I38</f>
        <v>8.6629945197955749E-3</v>
      </c>
      <c r="K64" s="688" t="s">
        <v>427</v>
      </c>
      <c r="L64" s="690"/>
      <c r="O64" s="198"/>
      <c r="P64" s="384"/>
      <c r="Q64" s="384"/>
      <c r="R64" s="198"/>
    </row>
    <row r="65" spans="1:18" ht="15.75" customHeight="1">
      <c r="A65" s="695"/>
      <c r="B65" s="698"/>
      <c r="C65" s="203" t="s">
        <v>204</v>
      </c>
      <c r="D65" s="688"/>
      <c r="E65" s="689"/>
      <c r="F65" s="690"/>
      <c r="G65" s="199"/>
      <c r="H65" s="201"/>
      <c r="I65" s="202"/>
      <c r="J65" s="199"/>
      <c r="K65" s="688"/>
      <c r="L65" s="690"/>
      <c r="O65" s="198"/>
      <c r="P65" s="384"/>
      <c r="Q65" s="384"/>
      <c r="R65" s="198"/>
    </row>
    <row r="66" spans="1:18" ht="15.75" customHeight="1">
      <c r="A66" s="695"/>
      <c r="B66" s="698"/>
      <c r="C66" s="203" t="s">
        <v>209</v>
      </c>
      <c r="D66" s="688"/>
      <c r="E66" s="689"/>
      <c r="F66" s="690"/>
      <c r="G66" s="199"/>
      <c r="H66" s="201"/>
      <c r="I66" s="202"/>
      <c r="J66" s="199"/>
      <c r="K66" s="688"/>
      <c r="L66" s="690"/>
      <c r="N66" s="177"/>
      <c r="O66" s="177"/>
      <c r="P66" s="383"/>
      <c r="Q66" s="383"/>
      <c r="R66" s="177"/>
    </row>
    <row r="67" spans="1:18" ht="15.75" customHeight="1">
      <c r="A67" s="695"/>
      <c r="B67" s="698"/>
      <c r="C67" s="203" t="s">
        <v>205</v>
      </c>
      <c r="D67" s="688"/>
      <c r="E67" s="689"/>
      <c r="F67" s="690"/>
      <c r="G67" s="199"/>
      <c r="H67" s="201"/>
      <c r="I67" s="202"/>
      <c r="J67" s="199"/>
      <c r="K67" s="688"/>
      <c r="L67" s="690"/>
      <c r="O67" s="198"/>
      <c r="P67" s="384"/>
      <c r="Q67" s="384"/>
      <c r="R67" s="198"/>
    </row>
    <row r="68" spans="1:18" ht="15.75" customHeight="1">
      <c r="A68" s="695"/>
      <c r="B68" s="698"/>
      <c r="C68" s="203" t="s">
        <v>210</v>
      </c>
      <c r="D68" s="688"/>
      <c r="E68" s="689"/>
      <c r="F68" s="690"/>
      <c r="G68" s="199"/>
      <c r="H68" s="201"/>
      <c r="I68" s="202"/>
      <c r="J68" s="199"/>
      <c r="K68" s="688"/>
      <c r="L68" s="690"/>
      <c r="M68" s="98"/>
      <c r="O68" s="198"/>
      <c r="P68" s="384"/>
      <c r="Q68" s="384"/>
      <c r="R68" s="198"/>
    </row>
    <row r="69" spans="1:18" ht="15.75" customHeight="1">
      <c r="A69" s="696"/>
      <c r="B69" s="699"/>
      <c r="C69" s="203" t="s">
        <v>211</v>
      </c>
      <c r="D69" s="688"/>
      <c r="E69" s="689"/>
      <c r="F69" s="690"/>
      <c r="G69" s="199"/>
      <c r="H69" s="201"/>
      <c r="I69" s="202"/>
      <c r="J69" s="199"/>
      <c r="K69" s="688"/>
      <c r="L69" s="690"/>
      <c r="M69" s="98"/>
      <c r="O69" s="198"/>
      <c r="P69" s="384"/>
      <c r="Q69" s="384"/>
      <c r="R69" s="198"/>
    </row>
    <row r="70" spans="1:18" s="103" customFormat="1" ht="15.75" customHeight="1">
      <c r="A70" s="691" t="s">
        <v>188</v>
      </c>
      <c r="B70" s="692"/>
      <c r="C70" s="206" t="s">
        <v>47</v>
      </c>
      <c r="D70" s="691" t="s">
        <v>12</v>
      </c>
      <c r="E70" s="693"/>
      <c r="F70" s="692"/>
      <c r="G70" s="206" t="s">
        <v>46</v>
      </c>
      <c r="H70" s="206" t="s">
        <v>374</v>
      </c>
      <c r="I70" s="206" t="s">
        <v>375</v>
      </c>
      <c r="J70" s="159" t="s">
        <v>332</v>
      </c>
      <c r="K70" s="691" t="s">
        <v>51</v>
      </c>
      <c r="L70" s="692"/>
      <c r="M70" s="127"/>
      <c r="N70" s="188"/>
      <c r="O70" s="198"/>
      <c r="P70" s="384"/>
      <c r="Q70" s="384"/>
      <c r="R70" s="198"/>
    </row>
    <row r="71" spans="1:18" ht="15.75" customHeight="1">
      <c r="A71" s="694"/>
      <c r="B71" s="697"/>
      <c r="C71" s="199">
        <v>1</v>
      </c>
      <c r="D71" s="688"/>
      <c r="E71" s="689"/>
      <c r="F71" s="690"/>
      <c r="G71" s="199"/>
      <c r="H71" s="201"/>
      <c r="I71" s="202"/>
      <c r="J71" s="199"/>
      <c r="K71" s="688"/>
      <c r="L71" s="690"/>
      <c r="M71" s="98"/>
      <c r="N71" s="198"/>
      <c r="O71" s="198"/>
      <c r="P71" s="384"/>
      <c r="Q71" s="384"/>
      <c r="R71" s="198"/>
    </row>
    <row r="72" spans="1:18" ht="15.75" customHeight="1">
      <c r="A72" s="695"/>
      <c r="B72" s="698"/>
      <c r="C72" s="199">
        <v>2</v>
      </c>
      <c r="D72" s="688"/>
      <c r="E72" s="689"/>
      <c r="F72" s="690"/>
      <c r="G72" s="199"/>
      <c r="H72" s="201"/>
      <c r="I72" s="202"/>
      <c r="J72" s="199"/>
      <c r="K72" s="688"/>
      <c r="L72" s="690"/>
      <c r="M72" s="98"/>
      <c r="O72" s="198"/>
      <c r="P72" s="384"/>
      <c r="Q72" s="384"/>
      <c r="R72" s="198"/>
    </row>
    <row r="73" spans="1:18" ht="15.75" customHeight="1">
      <c r="A73" s="695"/>
      <c r="B73" s="698"/>
      <c r="C73" s="199">
        <v>3</v>
      </c>
      <c r="D73" s="688"/>
      <c r="E73" s="689"/>
      <c r="F73" s="690"/>
      <c r="G73" s="199"/>
      <c r="H73" s="201"/>
      <c r="I73" s="202"/>
      <c r="J73" s="199"/>
      <c r="K73" s="688"/>
      <c r="L73" s="690"/>
      <c r="M73" s="98"/>
      <c r="O73" s="198"/>
      <c r="P73" s="384"/>
      <c r="Q73" s="384"/>
      <c r="R73" s="198"/>
    </row>
    <row r="74" spans="1:18" ht="15.75" customHeight="1">
      <c r="A74" s="695"/>
      <c r="B74" s="698"/>
      <c r="C74" s="199">
        <v>4</v>
      </c>
      <c r="D74" s="688"/>
      <c r="E74" s="689"/>
      <c r="F74" s="690"/>
      <c r="G74" s="199"/>
      <c r="H74" s="201"/>
      <c r="I74" s="202"/>
      <c r="J74" s="199"/>
      <c r="K74" s="688"/>
      <c r="L74" s="690"/>
      <c r="M74" s="98"/>
      <c r="O74" s="198"/>
      <c r="P74" s="384"/>
      <c r="Q74" s="384"/>
      <c r="R74" s="198"/>
    </row>
    <row r="75" spans="1:18" ht="15.75" customHeight="1">
      <c r="A75" s="695"/>
      <c r="B75" s="698"/>
      <c r="C75" s="199">
        <v>5</v>
      </c>
      <c r="D75" s="688"/>
      <c r="E75" s="689"/>
      <c r="F75" s="690"/>
      <c r="G75" s="199"/>
      <c r="H75" s="201"/>
      <c r="I75" s="202"/>
      <c r="J75" s="199"/>
      <c r="K75" s="688"/>
      <c r="L75" s="690"/>
      <c r="M75" s="98"/>
      <c r="O75" s="198"/>
      <c r="P75" s="384"/>
      <c r="Q75" s="384"/>
      <c r="R75" s="198"/>
    </row>
    <row r="76" spans="1:18" ht="15.75" customHeight="1">
      <c r="A76" s="695"/>
      <c r="B76" s="698"/>
      <c r="C76" s="203" t="s">
        <v>204</v>
      </c>
      <c r="D76" s="688"/>
      <c r="E76" s="689"/>
      <c r="F76" s="690"/>
      <c r="G76" s="199"/>
      <c r="H76" s="201"/>
      <c r="I76" s="202"/>
      <c r="J76" s="199"/>
      <c r="K76" s="688"/>
      <c r="L76" s="690"/>
      <c r="M76" s="98"/>
      <c r="O76" s="198"/>
      <c r="P76" s="384"/>
      <c r="Q76" s="384"/>
      <c r="R76" s="198"/>
    </row>
    <row r="77" spans="1:18" ht="15.75" customHeight="1">
      <c r="A77" s="695"/>
      <c r="B77" s="698"/>
      <c r="C77" s="203" t="s">
        <v>209</v>
      </c>
      <c r="D77" s="688"/>
      <c r="E77" s="689"/>
      <c r="F77" s="690"/>
      <c r="G77" s="199"/>
      <c r="H77" s="201"/>
      <c r="I77" s="202"/>
      <c r="J77" s="199"/>
      <c r="K77" s="688"/>
      <c r="L77" s="690"/>
      <c r="M77" s="98"/>
      <c r="O77" s="198"/>
      <c r="P77" s="384"/>
      <c r="Q77" s="384"/>
      <c r="R77" s="198"/>
    </row>
    <row r="78" spans="1:18" ht="15.75" customHeight="1">
      <c r="A78" s="695"/>
      <c r="B78" s="698"/>
      <c r="C78" s="203" t="s">
        <v>205</v>
      </c>
      <c r="D78" s="688"/>
      <c r="E78" s="689"/>
      <c r="F78" s="690"/>
      <c r="G78" s="199"/>
      <c r="H78" s="201"/>
      <c r="I78" s="202"/>
      <c r="J78" s="199"/>
      <c r="K78" s="688"/>
      <c r="L78" s="690"/>
      <c r="M78" s="98"/>
      <c r="O78" s="198"/>
      <c r="P78" s="384"/>
      <c r="Q78" s="384"/>
      <c r="R78" s="198"/>
    </row>
    <row r="79" spans="1:18" ht="15.75" customHeight="1">
      <c r="A79" s="695"/>
      <c r="B79" s="698"/>
      <c r="C79" s="203" t="s">
        <v>210</v>
      </c>
      <c r="D79" s="688"/>
      <c r="E79" s="689"/>
      <c r="F79" s="690"/>
      <c r="G79" s="199"/>
      <c r="H79" s="201"/>
      <c r="I79" s="202"/>
      <c r="J79" s="199"/>
      <c r="K79" s="688"/>
      <c r="L79" s="690"/>
      <c r="M79" s="98"/>
      <c r="O79" s="198"/>
      <c r="P79" s="384"/>
      <c r="Q79" s="384"/>
      <c r="R79" s="198"/>
    </row>
    <row r="80" spans="1:18" ht="15.75" customHeight="1">
      <c r="A80" s="696"/>
      <c r="B80" s="699"/>
      <c r="C80" s="203" t="s">
        <v>211</v>
      </c>
      <c r="D80" s="688"/>
      <c r="E80" s="689"/>
      <c r="F80" s="690"/>
      <c r="G80" s="199"/>
      <c r="H80" s="201"/>
      <c r="I80" s="202"/>
      <c r="J80" s="199"/>
      <c r="K80" s="688"/>
      <c r="L80" s="690"/>
      <c r="M80" s="98"/>
      <c r="O80" s="198"/>
      <c r="P80" s="384"/>
      <c r="Q80" s="384"/>
      <c r="R80" s="198"/>
    </row>
    <row r="81" spans="1:18" s="188" customFormat="1" ht="15.75" customHeight="1">
      <c r="A81" s="685" t="s">
        <v>851</v>
      </c>
      <c r="B81" s="685"/>
      <c r="C81" s="685"/>
      <c r="D81" s="685"/>
      <c r="E81" s="685"/>
      <c r="F81" s="685"/>
      <c r="G81" s="685"/>
      <c r="H81" s="685"/>
      <c r="I81" s="685"/>
      <c r="J81" s="685"/>
      <c r="K81" s="685"/>
      <c r="L81" s="685"/>
    </row>
    <row r="82" spans="1:18" s="189" customFormat="1" ht="15.75" customHeight="1">
      <c r="A82" s="685"/>
      <c r="B82" s="685"/>
      <c r="C82" s="685"/>
      <c r="D82" s="685"/>
      <c r="E82" s="685"/>
      <c r="F82" s="685"/>
      <c r="G82" s="685"/>
      <c r="H82" s="685"/>
      <c r="I82" s="685"/>
      <c r="J82" s="685"/>
      <c r="K82" s="685"/>
      <c r="L82" s="685"/>
    </row>
    <row r="83" spans="1:18" s="105" customFormat="1" ht="16.350000000000001" customHeight="1">
      <c r="A83" s="694" t="s">
        <v>162</v>
      </c>
      <c r="B83" s="169">
        <v>1</v>
      </c>
      <c r="C83" s="169">
        <v>2</v>
      </c>
      <c r="D83" s="169">
        <v>3</v>
      </c>
      <c r="E83" s="169">
        <v>4</v>
      </c>
      <c r="F83" s="169">
        <v>5</v>
      </c>
      <c r="G83" s="169">
        <v>6</v>
      </c>
      <c r="H83" s="169">
        <v>7</v>
      </c>
      <c r="I83" s="169">
        <v>8</v>
      </c>
      <c r="J83" s="190">
        <v>9</v>
      </c>
      <c r="K83" s="191"/>
      <c r="L83" s="191"/>
      <c r="M83" s="126"/>
      <c r="N83" s="177"/>
      <c r="O83" s="177"/>
      <c r="P83" s="177"/>
      <c r="Q83" s="177"/>
      <c r="R83" s="177"/>
    </row>
    <row r="84" spans="1:18" ht="16.350000000000001" customHeight="1">
      <c r="A84" s="696"/>
      <c r="B84" s="194" t="s">
        <v>206</v>
      </c>
      <c r="C84" s="194" t="s">
        <v>155</v>
      </c>
      <c r="D84" s="194" t="s">
        <v>207</v>
      </c>
      <c r="E84" s="194" t="s">
        <v>156</v>
      </c>
      <c r="F84" s="194" t="s">
        <v>138</v>
      </c>
      <c r="G84" s="195" t="s">
        <v>136</v>
      </c>
      <c r="H84" s="196" t="s">
        <v>208</v>
      </c>
      <c r="I84" s="195" t="s">
        <v>373</v>
      </c>
      <c r="J84" s="208" t="s">
        <v>142</v>
      </c>
      <c r="K84" s="197"/>
      <c r="L84" s="197"/>
      <c r="N84" s="198"/>
      <c r="O84" s="198"/>
      <c r="P84" s="198"/>
      <c r="Q84" s="198"/>
      <c r="R84" s="198"/>
    </row>
    <row r="85" spans="1:18" s="105" customFormat="1" ht="15.75" customHeight="1">
      <c r="A85" s="700" t="s">
        <v>188</v>
      </c>
      <c r="B85" s="701"/>
      <c r="C85" s="159" t="s">
        <v>47</v>
      </c>
      <c r="D85" s="700" t="s">
        <v>12</v>
      </c>
      <c r="E85" s="702"/>
      <c r="F85" s="701"/>
      <c r="G85" s="159" t="s">
        <v>46</v>
      </c>
      <c r="H85" s="159" t="s">
        <v>374</v>
      </c>
      <c r="I85" s="159" t="s">
        <v>375</v>
      </c>
      <c r="J85" s="159" t="s">
        <v>332</v>
      </c>
      <c r="K85" s="700" t="s">
        <v>51</v>
      </c>
      <c r="L85" s="701"/>
      <c r="M85" s="126"/>
      <c r="N85" s="188"/>
      <c r="O85" s="198"/>
      <c r="P85" s="384"/>
      <c r="Q85" s="384"/>
      <c r="R85" s="198"/>
    </row>
    <row r="86" spans="1:18" ht="15.75" customHeight="1">
      <c r="A86" s="694">
        <f>J83</f>
        <v>9</v>
      </c>
      <c r="B86" s="697" t="str">
        <f>J84</f>
        <v>微波小吃</v>
      </c>
      <c r="C86" s="199">
        <v>1</v>
      </c>
      <c r="D86" s="688" t="s">
        <v>617</v>
      </c>
      <c r="E86" s="689"/>
      <c r="F86" s="690"/>
      <c r="G86" s="199">
        <v>11</v>
      </c>
      <c r="H86" s="201">
        <v>1807.5320436631632</v>
      </c>
      <c r="I86" s="202">
        <v>164.32109487846938</v>
      </c>
      <c r="J86" s="351">
        <f>I86-I60</f>
        <v>0.14805194805200017</v>
      </c>
      <c r="K86" s="688" t="s">
        <v>427</v>
      </c>
      <c r="L86" s="690"/>
      <c r="O86" s="198"/>
      <c r="P86" s="384"/>
      <c r="Q86" s="384"/>
      <c r="R86" s="198"/>
    </row>
    <row r="87" spans="1:18" ht="15.75" customHeight="1">
      <c r="A87" s="695"/>
      <c r="B87" s="698"/>
      <c r="C87" s="199">
        <v>2</v>
      </c>
      <c r="D87" s="688" t="s">
        <v>615</v>
      </c>
      <c r="E87" s="689"/>
      <c r="F87" s="690"/>
      <c r="G87" s="199">
        <v>11</v>
      </c>
      <c r="H87" s="201">
        <v>1806.4296068586805</v>
      </c>
      <c r="I87" s="202">
        <v>164.22087335078913</v>
      </c>
      <c r="J87" s="351">
        <f>I87-I61</f>
        <v>0.17604883652367675</v>
      </c>
      <c r="K87" s="688" t="s">
        <v>427</v>
      </c>
      <c r="L87" s="690"/>
      <c r="O87" s="198"/>
      <c r="P87" s="384"/>
      <c r="Q87" s="384"/>
      <c r="R87" s="198"/>
    </row>
    <row r="88" spans="1:18" ht="15.75" customHeight="1">
      <c r="A88" s="695"/>
      <c r="B88" s="698"/>
      <c r="C88" s="199">
        <v>3</v>
      </c>
      <c r="D88" s="688" t="s">
        <v>650</v>
      </c>
      <c r="E88" s="689"/>
      <c r="F88" s="690"/>
      <c r="G88" s="199">
        <v>19</v>
      </c>
      <c r="H88" s="201">
        <v>1798.2031140007925</v>
      </c>
      <c r="I88" s="202">
        <v>94.64226915793644</v>
      </c>
      <c r="J88" s="351">
        <f>I88-I62</f>
        <v>0.29218524983981808</v>
      </c>
      <c r="K88" s="688" t="s">
        <v>427</v>
      </c>
      <c r="L88" s="690"/>
      <c r="O88" s="198"/>
      <c r="P88" s="384"/>
      <c r="Q88" s="384"/>
      <c r="R88" s="198"/>
    </row>
    <row r="89" spans="1:18" ht="15.75" customHeight="1">
      <c r="A89" s="695"/>
      <c r="B89" s="698"/>
      <c r="C89" s="199">
        <v>4</v>
      </c>
      <c r="D89" s="688" t="s">
        <v>354</v>
      </c>
      <c r="E89" s="689"/>
      <c r="F89" s="690"/>
      <c r="G89" s="201">
        <v>13</v>
      </c>
      <c r="H89" s="201">
        <v>1082.5862604571962</v>
      </c>
      <c r="I89" s="202">
        <v>83.275866189015105</v>
      </c>
      <c r="J89" s="351">
        <f>I89-I63</f>
        <v>8.2971379430489378E-2</v>
      </c>
      <c r="K89" s="688" t="s">
        <v>427</v>
      </c>
      <c r="L89" s="690"/>
      <c r="O89" s="198"/>
      <c r="P89" s="384"/>
      <c r="Q89" s="384"/>
      <c r="R89" s="198"/>
    </row>
    <row r="90" spans="1:18" ht="15.75" customHeight="1">
      <c r="A90" s="695"/>
      <c r="B90" s="698"/>
      <c r="C90" s="199">
        <v>5</v>
      </c>
      <c r="D90" s="688" t="s">
        <v>616</v>
      </c>
      <c r="E90" s="689"/>
      <c r="F90" s="690"/>
      <c r="G90" s="199">
        <v>22</v>
      </c>
      <c r="H90" s="201">
        <v>1799.990593767981</v>
      </c>
      <c r="I90" s="202">
        <v>81.817754262180955</v>
      </c>
      <c r="J90" s="351">
        <f>I90-I64</f>
        <v>-6.8213231921703255E-3</v>
      </c>
      <c r="K90" s="688" t="s">
        <v>427</v>
      </c>
      <c r="L90" s="690"/>
      <c r="O90" s="198"/>
      <c r="P90" s="384"/>
      <c r="Q90" s="384"/>
      <c r="R90" s="198"/>
    </row>
    <row r="91" spans="1:18" ht="15.75" customHeight="1">
      <c r="A91" s="695"/>
      <c r="B91" s="698"/>
      <c r="C91" s="203" t="s">
        <v>204</v>
      </c>
      <c r="D91" s="688"/>
      <c r="E91" s="689"/>
      <c r="F91" s="690"/>
      <c r="G91" s="199"/>
      <c r="H91" s="201"/>
      <c r="I91" s="202"/>
      <c r="J91" s="199"/>
      <c r="K91" s="688"/>
      <c r="L91" s="690"/>
      <c r="O91" s="198"/>
      <c r="P91" s="384"/>
      <c r="Q91" s="384"/>
      <c r="R91" s="198"/>
    </row>
    <row r="92" spans="1:18" ht="15.75" customHeight="1">
      <c r="A92" s="695"/>
      <c r="B92" s="698"/>
      <c r="C92" s="203" t="s">
        <v>209</v>
      </c>
      <c r="D92" s="688"/>
      <c r="E92" s="689"/>
      <c r="F92" s="690"/>
      <c r="G92" s="199"/>
      <c r="H92" s="201"/>
      <c r="I92" s="202"/>
      <c r="J92" s="199"/>
      <c r="K92" s="688"/>
      <c r="L92" s="690"/>
      <c r="N92" s="177"/>
      <c r="O92" s="177"/>
      <c r="P92" s="383"/>
      <c r="Q92" s="383"/>
      <c r="R92" s="177"/>
    </row>
    <row r="93" spans="1:18" ht="15.75" customHeight="1">
      <c r="A93" s="695"/>
      <c r="B93" s="698"/>
      <c r="C93" s="203" t="s">
        <v>205</v>
      </c>
      <c r="D93" s="688"/>
      <c r="E93" s="689"/>
      <c r="F93" s="690"/>
      <c r="G93" s="199"/>
      <c r="H93" s="201"/>
      <c r="I93" s="202"/>
      <c r="J93" s="199"/>
      <c r="K93" s="688"/>
      <c r="L93" s="690"/>
      <c r="O93" s="198"/>
      <c r="P93" s="384"/>
      <c r="Q93" s="384"/>
      <c r="R93" s="198"/>
    </row>
    <row r="94" spans="1:18" ht="15.75" customHeight="1">
      <c r="A94" s="695"/>
      <c r="B94" s="698"/>
      <c r="C94" s="203" t="s">
        <v>210</v>
      </c>
      <c r="D94" s="688"/>
      <c r="E94" s="689"/>
      <c r="F94" s="690"/>
      <c r="G94" s="199"/>
      <c r="H94" s="201"/>
      <c r="I94" s="202"/>
      <c r="J94" s="199"/>
      <c r="K94" s="688"/>
      <c r="L94" s="690"/>
      <c r="M94" s="98"/>
      <c r="O94" s="198"/>
      <c r="P94" s="384"/>
      <c r="Q94" s="384"/>
      <c r="R94" s="198"/>
    </row>
    <row r="95" spans="1:18" ht="15.75" customHeight="1">
      <c r="A95" s="696"/>
      <c r="B95" s="699"/>
      <c r="C95" s="203" t="s">
        <v>211</v>
      </c>
      <c r="D95" s="688"/>
      <c r="E95" s="689"/>
      <c r="F95" s="690"/>
      <c r="G95" s="199"/>
      <c r="H95" s="201"/>
      <c r="I95" s="202"/>
      <c r="J95" s="199"/>
      <c r="K95" s="688"/>
      <c r="L95" s="690"/>
      <c r="M95" s="98"/>
      <c r="O95" s="198"/>
      <c r="P95" s="384"/>
      <c r="Q95" s="384"/>
      <c r="R95" s="198"/>
    </row>
    <row r="96" spans="1:18" s="103" customFormat="1" ht="15.75" customHeight="1">
      <c r="A96" s="691" t="s">
        <v>188</v>
      </c>
      <c r="B96" s="692"/>
      <c r="C96" s="206" t="s">
        <v>47</v>
      </c>
      <c r="D96" s="691" t="s">
        <v>12</v>
      </c>
      <c r="E96" s="693"/>
      <c r="F96" s="692"/>
      <c r="G96" s="206" t="s">
        <v>46</v>
      </c>
      <c r="H96" s="206" t="s">
        <v>374</v>
      </c>
      <c r="I96" s="206" t="s">
        <v>375</v>
      </c>
      <c r="J96" s="159" t="s">
        <v>332</v>
      </c>
      <c r="K96" s="691" t="s">
        <v>51</v>
      </c>
      <c r="L96" s="692"/>
      <c r="M96" s="127"/>
      <c r="N96" s="188"/>
      <c r="O96" s="198"/>
      <c r="P96" s="384"/>
      <c r="Q96" s="384"/>
      <c r="R96" s="198"/>
    </row>
    <row r="97" spans="1:19" ht="15.75" customHeight="1">
      <c r="A97" s="694"/>
      <c r="B97" s="697"/>
      <c r="C97" s="199">
        <v>1</v>
      </c>
      <c r="D97" s="688"/>
      <c r="E97" s="689"/>
      <c r="F97" s="690"/>
      <c r="G97" s="199"/>
      <c r="H97" s="201"/>
      <c r="I97" s="202"/>
      <c r="J97" s="199"/>
      <c r="K97" s="688"/>
      <c r="L97" s="690"/>
      <c r="M97" s="98"/>
      <c r="N97" s="198"/>
      <c r="O97" s="198"/>
      <c r="P97" s="384"/>
      <c r="Q97" s="384"/>
      <c r="R97" s="198"/>
    </row>
    <row r="98" spans="1:19" ht="15.75" customHeight="1">
      <c r="A98" s="695"/>
      <c r="B98" s="698"/>
      <c r="C98" s="199">
        <v>2</v>
      </c>
      <c r="D98" s="688"/>
      <c r="E98" s="689"/>
      <c r="F98" s="690"/>
      <c r="G98" s="199"/>
      <c r="H98" s="201"/>
      <c r="I98" s="202"/>
      <c r="J98" s="199"/>
      <c r="K98" s="688"/>
      <c r="L98" s="690"/>
      <c r="M98" s="98"/>
      <c r="O98" s="198"/>
      <c r="P98" s="384"/>
      <c r="Q98" s="384"/>
      <c r="R98" s="198"/>
    </row>
    <row r="99" spans="1:19" ht="15.75" customHeight="1">
      <c r="A99" s="695"/>
      <c r="B99" s="698"/>
      <c r="C99" s="199">
        <v>3</v>
      </c>
      <c r="D99" s="688"/>
      <c r="E99" s="689"/>
      <c r="F99" s="690"/>
      <c r="G99" s="199"/>
      <c r="H99" s="201"/>
      <c r="I99" s="202"/>
      <c r="J99" s="199"/>
      <c r="K99" s="688"/>
      <c r="L99" s="690"/>
      <c r="M99" s="98"/>
      <c r="O99" s="198"/>
      <c r="P99" s="384"/>
      <c r="Q99" s="384"/>
      <c r="R99" s="198"/>
    </row>
    <row r="100" spans="1:19" ht="15.75" customHeight="1">
      <c r="A100" s="695"/>
      <c r="B100" s="698"/>
      <c r="C100" s="199">
        <v>4</v>
      </c>
      <c r="D100" s="688"/>
      <c r="E100" s="689"/>
      <c r="F100" s="690"/>
      <c r="G100" s="199"/>
      <c r="H100" s="201"/>
      <c r="I100" s="202"/>
      <c r="J100" s="199"/>
      <c r="K100" s="688"/>
      <c r="L100" s="690"/>
      <c r="M100" s="98"/>
      <c r="O100" s="198"/>
      <c r="P100" s="384"/>
      <c r="Q100" s="384"/>
      <c r="R100" s="198"/>
    </row>
    <row r="101" spans="1:19" ht="15.75" customHeight="1">
      <c r="A101" s="695"/>
      <c r="B101" s="698"/>
      <c r="C101" s="199">
        <v>5</v>
      </c>
      <c r="D101" s="688"/>
      <c r="E101" s="689"/>
      <c r="F101" s="690"/>
      <c r="G101" s="199"/>
      <c r="H101" s="201"/>
      <c r="I101" s="202"/>
      <c r="J101" s="199"/>
      <c r="K101" s="688"/>
      <c r="L101" s="690"/>
      <c r="M101" s="98"/>
      <c r="O101" s="198"/>
      <c r="P101" s="384"/>
      <c r="Q101" s="384"/>
      <c r="R101" s="198"/>
    </row>
    <row r="102" spans="1:19" ht="15.75" customHeight="1">
      <c r="A102" s="695"/>
      <c r="B102" s="698"/>
      <c r="C102" s="203" t="s">
        <v>204</v>
      </c>
      <c r="D102" s="688"/>
      <c r="E102" s="689"/>
      <c r="F102" s="690"/>
      <c r="G102" s="199"/>
      <c r="H102" s="201"/>
      <c r="I102" s="202"/>
      <c r="J102" s="199"/>
      <c r="K102" s="688"/>
      <c r="L102" s="690"/>
      <c r="M102" s="98"/>
      <c r="O102" s="198"/>
      <c r="P102" s="384"/>
      <c r="Q102" s="384"/>
      <c r="R102" s="198"/>
    </row>
    <row r="103" spans="1:19" ht="15.75" customHeight="1">
      <c r="A103" s="695"/>
      <c r="B103" s="698"/>
      <c r="C103" s="203" t="s">
        <v>209</v>
      </c>
      <c r="D103" s="688"/>
      <c r="E103" s="689"/>
      <c r="F103" s="690"/>
      <c r="G103" s="199"/>
      <c r="H103" s="201"/>
      <c r="I103" s="202"/>
      <c r="J103" s="199"/>
      <c r="K103" s="688"/>
      <c r="L103" s="690"/>
      <c r="M103" s="98"/>
      <c r="O103" s="198"/>
      <c r="P103" s="384"/>
      <c r="Q103" s="384"/>
      <c r="R103" s="198"/>
    </row>
    <row r="104" spans="1:19" ht="15.75" customHeight="1">
      <c r="A104" s="695"/>
      <c r="B104" s="698"/>
      <c r="C104" s="203" t="s">
        <v>205</v>
      </c>
      <c r="D104" s="688"/>
      <c r="E104" s="689"/>
      <c r="F104" s="690"/>
      <c r="G104" s="199"/>
      <c r="H104" s="201"/>
      <c r="I104" s="202"/>
      <c r="J104" s="199"/>
      <c r="K104" s="688"/>
      <c r="L104" s="690"/>
      <c r="M104" s="98"/>
      <c r="O104" s="198"/>
      <c r="P104" s="384"/>
      <c r="Q104" s="384"/>
      <c r="R104" s="198"/>
    </row>
    <row r="105" spans="1:19" ht="15.75" customHeight="1">
      <c r="A105" s="695"/>
      <c r="B105" s="698"/>
      <c r="C105" s="203" t="s">
        <v>210</v>
      </c>
      <c r="D105" s="688"/>
      <c r="E105" s="689"/>
      <c r="F105" s="690"/>
      <c r="G105" s="199"/>
      <c r="H105" s="201"/>
      <c r="I105" s="202"/>
      <c r="J105" s="199"/>
      <c r="K105" s="688"/>
      <c r="L105" s="690"/>
      <c r="M105" s="98"/>
      <c r="O105" s="198"/>
      <c r="P105" s="384"/>
      <c r="Q105" s="384"/>
      <c r="R105" s="198"/>
    </row>
    <row r="106" spans="1:19" ht="15.75" customHeight="1">
      <c r="A106" s="696"/>
      <c r="B106" s="699"/>
      <c r="C106" s="203" t="s">
        <v>211</v>
      </c>
      <c r="D106" s="688"/>
      <c r="E106" s="689"/>
      <c r="F106" s="690"/>
      <c r="G106" s="199"/>
      <c r="H106" s="201"/>
      <c r="I106" s="202"/>
      <c r="J106" s="199"/>
      <c r="K106" s="688"/>
      <c r="L106" s="690"/>
      <c r="M106" s="98"/>
      <c r="O106" s="198"/>
      <c r="P106" s="384"/>
      <c r="Q106" s="384"/>
      <c r="R106" s="198"/>
    </row>
    <row r="107" spans="1:19" s="188" customFormat="1" ht="15.75" customHeight="1">
      <c r="A107" s="685" t="s">
        <v>852</v>
      </c>
      <c r="B107" s="685"/>
      <c r="C107" s="685"/>
      <c r="D107" s="685"/>
      <c r="E107" s="685"/>
      <c r="F107" s="685"/>
      <c r="G107" s="685"/>
      <c r="H107" s="685"/>
      <c r="I107" s="685"/>
      <c r="J107" s="685"/>
      <c r="K107" s="685"/>
      <c r="L107" s="685"/>
    </row>
    <row r="108" spans="1:19" s="189" customFormat="1" ht="15.75" customHeight="1">
      <c r="A108" s="685"/>
      <c r="B108" s="685"/>
      <c r="C108" s="685"/>
      <c r="D108" s="685"/>
      <c r="E108" s="685"/>
      <c r="F108" s="685"/>
      <c r="G108" s="685"/>
      <c r="H108" s="685"/>
      <c r="I108" s="685"/>
      <c r="J108" s="685"/>
      <c r="K108" s="685"/>
      <c r="L108" s="685"/>
    </row>
    <row r="109" spans="1:19" s="105" customFormat="1" ht="16.350000000000001" customHeight="1">
      <c r="A109" s="528" t="s">
        <v>162</v>
      </c>
      <c r="B109" s="169">
        <v>1</v>
      </c>
      <c r="C109" s="169">
        <v>2</v>
      </c>
      <c r="D109" s="169">
        <v>3</v>
      </c>
      <c r="E109" s="169">
        <v>4</v>
      </c>
      <c r="F109" s="169">
        <v>5</v>
      </c>
      <c r="G109" s="169">
        <v>6</v>
      </c>
      <c r="H109" s="169">
        <v>7</v>
      </c>
      <c r="I109" s="169">
        <v>8</v>
      </c>
      <c r="J109" s="190">
        <v>9</v>
      </c>
      <c r="K109" s="191"/>
      <c r="L109" s="191"/>
      <c r="M109" s="192"/>
      <c r="N109" s="178"/>
      <c r="O109" s="178"/>
      <c r="P109" s="178"/>
      <c r="Q109" s="178"/>
      <c r="R109" s="178"/>
      <c r="S109" s="177"/>
    </row>
    <row r="110" spans="1:19" ht="16.350000000000001" customHeight="1">
      <c r="A110" s="530"/>
      <c r="B110" s="194" t="s">
        <v>206</v>
      </c>
      <c r="C110" s="194" t="s">
        <v>155</v>
      </c>
      <c r="D110" s="194" t="s">
        <v>207</v>
      </c>
      <c r="E110" s="194" t="s">
        <v>156</v>
      </c>
      <c r="F110" s="194" t="s">
        <v>138</v>
      </c>
      <c r="G110" s="195" t="s">
        <v>136</v>
      </c>
      <c r="H110" s="196" t="s">
        <v>208</v>
      </c>
      <c r="I110" s="195" t="s">
        <v>373</v>
      </c>
      <c r="J110" s="208" t="s">
        <v>142</v>
      </c>
      <c r="K110" s="197"/>
      <c r="L110" s="197"/>
      <c r="M110" s="189"/>
      <c r="N110" s="178"/>
      <c r="O110" s="178"/>
      <c r="P110" s="178"/>
      <c r="Q110" s="178"/>
      <c r="R110" s="178"/>
      <c r="S110" s="188"/>
    </row>
    <row r="111" spans="1:19" s="105" customFormat="1" ht="15.75" customHeight="1">
      <c r="A111" s="534" t="s">
        <v>188</v>
      </c>
      <c r="B111" s="535"/>
      <c r="C111" s="159" t="s">
        <v>47</v>
      </c>
      <c r="D111" s="534" t="s">
        <v>12</v>
      </c>
      <c r="E111" s="536"/>
      <c r="F111" s="535"/>
      <c r="G111" s="159" t="s">
        <v>46</v>
      </c>
      <c r="H111" s="159" t="s">
        <v>374</v>
      </c>
      <c r="I111" s="159" t="s">
        <v>375</v>
      </c>
      <c r="J111" s="159" t="s">
        <v>332</v>
      </c>
      <c r="K111" s="534" t="s">
        <v>51</v>
      </c>
      <c r="L111" s="535"/>
      <c r="M111" s="192"/>
      <c r="N111" s="178"/>
      <c r="O111" s="519"/>
      <c r="P111" s="519"/>
      <c r="Q111" s="519"/>
      <c r="R111" s="178"/>
      <c r="S111" s="177"/>
    </row>
    <row r="112" spans="1:19" ht="15.75" customHeight="1">
      <c r="A112" s="528">
        <f>J109</f>
        <v>9</v>
      </c>
      <c r="B112" s="531" t="str">
        <f>J110</f>
        <v>微波小吃</v>
      </c>
      <c r="C112" s="199">
        <v>1</v>
      </c>
      <c r="D112" s="688" t="s">
        <v>617</v>
      </c>
      <c r="E112" s="689"/>
      <c r="F112" s="690"/>
      <c r="G112" s="199">
        <v>11</v>
      </c>
      <c r="H112" s="201">
        <v>1808.6422812068051</v>
      </c>
      <c r="I112" s="202">
        <v>164.42202556425499</v>
      </c>
      <c r="J112" s="351">
        <f>I112-I86</f>
        <v>0.10093068578561315</v>
      </c>
      <c r="K112" s="522"/>
      <c r="L112" s="524"/>
      <c r="N112" s="178"/>
      <c r="O112" s="178"/>
      <c r="P112" s="520"/>
      <c r="Q112" s="520"/>
      <c r="R112" s="178"/>
      <c r="S112" s="188"/>
    </row>
    <row r="113" spans="1:19" ht="15.75" customHeight="1">
      <c r="A113" s="529"/>
      <c r="B113" s="532"/>
      <c r="C113" s="199">
        <v>2</v>
      </c>
      <c r="D113" s="688" t="s">
        <v>615</v>
      </c>
      <c r="E113" s="689"/>
      <c r="F113" s="690"/>
      <c r="G113" s="199">
        <v>11</v>
      </c>
      <c r="H113" s="201">
        <v>1807.6010354301091</v>
      </c>
      <c r="I113" s="202">
        <v>164.32736685728267</v>
      </c>
      <c r="J113" s="351">
        <f>I113-I87</f>
        <v>0.10649350649353551</v>
      </c>
      <c r="K113" s="522"/>
      <c r="L113" s="524"/>
      <c r="N113" s="178"/>
      <c r="O113" s="178"/>
      <c r="P113" s="520"/>
      <c r="Q113" s="520"/>
      <c r="R113" s="178"/>
      <c r="S113" s="188"/>
    </row>
    <row r="114" spans="1:19" ht="15.75" customHeight="1">
      <c r="A114" s="529"/>
      <c r="B114" s="532"/>
      <c r="C114" s="199">
        <v>3</v>
      </c>
      <c r="D114" s="688" t="s">
        <v>650</v>
      </c>
      <c r="E114" s="689"/>
      <c r="F114" s="690"/>
      <c r="G114" s="199">
        <v>19</v>
      </c>
      <c r="H114" s="201">
        <v>1801.9709154418076</v>
      </c>
      <c r="I114" s="202">
        <v>94.840574496937251</v>
      </c>
      <c r="J114" s="351">
        <f>I114-I88</f>
        <v>0.19830533900081093</v>
      </c>
      <c r="K114" s="522"/>
      <c r="L114" s="524"/>
      <c r="N114" s="178"/>
      <c r="O114" s="178"/>
      <c r="P114" s="520"/>
      <c r="Q114" s="520"/>
      <c r="R114" s="178"/>
      <c r="S114" s="188"/>
    </row>
    <row r="115" spans="1:19" ht="15.75" customHeight="1">
      <c r="A115" s="529"/>
      <c r="B115" s="532"/>
      <c r="C115" s="199">
        <v>4</v>
      </c>
      <c r="D115" s="688" t="s">
        <v>354</v>
      </c>
      <c r="E115" s="689"/>
      <c r="F115" s="690"/>
      <c r="G115" s="201">
        <v>13</v>
      </c>
      <c r="H115" s="201">
        <v>1083.2587167482773</v>
      </c>
      <c r="I115" s="202">
        <v>83.32759359602133</v>
      </c>
      <c r="J115" s="351">
        <f>I115-I89</f>
        <v>5.172740700622569E-2</v>
      </c>
      <c r="K115" s="522"/>
      <c r="L115" s="524"/>
      <c r="N115" s="178"/>
      <c r="O115" s="178"/>
      <c r="P115" s="520"/>
      <c r="Q115" s="520"/>
      <c r="R115" s="178"/>
      <c r="S115" s="188"/>
    </row>
    <row r="116" spans="1:19" ht="15.75" customHeight="1">
      <c r="A116" s="529"/>
      <c r="B116" s="532"/>
      <c r="C116" s="199">
        <v>5</v>
      </c>
      <c r="D116" s="688" t="s">
        <v>616</v>
      </c>
      <c r="E116" s="689"/>
      <c r="F116" s="690"/>
      <c r="G116" s="199">
        <v>22</v>
      </c>
      <c r="H116" s="201">
        <v>1800.827514282724</v>
      </c>
      <c r="I116" s="202">
        <v>81.855796103760184</v>
      </c>
      <c r="J116" s="351">
        <f>I116-I90</f>
        <v>3.8041841579229185E-2</v>
      </c>
      <c r="K116" s="522"/>
      <c r="L116" s="524"/>
      <c r="N116" s="178"/>
      <c r="O116" s="178"/>
      <c r="P116" s="520"/>
      <c r="Q116" s="520"/>
      <c r="R116" s="178"/>
      <c r="S116" s="188"/>
    </row>
    <row r="117" spans="1:19" ht="15.75" customHeight="1">
      <c r="A117" s="529"/>
      <c r="B117" s="532"/>
      <c r="C117" s="203" t="s">
        <v>204</v>
      </c>
      <c r="D117" s="688"/>
      <c r="E117" s="689"/>
      <c r="F117" s="690"/>
      <c r="G117" s="199"/>
      <c r="H117" s="201"/>
      <c r="I117" s="202"/>
      <c r="J117" s="199"/>
      <c r="K117" s="522"/>
      <c r="L117" s="524"/>
      <c r="N117" s="178"/>
      <c r="O117" s="178"/>
      <c r="P117" s="520"/>
      <c r="Q117" s="520"/>
      <c r="R117" s="178"/>
      <c r="S117" s="188"/>
    </row>
    <row r="118" spans="1:19" ht="15.75" customHeight="1">
      <c r="A118" s="529"/>
      <c r="B118" s="532"/>
      <c r="C118" s="203" t="s">
        <v>209</v>
      </c>
      <c r="D118" s="522"/>
      <c r="E118" s="523"/>
      <c r="F118" s="524"/>
      <c r="G118" s="199"/>
      <c r="H118" s="201"/>
      <c r="I118" s="202"/>
      <c r="J118" s="199"/>
      <c r="K118" s="522"/>
      <c r="L118" s="524"/>
      <c r="N118" s="178"/>
      <c r="O118" s="178"/>
      <c r="P118" s="520"/>
      <c r="Q118" s="520"/>
      <c r="R118" s="178"/>
      <c r="S118" s="188"/>
    </row>
    <row r="119" spans="1:19" ht="15.75" customHeight="1">
      <c r="A119" s="529"/>
      <c r="B119" s="532"/>
      <c r="C119" s="203" t="s">
        <v>205</v>
      </c>
      <c r="D119" s="522"/>
      <c r="E119" s="523"/>
      <c r="F119" s="524"/>
      <c r="G119" s="199"/>
      <c r="H119" s="201"/>
      <c r="I119" s="202"/>
      <c r="J119" s="199"/>
      <c r="K119" s="522"/>
      <c r="L119" s="524"/>
      <c r="N119" s="178"/>
      <c r="O119" s="178"/>
      <c r="P119" s="520"/>
      <c r="Q119" s="520"/>
      <c r="R119" s="178"/>
      <c r="S119" s="188"/>
    </row>
    <row r="120" spans="1:19" ht="15.75" customHeight="1">
      <c r="A120" s="529"/>
      <c r="B120" s="532"/>
      <c r="C120" s="203" t="s">
        <v>210</v>
      </c>
      <c r="D120" s="522"/>
      <c r="E120" s="523"/>
      <c r="F120" s="524"/>
      <c r="G120" s="199"/>
      <c r="H120" s="201"/>
      <c r="I120" s="202"/>
      <c r="J120" s="199"/>
      <c r="K120" s="522"/>
      <c r="L120" s="524"/>
      <c r="M120" s="98"/>
      <c r="N120" s="178"/>
      <c r="O120" s="178"/>
      <c r="P120" s="520"/>
      <c r="Q120" s="520"/>
      <c r="R120" s="178"/>
      <c r="S120" s="188"/>
    </row>
    <row r="121" spans="1:19" ht="15.75" customHeight="1">
      <c r="A121" s="530"/>
      <c r="B121" s="533"/>
      <c r="C121" s="203" t="s">
        <v>211</v>
      </c>
      <c r="D121" s="522"/>
      <c r="E121" s="523"/>
      <c r="F121" s="524"/>
      <c r="G121" s="199"/>
      <c r="H121" s="201"/>
      <c r="I121" s="202"/>
      <c r="J121" s="199"/>
      <c r="K121" s="522"/>
      <c r="L121" s="524"/>
      <c r="M121" s="98"/>
      <c r="N121" s="178"/>
      <c r="O121" s="178"/>
      <c r="P121" s="520"/>
      <c r="Q121" s="520"/>
      <c r="R121" s="178"/>
      <c r="S121" s="188"/>
    </row>
    <row r="122" spans="1:19" s="103" customFormat="1" ht="15.75" customHeight="1">
      <c r="A122" s="525" t="s">
        <v>188</v>
      </c>
      <c r="B122" s="526"/>
      <c r="C122" s="206" t="s">
        <v>47</v>
      </c>
      <c r="D122" s="525" t="s">
        <v>12</v>
      </c>
      <c r="E122" s="527"/>
      <c r="F122" s="526"/>
      <c r="G122" s="206" t="s">
        <v>46</v>
      </c>
      <c r="H122" s="206" t="s">
        <v>374</v>
      </c>
      <c r="I122" s="206" t="s">
        <v>375</v>
      </c>
      <c r="J122" s="159" t="s">
        <v>332</v>
      </c>
      <c r="K122" s="525" t="s">
        <v>51</v>
      </c>
      <c r="L122" s="526"/>
      <c r="M122" s="127"/>
      <c r="N122" s="178"/>
      <c r="O122" s="178"/>
      <c r="P122" s="520"/>
      <c r="Q122" s="520"/>
      <c r="R122" s="178"/>
      <c r="S122" s="198"/>
    </row>
    <row r="123" spans="1:19" ht="15.75" customHeight="1">
      <c r="A123" s="528"/>
      <c r="B123" s="531"/>
      <c r="C123" s="199">
        <v>1</v>
      </c>
      <c r="D123" s="522"/>
      <c r="E123" s="523"/>
      <c r="F123" s="524"/>
      <c r="G123" s="199"/>
      <c r="H123" s="201"/>
      <c r="I123" s="202"/>
      <c r="J123" s="199"/>
      <c r="K123" s="522"/>
      <c r="L123" s="524"/>
      <c r="M123" s="98"/>
      <c r="N123" s="178"/>
      <c r="O123" s="178"/>
      <c r="P123" s="520"/>
      <c r="Q123" s="520"/>
      <c r="R123" s="178"/>
      <c r="S123" s="188"/>
    </row>
    <row r="124" spans="1:19" ht="15.75" customHeight="1">
      <c r="A124" s="529"/>
      <c r="B124" s="532"/>
      <c r="C124" s="199">
        <v>2</v>
      </c>
      <c r="D124" s="522"/>
      <c r="E124" s="523"/>
      <c r="F124" s="524"/>
      <c r="G124" s="199"/>
      <c r="H124" s="201"/>
      <c r="I124" s="202"/>
      <c r="J124" s="199"/>
      <c r="K124" s="522"/>
      <c r="L124" s="524"/>
      <c r="M124" s="98"/>
      <c r="N124" s="178"/>
      <c r="O124" s="178"/>
      <c r="P124" s="520"/>
      <c r="Q124" s="520"/>
      <c r="R124" s="178"/>
      <c r="S124" s="188"/>
    </row>
    <row r="125" spans="1:19" ht="15.75" customHeight="1">
      <c r="A125" s="529"/>
      <c r="B125" s="532"/>
      <c r="C125" s="199">
        <v>3</v>
      </c>
      <c r="D125" s="522"/>
      <c r="E125" s="523"/>
      <c r="F125" s="524"/>
      <c r="G125" s="199"/>
      <c r="H125" s="201"/>
      <c r="I125" s="202"/>
      <c r="J125" s="199"/>
      <c r="K125" s="522"/>
      <c r="L125" s="524"/>
      <c r="M125" s="98"/>
      <c r="N125" s="178"/>
      <c r="O125" s="178"/>
      <c r="P125" s="520"/>
      <c r="Q125" s="520"/>
      <c r="R125" s="178"/>
      <c r="S125" s="188"/>
    </row>
    <row r="126" spans="1:19" ht="15.75" customHeight="1">
      <c r="A126" s="529"/>
      <c r="B126" s="532"/>
      <c r="C126" s="199">
        <v>4</v>
      </c>
      <c r="D126" s="522"/>
      <c r="E126" s="523"/>
      <c r="F126" s="524"/>
      <c r="G126" s="199"/>
      <c r="H126" s="201"/>
      <c r="I126" s="202"/>
      <c r="J126" s="199"/>
      <c r="K126" s="522"/>
      <c r="L126" s="524"/>
      <c r="M126" s="98"/>
      <c r="N126" s="178"/>
      <c r="O126" s="178"/>
      <c r="P126" s="520"/>
      <c r="Q126" s="520"/>
      <c r="R126" s="178"/>
      <c r="S126" s="188"/>
    </row>
    <row r="127" spans="1:19" ht="15.75" customHeight="1">
      <c r="A127" s="529"/>
      <c r="B127" s="532"/>
      <c r="C127" s="199">
        <v>5</v>
      </c>
      <c r="D127" s="522"/>
      <c r="E127" s="523"/>
      <c r="F127" s="524"/>
      <c r="G127" s="199"/>
      <c r="H127" s="201"/>
      <c r="I127" s="202"/>
      <c r="J127" s="199"/>
      <c r="K127" s="522"/>
      <c r="L127" s="524"/>
      <c r="M127" s="98"/>
      <c r="N127" s="178"/>
      <c r="O127" s="178"/>
      <c r="P127" s="520"/>
      <c r="Q127" s="520"/>
      <c r="R127" s="178"/>
      <c r="S127" s="188"/>
    </row>
    <row r="128" spans="1:19" ht="15.75" customHeight="1">
      <c r="A128" s="529"/>
      <c r="B128" s="532"/>
      <c r="C128" s="203" t="s">
        <v>204</v>
      </c>
      <c r="D128" s="522"/>
      <c r="E128" s="523"/>
      <c r="F128" s="524"/>
      <c r="G128" s="199"/>
      <c r="H128" s="201"/>
      <c r="I128" s="202"/>
      <c r="J128" s="199"/>
      <c r="K128" s="522"/>
      <c r="L128" s="524"/>
      <c r="M128" s="98"/>
      <c r="N128" s="178"/>
      <c r="O128" s="178"/>
      <c r="P128" s="520"/>
      <c r="Q128" s="520"/>
      <c r="R128" s="178"/>
      <c r="S128" s="188"/>
    </row>
    <row r="129" spans="1:19" ht="15.75" customHeight="1">
      <c r="A129" s="529"/>
      <c r="B129" s="532"/>
      <c r="C129" s="203" t="s">
        <v>209</v>
      </c>
      <c r="D129" s="522"/>
      <c r="E129" s="523"/>
      <c r="F129" s="524"/>
      <c r="G129" s="199"/>
      <c r="H129" s="201"/>
      <c r="I129" s="202"/>
      <c r="J129" s="199"/>
      <c r="K129" s="522"/>
      <c r="L129" s="524"/>
      <c r="M129" s="98"/>
      <c r="N129" s="178"/>
      <c r="O129" s="178"/>
      <c r="P129" s="520"/>
      <c r="Q129" s="520"/>
      <c r="R129" s="178"/>
      <c r="S129" s="188"/>
    </row>
    <row r="130" spans="1:19" ht="15.75" customHeight="1">
      <c r="A130" s="529"/>
      <c r="B130" s="532"/>
      <c r="C130" s="203" t="s">
        <v>205</v>
      </c>
      <c r="D130" s="522"/>
      <c r="E130" s="523"/>
      <c r="F130" s="524"/>
      <c r="G130" s="199"/>
      <c r="H130" s="201"/>
      <c r="I130" s="202"/>
      <c r="J130" s="199"/>
      <c r="K130" s="522"/>
      <c r="L130" s="524"/>
      <c r="M130" s="98"/>
      <c r="N130" s="178"/>
      <c r="O130" s="178"/>
      <c r="P130" s="520"/>
      <c r="Q130" s="520"/>
      <c r="R130" s="178"/>
      <c r="S130" s="188"/>
    </row>
    <row r="131" spans="1:19" ht="15.75" customHeight="1">
      <c r="A131" s="529"/>
      <c r="B131" s="532"/>
      <c r="C131" s="203" t="s">
        <v>210</v>
      </c>
      <c r="D131" s="522"/>
      <c r="E131" s="523"/>
      <c r="F131" s="524"/>
      <c r="G131" s="199"/>
      <c r="H131" s="201"/>
      <c r="I131" s="202"/>
      <c r="J131" s="199"/>
      <c r="K131" s="522"/>
      <c r="L131" s="524"/>
      <c r="M131" s="98"/>
      <c r="N131" s="178"/>
      <c r="O131" s="178"/>
      <c r="P131" s="520"/>
      <c r="Q131" s="520"/>
      <c r="R131" s="178"/>
      <c r="S131" s="188"/>
    </row>
    <row r="132" spans="1:19" ht="15.75" customHeight="1">
      <c r="A132" s="530"/>
      <c r="B132" s="533"/>
      <c r="C132" s="203" t="s">
        <v>211</v>
      </c>
      <c r="D132" s="522"/>
      <c r="E132" s="523"/>
      <c r="F132" s="524"/>
      <c r="G132" s="199"/>
      <c r="H132" s="201"/>
      <c r="I132" s="202"/>
      <c r="J132" s="199"/>
      <c r="K132" s="522"/>
      <c r="L132" s="524"/>
      <c r="M132" s="98"/>
      <c r="N132" s="178"/>
      <c r="O132" s="178"/>
      <c r="P132" s="520"/>
      <c r="Q132" s="520"/>
      <c r="R132" s="178"/>
      <c r="S132" s="188"/>
    </row>
    <row r="133" spans="1:19" s="188" customFormat="1" ht="15.75" customHeight="1">
      <c r="A133" s="685" t="s">
        <v>881</v>
      </c>
      <c r="B133" s="685"/>
      <c r="C133" s="685"/>
      <c r="D133" s="685"/>
      <c r="E133" s="685"/>
      <c r="F133" s="685"/>
      <c r="G133" s="685"/>
      <c r="H133" s="685"/>
      <c r="I133" s="685"/>
      <c r="J133" s="685"/>
      <c r="K133" s="685"/>
      <c r="L133" s="685"/>
    </row>
    <row r="134" spans="1:19" s="189" customFormat="1" ht="15.75" customHeight="1">
      <c r="A134" s="685"/>
      <c r="B134" s="685"/>
      <c r="C134" s="685"/>
      <c r="D134" s="685"/>
      <c r="E134" s="685"/>
      <c r="F134" s="685"/>
      <c r="G134" s="685"/>
      <c r="H134" s="685"/>
      <c r="I134" s="685"/>
      <c r="J134" s="685"/>
      <c r="K134" s="685"/>
      <c r="L134" s="685"/>
    </row>
    <row r="135" spans="1:19" s="105" customFormat="1" ht="16.350000000000001" customHeight="1">
      <c r="A135" s="528" t="s">
        <v>162</v>
      </c>
      <c r="B135" s="169">
        <v>1</v>
      </c>
      <c r="C135" s="169">
        <v>2</v>
      </c>
      <c r="D135" s="169">
        <v>3</v>
      </c>
      <c r="E135" s="169">
        <v>4</v>
      </c>
      <c r="F135" s="169">
        <v>5</v>
      </c>
      <c r="G135" s="169">
        <v>6</v>
      </c>
      <c r="H135" s="169">
        <v>7</v>
      </c>
      <c r="I135" s="169">
        <v>8</v>
      </c>
      <c r="J135" s="190">
        <v>9</v>
      </c>
      <c r="K135" s="191"/>
      <c r="L135" s="191"/>
      <c r="M135" s="192"/>
      <c r="N135" s="178"/>
      <c r="O135" s="178"/>
      <c r="P135" s="178"/>
      <c r="Q135" s="178"/>
      <c r="R135" s="178"/>
      <c r="S135" s="177"/>
    </row>
    <row r="136" spans="1:19" ht="16.350000000000001" customHeight="1">
      <c r="A136" s="530"/>
      <c r="B136" s="194" t="s">
        <v>206</v>
      </c>
      <c r="C136" s="194" t="s">
        <v>155</v>
      </c>
      <c r="D136" s="194" t="s">
        <v>207</v>
      </c>
      <c r="E136" s="194" t="s">
        <v>156</v>
      </c>
      <c r="F136" s="194" t="s">
        <v>138</v>
      </c>
      <c r="G136" s="195" t="s">
        <v>136</v>
      </c>
      <c r="H136" s="196" t="s">
        <v>208</v>
      </c>
      <c r="I136" s="195" t="s">
        <v>373</v>
      </c>
      <c r="J136" s="208" t="s">
        <v>142</v>
      </c>
      <c r="K136" s="197"/>
      <c r="L136" s="197"/>
      <c r="M136" s="189"/>
      <c r="N136" s="178"/>
      <c r="O136" s="178"/>
      <c r="P136" s="178"/>
      <c r="Q136" s="178"/>
      <c r="R136" s="178"/>
      <c r="S136" s="188"/>
    </row>
    <row r="137" spans="1:19" s="105" customFormat="1" ht="15.75" customHeight="1">
      <c r="A137" s="534" t="s">
        <v>188</v>
      </c>
      <c r="B137" s="535"/>
      <c r="C137" s="159" t="s">
        <v>47</v>
      </c>
      <c r="D137" s="534" t="s">
        <v>12</v>
      </c>
      <c r="E137" s="536"/>
      <c r="F137" s="535"/>
      <c r="G137" s="159" t="s">
        <v>46</v>
      </c>
      <c r="H137" s="159" t="s">
        <v>374</v>
      </c>
      <c r="I137" s="159" t="s">
        <v>375</v>
      </c>
      <c r="J137" s="159" t="s">
        <v>332</v>
      </c>
      <c r="K137" s="534" t="s">
        <v>51</v>
      </c>
      <c r="L137" s="535"/>
      <c r="M137" s="192"/>
      <c r="N137" s="178"/>
      <c r="O137" s="519"/>
      <c r="P137" s="519"/>
      <c r="Q137" s="519"/>
      <c r="R137" s="178"/>
      <c r="S137" s="177"/>
    </row>
    <row r="138" spans="1:19" ht="15.75" customHeight="1">
      <c r="A138" s="528">
        <f>J135</f>
        <v>9</v>
      </c>
      <c r="B138" s="531" t="str">
        <f>J136</f>
        <v>微波小吃</v>
      </c>
      <c r="C138" s="199">
        <v>1</v>
      </c>
      <c r="D138" s="688" t="s">
        <v>617</v>
      </c>
      <c r="E138" s="689"/>
      <c r="F138" s="690"/>
      <c r="G138" s="199">
        <v>11</v>
      </c>
      <c r="H138" s="201">
        <v>1808.6422812068051</v>
      </c>
      <c r="I138" s="202">
        <v>164.42202556425499</v>
      </c>
      <c r="J138" s="351">
        <f>I138-I112</f>
        <v>0</v>
      </c>
      <c r="K138" s="522"/>
      <c r="L138" s="524"/>
      <c r="N138" s="178"/>
      <c r="O138" s="178"/>
      <c r="P138" s="520"/>
      <c r="Q138" s="520"/>
      <c r="R138" s="178"/>
      <c r="S138" s="188"/>
    </row>
    <row r="139" spans="1:19" ht="15.75" customHeight="1">
      <c r="A139" s="529"/>
      <c r="B139" s="532"/>
      <c r="C139" s="199">
        <v>2</v>
      </c>
      <c r="D139" s="688" t="s">
        <v>615</v>
      </c>
      <c r="E139" s="689"/>
      <c r="F139" s="690"/>
      <c r="G139" s="199">
        <v>11</v>
      </c>
      <c r="H139" s="201">
        <v>1807.6010354301091</v>
      </c>
      <c r="I139" s="202">
        <v>164.32736685728267</v>
      </c>
      <c r="J139" s="351">
        <f>I139-I113</f>
        <v>0</v>
      </c>
      <c r="K139" s="522"/>
      <c r="L139" s="524"/>
      <c r="N139" s="178"/>
      <c r="O139" s="178"/>
      <c r="P139" s="520"/>
      <c r="Q139" s="520"/>
      <c r="R139" s="178"/>
      <c r="S139" s="188"/>
    </row>
    <row r="140" spans="1:19" ht="15.75" customHeight="1">
      <c r="A140" s="529"/>
      <c r="B140" s="532"/>
      <c r="C140" s="199">
        <v>3</v>
      </c>
      <c r="D140" s="688" t="s">
        <v>650</v>
      </c>
      <c r="E140" s="689"/>
      <c r="F140" s="690"/>
      <c r="G140" s="199">
        <v>19</v>
      </c>
      <c r="H140" s="201">
        <v>1801.9709154418076</v>
      </c>
      <c r="I140" s="202">
        <v>94.840574496937251</v>
      </c>
      <c r="J140" s="351">
        <f>I140-I114</f>
        <v>0</v>
      </c>
      <c r="K140" s="522"/>
      <c r="L140" s="524"/>
      <c r="N140" s="178"/>
      <c r="O140" s="178"/>
      <c r="P140" s="520"/>
      <c r="Q140" s="520"/>
      <c r="R140" s="178"/>
      <c r="S140" s="188"/>
    </row>
    <row r="141" spans="1:19" ht="15.75" customHeight="1">
      <c r="A141" s="529"/>
      <c r="B141" s="532"/>
      <c r="C141" s="199">
        <v>4</v>
      </c>
      <c r="D141" s="688" t="s">
        <v>354</v>
      </c>
      <c r="E141" s="689"/>
      <c r="F141" s="690"/>
      <c r="G141" s="201">
        <v>13</v>
      </c>
      <c r="H141" s="201">
        <v>1083.2587167482773</v>
      </c>
      <c r="I141" s="202">
        <v>83.32759359602133</v>
      </c>
      <c r="J141" s="351">
        <f>I141-I115</f>
        <v>0</v>
      </c>
      <c r="K141" s="522"/>
      <c r="L141" s="524"/>
      <c r="N141" s="178"/>
      <c r="O141" s="178"/>
      <c r="P141" s="520"/>
      <c r="Q141" s="520"/>
      <c r="R141" s="178"/>
      <c r="S141" s="188"/>
    </row>
    <row r="142" spans="1:19" ht="15.75" customHeight="1">
      <c r="A142" s="529"/>
      <c r="B142" s="532"/>
      <c r="C142" s="199">
        <v>5</v>
      </c>
      <c r="D142" s="688" t="s">
        <v>616</v>
      </c>
      <c r="E142" s="689"/>
      <c r="F142" s="690"/>
      <c r="G142" s="199">
        <v>22</v>
      </c>
      <c r="H142" s="201">
        <v>1800.827514282724</v>
      </c>
      <c r="I142" s="202">
        <v>81.855796103760184</v>
      </c>
      <c r="J142" s="351">
        <f>I142-I116</f>
        <v>0</v>
      </c>
      <c r="K142" s="522"/>
      <c r="L142" s="524"/>
      <c r="N142" s="178"/>
      <c r="O142" s="178"/>
      <c r="P142" s="520"/>
      <c r="Q142" s="520"/>
      <c r="R142" s="178"/>
      <c r="S142" s="188"/>
    </row>
    <row r="143" spans="1:19" ht="15.75" customHeight="1">
      <c r="A143" s="529"/>
      <c r="B143" s="532"/>
      <c r="C143" s="203" t="s">
        <v>204</v>
      </c>
      <c r="D143" s="688"/>
      <c r="E143" s="689"/>
      <c r="F143" s="690"/>
      <c r="G143" s="199"/>
      <c r="H143" s="201"/>
      <c r="I143" s="202"/>
      <c r="J143" s="199"/>
      <c r="K143" s="522"/>
      <c r="L143" s="524"/>
      <c r="N143" s="178"/>
      <c r="O143" s="178"/>
      <c r="P143" s="520"/>
      <c r="Q143" s="520"/>
      <c r="R143" s="178"/>
      <c r="S143" s="188"/>
    </row>
    <row r="144" spans="1:19" ht="15.75" customHeight="1">
      <c r="A144" s="529"/>
      <c r="B144" s="532"/>
      <c r="C144" s="203" t="s">
        <v>209</v>
      </c>
      <c r="D144" s="522"/>
      <c r="E144" s="523"/>
      <c r="F144" s="524"/>
      <c r="G144" s="199"/>
      <c r="H144" s="201"/>
      <c r="I144" s="202"/>
      <c r="J144" s="199"/>
      <c r="K144" s="522"/>
      <c r="L144" s="524"/>
      <c r="N144" s="178"/>
      <c r="O144" s="178"/>
      <c r="P144" s="520"/>
      <c r="Q144" s="520"/>
      <c r="R144" s="178"/>
      <c r="S144" s="188"/>
    </row>
    <row r="145" spans="1:19" ht="15.75" customHeight="1">
      <c r="A145" s="529"/>
      <c r="B145" s="532"/>
      <c r="C145" s="203" t="s">
        <v>205</v>
      </c>
      <c r="D145" s="522"/>
      <c r="E145" s="523"/>
      <c r="F145" s="524"/>
      <c r="G145" s="199"/>
      <c r="H145" s="201"/>
      <c r="I145" s="202"/>
      <c r="J145" s="199"/>
      <c r="K145" s="522"/>
      <c r="L145" s="524"/>
      <c r="N145" s="178"/>
      <c r="O145" s="178"/>
      <c r="P145" s="520"/>
      <c r="Q145" s="520"/>
      <c r="R145" s="178"/>
      <c r="S145" s="188"/>
    </row>
    <row r="146" spans="1:19" ht="15.75" customHeight="1">
      <c r="A146" s="529"/>
      <c r="B146" s="532"/>
      <c r="C146" s="203" t="s">
        <v>210</v>
      </c>
      <c r="D146" s="522"/>
      <c r="E146" s="523"/>
      <c r="F146" s="524"/>
      <c r="G146" s="199"/>
      <c r="H146" s="201"/>
      <c r="I146" s="202"/>
      <c r="J146" s="199"/>
      <c r="K146" s="522"/>
      <c r="L146" s="524"/>
      <c r="M146" s="98"/>
      <c r="N146" s="178"/>
      <c r="O146" s="178"/>
      <c r="P146" s="520"/>
      <c r="Q146" s="520"/>
      <c r="R146" s="178"/>
      <c r="S146" s="188"/>
    </row>
    <row r="147" spans="1:19" ht="15.75" customHeight="1">
      <c r="A147" s="530"/>
      <c r="B147" s="533"/>
      <c r="C147" s="203" t="s">
        <v>211</v>
      </c>
      <c r="D147" s="522"/>
      <c r="E147" s="523"/>
      <c r="F147" s="524"/>
      <c r="G147" s="199"/>
      <c r="H147" s="201"/>
      <c r="I147" s="202"/>
      <c r="J147" s="199"/>
      <c r="K147" s="522"/>
      <c r="L147" s="524"/>
      <c r="M147" s="98"/>
      <c r="N147" s="178"/>
      <c r="O147" s="178"/>
      <c r="P147" s="520"/>
      <c r="Q147" s="520"/>
      <c r="R147" s="178"/>
      <c r="S147" s="188"/>
    </row>
    <row r="148" spans="1:19" s="103" customFormat="1" ht="15.75" customHeight="1">
      <c r="A148" s="525" t="s">
        <v>188</v>
      </c>
      <c r="B148" s="526"/>
      <c r="C148" s="206" t="s">
        <v>47</v>
      </c>
      <c r="D148" s="525" t="s">
        <v>12</v>
      </c>
      <c r="E148" s="527"/>
      <c r="F148" s="526"/>
      <c r="G148" s="206" t="s">
        <v>46</v>
      </c>
      <c r="H148" s="206" t="s">
        <v>374</v>
      </c>
      <c r="I148" s="206" t="s">
        <v>375</v>
      </c>
      <c r="J148" s="159" t="s">
        <v>332</v>
      </c>
      <c r="K148" s="525" t="s">
        <v>51</v>
      </c>
      <c r="L148" s="526"/>
      <c r="M148" s="127"/>
      <c r="N148" s="178"/>
      <c r="O148" s="178"/>
      <c r="P148" s="520"/>
      <c r="Q148" s="520"/>
      <c r="R148" s="178"/>
      <c r="S148" s="198"/>
    </row>
    <row r="149" spans="1:19" ht="15.75" customHeight="1">
      <c r="A149" s="528"/>
      <c r="B149" s="531"/>
      <c r="C149" s="199">
        <v>1</v>
      </c>
      <c r="D149" s="522"/>
      <c r="E149" s="523"/>
      <c r="F149" s="524"/>
      <c r="G149" s="199"/>
      <c r="H149" s="201"/>
      <c r="I149" s="202"/>
      <c r="J149" s="199"/>
      <c r="K149" s="522"/>
      <c r="L149" s="524"/>
      <c r="M149" s="98"/>
      <c r="N149" s="178"/>
      <c r="O149" s="178"/>
      <c r="P149" s="520"/>
      <c r="Q149" s="520"/>
      <c r="R149" s="178"/>
      <c r="S149" s="188"/>
    </row>
    <row r="150" spans="1:19" ht="15.75" customHeight="1">
      <c r="A150" s="529"/>
      <c r="B150" s="532"/>
      <c r="C150" s="199">
        <v>2</v>
      </c>
      <c r="D150" s="522"/>
      <c r="E150" s="523"/>
      <c r="F150" s="524"/>
      <c r="G150" s="199"/>
      <c r="H150" s="201"/>
      <c r="I150" s="202"/>
      <c r="J150" s="199"/>
      <c r="K150" s="522"/>
      <c r="L150" s="524"/>
      <c r="M150" s="98"/>
      <c r="N150" s="178"/>
      <c r="O150" s="178"/>
      <c r="P150" s="520"/>
      <c r="Q150" s="520"/>
      <c r="R150" s="178"/>
      <c r="S150" s="188"/>
    </row>
    <row r="151" spans="1:19" ht="15.75" customHeight="1">
      <c r="A151" s="529"/>
      <c r="B151" s="532"/>
      <c r="C151" s="199">
        <v>3</v>
      </c>
      <c r="D151" s="522"/>
      <c r="E151" s="523"/>
      <c r="F151" s="524"/>
      <c r="G151" s="199"/>
      <c r="H151" s="201"/>
      <c r="I151" s="202"/>
      <c r="J151" s="199"/>
      <c r="K151" s="522"/>
      <c r="L151" s="524"/>
      <c r="M151" s="98"/>
      <c r="N151" s="178"/>
      <c r="O151" s="178"/>
      <c r="P151" s="520"/>
      <c r="Q151" s="520"/>
      <c r="R151" s="178"/>
      <c r="S151" s="188"/>
    </row>
    <row r="152" spans="1:19" ht="15.75" customHeight="1">
      <c r="A152" s="529"/>
      <c r="B152" s="532"/>
      <c r="C152" s="199">
        <v>4</v>
      </c>
      <c r="D152" s="522"/>
      <c r="E152" s="523"/>
      <c r="F152" s="524"/>
      <c r="G152" s="199"/>
      <c r="H152" s="201"/>
      <c r="I152" s="202"/>
      <c r="J152" s="199"/>
      <c r="K152" s="522"/>
      <c r="L152" s="524"/>
      <c r="M152" s="98"/>
      <c r="N152" s="178"/>
      <c r="O152" s="178"/>
      <c r="P152" s="520"/>
      <c r="Q152" s="520"/>
      <c r="R152" s="178"/>
      <c r="S152" s="188"/>
    </row>
    <row r="153" spans="1:19" ht="15.75" customHeight="1">
      <c r="A153" s="529"/>
      <c r="B153" s="532"/>
      <c r="C153" s="199">
        <v>5</v>
      </c>
      <c r="D153" s="522"/>
      <c r="E153" s="523"/>
      <c r="F153" s="524"/>
      <c r="G153" s="199"/>
      <c r="H153" s="201"/>
      <c r="I153" s="202"/>
      <c r="J153" s="199"/>
      <c r="K153" s="522"/>
      <c r="L153" s="524"/>
      <c r="M153" s="98"/>
      <c r="N153" s="178"/>
      <c r="O153" s="178"/>
      <c r="P153" s="520"/>
      <c r="Q153" s="520"/>
      <c r="R153" s="178"/>
      <c r="S153" s="188"/>
    </row>
    <row r="154" spans="1:19" ht="15.75" customHeight="1">
      <c r="A154" s="529"/>
      <c r="B154" s="532"/>
      <c r="C154" s="203" t="s">
        <v>204</v>
      </c>
      <c r="D154" s="522"/>
      <c r="E154" s="523"/>
      <c r="F154" s="524"/>
      <c r="G154" s="199"/>
      <c r="H154" s="201"/>
      <c r="I154" s="202"/>
      <c r="J154" s="199"/>
      <c r="K154" s="522"/>
      <c r="L154" s="524"/>
      <c r="M154" s="98"/>
      <c r="N154" s="178"/>
      <c r="O154" s="178"/>
      <c r="P154" s="520"/>
      <c r="Q154" s="520"/>
      <c r="R154" s="178"/>
      <c r="S154" s="188"/>
    </row>
    <row r="155" spans="1:19" ht="15.75" customHeight="1">
      <c r="A155" s="529"/>
      <c r="B155" s="532"/>
      <c r="C155" s="203" t="s">
        <v>209</v>
      </c>
      <c r="D155" s="522"/>
      <c r="E155" s="523"/>
      <c r="F155" s="524"/>
      <c r="G155" s="199"/>
      <c r="H155" s="201"/>
      <c r="I155" s="202"/>
      <c r="J155" s="199"/>
      <c r="K155" s="522"/>
      <c r="L155" s="524"/>
      <c r="M155" s="98"/>
      <c r="N155" s="178"/>
      <c r="O155" s="178"/>
      <c r="P155" s="520"/>
      <c r="Q155" s="520"/>
      <c r="R155" s="178"/>
      <c r="S155" s="188"/>
    </row>
    <row r="156" spans="1:19" ht="15.75" customHeight="1">
      <c r="A156" s="529"/>
      <c r="B156" s="532"/>
      <c r="C156" s="203" t="s">
        <v>205</v>
      </c>
      <c r="D156" s="522"/>
      <c r="E156" s="523"/>
      <c r="F156" s="524"/>
      <c r="G156" s="199"/>
      <c r="H156" s="201"/>
      <c r="I156" s="202"/>
      <c r="J156" s="199"/>
      <c r="K156" s="522"/>
      <c r="L156" s="524"/>
      <c r="M156" s="98"/>
      <c r="N156" s="178"/>
      <c r="O156" s="178"/>
      <c r="P156" s="520"/>
      <c r="Q156" s="520"/>
      <c r="R156" s="178"/>
      <c r="S156" s="188"/>
    </row>
    <row r="157" spans="1:19" ht="15.75" customHeight="1">
      <c r="A157" s="529"/>
      <c r="B157" s="532"/>
      <c r="C157" s="203" t="s">
        <v>210</v>
      </c>
      <c r="D157" s="522"/>
      <c r="E157" s="523"/>
      <c r="F157" s="524"/>
      <c r="G157" s="199"/>
      <c r="H157" s="201"/>
      <c r="I157" s="202"/>
      <c r="J157" s="199"/>
      <c r="K157" s="522"/>
      <c r="L157" s="524"/>
      <c r="M157" s="98"/>
      <c r="N157" s="178"/>
      <c r="O157" s="178"/>
      <c r="P157" s="520"/>
      <c r="Q157" s="520"/>
      <c r="R157" s="178"/>
      <c r="S157" s="188"/>
    </row>
    <row r="158" spans="1:19" ht="15.75" customHeight="1">
      <c r="A158" s="530"/>
      <c r="B158" s="533"/>
      <c r="C158" s="203" t="s">
        <v>211</v>
      </c>
      <c r="D158" s="522"/>
      <c r="E158" s="523"/>
      <c r="F158" s="524"/>
      <c r="G158" s="199"/>
      <c r="H158" s="201"/>
      <c r="I158" s="202"/>
      <c r="J158" s="199"/>
      <c r="K158" s="522"/>
      <c r="L158" s="524"/>
      <c r="M158" s="98"/>
      <c r="N158" s="178"/>
      <c r="O158" s="178"/>
      <c r="P158" s="520"/>
      <c r="Q158" s="520"/>
      <c r="R158" s="178"/>
      <c r="S158" s="188"/>
    </row>
  </sheetData>
  <mergeCells count="223"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A44:B44"/>
    <mergeCell ref="D44:F44"/>
    <mergeCell ref="K92:L92"/>
    <mergeCell ref="D93:F93"/>
    <mergeCell ref="K93:L93"/>
    <mergeCell ref="D94:F94"/>
    <mergeCell ref="D53:F53"/>
    <mergeCell ref="K53:L53"/>
    <mergeCell ref="D54:F54"/>
    <mergeCell ref="K54:L54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K77:L77"/>
    <mergeCell ref="D78:F78"/>
    <mergeCell ref="K78:L78"/>
    <mergeCell ref="A57:A58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2:L42"/>
    <mergeCell ref="D43:F43"/>
    <mergeCell ref="K43:L43"/>
    <mergeCell ref="A1:L2"/>
    <mergeCell ref="K66:L66"/>
    <mergeCell ref="K80:L80"/>
    <mergeCell ref="D67:F67"/>
    <mergeCell ref="K67:L67"/>
    <mergeCell ref="D68:F68"/>
    <mergeCell ref="K68:L68"/>
    <mergeCell ref="D69:F69"/>
    <mergeCell ref="K69:L69"/>
    <mergeCell ref="A70:B70"/>
    <mergeCell ref="D70:F70"/>
    <mergeCell ref="K70:L70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D27:F27"/>
    <mergeCell ref="K27:L27"/>
    <mergeCell ref="D28:F28"/>
    <mergeCell ref="K28:L28"/>
    <mergeCell ref="D65:F65"/>
    <mergeCell ref="K65:L65"/>
    <mergeCell ref="A55:L56"/>
    <mergeCell ref="K40:L40"/>
    <mergeCell ref="D41:F41"/>
    <mergeCell ref="K41:L41"/>
    <mergeCell ref="D42:F42"/>
    <mergeCell ref="D51:F51"/>
    <mergeCell ref="K51:L51"/>
    <mergeCell ref="D52:F52"/>
    <mergeCell ref="K52:L52"/>
    <mergeCell ref="A29:L30"/>
    <mergeCell ref="A31:A32"/>
    <mergeCell ref="A33:B33"/>
    <mergeCell ref="D33:F33"/>
    <mergeCell ref="K44:L44"/>
    <mergeCell ref="A45:A54"/>
    <mergeCell ref="B45:B54"/>
    <mergeCell ref="D45:F45"/>
    <mergeCell ref="K45:L45"/>
    <mergeCell ref="A59:B59"/>
    <mergeCell ref="D59:F59"/>
    <mergeCell ref="K59:L59"/>
    <mergeCell ref="D66:F66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D79:F79"/>
    <mergeCell ref="K79:L79"/>
    <mergeCell ref="D80:F80"/>
    <mergeCell ref="A133:L134"/>
    <mergeCell ref="D138:F138"/>
    <mergeCell ref="D139:F139"/>
    <mergeCell ref="D140:F140"/>
    <mergeCell ref="D141:F141"/>
    <mergeCell ref="D142:F142"/>
    <mergeCell ref="D143:F143"/>
    <mergeCell ref="A107:L108"/>
    <mergeCell ref="D112:F112"/>
    <mergeCell ref="D113:F113"/>
    <mergeCell ref="D114:F114"/>
    <mergeCell ref="D115:F115"/>
    <mergeCell ref="D116:F116"/>
    <mergeCell ref="D117:F11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K16" sqref="K16"/>
    </sheetView>
  </sheetViews>
  <sheetFormatPr defaultColWidth="12.5703125" defaultRowHeight="15.75" customHeight="1"/>
  <cols>
    <col min="1" max="1" width="18" style="135" bestFit="1" customWidth="1"/>
    <col min="2" max="2" width="14.85546875" style="135" customWidth="1"/>
    <col min="3" max="3" width="12.85546875" style="135" customWidth="1"/>
    <col min="4" max="4" width="2.5703125" style="135" customWidth="1"/>
    <col min="5" max="5" width="7.5703125" style="135" customWidth="1"/>
    <col min="6" max="6" width="12.85546875" style="135" customWidth="1"/>
    <col min="7" max="7" width="9.42578125" style="135" customWidth="1"/>
    <col min="8" max="8" width="12.85546875" style="135" customWidth="1"/>
    <col min="9" max="9" width="9.42578125" style="135" customWidth="1"/>
    <col min="10" max="10" width="12.85546875" style="135" customWidth="1"/>
    <col min="11" max="11" width="9.42578125" style="135" customWidth="1"/>
    <col min="12" max="12" width="12.85546875" style="135" customWidth="1"/>
    <col min="13" max="13" width="9.42578125" style="135" customWidth="1"/>
    <col min="14" max="16384" width="12.5703125" style="135"/>
  </cols>
  <sheetData>
    <row r="1" spans="1:13" ht="15.75" customHeight="1">
      <c r="A1" s="708" t="s">
        <v>361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8"/>
    </row>
    <row r="2" spans="1:13" s="136" customFormat="1" ht="15.75" customHeight="1">
      <c r="A2" s="708"/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</row>
    <row r="3" spans="1:13" ht="15.75" customHeight="1">
      <c r="A3" s="709" t="s">
        <v>238</v>
      </c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709"/>
    </row>
    <row r="4" spans="1:13" s="136" customFormat="1" ht="15.75" customHeight="1">
      <c r="A4" s="709"/>
      <c r="B4" s="709"/>
      <c r="C4" s="709"/>
      <c r="D4" s="709"/>
      <c r="E4" s="709"/>
      <c r="F4" s="709"/>
      <c r="G4" s="709"/>
      <c r="H4" s="709"/>
      <c r="I4" s="709"/>
      <c r="J4" s="709"/>
      <c r="K4" s="709"/>
      <c r="L4" s="709"/>
      <c r="M4" s="709"/>
    </row>
    <row r="5" spans="1:13" ht="15.75" customHeight="1">
      <c r="A5" s="225" t="s">
        <v>421</v>
      </c>
      <c r="B5" s="137">
        <f>'生產管理報表(月)'!B6</f>
        <v>199388.61726000003</v>
      </c>
    </row>
    <row r="6" spans="1:13" ht="15.75" customHeight="1">
      <c r="A6" s="710" t="s">
        <v>239</v>
      </c>
      <c r="B6" s="711" t="s">
        <v>10</v>
      </c>
      <c r="C6" s="711"/>
      <c r="D6" s="712"/>
      <c r="E6" s="710" t="s">
        <v>197</v>
      </c>
      <c r="F6" s="714">
        <v>1</v>
      </c>
      <c r="G6" s="714"/>
      <c r="H6" s="714">
        <v>2</v>
      </c>
      <c r="I6" s="714"/>
      <c r="J6" s="714">
        <v>3</v>
      </c>
      <c r="K6" s="714"/>
      <c r="L6" s="714">
        <v>4</v>
      </c>
      <c r="M6" s="714"/>
    </row>
    <row r="7" spans="1:13" ht="31.35" customHeight="1">
      <c r="A7" s="710"/>
      <c r="B7" s="711"/>
      <c r="C7" s="711"/>
      <c r="D7" s="713"/>
      <c r="E7" s="710"/>
      <c r="F7" s="706" t="s">
        <v>452</v>
      </c>
      <c r="G7" s="706"/>
      <c r="H7" s="706" t="s">
        <v>240</v>
      </c>
      <c r="I7" s="706"/>
      <c r="J7" s="706" t="s">
        <v>166</v>
      </c>
      <c r="K7" s="706"/>
      <c r="L7" s="706" t="s">
        <v>429</v>
      </c>
      <c r="M7" s="706"/>
    </row>
    <row r="8" spans="1:13" ht="15.75" customHeight="1">
      <c r="A8" s="710"/>
      <c r="B8" s="154" t="s">
        <v>11</v>
      </c>
      <c r="C8" s="154" t="s">
        <v>241</v>
      </c>
      <c r="D8" s="713"/>
      <c r="E8" s="710"/>
      <c r="F8" s="154" t="s">
        <v>11</v>
      </c>
      <c r="G8" s="154" t="s">
        <v>41</v>
      </c>
      <c r="H8" s="154" t="s">
        <v>11</v>
      </c>
      <c r="I8" s="154" t="s">
        <v>41</v>
      </c>
      <c r="J8" s="154" t="s">
        <v>11</v>
      </c>
      <c r="K8" s="154" t="s">
        <v>41</v>
      </c>
      <c r="L8" s="154" t="s">
        <v>11</v>
      </c>
      <c r="M8" s="154" t="s">
        <v>41</v>
      </c>
    </row>
    <row r="9" spans="1:13" ht="19.350000000000001" customHeight="1">
      <c r="A9" s="138" t="s">
        <v>242</v>
      </c>
      <c r="B9" s="139">
        <f>日別報廢率總表!B2</f>
        <v>400249.67920000001</v>
      </c>
      <c r="C9" s="140">
        <f>B9/($B$5*1000)</f>
        <v>2.0073847980904545E-3</v>
      </c>
      <c r="D9" s="713"/>
      <c r="E9" s="138" t="s">
        <v>242</v>
      </c>
      <c r="F9" s="141">
        <f>'報廢20大－原因別分析'!AG223</f>
        <v>46772.150100000013</v>
      </c>
      <c r="G9" s="356">
        <f>'報廢20大－原因別分析'!AG224</f>
        <v>0.46</v>
      </c>
      <c r="H9" s="141">
        <f>'報廢20大－原因別分析'!AH223</f>
        <v>0</v>
      </c>
      <c r="I9" s="356">
        <f>'報廢20大－原因別分析'!AH224</f>
        <v>0</v>
      </c>
      <c r="J9" s="141">
        <f>'報廢20大－原因別分析'!AI223</f>
        <v>39577.550199999998</v>
      </c>
      <c r="K9" s="356">
        <f>'報廢20大－原因別分析'!AI224</f>
        <v>0.27</v>
      </c>
      <c r="L9" s="141">
        <f>'報廢20大－原因別分析'!AJ223</f>
        <v>0</v>
      </c>
      <c r="M9" s="356">
        <f>'報廢20大－原因別分析'!AJ224</f>
        <v>0</v>
      </c>
    </row>
    <row r="10" spans="1:13" ht="19.350000000000001" customHeight="1">
      <c r="A10" s="143" t="s">
        <v>243</v>
      </c>
      <c r="B10" s="144">
        <f>日別報廢率總表!E3</f>
        <v>1199544.5157699999</v>
      </c>
      <c r="C10" s="140">
        <f>B10/($B$5*1000)</f>
        <v>6.0161133180727678E-3</v>
      </c>
      <c r="D10" s="713"/>
      <c r="E10" s="143" t="s">
        <v>243</v>
      </c>
      <c r="F10" s="141">
        <f>'超用20大－原因別分析'!AG223</f>
        <v>0</v>
      </c>
      <c r="G10" s="356">
        <f>'超用20大－原因別分析'!AG224</f>
        <v>0</v>
      </c>
      <c r="H10" s="141">
        <f>'超用20大－原因別分析'!AH223</f>
        <v>0</v>
      </c>
      <c r="I10" s="356">
        <f>'超用20大－原因別分析'!AH224</f>
        <v>0</v>
      </c>
      <c r="J10" s="141">
        <f>'報廢20大－原因別分析'!AI223</f>
        <v>39577.550199999998</v>
      </c>
      <c r="K10" s="356">
        <f>'超用20大－原因別分析'!AI224</f>
        <v>0</v>
      </c>
      <c r="L10" s="141">
        <f>'超用20大－原因別分析'!AJ223</f>
        <v>267076.12205999997</v>
      </c>
      <c r="M10" s="356">
        <f>'超用20大－原因別分析'!AJ224</f>
        <v>0.61</v>
      </c>
    </row>
    <row r="11" spans="1:13" ht="15.75" customHeight="1">
      <c r="D11" s="713"/>
      <c r="E11" s="710" t="s">
        <v>197</v>
      </c>
      <c r="F11" s="714">
        <v>5</v>
      </c>
      <c r="G11" s="714"/>
      <c r="H11" s="714">
        <v>6</v>
      </c>
      <c r="I11" s="714"/>
      <c r="J11" s="714">
        <v>7</v>
      </c>
      <c r="K11" s="714"/>
      <c r="L11" s="715">
        <v>8</v>
      </c>
      <c r="M11" s="715"/>
    </row>
    <row r="12" spans="1:13" ht="31.35" customHeight="1">
      <c r="D12" s="713"/>
      <c r="E12" s="710"/>
      <c r="F12" s="706" t="s">
        <v>189</v>
      </c>
      <c r="G12" s="706"/>
      <c r="H12" s="706" t="s">
        <v>167</v>
      </c>
      <c r="I12" s="706"/>
      <c r="J12" s="706" t="s">
        <v>190</v>
      </c>
      <c r="K12" s="706"/>
      <c r="L12" s="707"/>
      <c r="M12" s="707"/>
    </row>
    <row r="13" spans="1:13" ht="15.75" customHeight="1">
      <c r="D13" s="713"/>
      <c r="E13" s="710"/>
      <c r="F13" s="154" t="s">
        <v>11</v>
      </c>
      <c r="G13" s="154" t="s">
        <v>41</v>
      </c>
      <c r="H13" s="154" t="s">
        <v>11</v>
      </c>
      <c r="I13" s="154" t="s">
        <v>41</v>
      </c>
      <c r="J13" s="154" t="s">
        <v>11</v>
      </c>
      <c r="K13" s="154" t="s">
        <v>41</v>
      </c>
      <c r="L13" s="154"/>
      <c r="M13" s="154"/>
    </row>
    <row r="14" spans="1:13" ht="19.350000000000001" customHeight="1">
      <c r="D14" s="713"/>
      <c r="E14" s="138" t="s">
        <v>242</v>
      </c>
      <c r="F14" s="141">
        <f>'報廢20大－原因別分析'!AK223</f>
        <v>7214.6616000000022</v>
      </c>
      <c r="G14" s="356">
        <f>'報廢20大－原因別分析'!AK224</f>
        <v>0.05</v>
      </c>
      <c r="H14" s="141">
        <f>'報廢20大－原因別分析'!AL223</f>
        <v>31210.470500000003</v>
      </c>
      <c r="I14" s="356">
        <f>'報廢20大－原因別分析'!AL224</f>
        <v>0.22</v>
      </c>
      <c r="J14" s="141">
        <f>'報廢20大－原因別分析'!AM223</f>
        <v>0</v>
      </c>
      <c r="K14" s="356">
        <f>'報廢20大－原因別分析'!AM224</f>
        <v>0</v>
      </c>
      <c r="L14" s="141"/>
      <c r="M14" s="142"/>
    </row>
    <row r="15" spans="1:13" ht="19.350000000000001" customHeight="1">
      <c r="D15" s="713"/>
      <c r="E15" s="143" t="s">
        <v>243</v>
      </c>
      <c r="F15" s="141">
        <f>'超用20大－原因別分析'!AK223</f>
        <v>52949.484500000035</v>
      </c>
      <c r="G15" s="356">
        <f>'超用20大－原因別分析'!AK224</f>
        <v>0.05</v>
      </c>
      <c r="H15" s="141">
        <f>'超用20大－原因別分析'!AL223</f>
        <v>179229.79469999994</v>
      </c>
      <c r="I15" s="356">
        <f>'超用20大－原因別分析'!AL224</f>
        <v>0.34</v>
      </c>
      <c r="J15" s="141">
        <f>'超用20大－原因別分析'!AM223</f>
        <v>0</v>
      </c>
      <c r="K15" s="356">
        <f>'超用20大－原因別分析'!AM224</f>
        <v>0</v>
      </c>
      <c r="L15" s="141"/>
      <c r="M15" s="142"/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>
    <tabColor rgb="FFFF0000"/>
    <outlinePr summaryBelow="0" summaryRight="0"/>
  </sheetPr>
  <dimension ref="A1:BV30"/>
  <sheetViews>
    <sheetView view="pageBreakPreview" zoomScaleNormal="60" zoomScaleSheetLayoutView="100" workbookViewId="0">
      <selection activeCell="D25" sqref="D25:D29"/>
    </sheetView>
  </sheetViews>
  <sheetFormatPr defaultColWidth="12.5703125" defaultRowHeight="15.75" customHeight="1"/>
  <cols>
    <col min="1" max="1" width="5.42578125" style="135" customWidth="1"/>
    <col min="2" max="2" width="11.42578125" style="232" customWidth="1"/>
    <col min="3" max="3" width="4" style="233" customWidth="1"/>
    <col min="4" max="15" width="9.5703125" style="135" customWidth="1"/>
    <col min="16" max="16" width="55.42578125" style="135" customWidth="1"/>
    <col min="17" max="20" width="12.5703125" style="231"/>
    <col min="21" max="21" width="24.42578125" style="135" bestFit="1" customWidth="1"/>
    <col min="22" max="22" width="19.42578125" style="135" bestFit="1" customWidth="1"/>
    <col min="23" max="23" width="23" style="135" bestFit="1" customWidth="1"/>
    <col min="24" max="24" width="11.7109375" style="135" bestFit="1" customWidth="1"/>
    <col min="25" max="25" width="15.85546875" style="135" bestFit="1" customWidth="1"/>
    <col min="26" max="26" width="23.5703125" style="135" bestFit="1" customWidth="1"/>
    <col min="27" max="27" width="23" style="135" bestFit="1" customWidth="1"/>
    <col min="28" max="28" width="11.7109375" style="135" bestFit="1" customWidth="1"/>
    <col min="29" max="29" width="20.5703125" style="135" bestFit="1" customWidth="1"/>
    <col min="30" max="30" width="15" style="135" bestFit="1" customWidth="1"/>
    <col min="31" max="31" width="23" style="135" bestFit="1" customWidth="1"/>
    <col min="32" max="32" width="11.7109375" style="135" bestFit="1" customWidth="1"/>
    <col min="33" max="33" width="15.85546875" style="135" bestFit="1" customWidth="1"/>
    <col min="34" max="34" width="15" style="135" bestFit="1" customWidth="1"/>
    <col min="35" max="35" width="23" style="135" bestFit="1" customWidth="1"/>
    <col min="36" max="36" width="15" style="135" bestFit="1" customWidth="1"/>
    <col min="37" max="37" width="23" style="135" bestFit="1" customWidth="1"/>
    <col min="38" max="38" width="11.7109375" style="135" bestFit="1" customWidth="1"/>
    <col min="39" max="39" width="13.85546875" style="135" bestFit="1" customWidth="1"/>
    <col min="40" max="40" width="27.85546875" style="135" bestFit="1" customWidth="1"/>
    <col min="41" max="41" width="23" style="135" bestFit="1" customWidth="1"/>
    <col min="42" max="42" width="8" style="135" bestFit="1" customWidth="1"/>
    <col min="43" max="43" width="30.7109375" style="135" bestFit="1" customWidth="1"/>
    <col min="44" max="44" width="25.7109375" style="135" bestFit="1" customWidth="1"/>
    <col min="45" max="45" width="23" style="135" bestFit="1" customWidth="1"/>
    <col min="46" max="46" width="15" style="135" bestFit="1" customWidth="1"/>
    <col min="47" max="47" width="23" style="135" bestFit="1" customWidth="1"/>
    <col min="48" max="48" width="11.7109375" style="135" bestFit="1" customWidth="1"/>
    <col min="49" max="49" width="20.140625" style="135" bestFit="1" customWidth="1"/>
    <col min="50" max="50" width="23.5703125" style="135" bestFit="1" customWidth="1"/>
    <col min="51" max="51" width="23" style="135" bestFit="1" customWidth="1"/>
    <col min="52" max="52" width="11.7109375" style="135" bestFit="1" customWidth="1"/>
    <col min="53" max="53" width="21.42578125" style="135" bestFit="1" customWidth="1"/>
    <col min="54" max="54" width="15" style="135" bestFit="1" customWidth="1"/>
    <col min="55" max="55" width="23" style="135" bestFit="1" customWidth="1"/>
    <col min="56" max="56" width="11.7109375" style="135" bestFit="1" customWidth="1"/>
    <col min="57" max="57" width="13.85546875" style="135" bestFit="1" customWidth="1"/>
    <col min="58" max="58" width="22" style="135" bestFit="1" customWidth="1"/>
    <col min="59" max="59" width="23" style="135" bestFit="1" customWidth="1"/>
    <col min="60" max="60" width="15" style="135" bestFit="1" customWidth="1"/>
    <col min="61" max="61" width="23" style="135" bestFit="1" customWidth="1"/>
    <col min="62" max="62" width="11.7109375" style="135" bestFit="1" customWidth="1"/>
    <col min="63" max="63" width="24.7109375" style="135" bestFit="1" customWidth="1"/>
    <col min="64" max="64" width="18.7109375" style="135" bestFit="1" customWidth="1"/>
    <col min="65" max="65" width="23" style="135" bestFit="1" customWidth="1"/>
    <col min="66" max="66" width="15" style="135" bestFit="1" customWidth="1"/>
    <col min="67" max="67" width="23" style="135" bestFit="1" customWidth="1"/>
    <col min="68" max="68" width="15" style="135" bestFit="1" customWidth="1"/>
    <col min="69" max="69" width="23" style="135" bestFit="1" customWidth="1"/>
    <col min="70" max="70" width="15" style="135" bestFit="1" customWidth="1"/>
    <col min="71" max="71" width="21.85546875" style="135" bestFit="1" customWidth="1"/>
    <col min="72" max="72" width="10.5703125" style="135" bestFit="1" customWidth="1"/>
    <col min="73" max="73" width="21.42578125" style="135" bestFit="1" customWidth="1"/>
    <col min="74" max="74" width="5.42578125" style="135" bestFit="1" customWidth="1"/>
    <col min="75" max="16384" width="12.5703125" style="135"/>
  </cols>
  <sheetData>
    <row r="1" spans="1:74" ht="15.75" customHeight="1">
      <c r="A1" s="708" t="s">
        <v>361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8"/>
      <c r="N1" s="708"/>
      <c r="O1" s="708"/>
      <c r="P1" s="708"/>
    </row>
    <row r="2" spans="1:74" s="136" customFormat="1" ht="15.75" customHeight="1">
      <c r="A2" s="708"/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8"/>
      <c r="P2" s="708"/>
    </row>
    <row r="3" spans="1:74" ht="15.75" customHeight="1">
      <c r="A3" s="709" t="s">
        <v>430</v>
      </c>
      <c r="B3" s="720"/>
      <c r="C3" s="720"/>
      <c r="D3" s="720"/>
      <c r="E3" s="720"/>
      <c r="F3" s="720"/>
      <c r="G3" s="720"/>
      <c r="H3" s="720"/>
      <c r="I3" s="720"/>
      <c r="J3" s="720"/>
      <c r="K3" s="720"/>
      <c r="L3" s="720"/>
      <c r="M3" s="720"/>
    </row>
    <row r="4" spans="1:74" s="136" customFormat="1" ht="15.75" customHeight="1">
      <c r="A4" s="720"/>
      <c r="B4" s="720"/>
      <c r="C4" s="720"/>
      <c r="D4" s="720"/>
      <c r="E4" s="720"/>
      <c r="F4" s="720"/>
      <c r="G4" s="720"/>
      <c r="H4" s="720"/>
      <c r="I4" s="720"/>
      <c r="J4" s="720"/>
      <c r="K4" s="720"/>
      <c r="L4" s="720"/>
      <c r="M4" s="720"/>
    </row>
    <row r="5" spans="1:74" ht="15.75" customHeight="1">
      <c r="A5" s="711" t="s">
        <v>191</v>
      </c>
      <c r="B5" s="721">
        <v>1</v>
      </c>
      <c r="C5" s="721"/>
      <c r="D5" s="721">
        <v>2</v>
      </c>
      <c r="E5" s="721"/>
      <c r="F5" s="721">
        <v>3</v>
      </c>
      <c r="G5" s="721"/>
      <c r="H5" s="714">
        <v>4</v>
      </c>
      <c r="I5" s="714"/>
      <c r="J5" s="714">
        <v>5</v>
      </c>
      <c r="K5" s="714"/>
      <c r="L5" s="714">
        <v>6</v>
      </c>
      <c r="M5" s="714"/>
      <c r="N5" s="714">
        <v>7</v>
      </c>
      <c r="O5" s="714"/>
      <c r="P5" s="352">
        <v>8</v>
      </c>
    </row>
    <row r="6" spans="1:74" ht="15.75" customHeight="1">
      <c r="A6" s="711"/>
      <c r="B6" s="722" t="s">
        <v>452</v>
      </c>
      <c r="C6" s="722"/>
      <c r="D6" s="722" t="s">
        <v>212</v>
      </c>
      <c r="E6" s="722"/>
      <c r="F6" s="722" t="s">
        <v>166</v>
      </c>
      <c r="G6" s="722"/>
      <c r="H6" s="711" t="s">
        <v>428</v>
      </c>
      <c r="I6" s="711"/>
      <c r="J6" s="711" t="s">
        <v>189</v>
      </c>
      <c r="K6" s="711"/>
      <c r="L6" s="711" t="s">
        <v>167</v>
      </c>
      <c r="M6" s="711"/>
      <c r="N6" s="711" t="s">
        <v>190</v>
      </c>
      <c r="O6" s="711"/>
      <c r="P6" s="353" t="s">
        <v>217</v>
      </c>
    </row>
    <row r="8" spans="1:74" s="235" customFormat="1" ht="15.75" customHeight="1">
      <c r="A8" s="714" t="s">
        <v>191</v>
      </c>
      <c r="B8" s="714"/>
      <c r="C8" s="234" t="s">
        <v>47</v>
      </c>
      <c r="D8" s="723" t="s">
        <v>12</v>
      </c>
      <c r="E8" s="723"/>
      <c r="F8" s="723"/>
      <c r="G8" s="724" t="s">
        <v>53</v>
      </c>
      <c r="H8" s="725"/>
      <c r="I8" s="726"/>
      <c r="J8" s="234" t="s">
        <v>54</v>
      </c>
      <c r="K8" s="234" t="s">
        <v>55</v>
      </c>
      <c r="L8" s="234" t="s">
        <v>56</v>
      </c>
      <c r="M8" s="234" t="s">
        <v>11</v>
      </c>
      <c r="N8" s="234" t="s">
        <v>333</v>
      </c>
      <c r="O8" s="719" t="s">
        <v>51</v>
      </c>
      <c r="P8" s="719"/>
    </row>
    <row r="9" spans="1:74" ht="54.95" customHeight="1">
      <c r="A9" s="714">
        <v>1</v>
      </c>
      <c r="B9" s="731" t="s">
        <v>453</v>
      </c>
      <c r="C9" s="236">
        <v>1</v>
      </c>
      <c r="D9" s="237" t="s">
        <v>340</v>
      </c>
      <c r="E9" s="238"/>
      <c r="F9" s="239"/>
      <c r="G9" s="306" t="s">
        <v>386</v>
      </c>
      <c r="H9" s="305"/>
      <c r="I9" s="306"/>
      <c r="J9" s="236">
        <v>127.84</v>
      </c>
      <c r="K9" s="242">
        <v>2.4214792193287355E-3</v>
      </c>
      <c r="L9" s="236">
        <v>48.03</v>
      </c>
      <c r="M9" s="322">
        <f>L9*J9</f>
        <v>6140.1552000000001</v>
      </c>
      <c r="N9" s="243"/>
      <c r="O9" s="727"/>
      <c r="P9" s="727"/>
    </row>
    <row r="10" spans="1:74" ht="54.95" customHeight="1">
      <c r="A10" s="714"/>
      <c r="B10" s="731"/>
      <c r="C10" s="236">
        <v>2</v>
      </c>
      <c r="D10" s="237" t="s">
        <v>710</v>
      </c>
      <c r="E10" s="238"/>
      <c r="F10" s="239"/>
      <c r="G10" s="306" t="s">
        <v>714</v>
      </c>
      <c r="H10" s="305"/>
      <c r="I10" s="306"/>
      <c r="J10" s="236">
        <v>91.13</v>
      </c>
      <c r="K10" s="242">
        <v>9.0694824306053086E-3</v>
      </c>
      <c r="L10" s="236">
        <v>43.609999999999992</v>
      </c>
      <c r="M10" s="322">
        <f t="shared" ref="M10:M13" si="0">L10*J10</f>
        <v>3974.1792999999989</v>
      </c>
      <c r="N10" s="243"/>
      <c r="O10" s="728"/>
      <c r="P10" s="728"/>
      <c r="U10" s="231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</row>
    <row r="11" spans="1:74" ht="54.95" customHeight="1">
      <c r="A11" s="714"/>
      <c r="B11" s="731"/>
      <c r="C11" s="236">
        <v>3</v>
      </c>
      <c r="D11" s="237" t="s">
        <v>508</v>
      </c>
      <c r="E11" s="238"/>
      <c r="F11" s="239"/>
      <c r="G11" s="306" t="s">
        <v>715</v>
      </c>
      <c r="H11" s="305"/>
      <c r="I11" s="306"/>
      <c r="J11" s="236">
        <v>139.97999999999999</v>
      </c>
      <c r="K11" s="242">
        <v>1.4909994817504229E-2</v>
      </c>
      <c r="L11" s="236">
        <v>21.37</v>
      </c>
      <c r="M11" s="322">
        <f t="shared" si="0"/>
        <v>2991.3726000000001</v>
      </c>
      <c r="N11" s="243"/>
      <c r="O11" s="729"/>
      <c r="P11" s="729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</row>
    <row r="12" spans="1:74" ht="66.75" customHeight="1">
      <c r="A12" s="714"/>
      <c r="B12" s="731"/>
      <c r="C12" s="236">
        <v>4</v>
      </c>
      <c r="D12" s="237" t="s">
        <v>650</v>
      </c>
      <c r="E12" s="238"/>
      <c r="F12" s="239"/>
      <c r="G12" s="306" t="s">
        <v>668</v>
      </c>
      <c r="H12" s="305"/>
      <c r="I12" s="306"/>
      <c r="J12" s="236">
        <v>108.96</v>
      </c>
      <c r="K12" s="242">
        <v>1.9065738948608548E-2</v>
      </c>
      <c r="L12" s="236">
        <v>27.450000000000003</v>
      </c>
      <c r="M12" s="322">
        <f t="shared" si="0"/>
        <v>2990.9520000000002</v>
      </c>
      <c r="N12" s="243"/>
      <c r="O12" s="729"/>
      <c r="P12" s="729"/>
      <c r="U12" s="231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</row>
    <row r="13" spans="1:74" ht="54.95" customHeight="1" thickBot="1">
      <c r="A13" s="714"/>
      <c r="B13" s="731"/>
      <c r="C13" s="236">
        <v>5</v>
      </c>
      <c r="D13" s="244" t="s">
        <v>358</v>
      </c>
      <c r="E13" s="245"/>
      <c r="F13" s="246"/>
      <c r="G13" s="360" t="s">
        <v>713</v>
      </c>
      <c r="H13" s="359"/>
      <c r="I13" s="360"/>
      <c r="J13" s="247">
        <v>426.69</v>
      </c>
      <c r="K13" s="248">
        <v>2.5547490275103354E-3</v>
      </c>
      <c r="L13" s="247">
        <v>5.34</v>
      </c>
      <c r="M13" s="323">
        <f t="shared" si="0"/>
        <v>2278.5245999999997</v>
      </c>
      <c r="N13" s="243"/>
      <c r="O13" s="730"/>
      <c r="P13" s="730"/>
      <c r="U13" s="231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</row>
    <row r="14" spans="1:74" ht="15.75" customHeight="1" thickTop="1">
      <c r="A14" s="714"/>
      <c r="B14" s="731"/>
      <c r="C14" s="732"/>
      <c r="D14" s="733"/>
      <c r="E14" s="733"/>
      <c r="F14" s="733"/>
      <c r="G14" s="733"/>
      <c r="H14" s="733"/>
      <c r="I14" s="734"/>
      <c r="J14" s="249" t="s">
        <v>58</v>
      </c>
      <c r="K14" s="338">
        <f>M14/'生產管理報表 7-1(月)'!$B$9</f>
        <v>4.5909302755038912E-2</v>
      </c>
      <c r="L14" s="249" t="s">
        <v>59</v>
      </c>
      <c r="M14" s="354">
        <f>SUM(M9:M13)</f>
        <v>18375.183700000001</v>
      </c>
      <c r="N14" s="717"/>
      <c r="O14" s="717"/>
      <c r="P14" s="717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</row>
    <row r="15" spans="1:74" ht="15.75" customHeight="1"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1"/>
      <c r="O15" s="251"/>
      <c r="P15" s="251"/>
      <c r="U15" s="231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</row>
    <row r="16" spans="1:74" ht="15.75" customHeight="1">
      <c r="A16" s="714" t="s">
        <v>191</v>
      </c>
      <c r="B16" s="714"/>
      <c r="C16" s="252" t="s">
        <v>47</v>
      </c>
      <c r="D16" s="736" t="s">
        <v>12</v>
      </c>
      <c r="E16" s="737"/>
      <c r="F16" s="738"/>
      <c r="G16" s="724" t="s">
        <v>53</v>
      </c>
      <c r="H16" s="725"/>
      <c r="I16" s="726"/>
      <c r="J16" s="254" t="s">
        <v>54</v>
      </c>
      <c r="K16" s="254" t="s">
        <v>55</v>
      </c>
      <c r="L16" s="254" t="s">
        <v>56</v>
      </c>
      <c r="M16" s="254" t="s">
        <v>11</v>
      </c>
      <c r="N16" s="234" t="s">
        <v>333</v>
      </c>
      <c r="O16" s="719" t="s">
        <v>51</v>
      </c>
      <c r="P16" s="719"/>
      <c r="U16" s="231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</row>
    <row r="17" spans="1:35" ht="20.100000000000001" customHeight="1">
      <c r="A17" s="714">
        <v>2</v>
      </c>
      <c r="B17" s="731" t="s">
        <v>213</v>
      </c>
      <c r="C17" s="256">
        <v>1</v>
      </c>
      <c r="D17" s="237"/>
      <c r="E17" s="238"/>
      <c r="F17" s="239"/>
      <c r="G17" s="237"/>
      <c r="H17" s="238"/>
      <c r="I17" s="239"/>
      <c r="J17" s="257"/>
      <c r="K17" s="258"/>
      <c r="L17" s="257"/>
      <c r="M17" s="259">
        <f t="shared" ref="M17:M21" si="1">L17*J17</f>
        <v>0</v>
      </c>
      <c r="N17" s="243"/>
      <c r="O17" s="735"/>
      <c r="P17" s="735"/>
      <c r="U17" s="231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</row>
    <row r="18" spans="1:35" ht="20.100000000000001" customHeight="1">
      <c r="A18" s="714"/>
      <c r="B18" s="731"/>
      <c r="C18" s="256">
        <v>2</v>
      </c>
      <c r="D18" s="237"/>
      <c r="E18" s="238"/>
      <c r="F18" s="239"/>
      <c r="G18" s="237"/>
      <c r="H18" s="238"/>
      <c r="I18" s="239"/>
      <c r="J18" s="257"/>
      <c r="K18" s="258"/>
      <c r="L18" s="257"/>
      <c r="M18" s="259">
        <f t="shared" si="1"/>
        <v>0</v>
      </c>
      <c r="N18" s="243"/>
      <c r="O18" s="735"/>
      <c r="P18" s="735"/>
      <c r="U18" s="23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</row>
    <row r="19" spans="1:35" ht="20.100000000000001" customHeight="1">
      <c r="A19" s="714"/>
      <c r="B19" s="731"/>
      <c r="C19" s="256">
        <v>3</v>
      </c>
      <c r="D19" s="237"/>
      <c r="E19" s="238"/>
      <c r="F19" s="239"/>
      <c r="G19" s="237"/>
      <c r="H19" s="238"/>
      <c r="I19" s="239"/>
      <c r="J19" s="257"/>
      <c r="K19" s="258"/>
      <c r="L19" s="257"/>
      <c r="M19" s="259">
        <f t="shared" si="1"/>
        <v>0</v>
      </c>
      <c r="N19" s="243"/>
      <c r="O19" s="718"/>
      <c r="P19" s="718"/>
      <c r="U19" s="23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</row>
    <row r="20" spans="1:35" ht="20.100000000000001" customHeight="1">
      <c r="A20" s="714"/>
      <c r="B20" s="731"/>
      <c r="C20" s="256">
        <v>4</v>
      </c>
      <c r="D20" s="237"/>
      <c r="E20" s="238"/>
      <c r="F20" s="239"/>
      <c r="G20" s="237"/>
      <c r="H20" s="238"/>
      <c r="I20" s="239"/>
      <c r="J20" s="257"/>
      <c r="K20" s="258"/>
      <c r="L20" s="257"/>
      <c r="M20" s="259">
        <f t="shared" si="1"/>
        <v>0</v>
      </c>
      <c r="N20" s="243"/>
      <c r="O20" s="718"/>
      <c r="P20" s="718"/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</row>
    <row r="21" spans="1:35" ht="20.100000000000001" customHeight="1" thickBot="1">
      <c r="A21" s="714"/>
      <c r="B21" s="731"/>
      <c r="C21" s="262">
        <v>5</v>
      </c>
      <c r="D21" s="244"/>
      <c r="E21" s="245"/>
      <c r="F21" s="246"/>
      <c r="G21" s="244"/>
      <c r="H21" s="245"/>
      <c r="I21" s="246"/>
      <c r="J21" s="263"/>
      <c r="K21" s="264"/>
      <c r="L21" s="263"/>
      <c r="M21" s="265">
        <f t="shared" si="1"/>
        <v>0</v>
      </c>
      <c r="N21" s="243"/>
      <c r="O21" s="718"/>
      <c r="P21" s="718"/>
      <c r="U21" s="231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</row>
    <row r="22" spans="1:35" ht="15.75" customHeight="1" thickTop="1">
      <c r="A22" s="714"/>
      <c r="B22" s="731"/>
      <c r="C22" s="732"/>
      <c r="D22" s="733"/>
      <c r="E22" s="733"/>
      <c r="F22" s="733"/>
      <c r="G22" s="733"/>
      <c r="H22" s="733"/>
      <c r="I22" s="734"/>
      <c r="J22" s="249" t="s">
        <v>58</v>
      </c>
      <c r="K22" s="338">
        <f>M22/'生產管理報表 7-1(月)'!$B$9</f>
        <v>0</v>
      </c>
      <c r="L22" s="249" t="s">
        <v>59</v>
      </c>
      <c r="M22" s="250">
        <f>SUM(M17:M21)</f>
        <v>0</v>
      </c>
      <c r="N22" s="717"/>
      <c r="O22" s="717"/>
      <c r="P22" s="717"/>
      <c r="U22" s="231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</row>
    <row r="23" spans="1:35" ht="15.75" customHeight="1"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7"/>
      <c r="O23" s="267"/>
      <c r="P23" s="267"/>
      <c r="U23" s="231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</row>
    <row r="24" spans="1:35" ht="15.75" customHeight="1">
      <c r="A24" s="714" t="s">
        <v>191</v>
      </c>
      <c r="B24" s="714"/>
      <c r="C24" s="252" t="s">
        <v>47</v>
      </c>
      <c r="D24" s="736" t="s">
        <v>12</v>
      </c>
      <c r="E24" s="737"/>
      <c r="F24" s="738"/>
      <c r="G24" s="724" t="s">
        <v>53</v>
      </c>
      <c r="H24" s="725"/>
      <c r="I24" s="726"/>
      <c r="J24" s="253" t="s">
        <v>54</v>
      </c>
      <c r="K24" s="254" t="s">
        <v>55</v>
      </c>
      <c r="L24" s="254" t="s">
        <v>56</v>
      </c>
      <c r="M24" s="254" t="s">
        <v>11</v>
      </c>
      <c r="N24" s="234" t="s">
        <v>333</v>
      </c>
      <c r="O24" s="719" t="s">
        <v>51</v>
      </c>
      <c r="P24" s="719"/>
      <c r="U24" s="231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</row>
    <row r="25" spans="1:35" ht="60" customHeight="1">
      <c r="A25" s="714">
        <v>3</v>
      </c>
      <c r="B25" s="731" t="s">
        <v>422</v>
      </c>
      <c r="C25" s="256">
        <v>1</v>
      </c>
      <c r="D25" s="237" t="s">
        <v>340</v>
      </c>
      <c r="E25" s="238"/>
      <c r="F25" s="239"/>
      <c r="G25" s="360" t="s">
        <v>448</v>
      </c>
      <c r="H25" s="359"/>
      <c r="I25" s="360"/>
      <c r="J25" s="257">
        <v>2.4499999999999997</v>
      </c>
      <c r="K25" s="258">
        <v>6.315922474023304E-3</v>
      </c>
      <c r="L25" s="257">
        <v>4500</v>
      </c>
      <c r="M25" s="325">
        <f t="shared" ref="M25:M29" si="2">L25*J25</f>
        <v>11024.999999999998</v>
      </c>
      <c r="N25" s="243"/>
      <c r="O25" s="735"/>
      <c r="P25" s="735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</row>
    <row r="26" spans="1:35" ht="60" customHeight="1">
      <c r="A26" s="714"/>
      <c r="B26" s="731"/>
      <c r="C26" s="256">
        <v>2</v>
      </c>
      <c r="D26" s="237" t="s">
        <v>340</v>
      </c>
      <c r="E26" s="238"/>
      <c r="F26" s="239"/>
      <c r="G26" s="360" t="s">
        <v>447</v>
      </c>
      <c r="H26" s="359"/>
      <c r="I26" s="360"/>
      <c r="J26" s="257">
        <v>1.17</v>
      </c>
      <c r="K26" s="258">
        <v>6.8893978794708557E-3</v>
      </c>
      <c r="L26" s="257">
        <v>8127</v>
      </c>
      <c r="M26" s="325">
        <f t="shared" si="2"/>
        <v>9508.59</v>
      </c>
      <c r="N26" s="243"/>
      <c r="O26" s="735"/>
      <c r="P26" s="735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</row>
    <row r="27" spans="1:35" ht="60" customHeight="1">
      <c r="A27" s="714"/>
      <c r="B27" s="731"/>
      <c r="C27" s="256">
        <v>3</v>
      </c>
      <c r="D27" s="237" t="s">
        <v>463</v>
      </c>
      <c r="E27" s="238"/>
      <c r="F27" s="239"/>
      <c r="G27" s="360" t="s">
        <v>461</v>
      </c>
      <c r="H27" s="359"/>
      <c r="I27" s="360"/>
      <c r="J27" s="257">
        <v>407.74000000000007</v>
      </c>
      <c r="K27" s="258">
        <v>2.5483126278250247E-3</v>
      </c>
      <c r="L27" s="257">
        <v>14.42</v>
      </c>
      <c r="M27" s="325">
        <f t="shared" si="2"/>
        <v>5879.6108000000013</v>
      </c>
      <c r="N27" s="243"/>
      <c r="O27" s="716"/>
      <c r="P27" s="716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</row>
    <row r="28" spans="1:35" ht="60" customHeight="1">
      <c r="A28" s="714"/>
      <c r="B28" s="731"/>
      <c r="C28" s="256">
        <v>4</v>
      </c>
      <c r="D28" s="237" t="s">
        <v>697</v>
      </c>
      <c r="E28" s="238"/>
      <c r="F28" s="239"/>
      <c r="G28" s="246" t="s">
        <v>692</v>
      </c>
      <c r="H28" s="245"/>
      <c r="I28" s="246"/>
      <c r="J28" s="257">
        <v>625.94000000000005</v>
      </c>
      <c r="K28" s="258">
        <v>1.4902145890671463E-3</v>
      </c>
      <c r="L28" s="257">
        <v>8.42</v>
      </c>
      <c r="M28" s="325">
        <f t="shared" si="2"/>
        <v>5270.4148000000005</v>
      </c>
      <c r="N28" s="243"/>
      <c r="O28" s="716"/>
      <c r="P28" s="716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</row>
    <row r="29" spans="1:35" ht="60" customHeight="1" thickBot="1">
      <c r="A29" s="714"/>
      <c r="B29" s="731"/>
      <c r="C29" s="262">
        <v>5</v>
      </c>
      <c r="D29" s="244" t="s">
        <v>508</v>
      </c>
      <c r="E29" s="245"/>
      <c r="F29" s="246"/>
      <c r="G29" s="358" t="s">
        <v>598</v>
      </c>
      <c r="H29" s="359"/>
      <c r="I29" s="378"/>
      <c r="J29" s="263">
        <v>6.04</v>
      </c>
      <c r="K29" s="264">
        <v>2.6583716624368273E-2</v>
      </c>
      <c r="L29" s="263">
        <v>333</v>
      </c>
      <c r="M29" s="325">
        <f t="shared" si="2"/>
        <v>2011.32</v>
      </c>
      <c r="N29" s="243"/>
      <c r="O29" s="716"/>
      <c r="P29" s="716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</row>
    <row r="30" spans="1:35" ht="15.75" customHeight="1" thickTop="1">
      <c r="A30" s="714"/>
      <c r="B30" s="731"/>
      <c r="C30" s="732"/>
      <c r="D30" s="733"/>
      <c r="E30" s="733"/>
      <c r="F30" s="733"/>
      <c r="G30" s="733"/>
      <c r="H30" s="733"/>
      <c r="I30" s="734"/>
      <c r="J30" s="274" t="s">
        <v>58</v>
      </c>
      <c r="K30" s="338">
        <f>M30/'生產管理報表 7-1(月)'!$B$9</f>
        <v>8.4184791021813754E-2</v>
      </c>
      <c r="L30" s="274" t="s">
        <v>59</v>
      </c>
      <c r="M30" s="326">
        <f>SUM(M25:M29)</f>
        <v>33694.935599999997</v>
      </c>
      <c r="N30" s="717"/>
      <c r="O30" s="717"/>
      <c r="P30" s="717"/>
      <c r="U30" s="231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</row>
  </sheetData>
  <mergeCells count="56"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  <mergeCell ref="B17:B22"/>
    <mergeCell ref="C22:I22"/>
    <mergeCell ref="A9:A14"/>
    <mergeCell ref="B9:B14"/>
    <mergeCell ref="C14:I14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O28:P28"/>
    <mergeCell ref="O29:P29"/>
    <mergeCell ref="N30:P30"/>
    <mergeCell ref="O19:P19"/>
    <mergeCell ref="O20:P20"/>
    <mergeCell ref="O21:P21"/>
    <mergeCell ref="N22:P22"/>
    <mergeCell ref="O24:P2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3" fitToWidth="0" fitToHeight="0" pageOrder="overThenDown" orientation="landscape" cellComments="atEnd" r:id="rId1"/>
  <rowBreaks count="1" manualBreakCount="1">
    <brk id="22" max="15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>
    <tabColor rgb="FFFF0000"/>
    <outlinePr summaryBelow="0" summaryRight="0"/>
  </sheetPr>
  <dimension ref="A1:T156"/>
  <sheetViews>
    <sheetView view="pageBreakPreview" topLeftCell="A34" zoomScale="91" zoomScaleNormal="60" zoomScaleSheetLayoutView="91" workbookViewId="0">
      <selection activeCell="D17" sqref="D17:D18"/>
    </sheetView>
  </sheetViews>
  <sheetFormatPr defaultColWidth="12.5703125" defaultRowHeight="15.75" customHeight="1"/>
  <cols>
    <col min="1" max="1" width="5.42578125" style="289" customWidth="1"/>
    <col min="2" max="2" width="11.42578125" style="297" customWidth="1"/>
    <col min="3" max="3" width="4" style="298" customWidth="1"/>
    <col min="4" max="4" width="9.5703125" style="289" customWidth="1"/>
    <col min="5" max="5" width="10.28515625" style="289" customWidth="1"/>
    <col min="6" max="15" width="9.5703125" style="289" customWidth="1"/>
    <col min="16" max="16" width="38" style="289" customWidth="1"/>
    <col min="17" max="16384" width="12.5703125" style="289"/>
  </cols>
  <sheetData>
    <row r="1" spans="1:20" s="135" customFormat="1" ht="15.75" customHeight="1">
      <c r="A1" s="708" t="s">
        <v>361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8"/>
      <c r="N1" s="708"/>
      <c r="O1" s="708"/>
      <c r="P1" s="708"/>
    </row>
    <row r="2" spans="1:20" s="136" customFormat="1" ht="15.75" customHeight="1">
      <c r="A2" s="708"/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8"/>
      <c r="P2" s="708"/>
    </row>
    <row r="3" spans="1:20" s="135" customFormat="1" ht="15.75" customHeight="1">
      <c r="A3" s="709" t="s">
        <v>430</v>
      </c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709"/>
    </row>
    <row r="4" spans="1:20" s="136" customFormat="1" ht="15.75" customHeight="1">
      <c r="A4" s="745"/>
      <c r="B4" s="745"/>
      <c r="C4" s="745"/>
      <c r="D4" s="745"/>
      <c r="E4" s="745"/>
      <c r="F4" s="745"/>
      <c r="G4" s="745"/>
      <c r="H4" s="745"/>
      <c r="I4" s="745"/>
      <c r="J4" s="745"/>
      <c r="K4" s="745"/>
      <c r="L4" s="745"/>
      <c r="M4" s="745"/>
    </row>
    <row r="5" spans="1:20" s="135" customFormat="1" ht="15.75" customHeight="1">
      <c r="A5" s="746" t="s">
        <v>191</v>
      </c>
      <c r="B5" s="748">
        <v>1</v>
      </c>
      <c r="C5" s="749"/>
      <c r="D5" s="748">
        <v>2</v>
      </c>
      <c r="E5" s="749"/>
      <c r="F5" s="748">
        <v>3</v>
      </c>
      <c r="G5" s="749"/>
      <c r="H5" s="739">
        <v>4</v>
      </c>
      <c r="I5" s="740"/>
      <c r="J5" s="739">
        <v>5</v>
      </c>
      <c r="K5" s="740"/>
      <c r="L5" s="739">
        <v>6</v>
      </c>
      <c r="M5" s="740"/>
      <c r="N5" s="739">
        <v>7</v>
      </c>
      <c r="O5" s="740"/>
      <c r="P5" s="327">
        <v>8</v>
      </c>
    </row>
    <row r="6" spans="1:20" s="135" customFormat="1" ht="15.75" customHeight="1">
      <c r="A6" s="747"/>
      <c r="B6" s="743" t="s">
        <v>452</v>
      </c>
      <c r="C6" s="744"/>
      <c r="D6" s="743" t="s">
        <v>212</v>
      </c>
      <c r="E6" s="744"/>
      <c r="F6" s="743" t="s">
        <v>166</v>
      </c>
      <c r="G6" s="744"/>
      <c r="H6" s="741" t="s">
        <v>428</v>
      </c>
      <c r="I6" s="742"/>
      <c r="J6" s="741" t="s">
        <v>189</v>
      </c>
      <c r="K6" s="742"/>
      <c r="L6" s="741" t="s">
        <v>167</v>
      </c>
      <c r="M6" s="742"/>
      <c r="N6" s="741" t="s">
        <v>190</v>
      </c>
      <c r="O6" s="742"/>
      <c r="P6" s="328" t="s">
        <v>217</v>
      </c>
    </row>
    <row r="7" spans="1:20" s="135" customFormat="1" ht="15.75" customHeight="1">
      <c r="B7" s="232"/>
      <c r="C7" s="233"/>
    </row>
    <row r="8" spans="1:20" s="278" customFormat="1" ht="15.75" customHeight="1">
      <c r="A8" s="750" t="s">
        <v>191</v>
      </c>
      <c r="B8" s="751"/>
      <c r="C8" s="275" t="s">
        <v>47</v>
      </c>
      <c r="D8" s="752" t="s">
        <v>12</v>
      </c>
      <c r="E8" s="753"/>
      <c r="F8" s="754"/>
      <c r="G8" s="755" t="s">
        <v>53</v>
      </c>
      <c r="H8" s="756"/>
      <c r="I8" s="757"/>
      <c r="J8" s="276" t="s">
        <v>54</v>
      </c>
      <c r="K8" s="276" t="s">
        <v>55</v>
      </c>
      <c r="L8" s="276" t="s">
        <v>56</v>
      </c>
      <c r="M8" s="277" t="s">
        <v>11</v>
      </c>
      <c r="N8" s="277" t="s">
        <v>333</v>
      </c>
      <c r="O8" s="758" t="s">
        <v>51</v>
      </c>
      <c r="P8" s="759"/>
      <c r="R8" s="339"/>
      <c r="S8" s="340"/>
    </row>
    <row r="9" spans="1:20" s="298" customFormat="1" ht="20.100000000000001" customHeight="1">
      <c r="A9" s="760">
        <v>4</v>
      </c>
      <c r="B9" s="763" t="s">
        <v>428</v>
      </c>
      <c r="C9" s="279">
        <v>1</v>
      </c>
      <c r="D9" s="237"/>
      <c r="E9" s="238"/>
      <c r="F9" s="239"/>
      <c r="G9" s="268"/>
      <c r="H9" s="238"/>
      <c r="I9" s="268"/>
      <c r="J9" s="236"/>
      <c r="K9" s="242"/>
      <c r="L9" s="236"/>
      <c r="M9" s="322">
        <f t="shared" ref="M9:M13" si="0">L9*J9</f>
        <v>0</v>
      </c>
      <c r="N9" s="314"/>
      <c r="O9" s="766"/>
      <c r="P9" s="767"/>
      <c r="R9" s="341"/>
      <c r="S9" s="341"/>
    </row>
    <row r="10" spans="1:20" s="298" customFormat="1" ht="20.100000000000001" customHeight="1">
      <c r="A10" s="761"/>
      <c r="B10" s="764"/>
      <c r="C10" s="279">
        <v>2</v>
      </c>
      <c r="D10" s="237"/>
      <c r="E10" s="238"/>
      <c r="F10" s="239"/>
      <c r="G10" s="237"/>
      <c r="H10" s="238"/>
      <c r="I10" s="268"/>
      <c r="J10" s="236"/>
      <c r="K10" s="242"/>
      <c r="L10" s="236"/>
      <c r="M10" s="322">
        <f t="shared" si="0"/>
        <v>0</v>
      </c>
      <c r="N10" s="314"/>
      <c r="O10" s="768"/>
      <c r="P10" s="769"/>
      <c r="R10" s="341"/>
      <c r="S10" s="341"/>
    </row>
    <row r="11" spans="1:20" s="298" customFormat="1" ht="20.100000000000001" customHeight="1">
      <c r="A11" s="761"/>
      <c r="B11" s="764"/>
      <c r="C11" s="279">
        <v>3</v>
      </c>
      <c r="D11" s="237"/>
      <c r="E11" s="238"/>
      <c r="F11" s="239"/>
      <c r="G11" s="268"/>
      <c r="H11" s="238"/>
      <c r="I11" s="268"/>
      <c r="J11" s="236"/>
      <c r="K11" s="242"/>
      <c r="L11" s="236"/>
      <c r="M11" s="322">
        <f t="shared" si="0"/>
        <v>0</v>
      </c>
      <c r="N11" s="314"/>
      <c r="O11" s="770"/>
      <c r="P11" s="771"/>
      <c r="R11" s="341"/>
      <c r="S11" s="339"/>
    </row>
    <row r="12" spans="1:20" s="298" customFormat="1" ht="20.100000000000001" customHeight="1">
      <c r="A12" s="761"/>
      <c r="B12" s="764"/>
      <c r="C12" s="279">
        <v>4</v>
      </c>
      <c r="D12" s="237"/>
      <c r="E12" s="238"/>
      <c r="F12" s="239"/>
      <c r="G12" s="244"/>
      <c r="H12" s="245"/>
      <c r="I12" s="271"/>
      <c r="J12" s="236"/>
      <c r="K12" s="242"/>
      <c r="L12" s="236"/>
      <c r="M12" s="322">
        <f t="shared" si="0"/>
        <v>0</v>
      </c>
      <c r="N12" s="314"/>
      <c r="O12" s="768"/>
      <c r="P12" s="769"/>
      <c r="R12" s="341"/>
      <c r="S12" s="339"/>
    </row>
    <row r="13" spans="1:20" s="298" customFormat="1" ht="20.100000000000001" customHeight="1" thickBot="1">
      <c r="A13" s="761"/>
      <c r="B13" s="764"/>
      <c r="C13" s="279">
        <v>5</v>
      </c>
      <c r="D13" s="244"/>
      <c r="E13" s="245"/>
      <c r="F13" s="246"/>
      <c r="G13" s="360"/>
      <c r="H13" s="359"/>
      <c r="I13" s="360"/>
      <c r="J13" s="247"/>
      <c r="K13" s="248"/>
      <c r="L13" s="247"/>
      <c r="M13" s="322">
        <f t="shared" si="0"/>
        <v>0</v>
      </c>
      <c r="N13" s="314"/>
      <c r="O13" s="772"/>
      <c r="P13" s="773"/>
      <c r="R13" s="342"/>
      <c r="S13" s="339"/>
      <c r="T13" s="289"/>
    </row>
    <row r="14" spans="1:20" ht="15.75" customHeight="1" thickTop="1" thickBot="1">
      <c r="A14" s="762"/>
      <c r="B14" s="765"/>
      <c r="C14" s="774"/>
      <c r="D14" s="775"/>
      <c r="E14" s="775"/>
      <c r="F14" s="775"/>
      <c r="G14" s="775"/>
      <c r="H14" s="775"/>
      <c r="I14" s="776"/>
      <c r="J14" s="295" t="s">
        <v>58</v>
      </c>
      <c r="K14" s="438">
        <f>M14/'生產管理報表 7-1(月)'!$B$9</f>
        <v>0</v>
      </c>
      <c r="L14" s="296" t="s">
        <v>59</v>
      </c>
      <c r="M14" s="334">
        <f>SUM(M9:M13)</f>
        <v>0</v>
      </c>
      <c r="N14" s="777"/>
      <c r="O14" s="778"/>
      <c r="P14" s="779"/>
      <c r="R14" s="339"/>
      <c r="S14" s="339"/>
    </row>
    <row r="15" spans="1:20" ht="15.75" customHeight="1" thickTop="1">
      <c r="M15" s="329"/>
      <c r="S15" s="339"/>
    </row>
    <row r="16" spans="1:20" ht="15.75" customHeight="1">
      <c r="A16" s="750" t="s">
        <v>191</v>
      </c>
      <c r="B16" s="751"/>
      <c r="C16" s="275" t="s">
        <v>47</v>
      </c>
      <c r="D16" s="752" t="s">
        <v>12</v>
      </c>
      <c r="E16" s="753"/>
      <c r="F16" s="754"/>
      <c r="G16" s="755" t="s">
        <v>53</v>
      </c>
      <c r="H16" s="756"/>
      <c r="I16" s="757"/>
      <c r="J16" s="276" t="s">
        <v>54</v>
      </c>
      <c r="K16" s="276" t="s">
        <v>55</v>
      </c>
      <c r="L16" s="276" t="s">
        <v>56</v>
      </c>
      <c r="M16" s="330" t="s">
        <v>11</v>
      </c>
      <c r="N16" s="277" t="s">
        <v>333</v>
      </c>
      <c r="O16" s="758" t="s">
        <v>51</v>
      </c>
      <c r="P16" s="759"/>
      <c r="S16" s="340"/>
      <c r="T16" s="298"/>
    </row>
    <row r="17" spans="1:20" s="298" customFormat="1" ht="66.75" customHeight="1">
      <c r="A17" s="760">
        <v>5</v>
      </c>
      <c r="B17" s="780" t="s">
        <v>215</v>
      </c>
      <c r="C17" s="279">
        <v>1</v>
      </c>
      <c r="D17" s="237" t="s">
        <v>340</v>
      </c>
      <c r="E17" s="238"/>
      <c r="F17" s="239"/>
      <c r="G17" s="306" t="s">
        <v>336</v>
      </c>
      <c r="H17" s="305"/>
      <c r="I17" s="306"/>
      <c r="J17" s="312">
        <v>147.43000000000004</v>
      </c>
      <c r="K17" s="313">
        <v>2.4342047066994543E-3</v>
      </c>
      <c r="L17" s="314">
        <v>41.82</v>
      </c>
      <c r="M17" s="322">
        <f t="shared" ref="M17:M21" si="1">L17*J17</f>
        <v>6165.5226000000011</v>
      </c>
      <c r="N17" s="314"/>
      <c r="O17" s="783"/>
      <c r="P17" s="784"/>
      <c r="S17" s="339"/>
    </row>
    <row r="18" spans="1:20" s="298" customFormat="1" ht="66.75" customHeight="1">
      <c r="A18" s="761"/>
      <c r="B18" s="781"/>
      <c r="C18" s="279">
        <v>2</v>
      </c>
      <c r="D18" s="237" t="s">
        <v>710</v>
      </c>
      <c r="E18" s="238"/>
      <c r="F18" s="239"/>
      <c r="G18" s="306" t="s">
        <v>773</v>
      </c>
      <c r="H18" s="305"/>
      <c r="I18" s="306"/>
      <c r="J18" s="312">
        <v>122.85000000000001</v>
      </c>
      <c r="K18" s="313">
        <v>8.1864281674479244E-3</v>
      </c>
      <c r="L18" s="314">
        <v>8.5399999999999991</v>
      </c>
      <c r="M18" s="322">
        <f t="shared" si="1"/>
        <v>1049.1389999999999</v>
      </c>
      <c r="N18" s="314"/>
      <c r="O18" s="785"/>
      <c r="P18" s="786"/>
      <c r="S18" s="289"/>
      <c r="T18" s="289"/>
    </row>
    <row r="19" spans="1:20" ht="20.100000000000001" customHeight="1">
      <c r="A19" s="761"/>
      <c r="B19" s="781"/>
      <c r="C19" s="279">
        <v>3</v>
      </c>
      <c r="D19" s="237"/>
      <c r="E19" s="281"/>
      <c r="F19" s="282"/>
      <c r="G19" s="350"/>
      <c r="H19" s="305"/>
      <c r="I19" s="306"/>
      <c r="J19" s="312"/>
      <c r="K19" s="313"/>
      <c r="L19" s="314"/>
      <c r="M19" s="322">
        <f t="shared" si="1"/>
        <v>0</v>
      </c>
      <c r="N19" s="288"/>
      <c r="O19" s="787"/>
      <c r="P19" s="788"/>
    </row>
    <row r="20" spans="1:20" ht="20.100000000000001" customHeight="1">
      <c r="A20" s="761"/>
      <c r="B20" s="781"/>
      <c r="C20" s="279">
        <v>4</v>
      </c>
      <c r="D20" s="237"/>
      <c r="E20" s="281"/>
      <c r="F20" s="282"/>
      <c r="G20" s="350"/>
      <c r="H20" s="305"/>
      <c r="I20" s="306"/>
      <c r="J20" s="312"/>
      <c r="K20" s="313"/>
      <c r="L20" s="314"/>
      <c r="M20" s="322">
        <f t="shared" si="1"/>
        <v>0</v>
      </c>
      <c r="N20" s="288"/>
      <c r="O20" s="768"/>
      <c r="P20" s="769"/>
    </row>
    <row r="21" spans="1:20" ht="20.100000000000001" customHeight="1" thickBot="1">
      <c r="A21" s="761"/>
      <c r="B21" s="781"/>
      <c r="C21" s="279">
        <v>5</v>
      </c>
      <c r="D21" s="244"/>
      <c r="E21" s="291"/>
      <c r="F21" s="292"/>
      <c r="G21" s="350"/>
      <c r="H21" s="305"/>
      <c r="I21" s="306"/>
      <c r="J21" s="316"/>
      <c r="K21" s="264"/>
      <c r="L21" s="317"/>
      <c r="M21" s="322">
        <f t="shared" si="1"/>
        <v>0</v>
      </c>
      <c r="N21" s="288"/>
      <c r="O21" s="792"/>
      <c r="P21" s="793"/>
      <c r="R21" s="343"/>
    </row>
    <row r="22" spans="1:20" ht="15.75" customHeight="1" thickTop="1" thickBot="1">
      <c r="A22" s="762"/>
      <c r="B22" s="782"/>
      <c r="C22" s="789"/>
      <c r="D22" s="790"/>
      <c r="E22" s="790"/>
      <c r="F22" s="790"/>
      <c r="G22" s="790"/>
      <c r="H22" s="790"/>
      <c r="I22" s="791"/>
      <c r="J22" s="295" t="s">
        <v>58</v>
      </c>
      <c r="K22" s="338">
        <f>M22/'生產管理報表 7-1(月)'!$B$9</f>
        <v>1.802540257976052E-2</v>
      </c>
      <c r="L22" s="296" t="s">
        <v>59</v>
      </c>
      <c r="M22" s="334">
        <f>SUM(M17:M21)</f>
        <v>7214.6616000000013</v>
      </c>
      <c r="N22" s="777"/>
      <c r="O22" s="778"/>
      <c r="P22" s="779"/>
      <c r="R22" s="339"/>
    </row>
    <row r="23" spans="1:20" ht="15.75" customHeight="1" thickTop="1">
      <c r="M23" s="329"/>
      <c r="R23" s="339"/>
    </row>
    <row r="24" spans="1:20" ht="15.75" customHeight="1">
      <c r="A24" s="750" t="s">
        <v>191</v>
      </c>
      <c r="B24" s="751"/>
      <c r="C24" s="303" t="s">
        <v>47</v>
      </c>
      <c r="D24" s="794" t="s">
        <v>12</v>
      </c>
      <c r="E24" s="795"/>
      <c r="F24" s="796"/>
      <c r="G24" s="797" t="s">
        <v>53</v>
      </c>
      <c r="H24" s="798"/>
      <c r="I24" s="799"/>
      <c r="J24" s="304" t="s">
        <v>54</v>
      </c>
      <c r="K24" s="276" t="s">
        <v>55</v>
      </c>
      <c r="L24" s="276" t="s">
        <v>56</v>
      </c>
      <c r="M24" s="330" t="s">
        <v>11</v>
      </c>
      <c r="N24" s="277" t="s">
        <v>333</v>
      </c>
      <c r="O24" s="758" t="s">
        <v>51</v>
      </c>
      <c r="P24" s="759"/>
      <c r="R24" s="339"/>
    </row>
    <row r="25" spans="1:20" s="298" customFormat="1" ht="81" customHeight="1">
      <c r="A25" s="760">
        <v>6</v>
      </c>
      <c r="B25" s="780" t="s">
        <v>216</v>
      </c>
      <c r="C25" s="279">
        <v>1</v>
      </c>
      <c r="D25" s="237" t="s">
        <v>523</v>
      </c>
      <c r="E25" s="238"/>
      <c r="F25" s="239"/>
      <c r="G25" s="306" t="s">
        <v>335</v>
      </c>
      <c r="H25" s="305"/>
      <c r="I25" s="306"/>
      <c r="J25" s="312">
        <v>15.45</v>
      </c>
      <c r="K25" s="313">
        <v>2.1239320487524476E-3</v>
      </c>
      <c r="L25" s="314">
        <v>677</v>
      </c>
      <c r="M25" s="322">
        <f t="shared" ref="M25:M29" si="2">L25*J25</f>
        <v>10459.65</v>
      </c>
      <c r="N25" s="314"/>
      <c r="O25" s="800"/>
      <c r="P25" s="801"/>
    </row>
    <row r="26" spans="1:20" ht="81" customHeight="1">
      <c r="A26" s="761"/>
      <c r="B26" s="781"/>
      <c r="C26" s="279">
        <v>2</v>
      </c>
      <c r="D26" s="237" t="s">
        <v>340</v>
      </c>
      <c r="E26" s="281"/>
      <c r="F26" s="282"/>
      <c r="G26" s="240" t="s">
        <v>534</v>
      </c>
      <c r="H26" s="241"/>
      <c r="I26" s="240"/>
      <c r="J26" s="312">
        <v>39.389999999999993</v>
      </c>
      <c r="K26" s="313">
        <v>1.1534913258360083E-3</v>
      </c>
      <c r="L26" s="314">
        <v>169.14999999999998</v>
      </c>
      <c r="M26" s="322">
        <f t="shared" si="2"/>
        <v>6662.8184999999976</v>
      </c>
      <c r="N26" s="288"/>
      <c r="O26" s="785"/>
      <c r="P26" s="786"/>
    </row>
    <row r="27" spans="1:20" ht="81" customHeight="1">
      <c r="A27" s="761"/>
      <c r="B27" s="781"/>
      <c r="C27" s="279">
        <v>3</v>
      </c>
      <c r="D27" s="237" t="s">
        <v>752</v>
      </c>
      <c r="E27" s="281"/>
      <c r="F27" s="282"/>
      <c r="G27" s="240" t="s">
        <v>771</v>
      </c>
      <c r="H27" s="241"/>
      <c r="I27" s="240"/>
      <c r="J27" s="312">
        <v>52.26</v>
      </c>
      <c r="K27" s="313">
        <v>4.6661396934026596E-3</v>
      </c>
      <c r="L27" s="314">
        <v>100.97999999999999</v>
      </c>
      <c r="M27" s="322">
        <f t="shared" si="2"/>
        <v>5277.2147999999988</v>
      </c>
      <c r="N27" s="288"/>
      <c r="O27" s="785"/>
      <c r="P27" s="786"/>
    </row>
    <row r="28" spans="1:20" ht="81" customHeight="1">
      <c r="A28" s="761"/>
      <c r="B28" s="781"/>
      <c r="C28" s="279">
        <v>4</v>
      </c>
      <c r="D28" s="237" t="s">
        <v>543</v>
      </c>
      <c r="E28" s="281"/>
      <c r="F28" s="282"/>
      <c r="G28" s="240" t="s">
        <v>544</v>
      </c>
      <c r="H28" s="241"/>
      <c r="I28" s="240"/>
      <c r="J28" s="312">
        <v>62.43</v>
      </c>
      <c r="K28" s="313">
        <v>5.2578259238101575E-3</v>
      </c>
      <c r="L28" s="314">
        <v>52.209999999999994</v>
      </c>
      <c r="M28" s="322">
        <f t="shared" si="2"/>
        <v>3259.4702999999995</v>
      </c>
      <c r="N28" s="288"/>
      <c r="O28" s="785"/>
      <c r="P28" s="786"/>
    </row>
    <row r="29" spans="1:20" ht="81" customHeight="1" thickBot="1">
      <c r="A29" s="761"/>
      <c r="B29" s="781"/>
      <c r="C29" s="279">
        <v>5</v>
      </c>
      <c r="D29" s="244" t="s">
        <v>614</v>
      </c>
      <c r="E29" s="291"/>
      <c r="F29" s="292"/>
      <c r="G29" s="240" t="s">
        <v>619</v>
      </c>
      <c r="H29" s="241"/>
      <c r="I29" s="240"/>
      <c r="J29" s="316">
        <v>39.389999999999993</v>
      </c>
      <c r="K29" s="382">
        <v>5.1334467070313968E-3</v>
      </c>
      <c r="L29" s="317">
        <v>64.88</v>
      </c>
      <c r="M29" s="322">
        <f t="shared" si="2"/>
        <v>2555.6231999999995</v>
      </c>
      <c r="N29" s="288"/>
      <c r="O29" s="785"/>
      <c r="P29" s="786"/>
    </row>
    <row r="30" spans="1:20" ht="15.75" customHeight="1" thickTop="1" thickBot="1">
      <c r="A30" s="762"/>
      <c r="B30" s="782"/>
      <c r="C30" s="789"/>
      <c r="D30" s="790"/>
      <c r="E30" s="790"/>
      <c r="F30" s="790"/>
      <c r="G30" s="790"/>
      <c r="H30" s="790"/>
      <c r="I30" s="791"/>
      <c r="J30" s="295" t="s">
        <v>58</v>
      </c>
      <c r="K30" s="438">
        <f>M30/'生產管理報表 7-1(月)'!$B$9</f>
        <v>7.0492940447558494E-2</v>
      </c>
      <c r="L30" s="296" t="s">
        <v>59</v>
      </c>
      <c r="M30" s="334">
        <f>SUM(M25:M29)</f>
        <v>28214.776799999992</v>
      </c>
      <c r="N30" s="777"/>
      <c r="O30" s="778"/>
      <c r="P30" s="779"/>
    </row>
    <row r="31" spans="1:20" ht="15.75" customHeight="1" thickTop="1">
      <c r="M31" s="329"/>
    </row>
    <row r="32" spans="1:20" ht="15.75" customHeight="1">
      <c r="A32" s="750" t="s">
        <v>191</v>
      </c>
      <c r="B32" s="751"/>
      <c r="C32" s="303" t="s">
        <v>47</v>
      </c>
      <c r="D32" s="794" t="s">
        <v>12</v>
      </c>
      <c r="E32" s="795"/>
      <c r="F32" s="796"/>
      <c r="G32" s="797" t="s">
        <v>53</v>
      </c>
      <c r="H32" s="798"/>
      <c r="I32" s="799"/>
      <c r="J32" s="304" t="s">
        <v>54</v>
      </c>
      <c r="K32" s="276" t="s">
        <v>55</v>
      </c>
      <c r="L32" s="276" t="s">
        <v>56</v>
      </c>
      <c r="M32" s="330" t="s">
        <v>11</v>
      </c>
      <c r="N32" s="277" t="s">
        <v>333</v>
      </c>
      <c r="O32" s="758" t="s">
        <v>51</v>
      </c>
      <c r="P32" s="759"/>
    </row>
    <row r="33" spans="1:16" ht="20.100000000000001" customHeight="1">
      <c r="A33" s="760">
        <v>7</v>
      </c>
      <c r="B33" s="802" t="s">
        <v>249</v>
      </c>
      <c r="C33" s="279">
        <v>1</v>
      </c>
      <c r="D33" s="280"/>
      <c r="E33" s="281"/>
      <c r="F33" s="282"/>
      <c r="G33" s="283"/>
      <c r="H33" s="284"/>
      <c r="I33" s="285"/>
      <c r="J33" s="286"/>
      <c r="K33" s="287"/>
      <c r="L33" s="288"/>
      <c r="M33" s="331">
        <f t="shared" ref="M33:M35" si="3">L33*J33</f>
        <v>0</v>
      </c>
      <c r="N33" s="288"/>
      <c r="O33" s="805"/>
      <c r="P33" s="806"/>
    </row>
    <row r="34" spans="1:16" ht="20.100000000000001" customHeight="1">
      <c r="A34" s="761"/>
      <c r="B34" s="803"/>
      <c r="C34" s="279">
        <v>2</v>
      </c>
      <c r="D34" s="280"/>
      <c r="E34" s="281"/>
      <c r="F34" s="282"/>
      <c r="G34" s="283"/>
      <c r="H34" s="284"/>
      <c r="I34" s="285"/>
      <c r="J34" s="286"/>
      <c r="K34" s="287"/>
      <c r="L34" s="288"/>
      <c r="M34" s="331">
        <f t="shared" si="3"/>
        <v>0</v>
      </c>
      <c r="N34" s="288"/>
      <c r="O34" s="807"/>
      <c r="P34" s="808"/>
    </row>
    <row r="35" spans="1:16" ht="20.100000000000001" customHeight="1">
      <c r="A35" s="761"/>
      <c r="B35" s="803"/>
      <c r="C35" s="279">
        <v>3</v>
      </c>
      <c r="D35" s="280"/>
      <c r="E35" s="281"/>
      <c r="F35" s="282"/>
      <c r="G35" s="283"/>
      <c r="H35" s="284"/>
      <c r="I35" s="285"/>
      <c r="J35" s="286"/>
      <c r="K35" s="287"/>
      <c r="L35" s="288"/>
      <c r="M35" s="331">
        <f t="shared" si="3"/>
        <v>0</v>
      </c>
      <c r="N35" s="288"/>
      <c r="O35" s="807"/>
      <c r="P35" s="808"/>
    </row>
    <row r="36" spans="1:16" ht="20.100000000000001" customHeight="1">
      <c r="A36" s="761"/>
      <c r="B36" s="803"/>
      <c r="C36" s="279">
        <v>4</v>
      </c>
      <c r="D36" s="280"/>
      <c r="E36" s="281"/>
      <c r="F36" s="282"/>
      <c r="G36" s="283"/>
      <c r="H36" s="284"/>
      <c r="I36" s="285"/>
      <c r="J36" s="286"/>
      <c r="K36" s="287"/>
      <c r="L36" s="288"/>
      <c r="M36" s="332">
        <v>0</v>
      </c>
      <c r="N36" s="288"/>
      <c r="O36" s="299"/>
      <c r="P36" s="300"/>
    </row>
    <row r="37" spans="1:16" ht="20.100000000000001" customHeight="1" thickBot="1">
      <c r="A37" s="761"/>
      <c r="B37" s="803"/>
      <c r="C37" s="279">
        <v>5</v>
      </c>
      <c r="D37" s="290"/>
      <c r="E37" s="291"/>
      <c r="F37" s="292"/>
      <c r="G37" s="283"/>
      <c r="H37" s="284"/>
      <c r="I37" s="285"/>
      <c r="J37" s="293"/>
      <c r="K37" s="264"/>
      <c r="L37" s="294"/>
      <c r="M37" s="333">
        <v>0</v>
      </c>
      <c r="N37" s="288"/>
      <c r="O37" s="301"/>
      <c r="P37" s="302"/>
    </row>
    <row r="38" spans="1:16" ht="15.75" customHeight="1" thickTop="1" thickBot="1">
      <c r="A38" s="762"/>
      <c r="B38" s="804"/>
      <c r="C38" s="789"/>
      <c r="D38" s="790"/>
      <c r="E38" s="790"/>
      <c r="F38" s="790"/>
      <c r="G38" s="790"/>
      <c r="H38" s="790"/>
      <c r="I38" s="791"/>
      <c r="J38" s="295" t="s">
        <v>58</v>
      </c>
      <c r="K38" s="438">
        <f>M38/'生產管理報表 7-1(月)'!$B$9</f>
        <v>0</v>
      </c>
      <c r="L38" s="296" t="s">
        <v>59</v>
      </c>
      <c r="M38" s="334">
        <f>SUM(M33:M37)</f>
        <v>0</v>
      </c>
      <c r="N38" s="777"/>
      <c r="O38" s="778"/>
      <c r="P38" s="779"/>
    </row>
    <row r="39" spans="1:16" ht="15.75" customHeight="1" thickTop="1"/>
    <row r="44" spans="1:16" ht="15.75" customHeight="1">
      <c r="O44" s="289" ph="1"/>
      <c r="P44" s="289" ph="1"/>
    </row>
    <row r="46" spans="1:16" ht="15.75" customHeight="1">
      <c r="O46" s="289" ph="1"/>
      <c r="P46" s="289" ph="1"/>
    </row>
    <row r="47" spans="1:16" ht="15.75" customHeight="1">
      <c r="O47" s="289" ph="1"/>
      <c r="P47" s="289" ph="1"/>
    </row>
    <row r="117" spans="15:16" ht="15.75" customHeight="1">
      <c r="O117" s="289" ph="1"/>
      <c r="P117" s="289" ph="1"/>
    </row>
    <row r="119" spans="15:16" ht="15.75" customHeight="1">
      <c r="O119" s="289" ph="1"/>
      <c r="P119" s="289" ph="1"/>
    </row>
    <row r="120" spans="15:16" ht="15.75" customHeight="1">
      <c r="O120" s="289" ph="1"/>
      <c r="P120" s="289" ph="1"/>
    </row>
    <row r="153" spans="15:16" ht="15.75" customHeight="1">
      <c r="O153" s="289" ph="1"/>
      <c r="P153" s="289" ph="1"/>
    </row>
    <row r="155" spans="15:16" ht="15.75" customHeight="1">
      <c r="O155" s="289" ph="1"/>
      <c r="P155" s="289" ph="1"/>
    </row>
    <row r="156" spans="15:16" ht="15.75" customHeight="1">
      <c r="O156" s="289" ph="1"/>
      <c r="P156" s="289" ph="1"/>
    </row>
  </sheetData>
  <mergeCells count="67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1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">
    <tabColor rgb="FFFF0000"/>
    <outlinePr summaryBelow="0" summaryRight="0"/>
  </sheetPr>
  <dimension ref="A1:BW30"/>
  <sheetViews>
    <sheetView view="pageBreakPreview" topLeftCell="A7" zoomScaleNormal="60" zoomScaleSheetLayoutView="100" workbookViewId="0">
      <selection activeCell="B9" sqref="B9:B14"/>
    </sheetView>
  </sheetViews>
  <sheetFormatPr defaultColWidth="12.5703125" defaultRowHeight="15.75" customHeight="1"/>
  <cols>
    <col min="1" max="1" width="5.42578125" style="135" customWidth="1"/>
    <col min="2" max="2" width="11.42578125" style="232" customWidth="1"/>
    <col min="3" max="3" width="4" style="233" customWidth="1"/>
    <col min="4" max="15" width="9.5703125" style="135" customWidth="1"/>
    <col min="16" max="16" width="47.85546875" style="135" customWidth="1"/>
    <col min="17" max="17" width="9.5703125" style="135" customWidth="1"/>
    <col min="18" max="21" width="12.5703125" style="231"/>
    <col min="22" max="22" width="24.42578125" style="135" bestFit="1" customWidth="1"/>
    <col min="23" max="23" width="19.42578125" style="135" bestFit="1" customWidth="1"/>
    <col min="24" max="24" width="23" style="135" bestFit="1" customWidth="1"/>
    <col min="25" max="25" width="11.7109375" style="135" bestFit="1" customWidth="1"/>
    <col min="26" max="26" width="15.85546875" style="135" bestFit="1" customWidth="1"/>
    <col min="27" max="27" width="23.5703125" style="135" bestFit="1" customWidth="1"/>
    <col min="28" max="28" width="23" style="135" bestFit="1" customWidth="1"/>
    <col min="29" max="29" width="11.7109375" style="135" bestFit="1" customWidth="1"/>
    <col min="30" max="30" width="20.5703125" style="135" bestFit="1" customWidth="1"/>
    <col min="31" max="31" width="15" style="135" bestFit="1" customWidth="1"/>
    <col min="32" max="32" width="23" style="135" bestFit="1" customWidth="1"/>
    <col min="33" max="33" width="11.7109375" style="135" bestFit="1" customWidth="1"/>
    <col min="34" max="34" width="15.85546875" style="135" bestFit="1" customWidth="1"/>
    <col min="35" max="35" width="15" style="135" bestFit="1" customWidth="1"/>
    <col min="36" max="36" width="23" style="135" bestFit="1" customWidth="1"/>
    <col min="37" max="37" width="15" style="135" bestFit="1" customWidth="1"/>
    <col min="38" max="38" width="23" style="135" bestFit="1" customWidth="1"/>
    <col min="39" max="39" width="11.7109375" style="135" bestFit="1" customWidth="1"/>
    <col min="40" max="40" width="13.85546875" style="135" bestFit="1" customWidth="1"/>
    <col min="41" max="41" width="27.85546875" style="135" bestFit="1" customWidth="1"/>
    <col min="42" max="42" width="23" style="135" bestFit="1" customWidth="1"/>
    <col min="43" max="43" width="8" style="135" bestFit="1" customWidth="1"/>
    <col min="44" max="44" width="30.7109375" style="135" bestFit="1" customWidth="1"/>
    <col min="45" max="45" width="25.7109375" style="135" bestFit="1" customWidth="1"/>
    <col min="46" max="46" width="23" style="135" bestFit="1" customWidth="1"/>
    <col min="47" max="47" width="15" style="135" bestFit="1" customWidth="1"/>
    <col min="48" max="48" width="23" style="135" bestFit="1" customWidth="1"/>
    <col min="49" max="49" width="11.7109375" style="135" bestFit="1" customWidth="1"/>
    <col min="50" max="50" width="20.140625" style="135" bestFit="1" customWidth="1"/>
    <col min="51" max="51" width="23.5703125" style="135" bestFit="1" customWidth="1"/>
    <col min="52" max="52" width="23" style="135" bestFit="1" customWidth="1"/>
    <col min="53" max="53" width="11.7109375" style="135" bestFit="1" customWidth="1"/>
    <col min="54" max="54" width="21.42578125" style="135" bestFit="1" customWidth="1"/>
    <col min="55" max="55" width="15" style="135" bestFit="1" customWidth="1"/>
    <col min="56" max="56" width="23" style="135" bestFit="1" customWidth="1"/>
    <col min="57" max="57" width="11.7109375" style="135" bestFit="1" customWidth="1"/>
    <col min="58" max="58" width="13.85546875" style="135" bestFit="1" customWidth="1"/>
    <col min="59" max="59" width="22" style="135" bestFit="1" customWidth="1"/>
    <col min="60" max="60" width="23" style="135" bestFit="1" customWidth="1"/>
    <col min="61" max="61" width="15" style="135" bestFit="1" customWidth="1"/>
    <col min="62" max="62" width="23" style="135" bestFit="1" customWidth="1"/>
    <col min="63" max="63" width="11.7109375" style="135" bestFit="1" customWidth="1"/>
    <col min="64" max="64" width="24.7109375" style="135" bestFit="1" customWidth="1"/>
    <col min="65" max="65" width="18.7109375" style="135" bestFit="1" customWidth="1"/>
    <col min="66" max="66" width="23" style="135" bestFit="1" customWidth="1"/>
    <col min="67" max="67" width="15" style="135" bestFit="1" customWidth="1"/>
    <col min="68" max="68" width="23" style="135" bestFit="1" customWidth="1"/>
    <col min="69" max="69" width="15" style="135" bestFit="1" customWidth="1"/>
    <col min="70" max="70" width="23" style="135" bestFit="1" customWidth="1"/>
    <col min="71" max="71" width="15" style="135" bestFit="1" customWidth="1"/>
    <col min="72" max="72" width="21.85546875" style="135" bestFit="1" customWidth="1"/>
    <col min="73" max="73" width="10.5703125" style="135" bestFit="1" customWidth="1"/>
    <col min="74" max="74" width="21.42578125" style="135" bestFit="1" customWidth="1"/>
    <col min="75" max="75" width="5.42578125" style="135" bestFit="1" customWidth="1"/>
    <col min="76" max="16384" width="12.5703125" style="135"/>
  </cols>
  <sheetData>
    <row r="1" spans="1:75" ht="15.75" customHeight="1">
      <c r="A1" s="708" t="s">
        <v>361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8"/>
      <c r="N1" s="708"/>
      <c r="O1" s="708"/>
      <c r="P1" s="708"/>
      <c r="Q1" s="708"/>
    </row>
    <row r="2" spans="1:75" s="136" customFormat="1" ht="15.75" customHeight="1">
      <c r="A2" s="708"/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8"/>
      <c r="P2" s="708"/>
      <c r="Q2" s="708"/>
    </row>
    <row r="3" spans="1:75" ht="15.75" customHeight="1">
      <c r="A3" s="709" t="s">
        <v>431</v>
      </c>
      <c r="B3" s="720"/>
      <c r="C3" s="720"/>
      <c r="D3" s="720"/>
      <c r="E3" s="720"/>
      <c r="F3" s="720"/>
      <c r="G3" s="720"/>
      <c r="H3" s="720"/>
      <c r="I3" s="720"/>
      <c r="J3" s="720"/>
      <c r="K3" s="720"/>
      <c r="L3" s="720"/>
      <c r="M3" s="720"/>
    </row>
    <row r="4" spans="1:75" s="136" customFormat="1" ht="15.75" customHeight="1">
      <c r="A4" s="720"/>
      <c r="B4" s="720"/>
      <c r="C4" s="720"/>
      <c r="D4" s="720"/>
      <c r="E4" s="720"/>
      <c r="F4" s="720"/>
      <c r="G4" s="720"/>
      <c r="H4" s="720"/>
      <c r="I4" s="720"/>
      <c r="J4" s="720"/>
      <c r="K4" s="720"/>
      <c r="L4" s="720"/>
      <c r="M4" s="720"/>
    </row>
    <row r="5" spans="1:75" ht="15.75" customHeight="1">
      <c r="A5" s="711" t="s">
        <v>191</v>
      </c>
      <c r="B5" s="721">
        <v>1</v>
      </c>
      <c r="C5" s="721"/>
      <c r="D5" s="721">
        <v>2</v>
      </c>
      <c r="E5" s="721"/>
      <c r="F5" s="721">
        <v>3</v>
      </c>
      <c r="G5" s="721"/>
      <c r="H5" s="714">
        <v>4</v>
      </c>
      <c r="I5" s="714"/>
      <c r="J5" s="714">
        <v>5</v>
      </c>
      <c r="K5" s="714"/>
      <c r="L5" s="714">
        <v>6</v>
      </c>
      <c r="M5" s="714"/>
      <c r="N5" s="714">
        <v>7</v>
      </c>
      <c r="O5" s="714"/>
      <c r="P5" s="714">
        <v>8</v>
      </c>
      <c r="Q5" s="714"/>
    </row>
    <row r="6" spans="1:75" ht="15.75" customHeight="1">
      <c r="A6" s="711"/>
      <c r="B6" s="722" t="s">
        <v>452</v>
      </c>
      <c r="C6" s="722"/>
      <c r="D6" s="722" t="s">
        <v>212</v>
      </c>
      <c r="E6" s="722"/>
      <c r="F6" s="722" t="s">
        <v>166</v>
      </c>
      <c r="G6" s="722"/>
      <c r="H6" s="711" t="s">
        <v>428</v>
      </c>
      <c r="I6" s="711"/>
      <c r="J6" s="711" t="s">
        <v>189</v>
      </c>
      <c r="K6" s="711"/>
      <c r="L6" s="711" t="s">
        <v>167</v>
      </c>
      <c r="M6" s="711"/>
      <c r="N6" s="711" t="s">
        <v>190</v>
      </c>
      <c r="O6" s="711"/>
      <c r="P6" s="809" t="s">
        <v>217</v>
      </c>
      <c r="Q6" s="711"/>
    </row>
    <row r="8" spans="1:75" s="235" customFormat="1" ht="15.75" customHeight="1">
      <c r="A8" s="714" t="s">
        <v>191</v>
      </c>
      <c r="B8" s="714"/>
      <c r="C8" s="234" t="s">
        <v>47</v>
      </c>
      <c r="D8" s="723" t="s">
        <v>12</v>
      </c>
      <c r="E8" s="723"/>
      <c r="F8" s="723"/>
      <c r="G8" s="724" t="s">
        <v>53</v>
      </c>
      <c r="H8" s="725"/>
      <c r="I8" s="726"/>
      <c r="J8" s="234" t="s">
        <v>54</v>
      </c>
      <c r="K8" s="234" t="s">
        <v>55</v>
      </c>
      <c r="L8" s="234" t="s">
        <v>56</v>
      </c>
      <c r="M8" s="234" t="s">
        <v>11</v>
      </c>
      <c r="N8" s="234" t="s">
        <v>333</v>
      </c>
      <c r="O8" s="719" t="s">
        <v>51</v>
      </c>
      <c r="P8" s="719"/>
    </row>
    <row r="9" spans="1:75" ht="24.95" customHeight="1">
      <c r="A9" s="714">
        <v>1</v>
      </c>
      <c r="B9" s="731" t="s">
        <v>453</v>
      </c>
      <c r="C9" s="236">
        <v>1</v>
      </c>
      <c r="D9" s="237"/>
      <c r="E9" s="238"/>
      <c r="F9" s="239"/>
      <c r="G9" s="268"/>
      <c r="H9" s="238"/>
      <c r="I9" s="268"/>
      <c r="J9" s="236"/>
      <c r="K9" s="242"/>
      <c r="L9" s="236"/>
      <c r="M9" s="322">
        <f>L9*J9</f>
        <v>0</v>
      </c>
      <c r="N9" s="243"/>
      <c r="O9" s="766"/>
      <c r="P9" s="767"/>
    </row>
    <row r="10" spans="1:75" ht="24.95" customHeight="1">
      <c r="A10" s="714"/>
      <c r="B10" s="731"/>
      <c r="C10" s="236">
        <v>2</v>
      </c>
      <c r="D10" s="237"/>
      <c r="E10" s="238"/>
      <c r="F10" s="239"/>
      <c r="G10" s="237"/>
      <c r="H10" s="238"/>
      <c r="I10" s="268"/>
      <c r="J10" s="236"/>
      <c r="K10" s="242"/>
      <c r="L10" s="236"/>
      <c r="M10" s="322">
        <f t="shared" ref="M10:M13" si="0">L10*J10</f>
        <v>0</v>
      </c>
      <c r="N10" s="243"/>
      <c r="O10" s="810"/>
      <c r="P10" s="811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  <c r="BW10" s="231"/>
    </row>
    <row r="11" spans="1:75" ht="24.95" customHeight="1">
      <c r="A11" s="714"/>
      <c r="B11" s="731"/>
      <c r="C11" s="236">
        <v>3</v>
      </c>
      <c r="D11" s="237"/>
      <c r="E11" s="238"/>
      <c r="F11" s="239"/>
      <c r="G11" s="268"/>
      <c r="H11" s="238"/>
      <c r="I11" s="268"/>
      <c r="J11" s="236"/>
      <c r="K11" s="242"/>
      <c r="L11" s="236"/>
      <c r="M11" s="322">
        <f t="shared" si="0"/>
        <v>0</v>
      </c>
      <c r="N11" s="243"/>
      <c r="O11" s="810"/>
      <c r="P11" s="81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  <c r="BW11" s="231"/>
    </row>
    <row r="12" spans="1:75" ht="24.95" customHeight="1">
      <c r="A12" s="714"/>
      <c r="B12" s="731"/>
      <c r="C12" s="236">
        <v>4</v>
      </c>
      <c r="D12" s="237"/>
      <c r="E12" s="238"/>
      <c r="F12" s="239"/>
      <c r="G12" s="244"/>
      <c r="H12" s="245"/>
      <c r="I12" s="271"/>
      <c r="J12" s="236"/>
      <c r="K12" s="242"/>
      <c r="L12" s="236"/>
      <c r="M12" s="322">
        <f t="shared" si="0"/>
        <v>0</v>
      </c>
      <c r="N12" s="243"/>
      <c r="O12" s="810"/>
      <c r="P12" s="811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  <c r="BW12" s="231"/>
    </row>
    <row r="13" spans="1:75" ht="24.95" customHeight="1" thickBot="1">
      <c r="A13" s="714"/>
      <c r="B13" s="731"/>
      <c r="C13" s="236">
        <v>5</v>
      </c>
      <c r="D13" s="244"/>
      <c r="E13" s="245"/>
      <c r="F13" s="246"/>
      <c r="G13" s="360"/>
      <c r="H13" s="359"/>
      <c r="I13" s="360"/>
      <c r="J13" s="247"/>
      <c r="K13" s="248"/>
      <c r="L13" s="247"/>
      <c r="M13" s="323">
        <f t="shared" si="0"/>
        <v>0</v>
      </c>
      <c r="N13" s="243"/>
      <c r="O13" s="810"/>
      <c r="P13" s="811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  <c r="BW13" s="231"/>
    </row>
    <row r="14" spans="1:75" ht="15.75" customHeight="1" thickTop="1">
      <c r="A14" s="714"/>
      <c r="B14" s="731"/>
      <c r="C14" s="732"/>
      <c r="D14" s="733"/>
      <c r="E14" s="733"/>
      <c r="F14" s="733"/>
      <c r="G14" s="733"/>
      <c r="H14" s="733"/>
      <c r="I14" s="734"/>
      <c r="J14" s="249" t="s">
        <v>58</v>
      </c>
      <c r="K14" s="338">
        <f>M14/'生產管理報表 7-1(月)'!$B$10</f>
        <v>0</v>
      </c>
      <c r="L14" s="249" t="s">
        <v>59</v>
      </c>
      <c r="M14" s="324">
        <f>SUM(M9:M13)</f>
        <v>0</v>
      </c>
      <c r="N14" s="812"/>
      <c r="O14" s="813"/>
      <c r="P14" s="814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  <c r="BW14" s="231"/>
    </row>
    <row r="15" spans="1:75" ht="15.75" customHeight="1"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1"/>
      <c r="O15" s="251"/>
      <c r="P15" s="251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  <c r="BW15" s="231"/>
    </row>
    <row r="16" spans="1:75" ht="15.75" customHeight="1">
      <c r="A16" s="714" t="s">
        <v>191</v>
      </c>
      <c r="B16" s="714"/>
      <c r="C16" s="252" t="s">
        <v>47</v>
      </c>
      <c r="D16" s="736" t="s">
        <v>12</v>
      </c>
      <c r="E16" s="737"/>
      <c r="F16" s="738"/>
      <c r="G16" s="724" t="s">
        <v>53</v>
      </c>
      <c r="H16" s="725"/>
      <c r="I16" s="726"/>
      <c r="J16" s="254" t="s">
        <v>54</v>
      </c>
      <c r="K16" s="254" t="s">
        <v>55</v>
      </c>
      <c r="L16" s="254" t="s">
        <v>56</v>
      </c>
      <c r="M16" s="254" t="s">
        <v>11</v>
      </c>
      <c r="N16" s="255" t="s">
        <v>333</v>
      </c>
      <c r="O16" s="815" t="s">
        <v>51</v>
      </c>
      <c r="P16" s="816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</row>
    <row r="17" spans="1:36" ht="20.100000000000001" customHeight="1">
      <c r="A17" s="714">
        <v>2</v>
      </c>
      <c r="B17" s="731" t="s">
        <v>213</v>
      </c>
      <c r="C17" s="256">
        <v>1</v>
      </c>
      <c r="D17" s="237"/>
      <c r="E17" s="238"/>
      <c r="F17" s="239"/>
      <c r="G17" s="237"/>
      <c r="H17" s="238"/>
      <c r="I17" s="239"/>
      <c r="J17" s="257"/>
      <c r="K17" s="258"/>
      <c r="L17" s="257"/>
      <c r="M17" s="259">
        <f t="shared" ref="M17:M21" si="1">L17*J17</f>
        <v>0</v>
      </c>
      <c r="N17" s="260"/>
      <c r="O17" s="817"/>
      <c r="P17" s="818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  <c r="AJ17" s="231"/>
    </row>
    <row r="18" spans="1:36" ht="20.100000000000001" customHeight="1">
      <c r="A18" s="714"/>
      <c r="B18" s="731"/>
      <c r="C18" s="256">
        <v>2</v>
      </c>
      <c r="D18" s="237"/>
      <c r="E18" s="238"/>
      <c r="F18" s="239"/>
      <c r="G18" s="237"/>
      <c r="H18" s="238"/>
      <c r="I18" s="239"/>
      <c r="J18" s="257"/>
      <c r="K18" s="258"/>
      <c r="L18" s="257"/>
      <c r="M18" s="259">
        <f t="shared" si="1"/>
        <v>0</v>
      </c>
      <c r="N18" s="260"/>
      <c r="O18" s="817"/>
      <c r="P18" s="818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</row>
    <row r="19" spans="1:36" ht="20.100000000000001" customHeight="1">
      <c r="A19" s="714"/>
      <c r="B19" s="731"/>
      <c r="C19" s="256">
        <v>3</v>
      </c>
      <c r="D19" s="237"/>
      <c r="E19" s="238"/>
      <c r="F19" s="239"/>
      <c r="G19" s="237"/>
      <c r="H19" s="238"/>
      <c r="I19" s="239"/>
      <c r="J19" s="257"/>
      <c r="K19" s="258"/>
      <c r="L19" s="257"/>
      <c r="M19" s="259">
        <f t="shared" si="1"/>
        <v>0</v>
      </c>
      <c r="N19" s="260"/>
      <c r="O19" s="817"/>
      <c r="P19" s="818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  <c r="AH19" s="231"/>
    </row>
    <row r="20" spans="1:36" ht="20.100000000000001" customHeight="1">
      <c r="A20" s="714"/>
      <c r="B20" s="731"/>
      <c r="C20" s="256">
        <v>4</v>
      </c>
      <c r="D20" s="237"/>
      <c r="E20" s="238"/>
      <c r="F20" s="239"/>
      <c r="G20" s="237"/>
      <c r="H20" s="238"/>
      <c r="I20" s="239"/>
      <c r="J20" s="257"/>
      <c r="K20" s="258"/>
      <c r="L20" s="257"/>
      <c r="M20" s="259">
        <f t="shared" si="1"/>
        <v>0</v>
      </c>
      <c r="N20" s="260"/>
      <c r="O20" s="817"/>
      <c r="P20" s="818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  <c r="AH20" s="231"/>
    </row>
    <row r="21" spans="1:36" ht="20.100000000000001" customHeight="1" thickBot="1">
      <c r="A21" s="714"/>
      <c r="B21" s="731"/>
      <c r="C21" s="262">
        <v>5</v>
      </c>
      <c r="D21" s="244"/>
      <c r="E21" s="245"/>
      <c r="F21" s="246"/>
      <c r="G21" s="244"/>
      <c r="H21" s="245"/>
      <c r="I21" s="246"/>
      <c r="J21" s="263"/>
      <c r="K21" s="264"/>
      <c r="L21" s="263"/>
      <c r="M21" s="265">
        <f t="shared" si="1"/>
        <v>0</v>
      </c>
      <c r="N21" s="266"/>
      <c r="O21" s="817"/>
      <c r="P21" s="818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  <c r="AH21" s="231"/>
    </row>
    <row r="22" spans="1:36" ht="15.75" customHeight="1" thickTop="1">
      <c r="A22" s="714"/>
      <c r="B22" s="731"/>
      <c r="C22" s="732"/>
      <c r="D22" s="733"/>
      <c r="E22" s="733"/>
      <c r="F22" s="733"/>
      <c r="G22" s="733"/>
      <c r="H22" s="733"/>
      <c r="I22" s="734"/>
      <c r="J22" s="249" t="s">
        <v>58</v>
      </c>
      <c r="K22" s="338">
        <f>M22/'生產管理報表 7-1(月)'!$B$10</f>
        <v>0</v>
      </c>
      <c r="L22" s="249" t="s">
        <v>59</v>
      </c>
      <c r="M22" s="250">
        <f>SUM(M17:M21)</f>
        <v>0</v>
      </c>
      <c r="N22" s="819"/>
      <c r="O22" s="820"/>
      <c r="P22" s="821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  <c r="AH22" s="231"/>
    </row>
    <row r="23" spans="1:36" ht="15.75" customHeight="1"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7"/>
      <c r="O23" s="267"/>
      <c r="P23" s="267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  <c r="AH23" s="231"/>
    </row>
    <row r="24" spans="1:36" ht="15.75" customHeight="1">
      <c r="A24" s="714" t="s">
        <v>191</v>
      </c>
      <c r="B24" s="714"/>
      <c r="C24" s="252" t="s">
        <v>47</v>
      </c>
      <c r="D24" s="736" t="s">
        <v>12</v>
      </c>
      <c r="E24" s="737"/>
      <c r="F24" s="738"/>
      <c r="G24" s="724" t="s">
        <v>53</v>
      </c>
      <c r="H24" s="725"/>
      <c r="I24" s="726"/>
      <c r="J24" s="253" t="s">
        <v>54</v>
      </c>
      <c r="K24" s="254" t="s">
        <v>55</v>
      </c>
      <c r="L24" s="254" t="s">
        <v>56</v>
      </c>
      <c r="M24" s="254" t="s">
        <v>11</v>
      </c>
      <c r="N24" s="255" t="s">
        <v>333</v>
      </c>
      <c r="O24" s="827" t="s">
        <v>51</v>
      </c>
      <c r="P24" s="828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  <c r="AJ24" s="231"/>
    </row>
    <row r="25" spans="1:36" ht="24.95" customHeight="1">
      <c r="A25" s="714">
        <v>3</v>
      </c>
      <c r="B25" s="731" t="s">
        <v>422</v>
      </c>
      <c r="C25" s="256">
        <v>1</v>
      </c>
      <c r="D25" s="237"/>
      <c r="E25" s="238"/>
      <c r="F25" s="239"/>
      <c r="G25" s="358"/>
      <c r="H25" s="359"/>
      <c r="I25" s="360"/>
      <c r="J25" s="269"/>
      <c r="K25" s="258"/>
      <c r="L25" s="257"/>
      <c r="M25" s="325">
        <f t="shared" ref="M25:M29" si="2">L25*J25</f>
        <v>0</v>
      </c>
      <c r="N25" s="270"/>
      <c r="O25" s="822"/>
      <c r="P25" s="823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pans="1:36" ht="24.95" customHeight="1">
      <c r="A26" s="714"/>
      <c r="B26" s="731"/>
      <c r="C26" s="256">
        <v>2</v>
      </c>
      <c r="D26" s="237"/>
      <c r="E26" s="238"/>
      <c r="F26" s="239"/>
      <c r="G26" s="358"/>
      <c r="H26" s="359"/>
      <c r="I26" s="360"/>
      <c r="J26" s="269"/>
      <c r="K26" s="258"/>
      <c r="L26" s="257"/>
      <c r="M26" s="325">
        <f t="shared" si="2"/>
        <v>0</v>
      </c>
      <c r="N26" s="270"/>
      <c r="O26" s="822"/>
      <c r="P26" s="823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pans="1:36" ht="24.95" customHeight="1">
      <c r="A27" s="714"/>
      <c r="B27" s="731"/>
      <c r="C27" s="256">
        <v>3</v>
      </c>
      <c r="D27" s="237"/>
      <c r="E27" s="238"/>
      <c r="F27" s="239"/>
      <c r="G27" s="358"/>
      <c r="H27" s="359"/>
      <c r="I27" s="360"/>
      <c r="J27" s="269"/>
      <c r="K27" s="258"/>
      <c r="L27" s="257"/>
      <c r="M27" s="325">
        <f t="shared" si="2"/>
        <v>0</v>
      </c>
      <c r="N27" s="270"/>
      <c r="O27" s="822"/>
      <c r="P27" s="823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pans="1:36" ht="24.95" customHeight="1">
      <c r="A28" s="714"/>
      <c r="B28" s="731"/>
      <c r="C28" s="256">
        <v>4</v>
      </c>
      <c r="D28" s="237"/>
      <c r="E28" s="238"/>
      <c r="F28" s="239"/>
      <c r="G28" s="237"/>
      <c r="H28" s="238"/>
      <c r="I28" s="268"/>
      <c r="J28" s="269"/>
      <c r="K28" s="258"/>
      <c r="L28" s="257"/>
      <c r="M28" s="325">
        <f t="shared" si="2"/>
        <v>0</v>
      </c>
      <c r="N28" s="270"/>
      <c r="O28" s="822"/>
      <c r="P28" s="823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pans="1:36" ht="24.95" customHeight="1" thickBot="1">
      <c r="A29" s="714"/>
      <c r="B29" s="731"/>
      <c r="C29" s="262">
        <v>5</v>
      </c>
      <c r="D29" s="244"/>
      <c r="E29" s="245"/>
      <c r="F29" s="246"/>
      <c r="G29" s="244"/>
      <c r="H29" s="245"/>
      <c r="I29" s="271"/>
      <c r="J29" s="272"/>
      <c r="K29" s="264"/>
      <c r="L29" s="273"/>
      <c r="M29" s="325">
        <f t="shared" si="2"/>
        <v>0</v>
      </c>
      <c r="N29" s="270"/>
      <c r="O29" s="822"/>
      <c r="P29" s="823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pans="1:36" ht="15.75" customHeight="1" thickTop="1">
      <c r="A30" s="714"/>
      <c r="B30" s="731"/>
      <c r="C30" s="732"/>
      <c r="D30" s="733"/>
      <c r="E30" s="733"/>
      <c r="F30" s="733"/>
      <c r="G30" s="733"/>
      <c r="H30" s="733"/>
      <c r="I30" s="734"/>
      <c r="J30" s="274" t="s">
        <v>58</v>
      </c>
      <c r="K30" s="338">
        <f>M30/'生產管理報表 7-1(月)'!$B$10</f>
        <v>0</v>
      </c>
      <c r="L30" s="274" t="s">
        <v>59</v>
      </c>
      <c r="M30" s="326">
        <f>SUM(M25:M29)</f>
        <v>0</v>
      </c>
      <c r="N30" s="824"/>
      <c r="O30" s="825"/>
      <c r="P30" s="826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  <c r="AJ30" s="231"/>
    </row>
  </sheetData>
  <mergeCells count="58"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>
    <tabColor rgb="FFFF0000"/>
    <outlinePr summaryBelow="0" summaryRight="0"/>
  </sheetPr>
  <dimension ref="A1:T156"/>
  <sheetViews>
    <sheetView view="pageBreakPreview" zoomScale="91" zoomScaleNormal="60" zoomScaleSheetLayoutView="91" workbookViewId="0">
      <selection activeCell="U9" sqref="U9"/>
    </sheetView>
  </sheetViews>
  <sheetFormatPr defaultColWidth="12.5703125" defaultRowHeight="15.75" customHeight="1"/>
  <cols>
    <col min="1" max="1" width="5.42578125" style="289" customWidth="1"/>
    <col min="2" max="2" width="11.42578125" style="297" customWidth="1"/>
    <col min="3" max="3" width="4" style="298" customWidth="1"/>
    <col min="4" max="4" width="9.5703125" style="289" customWidth="1"/>
    <col min="5" max="5" width="10.28515625" style="289" customWidth="1"/>
    <col min="6" max="15" width="9.5703125" style="289" customWidth="1"/>
    <col min="16" max="16" width="52" style="289" customWidth="1"/>
    <col min="17" max="16384" width="12.5703125" style="289"/>
  </cols>
  <sheetData>
    <row r="1" spans="1:20" s="135" customFormat="1" ht="15.75" customHeight="1">
      <c r="A1" s="708" t="s">
        <v>361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8"/>
      <c r="N1" s="708"/>
      <c r="O1" s="708"/>
      <c r="P1" s="708"/>
    </row>
    <row r="2" spans="1:20" s="136" customFormat="1" ht="15.75" customHeight="1">
      <c r="A2" s="708"/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8"/>
      <c r="P2" s="708"/>
    </row>
    <row r="3" spans="1:20" s="135" customFormat="1" ht="15.75" customHeight="1">
      <c r="A3" s="709" t="s">
        <v>431</v>
      </c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709"/>
    </row>
    <row r="4" spans="1:20" s="136" customFormat="1" ht="15.75" customHeight="1">
      <c r="A4" s="745"/>
      <c r="B4" s="745"/>
      <c r="C4" s="745"/>
      <c r="D4" s="745"/>
      <c r="E4" s="745"/>
      <c r="F4" s="745"/>
      <c r="G4" s="745"/>
      <c r="H4" s="745"/>
      <c r="I4" s="745"/>
      <c r="J4" s="745"/>
      <c r="K4" s="745"/>
      <c r="L4" s="745"/>
      <c r="M4" s="745"/>
    </row>
    <row r="5" spans="1:20" s="135" customFormat="1" ht="15.75" customHeight="1">
      <c r="A5" s="746" t="s">
        <v>191</v>
      </c>
      <c r="B5" s="748">
        <v>1</v>
      </c>
      <c r="C5" s="749"/>
      <c r="D5" s="748">
        <v>2</v>
      </c>
      <c r="E5" s="749"/>
      <c r="F5" s="748">
        <v>3</v>
      </c>
      <c r="G5" s="749"/>
      <c r="H5" s="739">
        <v>4</v>
      </c>
      <c r="I5" s="740"/>
      <c r="J5" s="739">
        <v>5</v>
      </c>
      <c r="K5" s="740"/>
      <c r="L5" s="739">
        <v>6</v>
      </c>
      <c r="M5" s="740"/>
      <c r="N5" s="739">
        <v>7</v>
      </c>
      <c r="O5" s="740"/>
      <c r="P5" s="327">
        <v>8</v>
      </c>
    </row>
    <row r="6" spans="1:20" s="135" customFormat="1" ht="15.75" customHeight="1">
      <c r="A6" s="747"/>
      <c r="B6" s="743" t="s">
        <v>452</v>
      </c>
      <c r="C6" s="744"/>
      <c r="D6" s="743" t="s">
        <v>212</v>
      </c>
      <c r="E6" s="744"/>
      <c r="F6" s="743" t="s">
        <v>166</v>
      </c>
      <c r="G6" s="744"/>
      <c r="H6" s="741" t="s">
        <v>428</v>
      </c>
      <c r="I6" s="742"/>
      <c r="J6" s="741" t="s">
        <v>189</v>
      </c>
      <c r="K6" s="742"/>
      <c r="L6" s="741" t="s">
        <v>167</v>
      </c>
      <c r="M6" s="742"/>
      <c r="N6" s="741" t="s">
        <v>190</v>
      </c>
      <c r="O6" s="742"/>
      <c r="P6" s="328" t="s">
        <v>217</v>
      </c>
    </row>
    <row r="7" spans="1:20" s="135" customFormat="1" ht="15.75" customHeight="1">
      <c r="B7" s="232"/>
      <c r="C7" s="233"/>
    </row>
    <row r="8" spans="1:20" s="278" customFormat="1" ht="15.75" customHeight="1">
      <c r="A8" s="750" t="s">
        <v>191</v>
      </c>
      <c r="B8" s="751"/>
      <c r="C8" s="275" t="s">
        <v>47</v>
      </c>
      <c r="D8" s="829" t="s">
        <v>12</v>
      </c>
      <c r="E8" s="830"/>
      <c r="F8" s="831"/>
      <c r="G8" s="832" t="s">
        <v>53</v>
      </c>
      <c r="H8" s="833"/>
      <c r="I8" s="834"/>
      <c r="J8" s="276" t="s">
        <v>54</v>
      </c>
      <c r="K8" s="276" t="s">
        <v>55</v>
      </c>
      <c r="L8" s="276" t="s">
        <v>56</v>
      </c>
      <c r="M8" s="277" t="s">
        <v>11</v>
      </c>
      <c r="N8" s="277" t="s">
        <v>333</v>
      </c>
      <c r="O8" s="758" t="s">
        <v>51</v>
      </c>
      <c r="P8" s="759"/>
      <c r="R8" s="339"/>
      <c r="S8" s="340"/>
    </row>
    <row r="9" spans="1:20" s="298" customFormat="1" ht="60" customHeight="1">
      <c r="A9" s="760">
        <v>4</v>
      </c>
      <c r="B9" s="763" t="s">
        <v>428</v>
      </c>
      <c r="C9" s="279">
        <v>1</v>
      </c>
      <c r="D9" s="376" t="s">
        <v>340</v>
      </c>
      <c r="E9" s="359"/>
      <c r="F9" s="359"/>
      <c r="G9" s="357" t="s">
        <v>386</v>
      </c>
      <c r="H9" s="305"/>
      <c r="I9" s="306"/>
      <c r="J9" s="312">
        <v>127.84</v>
      </c>
      <c r="K9" s="313">
        <v>2.4214792193287355E-3</v>
      </c>
      <c r="L9" s="314">
        <v>245.98999999999978</v>
      </c>
      <c r="M9" s="322">
        <f t="shared" ref="M9:M13" si="0">L9*J9</f>
        <v>31447.361599999975</v>
      </c>
      <c r="N9" s="314"/>
      <c r="O9" s="768"/>
      <c r="P9" s="769"/>
      <c r="R9" s="341"/>
      <c r="S9" s="341"/>
    </row>
    <row r="10" spans="1:20" s="298" customFormat="1" ht="60" customHeight="1">
      <c r="A10" s="761"/>
      <c r="B10" s="764"/>
      <c r="C10" s="279">
        <v>2</v>
      </c>
      <c r="D10" s="355" t="s">
        <v>340</v>
      </c>
      <c r="E10" s="238"/>
      <c r="F10" s="238"/>
      <c r="G10" s="357" t="s">
        <v>633</v>
      </c>
      <c r="H10" s="305"/>
      <c r="I10" s="306"/>
      <c r="J10" s="312">
        <v>144.79999999999998</v>
      </c>
      <c r="K10" s="313">
        <v>2.5748786557789121E-3</v>
      </c>
      <c r="L10" s="314">
        <v>121.28999999999996</v>
      </c>
      <c r="M10" s="322">
        <f t="shared" si="0"/>
        <v>17562.791999999994</v>
      </c>
      <c r="N10" s="314"/>
      <c r="O10" s="768"/>
      <c r="P10" s="769"/>
      <c r="R10" s="341"/>
      <c r="S10" s="341"/>
    </row>
    <row r="11" spans="1:20" s="298" customFormat="1" ht="60" customHeight="1">
      <c r="A11" s="761"/>
      <c r="B11" s="764"/>
      <c r="C11" s="279">
        <v>3</v>
      </c>
      <c r="D11" s="355" t="s">
        <v>616</v>
      </c>
      <c r="E11" s="238"/>
      <c r="F11" s="238"/>
      <c r="G11" s="357" t="s">
        <v>635</v>
      </c>
      <c r="H11" s="305"/>
      <c r="I11" s="306"/>
      <c r="J11" s="312">
        <v>49.82</v>
      </c>
      <c r="K11" s="313">
        <v>6.5637832882863428E-3</v>
      </c>
      <c r="L11" s="314">
        <v>320.75</v>
      </c>
      <c r="M11" s="322">
        <f t="shared" si="0"/>
        <v>15979.764999999999</v>
      </c>
      <c r="N11" s="314"/>
      <c r="O11" s="768"/>
      <c r="P11" s="769"/>
      <c r="R11" s="341"/>
      <c r="S11" s="339"/>
    </row>
    <row r="12" spans="1:20" s="298" customFormat="1" ht="60" customHeight="1">
      <c r="A12" s="761"/>
      <c r="B12" s="764"/>
      <c r="C12" s="279">
        <v>4</v>
      </c>
      <c r="D12" s="379" t="s">
        <v>751</v>
      </c>
      <c r="E12" s="238"/>
      <c r="F12" s="238"/>
      <c r="G12" s="357" t="s">
        <v>772</v>
      </c>
      <c r="H12" s="305"/>
      <c r="I12" s="306"/>
      <c r="J12" s="312">
        <v>24.789999999999996</v>
      </c>
      <c r="K12" s="313">
        <v>5.4861446202645577E-3</v>
      </c>
      <c r="L12" s="314">
        <v>605.38000000000011</v>
      </c>
      <c r="M12" s="322">
        <f t="shared" si="0"/>
        <v>15007.370199999999</v>
      </c>
      <c r="N12" s="314"/>
      <c r="O12" s="768"/>
      <c r="P12" s="769"/>
      <c r="R12" s="341"/>
      <c r="S12" s="339"/>
    </row>
    <row r="13" spans="1:20" s="298" customFormat="1" ht="60" customHeight="1" thickBot="1">
      <c r="A13" s="761"/>
      <c r="B13" s="764"/>
      <c r="C13" s="279">
        <v>5</v>
      </c>
      <c r="D13" s="379" t="s">
        <v>750</v>
      </c>
      <c r="E13" s="245"/>
      <c r="F13" s="245"/>
      <c r="G13" s="357" t="s">
        <v>778</v>
      </c>
      <c r="H13" s="305"/>
      <c r="I13" s="306"/>
      <c r="J13" s="316">
        <v>321.61000000000007</v>
      </c>
      <c r="K13" s="264">
        <v>5.1160662705692179E-3</v>
      </c>
      <c r="L13" s="317">
        <v>41.06</v>
      </c>
      <c r="M13" s="322">
        <f t="shared" si="0"/>
        <v>13205.306600000004</v>
      </c>
      <c r="N13" s="314"/>
      <c r="O13" s="768"/>
      <c r="P13" s="769"/>
      <c r="R13" s="342"/>
      <c r="S13" s="339"/>
      <c r="T13" s="289"/>
    </row>
    <row r="14" spans="1:20" ht="15.75" customHeight="1" thickTop="1" thickBot="1">
      <c r="A14" s="762"/>
      <c r="B14" s="765"/>
      <c r="C14" s="774"/>
      <c r="D14" s="775"/>
      <c r="E14" s="775"/>
      <c r="F14" s="775"/>
      <c r="G14" s="775"/>
      <c r="H14" s="775"/>
      <c r="I14" s="776"/>
      <c r="J14" s="295" t="s">
        <v>58</v>
      </c>
      <c r="K14" s="438">
        <f>M14/'生產管理報表 7-1(月)'!$B$10</f>
        <v>7.7698321466771289E-2</v>
      </c>
      <c r="L14" s="296" t="s">
        <v>59</v>
      </c>
      <c r="M14" s="334">
        <f>SUM(M9:M13)</f>
        <v>93202.595399999962</v>
      </c>
      <c r="N14" s="777"/>
      <c r="O14" s="778"/>
      <c r="P14" s="779"/>
      <c r="R14" s="339"/>
      <c r="S14" s="339"/>
    </row>
    <row r="15" spans="1:20" ht="15.75" customHeight="1" thickTop="1">
      <c r="M15" s="329"/>
      <c r="S15" s="339"/>
    </row>
    <row r="16" spans="1:20" ht="15.75" customHeight="1">
      <c r="A16" s="750" t="s">
        <v>191</v>
      </c>
      <c r="B16" s="751"/>
      <c r="C16" s="275" t="s">
        <v>47</v>
      </c>
      <c r="D16" s="752" t="s">
        <v>12</v>
      </c>
      <c r="E16" s="753"/>
      <c r="F16" s="754"/>
      <c r="G16" s="755" t="s">
        <v>53</v>
      </c>
      <c r="H16" s="756"/>
      <c r="I16" s="757"/>
      <c r="J16" s="276" t="s">
        <v>54</v>
      </c>
      <c r="K16" s="276" t="s">
        <v>55</v>
      </c>
      <c r="L16" s="276" t="s">
        <v>56</v>
      </c>
      <c r="M16" s="330" t="s">
        <v>11</v>
      </c>
      <c r="N16" s="277" t="s">
        <v>333</v>
      </c>
      <c r="O16" s="758" t="s">
        <v>51</v>
      </c>
      <c r="P16" s="759"/>
      <c r="S16" s="340"/>
      <c r="T16" s="298"/>
    </row>
    <row r="17" spans="1:20" s="298" customFormat="1" ht="50.1" customHeight="1">
      <c r="A17" s="760">
        <v>5</v>
      </c>
      <c r="B17" s="780" t="s">
        <v>215</v>
      </c>
      <c r="C17" s="279">
        <v>1</v>
      </c>
      <c r="D17" s="237" t="s">
        <v>340</v>
      </c>
      <c r="E17" s="238"/>
      <c r="F17" s="239"/>
      <c r="G17" s="306" t="s">
        <v>336</v>
      </c>
      <c r="H17" s="305"/>
      <c r="I17" s="306"/>
      <c r="J17" s="312">
        <v>147.43000000000004</v>
      </c>
      <c r="K17" s="313">
        <v>2.2631988656981257E-3</v>
      </c>
      <c r="L17" s="314">
        <v>359.15000000000009</v>
      </c>
      <c r="M17" s="322">
        <f t="shared" ref="M17:M19" si="1">L17*J17</f>
        <v>52949.484500000028</v>
      </c>
      <c r="N17" s="314"/>
      <c r="O17" s="835"/>
      <c r="P17" s="836"/>
      <c r="S17" s="339"/>
    </row>
    <row r="18" spans="1:20" s="298" customFormat="1" ht="20.100000000000001" customHeight="1">
      <c r="A18" s="761"/>
      <c r="B18" s="781"/>
      <c r="C18" s="279">
        <v>2</v>
      </c>
      <c r="D18" s="237"/>
      <c r="E18" s="238"/>
      <c r="F18" s="239"/>
      <c r="G18" s="350"/>
      <c r="H18" s="305"/>
      <c r="I18" s="306"/>
      <c r="J18" s="312"/>
      <c r="K18" s="313"/>
      <c r="L18" s="314"/>
      <c r="M18" s="322">
        <f t="shared" si="1"/>
        <v>0</v>
      </c>
      <c r="N18" s="314"/>
      <c r="O18" s="785"/>
      <c r="P18" s="786"/>
      <c r="S18" s="289"/>
      <c r="T18" s="289"/>
    </row>
    <row r="19" spans="1:20" ht="20.100000000000001" customHeight="1">
      <c r="A19" s="761"/>
      <c r="B19" s="781"/>
      <c r="C19" s="279">
        <v>3</v>
      </c>
      <c r="D19" s="237"/>
      <c r="E19" s="281"/>
      <c r="F19" s="282"/>
      <c r="G19" s="350"/>
      <c r="H19" s="305"/>
      <c r="I19" s="306"/>
      <c r="J19" s="312"/>
      <c r="K19" s="313"/>
      <c r="L19" s="314"/>
      <c r="M19" s="322">
        <f t="shared" si="1"/>
        <v>0</v>
      </c>
      <c r="N19" s="288"/>
      <c r="O19" s="835"/>
      <c r="P19" s="836"/>
    </row>
    <row r="20" spans="1:20" ht="20.100000000000001" customHeight="1">
      <c r="A20" s="761"/>
      <c r="B20" s="781"/>
      <c r="C20" s="279">
        <v>4</v>
      </c>
      <c r="D20" s="280"/>
      <c r="E20" s="281"/>
      <c r="F20" s="282"/>
      <c r="G20" s="283"/>
      <c r="H20" s="284"/>
      <c r="I20" s="285"/>
      <c r="J20" s="286"/>
      <c r="K20" s="287"/>
      <c r="L20" s="288"/>
      <c r="M20" s="332">
        <v>0</v>
      </c>
      <c r="N20" s="288"/>
      <c r="O20" s="299"/>
      <c r="P20" s="300"/>
    </row>
    <row r="21" spans="1:20" ht="20.100000000000001" customHeight="1" thickBot="1">
      <c r="A21" s="761"/>
      <c r="B21" s="781"/>
      <c r="C21" s="279">
        <v>5</v>
      </c>
      <c r="D21" s="290"/>
      <c r="E21" s="291"/>
      <c r="F21" s="292"/>
      <c r="G21" s="283"/>
      <c r="H21" s="284"/>
      <c r="I21" s="285"/>
      <c r="J21" s="293"/>
      <c r="K21" s="264"/>
      <c r="L21" s="294"/>
      <c r="M21" s="333">
        <v>0</v>
      </c>
      <c r="N21" s="288"/>
      <c r="O21" s="301"/>
      <c r="P21" s="302"/>
      <c r="R21" s="343"/>
    </row>
    <row r="22" spans="1:20" ht="15.75" customHeight="1" thickTop="1" thickBot="1">
      <c r="A22" s="762"/>
      <c r="B22" s="782"/>
      <c r="C22" s="789"/>
      <c r="D22" s="790"/>
      <c r="E22" s="790"/>
      <c r="F22" s="790"/>
      <c r="G22" s="790"/>
      <c r="H22" s="790"/>
      <c r="I22" s="791"/>
      <c r="J22" s="295" t="s">
        <v>58</v>
      </c>
      <c r="K22" s="438">
        <f>M22/'生產管理報表 7-1(月)'!$B$10</f>
        <v>4.4141325147913503E-2</v>
      </c>
      <c r="L22" s="296" t="s">
        <v>59</v>
      </c>
      <c r="M22" s="334">
        <f>SUM(M17:M21)</f>
        <v>52949.484500000028</v>
      </c>
      <c r="N22" s="777"/>
      <c r="O22" s="778"/>
      <c r="P22" s="779"/>
      <c r="R22" s="339"/>
    </row>
    <row r="23" spans="1:20" ht="15.75" customHeight="1" thickTop="1">
      <c r="M23" s="329"/>
      <c r="R23" s="339"/>
    </row>
    <row r="24" spans="1:20" ht="15.75" customHeight="1">
      <c r="A24" s="750" t="s">
        <v>191</v>
      </c>
      <c r="B24" s="751"/>
      <c r="C24" s="303" t="s">
        <v>47</v>
      </c>
      <c r="D24" s="794" t="s">
        <v>12</v>
      </c>
      <c r="E24" s="795"/>
      <c r="F24" s="796"/>
      <c r="G24" s="797" t="s">
        <v>53</v>
      </c>
      <c r="H24" s="798"/>
      <c r="I24" s="799"/>
      <c r="J24" s="304" t="s">
        <v>54</v>
      </c>
      <c r="K24" s="276" t="s">
        <v>55</v>
      </c>
      <c r="L24" s="276" t="s">
        <v>56</v>
      </c>
      <c r="M24" s="330" t="s">
        <v>11</v>
      </c>
      <c r="N24" s="277" t="s">
        <v>333</v>
      </c>
      <c r="O24" s="758" t="s">
        <v>51</v>
      </c>
      <c r="P24" s="759"/>
      <c r="R24" s="339"/>
    </row>
    <row r="25" spans="1:20" ht="60" customHeight="1">
      <c r="A25" s="760">
        <v>6</v>
      </c>
      <c r="B25" s="780" t="s">
        <v>216</v>
      </c>
      <c r="C25" s="279">
        <v>1</v>
      </c>
      <c r="D25" s="237" t="s">
        <v>697</v>
      </c>
      <c r="E25" s="281"/>
      <c r="F25" s="281"/>
      <c r="G25" s="357" t="s">
        <v>692</v>
      </c>
      <c r="H25" s="305"/>
      <c r="I25" s="306"/>
      <c r="J25" s="312">
        <v>625.93999999999994</v>
      </c>
      <c r="K25" s="313">
        <v>1.4086793027892725E-3</v>
      </c>
      <c r="L25" s="314">
        <v>61.160000000000082</v>
      </c>
      <c r="M25" s="322">
        <f t="shared" ref="M25:M28" si="2">L25*J25</f>
        <v>38282.490400000046</v>
      </c>
      <c r="N25" s="288"/>
      <c r="O25" s="837"/>
      <c r="P25" s="838"/>
    </row>
    <row r="26" spans="1:20" ht="60" customHeight="1">
      <c r="A26" s="761"/>
      <c r="B26" s="781"/>
      <c r="C26" s="279">
        <v>2</v>
      </c>
      <c r="D26" s="237" t="s">
        <v>340</v>
      </c>
      <c r="E26" s="281"/>
      <c r="F26" s="281"/>
      <c r="G26" s="357" t="s">
        <v>534</v>
      </c>
      <c r="H26" s="305"/>
      <c r="I26" s="306"/>
      <c r="J26" s="312">
        <v>39.389999999999993</v>
      </c>
      <c r="K26" s="313">
        <v>1.1534913258360083E-3</v>
      </c>
      <c r="L26" s="314">
        <v>802.64999999999782</v>
      </c>
      <c r="M26" s="322">
        <f t="shared" si="2"/>
        <v>31616.383499999909</v>
      </c>
      <c r="N26" s="288"/>
      <c r="O26" s="839"/>
      <c r="P26" s="840"/>
    </row>
    <row r="27" spans="1:20" ht="60" customHeight="1">
      <c r="A27" s="761"/>
      <c r="B27" s="781"/>
      <c r="C27" s="279">
        <v>3</v>
      </c>
      <c r="D27" s="237" t="s">
        <v>463</v>
      </c>
      <c r="E27" s="281"/>
      <c r="F27" s="281"/>
      <c r="G27" s="357" t="s">
        <v>461</v>
      </c>
      <c r="H27" s="305"/>
      <c r="I27" s="306"/>
      <c r="J27" s="312">
        <v>407.74000000000007</v>
      </c>
      <c r="K27" s="313">
        <v>2.5483126278250247E-3</v>
      </c>
      <c r="L27" s="314">
        <v>61.649999999999864</v>
      </c>
      <c r="M27" s="322">
        <f t="shared" si="2"/>
        <v>25137.170999999948</v>
      </c>
      <c r="N27" s="288"/>
      <c r="O27" s="837"/>
      <c r="P27" s="838"/>
    </row>
    <row r="28" spans="1:20" ht="60" customHeight="1">
      <c r="A28" s="761"/>
      <c r="B28" s="781"/>
      <c r="C28" s="279">
        <v>4</v>
      </c>
      <c r="D28" s="237" t="s">
        <v>752</v>
      </c>
      <c r="E28" s="281"/>
      <c r="F28" s="281"/>
      <c r="G28" s="357" t="s">
        <v>771</v>
      </c>
      <c r="H28" s="305"/>
      <c r="I28" s="306"/>
      <c r="J28" s="312">
        <v>52.26</v>
      </c>
      <c r="K28" s="313">
        <v>4.6661396934026596E-3</v>
      </c>
      <c r="L28" s="314">
        <v>406.5</v>
      </c>
      <c r="M28" s="322">
        <f t="shared" si="2"/>
        <v>21243.69</v>
      </c>
      <c r="N28" s="288"/>
      <c r="O28" s="837"/>
      <c r="P28" s="838"/>
    </row>
    <row r="29" spans="1:20" ht="60" customHeight="1" thickBot="1">
      <c r="A29" s="761"/>
      <c r="B29" s="781"/>
      <c r="C29" s="279">
        <v>5</v>
      </c>
      <c r="D29" s="244" t="s">
        <v>614</v>
      </c>
      <c r="E29" s="291"/>
      <c r="F29" s="291"/>
      <c r="G29" s="357" t="s">
        <v>619</v>
      </c>
      <c r="H29" s="305"/>
      <c r="I29" s="306"/>
      <c r="J29" s="316">
        <v>39.389999999999993</v>
      </c>
      <c r="K29" s="264">
        <v>4.7728965701402818E-3</v>
      </c>
      <c r="L29" s="317">
        <v>363.54000000000087</v>
      </c>
      <c r="M29" s="322">
        <f>L29*J29</f>
        <v>14319.840600000032</v>
      </c>
      <c r="N29" s="288"/>
      <c r="O29" s="839"/>
      <c r="P29" s="840"/>
    </row>
    <row r="30" spans="1:20" ht="15.75" customHeight="1" thickTop="1" thickBot="1">
      <c r="A30" s="762"/>
      <c r="B30" s="782"/>
      <c r="C30" s="789"/>
      <c r="D30" s="790"/>
      <c r="E30" s="790"/>
      <c r="F30" s="790"/>
      <c r="G30" s="790"/>
      <c r="H30" s="790"/>
      <c r="I30" s="791"/>
      <c r="J30" s="295" t="s">
        <v>58</v>
      </c>
      <c r="K30" s="438">
        <f>M30/'生產管理報表 7-1(月)'!$B$10</f>
        <v>0.10887430502415886</v>
      </c>
      <c r="L30" s="296" t="s">
        <v>59</v>
      </c>
      <c r="M30" s="334">
        <f>SUM(M25:M29)</f>
        <v>130599.57549999992</v>
      </c>
      <c r="N30" s="777"/>
      <c r="O30" s="778"/>
      <c r="P30" s="779"/>
    </row>
    <row r="31" spans="1:20" ht="15.75" customHeight="1" thickTop="1">
      <c r="M31" s="329"/>
    </row>
    <row r="32" spans="1:20" ht="15.75" customHeight="1">
      <c r="A32" s="750" t="s">
        <v>191</v>
      </c>
      <c r="B32" s="751"/>
      <c r="C32" s="303" t="s">
        <v>47</v>
      </c>
      <c r="D32" s="794" t="s">
        <v>12</v>
      </c>
      <c r="E32" s="795"/>
      <c r="F32" s="796"/>
      <c r="G32" s="797" t="s">
        <v>53</v>
      </c>
      <c r="H32" s="798"/>
      <c r="I32" s="799"/>
      <c r="J32" s="304" t="s">
        <v>54</v>
      </c>
      <c r="K32" s="276" t="s">
        <v>55</v>
      </c>
      <c r="L32" s="276" t="s">
        <v>56</v>
      </c>
      <c r="M32" s="330" t="s">
        <v>11</v>
      </c>
      <c r="N32" s="277" t="s">
        <v>333</v>
      </c>
      <c r="O32" s="758" t="s">
        <v>51</v>
      </c>
      <c r="P32" s="759"/>
    </row>
    <row r="33" spans="1:16" ht="15.75" customHeight="1">
      <c r="A33" s="760">
        <v>7</v>
      </c>
      <c r="B33" s="802" t="s">
        <v>249</v>
      </c>
      <c r="C33" s="279">
        <v>1</v>
      </c>
      <c r="D33" s="280"/>
      <c r="E33" s="281"/>
      <c r="F33" s="282"/>
      <c r="G33" s="283"/>
      <c r="H33" s="284"/>
      <c r="I33" s="285"/>
      <c r="J33" s="286"/>
      <c r="K33" s="287"/>
      <c r="L33" s="288"/>
      <c r="M33" s="331">
        <f t="shared" ref="M33:M35" si="3">L33*J33</f>
        <v>0</v>
      </c>
      <c r="N33" s="288"/>
      <c r="O33" s="805"/>
      <c r="P33" s="806"/>
    </row>
    <row r="34" spans="1:16" ht="15.75" customHeight="1">
      <c r="A34" s="761"/>
      <c r="B34" s="803"/>
      <c r="C34" s="279">
        <v>2</v>
      </c>
      <c r="D34" s="280"/>
      <c r="E34" s="281"/>
      <c r="F34" s="282"/>
      <c r="G34" s="283"/>
      <c r="H34" s="284"/>
      <c r="I34" s="285"/>
      <c r="J34" s="286"/>
      <c r="K34" s="287"/>
      <c r="L34" s="288"/>
      <c r="M34" s="331">
        <f t="shared" si="3"/>
        <v>0</v>
      </c>
      <c r="N34" s="288"/>
      <c r="O34" s="807"/>
      <c r="P34" s="808"/>
    </row>
    <row r="35" spans="1:16" ht="15.75" customHeight="1">
      <c r="A35" s="761"/>
      <c r="B35" s="803"/>
      <c r="C35" s="279">
        <v>3</v>
      </c>
      <c r="D35" s="280"/>
      <c r="E35" s="281"/>
      <c r="F35" s="282"/>
      <c r="G35" s="283"/>
      <c r="H35" s="284"/>
      <c r="I35" s="285"/>
      <c r="J35" s="286"/>
      <c r="K35" s="287"/>
      <c r="L35" s="288"/>
      <c r="M35" s="331">
        <f t="shared" si="3"/>
        <v>0</v>
      </c>
      <c r="N35" s="288"/>
      <c r="O35" s="807"/>
      <c r="P35" s="808"/>
    </row>
    <row r="36" spans="1:16" ht="15.75" customHeight="1">
      <c r="A36" s="761"/>
      <c r="B36" s="803"/>
      <c r="C36" s="279">
        <v>4</v>
      </c>
      <c r="D36" s="280"/>
      <c r="E36" s="281"/>
      <c r="F36" s="282"/>
      <c r="G36" s="283"/>
      <c r="H36" s="284"/>
      <c r="I36" s="285"/>
      <c r="J36" s="286"/>
      <c r="K36" s="287"/>
      <c r="L36" s="288"/>
      <c r="M36" s="332">
        <v>0</v>
      </c>
      <c r="N36" s="288"/>
      <c r="O36" s="299"/>
      <c r="P36" s="300"/>
    </row>
    <row r="37" spans="1:16" ht="15.75" customHeight="1" thickBot="1">
      <c r="A37" s="761"/>
      <c r="B37" s="803"/>
      <c r="C37" s="279">
        <v>5</v>
      </c>
      <c r="D37" s="290"/>
      <c r="E37" s="291"/>
      <c r="F37" s="292"/>
      <c r="G37" s="283"/>
      <c r="H37" s="284"/>
      <c r="I37" s="285"/>
      <c r="J37" s="293"/>
      <c r="K37" s="264"/>
      <c r="L37" s="294"/>
      <c r="M37" s="333">
        <v>0</v>
      </c>
      <c r="N37" s="288"/>
      <c r="O37" s="301"/>
      <c r="P37" s="302"/>
    </row>
    <row r="38" spans="1:16" ht="15.75" customHeight="1" thickTop="1" thickBot="1">
      <c r="A38" s="762"/>
      <c r="B38" s="804"/>
      <c r="C38" s="789"/>
      <c r="D38" s="790"/>
      <c r="E38" s="790"/>
      <c r="F38" s="790"/>
      <c r="G38" s="790"/>
      <c r="H38" s="790"/>
      <c r="I38" s="791"/>
      <c r="J38" s="295" t="s">
        <v>58</v>
      </c>
      <c r="K38" s="438">
        <f>M38/'生產管理報表 7-1(月)'!$B$10</f>
        <v>0</v>
      </c>
      <c r="L38" s="296" t="s">
        <v>59</v>
      </c>
      <c r="M38" s="334">
        <f>SUM(M33:M37)</f>
        <v>0</v>
      </c>
      <c r="N38" s="777"/>
      <c r="O38" s="778"/>
      <c r="P38" s="779"/>
    </row>
    <row r="39" spans="1:16" ht="15.75" customHeight="1" thickTop="1"/>
    <row r="44" spans="1:16" ht="15.75" customHeight="1">
      <c r="O44" s="289" ph="1"/>
      <c r="P44" s="289" ph="1"/>
    </row>
    <row r="46" spans="1:16" ht="15.75" customHeight="1">
      <c r="O46" s="289" ph="1"/>
      <c r="P46" s="289" ph="1"/>
    </row>
    <row r="47" spans="1:16" ht="15.75" customHeight="1">
      <c r="O47" s="289" ph="1"/>
      <c r="P47" s="289" ph="1"/>
    </row>
    <row r="117" spans="15:16" ht="15.75" customHeight="1">
      <c r="O117" s="289" ph="1"/>
      <c r="P117" s="289" ph="1"/>
    </row>
    <row r="119" spans="15:16" ht="15.75" customHeight="1">
      <c r="O119" s="289" ph="1"/>
      <c r="P119" s="289" ph="1"/>
    </row>
    <row r="120" spans="15:16" ht="15.75" customHeight="1">
      <c r="O120" s="289" ph="1"/>
      <c r="P120" s="289" ph="1"/>
    </row>
    <row r="153" spans="15:16" ht="15.75" customHeight="1">
      <c r="O153" s="289" ph="1"/>
      <c r="P153" s="289" ph="1"/>
    </row>
    <row r="155" spans="15:16" ht="15.75" customHeight="1">
      <c r="O155" s="289" ph="1"/>
      <c r="P155" s="289" ph="1"/>
    </row>
    <row r="156" spans="15:16" ht="15.75" customHeight="1">
      <c r="O156" s="289" ph="1"/>
      <c r="P156" s="289" ph="1"/>
    </row>
  </sheetData>
  <mergeCells count="65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>
    <tabColor rgb="FF92D050"/>
    <outlinePr summaryBelow="0" summaryRight="0"/>
  </sheetPr>
  <dimension ref="A1:N59"/>
  <sheetViews>
    <sheetView view="pageBreakPreview" topLeftCell="A45" zoomScale="115" zoomScaleNormal="60" zoomScaleSheetLayoutView="115" workbookViewId="0">
      <selection activeCell="P51" sqref="P51"/>
    </sheetView>
  </sheetViews>
  <sheetFormatPr defaultColWidth="12.5703125" defaultRowHeight="15.75" customHeight="1"/>
  <cols>
    <col min="1" max="1" width="14.140625" style="135" customWidth="1"/>
    <col min="2" max="2" width="14.85546875" style="135" customWidth="1"/>
    <col min="3" max="3" width="12.85546875" style="135" customWidth="1"/>
    <col min="4" max="4" width="2.5703125" style="135" customWidth="1"/>
    <col min="5" max="5" width="7.5703125" style="135" customWidth="1"/>
    <col min="6" max="6" width="12.85546875" style="135" customWidth="1"/>
    <col min="7" max="7" width="9.42578125" style="135" customWidth="1"/>
    <col min="8" max="8" width="12.85546875" style="135" customWidth="1"/>
    <col min="9" max="9" width="9.42578125" style="135" customWidth="1"/>
    <col min="10" max="10" width="12.85546875" style="135" customWidth="1"/>
    <col min="11" max="11" width="9.42578125" style="135" customWidth="1"/>
    <col min="12" max="12" width="12.85546875" style="135" customWidth="1"/>
    <col min="13" max="13" width="9.42578125" style="135" customWidth="1"/>
    <col min="14" max="16384" width="12.5703125" style="135"/>
  </cols>
  <sheetData>
    <row r="1" spans="1:14" ht="15.75" customHeight="1">
      <c r="A1" s="708" t="s">
        <v>361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8"/>
    </row>
    <row r="2" spans="1:14" s="136" customFormat="1" ht="15.75" customHeight="1">
      <c r="A2" s="708"/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</row>
    <row r="3" spans="1:14" ht="15.75" customHeight="1">
      <c r="A3" s="709" t="s">
        <v>450</v>
      </c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709"/>
    </row>
    <row r="4" spans="1:14" s="136" customFormat="1" ht="15.75" customHeight="1">
      <c r="A4" s="709"/>
      <c r="B4" s="709"/>
      <c r="C4" s="709"/>
      <c r="D4" s="709"/>
      <c r="E4" s="709"/>
      <c r="F4" s="709"/>
      <c r="G4" s="709"/>
      <c r="H4" s="709"/>
      <c r="I4" s="709"/>
      <c r="J4" s="709"/>
      <c r="K4" s="709"/>
      <c r="L4" s="709"/>
      <c r="M4" s="709"/>
    </row>
    <row r="5" spans="1:14" ht="15.75" customHeight="1">
      <c r="A5" s="225" t="s">
        <v>421</v>
      </c>
      <c r="B5" s="226">
        <v>46397.166829999995</v>
      </c>
      <c r="E5" s="847" t="s">
        <v>451</v>
      </c>
      <c r="F5" s="848"/>
      <c r="G5" s="848"/>
      <c r="H5" s="848"/>
      <c r="I5" s="848"/>
      <c r="J5" s="848"/>
      <c r="K5" s="848"/>
      <c r="L5" s="848"/>
      <c r="M5" s="848"/>
      <c r="N5" s="448"/>
    </row>
    <row r="6" spans="1:14" ht="15.75" customHeight="1">
      <c r="A6" s="849" t="s">
        <v>197</v>
      </c>
      <c r="B6" s="711" t="s">
        <v>10</v>
      </c>
      <c r="C6" s="711"/>
      <c r="D6" s="712"/>
      <c r="E6" s="710" t="s">
        <v>197</v>
      </c>
      <c r="F6" s="714">
        <v>1</v>
      </c>
      <c r="G6" s="714"/>
      <c r="H6" s="714">
        <v>2</v>
      </c>
      <c r="I6" s="714"/>
      <c r="J6" s="714">
        <v>3</v>
      </c>
      <c r="K6" s="714"/>
      <c r="L6" s="714">
        <v>4</v>
      </c>
      <c r="M6" s="714"/>
    </row>
    <row r="7" spans="1:14" ht="31.35" customHeight="1">
      <c r="A7" s="849"/>
      <c r="B7" s="711"/>
      <c r="C7" s="711"/>
      <c r="D7" s="713"/>
      <c r="E7" s="710"/>
      <c r="F7" s="706" t="s">
        <v>452</v>
      </c>
      <c r="G7" s="706"/>
      <c r="H7" s="706" t="s">
        <v>240</v>
      </c>
      <c r="I7" s="706"/>
      <c r="J7" s="706" t="s">
        <v>166</v>
      </c>
      <c r="K7" s="706"/>
      <c r="L7" s="706" t="s">
        <v>428</v>
      </c>
      <c r="M7" s="706"/>
    </row>
    <row r="8" spans="1:14" ht="15.75" customHeight="1">
      <c r="A8" s="849"/>
      <c r="B8" s="154" t="s">
        <v>11</v>
      </c>
      <c r="C8" s="154" t="s">
        <v>41</v>
      </c>
      <c r="D8" s="713"/>
      <c r="E8" s="710"/>
      <c r="F8" s="154" t="s">
        <v>11</v>
      </c>
      <c r="G8" s="154" t="s">
        <v>41</v>
      </c>
      <c r="H8" s="154" t="s">
        <v>11</v>
      </c>
      <c r="I8" s="154" t="s">
        <v>41</v>
      </c>
      <c r="J8" s="154" t="s">
        <v>11</v>
      </c>
      <c r="K8" s="154" t="s">
        <v>41</v>
      </c>
      <c r="L8" s="154" t="s">
        <v>11</v>
      </c>
      <c r="M8" s="154" t="s">
        <v>41</v>
      </c>
    </row>
    <row r="9" spans="1:14" ht="19.350000000000001" customHeight="1">
      <c r="A9" s="227" t="s">
        <v>242</v>
      </c>
      <c r="B9" s="139">
        <f>日別報廢率總表!I12</f>
        <v>93200.448800000013</v>
      </c>
      <c r="C9" s="229">
        <f>B9/($B$5*1000)</f>
        <v>2.0087530159220287E-3</v>
      </c>
      <c r="D9" s="713"/>
      <c r="E9" s="138" t="s">
        <v>242</v>
      </c>
      <c r="F9" s="141">
        <f>'報廢20大－原因別分析'!AG120</f>
        <v>11669.386100000003</v>
      </c>
      <c r="G9" s="142">
        <f>'報廢20大－原因別分析'!AG121</f>
        <v>0.55000000000000004</v>
      </c>
      <c r="H9" s="141">
        <f>'報廢20大－原因別分析'!AH120</f>
        <v>0</v>
      </c>
      <c r="I9" s="142">
        <f>'報廢20大－原因別分析'!AH121</f>
        <v>0</v>
      </c>
      <c r="J9" s="141">
        <f>'報廢20大－原因別分析'!AI120</f>
        <v>6221.9974000000002</v>
      </c>
      <c r="K9" s="142">
        <f>'報廢20大－原因別分析'!AI121</f>
        <v>0.2</v>
      </c>
      <c r="L9" s="141">
        <f>'報廢20大－原因別分析'!AJ120</f>
        <v>0</v>
      </c>
      <c r="M9" s="142">
        <f>'報廢20大－原因別分析'!AJ121</f>
        <v>0</v>
      </c>
    </row>
    <row r="10" spans="1:14" ht="19.350000000000001" customHeight="1">
      <c r="A10" s="228" t="s">
        <v>243</v>
      </c>
      <c r="B10" s="144">
        <f>日別報廢率總表!J12</f>
        <v>279158.78502000007</v>
      </c>
      <c r="C10" s="140">
        <f>B10/($B$5*1000)</f>
        <v>6.0167205045696557E-3</v>
      </c>
      <c r="D10" s="713"/>
      <c r="E10" s="143" t="s">
        <v>243</v>
      </c>
      <c r="F10" s="141">
        <f>'超用20大－原因別分析'!AG120</f>
        <v>0</v>
      </c>
      <c r="G10" s="142">
        <f>'超用20大－原因別分析'!AG121</f>
        <v>0</v>
      </c>
      <c r="H10" s="141">
        <f>'超用20大－原因別分析'!AH120</f>
        <v>0</v>
      </c>
      <c r="I10" s="142">
        <f>'超用20大－原因別分析'!AH121</f>
        <v>0</v>
      </c>
      <c r="J10" s="141">
        <f>'超用20大－原因別分析'!AI120</f>
        <v>0</v>
      </c>
      <c r="K10" s="142">
        <f>'超用20大－原因別分析'!AI121</f>
        <v>0</v>
      </c>
      <c r="L10" s="141">
        <f>'超用20大－原因別分析'!AJ120</f>
        <v>57234.067640000016</v>
      </c>
      <c r="M10" s="142">
        <f>'超用20大－原因別分析'!AJ121</f>
        <v>0.6</v>
      </c>
    </row>
    <row r="11" spans="1:14" ht="15.75" customHeight="1">
      <c r="A11" s="224" t="s">
        <v>418</v>
      </c>
      <c r="B11" s="381" t="s">
        <v>706</v>
      </c>
      <c r="C11" s="223"/>
      <c r="D11" s="713"/>
      <c r="E11" s="710" t="s">
        <v>197</v>
      </c>
      <c r="F11" s="748">
        <v>5</v>
      </c>
      <c r="G11" s="749"/>
      <c r="H11" s="748">
        <v>6</v>
      </c>
      <c r="I11" s="749"/>
      <c r="J11" s="748">
        <v>7</v>
      </c>
      <c r="K11" s="749"/>
      <c r="L11" s="841"/>
      <c r="M11" s="842"/>
    </row>
    <row r="12" spans="1:14" ht="31.35" customHeight="1">
      <c r="A12" s="135" t="s">
        <v>419</v>
      </c>
      <c r="B12" s="381" t="s">
        <v>706</v>
      </c>
      <c r="C12" s="223"/>
      <c r="D12" s="713"/>
      <c r="E12" s="710"/>
      <c r="F12" s="843" t="s">
        <v>189</v>
      </c>
      <c r="G12" s="844"/>
      <c r="H12" s="843" t="s">
        <v>167</v>
      </c>
      <c r="I12" s="844"/>
      <c r="J12" s="843" t="s">
        <v>190</v>
      </c>
      <c r="K12" s="844"/>
      <c r="L12" s="845"/>
      <c r="M12" s="846"/>
    </row>
    <row r="13" spans="1:14" ht="15.75" customHeight="1">
      <c r="D13" s="713"/>
      <c r="E13" s="710"/>
      <c r="F13" s="154" t="s">
        <v>11</v>
      </c>
      <c r="G13" s="154" t="s">
        <v>41</v>
      </c>
      <c r="H13" s="154" t="s">
        <v>11</v>
      </c>
      <c r="I13" s="154" t="s">
        <v>41</v>
      </c>
      <c r="J13" s="154" t="s">
        <v>11</v>
      </c>
      <c r="K13" s="154" t="s">
        <v>41</v>
      </c>
      <c r="L13" s="154"/>
      <c r="M13" s="154"/>
    </row>
    <row r="14" spans="1:14" ht="19.350000000000001" customHeight="1">
      <c r="D14" s="713"/>
      <c r="E14" s="138" t="s">
        <v>242</v>
      </c>
      <c r="F14" s="141">
        <f>'報廢20大－原因別分析'!AK120</f>
        <v>0</v>
      </c>
      <c r="G14" s="142">
        <f>'報廢20大－原因別分析'!AK121</f>
        <v>0</v>
      </c>
      <c r="H14" s="141">
        <f>'報廢20大－原因別分析'!AL120</f>
        <v>7207.4537999999993</v>
      </c>
      <c r="I14" s="142">
        <f>'報廢20大－原因別分析'!AL121</f>
        <v>0.25</v>
      </c>
      <c r="J14" s="141">
        <f>'報廢20大－原因別分析'!AM120</f>
        <v>0</v>
      </c>
      <c r="K14" s="142">
        <f>'報廢20大－原因別分析'!AM121</f>
        <v>0</v>
      </c>
      <c r="L14" s="141"/>
      <c r="M14" s="142"/>
    </row>
    <row r="15" spans="1:14" ht="19.350000000000001" customHeight="1">
      <c r="D15" s="713"/>
      <c r="E15" s="143" t="s">
        <v>243</v>
      </c>
      <c r="F15" s="141">
        <f>'超用20大－原因別分析'!AK120</f>
        <v>9270.3984000000182</v>
      </c>
      <c r="G15" s="142">
        <f>'超用20大－原因別分析'!AK121</f>
        <v>0.05</v>
      </c>
      <c r="H15" s="141">
        <f>'超用20大－原因別分析'!AL120</f>
        <v>34878.453199999967</v>
      </c>
      <c r="I15" s="142">
        <f>'超用20大－原因別分析'!AL121</f>
        <v>0.35</v>
      </c>
      <c r="J15" s="141">
        <f>'超用20大－原因別分析'!AM120</f>
        <v>0</v>
      </c>
      <c r="K15" s="142">
        <f>'超用20大－原因別分析'!AM121</f>
        <v>0</v>
      </c>
      <c r="L15" s="141"/>
      <c r="M15" s="142"/>
    </row>
    <row r="16" spans="1:14" ht="15.75" customHeight="1">
      <c r="A16" s="225" t="s">
        <v>421</v>
      </c>
      <c r="B16" s="226">
        <v>48409.401949999999</v>
      </c>
      <c r="E16" s="847" t="s">
        <v>451</v>
      </c>
      <c r="F16" s="848"/>
      <c r="G16" s="848"/>
      <c r="H16" s="848"/>
      <c r="I16" s="848"/>
      <c r="J16" s="848"/>
      <c r="K16" s="848"/>
      <c r="L16" s="848"/>
      <c r="M16" s="848"/>
      <c r="N16" s="448"/>
    </row>
    <row r="17" spans="1:14" ht="15.75" customHeight="1">
      <c r="A17" s="849" t="s">
        <v>197</v>
      </c>
      <c r="B17" s="711" t="s">
        <v>10</v>
      </c>
      <c r="C17" s="711"/>
      <c r="D17" s="712"/>
      <c r="E17" s="710" t="s">
        <v>197</v>
      </c>
      <c r="F17" s="714">
        <v>1</v>
      </c>
      <c r="G17" s="714"/>
      <c r="H17" s="714">
        <v>2</v>
      </c>
      <c r="I17" s="714"/>
      <c r="J17" s="714">
        <v>3</v>
      </c>
      <c r="K17" s="714"/>
      <c r="L17" s="714">
        <v>4</v>
      </c>
      <c r="M17" s="714"/>
    </row>
    <row r="18" spans="1:14" ht="31.35" customHeight="1">
      <c r="A18" s="849"/>
      <c r="B18" s="711"/>
      <c r="C18" s="711"/>
      <c r="D18" s="713"/>
      <c r="E18" s="710"/>
      <c r="F18" s="706" t="s">
        <v>452</v>
      </c>
      <c r="G18" s="706"/>
      <c r="H18" s="706" t="s">
        <v>240</v>
      </c>
      <c r="I18" s="706"/>
      <c r="J18" s="706" t="s">
        <v>166</v>
      </c>
      <c r="K18" s="706"/>
      <c r="L18" s="706" t="s">
        <v>428</v>
      </c>
      <c r="M18" s="706"/>
    </row>
    <row r="19" spans="1:14" ht="15.75" customHeight="1">
      <c r="A19" s="849"/>
      <c r="B19" s="154" t="s">
        <v>11</v>
      </c>
      <c r="C19" s="154" t="s">
        <v>41</v>
      </c>
      <c r="D19" s="713"/>
      <c r="E19" s="710"/>
      <c r="F19" s="154" t="s">
        <v>11</v>
      </c>
      <c r="G19" s="154" t="s">
        <v>41</v>
      </c>
      <c r="H19" s="154" t="s">
        <v>11</v>
      </c>
      <c r="I19" s="154" t="s">
        <v>41</v>
      </c>
      <c r="J19" s="154" t="s">
        <v>11</v>
      </c>
      <c r="K19" s="154" t="s">
        <v>41</v>
      </c>
      <c r="L19" s="154" t="s">
        <v>11</v>
      </c>
      <c r="M19" s="154" t="s">
        <v>41</v>
      </c>
    </row>
    <row r="20" spans="1:14" ht="19.350000000000001" customHeight="1">
      <c r="A20" s="227" t="s">
        <v>242</v>
      </c>
      <c r="B20" s="139">
        <f>日別報廢率總表!I19</f>
        <v>97471.614600000001</v>
      </c>
      <c r="C20" s="229">
        <f>B20/($B$16*1000)</f>
        <v>2.013485204809476E-3</v>
      </c>
      <c r="D20" s="713"/>
      <c r="E20" s="138" t="s">
        <v>242</v>
      </c>
      <c r="F20" s="141">
        <f>'報廢20大－原因別分析'!AG142</f>
        <v>7386.9941000000008</v>
      </c>
      <c r="G20" s="142">
        <f>'報廢20大－原因別分析'!AG143</f>
        <v>0.35</v>
      </c>
      <c r="H20" s="141">
        <f>'報廢20大－原因別分析'!AH142</f>
        <v>0</v>
      </c>
      <c r="I20" s="142">
        <f>'報廢20大－原因別分析'!AH143</f>
        <v>0</v>
      </c>
      <c r="J20" s="141">
        <f>'報廢20大－原因別分析'!AI142</f>
        <v>9438.261599999998</v>
      </c>
      <c r="K20" s="142">
        <f>'報廢20大－原因別分析'!AI143</f>
        <v>0.35</v>
      </c>
      <c r="L20" s="141">
        <f>'報廢20大－原因別分析'!AJ142</f>
        <v>0</v>
      </c>
      <c r="M20" s="142">
        <f>'報廢20大－原因別分析'!AJ143</f>
        <v>0</v>
      </c>
    </row>
    <row r="21" spans="1:14" ht="19.350000000000001" customHeight="1">
      <c r="A21" s="228" t="s">
        <v>243</v>
      </c>
      <c r="B21" s="144">
        <f>日別報廢率總表!J19</f>
        <v>292062.31539999996</v>
      </c>
      <c r="C21" s="140">
        <f>B21/($B$16*1000)</f>
        <v>6.0331733844111238E-3</v>
      </c>
      <c r="D21" s="713"/>
      <c r="E21" s="143" t="s">
        <v>243</v>
      </c>
      <c r="F21" s="141">
        <f>'超用20大－原因別分析'!AG142</f>
        <v>0</v>
      </c>
      <c r="G21" s="142">
        <f>'超用20大－原因別分析'!AG143</f>
        <v>0</v>
      </c>
      <c r="H21" s="141">
        <f>'超用20大－原因別分析'!AH142</f>
        <v>0</v>
      </c>
      <c r="I21" s="142">
        <f>'超用20大－原因別分析'!AH143</f>
        <v>0</v>
      </c>
      <c r="J21" s="141">
        <f>'超用20大－原因別分析'!AI142</f>
        <v>0</v>
      </c>
      <c r="K21" s="142">
        <f>'超用20大－原因別分析'!AI143</f>
        <v>0</v>
      </c>
      <c r="L21" s="141">
        <f>'超用20大－原因別分析'!AJ142</f>
        <v>59297.47359999999</v>
      </c>
      <c r="M21" s="142">
        <f>'超用20大－原因別分析'!AJ143</f>
        <v>0.6</v>
      </c>
    </row>
    <row r="22" spans="1:14" ht="15.75" customHeight="1">
      <c r="A22" s="224" t="s">
        <v>418</v>
      </c>
      <c r="B22" s="381" t="s">
        <v>753</v>
      </c>
      <c r="C22" s="223"/>
      <c r="D22" s="713"/>
      <c r="E22" s="710" t="s">
        <v>197</v>
      </c>
      <c r="F22" s="748">
        <v>5</v>
      </c>
      <c r="G22" s="749"/>
      <c r="H22" s="748">
        <v>6</v>
      </c>
      <c r="I22" s="749"/>
      <c r="J22" s="748">
        <v>7</v>
      </c>
      <c r="K22" s="749"/>
      <c r="L22" s="841"/>
      <c r="M22" s="842"/>
    </row>
    <row r="23" spans="1:14" ht="31.35" customHeight="1">
      <c r="A23" s="135" t="s">
        <v>419</v>
      </c>
      <c r="B23" s="381" t="s">
        <v>753</v>
      </c>
      <c r="C23" s="223"/>
      <c r="D23" s="713"/>
      <c r="E23" s="710"/>
      <c r="F23" s="843" t="s">
        <v>189</v>
      </c>
      <c r="G23" s="844"/>
      <c r="H23" s="843" t="s">
        <v>167</v>
      </c>
      <c r="I23" s="844"/>
      <c r="J23" s="843" t="s">
        <v>190</v>
      </c>
      <c r="K23" s="844"/>
      <c r="L23" s="845"/>
      <c r="M23" s="846"/>
    </row>
    <row r="24" spans="1:14" ht="15.75" customHeight="1">
      <c r="D24" s="713"/>
      <c r="E24" s="710"/>
      <c r="F24" s="154" t="s">
        <v>11</v>
      </c>
      <c r="G24" s="154" t="s">
        <v>41</v>
      </c>
      <c r="H24" s="154" t="s">
        <v>11</v>
      </c>
      <c r="I24" s="154" t="s">
        <v>41</v>
      </c>
      <c r="J24" s="154" t="s">
        <v>11</v>
      </c>
      <c r="K24" s="154" t="s">
        <v>41</v>
      </c>
      <c r="L24" s="154"/>
      <c r="M24" s="154"/>
    </row>
    <row r="25" spans="1:14" ht="19.350000000000001" customHeight="1">
      <c r="D25" s="713"/>
      <c r="E25" s="138" t="s">
        <v>242</v>
      </c>
      <c r="F25" s="141">
        <f>'報廢20大－原因別分析'!AK142</f>
        <v>1637.9473000000003</v>
      </c>
      <c r="G25" s="142">
        <f>'報廢20大－原因別分析'!AK143</f>
        <v>0.05</v>
      </c>
      <c r="H25" s="141">
        <f>'報廢20大－原因別分析'!AL142</f>
        <v>7115.5838000000003</v>
      </c>
      <c r="I25" s="142">
        <f>'報廢20大－原因別分析'!AL143</f>
        <v>0.25</v>
      </c>
      <c r="J25" s="141">
        <f>'報廢20大－原因別分析'!AM142</f>
        <v>0</v>
      </c>
      <c r="K25" s="142">
        <f>'報廢20大－原因別分析'!AM143</f>
        <v>0</v>
      </c>
      <c r="L25" s="141"/>
      <c r="M25" s="142"/>
    </row>
    <row r="26" spans="1:14" ht="19.350000000000001" customHeight="1">
      <c r="D26" s="713"/>
      <c r="E26" s="143" t="s">
        <v>243</v>
      </c>
      <c r="F26" s="141">
        <f>'超用20大－原因別分析'!AK142</f>
        <v>11128.016399999939</v>
      </c>
      <c r="G26" s="142">
        <f>'超用20大－原因別分析'!AK143</f>
        <v>0.05</v>
      </c>
      <c r="H26" s="141">
        <f>'超用20大－原因別分析'!AL142</f>
        <v>39880.301799999957</v>
      </c>
      <c r="I26" s="142">
        <f>'超用20大－原因別分析'!AL143</f>
        <v>0.35</v>
      </c>
      <c r="J26" s="141">
        <f>'超用20大－原因別分析'!AM142</f>
        <v>0</v>
      </c>
      <c r="K26" s="142">
        <f>'超用20大－原因別分析'!AM143</f>
        <v>0</v>
      </c>
      <c r="L26" s="141"/>
      <c r="M26" s="142"/>
    </row>
    <row r="27" spans="1:14" ht="15.75" customHeight="1">
      <c r="A27" s="225" t="s">
        <v>421</v>
      </c>
      <c r="B27" s="226">
        <v>43787.408530000001</v>
      </c>
      <c r="E27" s="847" t="s">
        <v>451</v>
      </c>
      <c r="F27" s="848"/>
      <c r="G27" s="848"/>
      <c r="H27" s="848"/>
      <c r="I27" s="848"/>
      <c r="J27" s="848"/>
      <c r="K27" s="848"/>
      <c r="L27" s="848"/>
      <c r="M27" s="848"/>
      <c r="N27" s="448"/>
    </row>
    <row r="28" spans="1:14" ht="15.75" customHeight="1">
      <c r="A28" s="849" t="s">
        <v>197</v>
      </c>
      <c r="B28" s="711" t="s">
        <v>10</v>
      </c>
      <c r="C28" s="711"/>
      <c r="D28" s="712"/>
      <c r="E28" s="710" t="s">
        <v>197</v>
      </c>
      <c r="F28" s="714">
        <v>1</v>
      </c>
      <c r="G28" s="714"/>
      <c r="H28" s="714">
        <v>2</v>
      </c>
      <c r="I28" s="714"/>
      <c r="J28" s="714">
        <v>3</v>
      </c>
      <c r="K28" s="714"/>
      <c r="L28" s="714">
        <v>4</v>
      </c>
      <c r="M28" s="714"/>
    </row>
    <row r="29" spans="1:14" ht="31.35" customHeight="1">
      <c r="A29" s="849"/>
      <c r="B29" s="711"/>
      <c r="C29" s="711"/>
      <c r="D29" s="713"/>
      <c r="E29" s="710"/>
      <c r="F29" s="706" t="s">
        <v>452</v>
      </c>
      <c r="G29" s="706"/>
      <c r="H29" s="706" t="s">
        <v>240</v>
      </c>
      <c r="I29" s="706"/>
      <c r="J29" s="706" t="s">
        <v>166</v>
      </c>
      <c r="K29" s="706"/>
      <c r="L29" s="706" t="s">
        <v>428</v>
      </c>
      <c r="M29" s="706"/>
    </row>
    <row r="30" spans="1:14" ht="15.75" customHeight="1">
      <c r="A30" s="849"/>
      <c r="B30" s="154" t="s">
        <v>11</v>
      </c>
      <c r="C30" s="154" t="s">
        <v>41</v>
      </c>
      <c r="D30" s="713"/>
      <c r="E30" s="710"/>
      <c r="F30" s="154" t="s">
        <v>11</v>
      </c>
      <c r="G30" s="154" t="s">
        <v>41</v>
      </c>
      <c r="H30" s="154" t="s">
        <v>11</v>
      </c>
      <c r="I30" s="154" t="s">
        <v>41</v>
      </c>
      <c r="J30" s="154" t="s">
        <v>11</v>
      </c>
      <c r="K30" s="154" t="s">
        <v>41</v>
      </c>
      <c r="L30" s="154" t="s">
        <v>11</v>
      </c>
      <c r="M30" s="154" t="s">
        <v>41</v>
      </c>
    </row>
    <row r="31" spans="1:14" ht="19.350000000000001" customHeight="1">
      <c r="A31" s="227" t="s">
        <v>242</v>
      </c>
      <c r="B31" s="139">
        <f>日別報廢率總表!I26</f>
        <v>87758.882100000003</v>
      </c>
      <c r="C31" s="229">
        <f>B31/($B$27*1000)</f>
        <v>2.0042036066115648E-3</v>
      </c>
      <c r="D31" s="713"/>
      <c r="E31" s="138" t="s">
        <v>242</v>
      </c>
      <c r="F31" s="141">
        <f>'報廢20大－原因別分析'!AG164</f>
        <v>9777.4308000000037</v>
      </c>
      <c r="G31" s="142">
        <f>'報廢20大－原因別分析'!AG165</f>
        <v>0.45</v>
      </c>
      <c r="H31" s="141">
        <f>'報廢20大－原因別分析'!AH164</f>
        <v>0</v>
      </c>
      <c r="I31" s="142">
        <f>'報廢20大－原因別分析'!AH165</f>
        <v>0</v>
      </c>
      <c r="J31" s="141">
        <f>'報廢20大－原因別分析'!AI164</f>
        <v>10109.269</v>
      </c>
      <c r="K31" s="142">
        <f>'報廢20大－原因別分析'!AI165</f>
        <v>0.3</v>
      </c>
      <c r="L31" s="141">
        <f>'報廢20大－原因別分析'!AJ164</f>
        <v>0</v>
      </c>
      <c r="M31" s="142">
        <f>'報廢20大－原因別分析'!AJ165</f>
        <v>0</v>
      </c>
    </row>
    <row r="32" spans="1:14" ht="19.350000000000001" customHeight="1">
      <c r="A32" s="228" t="s">
        <v>243</v>
      </c>
      <c r="B32" s="144">
        <f>日別報廢率總表!J26</f>
        <v>263344.06062999996</v>
      </c>
      <c r="C32" s="140">
        <f>B32/($B$27*1000)</f>
        <v>6.0141504023828096E-3</v>
      </c>
      <c r="D32" s="713"/>
      <c r="E32" s="143" t="s">
        <v>243</v>
      </c>
      <c r="F32" s="141">
        <f>'超用20大－原因別分析'!AG164</f>
        <v>0</v>
      </c>
      <c r="G32" s="142">
        <f>'超用20大－原因別分析'!AG165</f>
        <v>0</v>
      </c>
      <c r="H32" s="141">
        <f>'超用20大－原因別分析'!AH164</f>
        <v>0</v>
      </c>
      <c r="I32" s="142">
        <f>'超用20大－原因別分析'!AH165</f>
        <v>0</v>
      </c>
      <c r="J32" s="141">
        <f>'超用20大－原因別分析'!AI164</f>
        <v>0</v>
      </c>
      <c r="K32" s="142">
        <f>'超用20大－原因別分析'!AI165</f>
        <v>0</v>
      </c>
      <c r="L32" s="141">
        <f>'超用20大－原因別分析'!AJ164</f>
        <v>49324.882600000026</v>
      </c>
      <c r="M32" s="142">
        <f>'超用20大－原因別分析'!AJ165</f>
        <v>0.55000000000000004</v>
      </c>
    </row>
    <row r="33" spans="1:14" ht="15.75" customHeight="1">
      <c r="A33" s="224" t="s">
        <v>418</v>
      </c>
      <c r="B33" s="381" t="s">
        <v>797</v>
      </c>
      <c r="C33" s="223"/>
      <c r="D33" s="713"/>
      <c r="E33" s="710" t="s">
        <v>197</v>
      </c>
      <c r="F33" s="748">
        <v>5</v>
      </c>
      <c r="G33" s="749"/>
      <c r="H33" s="748">
        <v>6</v>
      </c>
      <c r="I33" s="749"/>
      <c r="J33" s="748">
        <v>7</v>
      </c>
      <c r="K33" s="749"/>
      <c r="L33" s="841"/>
      <c r="M33" s="842"/>
    </row>
    <row r="34" spans="1:14" ht="31.35" customHeight="1">
      <c r="A34" s="135" t="s">
        <v>419</v>
      </c>
      <c r="B34" s="381" t="s">
        <v>797</v>
      </c>
      <c r="C34" s="223"/>
      <c r="D34" s="713"/>
      <c r="E34" s="710"/>
      <c r="F34" s="843" t="s">
        <v>189</v>
      </c>
      <c r="G34" s="844"/>
      <c r="H34" s="843" t="s">
        <v>167</v>
      </c>
      <c r="I34" s="844"/>
      <c r="J34" s="843" t="s">
        <v>190</v>
      </c>
      <c r="K34" s="844"/>
      <c r="L34" s="845"/>
      <c r="M34" s="846"/>
    </row>
    <row r="35" spans="1:14" ht="15.75" customHeight="1">
      <c r="D35" s="713"/>
      <c r="E35" s="710"/>
      <c r="F35" s="154" t="s">
        <v>11</v>
      </c>
      <c r="G35" s="154" t="s">
        <v>41</v>
      </c>
      <c r="H35" s="154" t="s">
        <v>11</v>
      </c>
      <c r="I35" s="154" t="s">
        <v>41</v>
      </c>
      <c r="J35" s="154" t="s">
        <v>11</v>
      </c>
      <c r="K35" s="154" t="s">
        <v>41</v>
      </c>
      <c r="L35" s="154"/>
      <c r="M35" s="154"/>
    </row>
    <row r="36" spans="1:14" ht="19.350000000000001" customHeight="1">
      <c r="D36" s="713"/>
      <c r="E36" s="138" t="s">
        <v>242</v>
      </c>
      <c r="F36" s="141">
        <f>'報廢20大－原因別分析'!AK164</f>
        <v>2642.8573000000006</v>
      </c>
      <c r="G36" s="142">
        <f>'報廢20大－原因別分析'!AK165</f>
        <v>0.1</v>
      </c>
      <c r="H36" s="141">
        <f>'報廢20大－原因別分析'!AL164</f>
        <v>5259.3654000000006</v>
      </c>
      <c r="I36" s="142">
        <f>'報廢20大－原因別分析'!AL165</f>
        <v>0.15</v>
      </c>
      <c r="J36" s="141">
        <f>'報廢20大－原因別分析'!AM164</f>
        <v>0</v>
      </c>
      <c r="K36" s="142">
        <f>'報廢20大－原因別分析'!AM165</f>
        <v>0</v>
      </c>
      <c r="L36" s="141"/>
      <c r="M36" s="142"/>
    </row>
    <row r="37" spans="1:14" ht="19.350000000000001" customHeight="1">
      <c r="D37" s="713"/>
      <c r="E37" s="143" t="s">
        <v>243</v>
      </c>
      <c r="F37" s="141">
        <f>'超用20大－原因別分析'!AK164</f>
        <v>12336.942400000045</v>
      </c>
      <c r="G37" s="142">
        <f>'超用20大－原因別分析'!AK165</f>
        <v>0.05</v>
      </c>
      <c r="H37" s="141">
        <f>'超用20大－原因別分析'!AL164</f>
        <v>44418.50460000008</v>
      </c>
      <c r="I37" s="142">
        <f>'超用20大－原因別分析'!AL165</f>
        <v>0.4</v>
      </c>
      <c r="J37" s="141">
        <f>'超用20大－原因別分析'!AM164</f>
        <v>0</v>
      </c>
      <c r="K37" s="142">
        <f>'超用20大－原因別分析'!AM165</f>
        <v>0</v>
      </c>
      <c r="L37" s="141"/>
      <c r="M37" s="142"/>
    </row>
    <row r="38" spans="1:14" ht="15.75" customHeight="1">
      <c r="A38" s="225" t="s">
        <v>421</v>
      </c>
      <c r="B38" s="226">
        <v>44483.628960000002</v>
      </c>
      <c r="E38" s="847" t="s">
        <v>451</v>
      </c>
      <c r="F38" s="848"/>
      <c r="G38" s="848"/>
      <c r="H38" s="848"/>
      <c r="I38" s="848"/>
      <c r="J38" s="848"/>
      <c r="K38" s="848"/>
      <c r="L38" s="848"/>
      <c r="M38" s="848"/>
      <c r="N38" s="448"/>
    </row>
    <row r="39" spans="1:14" ht="15.75" customHeight="1">
      <c r="A39" s="849" t="s">
        <v>197</v>
      </c>
      <c r="B39" s="711" t="s">
        <v>10</v>
      </c>
      <c r="C39" s="711"/>
      <c r="D39" s="712"/>
      <c r="E39" s="710" t="s">
        <v>197</v>
      </c>
      <c r="F39" s="714">
        <v>1</v>
      </c>
      <c r="G39" s="714"/>
      <c r="H39" s="714">
        <v>2</v>
      </c>
      <c r="I39" s="714"/>
      <c r="J39" s="714">
        <v>3</v>
      </c>
      <c r="K39" s="714"/>
      <c r="L39" s="714">
        <v>4</v>
      </c>
      <c r="M39" s="714"/>
    </row>
    <row r="40" spans="1:14" ht="31.35" customHeight="1">
      <c r="A40" s="849"/>
      <c r="B40" s="711"/>
      <c r="C40" s="711"/>
      <c r="D40" s="713"/>
      <c r="E40" s="710"/>
      <c r="F40" s="706" t="s">
        <v>452</v>
      </c>
      <c r="G40" s="706"/>
      <c r="H40" s="706" t="s">
        <v>240</v>
      </c>
      <c r="I40" s="706"/>
      <c r="J40" s="706" t="s">
        <v>166</v>
      </c>
      <c r="K40" s="706"/>
      <c r="L40" s="706" t="s">
        <v>428</v>
      </c>
      <c r="M40" s="706"/>
    </row>
    <row r="41" spans="1:14" ht="15.75" customHeight="1">
      <c r="A41" s="849"/>
      <c r="B41" s="154" t="s">
        <v>11</v>
      </c>
      <c r="C41" s="154" t="s">
        <v>41</v>
      </c>
      <c r="D41" s="713"/>
      <c r="E41" s="710"/>
      <c r="F41" s="154" t="s">
        <v>11</v>
      </c>
      <c r="G41" s="154" t="s">
        <v>41</v>
      </c>
      <c r="H41" s="154" t="s">
        <v>11</v>
      </c>
      <c r="I41" s="154" t="s">
        <v>41</v>
      </c>
      <c r="J41" s="154" t="s">
        <v>11</v>
      </c>
      <c r="K41" s="154" t="s">
        <v>41</v>
      </c>
      <c r="L41" s="154" t="s">
        <v>11</v>
      </c>
      <c r="M41" s="154" t="s">
        <v>41</v>
      </c>
    </row>
    <row r="42" spans="1:14" ht="19.350000000000001" customHeight="1">
      <c r="A42" s="227" t="s">
        <v>242</v>
      </c>
      <c r="B42" s="139">
        <f>日別報廢率總表!I33</f>
        <v>89282.949400000027</v>
      </c>
      <c r="C42" s="229">
        <f>B42/($B$38*1000)</f>
        <v>2.0070968013936969E-3</v>
      </c>
      <c r="D42" s="713"/>
      <c r="E42" s="138" t="s">
        <v>242</v>
      </c>
      <c r="F42" s="141">
        <f>'報廢20大－原因別分析'!AG186</f>
        <v>10570.677299999999</v>
      </c>
      <c r="G42" s="142">
        <f>'報廢20大－原因別分析'!AG187</f>
        <v>0.55000000000000004</v>
      </c>
      <c r="H42" s="141">
        <f>'報廢20大－原因別分析'!AH186</f>
        <v>0</v>
      </c>
      <c r="I42" s="142">
        <f>'報廢20大－原因別分析'!AH187</f>
        <v>0</v>
      </c>
      <c r="J42" s="141">
        <f>'報廢20大－原因別分析'!AI186</f>
        <v>5691.6737999999996</v>
      </c>
      <c r="K42" s="142">
        <f>'報廢20大－原因別分析'!AI187</f>
        <v>0.2</v>
      </c>
      <c r="L42" s="141">
        <f>'報廢20大－原因別分析'!AJ186</f>
        <v>0</v>
      </c>
      <c r="M42" s="142">
        <f>'報廢20大－原因別分析'!AJ187</f>
        <v>0</v>
      </c>
    </row>
    <row r="43" spans="1:14" ht="19.350000000000001" customHeight="1">
      <c r="A43" s="228" t="s">
        <v>243</v>
      </c>
      <c r="B43" s="144">
        <f>日別報廢率總表!J33</f>
        <v>267319.10031999997</v>
      </c>
      <c r="C43" s="140">
        <f>B43/($B$38*1000)</f>
        <v>6.0093815763182278E-3</v>
      </c>
      <c r="D43" s="713"/>
      <c r="E43" s="143" t="s">
        <v>243</v>
      </c>
      <c r="F43" s="141">
        <f>'超用20大－原因別分析'!AG186</f>
        <v>0</v>
      </c>
      <c r="G43" s="142">
        <f>'超用20大－原因別分析'!AG187</f>
        <v>0</v>
      </c>
      <c r="H43" s="141">
        <f>'超用20大－原因別分析'!AH186</f>
        <v>0</v>
      </c>
      <c r="I43" s="142">
        <f>'超用20大－原因別分析'!AH187</f>
        <v>0</v>
      </c>
      <c r="J43" s="141">
        <f>'超用20大－原因別分析'!AI186</f>
        <v>0</v>
      </c>
      <c r="K43" s="142">
        <f>'超用20大－原因別分析'!AI187</f>
        <v>0</v>
      </c>
      <c r="L43" s="141">
        <f>'超用20大－原因別分析'!AJ186</f>
        <v>49717.053419999895</v>
      </c>
      <c r="M43" s="142">
        <f>'超用20大－原因別分析'!AJ187</f>
        <v>0.65</v>
      </c>
    </row>
    <row r="44" spans="1:14" ht="15.75" customHeight="1">
      <c r="A44" s="224" t="s">
        <v>418</v>
      </c>
      <c r="B44" s="381" t="s">
        <v>829</v>
      </c>
      <c r="C44" s="223"/>
      <c r="D44" s="713"/>
      <c r="E44" s="710" t="s">
        <v>197</v>
      </c>
      <c r="F44" s="748">
        <v>5</v>
      </c>
      <c r="G44" s="749"/>
      <c r="H44" s="748">
        <v>6</v>
      </c>
      <c r="I44" s="749"/>
      <c r="J44" s="748">
        <v>7</v>
      </c>
      <c r="K44" s="749"/>
      <c r="L44" s="841"/>
      <c r="M44" s="842"/>
    </row>
    <row r="45" spans="1:14" ht="31.35" customHeight="1">
      <c r="A45" s="135" t="s">
        <v>419</v>
      </c>
      <c r="B45" s="381" t="s">
        <v>829</v>
      </c>
      <c r="C45" s="223"/>
      <c r="D45" s="713"/>
      <c r="E45" s="710"/>
      <c r="F45" s="843" t="s">
        <v>189</v>
      </c>
      <c r="G45" s="844"/>
      <c r="H45" s="843" t="s">
        <v>167</v>
      </c>
      <c r="I45" s="844"/>
      <c r="J45" s="843" t="s">
        <v>190</v>
      </c>
      <c r="K45" s="844"/>
      <c r="L45" s="845"/>
      <c r="M45" s="846"/>
    </row>
    <row r="46" spans="1:14" ht="15.75" customHeight="1">
      <c r="D46" s="713"/>
      <c r="E46" s="710"/>
      <c r="F46" s="154" t="s">
        <v>11</v>
      </c>
      <c r="G46" s="154" t="s">
        <v>41</v>
      </c>
      <c r="H46" s="154" t="s">
        <v>11</v>
      </c>
      <c r="I46" s="154" t="s">
        <v>41</v>
      </c>
      <c r="J46" s="154" t="s">
        <v>11</v>
      </c>
      <c r="K46" s="154" t="s">
        <v>41</v>
      </c>
      <c r="L46" s="154"/>
      <c r="M46" s="154"/>
    </row>
    <row r="47" spans="1:14" ht="19.350000000000001" customHeight="1">
      <c r="D47" s="713"/>
      <c r="E47" s="138" t="s">
        <v>242</v>
      </c>
      <c r="F47" s="141">
        <f>'報廢20大－原因別分析'!AK186</f>
        <v>1424.1738000000003</v>
      </c>
      <c r="G47" s="142">
        <f>'報廢20大－原因別分析'!AK187</f>
        <v>0.05</v>
      </c>
      <c r="H47" s="141">
        <f>'報廢20大－原因別分析'!AL186</f>
        <v>5544.3657000000003</v>
      </c>
      <c r="I47" s="142">
        <f>'報廢20大－原因別分析'!AL187</f>
        <v>0.2</v>
      </c>
      <c r="J47" s="141">
        <f>'報廢20大－原因別分析'!AM186</f>
        <v>0</v>
      </c>
      <c r="K47" s="142">
        <f>'報廢20大－原因別分析'!AM187</f>
        <v>0</v>
      </c>
      <c r="L47" s="141"/>
      <c r="M47" s="142"/>
    </row>
    <row r="48" spans="1:14" ht="19.350000000000001" customHeight="1">
      <c r="D48" s="713"/>
      <c r="E48" s="143" t="s">
        <v>243</v>
      </c>
      <c r="F48" s="141">
        <f>'超用20大－原因別分析'!AK186</f>
        <v>10550.090799999994</v>
      </c>
      <c r="G48" s="142">
        <f>'超用20大－原因別分析'!AK187</f>
        <v>0.05</v>
      </c>
      <c r="H48" s="141">
        <f>'超用20大－原因別分析'!AL186</f>
        <v>31356.912399999936</v>
      </c>
      <c r="I48" s="142">
        <f>'超用20大－原因別分析'!AL187</f>
        <v>0.3</v>
      </c>
      <c r="J48" s="141">
        <f>'超用20大－原因別分析'!AM186</f>
        <v>0</v>
      </c>
      <c r="K48" s="142">
        <f>'超用20大－原因別分析'!AM187</f>
        <v>0</v>
      </c>
      <c r="L48" s="141"/>
      <c r="M48" s="142"/>
    </row>
    <row r="49" spans="1:14" ht="15.75" customHeight="1">
      <c r="A49" s="225" t="s">
        <v>421</v>
      </c>
      <c r="B49" s="226">
        <f>'生產管理報表(週) '!B6</f>
        <v>42486.866159999998</v>
      </c>
      <c r="E49" s="847" t="s">
        <v>451</v>
      </c>
      <c r="F49" s="848"/>
      <c r="G49" s="848"/>
      <c r="H49" s="848"/>
      <c r="I49" s="848"/>
      <c r="J49" s="848"/>
      <c r="K49" s="848"/>
      <c r="L49" s="848"/>
      <c r="M49" s="848"/>
      <c r="N49" s="448"/>
    </row>
    <row r="50" spans="1:14" ht="15.75" customHeight="1">
      <c r="A50" s="849" t="s">
        <v>197</v>
      </c>
      <c r="B50" s="711" t="s">
        <v>10</v>
      </c>
      <c r="C50" s="711"/>
      <c r="D50" s="712"/>
      <c r="E50" s="710" t="s">
        <v>197</v>
      </c>
      <c r="F50" s="714">
        <v>1</v>
      </c>
      <c r="G50" s="714"/>
      <c r="H50" s="714">
        <v>2</v>
      </c>
      <c r="I50" s="714"/>
      <c r="J50" s="714">
        <v>3</v>
      </c>
      <c r="K50" s="714"/>
      <c r="L50" s="714">
        <v>4</v>
      </c>
      <c r="M50" s="714"/>
    </row>
    <row r="51" spans="1:14" ht="31.35" customHeight="1">
      <c r="A51" s="849"/>
      <c r="B51" s="711"/>
      <c r="C51" s="711"/>
      <c r="D51" s="713"/>
      <c r="E51" s="710"/>
      <c r="F51" s="706" t="s">
        <v>452</v>
      </c>
      <c r="G51" s="706"/>
      <c r="H51" s="706" t="s">
        <v>240</v>
      </c>
      <c r="I51" s="706"/>
      <c r="J51" s="706" t="s">
        <v>166</v>
      </c>
      <c r="K51" s="706"/>
      <c r="L51" s="706" t="s">
        <v>428</v>
      </c>
      <c r="M51" s="706"/>
    </row>
    <row r="52" spans="1:14" ht="15.75" customHeight="1">
      <c r="A52" s="849"/>
      <c r="B52" s="154" t="s">
        <v>11</v>
      </c>
      <c r="C52" s="154" t="s">
        <v>41</v>
      </c>
      <c r="D52" s="713"/>
      <c r="E52" s="710"/>
      <c r="F52" s="154" t="s">
        <v>11</v>
      </c>
      <c r="G52" s="154" t="s">
        <v>41</v>
      </c>
      <c r="H52" s="154" t="s">
        <v>11</v>
      </c>
      <c r="I52" s="154" t="s">
        <v>41</v>
      </c>
      <c r="J52" s="154" t="s">
        <v>11</v>
      </c>
      <c r="K52" s="154" t="s">
        <v>41</v>
      </c>
      <c r="L52" s="154" t="s">
        <v>11</v>
      </c>
      <c r="M52" s="154" t="s">
        <v>41</v>
      </c>
    </row>
    <row r="53" spans="1:14" ht="19.350000000000001" customHeight="1">
      <c r="A53" s="227" t="s">
        <v>242</v>
      </c>
      <c r="B53" s="139">
        <f>日別報廢率總表!I40</f>
        <v>85080.957900000009</v>
      </c>
      <c r="C53" s="229">
        <f>B53/($B$49*1000)</f>
        <v>2.0025237347371353E-3</v>
      </c>
      <c r="D53" s="713"/>
      <c r="E53" s="138" t="s">
        <v>242</v>
      </c>
      <c r="F53" s="141">
        <f>'報廢20大－原因別分析'!AG208</f>
        <v>7367.6618000000008</v>
      </c>
      <c r="G53" s="142">
        <f>'報廢20大－原因別分析'!AG209</f>
        <v>0.4</v>
      </c>
      <c r="H53" s="141">
        <f>'報廢20大－原因別分析'!AH208</f>
        <v>0</v>
      </c>
      <c r="I53" s="142">
        <f>'報廢20大－原因別分析'!AH209</f>
        <v>0</v>
      </c>
      <c r="J53" s="141">
        <f>'報廢20大－原因別分析'!AI208</f>
        <v>8116.3483999999989</v>
      </c>
      <c r="K53" s="142">
        <f>'報廢20大－原因別分析'!AI209</f>
        <v>0.3</v>
      </c>
      <c r="L53" s="141">
        <f>'報廢20大－原因別分析'!AJ208</f>
        <v>0</v>
      </c>
      <c r="M53" s="142">
        <f>'報廢20大－原因別分析'!AJ209</f>
        <v>0</v>
      </c>
    </row>
    <row r="54" spans="1:14" ht="19.350000000000001" customHeight="1">
      <c r="A54" s="228" t="s">
        <v>243</v>
      </c>
      <c r="B54" s="144">
        <f>日別報廢率總表!J40</f>
        <v>255308.68299999996</v>
      </c>
      <c r="C54" s="140">
        <f>B54/($B$49*1000)</f>
        <v>6.0091201369981201E-3</v>
      </c>
      <c r="D54" s="713"/>
      <c r="E54" s="143" t="s">
        <v>243</v>
      </c>
      <c r="F54" s="141">
        <f>'超用20大－原因別分析'!AG208</f>
        <v>0</v>
      </c>
      <c r="G54" s="142">
        <f>'超用20大－原因別分析'!AG209</f>
        <v>0</v>
      </c>
      <c r="H54" s="141">
        <f>'超用20大－原因別分析'!AH208</f>
        <v>0</v>
      </c>
      <c r="I54" s="142">
        <f>'超用20大－原因別分析'!AH209</f>
        <v>0</v>
      </c>
      <c r="J54" s="141">
        <f>'超用20大－原因別分析'!AI208</f>
        <v>0</v>
      </c>
      <c r="K54" s="142">
        <f>'超用20大－原因別分析'!AI198</f>
        <v>0</v>
      </c>
      <c r="L54" s="141">
        <f>'超用20大－原因別分析'!AJ208</f>
        <v>51502.644800000031</v>
      </c>
      <c r="M54" s="142">
        <f>'超用20大－原因別分析'!AJ209</f>
        <v>0.65</v>
      </c>
    </row>
    <row r="55" spans="1:14" ht="15.75" customHeight="1">
      <c r="A55" s="224" t="s">
        <v>418</v>
      </c>
      <c r="B55" s="381" t="s">
        <v>875</v>
      </c>
      <c r="C55" s="223"/>
      <c r="D55" s="713"/>
      <c r="E55" s="710" t="s">
        <v>197</v>
      </c>
      <c r="F55" s="748">
        <v>5</v>
      </c>
      <c r="G55" s="749"/>
      <c r="H55" s="748">
        <v>6</v>
      </c>
      <c r="I55" s="749"/>
      <c r="J55" s="748">
        <v>7</v>
      </c>
      <c r="K55" s="749"/>
      <c r="L55" s="841"/>
      <c r="M55" s="842"/>
    </row>
    <row r="56" spans="1:14" ht="31.35" customHeight="1">
      <c r="A56" s="135" t="s">
        <v>419</v>
      </c>
      <c r="B56" s="381" t="s">
        <v>875</v>
      </c>
      <c r="C56" s="223"/>
      <c r="D56" s="713"/>
      <c r="E56" s="710"/>
      <c r="F56" s="843" t="s">
        <v>189</v>
      </c>
      <c r="G56" s="844"/>
      <c r="H56" s="843" t="s">
        <v>167</v>
      </c>
      <c r="I56" s="844"/>
      <c r="J56" s="843" t="s">
        <v>190</v>
      </c>
      <c r="K56" s="844"/>
      <c r="L56" s="845"/>
      <c r="M56" s="846"/>
    </row>
    <row r="57" spans="1:14" ht="15.75" customHeight="1">
      <c r="D57" s="713"/>
      <c r="E57" s="710"/>
      <c r="F57" s="154" t="s">
        <v>11</v>
      </c>
      <c r="G57" s="154" t="s">
        <v>41</v>
      </c>
      <c r="H57" s="154" t="s">
        <v>11</v>
      </c>
      <c r="I57" s="154" t="s">
        <v>41</v>
      </c>
      <c r="J57" s="154" t="s">
        <v>11</v>
      </c>
      <c r="K57" s="154" t="s">
        <v>41</v>
      </c>
      <c r="L57" s="154"/>
      <c r="M57" s="154"/>
    </row>
    <row r="58" spans="1:14" ht="19.350000000000001" customHeight="1">
      <c r="D58" s="713"/>
      <c r="E58" s="138" t="s">
        <v>242</v>
      </c>
      <c r="F58" s="141">
        <f>'報廢20大－原因別分析'!AK208</f>
        <v>1509.6832000000004</v>
      </c>
      <c r="G58" s="142">
        <f>'報廢20大－原因別分析'!AK209</f>
        <v>0.05</v>
      </c>
      <c r="H58" s="141">
        <f>'報廢20大－原因別分析'!AL208</f>
        <v>6083.7018000000007</v>
      </c>
      <c r="I58" s="142">
        <f>'報廢20大－原因別分析'!AL209</f>
        <v>0.25</v>
      </c>
      <c r="J58" s="141">
        <f>'報廢20大－原因別分析'!AM208</f>
        <v>0</v>
      </c>
      <c r="K58" s="142">
        <f>'報廢20大－原因別分析'!AM209</f>
        <v>0</v>
      </c>
      <c r="L58" s="141"/>
      <c r="M58" s="142"/>
    </row>
    <row r="59" spans="1:14" ht="19.350000000000001" customHeight="1">
      <c r="D59" s="713"/>
      <c r="E59" s="143" t="s">
        <v>243</v>
      </c>
      <c r="F59" s="141">
        <f>'超用20大－原因別分析'!AK208</f>
        <v>9664.0365000000293</v>
      </c>
      <c r="G59" s="142">
        <f>'超用20大－原因別分析'!AK209</f>
        <v>0.05</v>
      </c>
      <c r="H59" s="141">
        <f>'超用20大－原因別分析'!AL208</f>
        <v>28695.622699999996</v>
      </c>
      <c r="I59" s="142">
        <f>'超用20大－原因別分析'!AL209</f>
        <v>0.3</v>
      </c>
      <c r="J59" s="141">
        <f>'超用20大－原因別分析'!AM208</f>
        <v>0</v>
      </c>
      <c r="K59" s="142">
        <f>'超用20大－原因別分析'!AM209</f>
        <v>0</v>
      </c>
      <c r="L59" s="141"/>
      <c r="M59" s="142"/>
    </row>
  </sheetData>
  <mergeCells count="112">
    <mergeCell ref="E38:M38"/>
    <mergeCell ref="A39:A41"/>
    <mergeCell ref="B39:C40"/>
    <mergeCell ref="D39:D48"/>
    <mergeCell ref="E39:E41"/>
    <mergeCell ref="F39:G39"/>
    <mergeCell ref="H39:I39"/>
    <mergeCell ref="J39:K39"/>
    <mergeCell ref="L39:M39"/>
    <mergeCell ref="F40:G40"/>
    <mergeCell ref="H40:I40"/>
    <mergeCell ref="J40:K40"/>
    <mergeCell ref="L40:M40"/>
    <mergeCell ref="E44:E46"/>
    <mergeCell ref="F44:G44"/>
    <mergeCell ref="H44:I44"/>
    <mergeCell ref="J44:K44"/>
    <mergeCell ref="L44:M44"/>
    <mergeCell ref="F45:G45"/>
    <mergeCell ref="H45:I45"/>
    <mergeCell ref="J45:K45"/>
    <mergeCell ref="L45:M45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J33:K33"/>
    <mergeCell ref="L33:M33"/>
    <mergeCell ref="F34:G34"/>
    <mergeCell ref="H34:I34"/>
    <mergeCell ref="J34:K34"/>
    <mergeCell ref="L34:M34"/>
    <mergeCell ref="J22:K22"/>
    <mergeCell ref="L22:M22"/>
    <mergeCell ref="F23:G23"/>
    <mergeCell ref="H23:I23"/>
    <mergeCell ref="J23:K23"/>
    <mergeCell ref="L23:M23"/>
    <mergeCell ref="E16:M16"/>
    <mergeCell ref="A17:A19"/>
    <mergeCell ref="B17:C18"/>
    <mergeCell ref="D17:D26"/>
    <mergeCell ref="E17:E19"/>
    <mergeCell ref="F17:G17"/>
    <mergeCell ref="H17:I17"/>
    <mergeCell ref="J17:K17"/>
    <mergeCell ref="L17:M17"/>
    <mergeCell ref="F18:G18"/>
    <mergeCell ref="H18:I18"/>
    <mergeCell ref="J18:K18"/>
    <mergeCell ref="L18:M18"/>
    <mergeCell ref="E22:E24"/>
    <mergeCell ref="F22:G22"/>
    <mergeCell ref="H22:I22"/>
    <mergeCell ref="F11:G11"/>
    <mergeCell ref="H11:I11"/>
    <mergeCell ref="J11:K11"/>
    <mergeCell ref="L11:M11"/>
    <mergeCell ref="F12:G12"/>
    <mergeCell ref="H12:I12"/>
    <mergeCell ref="J12:K12"/>
    <mergeCell ref="L12:M12"/>
    <mergeCell ref="A1:M2"/>
    <mergeCell ref="A3:M4"/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J55:K55"/>
    <mergeCell ref="L55:M55"/>
    <mergeCell ref="F56:G56"/>
    <mergeCell ref="H56:I56"/>
    <mergeCell ref="J56:K56"/>
    <mergeCell ref="L56:M56"/>
    <mergeCell ref="E49:M49"/>
    <mergeCell ref="A50:A52"/>
    <mergeCell ref="B50:C51"/>
    <mergeCell ref="D50:D59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E55:E57"/>
    <mergeCell ref="F55:G55"/>
    <mergeCell ref="H55:I5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>
    <tabColor rgb="FF92D050"/>
    <outlinePr summaryBelow="0" summaryRight="0"/>
  </sheetPr>
  <dimension ref="A1:BV142"/>
  <sheetViews>
    <sheetView view="pageBreakPreview" topLeftCell="A131" zoomScaleNormal="60" zoomScaleSheetLayoutView="100" workbookViewId="0">
      <selection activeCell="K142" sqref="K142"/>
    </sheetView>
  </sheetViews>
  <sheetFormatPr defaultColWidth="12.5703125" defaultRowHeight="15.75" customHeight="1"/>
  <cols>
    <col min="1" max="1" width="5.42578125" style="98" customWidth="1"/>
    <col min="2" max="2" width="11.42578125" style="131" customWidth="1"/>
    <col min="3" max="3" width="4" style="129" customWidth="1"/>
    <col min="4" max="9" width="9.5703125" style="98" customWidth="1"/>
    <col min="10" max="10" width="9.85546875" style="98" customWidth="1"/>
    <col min="11" max="15" width="9.5703125" style="98" customWidth="1"/>
    <col min="16" max="16" width="47.85546875" style="98" customWidth="1"/>
    <col min="21" max="21" width="24.42578125" style="98" bestFit="1" customWidth="1"/>
    <col min="22" max="22" width="19.42578125" style="98" bestFit="1" customWidth="1"/>
    <col min="23" max="23" width="23" style="98" bestFit="1" customWidth="1"/>
    <col min="24" max="24" width="11.7109375" style="98" bestFit="1" customWidth="1"/>
    <col min="25" max="25" width="15.85546875" style="98" bestFit="1" customWidth="1"/>
    <col min="26" max="26" width="23.5703125" style="98" bestFit="1" customWidth="1"/>
    <col min="27" max="27" width="23" style="98" bestFit="1" customWidth="1"/>
    <col min="28" max="28" width="11.7109375" style="98" bestFit="1" customWidth="1"/>
    <col min="29" max="29" width="20.5703125" style="98" bestFit="1" customWidth="1"/>
    <col min="30" max="30" width="15" style="98" bestFit="1" customWidth="1"/>
    <col min="31" max="31" width="23" style="98" bestFit="1" customWidth="1"/>
    <col min="32" max="32" width="11.7109375" style="98" bestFit="1" customWidth="1"/>
    <col min="33" max="33" width="15.85546875" style="98" bestFit="1" customWidth="1"/>
    <col min="34" max="34" width="15" style="98" bestFit="1" customWidth="1"/>
    <col min="35" max="35" width="23" style="98" bestFit="1" customWidth="1"/>
    <col min="36" max="36" width="15" style="98" bestFit="1" customWidth="1"/>
    <col min="37" max="37" width="23" style="98" bestFit="1" customWidth="1"/>
    <col min="38" max="38" width="11.7109375" style="98" bestFit="1" customWidth="1"/>
    <col min="39" max="39" width="13.85546875" style="98" bestFit="1" customWidth="1"/>
    <col min="40" max="40" width="27.85546875" style="98" bestFit="1" customWidth="1"/>
    <col min="41" max="41" width="23" style="98" bestFit="1" customWidth="1"/>
    <col min="42" max="42" width="8" style="98" bestFit="1" customWidth="1"/>
    <col min="43" max="43" width="30.7109375" style="98" bestFit="1" customWidth="1"/>
    <col min="44" max="44" width="25.7109375" style="98" bestFit="1" customWidth="1"/>
    <col min="45" max="45" width="23" style="98" bestFit="1" customWidth="1"/>
    <col min="46" max="46" width="15" style="98" bestFit="1" customWidth="1"/>
    <col min="47" max="47" width="23" style="98" bestFit="1" customWidth="1"/>
    <col min="48" max="48" width="11.7109375" style="98" bestFit="1" customWidth="1"/>
    <col min="49" max="49" width="20.140625" style="98" bestFit="1" customWidth="1"/>
    <col min="50" max="50" width="23.5703125" style="98" bestFit="1" customWidth="1"/>
    <col min="51" max="51" width="23" style="98" bestFit="1" customWidth="1"/>
    <col min="52" max="52" width="11.7109375" style="98" bestFit="1" customWidth="1"/>
    <col min="53" max="53" width="21.42578125" style="98" bestFit="1" customWidth="1"/>
    <col min="54" max="54" width="15" style="98" bestFit="1" customWidth="1"/>
    <col min="55" max="55" width="23" style="98" bestFit="1" customWidth="1"/>
    <col min="56" max="56" width="11.7109375" style="98" bestFit="1" customWidth="1"/>
    <col min="57" max="57" width="13.85546875" style="98" bestFit="1" customWidth="1"/>
    <col min="58" max="58" width="22" style="98" bestFit="1" customWidth="1"/>
    <col min="59" max="59" width="23" style="98" bestFit="1" customWidth="1"/>
    <col min="60" max="60" width="15" style="98" bestFit="1" customWidth="1"/>
    <col min="61" max="61" width="23" style="98" bestFit="1" customWidth="1"/>
    <col min="62" max="62" width="11.7109375" style="98" bestFit="1" customWidth="1"/>
    <col min="63" max="63" width="24.7109375" style="98" bestFit="1" customWidth="1"/>
    <col min="64" max="64" width="18.7109375" style="98" bestFit="1" customWidth="1"/>
    <col min="65" max="65" width="23" style="98" bestFit="1" customWidth="1"/>
    <col min="66" max="66" width="15" style="98" bestFit="1" customWidth="1"/>
    <col min="67" max="67" width="23" style="98" bestFit="1" customWidth="1"/>
    <col min="68" max="68" width="15" style="98" bestFit="1" customWidth="1"/>
    <col min="69" max="69" width="23" style="98" bestFit="1" customWidth="1"/>
    <col min="70" max="70" width="15" style="98" bestFit="1" customWidth="1"/>
    <col min="71" max="71" width="21.85546875" style="98" bestFit="1" customWidth="1"/>
    <col min="72" max="72" width="10.5703125" style="98" bestFit="1" customWidth="1"/>
    <col min="73" max="73" width="21.42578125" style="98" bestFit="1" customWidth="1"/>
    <col min="74" max="74" width="5.42578125" style="98" bestFit="1" customWidth="1"/>
    <col min="75" max="16384" width="12.5703125" style="98"/>
  </cols>
  <sheetData>
    <row r="1" spans="1:74" ht="15.75" customHeight="1">
      <c r="A1" s="547" t="s">
        <v>361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547"/>
      <c r="P1" s="547"/>
    </row>
    <row r="2" spans="1:74" s="99" customFormat="1" ht="15.75" customHeight="1">
      <c r="A2" s="547"/>
      <c r="B2" s="547"/>
      <c r="C2" s="547"/>
      <c r="D2" s="547"/>
      <c r="E2" s="547"/>
      <c r="F2" s="547"/>
      <c r="G2" s="547"/>
      <c r="H2" s="547"/>
      <c r="I2" s="547"/>
      <c r="J2" s="547"/>
      <c r="K2" s="547"/>
      <c r="L2" s="547"/>
      <c r="M2" s="547"/>
      <c r="N2" s="547"/>
      <c r="O2" s="547"/>
      <c r="P2" s="547"/>
    </row>
    <row r="3" spans="1:74" s="135" customFormat="1" ht="15.75" customHeight="1">
      <c r="A3" s="868" t="s">
        <v>744</v>
      </c>
      <c r="B3" s="868"/>
      <c r="C3" s="868"/>
      <c r="D3" s="868"/>
      <c r="E3" s="868"/>
      <c r="F3" s="868"/>
      <c r="G3" s="868"/>
      <c r="H3" s="868"/>
      <c r="I3" s="868"/>
      <c r="J3" s="868"/>
      <c r="K3" s="868"/>
      <c r="L3" s="868"/>
      <c r="M3" s="868"/>
      <c r="Q3" s="231"/>
      <c r="R3" s="231"/>
      <c r="S3" s="231"/>
      <c r="T3" s="231"/>
    </row>
    <row r="4" spans="1:74" s="136" customFormat="1" ht="15.75" customHeight="1">
      <c r="A4" s="745"/>
      <c r="B4" s="745"/>
      <c r="C4" s="745"/>
      <c r="D4" s="745"/>
      <c r="E4" s="745"/>
      <c r="F4" s="745"/>
      <c r="G4" s="745"/>
      <c r="H4" s="745"/>
      <c r="I4" s="745"/>
      <c r="J4" s="745"/>
      <c r="K4" s="745"/>
      <c r="L4" s="745"/>
      <c r="M4" s="745"/>
    </row>
    <row r="5" spans="1:74" s="135" customFormat="1" ht="15.75" customHeight="1">
      <c r="A5" s="746" t="s">
        <v>191</v>
      </c>
      <c r="B5" s="739">
        <v>1</v>
      </c>
      <c r="C5" s="740"/>
      <c r="D5" s="739">
        <v>2</v>
      </c>
      <c r="E5" s="740"/>
      <c r="F5" s="739">
        <v>3</v>
      </c>
      <c r="G5" s="740"/>
      <c r="H5" s="748">
        <v>4</v>
      </c>
      <c r="I5" s="749"/>
      <c r="J5" s="748">
        <v>5</v>
      </c>
      <c r="K5" s="749"/>
      <c r="L5" s="748">
        <v>6</v>
      </c>
      <c r="M5" s="749"/>
      <c r="N5" s="748">
        <v>7</v>
      </c>
      <c r="O5" s="749"/>
      <c r="P5" s="352">
        <v>8</v>
      </c>
      <c r="Q5" s="231"/>
      <c r="R5" s="231"/>
      <c r="S5" s="231"/>
      <c r="T5" s="231"/>
    </row>
    <row r="6" spans="1:74" s="135" customFormat="1" ht="15.75" customHeight="1">
      <c r="A6" s="747"/>
      <c r="B6" s="741" t="s">
        <v>452</v>
      </c>
      <c r="C6" s="742"/>
      <c r="D6" s="741" t="s">
        <v>212</v>
      </c>
      <c r="E6" s="742"/>
      <c r="F6" s="741" t="s">
        <v>166</v>
      </c>
      <c r="G6" s="742"/>
      <c r="H6" s="743" t="s">
        <v>428</v>
      </c>
      <c r="I6" s="744"/>
      <c r="J6" s="743" t="s">
        <v>189</v>
      </c>
      <c r="K6" s="744"/>
      <c r="L6" s="743" t="s">
        <v>167</v>
      </c>
      <c r="M6" s="744"/>
      <c r="N6" s="743" t="s">
        <v>190</v>
      </c>
      <c r="O6" s="744"/>
      <c r="P6" s="353" t="s">
        <v>217</v>
      </c>
      <c r="Q6" s="231"/>
      <c r="R6" s="231"/>
      <c r="S6" s="231"/>
      <c r="T6" s="231"/>
    </row>
    <row r="7" spans="1:74" s="135" customFormat="1" ht="15.75" customHeight="1">
      <c r="B7" s="232"/>
      <c r="C7" s="233"/>
      <c r="Q7" s="231"/>
      <c r="R7" s="231"/>
      <c r="S7" s="231"/>
      <c r="T7" s="231"/>
    </row>
    <row r="8" spans="1:74" s="235" customFormat="1" ht="15.75" customHeight="1">
      <c r="A8" s="748" t="s">
        <v>191</v>
      </c>
      <c r="B8" s="749"/>
      <c r="C8" s="234" t="s">
        <v>47</v>
      </c>
      <c r="D8" s="860" t="s">
        <v>12</v>
      </c>
      <c r="E8" s="737"/>
      <c r="F8" s="850"/>
      <c r="G8" s="861" t="s">
        <v>53</v>
      </c>
      <c r="H8" s="862"/>
      <c r="I8" s="863"/>
      <c r="J8" s="234" t="s">
        <v>54</v>
      </c>
      <c r="K8" s="234" t="s">
        <v>55</v>
      </c>
      <c r="L8" s="234" t="s">
        <v>56</v>
      </c>
      <c r="M8" s="234" t="s">
        <v>11</v>
      </c>
      <c r="N8" s="234" t="s">
        <v>333</v>
      </c>
      <c r="O8" s="864" t="s">
        <v>51</v>
      </c>
      <c r="P8" s="865"/>
    </row>
    <row r="9" spans="1:74" s="135" customFormat="1" ht="50.1" customHeight="1">
      <c r="A9" s="851">
        <v>1</v>
      </c>
      <c r="B9" s="854" t="s">
        <v>453</v>
      </c>
      <c r="C9" s="236">
        <v>1</v>
      </c>
      <c r="D9" s="237" t="s">
        <v>358</v>
      </c>
      <c r="E9" s="238"/>
      <c r="F9" s="238"/>
      <c r="G9" s="357" t="s">
        <v>713</v>
      </c>
      <c r="H9" s="305"/>
      <c r="I9" s="306"/>
      <c r="J9" s="236">
        <v>426.69</v>
      </c>
      <c r="K9" s="242">
        <v>2.4598187766166615E-3</v>
      </c>
      <c r="L9" s="236">
        <v>2.94</v>
      </c>
      <c r="M9" s="322">
        <f>L9*J9</f>
        <v>1254.4685999999999</v>
      </c>
      <c r="N9" s="243"/>
      <c r="O9" s="766" t="s">
        <v>688</v>
      </c>
      <c r="P9" s="767"/>
      <c r="Q9" s="231"/>
      <c r="R9" s="390"/>
      <c r="S9" s="261"/>
      <c r="T9" s="231"/>
    </row>
    <row r="10" spans="1:74" s="135" customFormat="1" ht="50.1" customHeight="1">
      <c r="A10" s="852"/>
      <c r="B10" s="855"/>
      <c r="C10" s="236">
        <v>2</v>
      </c>
      <c r="D10" s="237" t="s">
        <v>710</v>
      </c>
      <c r="E10" s="238"/>
      <c r="F10" s="238"/>
      <c r="G10" s="357" t="s">
        <v>714</v>
      </c>
      <c r="H10" s="305"/>
      <c r="I10" s="306"/>
      <c r="J10" s="236">
        <v>91.13</v>
      </c>
      <c r="K10" s="242">
        <v>6.7821719761284342E-3</v>
      </c>
      <c r="L10" s="236">
        <v>12.909999999999998</v>
      </c>
      <c r="M10" s="322">
        <f t="shared" ref="M10:M13" si="0">L10*J10</f>
        <v>1176.4882999999998</v>
      </c>
      <c r="N10" s="243"/>
      <c r="O10" s="866" t="s">
        <v>576</v>
      </c>
      <c r="P10" s="858"/>
      <c r="Q10" s="231"/>
      <c r="R10" s="391"/>
      <c r="S10" s="391"/>
      <c r="T10" s="231"/>
      <c r="U10" s="231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</row>
    <row r="11" spans="1:74" s="135" customFormat="1" ht="50.1" customHeight="1">
      <c r="A11" s="852"/>
      <c r="B11" s="855"/>
      <c r="C11" s="236">
        <v>3</v>
      </c>
      <c r="D11" s="237" t="s">
        <v>340</v>
      </c>
      <c r="E11" s="238"/>
      <c r="F11" s="238"/>
      <c r="G11" s="357" t="s">
        <v>386</v>
      </c>
      <c r="H11" s="305"/>
      <c r="I11" s="306"/>
      <c r="J11" s="236">
        <v>127.84000000000002</v>
      </c>
      <c r="K11" s="242">
        <v>2.1443798327383731E-3</v>
      </c>
      <c r="L11" s="236">
        <v>8.5</v>
      </c>
      <c r="M11" s="322">
        <f t="shared" si="0"/>
        <v>1086.6400000000001</v>
      </c>
      <c r="N11" s="243"/>
      <c r="O11" s="867" t="s">
        <v>689</v>
      </c>
      <c r="P11" s="823"/>
      <c r="Q11" s="231"/>
      <c r="R11" s="390"/>
      <c r="S11" s="390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</row>
    <row r="12" spans="1:74" s="135" customFormat="1" ht="50.1" customHeight="1">
      <c r="A12" s="852"/>
      <c r="B12" s="855"/>
      <c r="C12" s="236">
        <v>4</v>
      </c>
      <c r="D12" s="237" t="s">
        <v>340</v>
      </c>
      <c r="E12" s="238"/>
      <c r="F12" s="238"/>
      <c r="G12" s="357" t="s">
        <v>633</v>
      </c>
      <c r="H12" s="305"/>
      <c r="I12" s="306"/>
      <c r="J12" s="236">
        <v>144.79999999999998</v>
      </c>
      <c r="K12" s="242">
        <v>2.7763492311934945E-3</v>
      </c>
      <c r="L12" s="236">
        <v>7.4500000000000011</v>
      </c>
      <c r="M12" s="322">
        <f t="shared" si="0"/>
        <v>1078.76</v>
      </c>
      <c r="N12" s="243"/>
      <c r="O12" s="867" t="s">
        <v>689</v>
      </c>
      <c r="P12" s="823"/>
      <c r="Q12" s="231"/>
      <c r="R12" s="391"/>
      <c r="S12" s="391"/>
      <c r="T12" s="231"/>
      <c r="U12" s="231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</row>
    <row r="13" spans="1:74" s="135" customFormat="1" ht="50.1" customHeight="1" thickBot="1">
      <c r="A13" s="852"/>
      <c r="B13" s="855"/>
      <c r="C13" s="236">
        <v>5</v>
      </c>
      <c r="D13" s="244" t="s">
        <v>616</v>
      </c>
      <c r="E13" s="245"/>
      <c r="F13" s="245"/>
      <c r="G13" s="357" t="s">
        <v>635</v>
      </c>
      <c r="H13" s="305"/>
      <c r="I13" s="306"/>
      <c r="J13" s="247">
        <v>49.82</v>
      </c>
      <c r="K13" s="248">
        <v>7.1838542110193304E-3</v>
      </c>
      <c r="L13" s="247">
        <v>21.09</v>
      </c>
      <c r="M13" s="323">
        <f t="shared" si="0"/>
        <v>1050.7038</v>
      </c>
      <c r="N13" s="243"/>
      <c r="O13" s="867" t="s">
        <v>624</v>
      </c>
      <c r="P13" s="823"/>
      <c r="Q13" s="231"/>
      <c r="R13" s="390"/>
      <c r="S13" s="390"/>
      <c r="T13" s="231"/>
      <c r="U13" s="392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</row>
    <row r="14" spans="1:74" s="135" customFormat="1" ht="15.75" customHeight="1" thickTop="1">
      <c r="A14" s="853"/>
      <c r="B14" s="856"/>
      <c r="C14" s="724"/>
      <c r="D14" s="725"/>
      <c r="E14" s="725"/>
      <c r="F14" s="725"/>
      <c r="G14" s="725"/>
      <c r="H14" s="725"/>
      <c r="I14" s="859"/>
      <c r="J14" s="249" t="s">
        <v>58</v>
      </c>
      <c r="K14" s="212">
        <f>M14/'生產管理報表 7-1 (週)'!$B$9</f>
        <v>6.0590488272412688E-2</v>
      </c>
      <c r="L14" s="249" t="s">
        <v>59</v>
      </c>
      <c r="M14" s="324">
        <f>SUM(M9:M13)</f>
        <v>5647.0607</v>
      </c>
      <c r="N14" s="812"/>
      <c r="O14" s="813"/>
      <c r="P14" s="814"/>
      <c r="Q14" s="231"/>
      <c r="R14" s="210"/>
      <c r="S14" s="210"/>
      <c r="T14" s="231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</row>
    <row r="15" spans="1:74" s="135" customFormat="1" ht="15.75" customHeight="1">
      <c r="B15" s="232"/>
      <c r="C15" s="233"/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1"/>
      <c r="O15" s="251"/>
      <c r="P15" s="251"/>
      <c r="Q15" s="231"/>
      <c r="R15" s="261"/>
      <c r="S15" s="261"/>
      <c r="T15" s="231"/>
      <c r="U15" s="231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</row>
    <row r="16" spans="1:74" s="135" customFormat="1" ht="15.75" customHeight="1">
      <c r="A16" s="748" t="s">
        <v>191</v>
      </c>
      <c r="B16" s="749"/>
      <c r="C16" s="252" t="s">
        <v>47</v>
      </c>
      <c r="D16" s="736" t="s">
        <v>12</v>
      </c>
      <c r="E16" s="737"/>
      <c r="F16" s="738"/>
      <c r="G16" s="736" t="s">
        <v>53</v>
      </c>
      <c r="H16" s="737"/>
      <c r="I16" s="738"/>
      <c r="J16" s="254" t="s">
        <v>54</v>
      </c>
      <c r="K16" s="254" t="s">
        <v>55</v>
      </c>
      <c r="L16" s="254" t="s">
        <v>56</v>
      </c>
      <c r="M16" s="254" t="s">
        <v>11</v>
      </c>
      <c r="N16" s="255" t="s">
        <v>333</v>
      </c>
      <c r="O16" s="815" t="s">
        <v>51</v>
      </c>
      <c r="P16" s="816"/>
      <c r="Q16" s="231"/>
      <c r="R16" s="210"/>
      <c r="S16" s="210"/>
      <c r="T16" s="231"/>
      <c r="U16" s="231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</row>
    <row r="17" spans="1:35" s="135" customFormat="1" ht="20.100000000000001" customHeight="1">
      <c r="A17" s="851">
        <v>2</v>
      </c>
      <c r="B17" s="854" t="s">
        <v>213</v>
      </c>
      <c r="C17" s="256">
        <v>1</v>
      </c>
      <c r="D17" s="237"/>
      <c r="E17" s="238"/>
      <c r="F17" s="239"/>
      <c r="G17" s="237"/>
      <c r="H17" s="238"/>
      <c r="I17" s="239"/>
      <c r="J17" s="257"/>
      <c r="K17" s="258"/>
      <c r="L17" s="257"/>
      <c r="M17" s="259">
        <f t="shared" ref="M17:M21" si="1">L17*J17</f>
        <v>0</v>
      </c>
      <c r="N17" s="260"/>
      <c r="O17" s="817"/>
      <c r="P17" s="818"/>
      <c r="Q17" s="231"/>
      <c r="R17" s="261"/>
      <c r="S17" s="261"/>
      <c r="T17" s="231"/>
      <c r="U17" s="231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</row>
    <row r="18" spans="1:35" s="135" customFormat="1" ht="20.100000000000001" customHeight="1">
      <c r="A18" s="852"/>
      <c r="B18" s="855"/>
      <c r="C18" s="256">
        <v>2</v>
      </c>
      <c r="D18" s="237"/>
      <c r="E18" s="238"/>
      <c r="F18" s="239"/>
      <c r="G18" s="237"/>
      <c r="H18" s="238"/>
      <c r="I18" s="239"/>
      <c r="J18" s="257"/>
      <c r="K18" s="258"/>
      <c r="L18" s="257"/>
      <c r="M18" s="259">
        <f t="shared" si="1"/>
        <v>0</v>
      </c>
      <c r="N18" s="260"/>
      <c r="O18" s="817"/>
      <c r="P18" s="818"/>
      <c r="Q18" s="231"/>
      <c r="R18" s="210"/>
      <c r="S18" s="210"/>
      <c r="T18" s="231"/>
      <c r="U18" s="23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</row>
    <row r="19" spans="1:35" s="135" customFormat="1" ht="20.100000000000001" customHeight="1">
      <c r="A19" s="852"/>
      <c r="B19" s="855"/>
      <c r="C19" s="256">
        <v>3</v>
      </c>
      <c r="D19" s="237"/>
      <c r="E19" s="238"/>
      <c r="F19" s="239"/>
      <c r="G19" s="237"/>
      <c r="H19" s="238"/>
      <c r="I19" s="268"/>
      <c r="J19" s="257"/>
      <c r="K19" s="258"/>
      <c r="L19" s="257"/>
      <c r="M19" s="259">
        <f t="shared" si="1"/>
        <v>0</v>
      </c>
      <c r="N19" s="260"/>
      <c r="O19" s="817"/>
      <c r="P19" s="818"/>
      <c r="Q19" s="231"/>
      <c r="R19" s="261"/>
      <c r="S19" s="261"/>
      <c r="T19" s="231"/>
      <c r="U19" s="23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</row>
    <row r="20" spans="1:35" s="135" customFormat="1" ht="20.100000000000001" customHeight="1">
      <c r="A20" s="852"/>
      <c r="B20" s="855"/>
      <c r="C20" s="256">
        <v>4</v>
      </c>
      <c r="D20" s="237"/>
      <c r="E20" s="238"/>
      <c r="F20" s="239"/>
      <c r="G20" s="237"/>
      <c r="H20" s="238"/>
      <c r="I20" s="239"/>
      <c r="J20" s="257"/>
      <c r="K20" s="258"/>
      <c r="L20" s="257"/>
      <c r="M20" s="259">
        <f t="shared" si="1"/>
        <v>0</v>
      </c>
      <c r="N20" s="260"/>
      <c r="O20" s="817"/>
      <c r="P20" s="818"/>
      <c r="Q20" s="231"/>
      <c r="R20" s="210"/>
      <c r="S20" s="210"/>
      <c r="T20" s="231"/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</row>
    <row r="21" spans="1:35" s="135" customFormat="1" ht="20.100000000000001" customHeight="1" thickBot="1">
      <c r="A21" s="852"/>
      <c r="B21" s="855"/>
      <c r="C21" s="262">
        <v>5</v>
      </c>
      <c r="D21" s="244"/>
      <c r="E21" s="245"/>
      <c r="F21" s="246"/>
      <c r="G21" s="237"/>
      <c r="H21" s="238"/>
      <c r="I21" s="239"/>
      <c r="J21" s="263"/>
      <c r="K21" s="264"/>
      <c r="L21" s="263"/>
      <c r="M21" s="265">
        <f t="shared" si="1"/>
        <v>0</v>
      </c>
      <c r="N21" s="266"/>
      <c r="O21" s="817"/>
      <c r="P21" s="818"/>
      <c r="Q21" s="231"/>
      <c r="R21" s="231"/>
      <c r="S21" s="231"/>
      <c r="T21" s="231"/>
      <c r="U21" s="231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</row>
    <row r="22" spans="1:35" s="135" customFormat="1" ht="15.75" customHeight="1" thickTop="1">
      <c r="A22" s="853"/>
      <c r="B22" s="856"/>
      <c r="C22" s="724"/>
      <c r="D22" s="725"/>
      <c r="E22" s="725"/>
      <c r="F22" s="725"/>
      <c r="G22" s="725"/>
      <c r="H22" s="725"/>
      <c r="I22" s="859"/>
      <c r="J22" s="249" t="s">
        <v>58</v>
      </c>
      <c r="K22" s="212">
        <f>M22/'生產管理報表 7-1 (週)'!$B$9</f>
        <v>0</v>
      </c>
      <c r="L22" s="249" t="s">
        <v>59</v>
      </c>
      <c r="M22" s="250">
        <f>SUM(M17:M21)</f>
        <v>0</v>
      </c>
      <c r="N22" s="819"/>
      <c r="O22" s="820"/>
      <c r="P22" s="821"/>
      <c r="Q22" s="231"/>
      <c r="R22" s="231"/>
      <c r="S22" s="231"/>
      <c r="T22" s="231"/>
      <c r="U22" s="231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</row>
    <row r="23" spans="1:35" s="135" customFormat="1" ht="15.75" customHeight="1">
      <c r="B23" s="232"/>
      <c r="C23" s="233"/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7"/>
      <c r="O23" s="267"/>
      <c r="P23" s="267"/>
      <c r="Q23" s="231"/>
      <c r="R23" s="231"/>
      <c r="S23" s="231"/>
      <c r="T23" s="231"/>
      <c r="U23" s="231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</row>
    <row r="24" spans="1:35" s="135" customFormat="1" ht="15.75" customHeight="1">
      <c r="A24" s="748" t="s">
        <v>191</v>
      </c>
      <c r="B24" s="749"/>
      <c r="C24" s="252" t="s">
        <v>47</v>
      </c>
      <c r="D24" s="736" t="s">
        <v>12</v>
      </c>
      <c r="E24" s="737"/>
      <c r="F24" s="738"/>
      <c r="G24" s="736" t="s">
        <v>53</v>
      </c>
      <c r="H24" s="737"/>
      <c r="I24" s="850"/>
      <c r="J24" s="253" t="s">
        <v>54</v>
      </c>
      <c r="K24" s="254" t="s">
        <v>55</v>
      </c>
      <c r="L24" s="254" t="s">
        <v>56</v>
      </c>
      <c r="M24" s="254" t="s">
        <v>11</v>
      </c>
      <c r="N24" s="255" t="s">
        <v>333</v>
      </c>
      <c r="O24" s="827" t="s">
        <v>51</v>
      </c>
      <c r="P24" s="828"/>
      <c r="Q24" s="231"/>
      <c r="R24" s="231"/>
      <c r="S24" s="231"/>
      <c r="T24" s="231"/>
      <c r="U24" s="231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</row>
    <row r="25" spans="1:35" s="135" customFormat="1" ht="50.1" customHeight="1">
      <c r="A25" s="851">
        <v>3</v>
      </c>
      <c r="B25" s="854" t="s">
        <v>422</v>
      </c>
      <c r="C25" s="256">
        <v>1</v>
      </c>
      <c r="D25" s="237" t="s">
        <v>340</v>
      </c>
      <c r="E25" s="238"/>
      <c r="F25" s="239"/>
      <c r="G25" s="246" t="s">
        <v>448</v>
      </c>
      <c r="H25" s="245"/>
      <c r="I25" s="246"/>
      <c r="J25" s="257">
        <v>2.4499999999999997</v>
      </c>
      <c r="K25" s="258">
        <v>6.8011560527413114E-3</v>
      </c>
      <c r="L25" s="257">
        <v>946</v>
      </c>
      <c r="M25" s="325">
        <f t="shared" ref="M25:M29" si="2">L25*J25</f>
        <v>2317.6999999999998</v>
      </c>
      <c r="N25" s="270"/>
      <c r="O25" s="857" t="s">
        <v>460</v>
      </c>
      <c r="P25" s="858"/>
      <c r="Q25" s="231"/>
      <c r="R25" s="392"/>
      <c r="S25" s="392"/>
      <c r="T25" s="231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</row>
    <row r="26" spans="1:35" s="135" customFormat="1" ht="50.1" customHeight="1">
      <c r="A26" s="852"/>
      <c r="B26" s="855"/>
      <c r="C26" s="256">
        <v>2</v>
      </c>
      <c r="D26" s="237" t="s">
        <v>340</v>
      </c>
      <c r="E26" s="238"/>
      <c r="F26" s="239"/>
      <c r="G26" s="246" t="s">
        <v>447</v>
      </c>
      <c r="H26" s="245"/>
      <c r="I26" s="246"/>
      <c r="J26" s="257">
        <v>1.17</v>
      </c>
      <c r="K26" s="258">
        <v>6.8587695496433012E-3</v>
      </c>
      <c r="L26" s="257">
        <v>1595</v>
      </c>
      <c r="M26" s="325">
        <f t="shared" si="2"/>
        <v>1866.1499999999999</v>
      </c>
      <c r="N26" s="270"/>
      <c r="O26" s="822" t="s">
        <v>528</v>
      </c>
      <c r="P26" s="823"/>
      <c r="Q26" s="231"/>
      <c r="R26" s="392"/>
      <c r="S26" s="398"/>
      <c r="T26" s="231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</row>
    <row r="27" spans="1:35" s="135" customFormat="1" ht="50.1" customHeight="1">
      <c r="A27" s="852"/>
      <c r="B27" s="855"/>
      <c r="C27" s="256">
        <v>3</v>
      </c>
      <c r="D27" s="237" t="s">
        <v>463</v>
      </c>
      <c r="E27" s="238"/>
      <c r="F27" s="239"/>
      <c r="G27" s="246" t="s">
        <v>461</v>
      </c>
      <c r="H27" s="245"/>
      <c r="I27" s="246"/>
      <c r="J27" s="257">
        <v>407.74000000000007</v>
      </c>
      <c r="K27" s="258">
        <v>2.3218811862870253E-3</v>
      </c>
      <c r="L27" s="257">
        <v>2.5100000000000002</v>
      </c>
      <c r="M27" s="325">
        <f t="shared" si="2"/>
        <v>1023.4274000000003</v>
      </c>
      <c r="N27" s="270"/>
      <c r="O27" s="822" t="s">
        <v>594</v>
      </c>
      <c r="P27" s="823"/>
      <c r="Q27" s="392"/>
      <c r="R27" s="392"/>
      <c r="S27" s="398"/>
      <c r="T27" s="231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</row>
    <row r="28" spans="1:35" s="135" customFormat="1" ht="50.1" customHeight="1">
      <c r="A28" s="852"/>
      <c r="B28" s="855"/>
      <c r="C28" s="256">
        <v>4</v>
      </c>
      <c r="D28" s="237" t="s">
        <v>508</v>
      </c>
      <c r="E28" s="238"/>
      <c r="F28" s="239"/>
      <c r="G28" s="358" t="s">
        <v>598</v>
      </c>
      <c r="H28" s="359"/>
      <c r="I28" s="378"/>
      <c r="J28" s="269">
        <v>6.04</v>
      </c>
      <c r="K28" s="258">
        <v>2.5408348457350273E-2</v>
      </c>
      <c r="L28" s="257">
        <v>168</v>
      </c>
      <c r="M28" s="325">
        <f t="shared" si="2"/>
        <v>1014.72</v>
      </c>
      <c r="N28" s="270"/>
      <c r="O28" s="822" t="s">
        <v>648</v>
      </c>
      <c r="P28" s="823"/>
      <c r="Q28" s="231"/>
      <c r="R28" s="231"/>
      <c r="S28"/>
      <c r="T28" s="231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</row>
    <row r="29" spans="1:35" s="135" customFormat="1" ht="50.1" customHeight="1" thickBot="1">
      <c r="A29" s="852"/>
      <c r="B29" s="855"/>
      <c r="C29" s="262">
        <v>5</v>
      </c>
      <c r="D29" s="244"/>
      <c r="E29" s="245"/>
      <c r="F29" s="246"/>
      <c r="G29" s="244"/>
      <c r="H29" s="245"/>
      <c r="I29" s="271"/>
      <c r="J29" s="272"/>
      <c r="K29" s="264"/>
      <c r="L29" s="273"/>
      <c r="M29" s="325">
        <f t="shared" si="2"/>
        <v>0</v>
      </c>
      <c r="N29" s="270"/>
      <c r="O29" s="822"/>
      <c r="P29" s="823"/>
      <c r="Q29" s="231"/>
      <c r="R29" s="231"/>
      <c r="S29"/>
      <c r="T29" s="231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</row>
    <row r="30" spans="1:35" s="135" customFormat="1" ht="15.75" customHeight="1" thickTop="1">
      <c r="A30" s="853"/>
      <c r="B30" s="856"/>
      <c r="C30" s="724"/>
      <c r="D30" s="725"/>
      <c r="E30" s="725"/>
      <c r="F30" s="725"/>
      <c r="G30" s="725"/>
      <c r="H30" s="725"/>
      <c r="I30" s="859"/>
      <c r="J30" s="274" t="s">
        <v>58</v>
      </c>
      <c r="K30" s="212">
        <f>M30/'生產管理報表 7-1 (週)'!$B$9</f>
        <v>6.6759307279215585E-2</v>
      </c>
      <c r="L30" s="274" t="s">
        <v>59</v>
      </c>
      <c r="M30" s="326">
        <f>SUM(M25:M29)</f>
        <v>6221.9974000000002</v>
      </c>
      <c r="N30" s="824"/>
      <c r="O30" s="825"/>
      <c r="P30" s="826"/>
      <c r="Q30" s="231"/>
      <c r="R30" s="231"/>
      <c r="S30"/>
      <c r="T30" s="231"/>
      <c r="U30" s="231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</row>
    <row r="31" spans="1:35" s="135" customFormat="1" ht="15.75" customHeight="1">
      <c r="A31" s="868" t="s">
        <v>791</v>
      </c>
      <c r="B31" s="868"/>
      <c r="C31" s="868"/>
      <c r="D31" s="868"/>
      <c r="E31" s="868"/>
      <c r="F31" s="868"/>
      <c r="G31" s="868"/>
      <c r="H31" s="868"/>
      <c r="I31" s="868"/>
      <c r="J31" s="868"/>
      <c r="K31" s="868"/>
      <c r="L31" s="868"/>
      <c r="M31" s="868"/>
      <c r="Q31" s="231"/>
      <c r="R31" s="231"/>
      <c r="S31" s="231"/>
      <c r="T31" s="231"/>
    </row>
    <row r="32" spans="1:35" s="136" customFormat="1" ht="15.75" customHeight="1">
      <c r="A32" s="745"/>
      <c r="B32" s="745"/>
      <c r="C32" s="745"/>
      <c r="D32" s="745"/>
      <c r="E32" s="745"/>
      <c r="F32" s="745"/>
      <c r="G32" s="745"/>
      <c r="H32" s="745"/>
      <c r="I32" s="745"/>
      <c r="J32" s="745"/>
      <c r="K32" s="745"/>
      <c r="L32" s="745"/>
      <c r="M32" s="745"/>
    </row>
    <row r="33" spans="1:74" s="135" customFormat="1" ht="15.75" customHeight="1">
      <c r="A33" s="746" t="s">
        <v>191</v>
      </c>
      <c r="B33" s="739">
        <v>1</v>
      </c>
      <c r="C33" s="740"/>
      <c r="D33" s="739">
        <v>2</v>
      </c>
      <c r="E33" s="740"/>
      <c r="F33" s="739">
        <v>3</v>
      </c>
      <c r="G33" s="740"/>
      <c r="H33" s="748">
        <v>4</v>
      </c>
      <c r="I33" s="749"/>
      <c r="J33" s="748">
        <v>5</v>
      </c>
      <c r="K33" s="749"/>
      <c r="L33" s="748">
        <v>6</v>
      </c>
      <c r="M33" s="749"/>
      <c r="N33" s="748">
        <v>7</v>
      </c>
      <c r="O33" s="749"/>
      <c r="P33" s="352">
        <v>8</v>
      </c>
      <c r="Q33" s="231"/>
      <c r="R33" s="231"/>
      <c r="S33" s="231"/>
      <c r="T33" s="231"/>
    </row>
    <row r="34" spans="1:74" s="135" customFormat="1" ht="15.75" customHeight="1">
      <c r="A34" s="747"/>
      <c r="B34" s="741" t="s">
        <v>452</v>
      </c>
      <c r="C34" s="742"/>
      <c r="D34" s="741" t="s">
        <v>212</v>
      </c>
      <c r="E34" s="742"/>
      <c r="F34" s="741" t="s">
        <v>166</v>
      </c>
      <c r="G34" s="742"/>
      <c r="H34" s="743" t="s">
        <v>428</v>
      </c>
      <c r="I34" s="744"/>
      <c r="J34" s="743" t="s">
        <v>189</v>
      </c>
      <c r="K34" s="744"/>
      <c r="L34" s="743" t="s">
        <v>167</v>
      </c>
      <c r="M34" s="744"/>
      <c r="N34" s="743" t="s">
        <v>190</v>
      </c>
      <c r="O34" s="744"/>
      <c r="P34" s="353" t="s">
        <v>217</v>
      </c>
      <c r="Q34" s="231"/>
      <c r="R34" s="231"/>
      <c r="S34" s="231"/>
      <c r="T34" s="231"/>
    </row>
    <row r="35" spans="1:74" s="135" customFormat="1" ht="15.75" customHeight="1">
      <c r="B35" s="232"/>
      <c r="C35" s="233"/>
      <c r="Q35" s="231"/>
      <c r="R35" s="231"/>
      <c r="S35" s="231"/>
      <c r="T35" s="231"/>
    </row>
    <row r="36" spans="1:74" s="235" customFormat="1" ht="15.75" customHeight="1">
      <c r="A36" s="748" t="s">
        <v>191</v>
      </c>
      <c r="B36" s="749"/>
      <c r="C36" s="234" t="s">
        <v>47</v>
      </c>
      <c r="D36" s="860" t="s">
        <v>12</v>
      </c>
      <c r="E36" s="737"/>
      <c r="F36" s="850"/>
      <c r="G36" s="861" t="s">
        <v>53</v>
      </c>
      <c r="H36" s="862"/>
      <c r="I36" s="863"/>
      <c r="J36" s="234" t="s">
        <v>54</v>
      </c>
      <c r="K36" s="234" t="s">
        <v>55</v>
      </c>
      <c r="L36" s="234" t="s">
        <v>56</v>
      </c>
      <c r="M36" s="234" t="s">
        <v>11</v>
      </c>
      <c r="N36" s="234" t="s">
        <v>333</v>
      </c>
      <c r="O36" s="864" t="s">
        <v>51</v>
      </c>
      <c r="P36" s="865"/>
    </row>
    <row r="37" spans="1:74" s="135" customFormat="1" ht="50.1" customHeight="1">
      <c r="A37" s="851">
        <v>1</v>
      </c>
      <c r="B37" s="854" t="s">
        <v>453</v>
      </c>
      <c r="C37" s="236">
        <v>1</v>
      </c>
      <c r="D37" s="237" t="s">
        <v>340</v>
      </c>
      <c r="E37" s="238"/>
      <c r="F37" s="238"/>
      <c r="G37" s="357" t="s">
        <v>386</v>
      </c>
      <c r="H37" s="305"/>
      <c r="I37" s="306"/>
      <c r="J37" s="236">
        <v>127.84000000000002</v>
      </c>
      <c r="K37" s="242">
        <v>2.6586357415105209E-3</v>
      </c>
      <c r="L37" s="236">
        <v>10.469999999999999</v>
      </c>
      <c r="M37" s="322">
        <f>L37*J37</f>
        <v>1338.4848</v>
      </c>
      <c r="N37" s="243"/>
      <c r="O37" s="766" t="s">
        <v>689</v>
      </c>
      <c r="P37" s="767"/>
      <c r="Q37" s="231"/>
      <c r="R37" s="390"/>
      <c r="S37" s="261"/>
      <c r="T37" s="231"/>
    </row>
    <row r="38" spans="1:74" s="135" customFormat="1" ht="50.1" customHeight="1">
      <c r="A38" s="852"/>
      <c r="B38" s="855"/>
      <c r="C38" s="236">
        <v>2</v>
      </c>
      <c r="D38" s="237" t="s">
        <v>751</v>
      </c>
      <c r="E38" s="238"/>
      <c r="F38" s="238"/>
      <c r="G38" s="357" t="s">
        <v>772</v>
      </c>
      <c r="H38" s="305"/>
      <c r="I38" s="306"/>
      <c r="J38" s="236">
        <v>24.789999999999996</v>
      </c>
      <c r="K38" s="242">
        <v>4.7125703755580162E-3</v>
      </c>
      <c r="L38" s="236">
        <v>48.180000000000007</v>
      </c>
      <c r="M38" s="322">
        <f t="shared" ref="M38:M41" si="3">L38*J38</f>
        <v>1194.3822</v>
      </c>
      <c r="N38" s="243"/>
      <c r="O38" s="866" t="s">
        <v>624</v>
      </c>
      <c r="P38" s="858"/>
      <c r="Q38" s="231"/>
      <c r="R38" s="391"/>
      <c r="S38" s="391"/>
      <c r="T38" s="231"/>
      <c r="U38" s="231"/>
      <c r="V38" s="231"/>
      <c r="W38" s="231"/>
      <c r="X38" s="231"/>
      <c r="Y38" s="231"/>
      <c r="Z38" s="231"/>
      <c r="AA38" s="231"/>
      <c r="AB38" s="231"/>
      <c r="AC38" s="231"/>
      <c r="AD38" s="231"/>
      <c r="AE38" s="231"/>
      <c r="AF38" s="231"/>
      <c r="AG38" s="231"/>
      <c r="AH38" s="231"/>
      <c r="AI38" s="231"/>
      <c r="AJ38" s="231"/>
      <c r="AK38" s="231"/>
      <c r="AL38" s="231"/>
      <c r="AM38" s="231"/>
      <c r="AN38" s="231"/>
      <c r="AO38" s="231"/>
      <c r="AP38" s="231"/>
      <c r="AQ38" s="231"/>
      <c r="AR38" s="231"/>
      <c r="AS38" s="231"/>
      <c r="AT38" s="231"/>
      <c r="AU38" s="231"/>
      <c r="AV38" s="231"/>
      <c r="AW38" s="231"/>
      <c r="AX38" s="231"/>
      <c r="AY38" s="231"/>
      <c r="AZ38" s="231"/>
      <c r="BA38" s="231"/>
      <c r="BB38" s="231"/>
      <c r="BC38" s="231"/>
      <c r="BD38" s="231"/>
      <c r="BE38" s="231"/>
      <c r="BF38" s="231"/>
      <c r="BG38" s="231"/>
      <c r="BH38" s="231"/>
      <c r="BI38" s="231"/>
      <c r="BJ38" s="231"/>
      <c r="BK38" s="231"/>
      <c r="BL38" s="231"/>
      <c r="BM38" s="231"/>
      <c r="BN38" s="231"/>
      <c r="BO38" s="231"/>
      <c r="BP38" s="231"/>
      <c r="BQ38" s="231"/>
      <c r="BR38" s="231"/>
      <c r="BS38" s="231"/>
      <c r="BT38" s="231"/>
      <c r="BU38" s="231"/>
      <c r="BV38" s="231"/>
    </row>
    <row r="39" spans="1:74" s="135" customFormat="1" ht="50.1" customHeight="1">
      <c r="A39" s="852"/>
      <c r="B39" s="855"/>
      <c r="C39" s="236">
        <v>3</v>
      </c>
      <c r="D39" s="237" t="s">
        <v>710</v>
      </c>
      <c r="E39" s="238"/>
      <c r="F39" s="238"/>
      <c r="G39" s="357" t="s">
        <v>773</v>
      </c>
      <c r="H39" s="305"/>
      <c r="I39" s="306"/>
      <c r="J39" s="236">
        <v>122.85000000000001</v>
      </c>
      <c r="K39" s="242">
        <v>7.9865817625088976E-3</v>
      </c>
      <c r="L39" s="236">
        <v>8.19</v>
      </c>
      <c r="M39" s="322">
        <f t="shared" si="3"/>
        <v>1006.1415000000001</v>
      </c>
      <c r="N39" s="243"/>
      <c r="O39" s="867" t="s">
        <v>793</v>
      </c>
      <c r="P39" s="823"/>
      <c r="Q39" s="231"/>
      <c r="R39" s="390"/>
      <c r="S39" s="390"/>
      <c r="T39" s="231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  <c r="AK39" s="231"/>
      <c r="AL39" s="231"/>
      <c r="AM39" s="231"/>
      <c r="AN39" s="231"/>
      <c r="AO39" s="231"/>
      <c r="AP39" s="231"/>
      <c r="AQ39" s="231"/>
      <c r="AR39" s="231"/>
      <c r="AS39" s="231"/>
      <c r="AT39" s="231"/>
      <c r="AU39" s="231"/>
      <c r="AV39" s="231"/>
      <c r="AW39" s="231"/>
      <c r="AX39" s="231"/>
      <c r="AY39" s="231"/>
      <c r="AZ39" s="231"/>
      <c r="BA39" s="231"/>
      <c r="BB39" s="231"/>
      <c r="BC39" s="231"/>
      <c r="BD39" s="231"/>
      <c r="BE39" s="231"/>
      <c r="BF39" s="231"/>
      <c r="BG39" s="231"/>
      <c r="BH39" s="231"/>
      <c r="BI39" s="231"/>
      <c r="BJ39" s="231"/>
      <c r="BK39" s="231"/>
      <c r="BL39" s="231"/>
      <c r="BM39" s="231"/>
      <c r="BN39" s="231"/>
      <c r="BO39" s="231"/>
      <c r="BP39" s="231"/>
      <c r="BQ39" s="231"/>
      <c r="BR39" s="231"/>
      <c r="BS39" s="231"/>
      <c r="BT39" s="231"/>
      <c r="BU39" s="231"/>
      <c r="BV39" s="231"/>
    </row>
    <row r="40" spans="1:74" s="135" customFormat="1" ht="50.1" customHeight="1">
      <c r="A40" s="852"/>
      <c r="B40" s="855"/>
      <c r="C40" s="236">
        <v>4</v>
      </c>
      <c r="D40" s="237" t="s">
        <v>580</v>
      </c>
      <c r="E40" s="238"/>
      <c r="F40" s="238"/>
      <c r="G40" s="357" t="s">
        <v>774</v>
      </c>
      <c r="H40" s="305"/>
      <c r="I40" s="306"/>
      <c r="J40" s="236">
        <v>79.98</v>
      </c>
      <c r="K40" s="242">
        <v>1.9285826647789838E-2</v>
      </c>
      <c r="L40" s="236">
        <v>12.26</v>
      </c>
      <c r="M40" s="322">
        <f t="shared" si="3"/>
        <v>980.5548</v>
      </c>
      <c r="N40" s="243"/>
      <c r="O40" s="867" t="s">
        <v>794</v>
      </c>
      <c r="P40" s="823"/>
      <c r="Q40" s="231"/>
      <c r="R40" s="391"/>
      <c r="S40" s="391"/>
      <c r="T40" s="231"/>
      <c r="U40" s="231"/>
      <c r="V40" s="231"/>
      <c r="W40" s="231"/>
      <c r="X40" s="231"/>
      <c r="Y40" s="231"/>
      <c r="Z40" s="231"/>
      <c r="AA40" s="231"/>
      <c r="AB40" s="231"/>
      <c r="AC40" s="231"/>
      <c r="AD40" s="231"/>
      <c r="AE40" s="231"/>
      <c r="AF40" s="231"/>
      <c r="AG40" s="231"/>
      <c r="AH40" s="231"/>
      <c r="AI40" s="231"/>
      <c r="AJ40" s="231"/>
      <c r="AK40" s="231"/>
      <c r="AL40" s="231"/>
      <c r="AM40" s="231"/>
      <c r="AN40" s="231"/>
      <c r="AO40" s="231"/>
      <c r="AP40" s="231"/>
      <c r="AQ40" s="231"/>
      <c r="AR40" s="231"/>
      <c r="AS40" s="231"/>
      <c r="AT40" s="231"/>
      <c r="AU40" s="231"/>
      <c r="AV40" s="231"/>
      <c r="AW40" s="231"/>
      <c r="AX40" s="231"/>
      <c r="AY40" s="231"/>
      <c r="AZ40" s="231"/>
      <c r="BA40" s="231"/>
      <c r="BB40" s="231"/>
      <c r="BC40" s="231"/>
      <c r="BD40" s="231"/>
      <c r="BE40" s="231"/>
      <c r="BF40" s="231"/>
      <c r="BG40" s="231"/>
      <c r="BH40" s="231"/>
      <c r="BI40" s="231"/>
      <c r="BJ40" s="231"/>
      <c r="BK40" s="231"/>
      <c r="BL40" s="231"/>
      <c r="BM40" s="231"/>
      <c r="BN40" s="231"/>
      <c r="BO40" s="231"/>
      <c r="BP40" s="231"/>
      <c r="BQ40" s="231"/>
      <c r="BR40" s="231"/>
      <c r="BS40" s="231"/>
      <c r="BT40" s="231"/>
      <c r="BU40" s="231"/>
      <c r="BV40" s="231"/>
    </row>
    <row r="41" spans="1:74" s="135" customFormat="1" ht="50.1" customHeight="1" thickBot="1">
      <c r="A41" s="852"/>
      <c r="B41" s="855"/>
      <c r="C41" s="236">
        <v>5</v>
      </c>
      <c r="D41" s="244" t="s">
        <v>710</v>
      </c>
      <c r="E41" s="245"/>
      <c r="F41" s="245"/>
      <c r="G41" s="357" t="s">
        <v>714</v>
      </c>
      <c r="H41" s="305"/>
      <c r="I41" s="306"/>
      <c r="J41" s="247">
        <v>91.13</v>
      </c>
      <c r="K41" s="248">
        <v>8.253760219684202E-3</v>
      </c>
      <c r="L41" s="247">
        <v>10.579999999999998</v>
      </c>
      <c r="M41" s="323">
        <f t="shared" si="3"/>
        <v>964.15539999999976</v>
      </c>
      <c r="N41" s="243"/>
      <c r="O41" s="867" t="s">
        <v>576</v>
      </c>
      <c r="P41" s="823"/>
      <c r="Q41" s="231"/>
      <c r="R41" s="390"/>
      <c r="S41" s="390"/>
      <c r="T41" s="231"/>
      <c r="U41" s="392"/>
      <c r="V41" s="231"/>
      <c r="W41" s="231"/>
      <c r="X41" s="231"/>
      <c r="Y41" s="231"/>
      <c r="Z41" s="231"/>
      <c r="AA41" s="231"/>
      <c r="AB41" s="231"/>
      <c r="AC41" s="231"/>
      <c r="AD41" s="231"/>
      <c r="AE41" s="231"/>
      <c r="AF41" s="231"/>
      <c r="AG41" s="231"/>
      <c r="AH41" s="231"/>
      <c r="AI41" s="231"/>
      <c r="AJ41" s="231"/>
      <c r="AK41" s="231"/>
      <c r="AL41" s="231"/>
      <c r="AM41" s="231"/>
      <c r="AN41" s="231"/>
      <c r="AO41" s="231"/>
      <c r="AP41" s="231"/>
      <c r="AQ41" s="231"/>
      <c r="AR41" s="231"/>
      <c r="AS41" s="231"/>
      <c r="AT41" s="231"/>
      <c r="AU41" s="231"/>
      <c r="AV41" s="231"/>
      <c r="AW41" s="231"/>
      <c r="AX41" s="231"/>
      <c r="AY41" s="231"/>
      <c r="AZ41" s="231"/>
      <c r="BA41" s="231"/>
      <c r="BB41" s="231"/>
      <c r="BC41" s="231"/>
      <c r="BD41" s="231"/>
      <c r="BE41" s="231"/>
      <c r="BF41" s="231"/>
      <c r="BG41" s="231"/>
      <c r="BH41" s="231"/>
      <c r="BI41" s="231"/>
      <c r="BJ41" s="231"/>
      <c r="BK41" s="231"/>
      <c r="BL41" s="231"/>
      <c r="BM41" s="231"/>
      <c r="BN41" s="231"/>
      <c r="BO41" s="231"/>
      <c r="BP41" s="231"/>
      <c r="BQ41" s="231"/>
      <c r="BR41" s="231"/>
      <c r="BS41" s="231"/>
      <c r="BT41" s="231"/>
      <c r="BU41" s="231"/>
      <c r="BV41" s="231"/>
    </row>
    <row r="42" spans="1:74" s="135" customFormat="1" ht="15.75" customHeight="1" thickTop="1">
      <c r="A42" s="853"/>
      <c r="B42" s="856"/>
      <c r="C42" s="724"/>
      <c r="D42" s="725"/>
      <c r="E42" s="725"/>
      <c r="F42" s="725"/>
      <c r="G42" s="725"/>
      <c r="H42" s="725"/>
      <c r="I42" s="859"/>
      <c r="J42" s="249" t="s">
        <v>58</v>
      </c>
      <c r="K42" s="212">
        <f>M42/'生產管理報表 7-1 (週)'!$B$20</f>
        <v>5.6259647719019118E-2</v>
      </c>
      <c r="L42" s="249" t="s">
        <v>59</v>
      </c>
      <c r="M42" s="324">
        <f>SUM(M37:M41)</f>
        <v>5483.7187000000004</v>
      </c>
      <c r="N42" s="812"/>
      <c r="O42" s="813"/>
      <c r="P42" s="814"/>
      <c r="Q42" s="231"/>
      <c r="R42" s="210"/>
      <c r="S42" s="210"/>
      <c r="T42" s="231"/>
      <c r="U42" s="231"/>
      <c r="V42" s="231"/>
      <c r="W42" s="231"/>
      <c r="X42" s="231"/>
      <c r="Y42" s="231"/>
      <c r="Z42" s="231"/>
      <c r="AA42" s="231"/>
      <c r="AB42" s="231"/>
      <c r="AC42" s="231"/>
      <c r="AD42" s="231"/>
      <c r="AE42" s="231"/>
      <c r="AF42" s="231"/>
      <c r="AG42" s="231"/>
      <c r="AH42" s="231"/>
      <c r="AI42" s="231"/>
      <c r="AJ42" s="231"/>
      <c r="AK42" s="231"/>
      <c r="AL42" s="231"/>
      <c r="AM42" s="231"/>
      <c r="AN42" s="231"/>
      <c r="AO42" s="231"/>
      <c r="AP42" s="231"/>
      <c r="AQ42" s="231"/>
      <c r="AR42" s="231"/>
      <c r="AS42" s="231"/>
      <c r="AT42" s="231"/>
      <c r="AU42" s="231"/>
      <c r="AV42" s="231"/>
      <c r="AW42" s="231"/>
      <c r="AX42" s="231"/>
      <c r="AY42" s="231"/>
      <c r="AZ42" s="231"/>
      <c r="BA42" s="231"/>
      <c r="BB42" s="231"/>
      <c r="BC42" s="231"/>
      <c r="BD42" s="231"/>
      <c r="BE42" s="231"/>
      <c r="BF42" s="231"/>
      <c r="BG42" s="231"/>
      <c r="BH42" s="231"/>
      <c r="BI42" s="231"/>
      <c r="BJ42" s="231"/>
      <c r="BK42" s="231"/>
      <c r="BL42" s="231"/>
      <c r="BM42" s="231"/>
      <c r="BN42" s="231"/>
      <c r="BO42" s="231"/>
      <c r="BP42" s="231"/>
      <c r="BQ42" s="231"/>
      <c r="BR42" s="231"/>
      <c r="BS42" s="231"/>
      <c r="BT42" s="231"/>
      <c r="BU42" s="231"/>
      <c r="BV42" s="231"/>
    </row>
    <row r="43" spans="1:74" s="135" customFormat="1" ht="15.75" customHeight="1">
      <c r="B43" s="232"/>
      <c r="C43" s="233"/>
      <c r="D43" s="233"/>
      <c r="E43" s="233"/>
      <c r="F43" s="233"/>
      <c r="G43" s="233"/>
      <c r="H43" s="233"/>
      <c r="I43" s="233"/>
      <c r="J43" s="233"/>
      <c r="K43" s="233"/>
      <c r="L43" s="233"/>
      <c r="M43" s="233"/>
      <c r="N43" s="251"/>
      <c r="O43" s="251"/>
      <c r="P43" s="251"/>
      <c r="Q43" s="231"/>
      <c r="R43" s="261"/>
      <c r="S43" s="261"/>
      <c r="T43" s="231"/>
      <c r="U43" s="231"/>
      <c r="V43" s="231"/>
      <c r="W43" s="231"/>
      <c r="X43" s="231"/>
      <c r="Y43" s="231"/>
      <c r="Z43" s="231"/>
      <c r="AA43" s="231"/>
      <c r="AB43" s="231"/>
      <c r="AC43" s="231"/>
      <c r="AD43" s="231"/>
      <c r="AE43" s="231"/>
      <c r="AF43" s="231"/>
      <c r="AG43" s="231"/>
      <c r="AH43" s="231"/>
      <c r="AI43" s="231"/>
      <c r="AJ43" s="231"/>
      <c r="AK43" s="231"/>
      <c r="AL43" s="231"/>
      <c r="AM43" s="231"/>
      <c r="AN43" s="231"/>
      <c r="AO43" s="231"/>
      <c r="AP43" s="231"/>
      <c r="AQ43" s="231"/>
      <c r="AR43" s="231"/>
      <c r="AS43" s="231"/>
      <c r="AT43" s="231"/>
      <c r="AU43" s="231"/>
      <c r="AV43" s="231"/>
      <c r="AW43" s="231"/>
      <c r="AX43" s="231"/>
      <c r="AY43" s="231"/>
      <c r="AZ43" s="231"/>
      <c r="BA43" s="231"/>
      <c r="BB43" s="231"/>
      <c r="BC43" s="231"/>
      <c r="BD43" s="231"/>
      <c r="BE43" s="231"/>
      <c r="BF43" s="231"/>
      <c r="BG43" s="231"/>
      <c r="BH43" s="231"/>
      <c r="BI43" s="231"/>
      <c r="BJ43" s="231"/>
      <c r="BK43" s="231"/>
      <c r="BL43" s="231"/>
      <c r="BM43" s="231"/>
      <c r="BN43" s="231"/>
      <c r="BO43" s="231"/>
      <c r="BP43" s="231"/>
      <c r="BQ43" s="231"/>
      <c r="BR43" s="231"/>
      <c r="BS43" s="231"/>
      <c r="BT43" s="231"/>
      <c r="BU43" s="231"/>
      <c r="BV43" s="231"/>
    </row>
    <row r="44" spans="1:74" s="135" customFormat="1" ht="15.75" customHeight="1">
      <c r="A44" s="748" t="s">
        <v>191</v>
      </c>
      <c r="B44" s="749"/>
      <c r="C44" s="252" t="s">
        <v>47</v>
      </c>
      <c r="D44" s="736" t="s">
        <v>12</v>
      </c>
      <c r="E44" s="737"/>
      <c r="F44" s="738"/>
      <c r="G44" s="736" t="s">
        <v>53</v>
      </c>
      <c r="H44" s="737"/>
      <c r="I44" s="738"/>
      <c r="J44" s="254" t="s">
        <v>54</v>
      </c>
      <c r="K44" s="254" t="s">
        <v>55</v>
      </c>
      <c r="L44" s="254" t="s">
        <v>56</v>
      </c>
      <c r="M44" s="254" t="s">
        <v>11</v>
      </c>
      <c r="N44" s="255" t="s">
        <v>333</v>
      </c>
      <c r="O44" s="815" t="s">
        <v>51</v>
      </c>
      <c r="P44" s="816"/>
      <c r="Q44" s="231"/>
      <c r="R44" s="210"/>
      <c r="S44" s="210"/>
      <c r="T44" s="231"/>
      <c r="U44" s="231"/>
      <c r="V44" s="231"/>
      <c r="W44" s="231"/>
      <c r="X44" s="231"/>
      <c r="Y44" s="231"/>
      <c r="Z44" s="231"/>
      <c r="AA44" s="231"/>
      <c r="AB44" s="231"/>
      <c r="AC44" s="231"/>
      <c r="AD44" s="231"/>
      <c r="AE44" s="231"/>
      <c r="AF44" s="231"/>
      <c r="AG44" s="231"/>
      <c r="AH44" s="231"/>
      <c r="AI44" s="231"/>
    </row>
    <row r="45" spans="1:74" s="135" customFormat="1" ht="20.100000000000001" customHeight="1">
      <c r="A45" s="851">
        <v>2</v>
      </c>
      <c r="B45" s="854" t="s">
        <v>213</v>
      </c>
      <c r="C45" s="256">
        <v>1</v>
      </c>
      <c r="D45" s="237"/>
      <c r="E45" s="238"/>
      <c r="F45" s="239"/>
      <c r="G45" s="237"/>
      <c r="H45" s="238"/>
      <c r="I45" s="239"/>
      <c r="J45" s="257"/>
      <c r="K45" s="258"/>
      <c r="L45" s="257"/>
      <c r="M45" s="259">
        <f t="shared" ref="M45:M49" si="4">L45*J45</f>
        <v>0</v>
      </c>
      <c r="N45" s="260"/>
      <c r="O45" s="817"/>
      <c r="P45" s="818"/>
      <c r="Q45" s="231"/>
      <c r="R45" s="261"/>
      <c r="S45" s="261"/>
      <c r="T45" s="231"/>
      <c r="U45" s="231"/>
      <c r="V45" s="231"/>
      <c r="W45" s="231"/>
      <c r="X45" s="231"/>
      <c r="Y45" s="231"/>
      <c r="Z45" s="231"/>
      <c r="AA45" s="231"/>
      <c r="AB45" s="231"/>
      <c r="AC45" s="231"/>
      <c r="AD45" s="231"/>
      <c r="AE45" s="231"/>
      <c r="AF45" s="231"/>
      <c r="AG45" s="231"/>
      <c r="AH45" s="231"/>
      <c r="AI45" s="231"/>
    </row>
    <row r="46" spans="1:74" s="135" customFormat="1" ht="20.100000000000001" customHeight="1">
      <c r="A46" s="852"/>
      <c r="B46" s="855"/>
      <c r="C46" s="256">
        <v>2</v>
      </c>
      <c r="D46" s="237"/>
      <c r="E46" s="238"/>
      <c r="F46" s="239"/>
      <c r="G46" s="237"/>
      <c r="H46" s="238"/>
      <c r="I46" s="239"/>
      <c r="J46" s="257"/>
      <c r="K46" s="258"/>
      <c r="L46" s="257"/>
      <c r="M46" s="259">
        <f t="shared" si="4"/>
        <v>0</v>
      </c>
      <c r="N46" s="260"/>
      <c r="O46" s="817"/>
      <c r="P46" s="818"/>
      <c r="Q46" s="231"/>
      <c r="R46" s="210"/>
      <c r="S46" s="210"/>
      <c r="T46" s="231"/>
      <c r="U46" s="231"/>
      <c r="V46" s="231"/>
      <c r="W46" s="231"/>
      <c r="X46" s="231"/>
      <c r="Y46" s="231"/>
      <c r="Z46" s="231"/>
      <c r="AA46" s="231"/>
      <c r="AB46" s="231"/>
      <c r="AC46" s="231"/>
      <c r="AD46" s="231"/>
      <c r="AE46" s="231"/>
      <c r="AF46" s="231"/>
      <c r="AG46" s="231"/>
      <c r="AH46" s="231"/>
      <c r="AI46" s="231"/>
    </row>
    <row r="47" spans="1:74" s="135" customFormat="1" ht="20.100000000000001" customHeight="1">
      <c r="A47" s="852"/>
      <c r="B47" s="855"/>
      <c r="C47" s="256">
        <v>3</v>
      </c>
      <c r="D47" s="237"/>
      <c r="E47" s="238"/>
      <c r="F47" s="239"/>
      <c r="G47" s="237"/>
      <c r="H47" s="238"/>
      <c r="I47" s="268"/>
      <c r="J47" s="257"/>
      <c r="K47" s="258"/>
      <c r="L47" s="257"/>
      <c r="M47" s="259">
        <f t="shared" si="4"/>
        <v>0</v>
      </c>
      <c r="N47" s="260"/>
      <c r="O47" s="817"/>
      <c r="P47" s="818"/>
      <c r="Q47" s="231"/>
      <c r="R47" s="261"/>
      <c r="S47" s="261"/>
      <c r="T47" s="231"/>
      <c r="U47" s="231"/>
      <c r="V47" s="231"/>
      <c r="W47" s="231"/>
      <c r="X47" s="231"/>
      <c r="Y47" s="231"/>
      <c r="Z47" s="231"/>
      <c r="AA47" s="231"/>
      <c r="AB47" s="231"/>
      <c r="AC47" s="231"/>
      <c r="AD47" s="231"/>
      <c r="AE47" s="231"/>
      <c r="AF47" s="231"/>
      <c r="AG47" s="231"/>
    </row>
    <row r="48" spans="1:74" s="135" customFormat="1" ht="20.100000000000001" customHeight="1">
      <c r="A48" s="852"/>
      <c r="B48" s="855"/>
      <c r="C48" s="256">
        <v>4</v>
      </c>
      <c r="D48" s="237"/>
      <c r="E48" s="238"/>
      <c r="F48" s="239"/>
      <c r="G48" s="237"/>
      <c r="H48" s="238"/>
      <c r="I48" s="239"/>
      <c r="J48" s="257"/>
      <c r="K48" s="258"/>
      <c r="L48" s="257"/>
      <c r="M48" s="259">
        <f t="shared" si="4"/>
        <v>0</v>
      </c>
      <c r="N48" s="260"/>
      <c r="O48" s="817"/>
      <c r="P48" s="818"/>
      <c r="Q48" s="231"/>
      <c r="R48" s="210"/>
      <c r="S48" s="210"/>
      <c r="T48" s="231"/>
      <c r="U48" s="231"/>
      <c r="V48" s="231"/>
      <c r="W48" s="231"/>
      <c r="X48" s="231"/>
      <c r="Y48" s="231"/>
      <c r="Z48" s="231"/>
      <c r="AA48" s="231"/>
      <c r="AB48" s="231"/>
      <c r="AC48" s="231"/>
      <c r="AD48" s="231"/>
      <c r="AE48" s="231"/>
      <c r="AF48" s="231"/>
      <c r="AG48" s="231"/>
    </row>
    <row r="49" spans="1:35" s="135" customFormat="1" ht="20.100000000000001" customHeight="1" thickBot="1">
      <c r="A49" s="852"/>
      <c r="B49" s="855"/>
      <c r="C49" s="262">
        <v>5</v>
      </c>
      <c r="D49" s="244"/>
      <c r="E49" s="245"/>
      <c r="F49" s="246"/>
      <c r="G49" s="237"/>
      <c r="H49" s="238"/>
      <c r="I49" s="239"/>
      <c r="J49" s="263"/>
      <c r="K49" s="264"/>
      <c r="L49" s="263"/>
      <c r="M49" s="265">
        <f t="shared" si="4"/>
        <v>0</v>
      </c>
      <c r="N49" s="266"/>
      <c r="O49" s="817"/>
      <c r="P49" s="818"/>
      <c r="Q49" s="231"/>
      <c r="R49" s="231"/>
      <c r="S49" s="231"/>
      <c r="T49" s="231"/>
      <c r="U49" s="231"/>
      <c r="V49" s="231"/>
      <c r="W49" s="231"/>
      <c r="X49" s="231"/>
      <c r="Y49" s="231"/>
      <c r="Z49" s="231"/>
      <c r="AA49" s="231"/>
      <c r="AB49" s="231"/>
      <c r="AC49" s="231"/>
      <c r="AD49" s="231"/>
      <c r="AE49" s="231"/>
      <c r="AF49" s="231"/>
      <c r="AG49" s="231"/>
    </row>
    <row r="50" spans="1:35" s="135" customFormat="1" ht="15.75" customHeight="1" thickTop="1">
      <c r="A50" s="853"/>
      <c r="B50" s="856"/>
      <c r="C50" s="724"/>
      <c r="D50" s="725"/>
      <c r="E50" s="725"/>
      <c r="F50" s="725"/>
      <c r="G50" s="725"/>
      <c r="H50" s="725"/>
      <c r="I50" s="859"/>
      <c r="J50" s="249" t="s">
        <v>58</v>
      </c>
      <c r="K50" s="212">
        <f>M50/'生產管理報表 7-1 (週)'!$B$20</f>
        <v>0</v>
      </c>
      <c r="L50" s="249" t="s">
        <v>59</v>
      </c>
      <c r="M50" s="250">
        <f>SUM(M45:M49)</f>
        <v>0</v>
      </c>
      <c r="N50" s="819"/>
      <c r="O50" s="820"/>
      <c r="P50" s="821"/>
      <c r="Q50" s="231"/>
      <c r="R50" s="231"/>
      <c r="S50" s="231"/>
      <c r="T50" s="231"/>
      <c r="U50" s="231"/>
      <c r="V50" s="231"/>
      <c r="W50" s="231"/>
      <c r="X50" s="231"/>
      <c r="Y50" s="231"/>
      <c r="Z50" s="231"/>
      <c r="AA50" s="231"/>
      <c r="AB50" s="231"/>
      <c r="AC50" s="231"/>
      <c r="AD50" s="231"/>
      <c r="AE50" s="231"/>
      <c r="AF50" s="231"/>
      <c r="AG50" s="231"/>
    </row>
    <row r="51" spans="1:35" s="135" customFormat="1" ht="15.75" customHeight="1">
      <c r="B51" s="232"/>
      <c r="C51" s="233"/>
      <c r="D51" s="233"/>
      <c r="E51" s="233"/>
      <c r="F51" s="233"/>
      <c r="G51" s="233"/>
      <c r="H51" s="233"/>
      <c r="I51" s="233"/>
      <c r="J51" s="233"/>
      <c r="K51" s="233"/>
      <c r="L51" s="233"/>
      <c r="M51" s="233"/>
      <c r="N51" s="267"/>
      <c r="O51" s="267"/>
      <c r="P51" s="267"/>
      <c r="Q51" s="231"/>
      <c r="R51" s="231"/>
      <c r="S51" s="231"/>
      <c r="T51" s="231"/>
      <c r="U51" s="231"/>
      <c r="V51" s="231"/>
      <c r="W51" s="231"/>
      <c r="X51" s="231"/>
      <c r="Y51" s="231"/>
      <c r="Z51" s="231"/>
      <c r="AA51" s="231"/>
      <c r="AB51" s="231"/>
      <c r="AC51" s="231"/>
      <c r="AD51" s="231"/>
      <c r="AE51" s="231"/>
      <c r="AF51" s="231"/>
      <c r="AG51" s="231"/>
    </row>
    <row r="52" spans="1:35" s="135" customFormat="1" ht="15.75" customHeight="1">
      <c r="A52" s="748" t="s">
        <v>191</v>
      </c>
      <c r="B52" s="749"/>
      <c r="C52" s="252" t="s">
        <v>47</v>
      </c>
      <c r="D52" s="736" t="s">
        <v>12</v>
      </c>
      <c r="E52" s="737"/>
      <c r="F52" s="738"/>
      <c r="G52" s="736" t="s">
        <v>53</v>
      </c>
      <c r="H52" s="737"/>
      <c r="I52" s="850"/>
      <c r="J52" s="253" t="s">
        <v>54</v>
      </c>
      <c r="K52" s="254" t="s">
        <v>55</v>
      </c>
      <c r="L52" s="254" t="s">
        <v>56</v>
      </c>
      <c r="M52" s="254" t="s">
        <v>11</v>
      </c>
      <c r="N52" s="255" t="s">
        <v>333</v>
      </c>
      <c r="O52" s="827" t="s">
        <v>51</v>
      </c>
      <c r="P52" s="828"/>
      <c r="Q52" s="231"/>
      <c r="R52" s="231"/>
      <c r="S52" s="231"/>
      <c r="T52" s="231"/>
      <c r="U52" s="231"/>
      <c r="V52" s="231"/>
      <c r="W52" s="231"/>
      <c r="X52" s="231"/>
      <c r="Y52" s="231"/>
      <c r="Z52" s="231"/>
      <c r="AA52" s="231"/>
      <c r="AB52" s="231"/>
      <c r="AC52" s="231"/>
      <c r="AD52" s="231"/>
      <c r="AE52" s="231"/>
      <c r="AF52" s="231"/>
      <c r="AG52" s="231"/>
      <c r="AH52" s="231"/>
      <c r="AI52" s="231"/>
    </row>
    <row r="53" spans="1:35" s="135" customFormat="1" ht="50.1" customHeight="1">
      <c r="A53" s="851">
        <v>3</v>
      </c>
      <c r="B53" s="854" t="s">
        <v>422</v>
      </c>
      <c r="C53" s="256">
        <v>1</v>
      </c>
      <c r="D53" s="237" t="s">
        <v>340</v>
      </c>
      <c r="E53" s="238"/>
      <c r="F53" s="239"/>
      <c r="G53" s="246" t="s">
        <v>448</v>
      </c>
      <c r="H53" s="245"/>
      <c r="I53" s="246"/>
      <c r="J53" s="257">
        <v>2.4499999999999997</v>
      </c>
      <c r="K53" s="258">
        <v>6.3649368689486455E-3</v>
      </c>
      <c r="L53" s="257">
        <v>921</v>
      </c>
      <c r="M53" s="325">
        <f t="shared" ref="M53:M57" si="5">L53*J53</f>
        <v>2256.4499999999998</v>
      </c>
      <c r="N53" s="270"/>
      <c r="O53" s="857" t="s">
        <v>460</v>
      </c>
      <c r="P53" s="858"/>
      <c r="Q53" s="231"/>
      <c r="R53" s="392"/>
      <c r="S53" s="392"/>
      <c r="T53" s="231"/>
      <c r="U53" s="231"/>
      <c r="V53" s="231"/>
      <c r="W53" s="231"/>
      <c r="X53" s="231"/>
      <c r="Y53" s="231"/>
      <c r="Z53" s="231"/>
      <c r="AA53" s="231"/>
      <c r="AB53" s="231"/>
      <c r="AC53" s="231"/>
      <c r="AD53" s="231"/>
      <c r="AE53" s="231"/>
      <c r="AF53" s="231"/>
      <c r="AG53" s="231"/>
      <c r="AH53" s="231"/>
      <c r="AI53" s="231"/>
    </row>
    <row r="54" spans="1:35" s="135" customFormat="1" ht="50.1" customHeight="1">
      <c r="A54" s="852"/>
      <c r="B54" s="855"/>
      <c r="C54" s="256">
        <v>2</v>
      </c>
      <c r="D54" s="237" t="s">
        <v>340</v>
      </c>
      <c r="E54" s="238"/>
      <c r="F54" s="239"/>
      <c r="G54" s="246" t="s">
        <v>447</v>
      </c>
      <c r="H54" s="245"/>
      <c r="I54" s="246"/>
      <c r="J54" s="257">
        <v>1.17</v>
      </c>
      <c r="K54" s="258">
        <v>6.7536918502091627E-3</v>
      </c>
      <c r="L54" s="257">
        <v>1608</v>
      </c>
      <c r="M54" s="325">
        <f t="shared" si="5"/>
        <v>1881.36</v>
      </c>
      <c r="N54" s="270"/>
      <c r="O54" s="822" t="s">
        <v>528</v>
      </c>
      <c r="P54" s="823"/>
      <c r="Q54" s="231"/>
      <c r="R54" s="392"/>
      <c r="S54" s="398"/>
      <c r="T54" s="231"/>
      <c r="U54" s="231"/>
      <c r="V54" s="231"/>
      <c r="W54" s="231"/>
      <c r="X54" s="231"/>
      <c r="Y54" s="231"/>
      <c r="Z54" s="231"/>
      <c r="AA54" s="231"/>
      <c r="AB54" s="231"/>
      <c r="AC54" s="231"/>
      <c r="AD54" s="231"/>
      <c r="AE54" s="231"/>
      <c r="AF54" s="231"/>
      <c r="AG54" s="231"/>
      <c r="AH54" s="231"/>
      <c r="AI54" s="231"/>
    </row>
    <row r="55" spans="1:35" s="135" customFormat="1" ht="50.1" customHeight="1">
      <c r="A55" s="852"/>
      <c r="B55" s="855"/>
      <c r="C55" s="256">
        <v>3</v>
      </c>
      <c r="D55" s="237" t="s">
        <v>697</v>
      </c>
      <c r="E55" s="238"/>
      <c r="F55" s="239"/>
      <c r="G55" s="246" t="s">
        <v>692</v>
      </c>
      <c r="H55" s="245"/>
      <c r="I55" s="246"/>
      <c r="J55" s="257">
        <v>625.93999999999994</v>
      </c>
      <c r="K55" s="258">
        <v>1.3508242194836531E-3</v>
      </c>
      <c r="L55" s="257">
        <v>1.87</v>
      </c>
      <c r="M55" s="325">
        <f t="shared" si="5"/>
        <v>1170.5077999999999</v>
      </c>
      <c r="N55" s="270"/>
      <c r="O55" s="822" t="s">
        <v>594</v>
      </c>
      <c r="P55" s="823"/>
      <c r="Q55" s="392"/>
      <c r="R55" s="392"/>
      <c r="S55" s="398"/>
      <c r="T55" s="231"/>
      <c r="U55" s="231"/>
      <c r="V55" s="231"/>
      <c r="W55" s="231"/>
      <c r="X55" s="231"/>
      <c r="Y55" s="231"/>
      <c r="Z55" s="231"/>
      <c r="AA55" s="231"/>
      <c r="AB55" s="231"/>
      <c r="AC55" s="231"/>
      <c r="AD55" s="231"/>
      <c r="AE55" s="231"/>
      <c r="AF55" s="231"/>
      <c r="AG55" s="231"/>
      <c r="AH55" s="231"/>
      <c r="AI55" s="231"/>
    </row>
    <row r="56" spans="1:35" s="135" customFormat="1" ht="50.1" customHeight="1">
      <c r="A56" s="852"/>
      <c r="B56" s="855"/>
      <c r="C56" s="256">
        <v>4</v>
      </c>
      <c r="D56" s="237" t="s">
        <v>463</v>
      </c>
      <c r="E56" s="238"/>
      <c r="F56" s="239"/>
      <c r="G56" s="378" t="s">
        <v>461</v>
      </c>
      <c r="H56" s="359"/>
      <c r="I56" s="378"/>
      <c r="J56" s="269">
        <v>407.74000000000007</v>
      </c>
      <c r="K56" s="258">
        <v>2.5324944629258692E-3</v>
      </c>
      <c r="L56" s="257">
        <v>2.8699999999999997</v>
      </c>
      <c r="M56" s="325">
        <f t="shared" si="5"/>
        <v>1170.2138</v>
      </c>
      <c r="N56" s="270"/>
      <c r="O56" s="822" t="s">
        <v>594</v>
      </c>
      <c r="P56" s="823"/>
      <c r="Q56" s="231"/>
      <c r="R56" s="231"/>
      <c r="S56"/>
      <c r="T56" s="231"/>
      <c r="U56" s="231"/>
      <c r="V56" s="231"/>
      <c r="W56" s="231"/>
      <c r="X56" s="231"/>
      <c r="Y56" s="231"/>
      <c r="Z56" s="231"/>
      <c r="AA56" s="231"/>
      <c r="AB56" s="231"/>
      <c r="AC56" s="231"/>
      <c r="AD56" s="231"/>
      <c r="AE56" s="231"/>
      <c r="AF56" s="231"/>
      <c r="AG56" s="231"/>
      <c r="AH56" s="231"/>
      <c r="AI56" s="231"/>
    </row>
    <row r="57" spans="1:35" s="135" customFormat="1" ht="50.1" customHeight="1" thickBot="1">
      <c r="A57" s="852"/>
      <c r="B57" s="855"/>
      <c r="C57" s="262">
        <v>5</v>
      </c>
      <c r="D57" s="244" t="s">
        <v>566</v>
      </c>
      <c r="E57" s="245"/>
      <c r="F57" s="246"/>
      <c r="G57" s="271" t="s">
        <v>581</v>
      </c>
      <c r="H57" s="245"/>
      <c r="I57" s="271"/>
      <c r="J57" s="272">
        <v>24.59</v>
      </c>
      <c r="K57" s="264">
        <v>3.2377793571823424E-3</v>
      </c>
      <c r="L57" s="273">
        <v>41</v>
      </c>
      <c r="M57" s="325">
        <f t="shared" si="5"/>
        <v>1008.1899999999999</v>
      </c>
      <c r="N57" s="270"/>
      <c r="O57" s="822" t="s">
        <v>661</v>
      </c>
      <c r="P57" s="823"/>
      <c r="Q57" s="231"/>
      <c r="R57" s="231"/>
      <c r="S57"/>
      <c r="T57" s="231"/>
      <c r="U57" s="231"/>
      <c r="V57" s="231"/>
      <c r="W57" s="231"/>
      <c r="X57" s="231"/>
      <c r="Y57" s="231"/>
      <c r="Z57" s="231"/>
      <c r="AA57" s="231"/>
      <c r="AB57" s="231"/>
      <c r="AC57" s="231"/>
      <c r="AD57" s="231"/>
      <c r="AE57" s="231"/>
      <c r="AF57" s="231"/>
      <c r="AG57" s="231"/>
      <c r="AH57" s="231"/>
      <c r="AI57" s="231"/>
    </row>
    <row r="58" spans="1:35" s="135" customFormat="1" ht="15.75" customHeight="1" thickTop="1">
      <c r="A58" s="853"/>
      <c r="B58" s="856"/>
      <c r="C58" s="724"/>
      <c r="D58" s="725"/>
      <c r="E58" s="725"/>
      <c r="F58" s="725"/>
      <c r="G58" s="725"/>
      <c r="H58" s="725"/>
      <c r="I58" s="859"/>
      <c r="J58" s="274" t="s">
        <v>58</v>
      </c>
      <c r="K58" s="212">
        <f>M58/'生產管理報表 7-1 (週)'!$B$20</f>
        <v>7.6809249859291828E-2</v>
      </c>
      <c r="L58" s="274" t="s">
        <v>59</v>
      </c>
      <c r="M58" s="326">
        <f>SUM(M53:M57)</f>
        <v>7486.721599999998</v>
      </c>
      <c r="N58" s="824"/>
      <c r="O58" s="825"/>
      <c r="P58" s="826"/>
      <c r="Q58" s="231"/>
      <c r="R58" s="231"/>
      <c r="S58"/>
      <c r="T58" s="231"/>
      <c r="U58" s="231"/>
      <c r="V58" s="231"/>
      <c r="W58" s="231"/>
      <c r="X58" s="231"/>
      <c r="Y58" s="231"/>
      <c r="Z58" s="231"/>
      <c r="AA58" s="231"/>
      <c r="AB58" s="231"/>
      <c r="AC58" s="231"/>
      <c r="AD58" s="231"/>
      <c r="AE58" s="231"/>
      <c r="AF58" s="231"/>
      <c r="AG58" s="231"/>
      <c r="AH58" s="231"/>
      <c r="AI58" s="231"/>
    </row>
    <row r="59" spans="1:35" s="135" customFormat="1" ht="15.75" customHeight="1">
      <c r="A59" s="868" t="s">
        <v>792</v>
      </c>
      <c r="B59" s="868"/>
      <c r="C59" s="868"/>
      <c r="D59" s="868"/>
      <c r="E59" s="868"/>
      <c r="F59" s="868"/>
      <c r="G59" s="868"/>
      <c r="H59" s="868"/>
      <c r="I59" s="868"/>
      <c r="J59" s="868"/>
      <c r="K59" s="868"/>
      <c r="L59" s="868"/>
      <c r="M59" s="868"/>
      <c r="Q59" s="231"/>
      <c r="R59" s="231"/>
      <c r="S59" s="231"/>
      <c r="T59" s="231"/>
    </row>
    <row r="60" spans="1:35" s="136" customFormat="1" ht="15.75" customHeight="1">
      <c r="A60" s="745"/>
      <c r="B60" s="745"/>
      <c r="C60" s="745"/>
      <c r="D60" s="745"/>
      <c r="E60" s="745"/>
      <c r="F60" s="745"/>
      <c r="G60" s="745"/>
      <c r="H60" s="745"/>
      <c r="I60" s="745"/>
      <c r="J60" s="745"/>
      <c r="K60" s="745"/>
      <c r="L60" s="745"/>
      <c r="M60" s="745"/>
    </row>
    <row r="61" spans="1:35" s="135" customFormat="1" ht="15.75" customHeight="1">
      <c r="A61" s="746" t="s">
        <v>191</v>
      </c>
      <c r="B61" s="739">
        <v>1</v>
      </c>
      <c r="C61" s="740"/>
      <c r="D61" s="739">
        <v>2</v>
      </c>
      <c r="E61" s="740"/>
      <c r="F61" s="739">
        <v>3</v>
      </c>
      <c r="G61" s="740"/>
      <c r="H61" s="748">
        <v>4</v>
      </c>
      <c r="I61" s="749"/>
      <c r="J61" s="748">
        <v>5</v>
      </c>
      <c r="K61" s="749"/>
      <c r="L61" s="748">
        <v>6</v>
      </c>
      <c r="M61" s="749"/>
      <c r="N61" s="748">
        <v>7</v>
      </c>
      <c r="O61" s="749"/>
      <c r="P61" s="352">
        <v>8</v>
      </c>
      <c r="Q61" s="231"/>
      <c r="R61" s="231"/>
      <c r="S61" s="231"/>
      <c r="T61" s="231"/>
    </row>
    <row r="62" spans="1:35" s="135" customFormat="1" ht="15.75" customHeight="1">
      <c r="A62" s="747"/>
      <c r="B62" s="741" t="s">
        <v>452</v>
      </c>
      <c r="C62" s="742"/>
      <c r="D62" s="741" t="s">
        <v>212</v>
      </c>
      <c r="E62" s="742"/>
      <c r="F62" s="741" t="s">
        <v>166</v>
      </c>
      <c r="G62" s="742"/>
      <c r="H62" s="743" t="s">
        <v>428</v>
      </c>
      <c r="I62" s="744"/>
      <c r="J62" s="743" t="s">
        <v>189</v>
      </c>
      <c r="K62" s="744"/>
      <c r="L62" s="743" t="s">
        <v>167</v>
      </c>
      <c r="M62" s="744"/>
      <c r="N62" s="743" t="s">
        <v>190</v>
      </c>
      <c r="O62" s="744"/>
      <c r="P62" s="353" t="s">
        <v>217</v>
      </c>
      <c r="Q62" s="231"/>
      <c r="R62" s="231"/>
      <c r="S62" s="231"/>
      <c r="T62" s="231"/>
    </row>
    <row r="63" spans="1:35" s="135" customFormat="1" ht="15.75" customHeight="1">
      <c r="B63" s="232"/>
      <c r="C63" s="233"/>
      <c r="Q63" s="231"/>
      <c r="R63" s="231"/>
      <c r="S63" s="231"/>
      <c r="T63" s="231"/>
    </row>
    <row r="64" spans="1:35" s="235" customFormat="1" ht="15.75" customHeight="1">
      <c r="A64" s="748" t="s">
        <v>191</v>
      </c>
      <c r="B64" s="749"/>
      <c r="C64" s="234" t="s">
        <v>47</v>
      </c>
      <c r="D64" s="860" t="s">
        <v>12</v>
      </c>
      <c r="E64" s="737"/>
      <c r="F64" s="850"/>
      <c r="G64" s="861" t="s">
        <v>53</v>
      </c>
      <c r="H64" s="862"/>
      <c r="I64" s="863"/>
      <c r="J64" s="234" t="s">
        <v>54</v>
      </c>
      <c r="K64" s="234" t="s">
        <v>55</v>
      </c>
      <c r="L64" s="234" t="s">
        <v>56</v>
      </c>
      <c r="M64" s="234" t="s">
        <v>11</v>
      </c>
      <c r="N64" s="234" t="s">
        <v>333</v>
      </c>
      <c r="O64" s="864" t="s">
        <v>51</v>
      </c>
      <c r="P64" s="865"/>
    </row>
    <row r="65" spans="1:74" s="135" customFormat="1" ht="69.95" customHeight="1">
      <c r="A65" s="851">
        <v>1</v>
      </c>
      <c r="B65" s="854" t="s">
        <v>453</v>
      </c>
      <c r="C65" s="236">
        <v>1</v>
      </c>
      <c r="D65" s="237" t="s">
        <v>340</v>
      </c>
      <c r="E65" s="238"/>
      <c r="F65" s="238"/>
      <c r="G65" s="357" t="s">
        <v>386</v>
      </c>
      <c r="H65" s="305"/>
      <c r="I65" s="306"/>
      <c r="J65" s="236">
        <v>127.84000000000002</v>
      </c>
      <c r="K65" s="242">
        <v>2.3826759693916072E-3</v>
      </c>
      <c r="L65" s="236">
        <v>10.73</v>
      </c>
      <c r="M65" s="322">
        <f>L65*J65</f>
        <v>1371.7232000000001</v>
      </c>
      <c r="N65" s="243"/>
      <c r="O65" s="766" t="s">
        <v>837</v>
      </c>
      <c r="P65" s="767"/>
      <c r="Q65" s="231"/>
      <c r="R65" s="390"/>
      <c r="S65" s="261"/>
      <c r="T65" s="231"/>
    </row>
    <row r="66" spans="1:74" s="135" customFormat="1" ht="50.1" customHeight="1">
      <c r="A66" s="852"/>
      <c r="B66" s="855"/>
      <c r="C66" s="236">
        <v>2</v>
      </c>
      <c r="D66" s="237" t="s">
        <v>566</v>
      </c>
      <c r="E66" s="238"/>
      <c r="F66" s="238"/>
      <c r="G66" s="357" t="s">
        <v>583</v>
      </c>
      <c r="H66" s="305"/>
      <c r="I66" s="306"/>
      <c r="J66" s="236">
        <v>113.68000000000004</v>
      </c>
      <c r="K66" s="242">
        <v>6.6743549084618704E-3</v>
      </c>
      <c r="L66" s="236">
        <v>9.26</v>
      </c>
      <c r="M66" s="322">
        <f t="shared" ref="M66:M69" si="6">L66*J66</f>
        <v>1052.6768000000004</v>
      </c>
      <c r="N66" s="243"/>
      <c r="O66" s="866" t="s">
        <v>624</v>
      </c>
      <c r="P66" s="858"/>
      <c r="Q66" s="231"/>
      <c r="R66" s="391"/>
      <c r="S66" s="391"/>
      <c r="T66" s="231"/>
      <c r="U66" s="231"/>
      <c r="V66" s="231"/>
      <c r="W66" s="231"/>
      <c r="X66" s="231"/>
      <c r="Y66" s="231"/>
      <c r="Z66" s="231"/>
      <c r="AA66" s="231"/>
      <c r="AB66" s="231"/>
      <c r="AC66" s="231"/>
      <c r="AD66" s="231"/>
      <c r="AE66" s="231"/>
      <c r="AF66" s="231"/>
      <c r="AG66" s="231"/>
      <c r="AH66" s="231"/>
      <c r="AI66" s="231"/>
      <c r="AJ66" s="231"/>
      <c r="AK66" s="231"/>
      <c r="AL66" s="231"/>
      <c r="AM66" s="231"/>
      <c r="AN66" s="231"/>
      <c r="AO66" s="231"/>
      <c r="AP66" s="231"/>
      <c r="AQ66" s="231"/>
      <c r="AR66" s="231"/>
      <c r="AS66" s="231"/>
      <c r="AT66" s="231"/>
      <c r="AU66" s="231"/>
      <c r="AV66" s="231"/>
      <c r="AW66" s="231"/>
      <c r="AX66" s="231"/>
      <c r="AY66" s="231"/>
      <c r="AZ66" s="231"/>
      <c r="BA66" s="231"/>
      <c r="BB66" s="231"/>
      <c r="BC66" s="231"/>
      <c r="BD66" s="231"/>
      <c r="BE66" s="231"/>
      <c r="BF66" s="231"/>
      <c r="BG66" s="231"/>
      <c r="BH66" s="231"/>
      <c r="BI66" s="231"/>
      <c r="BJ66" s="231"/>
      <c r="BK66" s="231"/>
      <c r="BL66" s="231"/>
      <c r="BM66" s="231"/>
      <c r="BN66" s="231"/>
      <c r="BO66" s="231"/>
      <c r="BP66" s="231"/>
      <c r="BQ66" s="231"/>
      <c r="BR66" s="231"/>
      <c r="BS66" s="231"/>
      <c r="BT66" s="231"/>
      <c r="BU66" s="231"/>
      <c r="BV66" s="231"/>
    </row>
    <row r="67" spans="1:74" s="135" customFormat="1" ht="50.1" customHeight="1">
      <c r="A67" s="852"/>
      <c r="B67" s="855"/>
      <c r="C67" s="236">
        <v>3</v>
      </c>
      <c r="D67" s="237" t="s">
        <v>616</v>
      </c>
      <c r="E67" s="238"/>
      <c r="F67" s="238"/>
      <c r="G67" s="357" t="s">
        <v>635</v>
      </c>
      <c r="H67" s="305"/>
      <c r="I67" s="306"/>
      <c r="J67" s="236">
        <v>49.82</v>
      </c>
      <c r="K67" s="242">
        <v>6.2689225289403383E-3</v>
      </c>
      <c r="L67" s="236">
        <v>21.12</v>
      </c>
      <c r="M67" s="322">
        <f t="shared" si="6"/>
        <v>1052.1984</v>
      </c>
      <c r="N67" s="243"/>
      <c r="O67" s="867" t="s">
        <v>624</v>
      </c>
      <c r="P67" s="823"/>
      <c r="Q67" s="231"/>
      <c r="R67" s="390"/>
      <c r="S67" s="390"/>
      <c r="T67" s="231"/>
      <c r="U67" s="231"/>
      <c r="V67" s="231"/>
      <c r="W67" s="231"/>
      <c r="X67" s="231"/>
      <c r="Y67" s="231"/>
      <c r="Z67" s="231"/>
      <c r="AA67" s="231"/>
      <c r="AB67" s="231"/>
      <c r="AC67" s="231"/>
      <c r="AD67" s="231"/>
      <c r="AE67" s="231"/>
      <c r="AF67" s="231"/>
      <c r="AG67" s="231"/>
      <c r="AH67" s="231"/>
      <c r="AI67" s="231"/>
      <c r="AJ67" s="231"/>
      <c r="AK67" s="231"/>
      <c r="AL67" s="231"/>
      <c r="AM67" s="231"/>
      <c r="AN67" s="231"/>
      <c r="AO67" s="231"/>
      <c r="AP67" s="231"/>
      <c r="AQ67" s="231"/>
      <c r="AR67" s="231"/>
      <c r="AS67" s="231"/>
      <c r="AT67" s="231"/>
      <c r="AU67" s="231"/>
      <c r="AV67" s="231"/>
      <c r="AW67" s="231"/>
      <c r="AX67" s="231"/>
      <c r="AY67" s="231"/>
      <c r="AZ67" s="231"/>
      <c r="BA67" s="231"/>
      <c r="BB67" s="231"/>
      <c r="BC67" s="231"/>
      <c r="BD67" s="231"/>
      <c r="BE67" s="231"/>
      <c r="BF67" s="231"/>
      <c r="BG67" s="231"/>
      <c r="BH67" s="231"/>
      <c r="BI67" s="231"/>
      <c r="BJ67" s="231"/>
      <c r="BK67" s="231"/>
      <c r="BL67" s="231"/>
      <c r="BM67" s="231"/>
      <c r="BN67" s="231"/>
      <c r="BO67" s="231"/>
      <c r="BP67" s="231"/>
      <c r="BQ67" s="231"/>
      <c r="BR67" s="231"/>
      <c r="BS67" s="231"/>
      <c r="BT67" s="231"/>
      <c r="BU67" s="231"/>
      <c r="BV67" s="231"/>
    </row>
    <row r="68" spans="1:74" s="135" customFormat="1" ht="50.1" customHeight="1">
      <c r="A68" s="852"/>
      <c r="B68" s="855"/>
      <c r="C68" s="236">
        <v>4</v>
      </c>
      <c r="D68" s="237" t="s">
        <v>710</v>
      </c>
      <c r="E68" s="238"/>
      <c r="F68" s="238"/>
      <c r="G68" s="357" t="s">
        <v>804</v>
      </c>
      <c r="H68" s="305"/>
      <c r="I68" s="306"/>
      <c r="J68" s="236">
        <v>243.26</v>
      </c>
      <c r="K68" s="242">
        <v>1.7668711656441721E-2</v>
      </c>
      <c r="L68" s="236">
        <v>4.32</v>
      </c>
      <c r="M68" s="322">
        <f t="shared" si="6"/>
        <v>1050.8832</v>
      </c>
      <c r="N68" s="243"/>
      <c r="O68" s="867" t="s">
        <v>838</v>
      </c>
      <c r="P68" s="823"/>
      <c r="Q68" s="231"/>
      <c r="R68" s="391"/>
      <c r="S68" s="391"/>
      <c r="T68" s="231"/>
      <c r="U68" s="231"/>
      <c r="V68" s="231"/>
      <c r="W68" s="231"/>
      <c r="X68" s="231"/>
      <c r="Y68" s="231"/>
      <c r="Z68" s="231"/>
      <c r="AA68" s="231"/>
      <c r="AB68" s="231"/>
      <c r="AC68" s="231"/>
      <c r="AD68" s="231"/>
      <c r="AE68" s="231"/>
      <c r="AF68" s="231"/>
      <c r="AG68" s="231"/>
      <c r="AH68" s="231"/>
      <c r="AI68" s="231"/>
      <c r="AJ68" s="231"/>
      <c r="AK68" s="231"/>
      <c r="AL68" s="231"/>
      <c r="AM68" s="231"/>
      <c r="AN68" s="231"/>
      <c r="AO68" s="231"/>
      <c r="AP68" s="231"/>
      <c r="AQ68" s="231"/>
      <c r="AR68" s="231"/>
      <c r="AS68" s="231"/>
      <c r="AT68" s="231"/>
      <c r="AU68" s="231"/>
      <c r="AV68" s="231"/>
      <c r="AW68" s="231"/>
      <c r="AX68" s="231"/>
      <c r="AY68" s="231"/>
      <c r="AZ68" s="231"/>
      <c r="BA68" s="231"/>
      <c r="BB68" s="231"/>
      <c r="BC68" s="231"/>
      <c r="BD68" s="231"/>
      <c r="BE68" s="231"/>
      <c r="BF68" s="231"/>
      <c r="BG68" s="231"/>
      <c r="BH68" s="231"/>
      <c r="BI68" s="231"/>
      <c r="BJ68" s="231"/>
      <c r="BK68" s="231"/>
      <c r="BL68" s="231"/>
      <c r="BM68" s="231"/>
      <c r="BN68" s="231"/>
      <c r="BO68" s="231"/>
      <c r="BP68" s="231"/>
      <c r="BQ68" s="231"/>
      <c r="BR68" s="231"/>
      <c r="BS68" s="231"/>
      <c r="BT68" s="231"/>
      <c r="BU68" s="231"/>
      <c r="BV68" s="231"/>
    </row>
    <row r="69" spans="1:74" s="135" customFormat="1" ht="50.1" customHeight="1" thickBot="1">
      <c r="A69" s="852"/>
      <c r="B69" s="855"/>
      <c r="C69" s="236">
        <v>5</v>
      </c>
      <c r="D69" s="244" t="s">
        <v>507</v>
      </c>
      <c r="E69" s="245"/>
      <c r="F69" s="245"/>
      <c r="G69" s="357" t="s">
        <v>836</v>
      </c>
      <c r="H69" s="305"/>
      <c r="I69" s="306"/>
      <c r="J69" s="247">
        <v>1.67</v>
      </c>
      <c r="K69" s="248">
        <v>3.5327155293456897E-2</v>
      </c>
      <c r="L69" s="247">
        <v>629</v>
      </c>
      <c r="M69" s="323">
        <f t="shared" si="6"/>
        <v>1050.43</v>
      </c>
      <c r="N69" s="243"/>
      <c r="O69" s="867" t="s">
        <v>839</v>
      </c>
      <c r="P69" s="823"/>
      <c r="Q69" s="231"/>
      <c r="R69" s="390"/>
      <c r="S69" s="390"/>
      <c r="T69" s="231"/>
      <c r="U69" s="392"/>
      <c r="V69" s="231"/>
      <c r="W69" s="231"/>
      <c r="X69" s="231"/>
      <c r="Y69" s="231"/>
      <c r="Z69" s="231"/>
      <c r="AA69" s="231"/>
      <c r="AB69" s="231"/>
      <c r="AC69" s="231"/>
      <c r="AD69" s="231"/>
      <c r="AE69" s="231"/>
      <c r="AF69" s="231"/>
      <c r="AG69" s="231"/>
      <c r="AH69" s="231"/>
      <c r="AI69" s="231"/>
      <c r="AJ69" s="231"/>
      <c r="AK69" s="231"/>
      <c r="AL69" s="231"/>
      <c r="AM69" s="231"/>
      <c r="AN69" s="231"/>
      <c r="AO69" s="231"/>
      <c r="AP69" s="231"/>
      <c r="AQ69" s="231"/>
      <c r="AR69" s="231"/>
      <c r="AS69" s="231"/>
      <c r="AT69" s="231"/>
      <c r="AU69" s="231"/>
      <c r="AV69" s="231"/>
      <c r="AW69" s="231"/>
      <c r="AX69" s="231"/>
      <c r="AY69" s="231"/>
      <c r="AZ69" s="231"/>
      <c r="BA69" s="231"/>
      <c r="BB69" s="231"/>
      <c r="BC69" s="231"/>
      <c r="BD69" s="231"/>
      <c r="BE69" s="231"/>
      <c r="BF69" s="231"/>
      <c r="BG69" s="231"/>
      <c r="BH69" s="231"/>
      <c r="BI69" s="231"/>
      <c r="BJ69" s="231"/>
      <c r="BK69" s="231"/>
      <c r="BL69" s="231"/>
      <c r="BM69" s="231"/>
      <c r="BN69" s="231"/>
      <c r="BO69" s="231"/>
      <c r="BP69" s="231"/>
      <c r="BQ69" s="231"/>
      <c r="BR69" s="231"/>
      <c r="BS69" s="231"/>
      <c r="BT69" s="231"/>
      <c r="BU69" s="231"/>
      <c r="BV69" s="231"/>
    </row>
    <row r="70" spans="1:74" s="135" customFormat="1" ht="15.75" customHeight="1" thickTop="1">
      <c r="A70" s="853"/>
      <c r="B70" s="856"/>
      <c r="C70" s="724"/>
      <c r="D70" s="725"/>
      <c r="E70" s="725"/>
      <c r="F70" s="725"/>
      <c r="G70" s="725"/>
      <c r="H70" s="725"/>
      <c r="I70" s="859"/>
      <c r="J70" s="249" t="s">
        <v>58</v>
      </c>
      <c r="K70" s="212">
        <f>M70/'生產管理報表 7-1 (週)'!$B$31</f>
        <v>6.3559510633283245E-2</v>
      </c>
      <c r="L70" s="249" t="s">
        <v>59</v>
      </c>
      <c r="M70" s="324">
        <f>SUM(M65:M69)</f>
        <v>5577.9116000000013</v>
      </c>
      <c r="N70" s="812"/>
      <c r="O70" s="813"/>
      <c r="P70" s="814"/>
      <c r="Q70" s="231"/>
      <c r="R70" s="210"/>
      <c r="S70" s="210"/>
      <c r="T70" s="231"/>
      <c r="U70" s="231"/>
      <c r="V70" s="231"/>
      <c r="W70" s="231"/>
      <c r="X70" s="231"/>
      <c r="Y70" s="231"/>
      <c r="Z70" s="231"/>
      <c r="AA70" s="231"/>
      <c r="AB70" s="231"/>
      <c r="AC70" s="231"/>
      <c r="AD70" s="231"/>
      <c r="AE70" s="231"/>
      <c r="AF70" s="231"/>
      <c r="AG70" s="231"/>
      <c r="AH70" s="231"/>
      <c r="AI70" s="231"/>
      <c r="AJ70" s="231"/>
      <c r="AK70" s="231"/>
      <c r="AL70" s="231"/>
      <c r="AM70" s="231"/>
      <c r="AN70" s="231"/>
      <c r="AO70" s="231"/>
      <c r="AP70" s="231"/>
      <c r="AQ70" s="231"/>
      <c r="AR70" s="231"/>
      <c r="AS70" s="231"/>
      <c r="AT70" s="231"/>
      <c r="AU70" s="231"/>
      <c r="AV70" s="231"/>
      <c r="AW70" s="231"/>
      <c r="AX70" s="231"/>
      <c r="AY70" s="231"/>
      <c r="AZ70" s="231"/>
      <c r="BA70" s="231"/>
      <c r="BB70" s="231"/>
      <c r="BC70" s="231"/>
      <c r="BD70" s="231"/>
      <c r="BE70" s="231"/>
      <c r="BF70" s="231"/>
      <c r="BG70" s="231"/>
      <c r="BH70" s="231"/>
      <c r="BI70" s="231"/>
      <c r="BJ70" s="231"/>
      <c r="BK70" s="231"/>
      <c r="BL70" s="231"/>
      <c r="BM70" s="231"/>
      <c r="BN70" s="231"/>
      <c r="BO70" s="231"/>
      <c r="BP70" s="231"/>
      <c r="BQ70" s="231"/>
      <c r="BR70" s="231"/>
      <c r="BS70" s="231"/>
      <c r="BT70" s="231"/>
      <c r="BU70" s="231"/>
      <c r="BV70" s="231"/>
    </row>
    <row r="71" spans="1:74" s="135" customFormat="1" ht="15.75" customHeight="1">
      <c r="B71" s="232"/>
      <c r="C71" s="233"/>
      <c r="D71" s="233"/>
      <c r="E71" s="233"/>
      <c r="F71" s="233"/>
      <c r="G71" s="233"/>
      <c r="H71" s="233"/>
      <c r="I71" s="233"/>
      <c r="J71" s="233"/>
      <c r="K71" s="233"/>
      <c r="L71" s="233"/>
      <c r="M71" s="233"/>
      <c r="N71" s="251"/>
      <c r="O71" s="251"/>
      <c r="P71" s="251"/>
      <c r="Q71" s="231"/>
      <c r="R71" s="261"/>
      <c r="S71" s="261"/>
      <c r="T71" s="231"/>
      <c r="U71" s="231"/>
      <c r="V71" s="231"/>
      <c r="W71" s="231"/>
      <c r="X71" s="231"/>
      <c r="Y71" s="231"/>
      <c r="Z71" s="231"/>
      <c r="AA71" s="231"/>
      <c r="AB71" s="231"/>
      <c r="AC71" s="231"/>
      <c r="AD71" s="231"/>
      <c r="AE71" s="231"/>
      <c r="AF71" s="231"/>
      <c r="AG71" s="231"/>
      <c r="AH71" s="231"/>
      <c r="AI71" s="231"/>
      <c r="AJ71" s="231"/>
      <c r="AK71" s="231"/>
      <c r="AL71" s="231"/>
      <c r="AM71" s="231"/>
      <c r="AN71" s="231"/>
      <c r="AO71" s="231"/>
      <c r="AP71" s="231"/>
      <c r="AQ71" s="231"/>
      <c r="AR71" s="231"/>
      <c r="AS71" s="231"/>
      <c r="AT71" s="231"/>
      <c r="AU71" s="231"/>
      <c r="AV71" s="231"/>
      <c r="AW71" s="231"/>
      <c r="AX71" s="231"/>
      <c r="AY71" s="231"/>
      <c r="AZ71" s="231"/>
      <c r="BA71" s="231"/>
      <c r="BB71" s="231"/>
      <c r="BC71" s="231"/>
      <c r="BD71" s="231"/>
      <c r="BE71" s="231"/>
      <c r="BF71" s="231"/>
      <c r="BG71" s="231"/>
      <c r="BH71" s="231"/>
      <c r="BI71" s="231"/>
      <c r="BJ71" s="231"/>
      <c r="BK71" s="231"/>
      <c r="BL71" s="231"/>
      <c r="BM71" s="231"/>
      <c r="BN71" s="231"/>
      <c r="BO71" s="231"/>
      <c r="BP71" s="231"/>
      <c r="BQ71" s="231"/>
      <c r="BR71" s="231"/>
      <c r="BS71" s="231"/>
      <c r="BT71" s="231"/>
      <c r="BU71" s="231"/>
      <c r="BV71" s="231"/>
    </row>
    <row r="72" spans="1:74" s="135" customFormat="1" ht="15.75" customHeight="1">
      <c r="A72" s="748" t="s">
        <v>191</v>
      </c>
      <c r="B72" s="749"/>
      <c r="C72" s="252" t="s">
        <v>47</v>
      </c>
      <c r="D72" s="736" t="s">
        <v>12</v>
      </c>
      <c r="E72" s="737"/>
      <c r="F72" s="738"/>
      <c r="G72" s="736" t="s">
        <v>53</v>
      </c>
      <c r="H72" s="737"/>
      <c r="I72" s="738"/>
      <c r="J72" s="254" t="s">
        <v>54</v>
      </c>
      <c r="K72" s="254" t="s">
        <v>55</v>
      </c>
      <c r="L72" s="254" t="s">
        <v>56</v>
      </c>
      <c r="M72" s="254" t="s">
        <v>11</v>
      </c>
      <c r="N72" s="255" t="s">
        <v>333</v>
      </c>
      <c r="O72" s="815" t="s">
        <v>51</v>
      </c>
      <c r="P72" s="816"/>
      <c r="Q72" s="231"/>
      <c r="R72" s="210"/>
      <c r="S72" s="210"/>
      <c r="T72" s="231"/>
      <c r="U72" s="231"/>
      <c r="V72" s="231"/>
      <c r="W72" s="231"/>
      <c r="X72" s="231"/>
      <c r="Y72" s="231"/>
      <c r="Z72" s="231"/>
      <c r="AA72" s="231"/>
      <c r="AB72" s="231"/>
      <c r="AC72" s="231"/>
      <c r="AD72" s="231"/>
      <c r="AE72" s="231"/>
      <c r="AF72" s="231"/>
      <c r="AG72" s="231"/>
      <c r="AH72" s="231"/>
      <c r="AI72" s="231"/>
    </row>
    <row r="73" spans="1:74" s="135" customFormat="1" ht="20.100000000000001" customHeight="1">
      <c r="A73" s="851">
        <v>2</v>
      </c>
      <c r="B73" s="854" t="s">
        <v>213</v>
      </c>
      <c r="C73" s="256">
        <v>1</v>
      </c>
      <c r="D73" s="237"/>
      <c r="E73" s="238"/>
      <c r="F73" s="239"/>
      <c r="G73" s="237"/>
      <c r="H73" s="238"/>
      <c r="I73" s="239"/>
      <c r="J73" s="257"/>
      <c r="K73" s="258"/>
      <c r="L73" s="257"/>
      <c r="M73" s="259">
        <f t="shared" ref="M73:M77" si="7">L73*J73</f>
        <v>0</v>
      </c>
      <c r="N73" s="260"/>
      <c r="O73" s="817"/>
      <c r="P73" s="818"/>
      <c r="Q73" s="231"/>
      <c r="R73" s="261"/>
      <c r="S73" s="261"/>
      <c r="T73" s="231"/>
      <c r="U73" s="231"/>
      <c r="V73" s="231"/>
      <c r="W73" s="231"/>
      <c r="X73" s="231"/>
      <c r="Y73" s="231"/>
      <c r="Z73" s="231"/>
      <c r="AA73" s="231"/>
      <c r="AB73" s="231"/>
      <c r="AC73" s="231"/>
      <c r="AD73" s="231"/>
      <c r="AE73" s="231"/>
      <c r="AF73" s="231"/>
      <c r="AG73" s="231"/>
      <c r="AH73" s="231"/>
      <c r="AI73" s="231"/>
    </row>
    <row r="74" spans="1:74" s="135" customFormat="1" ht="20.100000000000001" customHeight="1">
      <c r="A74" s="852"/>
      <c r="B74" s="855"/>
      <c r="C74" s="256">
        <v>2</v>
      </c>
      <c r="D74" s="237"/>
      <c r="E74" s="238"/>
      <c r="F74" s="239"/>
      <c r="G74" s="237"/>
      <c r="H74" s="238"/>
      <c r="I74" s="239"/>
      <c r="J74" s="257"/>
      <c r="K74" s="258"/>
      <c r="L74" s="257"/>
      <c r="M74" s="259">
        <f t="shared" si="7"/>
        <v>0</v>
      </c>
      <c r="N74" s="260"/>
      <c r="O74" s="817"/>
      <c r="P74" s="818"/>
      <c r="Q74" s="231"/>
      <c r="R74" s="210"/>
      <c r="S74" s="210"/>
      <c r="T74" s="231"/>
      <c r="U74" s="231"/>
      <c r="V74" s="231"/>
      <c r="W74" s="231"/>
      <c r="X74" s="231"/>
      <c r="Y74" s="231"/>
      <c r="Z74" s="231"/>
      <c r="AA74" s="231"/>
      <c r="AB74" s="231"/>
      <c r="AC74" s="231"/>
      <c r="AD74" s="231"/>
      <c r="AE74" s="231"/>
      <c r="AF74" s="231"/>
      <c r="AG74" s="231"/>
      <c r="AH74" s="231"/>
      <c r="AI74" s="231"/>
    </row>
    <row r="75" spans="1:74" s="135" customFormat="1" ht="20.100000000000001" customHeight="1">
      <c r="A75" s="852"/>
      <c r="B75" s="855"/>
      <c r="C75" s="256">
        <v>3</v>
      </c>
      <c r="D75" s="237"/>
      <c r="E75" s="238"/>
      <c r="F75" s="239"/>
      <c r="G75" s="237"/>
      <c r="H75" s="238"/>
      <c r="I75" s="268"/>
      <c r="J75" s="257"/>
      <c r="K75" s="258"/>
      <c r="L75" s="257"/>
      <c r="M75" s="259">
        <f t="shared" si="7"/>
        <v>0</v>
      </c>
      <c r="N75" s="260"/>
      <c r="O75" s="817"/>
      <c r="P75" s="818"/>
      <c r="Q75" s="231"/>
      <c r="R75" s="261"/>
      <c r="S75" s="261"/>
      <c r="T75" s="231"/>
      <c r="U75" s="231"/>
      <c r="V75" s="231"/>
      <c r="W75" s="231"/>
      <c r="X75" s="231"/>
      <c r="Y75" s="231"/>
      <c r="Z75" s="231"/>
      <c r="AA75" s="231"/>
      <c r="AB75" s="231"/>
      <c r="AC75" s="231"/>
      <c r="AD75" s="231"/>
      <c r="AE75" s="231"/>
      <c r="AF75" s="231"/>
      <c r="AG75" s="231"/>
    </row>
    <row r="76" spans="1:74" s="135" customFormat="1" ht="20.100000000000001" customHeight="1">
      <c r="A76" s="852"/>
      <c r="B76" s="855"/>
      <c r="C76" s="256">
        <v>4</v>
      </c>
      <c r="D76" s="237"/>
      <c r="E76" s="238"/>
      <c r="F76" s="239"/>
      <c r="G76" s="237"/>
      <c r="H76" s="238"/>
      <c r="I76" s="239"/>
      <c r="J76" s="257"/>
      <c r="K76" s="258"/>
      <c r="L76" s="257"/>
      <c r="M76" s="259">
        <f t="shared" si="7"/>
        <v>0</v>
      </c>
      <c r="N76" s="260"/>
      <c r="O76" s="817"/>
      <c r="P76" s="818"/>
      <c r="Q76" s="231"/>
      <c r="R76" s="210"/>
      <c r="S76" s="210"/>
      <c r="T76" s="231"/>
      <c r="U76" s="231"/>
      <c r="V76" s="231"/>
      <c r="W76" s="231"/>
      <c r="X76" s="231"/>
      <c r="Y76" s="231"/>
      <c r="Z76" s="231"/>
      <c r="AA76" s="231"/>
      <c r="AB76" s="231"/>
      <c r="AC76" s="231"/>
      <c r="AD76" s="231"/>
      <c r="AE76" s="231"/>
      <c r="AF76" s="231"/>
      <c r="AG76" s="231"/>
    </row>
    <row r="77" spans="1:74" s="135" customFormat="1" ht="20.100000000000001" customHeight="1" thickBot="1">
      <c r="A77" s="852"/>
      <c r="B77" s="855"/>
      <c r="C77" s="262">
        <v>5</v>
      </c>
      <c r="D77" s="244"/>
      <c r="E77" s="245"/>
      <c r="F77" s="246"/>
      <c r="G77" s="237"/>
      <c r="H77" s="238"/>
      <c r="I77" s="239"/>
      <c r="J77" s="263"/>
      <c r="K77" s="264"/>
      <c r="L77" s="263"/>
      <c r="M77" s="265">
        <f t="shared" si="7"/>
        <v>0</v>
      </c>
      <c r="N77" s="266"/>
      <c r="O77" s="817"/>
      <c r="P77" s="818"/>
      <c r="Q77" s="231"/>
      <c r="R77" s="231"/>
      <c r="S77" s="231"/>
      <c r="T77" s="231"/>
      <c r="U77" s="231"/>
      <c r="V77" s="231"/>
      <c r="W77" s="231"/>
      <c r="X77" s="231"/>
      <c r="Y77" s="231"/>
      <c r="Z77" s="231"/>
      <c r="AA77" s="231"/>
      <c r="AB77" s="231"/>
      <c r="AC77" s="231"/>
      <c r="AD77" s="231"/>
      <c r="AE77" s="231"/>
      <c r="AF77" s="231"/>
      <c r="AG77" s="231"/>
    </row>
    <row r="78" spans="1:74" s="135" customFormat="1" ht="15.75" customHeight="1" thickTop="1">
      <c r="A78" s="853"/>
      <c r="B78" s="856"/>
      <c r="C78" s="724"/>
      <c r="D78" s="725"/>
      <c r="E78" s="725"/>
      <c r="F78" s="725"/>
      <c r="G78" s="725"/>
      <c r="H78" s="725"/>
      <c r="I78" s="859"/>
      <c r="J78" s="249" t="s">
        <v>58</v>
      </c>
      <c r="K78" s="212">
        <f>M78/'生產管理報表 7-1 (週)'!$B$31</f>
        <v>0</v>
      </c>
      <c r="L78" s="249" t="s">
        <v>59</v>
      </c>
      <c r="M78" s="250">
        <f>SUM(M73:M77)</f>
        <v>0</v>
      </c>
      <c r="N78" s="819"/>
      <c r="O78" s="820"/>
      <c r="P78" s="821"/>
      <c r="Q78" s="231"/>
      <c r="R78" s="231"/>
      <c r="S78" s="231"/>
      <c r="T78" s="231"/>
      <c r="U78" s="231"/>
      <c r="V78" s="231"/>
      <c r="W78" s="231"/>
      <c r="X78" s="231"/>
      <c r="Y78" s="231"/>
      <c r="Z78" s="231"/>
      <c r="AA78" s="231"/>
      <c r="AB78" s="231"/>
      <c r="AC78" s="231"/>
      <c r="AD78" s="231"/>
      <c r="AE78" s="231"/>
      <c r="AF78" s="231"/>
      <c r="AG78" s="231"/>
    </row>
    <row r="79" spans="1:74" s="135" customFormat="1" ht="15.75" customHeight="1">
      <c r="B79" s="232"/>
      <c r="C79" s="233"/>
      <c r="D79" s="233"/>
      <c r="E79" s="233"/>
      <c r="F79" s="233"/>
      <c r="G79" s="233"/>
      <c r="H79" s="233"/>
      <c r="I79" s="233"/>
      <c r="J79" s="233"/>
      <c r="K79" s="233"/>
      <c r="L79" s="233"/>
      <c r="M79" s="233"/>
      <c r="N79" s="267"/>
      <c r="O79" s="267"/>
      <c r="P79" s="267"/>
      <c r="Q79" s="231"/>
      <c r="R79" s="231"/>
      <c r="S79" s="231"/>
      <c r="T79" s="231"/>
      <c r="U79" s="231"/>
      <c r="V79" s="231"/>
      <c r="W79" s="231"/>
      <c r="X79" s="231"/>
      <c r="Y79" s="231"/>
      <c r="Z79" s="231"/>
      <c r="AA79" s="231"/>
      <c r="AB79" s="231"/>
      <c r="AC79" s="231"/>
      <c r="AD79" s="231"/>
      <c r="AE79" s="231"/>
      <c r="AF79" s="231"/>
      <c r="AG79" s="231"/>
    </row>
    <row r="80" spans="1:74" s="135" customFormat="1" ht="15.75" customHeight="1">
      <c r="A80" s="748" t="s">
        <v>191</v>
      </c>
      <c r="B80" s="749"/>
      <c r="C80" s="252" t="s">
        <v>47</v>
      </c>
      <c r="D80" s="736" t="s">
        <v>12</v>
      </c>
      <c r="E80" s="737"/>
      <c r="F80" s="738"/>
      <c r="G80" s="736" t="s">
        <v>53</v>
      </c>
      <c r="H80" s="737"/>
      <c r="I80" s="850"/>
      <c r="J80" s="253" t="s">
        <v>54</v>
      </c>
      <c r="K80" s="254" t="s">
        <v>55</v>
      </c>
      <c r="L80" s="254" t="s">
        <v>56</v>
      </c>
      <c r="M80" s="254" t="s">
        <v>11</v>
      </c>
      <c r="N80" s="255" t="s">
        <v>333</v>
      </c>
      <c r="O80" s="827" t="s">
        <v>51</v>
      </c>
      <c r="P80" s="828"/>
      <c r="Q80" s="231"/>
      <c r="R80" s="231"/>
      <c r="S80" s="231"/>
      <c r="T80" s="231"/>
      <c r="U80" s="231"/>
      <c r="V80" s="231"/>
      <c r="W80" s="231"/>
      <c r="X80" s="231"/>
      <c r="Y80" s="231"/>
      <c r="Z80" s="231"/>
      <c r="AA80" s="231"/>
      <c r="AB80" s="231"/>
      <c r="AC80" s="231"/>
      <c r="AD80" s="231"/>
      <c r="AE80" s="231"/>
      <c r="AF80" s="231"/>
      <c r="AG80" s="231"/>
      <c r="AH80" s="231"/>
      <c r="AI80" s="231"/>
    </row>
    <row r="81" spans="1:74" s="135" customFormat="1" ht="50.1" customHeight="1">
      <c r="A81" s="851">
        <v>3</v>
      </c>
      <c r="B81" s="854" t="s">
        <v>422</v>
      </c>
      <c r="C81" s="256">
        <v>1</v>
      </c>
      <c r="D81" s="237" t="s">
        <v>340</v>
      </c>
      <c r="E81" s="238"/>
      <c r="F81" s="239"/>
      <c r="G81" s="246" t="s">
        <v>448</v>
      </c>
      <c r="H81" s="245"/>
      <c r="I81" s="246"/>
      <c r="J81" s="257">
        <v>2.4499999999999997</v>
      </c>
      <c r="K81" s="258">
        <v>6.9193240209991279E-3</v>
      </c>
      <c r="L81" s="257">
        <v>1119</v>
      </c>
      <c r="M81" s="325">
        <f t="shared" ref="M81:M85" si="8">L81*J81</f>
        <v>2741.5499999999997</v>
      </c>
      <c r="N81" s="270"/>
      <c r="O81" s="857" t="s">
        <v>460</v>
      </c>
      <c r="P81" s="858"/>
      <c r="Q81" s="231"/>
      <c r="R81" s="392"/>
      <c r="S81" s="392"/>
      <c r="T81" s="231"/>
      <c r="U81" s="231"/>
      <c r="V81" s="231"/>
      <c r="W81" s="231"/>
      <c r="X81" s="231"/>
      <c r="Y81" s="231"/>
      <c r="Z81" s="231"/>
      <c r="AA81" s="231"/>
      <c r="AB81" s="231"/>
      <c r="AC81" s="231"/>
      <c r="AD81" s="231"/>
      <c r="AE81" s="231"/>
      <c r="AF81" s="231"/>
      <c r="AG81" s="231"/>
      <c r="AH81" s="231"/>
      <c r="AI81" s="231"/>
    </row>
    <row r="82" spans="1:74" s="135" customFormat="1" ht="50.1" customHeight="1">
      <c r="A82" s="852"/>
      <c r="B82" s="855"/>
      <c r="C82" s="256">
        <v>2</v>
      </c>
      <c r="D82" s="237" t="s">
        <v>340</v>
      </c>
      <c r="E82" s="238"/>
      <c r="F82" s="239"/>
      <c r="G82" s="246" t="s">
        <v>447</v>
      </c>
      <c r="H82" s="245"/>
      <c r="I82" s="246"/>
      <c r="J82" s="257">
        <v>1.17</v>
      </c>
      <c r="K82" s="258">
        <v>7.2322898278700124E-3</v>
      </c>
      <c r="L82" s="257">
        <v>1942</v>
      </c>
      <c r="M82" s="325">
        <f t="shared" si="8"/>
        <v>2272.14</v>
      </c>
      <c r="N82" s="270"/>
      <c r="O82" s="822" t="s">
        <v>528</v>
      </c>
      <c r="P82" s="823"/>
      <c r="Q82" s="231"/>
      <c r="R82" s="392"/>
      <c r="S82" s="398"/>
      <c r="T82" s="231"/>
      <c r="U82" s="231"/>
      <c r="V82" s="231"/>
      <c r="W82" s="231"/>
      <c r="X82" s="231"/>
      <c r="Y82" s="231"/>
      <c r="Z82" s="231"/>
      <c r="AA82" s="231"/>
      <c r="AB82" s="231"/>
      <c r="AC82" s="231"/>
      <c r="AD82" s="231"/>
      <c r="AE82" s="231"/>
      <c r="AF82" s="231"/>
      <c r="AG82" s="231"/>
      <c r="AH82" s="231"/>
      <c r="AI82" s="231"/>
    </row>
    <row r="83" spans="1:74" s="135" customFormat="1" ht="50.1" customHeight="1">
      <c r="A83" s="852"/>
      <c r="B83" s="855"/>
      <c r="C83" s="256">
        <v>3</v>
      </c>
      <c r="D83" s="237" t="s">
        <v>697</v>
      </c>
      <c r="E83" s="238"/>
      <c r="F83" s="239"/>
      <c r="G83" s="246" t="s">
        <v>692</v>
      </c>
      <c r="H83" s="245"/>
      <c r="I83" s="246"/>
      <c r="J83" s="257">
        <v>625.94000000000005</v>
      </c>
      <c r="K83" s="258">
        <v>1.5584507582689388E-3</v>
      </c>
      <c r="L83" s="257">
        <v>2.6399999999999997</v>
      </c>
      <c r="M83" s="325">
        <f t="shared" si="8"/>
        <v>1652.4815999999998</v>
      </c>
      <c r="N83" s="270"/>
      <c r="O83" s="822" t="s">
        <v>594</v>
      </c>
      <c r="P83" s="823"/>
      <c r="Q83" s="392"/>
      <c r="R83" s="392"/>
      <c r="S83" s="398"/>
      <c r="T83" s="231"/>
      <c r="U83" s="231"/>
      <c r="V83" s="231"/>
      <c r="W83" s="231"/>
      <c r="X83" s="231"/>
      <c r="Y83" s="231"/>
      <c r="Z83" s="231"/>
      <c r="AA83" s="231"/>
      <c r="AB83" s="231"/>
      <c r="AC83" s="231"/>
      <c r="AD83" s="231"/>
      <c r="AE83" s="231"/>
      <c r="AF83" s="231"/>
      <c r="AG83" s="231"/>
      <c r="AH83" s="231"/>
      <c r="AI83" s="231"/>
    </row>
    <row r="84" spans="1:74" s="135" customFormat="1" ht="50.1" customHeight="1">
      <c r="A84" s="852"/>
      <c r="B84" s="855"/>
      <c r="C84" s="256">
        <v>4</v>
      </c>
      <c r="D84" s="237" t="s">
        <v>463</v>
      </c>
      <c r="E84" s="238"/>
      <c r="F84" s="239"/>
      <c r="G84" s="378" t="s">
        <v>461</v>
      </c>
      <c r="H84" s="359"/>
      <c r="I84" s="378"/>
      <c r="J84" s="269">
        <v>407.74</v>
      </c>
      <c r="K84" s="258">
        <v>2.5554390461765505E-3</v>
      </c>
      <c r="L84" s="257">
        <v>3.29</v>
      </c>
      <c r="M84" s="325">
        <f t="shared" si="8"/>
        <v>1341.4646</v>
      </c>
      <c r="N84" s="270"/>
      <c r="O84" s="822" t="s">
        <v>832</v>
      </c>
      <c r="P84" s="823"/>
      <c r="Q84" s="231"/>
      <c r="R84" s="231"/>
      <c r="S84"/>
      <c r="T84" s="231"/>
      <c r="U84" s="231"/>
      <c r="V84" s="231"/>
      <c r="W84" s="231"/>
      <c r="X84" s="231"/>
      <c r="Y84" s="231"/>
      <c r="Z84" s="231"/>
      <c r="AA84" s="231"/>
      <c r="AB84" s="231"/>
      <c r="AC84" s="231"/>
      <c r="AD84" s="231"/>
      <c r="AE84" s="231"/>
      <c r="AF84" s="231"/>
      <c r="AG84" s="231"/>
      <c r="AH84" s="231"/>
      <c r="AI84" s="231"/>
    </row>
    <row r="85" spans="1:74" s="135" customFormat="1" ht="50.1" customHeight="1" thickBot="1">
      <c r="A85" s="852"/>
      <c r="B85" s="855"/>
      <c r="C85" s="262">
        <v>5</v>
      </c>
      <c r="D85" s="244" t="s">
        <v>664</v>
      </c>
      <c r="E85" s="245"/>
      <c r="F85" s="246"/>
      <c r="G85" s="244" t="s">
        <v>694</v>
      </c>
      <c r="H85" s="245"/>
      <c r="I85" s="246"/>
      <c r="J85" s="272">
        <v>335.17</v>
      </c>
      <c r="K85" s="264">
        <v>1.5429975429975431E-2</v>
      </c>
      <c r="L85" s="273">
        <v>3.14</v>
      </c>
      <c r="M85" s="325">
        <f t="shared" si="8"/>
        <v>1052.4338</v>
      </c>
      <c r="N85" s="270"/>
      <c r="O85" s="822" t="s">
        <v>833</v>
      </c>
      <c r="P85" s="823"/>
      <c r="Q85" s="231"/>
      <c r="R85" s="231"/>
      <c r="S85"/>
      <c r="T85" s="231"/>
      <c r="U85" s="231"/>
      <c r="V85" s="231"/>
      <c r="W85" s="231"/>
      <c r="X85" s="231"/>
      <c r="Y85" s="231"/>
      <c r="Z85" s="231"/>
      <c r="AA85" s="231"/>
      <c r="AB85" s="231"/>
      <c r="AC85" s="231"/>
      <c r="AD85" s="231"/>
      <c r="AE85" s="231"/>
      <c r="AF85" s="231"/>
      <c r="AG85" s="231"/>
      <c r="AH85" s="231"/>
      <c r="AI85" s="231"/>
    </row>
    <row r="86" spans="1:74" s="135" customFormat="1" ht="15.75" customHeight="1" thickTop="1">
      <c r="A86" s="853"/>
      <c r="B86" s="856"/>
      <c r="C86" s="724"/>
      <c r="D86" s="725"/>
      <c r="E86" s="725"/>
      <c r="F86" s="725"/>
      <c r="G86" s="725"/>
      <c r="H86" s="725"/>
      <c r="I86" s="859"/>
      <c r="J86" s="274" t="s">
        <v>58</v>
      </c>
      <c r="K86" s="212">
        <f>M86/'生產管理報表 7-1 (週)'!$B$31</f>
        <v>0.10323821114398629</v>
      </c>
      <c r="L86" s="274" t="s">
        <v>59</v>
      </c>
      <c r="M86" s="326">
        <f>SUM(M81:M85)</f>
        <v>9060.07</v>
      </c>
      <c r="N86" s="824"/>
      <c r="O86" s="825"/>
      <c r="P86" s="826"/>
      <c r="Q86" s="231"/>
      <c r="R86" s="231"/>
      <c r="S86"/>
      <c r="T86" s="231"/>
      <c r="U86" s="231"/>
      <c r="V86" s="231"/>
      <c r="W86" s="231"/>
      <c r="X86" s="231"/>
      <c r="Y86" s="231"/>
      <c r="Z86" s="231"/>
      <c r="AA86" s="231"/>
      <c r="AB86" s="231"/>
      <c r="AC86" s="231"/>
      <c r="AD86" s="231"/>
      <c r="AE86" s="231"/>
      <c r="AF86" s="231"/>
      <c r="AG86" s="231"/>
      <c r="AH86" s="231"/>
      <c r="AI86" s="231"/>
    </row>
    <row r="87" spans="1:74" s="135" customFormat="1" ht="15.75" customHeight="1">
      <c r="A87" s="868" t="s">
        <v>828</v>
      </c>
      <c r="B87" s="868"/>
      <c r="C87" s="868"/>
      <c r="D87" s="868"/>
      <c r="E87" s="868"/>
      <c r="F87" s="868"/>
      <c r="G87" s="868"/>
      <c r="H87" s="868"/>
      <c r="I87" s="868"/>
      <c r="J87" s="868"/>
      <c r="K87" s="868"/>
      <c r="L87" s="868"/>
      <c r="M87" s="868"/>
      <c r="Q87" s="231"/>
      <c r="R87" s="231"/>
      <c r="S87" s="231"/>
      <c r="T87" s="231"/>
    </row>
    <row r="88" spans="1:74" s="136" customFormat="1" ht="15.75" customHeight="1">
      <c r="A88" s="745"/>
      <c r="B88" s="745"/>
      <c r="C88" s="745"/>
      <c r="D88" s="745"/>
      <c r="E88" s="745"/>
      <c r="F88" s="745"/>
      <c r="G88" s="745"/>
      <c r="H88" s="745"/>
      <c r="I88" s="745"/>
      <c r="J88" s="745"/>
      <c r="K88" s="745"/>
      <c r="L88" s="745"/>
      <c r="M88" s="745"/>
    </row>
    <row r="89" spans="1:74" s="135" customFormat="1" ht="15.75" customHeight="1">
      <c r="A89" s="746" t="s">
        <v>191</v>
      </c>
      <c r="B89" s="739">
        <v>1</v>
      </c>
      <c r="C89" s="740"/>
      <c r="D89" s="739">
        <v>2</v>
      </c>
      <c r="E89" s="740"/>
      <c r="F89" s="739">
        <v>3</v>
      </c>
      <c r="G89" s="740"/>
      <c r="H89" s="748">
        <v>4</v>
      </c>
      <c r="I89" s="749"/>
      <c r="J89" s="748">
        <v>5</v>
      </c>
      <c r="K89" s="749"/>
      <c r="L89" s="748">
        <v>6</v>
      </c>
      <c r="M89" s="749"/>
      <c r="N89" s="748">
        <v>7</v>
      </c>
      <c r="O89" s="749"/>
      <c r="P89" s="352">
        <v>8</v>
      </c>
      <c r="Q89" s="231"/>
      <c r="R89" s="231"/>
      <c r="S89" s="231"/>
      <c r="T89" s="231"/>
    </row>
    <row r="90" spans="1:74" s="135" customFormat="1" ht="15.75" customHeight="1">
      <c r="A90" s="747"/>
      <c r="B90" s="741" t="s">
        <v>452</v>
      </c>
      <c r="C90" s="742"/>
      <c r="D90" s="741" t="s">
        <v>212</v>
      </c>
      <c r="E90" s="742"/>
      <c r="F90" s="741" t="s">
        <v>166</v>
      </c>
      <c r="G90" s="742"/>
      <c r="H90" s="743" t="s">
        <v>428</v>
      </c>
      <c r="I90" s="744"/>
      <c r="J90" s="743" t="s">
        <v>189</v>
      </c>
      <c r="K90" s="744"/>
      <c r="L90" s="743" t="s">
        <v>167</v>
      </c>
      <c r="M90" s="744"/>
      <c r="N90" s="743" t="s">
        <v>190</v>
      </c>
      <c r="O90" s="744"/>
      <c r="P90" s="353" t="s">
        <v>217</v>
      </c>
      <c r="Q90" s="231"/>
      <c r="R90" s="231"/>
      <c r="S90" s="231"/>
      <c r="T90" s="231"/>
    </row>
    <row r="91" spans="1:74" s="135" customFormat="1" ht="15.75" customHeight="1">
      <c r="B91" s="232"/>
      <c r="C91" s="233"/>
      <c r="Q91" s="231"/>
      <c r="R91" s="231"/>
      <c r="S91" s="231"/>
      <c r="T91" s="231"/>
    </row>
    <row r="92" spans="1:74" s="235" customFormat="1" ht="15.75" customHeight="1">
      <c r="A92" s="748" t="s">
        <v>191</v>
      </c>
      <c r="B92" s="749"/>
      <c r="C92" s="234" t="s">
        <v>47</v>
      </c>
      <c r="D92" s="860" t="s">
        <v>12</v>
      </c>
      <c r="E92" s="737"/>
      <c r="F92" s="850"/>
      <c r="G92" s="861" t="s">
        <v>53</v>
      </c>
      <c r="H92" s="862"/>
      <c r="I92" s="863"/>
      <c r="J92" s="234" t="s">
        <v>54</v>
      </c>
      <c r="K92" s="234" t="s">
        <v>55</v>
      </c>
      <c r="L92" s="234" t="s">
        <v>56</v>
      </c>
      <c r="M92" s="234" t="s">
        <v>11</v>
      </c>
      <c r="N92" s="234" t="s">
        <v>333</v>
      </c>
      <c r="O92" s="864" t="s">
        <v>51</v>
      </c>
      <c r="P92" s="865"/>
    </row>
    <row r="93" spans="1:74" s="135" customFormat="1" ht="69.95" customHeight="1">
      <c r="A93" s="851">
        <v>1</v>
      </c>
      <c r="B93" s="854" t="s">
        <v>453</v>
      </c>
      <c r="C93" s="236">
        <v>1</v>
      </c>
      <c r="D93" s="237" t="s">
        <v>340</v>
      </c>
      <c r="E93" s="238"/>
      <c r="F93" s="238"/>
      <c r="G93" s="357" t="s">
        <v>386</v>
      </c>
      <c r="H93" s="305"/>
      <c r="I93" s="306"/>
      <c r="J93" s="236">
        <v>127.84000000000002</v>
      </c>
      <c r="K93" s="242">
        <v>2.4006550131559076E-3</v>
      </c>
      <c r="L93" s="236">
        <v>9.06</v>
      </c>
      <c r="M93" s="322">
        <f>L93*J93</f>
        <v>1158.2304000000001</v>
      </c>
      <c r="N93" s="243"/>
      <c r="O93" s="766" t="s">
        <v>837</v>
      </c>
      <c r="P93" s="767"/>
      <c r="Q93" s="231"/>
      <c r="R93" s="390"/>
      <c r="S93" s="261"/>
      <c r="T93" s="231"/>
    </row>
    <row r="94" spans="1:74" s="135" customFormat="1" ht="69.95" customHeight="1">
      <c r="A94" s="852"/>
      <c r="B94" s="855"/>
      <c r="C94" s="236">
        <v>2</v>
      </c>
      <c r="D94" s="237" t="s">
        <v>710</v>
      </c>
      <c r="E94" s="238"/>
      <c r="F94" s="238"/>
      <c r="G94" s="357" t="s">
        <v>714</v>
      </c>
      <c r="H94" s="305"/>
      <c r="I94" s="306"/>
      <c r="J94" s="236">
        <v>91.13</v>
      </c>
      <c r="K94" s="242">
        <v>1.052198683999358E-2</v>
      </c>
      <c r="L94" s="236">
        <v>10.489999999999998</v>
      </c>
      <c r="M94" s="322">
        <f t="shared" ref="M94:M97" si="9">L94*J94</f>
        <v>955.9536999999998</v>
      </c>
      <c r="N94" s="243"/>
      <c r="O94" s="866" t="s">
        <v>576</v>
      </c>
      <c r="P94" s="858"/>
      <c r="Q94" s="231"/>
      <c r="R94" s="391"/>
      <c r="S94" s="391"/>
      <c r="T94" s="231"/>
      <c r="U94" s="231"/>
      <c r="V94" s="231"/>
      <c r="W94" s="231"/>
      <c r="X94" s="231"/>
      <c r="Y94" s="231"/>
      <c r="Z94" s="231"/>
      <c r="AA94" s="231"/>
      <c r="AB94" s="231"/>
      <c r="AC94" s="231"/>
      <c r="AD94" s="231"/>
      <c r="AE94" s="231"/>
      <c r="AF94" s="231"/>
      <c r="AG94" s="231"/>
      <c r="AH94" s="231"/>
      <c r="AI94" s="231"/>
      <c r="AJ94" s="231"/>
      <c r="AK94" s="231"/>
      <c r="AL94" s="231"/>
      <c r="AM94" s="231"/>
      <c r="AN94" s="231"/>
      <c r="AO94" s="231"/>
      <c r="AP94" s="231"/>
      <c r="AQ94" s="231"/>
      <c r="AR94" s="231"/>
      <c r="AS94" s="231"/>
      <c r="AT94" s="231"/>
      <c r="AU94" s="231"/>
      <c r="AV94" s="231"/>
      <c r="AW94" s="231"/>
      <c r="AX94" s="231"/>
      <c r="AY94" s="231"/>
      <c r="AZ94" s="231"/>
      <c r="BA94" s="231"/>
      <c r="BB94" s="231"/>
      <c r="BC94" s="231"/>
      <c r="BD94" s="231"/>
      <c r="BE94" s="231"/>
      <c r="BF94" s="231"/>
      <c r="BG94" s="231"/>
      <c r="BH94" s="231"/>
      <c r="BI94" s="231"/>
      <c r="BJ94" s="231"/>
      <c r="BK94" s="231"/>
      <c r="BL94" s="231"/>
      <c r="BM94" s="231"/>
      <c r="BN94" s="231"/>
      <c r="BO94" s="231"/>
      <c r="BP94" s="231"/>
      <c r="BQ94" s="231"/>
      <c r="BR94" s="231"/>
      <c r="BS94" s="231"/>
      <c r="BT94" s="231"/>
      <c r="BU94" s="231"/>
      <c r="BV94" s="231"/>
    </row>
    <row r="95" spans="1:74" s="135" customFormat="1" ht="69.95" customHeight="1">
      <c r="A95" s="852"/>
      <c r="B95" s="855"/>
      <c r="C95" s="236">
        <v>3</v>
      </c>
      <c r="D95" s="237" t="s">
        <v>343</v>
      </c>
      <c r="E95" s="238"/>
      <c r="F95" s="238"/>
      <c r="G95" s="357" t="s">
        <v>809</v>
      </c>
      <c r="H95" s="305"/>
      <c r="I95" s="306"/>
      <c r="J95" s="236">
        <v>70.220000000000013</v>
      </c>
      <c r="K95" s="242">
        <v>7.7175171022929104E-3</v>
      </c>
      <c r="L95" s="236">
        <v>13.47</v>
      </c>
      <c r="M95" s="322">
        <f t="shared" si="9"/>
        <v>945.86340000000018</v>
      </c>
      <c r="N95" s="243"/>
      <c r="O95" s="867" t="s">
        <v>624</v>
      </c>
      <c r="P95" s="823"/>
      <c r="Q95" s="231"/>
      <c r="R95" s="390"/>
      <c r="S95" s="390"/>
      <c r="T95" s="231"/>
      <c r="U95" s="231"/>
      <c r="V95" s="231"/>
      <c r="W95" s="231"/>
      <c r="X95" s="231"/>
      <c r="Y95" s="231"/>
      <c r="Z95" s="231"/>
      <c r="AA95" s="231"/>
      <c r="AB95" s="231"/>
      <c r="AC95" s="231"/>
      <c r="AD95" s="231"/>
      <c r="AE95" s="231"/>
      <c r="AF95" s="231"/>
      <c r="AG95" s="231"/>
      <c r="AH95" s="231"/>
      <c r="AI95" s="231"/>
      <c r="AJ95" s="231"/>
      <c r="AK95" s="231"/>
      <c r="AL95" s="231"/>
      <c r="AM95" s="231"/>
      <c r="AN95" s="231"/>
      <c r="AO95" s="231"/>
      <c r="AP95" s="231"/>
      <c r="AQ95" s="231"/>
      <c r="AR95" s="231"/>
      <c r="AS95" s="231"/>
      <c r="AT95" s="231"/>
      <c r="AU95" s="231"/>
      <c r="AV95" s="231"/>
      <c r="AW95" s="231"/>
      <c r="AX95" s="231"/>
      <c r="AY95" s="231"/>
      <c r="AZ95" s="231"/>
      <c r="BA95" s="231"/>
      <c r="BB95" s="231"/>
      <c r="BC95" s="231"/>
      <c r="BD95" s="231"/>
      <c r="BE95" s="231"/>
      <c r="BF95" s="231"/>
      <c r="BG95" s="231"/>
      <c r="BH95" s="231"/>
      <c r="BI95" s="231"/>
      <c r="BJ95" s="231"/>
      <c r="BK95" s="231"/>
      <c r="BL95" s="231"/>
      <c r="BM95" s="231"/>
      <c r="BN95" s="231"/>
      <c r="BO95" s="231"/>
      <c r="BP95" s="231"/>
      <c r="BQ95" s="231"/>
      <c r="BR95" s="231"/>
      <c r="BS95" s="231"/>
      <c r="BT95" s="231"/>
      <c r="BU95" s="231"/>
      <c r="BV95" s="231"/>
    </row>
    <row r="96" spans="1:74" s="135" customFormat="1" ht="69.95" customHeight="1">
      <c r="A96" s="852"/>
      <c r="B96" s="855"/>
      <c r="C96" s="236">
        <v>4</v>
      </c>
      <c r="D96" s="237" t="s">
        <v>710</v>
      </c>
      <c r="E96" s="238"/>
      <c r="F96" s="238"/>
      <c r="G96" s="357" t="s">
        <v>775</v>
      </c>
      <c r="H96" s="305"/>
      <c r="I96" s="306"/>
      <c r="J96" s="236">
        <v>170.05999999999997</v>
      </c>
      <c r="K96" s="242">
        <v>4.4374899695073029E-2</v>
      </c>
      <c r="L96" s="236">
        <v>5.53</v>
      </c>
      <c r="M96" s="322">
        <f t="shared" si="9"/>
        <v>940.43179999999995</v>
      </c>
      <c r="N96" s="243"/>
      <c r="O96" s="867" t="s">
        <v>689</v>
      </c>
      <c r="P96" s="823"/>
      <c r="Q96" s="231"/>
      <c r="R96" s="391"/>
      <c r="S96" s="391"/>
      <c r="T96" s="231"/>
      <c r="U96" s="231"/>
      <c r="V96" s="231"/>
      <c r="W96" s="231"/>
      <c r="X96" s="231"/>
      <c r="Y96" s="231"/>
      <c r="Z96" s="231"/>
      <c r="AA96" s="231"/>
      <c r="AB96" s="231"/>
      <c r="AC96" s="231"/>
      <c r="AD96" s="231"/>
      <c r="AE96" s="231"/>
      <c r="AF96" s="231"/>
      <c r="AG96" s="231"/>
      <c r="AH96" s="231"/>
      <c r="AI96" s="231"/>
      <c r="AJ96" s="231"/>
      <c r="AK96" s="231"/>
      <c r="AL96" s="231"/>
      <c r="AM96" s="231"/>
      <c r="AN96" s="231"/>
      <c r="AO96" s="231"/>
      <c r="AP96" s="231"/>
      <c r="AQ96" s="231"/>
      <c r="AR96" s="231"/>
      <c r="AS96" s="231"/>
      <c r="AT96" s="231"/>
      <c r="AU96" s="231"/>
      <c r="AV96" s="231"/>
      <c r="AW96" s="231"/>
      <c r="AX96" s="231"/>
      <c r="AY96" s="231"/>
      <c r="AZ96" s="231"/>
      <c r="BA96" s="231"/>
      <c r="BB96" s="231"/>
      <c r="BC96" s="231"/>
      <c r="BD96" s="231"/>
      <c r="BE96" s="231"/>
      <c r="BF96" s="231"/>
      <c r="BG96" s="231"/>
      <c r="BH96" s="231"/>
      <c r="BI96" s="231"/>
      <c r="BJ96" s="231"/>
      <c r="BK96" s="231"/>
      <c r="BL96" s="231"/>
      <c r="BM96" s="231"/>
      <c r="BN96" s="231"/>
      <c r="BO96" s="231"/>
      <c r="BP96" s="231"/>
      <c r="BQ96" s="231"/>
      <c r="BR96" s="231"/>
      <c r="BS96" s="231"/>
      <c r="BT96" s="231"/>
      <c r="BU96" s="231"/>
      <c r="BV96" s="231"/>
    </row>
    <row r="97" spans="1:74" s="135" customFormat="1" ht="69.95" customHeight="1" thickBot="1">
      <c r="A97" s="852"/>
      <c r="B97" s="855"/>
      <c r="C97" s="236">
        <v>5</v>
      </c>
      <c r="D97" s="244" t="s">
        <v>440</v>
      </c>
      <c r="E97" s="245"/>
      <c r="F97" s="245"/>
      <c r="G97" s="357" t="s">
        <v>476</v>
      </c>
      <c r="H97" s="305"/>
      <c r="I97" s="306"/>
      <c r="J97" s="247">
        <v>421.40999999999997</v>
      </c>
      <c r="K97" s="248">
        <v>1.2688477951635847E-2</v>
      </c>
      <c r="L97" s="247">
        <v>2.23</v>
      </c>
      <c r="M97" s="323">
        <f t="shared" si="9"/>
        <v>939.74429999999995</v>
      </c>
      <c r="N97" s="243"/>
      <c r="O97" s="867" t="s">
        <v>871</v>
      </c>
      <c r="P97" s="823"/>
      <c r="Q97" s="231"/>
      <c r="R97" s="390"/>
      <c r="S97" s="390"/>
      <c r="T97" s="231"/>
      <c r="U97" s="392"/>
      <c r="V97" s="231"/>
      <c r="W97" s="231"/>
      <c r="X97" s="231"/>
      <c r="Y97" s="231"/>
      <c r="Z97" s="231"/>
      <c r="AA97" s="231"/>
      <c r="AB97" s="231"/>
      <c r="AC97" s="231"/>
      <c r="AD97" s="231"/>
      <c r="AE97" s="231"/>
      <c r="AF97" s="231"/>
      <c r="AG97" s="231"/>
      <c r="AH97" s="231"/>
      <c r="AI97" s="231"/>
      <c r="AJ97" s="231"/>
      <c r="AK97" s="231"/>
      <c r="AL97" s="231"/>
      <c r="AM97" s="231"/>
      <c r="AN97" s="231"/>
      <c r="AO97" s="231"/>
      <c r="AP97" s="231"/>
      <c r="AQ97" s="231"/>
      <c r="AR97" s="231"/>
      <c r="AS97" s="231"/>
      <c r="AT97" s="231"/>
      <c r="AU97" s="231"/>
      <c r="AV97" s="231"/>
      <c r="AW97" s="231"/>
      <c r="AX97" s="231"/>
      <c r="AY97" s="231"/>
      <c r="AZ97" s="231"/>
      <c r="BA97" s="231"/>
      <c r="BB97" s="231"/>
      <c r="BC97" s="231"/>
      <c r="BD97" s="231"/>
      <c r="BE97" s="231"/>
      <c r="BF97" s="231"/>
      <c r="BG97" s="231"/>
      <c r="BH97" s="231"/>
      <c r="BI97" s="231"/>
      <c r="BJ97" s="231"/>
      <c r="BK97" s="231"/>
      <c r="BL97" s="231"/>
      <c r="BM97" s="231"/>
      <c r="BN97" s="231"/>
      <c r="BO97" s="231"/>
      <c r="BP97" s="231"/>
      <c r="BQ97" s="231"/>
      <c r="BR97" s="231"/>
      <c r="BS97" s="231"/>
      <c r="BT97" s="231"/>
      <c r="BU97" s="231"/>
      <c r="BV97" s="231"/>
    </row>
    <row r="98" spans="1:74" s="135" customFormat="1" ht="15.75" customHeight="1" thickTop="1">
      <c r="A98" s="853"/>
      <c r="B98" s="856"/>
      <c r="C98" s="724"/>
      <c r="D98" s="725"/>
      <c r="E98" s="725"/>
      <c r="F98" s="725"/>
      <c r="G98" s="725"/>
      <c r="H98" s="725"/>
      <c r="I98" s="859"/>
      <c r="J98" s="249" t="s">
        <v>58</v>
      </c>
      <c r="K98" s="212">
        <f>M98/'生產管理報表 7-1 (週)'!$B$42</f>
        <v>5.5332217777294877E-2</v>
      </c>
      <c r="L98" s="249" t="s">
        <v>59</v>
      </c>
      <c r="M98" s="324">
        <f>SUM(M93:M97)</f>
        <v>4940.2236000000003</v>
      </c>
      <c r="N98" s="812"/>
      <c r="O98" s="813"/>
      <c r="P98" s="814"/>
      <c r="Q98" s="231"/>
      <c r="R98" s="210"/>
      <c r="S98" s="210"/>
      <c r="T98" s="231"/>
      <c r="U98" s="231"/>
      <c r="V98" s="231"/>
      <c r="W98" s="231"/>
      <c r="X98" s="231"/>
      <c r="Y98" s="231"/>
      <c r="Z98" s="231"/>
      <c r="AA98" s="231"/>
      <c r="AB98" s="231"/>
      <c r="AC98" s="231"/>
      <c r="AD98" s="231"/>
      <c r="AE98" s="231"/>
      <c r="AF98" s="231"/>
      <c r="AG98" s="231"/>
      <c r="AH98" s="231"/>
      <c r="AI98" s="231"/>
      <c r="AJ98" s="231"/>
      <c r="AK98" s="231"/>
      <c r="AL98" s="231"/>
      <c r="AM98" s="231"/>
      <c r="AN98" s="231"/>
      <c r="AO98" s="231"/>
      <c r="AP98" s="231"/>
      <c r="AQ98" s="231"/>
      <c r="AR98" s="231"/>
      <c r="AS98" s="231"/>
      <c r="AT98" s="231"/>
      <c r="AU98" s="231"/>
      <c r="AV98" s="231"/>
      <c r="AW98" s="231"/>
      <c r="AX98" s="231"/>
      <c r="AY98" s="231"/>
      <c r="AZ98" s="231"/>
      <c r="BA98" s="231"/>
      <c r="BB98" s="231"/>
      <c r="BC98" s="231"/>
      <c r="BD98" s="231"/>
      <c r="BE98" s="231"/>
      <c r="BF98" s="231"/>
      <c r="BG98" s="231"/>
      <c r="BH98" s="231"/>
      <c r="BI98" s="231"/>
      <c r="BJ98" s="231"/>
      <c r="BK98" s="231"/>
      <c r="BL98" s="231"/>
      <c r="BM98" s="231"/>
      <c r="BN98" s="231"/>
      <c r="BO98" s="231"/>
      <c r="BP98" s="231"/>
      <c r="BQ98" s="231"/>
      <c r="BR98" s="231"/>
      <c r="BS98" s="231"/>
      <c r="BT98" s="231"/>
      <c r="BU98" s="231"/>
      <c r="BV98" s="231"/>
    </row>
    <row r="99" spans="1:74" s="135" customFormat="1" ht="15.75" customHeight="1">
      <c r="B99" s="232"/>
      <c r="C99" s="233"/>
      <c r="D99" s="233"/>
      <c r="E99" s="233"/>
      <c r="F99" s="233"/>
      <c r="G99" s="233"/>
      <c r="H99" s="233"/>
      <c r="I99" s="233"/>
      <c r="J99" s="233"/>
      <c r="K99" s="233"/>
      <c r="L99" s="233"/>
      <c r="M99" s="233"/>
      <c r="N99" s="251"/>
      <c r="O99" s="251"/>
      <c r="P99" s="251"/>
      <c r="Q99" s="231"/>
      <c r="R99" s="261"/>
      <c r="S99" s="261"/>
      <c r="T99" s="231"/>
      <c r="U99" s="231"/>
      <c r="V99" s="231"/>
      <c r="W99" s="231"/>
      <c r="X99" s="231"/>
      <c r="Y99" s="231"/>
      <c r="Z99" s="231"/>
      <c r="AA99" s="231"/>
      <c r="AB99" s="231"/>
      <c r="AC99" s="231"/>
      <c r="AD99" s="231"/>
      <c r="AE99" s="231"/>
      <c r="AF99" s="231"/>
      <c r="AG99" s="231"/>
      <c r="AH99" s="231"/>
      <c r="AI99" s="231"/>
      <c r="AJ99" s="231"/>
      <c r="AK99" s="231"/>
      <c r="AL99" s="231"/>
      <c r="AM99" s="231"/>
      <c r="AN99" s="231"/>
      <c r="AO99" s="231"/>
      <c r="AP99" s="231"/>
      <c r="AQ99" s="231"/>
      <c r="AR99" s="231"/>
      <c r="AS99" s="231"/>
      <c r="AT99" s="231"/>
      <c r="AU99" s="231"/>
      <c r="AV99" s="231"/>
      <c r="AW99" s="231"/>
      <c r="AX99" s="231"/>
      <c r="AY99" s="231"/>
      <c r="AZ99" s="231"/>
      <c r="BA99" s="231"/>
      <c r="BB99" s="231"/>
      <c r="BC99" s="231"/>
      <c r="BD99" s="231"/>
      <c r="BE99" s="231"/>
      <c r="BF99" s="231"/>
      <c r="BG99" s="231"/>
      <c r="BH99" s="231"/>
      <c r="BI99" s="231"/>
      <c r="BJ99" s="231"/>
      <c r="BK99" s="231"/>
      <c r="BL99" s="231"/>
      <c r="BM99" s="231"/>
      <c r="BN99" s="231"/>
      <c r="BO99" s="231"/>
      <c r="BP99" s="231"/>
      <c r="BQ99" s="231"/>
      <c r="BR99" s="231"/>
      <c r="BS99" s="231"/>
      <c r="BT99" s="231"/>
      <c r="BU99" s="231"/>
      <c r="BV99" s="231"/>
    </row>
    <row r="100" spans="1:74" s="135" customFormat="1" ht="15.75" customHeight="1">
      <c r="A100" s="748" t="s">
        <v>191</v>
      </c>
      <c r="B100" s="749"/>
      <c r="C100" s="252" t="s">
        <v>47</v>
      </c>
      <c r="D100" s="736" t="s">
        <v>12</v>
      </c>
      <c r="E100" s="737"/>
      <c r="F100" s="738"/>
      <c r="G100" s="736" t="s">
        <v>53</v>
      </c>
      <c r="H100" s="737"/>
      <c r="I100" s="738"/>
      <c r="J100" s="254" t="s">
        <v>54</v>
      </c>
      <c r="K100" s="254" t="s">
        <v>55</v>
      </c>
      <c r="L100" s="254" t="s">
        <v>56</v>
      </c>
      <c r="M100" s="254" t="s">
        <v>11</v>
      </c>
      <c r="N100" s="255" t="s">
        <v>333</v>
      </c>
      <c r="O100" s="815" t="s">
        <v>51</v>
      </c>
      <c r="P100" s="816"/>
      <c r="Q100" s="231"/>
      <c r="R100" s="210"/>
      <c r="S100" s="210"/>
      <c r="T100" s="231"/>
      <c r="U100" s="231"/>
      <c r="V100" s="231"/>
      <c r="W100" s="231"/>
      <c r="X100" s="231"/>
      <c r="Y100" s="231"/>
      <c r="Z100" s="231"/>
      <c r="AA100" s="231"/>
      <c r="AB100" s="231"/>
      <c r="AC100" s="231"/>
      <c r="AD100" s="231"/>
      <c r="AE100" s="231"/>
      <c r="AF100" s="231"/>
      <c r="AG100" s="231"/>
      <c r="AH100" s="231"/>
      <c r="AI100" s="231"/>
    </row>
    <row r="101" spans="1:74" s="135" customFormat="1" ht="20.100000000000001" customHeight="1">
      <c r="A101" s="851">
        <v>2</v>
      </c>
      <c r="B101" s="854" t="s">
        <v>213</v>
      </c>
      <c r="C101" s="256">
        <v>1</v>
      </c>
      <c r="D101" s="237"/>
      <c r="E101" s="238"/>
      <c r="F101" s="239"/>
      <c r="G101" s="237"/>
      <c r="H101" s="238"/>
      <c r="I101" s="239"/>
      <c r="J101" s="257"/>
      <c r="K101" s="258"/>
      <c r="L101" s="257"/>
      <c r="M101" s="259">
        <f t="shared" ref="M101:M105" si="10">L101*J101</f>
        <v>0</v>
      </c>
      <c r="N101" s="260"/>
      <c r="O101" s="817"/>
      <c r="P101" s="818"/>
      <c r="Q101" s="231"/>
      <c r="R101" s="261"/>
      <c r="S101" s="261"/>
      <c r="T101" s="231"/>
      <c r="U101" s="231"/>
      <c r="V101" s="231"/>
      <c r="W101" s="231"/>
      <c r="X101" s="231"/>
      <c r="Y101" s="231"/>
      <c r="Z101" s="231"/>
      <c r="AA101" s="231"/>
      <c r="AB101" s="231"/>
      <c r="AC101" s="231"/>
      <c r="AD101" s="231"/>
      <c r="AE101" s="231"/>
      <c r="AF101" s="231"/>
      <c r="AG101" s="231"/>
      <c r="AH101" s="231"/>
      <c r="AI101" s="231"/>
    </row>
    <row r="102" spans="1:74" s="135" customFormat="1" ht="20.100000000000001" customHeight="1">
      <c r="A102" s="852"/>
      <c r="B102" s="855"/>
      <c r="C102" s="256">
        <v>2</v>
      </c>
      <c r="D102" s="237"/>
      <c r="E102" s="238"/>
      <c r="F102" s="239"/>
      <c r="G102" s="237"/>
      <c r="H102" s="238"/>
      <c r="I102" s="239"/>
      <c r="J102" s="257"/>
      <c r="K102" s="258"/>
      <c r="L102" s="257"/>
      <c r="M102" s="259">
        <f t="shared" si="10"/>
        <v>0</v>
      </c>
      <c r="N102" s="260"/>
      <c r="O102" s="817"/>
      <c r="P102" s="818"/>
      <c r="Q102" s="231"/>
      <c r="R102" s="210"/>
      <c r="S102" s="210"/>
      <c r="T102" s="231"/>
      <c r="U102" s="231"/>
      <c r="V102" s="231"/>
      <c r="W102" s="231"/>
      <c r="X102" s="231"/>
      <c r="Y102" s="231"/>
      <c r="Z102" s="231"/>
      <c r="AA102" s="231"/>
      <c r="AB102" s="231"/>
      <c r="AC102" s="231"/>
      <c r="AD102" s="231"/>
      <c r="AE102" s="231"/>
      <c r="AF102" s="231"/>
      <c r="AG102" s="231"/>
      <c r="AH102" s="231"/>
      <c r="AI102" s="231"/>
    </row>
    <row r="103" spans="1:74" s="135" customFormat="1" ht="20.100000000000001" customHeight="1">
      <c r="A103" s="852"/>
      <c r="B103" s="855"/>
      <c r="C103" s="256">
        <v>3</v>
      </c>
      <c r="D103" s="237"/>
      <c r="E103" s="238"/>
      <c r="F103" s="239"/>
      <c r="G103" s="237"/>
      <c r="H103" s="238"/>
      <c r="I103" s="268"/>
      <c r="J103" s="257"/>
      <c r="K103" s="258"/>
      <c r="L103" s="257"/>
      <c r="M103" s="259">
        <f t="shared" si="10"/>
        <v>0</v>
      </c>
      <c r="N103" s="260"/>
      <c r="O103" s="817"/>
      <c r="P103" s="818"/>
      <c r="Q103" s="231"/>
      <c r="R103" s="261"/>
      <c r="S103" s="261"/>
      <c r="T103" s="231"/>
      <c r="U103" s="231"/>
      <c r="V103" s="231"/>
      <c r="W103" s="231"/>
      <c r="X103" s="231"/>
      <c r="Y103" s="231"/>
      <c r="Z103" s="231"/>
      <c r="AA103" s="231"/>
      <c r="AB103" s="231"/>
      <c r="AC103" s="231"/>
      <c r="AD103" s="231"/>
      <c r="AE103" s="231"/>
      <c r="AF103" s="231"/>
      <c r="AG103" s="231"/>
    </row>
    <row r="104" spans="1:74" s="135" customFormat="1" ht="20.100000000000001" customHeight="1">
      <c r="A104" s="852"/>
      <c r="B104" s="855"/>
      <c r="C104" s="256">
        <v>4</v>
      </c>
      <c r="D104" s="237"/>
      <c r="E104" s="238"/>
      <c r="F104" s="239"/>
      <c r="G104" s="237"/>
      <c r="H104" s="238"/>
      <c r="I104" s="239"/>
      <c r="J104" s="257"/>
      <c r="K104" s="258"/>
      <c r="L104" s="257"/>
      <c r="M104" s="259">
        <f t="shared" si="10"/>
        <v>0</v>
      </c>
      <c r="N104" s="260"/>
      <c r="O104" s="817"/>
      <c r="P104" s="818"/>
      <c r="Q104" s="231"/>
      <c r="R104" s="210"/>
      <c r="S104" s="210"/>
      <c r="T104" s="231"/>
      <c r="U104" s="231"/>
      <c r="V104" s="231"/>
      <c r="W104" s="231"/>
      <c r="X104" s="231"/>
      <c r="Y104" s="231"/>
      <c r="Z104" s="231"/>
      <c r="AA104" s="231"/>
      <c r="AB104" s="231"/>
      <c r="AC104" s="231"/>
      <c r="AD104" s="231"/>
      <c r="AE104" s="231"/>
      <c r="AF104" s="231"/>
      <c r="AG104" s="231"/>
    </row>
    <row r="105" spans="1:74" s="135" customFormat="1" ht="20.100000000000001" customHeight="1" thickBot="1">
      <c r="A105" s="852"/>
      <c r="B105" s="855"/>
      <c r="C105" s="262">
        <v>5</v>
      </c>
      <c r="D105" s="244"/>
      <c r="E105" s="245"/>
      <c r="F105" s="246"/>
      <c r="G105" s="237"/>
      <c r="H105" s="238"/>
      <c r="I105" s="239"/>
      <c r="J105" s="263"/>
      <c r="K105" s="264"/>
      <c r="L105" s="263"/>
      <c r="M105" s="265">
        <f t="shared" si="10"/>
        <v>0</v>
      </c>
      <c r="N105" s="266"/>
      <c r="O105" s="817"/>
      <c r="P105" s="818"/>
      <c r="Q105" s="231"/>
      <c r="R105" s="231"/>
      <c r="S105" s="231"/>
      <c r="T105" s="231"/>
      <c r="U105" s="231"/>
      <c r="V105" s="231"/>
      <c r="W105" s="231"/>
      <c r="X105" s="231"/>
      <c r="Y105" s="231"/>
      <c r="Z105" s="231"/>
      <c r="AA105" s="231"/>
      <c r="AB105" s="231"/>
      <c r="AC105" s="231"/>
      <c r="AD105" s="231"/>
      <c r="AE105" s="231"/>
      <c r="AF105" s="231"/>
      <c r="AG105" s="231"/>
    </row>
    <row r="106" spans="1:74" s="135" customFormat="1" ht="15.75" customHeight="1" thickTop="1">
      <c r="A106" s="853"/>
      <c r="B106" s="856"/>
      <c r="C106" s="724"/>
      <c r="D106" s="725"/>
      <c r="E106" s="725"/>
      <c r="F106" s="725"/>
      <c r="G106" s="725"/>
      <c r="H106" s="725"/>
      <c r="I106" s="859"/>
      <c r="J106" s="249" t="s">
        <v>58</v>
      </c>
      <c r="K106" s="212">
        <f>M106/'生產管理報表 7-1 (週)'!$B$42</f>
        <v>0</v>
      </c>
      <c r="L106" s="249" t="s">
        <v>59</v>
      </c>
      <c r="M106" s="250">
        <f>SUM(M101:M105)</f>
        <v>0</v>
      </c>
      <c r="N106" s="819"/>
      <c r="O106" s="820"/>
      <c r="P106" s="821"/>
      <c r="Q106" s="231"/>
      <c r="R106" s="231"/>
      <c r="S106" s="231"/>
      <c r="T106" s="231"/>
      <c r="U106" s="231"/>
      <c r="V106" s="231"/>
      <c r="W106" s="231"/>
      <c r="X106" s="231"/>
      <c r="Y106" s="231"/>
      <c r="Z106" s="231"/>
      <c r="AA106" s="231"/>
      <c r="AB106" s="231"/>
      <c r="AC106" s="231"/>
      <c r="AD106" s="231"/>
      <c r="AE106" s="231"/>
      <c r="AF106" s="231"/>
      <c r="AG106" s="231"/>
    </row>
    <row r="107" spans="1:74" s="135" customFormat="1" ht="15.75" customHeight="1">
      <c r="B107" s="232"/>
      <c r="C107" s="233"/>
      <c r="D107" s="233"/>
      <c r="E107" s="233"/>
      <c r="F107" s="233"/>
      <c r="G107" s="233"/>
      <c r="H107" s="233"/>
      <c r="I107" s="233"/>
      <c r="J107" s="233"/>
      <c r="K107" s="233"/>
      <c r="L107" s="233"/>
      <c r="M107" s="233"/>
      <c r="N107" s="267"/>
      <c r="O107" s="267"/>
      <c r="P107" s="267"/>
      <c r="Q107" s="231"/>
      <c r="R107" s="231"/>
      <c r="S107" s="231"/>
      <c r="T107" s="231"/>
      <c r="U107" s="231"/>
      <c r="V107" s="231"/>
      <c r="W107" s="231"/>
      <c r="X107" s="231"/>
      <c r="Y107" s="231"/>
      <c r="Z107" s="231"/>
      <c r="AA107" s="231"/>
      <c r="AB107" s="231"/>
      <c r="AC107" s="231"/>
      <c r="AD107" s="231"/>
      <c r="AE107" s="231"/>
      <c r="AF107" s="231"/>
      <c r="AG107" s="231"/>
    </row>
    <row r="108" spans="1:74" s="135" customFormat="1" ht="15.75" customHeight="1">
      <c r="A108" s="748" t="s">
        <v>191</v>
      </c>
      <c r="B108" s="749"/>
      <c r="C108" s="252" t="s">
        <v>47</v>
      </c>
      <c r="D108" s="736" t="s">
        <v>12</v>
      </c>
      <c r="E108" s="737"/>
      <c r="F108" s="738"/>
      <c r="G108" s="736" t="s">
        <v>53</v>
      </c>
      <c r="H108" s="737"/>
      <c r="I108" s="850"/>
      <c r="J108" s="253" t="s">
        <v>54</v>
      </c>
      <c r="K108" s="254" t="s">
        <v>55</v>
      </c>
      <c r="L108" s="254" t="s">
        <v>56</v>
      </c>
      <c r="M108" s="254" t="s">
        <v>11</v>
      </c>
      <c r="N108" s="255" t="s">
        <v>333</v>
      </c>
      <c r="O108" s="827" t="s">
        <v>51</v>
      </c>
      <c r="P108" s="828"/>
      <c r="Q108" s="231"/>
      <c r="R108" s="231"/>
      <c r="S108" s="231"/>
      <c r="T108" s="231"/>
      <c r="U108" s="231"/>
      <c r="V108" s="231"/>
      <c r="W108" s="231"/>
      <c r="X108" s="231"/>
      <c r="Y108" s="231"/>
      <c r="Z108" s="231"/>
      <c r="AA108" s="231"/>
      <c r="AB108" s="231"/>
      <c r="AC108" s="231"/>
      <c r="AD108" s="231"/>
      <c r="AE108" s="231"/>
      <c r="AF108" s="231"/>
      <c r="AG108" s="231"/>
      <c r="AH108" s="231"/>
      <c r="AI108" s="231"/>
    </row>
    <row r="109" spans="1:74" s="135" customFormat="1" ht="50.1" customHeight="1">
      <c r="A109" s="851">
        <v>3</v>
      </c>
      <c r="B109" s="854" t="s">
        <v>422</v>
      </c>
      <c r="C109" s="256">
        <v>1</v>
      </c>
      <c r="D109" s="237" t="s">
        <v>340</v>
      </c>
      <c r="E109" s="238"/>
      <c r="F109" s="239"/>
      <c r="G109" s="246" t="s">
        <v>448</v>
      </c>
      <c r="H109" s="245"/>
      <c r="I109" s="246"/>
      <c r="J109" s="257">
        <v>2.4499999999999997</v>
      </c>
      <c r="K109" s="258">
        <v>5.788546457089253E-3</v>
      </c>
      <c r="L109" s="257">
        <v>759</v>
      </c>
      <c r="M109" s="325">
        <f t="shared" ref="M109:M113" si="11">L109*J109</f>
        <v>1859.5499999999997</v>
      </c>
      <c r="N109" s="270"/>
      <c r="O109" s="857" t="s">
        <v>460</v>
      </c>
      <c r="P109" s="858"/>
      <c r="Q109" s="231"/>
      <c r="R109" s="392"/>
      <c r="S109" s="392"/>
      <c r="T109" s="231"/>
      <c r="U109" s="231"/>
      <c r="V109" s="231"/>
      <c r="W109" s="231"/>
      <c r="X109" s="231"/>
      <c r="Y109" s="231"/>
      <c r="Z109" s="231"/>
      <c r="AA109" s="231"/>
      <c r="AB109" s="231"/>
      <c r="AC109" s="231"/>
      <c r="AD109" s="231"/>
      <c r="AE109" s="231"/>
      <c r="AF109" s="231"/>
      <c r="AG109" s="231"/>
      <c r="AH109" s="231"/>
      <c r="AI109" s="231"/>
    </row>
    <row r="110" spans="1:74" s="135" customFormat="1" ht="50.1" customHeight="1">
      <c r="A110" s="852"/>
      <c r="B110" s="855"/>
      <c r="C110" s="256">
        <v>2</v>
      </c>
      <c r="D110" s="237" t="s">
        <v>340</v>
      </c>
      <c r="E110" s="238"/>
      <c r="F110" s="239"/>
      <c r="G110" s="246" t="s">
        <v>447</v>
      </c>
      <c r="H110" s="245"/>
      <c r="I110" s="246"/>
      <c r="J110" s="257">
        <v>1.17</v>
      </c>
      <c r="K110" s="258">
        <v>6.5197700592787896E-3</v>
      </c>
      <c r="L110" s="257">
        <v>1454</v>
      </c>
      <c r="M110" s="325">
        <f t="shared" si="11"/>
        <v>1701.1799999999998</v>
      </c>
      <c r="N110" s="270"/>
      <c r="O110" s="822" t="s">
        <v>528</v>
      </c>
      <c r="P110" s="823"/>
      <c r="Q110" s="231"/>
      <c r="R110" s="392"/>
      <c r="S110" s="398"/>
      <c r="T110" s="231"/>
      <c r="U110" s="231"/>
      <c r="V110" s="231"/>
      <c r="W110" s="231"/>
      <c r="X110" s="231"/>
      <c r="Y110" s="231"/>
      <c r="Z110" s="231"/>
      <c r="AA110" s="231"/>
      <c r="AB110" s="231"/>
      <c r="AC110" s="231"/>
      <c r="AD110" s="231"/>
      <c r="AE110" s="231"/>
      <c r="AF110" s="231"/>
      <c r="AG110" s="231"/>
      <c r="AH110" s="231"/>
      <c r="AI110" s="231"/>
    </row>
    <row r="111" spans="1:74" s="135" customFormat="1" ht="50.1" customHeight="1">
      <c r="A111" s="852"/>
      <c r="B111" s="855"/>
      <c r="C111" s="256">
        <v>3</v>
      </c>
      <c r="D111" s="237" t="s">
        <v>463</v>
      </c>
      <c r="E111" s="238"/>
      <c r="F111" s="239"/>
      <c r="G111" s="246" t="s">
        <v>461</v>
      </c>
      <c r="H111" s="245"/>
      <c r="I111" s="246"/>
      <c r="J111" s="257">
        <v>407.74000000000007</v>
      </c>
      <c r="K111" s="258">
        <v>2.5083082049749618E-3</v>
      </c>
      <c r="L111" s="257">
        <v>2.7699999999999996</v>
      </c>
      <c r="M111" s="325">
        <f t="shared" si="11"/>
        <v>1129.4398000000001</v>
      </c>
      <c r="N111" s="270"/>
      <c r="O111" s="822" t="s">
        <v>832</v>
      </c>
      <c r="P111" s="823"/>
      <c r="Q111" s="392"/>
      <c r="R111" s="392"/>
      <c r="S111" s="398"/>
      <c r="T111" s="231"/>
      <c r="U111" s="231"/>
      <c r="V111" s="231"/>
      <c r="W111" s="231"/>
      <c r="X111" s="231"/>
      <c r="Y111" s="231"/>
      <c r="Z111" s="231"/>
      <c r="AA111" s="231"/>
      <c r="AB111" s="231"/>
      <c r="AC111" s="231"/>
      <c r="AD111" s="231"/>
      <c r="AE111" s="231"/>
      <c r="AF111" s="231"/>
      <c r="AG111" s="231"/>
      <c r="AH111" s="231"/>
      <c r="AI111" s="231"/>
    </row>
    <row r="112" spans="1:74" s="135" customFormat="1" ht="50.1" customHeight="1">
      <c r="A112" s="852"/>
      <c r="B112" s="855"/>
      <c r="C112" s="256">
        <v>4</v>
      </c>
      <c r="D112" s="237" t="s">
        <v>697</v>
      </c>
      <c r="E112" s="238"/>
      <c r="F112" s="239"/>
      <c r="G112" s="378" t="s">
        <v>692</v>
      </c>
      <c r="H112" s="359"/>
      <c r="I112" s="378"/>
      <c r="J112" s="269">
        <v>625.93999999999994</v>
      </c>
      <c r="K112" s="258">
        <v>1.2102416701335046E-3</v>
      </c>
      <c r="L112" s="257">
        <v>1.5999999999999999</v>
      </c>
      <c r="M112" s="325">
        <f t="shared" si="11"/>
        <v>1001.5039999999998</v>
      </c>
      <c r="N112" s="270"/>
      <c r="O112" s="822" t="s">
        <v>594</v>
      </c>
      <c r="P112" s="823"/>
      <c r="Q112" s="231"/>
      <c r="R112" s="392"/>
      <c r="S112"/>
      <c r="T112" s="231"/>
      <c r="U112" s="231"/>
      <c r="V112" s="231"/>
      <c r="W112" s="231"/>
      <c r="X112" s="231"/>
      <c r="Y112" s="231"/>
      <c r="Z112" s="231"/>
      <c r="AA112" s="231"/>
      <c r="AB112" s="231"/>
      <c r="AC112" s="231"/>
      <c r="AD112" s="231"/>
      <c r="AE112" s="231"/>
      <c r="AF112" s="231"/>
      <c r="AG112" s="231"/>
      <c r="AH112" s="231"/>
      <c r="AI112" s="231"/>
    </row>
    <row r="113" spans="1:74" s="135" customFormat="1" ht="50.1" customHeight="1" thickBot="1">
      <c r="A113" s="852"/>
      <c r="B113" s="855"/>
      <c r="C113" s="262">
        <v>5</v>
      </c>
      <c r="D113" s="244"/>
      <c r="E113" s="245"/>
      <c r="F113" s="246"/>
      <c r="G113" s="244"/>
      <c r="H113" s="245"/>
      <c r="I113" s="271"/>
      <c r="J113" s="272"/>
      <c r="K113" s="264"/>
      <c r="L113" s="273"/>
      <c r="M113" s="325">
        <f t="shared" si="11"/>
        <v>0</v>
      </c>
      <c r="N113" s="270"/>
      <c r="O113" s="822"/>
      <c r="P113" s="823"/>
      <c r="Q113" s="231"/>
      <c r="R113" s="231"/>
      <c r="S113"/>
      <c r="T113" s="231"/>
      <c r="U113" s="231"/>
      <c r="V113" s="231"/>
      <c r="W113" s="231"/>
      <c r="X113" s="231"/>
      <c r="Y113" s="231"/>
      <c r="Z113" s="231"/>
      <c r="AA113" s="231"/>
      <c r="AB113" s="231"/>
      <c r="AC113" s="231"/>
      <c r="AD113" s="231"/>
      <c r="AE113" s="231"/>
      <c r="AF113" s="231"/>
      <c r="AG113" s="231"/>
      <c r="AH113" s="231"/>
      <c r="AI113" s="231"/>
    </row>
    <row r="114" spans="1:74" s="135" customFormat="1" ht="15.75" customHeight="1" thickTop="1">
      <c r="A114" s="853"/>
      <c r="B114" s="856"/>
      <c r="C114" s="724"/>
      <c r="D114" s="725"/>
      <c r="E114" s="725"/>
      <c r="F114" s="725"/>
      <c r="G114" s="725"/>
      <c r="H114" s="725"/>
      <c r="I114" s="859"/>
      <c r="J114" s="274" t="s">
        <v>58</v>
      </c>
      <c r="K114" s="212">
        <f>M114/'生產管理報表 7-1 (週)'!$B$42</f>
        <v>6.3748720648782661E-2</v>
      </c>
      <c r="L114" s="274" t="s">
        <v>59</v>
      </c>
      <c r="M114" s="326">
        <f>SUM(M109:M113)</f>
        <v>5691.6737999999996</v>
      </c>
      <c r="N114" s="824"/>
      <c r="O114" s="825"/>
      <c r="P114" s="826"/>
      <c r="Q114" s="231"/>
      <c r="R114" s="231"/>
      <c r="S114"/>
      <c r="T114" s="231"/>
      <c r="U114" s="231"/>
      <c r="V114" s="231"/>
      <c r="W114" s="231"/>
      <c r="X114" s="231"/>
      <c r="Y114" s="231"/>
      <c r="Z114" s="231"/>
      <c r="AA114" s="231"/>
      <c r="AB114" s="231"/>
      <c r="AC114" s="231"/>
      <c r="AD114" s="231"/>
      <c r="AE114" s="231"/>
      <c r="AF114" s="231"/>
      <c r="AG114" s="231"/>
      <c r="AH114" s="231"/>
      <c r="AI114" s="231"/>
    </row>
    <row r="115" spans="1:74" s="135" customFormat="1" ht="15.75" customHeight="1">
      <c r="A115" s="868" t="s">
        <v>869</v>
      </c>
      <c r="B115" s="868"/>
      <c r="C115" s="868"/>
      <c r="D115" s="868"/>
      <c r="E115" s="868"/>
      <c r="F115" s="868"/>
      <c r="G115" s="868"/>
      <c r="H115" s="868"/>
      <c r="I115" s="868"/>
      <c r="J115" s="868"/>
      <c r="K115" s="868"/>
      <c r="L115" s="868"/>
      <c r="M115" s="868"/>
      <c r="Q115" s="231"/>
      <c r="R115" s="231"/>
      <c r="S115" s="231"/>
      <c r="T115" s="231"/>
    </row>
    <row r="116" spans="1:74" s="136" customFormat="1" ht="15.75" customHeight="1">
      <c r="A116" s="745"/>
      <c r="B116" s="745"/>
      <c r="C116" s="745"/>
      <c r="D116" s="745"/>
      <c r="E116" s="745"/>
      <c r="F116" s="745"/>
      <c r="G116" s="745"/>
      <c r="H116" s="745"/>
      <c r="I116" s="745"/>
      <c r="J116" s="745"/>
      <c r="K116" s="745"/>
      <c r="L116" s="745"/>
      <c r="M116" s="745"/>
    </row>
    <row r="117" spans="1:74" s="135" customFormat="1" ht="15.75" customHeight="1">
      <c r="A117" s="746" t="s">
        <v>191</v>
      </c>
      <c r="B117" s="739">
        <v>1</v>
      </c>
      <c r="C117" s="740"/>
      <c r="D117" s="739">
        <v>2</v>
      </c>
      <c r="E117" s="740"/>
      <c r="F117" s="739">
        <v>3</v>
      </c>
      <c r="G117" s="740"/>
      <c r="H117" s="748">
        <v>4</v>
      </c>
      <c r="I117" s="749"/>
      <c r="J117" s="748">
        <v>5</v>
      </c>
      <c r="K117" s="749"/>
      <c r="L117" s="748">
        <v>6</v>
      </c>
      <c r="M117" s="749"/>
      <c r="N117" s="748">
        <v>7</v>
      </c>
      <c r="O117" s="749"/>
      <c r="P117" s="352">
        <v>8</v>
      </c>
      <c r="Q117" s="231"/>
      <c r="R117" s="231"/>
      <c r="S117" s="231"/>
      <c r="T117" s="231"/>
    </row>
    <row r="118" spans="1:74" s="135" customFormat="1" ht="15.75" customHeight="1">
      <c r="A118" s="747"/>
      <c r="B118" s="741" t="s">
        <v>452</v>
      </c>
      <c r="C118" s="742"/>
      <c r="D118" s="741" t="s">
        <v>212</v>
      </c>
      <c r="E118" s="742"/>
      <c r="F118" s="741" t="s">
        <v>166</v>
      </c>
      <c r="G118" s="742"/>
      <c r="H118" s="743" t="s">
        <v>428</v>
      </c>
      <c r="I118" s="744"/>
      <c r="J118" s="743" t="s">
        <v>189</v>
      </c>
      <c r="K118" s="744"/>
      <c r="L118" s="743" t="s">
        <v>167</v>
      </c>
      <c r="M118" s="744"/>
      <c r="N118" s="743" t="s">
        <v>190</v>
      </c>
      <c r="O118" s="744"/>
      <c r="P118" s="353" t="s">
        <v>217</v>
      </c>
      <c r="Q118" s="231"/>
      <c r="R118" s="231"/>
      <c r="S118" s="231"/>
      <c r="T118" s="231"/>
    </row>
    <row r="119" spans="1:74" s="135" customFormat="1" ht="15.75" customHeight="1">
      <c r="B119" s="232"/>
      <c r="C119" s="233"/>
      <c r="Q119" s="231"/>
      <c r="R119" s="231"/>
      <c r="S119" s="231"/>
      <c r="T119" s="231"/>
    </row>
    <row r="120" spans="1:74" s="235" customFormat="1" ht="15.75" customHeight="1">
      <c r="A120" s="748" t="s">
        <v>191</v>
      </c>
      <c r="B120" s="749"/>
      <c r="C120" s="234" t="s">
        <v>47</v>
      </c>
      <c r="D120" s="860" t="s">
        <v>12</v>
      </c>
      <c r="E120" s="737"/>
      <c r="F120" s="850"/>
      <c r="G120" s="861" t="s">
        <v>53</v>
      </c>
      <c r="H120" s="862"/>
      <c r="I120" s="863"/>
      <c r="J120" s="234" t="s">
        <v>54</v>
      </c>
      <c r="K120" s="234" t="s">
        <v>55</v>
      </c>
      <c r="L120" s="234" t="s">
        <v>56</v>
      </c>
      <c r="M120" s="234" t="s">
        <v>11</v>
      </c>
      <c r="N120" s="234" t="s">
        <v>333</v>
      </c>
      <c r="O120" s="864" t="s">
        <v>51</v>
      </c>
      <c r="P120" s="865"/>
    </row>
    <row r="121" spans="1:74" s="135" customFormat="1" ht="50.1" customHeight="1">
      <c r="A121" s="851">
        <v>1</v>
      </c>
      <c r="B121" s="854" t="s">
        <v>453</v>
      </c>
      <c r="C121" s="236">
        <v>1</v>
      </c>
      <c r="D121" s="237"/>
      <c r="E121" s="238"/>
      <c r="F121" s="238"/>
      <c r="G121" s="357"/>
      <c r="H121" s="305"/>
      <c r="I121" s="306"/>
      <c r="J121" s="236"/>
      <c r="K121" s="242"/>
      <c r="L121" s="236"/>
      <c r="M121" s="322">
        <f>L121*J121</f>
        <v>0</v>
      </c>
      <c r="N121" s="243"/>
      <c r="O121" s="766"/>
      <c r="P121" s="767"/>
      <c r="Q121" s="231"/>
      <c r="R121" s="390"/>
      <c r="S121" s="261"/>
      <c r="T121" s="231"/>
    </row>
    <row r="122" spans="1:74" s="135" customFormat="1" ht="50.1" customHeight="1">
      <c r="A122" s="852"/>
      <c r="B122" s="855"/>
      <c r="C122" s="236">
        <v>2</v>
      </c>
      <c r="D122" s="237"/>
      <c r="E122" s="238"/>
      <c r="F122" s="238"/>
      <c r="G122" s="357"/>
      <c r="H122" s="305"/>
      <c r="I122" s="306"/>
      <c r="J122" s="236"/>
      <c r="K122" s="242"/>
      <c r="L122" s="236"/>
      <c r="M122" s="322">
        <f t="shared" ref="M122:M125" si="12">L122*J122</f>
        <v>0</v>
      </c>
      <c r="N122" s="243"/>
      <c r="O122" s="866"/>
      <c r="P122" s="858"/>
      <c r="Q122" s="231"/>
      <c r="R122" s="391"/>
      <c r="S122" s="391"/>
      <c r="T122" s="231"/>
      <c r="U122" s="231"/>
      <c r="V122" s="231"/>
      <c r="W122" s="231"/>
      <c r="X122" s="231"/>
      <c r="Y122" s="231"/>
      <c r="Z122" s="231"/>
      <c r="AA122" s="231"/>
      <c r="AB122" s="231"/>
      <c r="AC122" s="231"/>
      <c r="AD122" s="231"/>
      <c r="AE122" s="231"/>
      <c r="AF122" s="231"/>
      <c r="AG122" s="231"/>
      <c r="AH122" s="231"/>
      <c r="AI122" s="231"/>
      <c r="AJ122" s="231"/>
      <c r="AK122" s="231"/>
      <c r="AL122" s="231"/>
      <c r="AM122" s="231"/>
      <c r="AN122" s="231"/>
      <c r="AO122" s="231"/>
      <c r="AP122" s="231"/>
      <c r="AQ122" s="231"/>
      <c r="AR122" s="231"/>
      <c r="AS122" s="231"/>
      <c r="AT122" s="231"/>
      <c r="AU122" s="231"/>
      <c r="AV122" s="231"/>
      <c r="AW122" s="231"/>
      <c r="AX122" s="231"/>
      <c r="AY122" s="231"/>
      <c r="AZ122" s="231"/>
      <c r="BA122" s="231"/>
      <c r="BB122" s="231"/>
      <c r="BC122" s="231"/>
      <c r="BD122" s="231"/>
      <c r="BE122" s="231"/>
      <c r="BF122" s="231"/>
      <c r="BG122" s="231"/>
      <c r="BH122" s="231"/>
      <c r="BI122" s="231"/>
      <c r="BJ122" s="231"/>
      <c r="BK122" s="231"/>
      <c r="BL122" s="231"/>
      <c r="BM122" s="231"/>
      <c r="BN122" s="231"/>
      <c r="BO122" s="231"/>
      <c r="BP122" s="231"/>
      <c r="BQ122" s="231"/>
      <c r="BR122" s="231"/>
      <c r="BS122" s="231"/>
      <c r="BT122" s="231"/>
      <c r="BU122" s="231"/>
      <c r="BV122" s="231"/>
    </row>
    <row r="123" spans="1:74" s="135" customFormat="1" ht="50.1" customHeight="1">
      <c r="A123" s="852"/>
      <c r="B123" s="855"/>
      <c r="C123" s="236">
        <v>3</v>
      </c>
      <c r="D123" s="237"/>
      <c r="E123" s="238"/>
      <c r="F123" s="238"/>
      <c r="G123" s="357"/>
      <c r="H123" s="305"/>
      <c r="I123" s="306"/>
      <c r="J123" s="236"/>
      <c r="K123" s="242"/>
      <c r="L123" s="236"/>
      <c r="M123" s="322">
        <f t="shared" si="12"/>
        <v>0</v>
      </c>
      <c r="N123" s="243"/>
      <c r="O123" s="867"/>
      <c r="P123" s="823"/>
      <c r="Q123" s="231"/>
      <c r="R123" s="390"/>
      <c r="S123" s="390"/>
      <c r="T123" s="231"/>
      <c r="U123" s="231"/>
      <c r="V123" s="231"/>
      <c r="W123" s="231"/>
      <c r="X123" s="231"/>
      <c r="Y123" s="231"/>
      <c r="Z123" s="231"/>
      <c r="AA123" s="231"/>
      <c r="AB123" s="231"/>
      <c r="AC123" s="231"/>
      <c r="AD123" s="231"/>
      <c r="AE123" s="231"/>
      <c r="AF123" s="231"/>
      <c r="AG123" s="231"/>
      <c r="AH123" s="231"/>
      <c r="AI123" s="231"/>
      <c r="AJ123" s="231"/>
      <c r="AK123" s="231"/>
      <c r="AL123" s="231"/>
      <c r="AM123" s="231"/>
      <c r="AN123" s="231"/>
      <c r="AO123" s="231"/>
      <c r="AP123" s="231"/>
      <c r="AQ123" s="231"/>
      <c r="AR123" s="231"/>
      <c r="AS123" s="231"/>
      <c r="AT123" s="231"/>
      <c r="AU123" s="231"/>
      <c r="AV123" s="231"/>
      <c r="AW123" s="231"/>
      <c r="AX123" s="231"/>
      <c r="AY123" s="231"/>
      <c r="AZ123" s="231"/>
      <c r="BA123" s="231"/>
      <c r="BB123" s="231"/>
      <c r="BC123" s="231"/>
      <c r="BD123" s="231"/>
      <c r="BE123" s="231"/>
      <c r="BF123" s="231"/>
      <c r="BG123" s="231"/>
      <c r="BH123" s="231"/>
      <c r="BI123" s="231"/>
      <c r="BJ123" s="231"/>
      <c r="BK123" s="231"/>
      <c r="BL123" s="231"/>
      <c r="BM123" s="231"/>
      <c r="BN123" s="231"/>
      <c r="BO123" s="231"/>
      <c r="BP123" s="231"/>
      <c r="BQ123" s="231"/>
      <c r="BR123" s="231"/>
      <c r="BS123" s="231"/>
      <c r="BT123" s="231"/>
      <c r="BU123" s="231"/>
      <c r="BV123" s="231"/>
    </row>
    <row r="124" spans="1:74" s="135" customFormat="1" ht="50.1" customHeight="1">
      <c r="A124" s="852"/>
      <c r="B124" s="855"/>
      <c r="C124" s="236">
        <v>4</v>
      </c>
      <c r="D124" s="237"/>
      <c r="E124" s="238"/>
      <c r="F124" s="238"/>
      <c r="G124" s="357"/>
      <c r="H124" s="305"/>
      <c r="I124" s="306"/>
      <c r="J124" s="236"/>
      <c r="K124" s="242"/>
      <c r="L124" s="236"/>
      <c r="M124" s="322">
        <f t="shared" si="12"/>
        <v>0</v>
      </c>
      <c r="N124" s="243"/>
      <c r="O124" s="867"/>
      <c r="P124" s="823"/>
      <c r="Q124" s="231"/>
      <c r="R124" s="391"/>
      <c r="S124" s="391"/>
      <c r="T124" s="231"/>
      <c r="U124" s="231"/>
      <c r="V124" s="231"/>
      <c r="W124" s="231"/>
      <c r="X124" s="231"/>
      <c r="Y124" s="231"/>
      <c r="Z124" s="231"/>
      <c r="AA124" s="231"/>
      <c r="AB124" s="231"/>
      <c r="AC124" s="231"/>
      <c r="AD124" s="231"/>
      <c r="AE124" s="231"/>
      <c r="AF124" s="231"/>
      <c r="AG124" s="231"/>
      <c r="AH124" s="231"/>
      <c r="AI124" s="231"/>
      <c r="AJ124" s="231"/>
      <c r="AK124" s="231"/>
      <c r="AL124" s="231"/>
      <c r="AM124" s="231"/>
      <c r="AN124" s="231"/>
      <c r="AO124" s="231"/>
      <c r="AP124" s="231"/>
      <c r="AQ124" s="231"/>
      <c r="AR124" s="231"/>
      <c r="AS124" s="231"/>
      <c r="AT124" s="231"/>
      <c r="AU124" s="231"/>
      <c r="AV124" s="231"/>
      <c r="AW124" s="231"/>
      <c r="AX124" s="231"/>
      <c r="AY124" s="231"/>
      <c r="AZ124" s="231"/>
      <c r="BA124" s="231"/>
      <c r="BB124" s="231"/>
      <c r="BC124" s="231"/>
      <c r="BD124" s="231"/>
      <c r="BE124" s="231"/>
      <c r="BF124" s="231"/>
      <c r="BG124" s="231"/>
      <c r="BH124" s="231"/>
      <c r="BI124" s="231"/>
      <c r="BJ124" s="231"/>
      <c r="BK124" s="231"/>
      <c r="BL124" s="231"/>
      <c r="BM124" s="231"/>
      <c r="BN124" s="231"/>
      <c r="BO124" s="231"/>
      <c r="BP124" s="231"/>
      <c r="BQ124" s="231"/>
      <c r="BR124" s="231"/>
      <c r="BS124" s="231"/>
      <c r="BT124" s="231"/>
      <c r="BU124" s="231"/>
      <c r="BV124" s="231"/>
    </row>
    <row r="125" spans="1:74" s="135" customFormat="1" ht="50.1" customHeight="1" thickBot="1">
      <c r="A125" s="852"/>
      <c r="B125" s="855"/>
      <c r="C125" s="236">
        <v>5</v>
      </c>
      <c r="D125" s="244"/>
      <c r="E125" s="245"/>
      <c r="F125" s="245"/>
      <c r="G125" s="357"/>
      <c r="H125" s="305"/>
      <c r="I125" s="306"/>
      <c r="J125" s="247"/>
      <c r="K125" s="248"/>
      <c r="L125" s="247"/>
      <c r="M125" s="323">
        <f t="shared" si="12"/>
        <v>0</v>
      </c>
      <c r="N125" s="243"/>
      <c r="O125" s="867"/>
      <c r="P125" s="823"/>
      <c r="Q125" s="231"/>
      <c r="R125" s="390"/>
      <c r="S125" s="390"/>
      <c r="T125" s="231"/>
      <c r="U125" s="392"/>
      <c r="V125" s="231"/>
      <c r="W125" s="231"/>
      <c r="X125" s="231"/>
      <c r="Y125" s="231"/>
      <c r="Z125" s="231"/>
      <c r="AA125" s="231"/>
      <c r="AB125" s="231"/>
      <c r="AC125" s="231"/>
      <c r="AD125" s="231"/>
      <c r="AE125" s="231"/>
      <c r="AF125" s="231"/>
      <c r="AG125" s="231"/>
      <c r="AH125" s="231"/>
      <c r="AI125" s="231"/>
      <c r="AJ125" s="231"/>
      <c r="AK125" s="231"/>
      <c r="AL125" s="231"/>
      <c r="AM125" s="231"/>
      <c r="AN125" s="231"/>
      <c r="AO125" s="231"/>
      <c r="AP125" s="231"/>
      <c r="AQ125" s="231"/>
      <c r="AR125" s="231"/>
      <c r="AS125" s="231"/>
      <c r="AT125" s="231"/>
      <c r="AU125" s="231"/>
      <c r="AV125" s="231"/>
      <c r="AW125" s="231"/>
      <c r="AX125" s="231"/>
      <c r="AY125" s="231"/>
      <c r="AZ125" s="231"/>
      <c r="BA125" s="231"/>
      <c r="BB125" s="231"/>
      <c r="BC125" s="231"/>
      <c r="BD125" s="231"/>
      <c r="BE125" s="231"/>
      <c r="BF125" s="231"/>
      <c r="BG125" s="231"/>
      <c r="BH125" s="231"/>
      <c r="BI125" s="231"/>
      <c r="BJ125" s="231"/>
      <c r="BK125" s="231"/>
      <c r="BL125" s="231"/>
      <c r="BM125" s="231"/>
      <c r="BN125" s="231"/>
      <c r="BO125" s="231"/>
      <c r="BP125" s="231"/>
      <c r="BQ125" s="231"/>
      <c r="BR125" s="231"/>
      <c r="BS125" s="231"/>
      <c r="BT125" s="231"/>
      <c r="BU125" s="231"/>
      <c r="BV125" s="231"/>
    </row>
    <row r="126" spans="1:74" s="135" customFormat="1" ht="15.75" customHeight="1" thickTop="1">
      <c r="A126" s="853"/>
      <c r="B126" s="856"/>
      <c r="C126" s="724"/>
      <c r="D126" s="725"/>
      <c r="E126" s="725"/>
      <c r="F126" s="725"/>
      <c r="G126" s="725"/>
      <c r="H126" s="725"/>
      <c r="I126" s="859"/>
      <c r="J126" s="249" t="s">
        <v>58</v>
      </c>
      <c r="K126" s="212">
        <f>M126/'生產管理報表 7-1 (週)'!$B$53</f>
        <v>0</v>
      </c>
      <c r="L126" s="249" t="s">
        <v>59</v>
      </c>
      <c r="M126" s="324">
        <f>SUM(M121:M125)</f>
        <v>0</v>
      </c>
      <c r="N126" s="812"/>
      <c r="O126" s="813"/>
      <c r="P126" s="814"/>
      <c r="Q126" s="231"/>
      <c r="R126" s="210"/>
      <c r="S126" s="210"/>
      <c r="T126" s="231"/>
      <c r="U126" s="231"/>
      <c r="V126" s="231"/>
      <c r="W126" s="231"/>
      <c r="X126" s="231"/>
      <c r="Y126" s="231"/>
      <c r="Z126" s="231"/>
      <c r="AA126" s="231"/>
      <c r="AB126" s="231"/>
      <c r="AC126" s="231"/>
      <c r="AD126" s="231"/>
      <c r="AE126" s="231"/>
      <c r="AF126" s="231"/>
      <c r="AG126" s="231"/>
      <c r="AH126" s="231"/>
      <c r="AI126" s="231"/>
      <c r="AJ126" s="231"/>
      <c r="AK126" s="231"/>
      <c r="AL126" s="231"/>
      <c r="AM126" s="231"/>
      <c r="AN126" s="231"/>
      <c r="AO126" s="231"/>
      <c r="AP126" s="231"/>
      <c r="AQ126" s="231"/>
      <c r="AR126" s="231"/>
      <c r="AS126" s="231"/>
      <c r="AT126" s="231"/>
      <c r="AU126" s="231"/>
      <c r="AV126" s="231"/>
      <c r="AW126" s="231"/>
      <c r="AX126" s="231"/>
      <c r="AY126" s="231"/>
      <c r="AZ126" s="231"/>
      <c r="BA126" s="231"/>
      <c r="BB126" s="231"/>
      <c r="BC126" s="231"/>
      <c r="BD126" s="231"/>
      <c r="BE126" s="231"/>
      <c r="BF126" s="231"/>
      <c r="BG126" s="231"/>
      <c r="BH126" s="231"/>
      <c r="BI126" s="231"/>
      <c r="BJ126" s="231"/>
      <c r="BK126" s="231"/>
      <c r="BL126" s="231"/>
      <c r="BM126" s="231"/>
      <c r="BN126" s="231"/>
      <c r="BO126" s="231"/>
      <c r="BP126" s="231"/>
      <c r="BQ126" s="231"/>
      <c r="BR126" s="231"/>
      <c r="BS126" s="231"/>
      <c r="BT126" s="231"/>
      <c r="BU126" s="231"/>
      <c r="BV126" s="231"/>
    </row>
    <row r="127" spans="1:74" s="135" customFormat="1" ht="15.75" customHeight="1">
      <c r="B127" s="232"/>
      <c r="C127" s="233"/>
      <c r="D127" s="233"/>
      <c r="E127" s="233"/>
      <c r="F127" s="233"/>
      <c r="G127" s="233"/>
      <c r="H127" s="233"/>
      <c r="I127" s="233"/>
      <c r="J127" s="233"/>
      <c r="K127" s="233"/>
      <c r="L127" s="233"/>
      <c r="M127" s="233"/>
      <c r="N127" s="251"/>
      <c r="O127" s="251"/>
      <c r="P127" s="251"/>
      <c r="Q127" s="231"/>
      <c r="R127" s="261"/>
      <c r="S127" s="261"/>
      <c r="T127" s="231"/>
      <c r="U127" s="231"/>
      <c r="V127" s="231"/>
      <c r="W127" s="231"/>
      <c r="X127" s="231"/>
      <c r="Y127" s="231"/>
      <c r="Z127" s="231"/>
      <c r="AA127" s="231"/>
      <c r="AB127" s="231"/>
      <c r="AC127" s="231"/>
      <c r="AD127" s="231"/>
      <c r="AE127" s="231"/>
      <c r="AF127" s="231"/>
      <c r="AG127" s="231"/>
      <c r="AH127" s="231"/>
      <c r="AI127" s="231"/>
      <c r="AJ127" s="231"/>
      <c r="AK127" s="231"/>
      <c r="AL127" s="231"/>
      <c r="AM127" s="231"/>
      <c r="AN127" s="231"/>
      <c r="AO127" s="231"/>
      <c r="AP127" s="231"/>
      <c r="AQ127" s="231"/>
      <c r="AR127" s="231"/>
      <c r="AS127" s="231"/>
      <c r="AT127" s="231"/>
      <c r="AU127" s="231"/>
      <c r="AV127" s="231"/>
      <c r="AW127" s="231"/>
      <c r="AX127" s="231"/>
      <c r="AY127" s="231"/>
      <c r="AZ127" s="231"/>
      <c r="BA127" s="231"/>
      <c r="BB127" s="231"/>
      <c r="BC127" s="231"/>
      <c r="BD127" s="231"/>
      <c r="BE127" s="231"/>
      <c r="BF127" s="231"/>
      <c r="BG127" s="231"/>
      <c r="BH127" s="231"/>
      <c r="BI127" s="231"/>
      <c r="BJ127" s="231"/>
      <c r="BK127" s="231"/>
      <c r="BL127" s="231"/>
      <c r="BM127" s="231"/>
      <c r="BN127" s="231"/>
      <c r="BO127" s="231"/>
      <c r="BP127" s="231"/>
      <c r="BQ127" s="231"/>
      <c r="BR127" s="231"/>
      <c r="BS127" s="231"/>
      <c r="BT127" s="231"/>
      <c r="BU127" s="231"/>
      <c r="BV127" s="231"/>
    </row>
    <row r="128" spans="1:74" s="135" customFormat="1" ht="15.75" customHeight="1">
      <c r="A128" s="748" t="s">
        <v>191</v>
      </c>
      <c r="B128" s="749"/>
      <c r="C128" s="252" t="s">
        <v>47</v>
      </c>
      <c r="D128" s="736" t="s">
        <v>12</v>
      </c>
      <c r="E128" s="737"/>
      <c r="F128" s="738"/>
      <c r="G128" s="736" t="s">
        <v>53</v>
      </c>
      <c r="H128" s="737"/>
      <c r="I128" s="738"/>
      <c r="J128" s="254" t="s">
        <v>54</v>
      </c>
      <c r="K128" s="254" t="s">
        <v>55</v>
      </c>
      <c r="L128" s="254" t="s">
        <v>56</v>
      </c>
      <c r="M128" s="254" t="s">
        <v>11</v>
      </c>
      <c r="N128" s="255" t="s">
        <v>333</v>
      </c>
      <c r="O128" s="815" t="s">
        <v>51</v>
      </c>
      <c r="P128" s="816"/>
      <c r="Q128" s="231"/>
      <c r="R128" s="210"/>
      <c r="S128" s="210"/>
      <c r="T128" s="231"/>
      <c r="U128" s="231"/>
      <c r="V128" s="231"/>
      <c r="W128" s="231"/>
      <c r="X128" s="231"/>
      <c r="Y128" s="231"/>
      <c r="Z128" s="231"/>
      <c r="AA128" s="231"/>
      <c r="AB128" s="231"/>
      <c r="AC128" s="231"/>
      <c r="AD128" s="231"/>
      <c r="AE128" s="231"/>
      <c r="AF128" s="231"/>
      <c r="AG128" s="231"/>
      <c r="AH128" s="231"/>
      <c r="AI128" s="231"/>
    </row>
    <row r="129" spans="1:35" s="135" customFormat="1" ht="20.100000000000001" customHeight="1">
      <c r="A129" s="851">
        <v>2</v>
      </c>
      <c r="B129" s="854" t="s">
        <v>213</v>
      </c>
      <c r="C129" s="256">
        <v>1</v>
      </c>
      <c r="D129" s="237"/>
      <c r="E129" s="238"/>
      <c r="F129" s="239"/>
      <c r="G129" s="237"/>
      <c r="H129" s="238"/>
      <c r="I129" s="239"/>
      <c r="J129" s="257"/>
      <c r="K129" s="258"/>
      <c r="L129" s="257"/>
      <c r="M129" s="259">
        <f t="shared" ref="M129:M133" si="13">L129*J129</f>
        <v>0</v>
      </c>
      <c r="N129" s="260"/>
      <c r="O129" s="817"/>
      <c r="P129" s="818"/>
      <c r="Q129" s="231"/>
      <c r="R129" s="261"/>
      <c r="S129" s="261"/>
      <c r="T129" s="231"/>
      <c r="U129" s="231"/>
      <c r="V129" s="231"/>
      <c r="W129" s="231"/>
      <c r="X129" s="231"/>
      <c r="Y129" s="231"/>
      <c r="Z129" s="231"/>
      <c r="AA129" s="231"/>
      <c r="AB129" s="231"/>
      <c r="AC129" s="231"/>
      <c r="AD129" s="231"/>
      <c r="AE129" s="231"/>
      <c r="AF129" s="231"/>
      <c r="AG129" s="231"/>
      <c r="AH129" s="231"/>
      <c r="AI129" s="231"/>
    </row>
    <row r="130" spans="1:35" s="135" customFormat="1" ht="20.100000000000001" customHeight="1">
      <c r="A130" s="852"/>
      <c r="B130" s="855"/>
      <c r="C130" s="256">
        <v>2</v>
      </c>
      <c r="D130" s="237"/>
      <c r="E130" s="238"/>
      <c r="F130" s="239"/>
      <c r="G130" s="237"/>
      <c r="H130" s="238"/>
      <c r="I130" s="239"/>
      <c r="J130" s="257"/>
      <c r="K130" s="258"/>
      <c r="L130" s="257"/>
      <c r="M130" s="259">
        <f t="shared" si="13"/>
        <v>0</v>
      </c>
      <c r="N130" s="260"/>
      <c r="O130" s="817"/>
      <c r="P130" s="818"/>
      <c r="Q130" s="231"/>
      <c r="R130" s="210"/>
      <c r="S130" s="210"/>
      <c r="T130" s="231"/>
      <c r="U130" s="231"/>
      <c r="V130" s="231"/>
      <c r="W130" s="231"/>
      <c r="X130" s="231"/>
      <c r="Y130" s="231"/>
      <c r="Z130" s="231"/>
      <c r="AA130" s="231"/>
      <c r="AB130" s="231"/>
      <c r="AC130" s="231"/>
      <c r="AD130" s="231"/>
      <c r="AE130" s="231"/>
      <c r="AF130" s="231"/>
      <c r="AG130" s="231"/>
      <c r="AH130" s="231"/>
      <c r="AI130" s="231"/>
    </row>
    <row r="131" spans="1:35" s="135" customFormat="1" ht="20.100000000000001" customHeight="1">
      <c r="A131" s="852"/>
      <c r="B131" s="855"/>
      <c r="C131" s="256">
        <v>3</v>
      </c>
      <c r="D131" s="237"/>
      <c r="E131" s="238"/>
      <c r="F131" s="239"/>
      <c r="G131" s="237"/>
      <c r="H131" s="238"/>
      <c r="I131" s="268"/>
      <c r="J131" s="257"/>
      <c r="K131" s="258"/>
      <c r="L131" s="257"/>
      <c r="M131" s="259">
        <f t="shared" si="13"/>
        <v>0</v>
      </c>
      <c r="N131" s="260"/>
      <c r="O131" s="817"/>
      <c r="P131" s="818"/>
      <c r="Q131" s="231"/>
      <c r="R131" s="261"/>
      <c r="S131" s="261"/>
      <c r="T131" s="231"/>
      <c r="U131" s="231"/>
      <c r="V131" s="231"/>
      <c r="W131" s="231"/>
      <c r="X131" s="231"/>
      <c r="Y131" s="231"/>
      <c r="Z131" s="231"/>
      <c r="AA131" s="231"/>
      <c r="AB131" s="231"/>
      <c r="AC131" s="231"/>
      <c r="AD131" s="231"/>
      <c r="AE131" s="231"/>
      <c r="AF131" s="231"/>
      <c r="AG131" s="231"/>
    </row>
    <row r="132" spans="1:35" s="135" customFormat="1" ht="20.100000000000001" customHeight="1">
      <c r="A132" s="852"/>
      <c r="B132" s="855"/>
      <c r="C132" s="256">
        <v>4</v>
      </c>
      <c r="D132" s="237"/>
      <c r="E132" s="238"/>
      <c r="F132" s="239"/>
      <c r="G132" s="237"/>
      <c r="H132" s="238"/>
      <c r="I132" s="239"/>
      <c r="J132" s="257"/>
      <c r="K132" s="258"/>
      <c r="L132" s="257"/>
      <c r="M132" s="259">
        <f t="shared" si="13"/>
        <v>0</v>
      </c>
      <c r="N132" s="260"/>
      <c r="O132" s="817"/>
      <c r="P132" s="818"/>
      <c r="Q132" s="231"/>
      <c r="R132" s="210"/>
      <c r="S132" s="210"/>
      <c r="T132" s="231"/>
      <c r="U132" s="231"/>
      <c r="V132" s="231"/>
      <c r="W132" s="231"/>
      <c r="X132" s="231"/>
      <c r="Y132" s="231"/>
      <c r="Z132" s="231"/>
      <c r="AA132" s="231"/>
      <c r="AB132" s="231"/>
      <c r="AC132" s="231"/>
      <c r="AD132" s="231"/>
      <c r="AE132" s="231"/>
      <c r="AF132" s="231"/>
      <c r="AG132" s="231"/>
    </row>
    <row r="133" spans="1:35" s="135" customFormat="1" ht="20.100000000000001" customHeight="1" thickBot="1">
      <c r="A133" s="852"/>
      <c r="B133" s="855"/>
      <c r="C133" s="262">
        <v>5</v>
      </c>
      <c r="D133" s="244"/>
      <c r="E133" s="245"/>
      <c r="F133" s="246"/>
      <c r="G133" s="237"/>
      <c r="H133" s="238"/>
      <c r="I133" s="239"/>
      <c r="J133" s="263"/>
      <c r="K133" s="264"/>
      <c r="L133" s="263"/>
      <c r="M133" s="265">
        <f t="shared" si="13"/>
        <v>0</v>
      </c>
      <c r="N133" s="266"/>
      <c r="O133" s="817"/>
      <c r="P133" s="818"/>
      <c r="Q133" s="231"/>
      <c r="R133" s="231"/>
      <c r="S133" s="231"/>
      <c r="T133" s="231"/>
      <c r="U133" s="231"/>
      <c r="V133" s="231"/>
      <c r="W133" s="231"/>
      <c r="X133" s="231"/>
      <c r="Y133" s="231"/>
      <c r="Z133" s="231"/>
      <c r="AA133" s="231"/>
      <c r="AB133" s="231"/>
      <c r="AC133" s="231"/>
      <c r="AD133" s="231"/>
      <c r="AE133" s="231"/>
      <c r="AF133" s="231"/>
      <c r="AG133" s="231"/>
    </row>
    <row r="134" spans="1:35" s="135" customFormat="1" ht="15.75" customHeight="1" thickTop="1">
      <c r="A134" s="853"/>
      <c r="B134" s="856"/>
      <c r="C134" s="724"/>
      <c r="D134" s="725"/>
      <c r="E134" s="725"/>
      <c r="F134" s="725"/>
      <c r="G134" s="725"/>
      <c r="H134" s="725"/>
      <c r="I134" s="859"/>
      <c r="J134" s="249" t="s">
        <v>58</v>
      </c>
      <c r="K134" s="212">
        <f>M134/'生產管理報表 7-1 (週)'!$B$53</f>
        <v>0</v>
      </c>
      <c r="L134" s="249" t="s">
        <v>59</v>
      </c>
      <c r="M134" s="250">
        <f>SUM(M129:M133)</f>
        <v>0</v>
      </c>
      <c r="N134" s="819"/>
      <c r="O134" s="820"/>
      <c r="P134" s="821"/>
      <c r="Q134" s="231"/>
      <c r="R134" s="231"/>
      <c r="S134" s="231"/>
      <c r="T134" s="231"/>
      <c r="U134" s="231"/>
      <c r="V134" s="231"/>
      <c r="W134" s="231"/>
      <c r="X134" s="231"/>
      <c r="Y134" s="231"/>
      <c r="Z134" s="231"/>
      <c r="AA134" s="231"/>
      <c r="AB134" s="231"/>
      <c r="AC134" s="231"/>
      <c r="AD134" s="231"/>
      <c r="AE134" s="231"/>
      <c r="AF134" s="231"/>
      <c r="AG134" s="231"/>
    </row>
    <row r="135" spans="1:35" s="135" customFormat="1" ht="15.75" customHeight="1">
      <c r="B135" s="232"/>
      <c r="C135" s="233"/>
      <c r="D135" s="233"/>
      <c r="E135" s="233"/>
      <c r="F135" s="233"/>
      <c r="G135" s="233"/>
      <c r="H135" s="233"/>
      <c r="I135" s="233"/>
      <c r="J135" s="233"/>
      <c r="K135" s="233"/>
      <c r="L135" s="233"/>
      <c r="M135" s="233"/>
      <c r="N135" s="267"/>
      <c r="O135" s="267"/>
      <c r="P135" s="267"/>
      <c r="Q135" s="231"/>
      <c r="R135" s="231"/>
      <c r="S135" s="231"/>
      <c r="T135" s="231"/>
      <c r="U135" s="231"/>
      <c r="V135" s="231"/>
      <c r="W135" s="231"/>
      <c r="X135" s="231"/>
      <c r="Y135" s="231"/>
      <c r="Z135" s="231"/>
      <c r="AA135" s="231"/>
      <c r="AB135" s="231"/>
      <c r="AC135" s="231"/>
      <c r="AD135" s="231"/>
      <c r="AE135" s="231"/>
      <c r="AF135" s="231"/>
      <c r="AG135" s="231"/>
    </row>
    <row r="136" spans="1:35" s="135" customFormat="1" ht="15.75" customHeight="1">
      <c r="A136" s="748" t="s">
        <v>191</v>
      </c>
      <c r="B136" s="749"/>
      <c r="C136" s="252" t="s">
        <v>47</v>
      </c>
      <c r="D136" s="736" t="s">
        <v>12</v>
      </c>
      <c r="E136" s="737"/>
      <c r="F136" s="738"/>
      <c r="G136" s="736" t="s">
        <v>53</v>
      </c>
      <c r="H136" s="737"/>
      <c r="I136" s="850"/>
      <c r="J136" s="253" t="s">
        <v>54</v>
      </c>
      <c r="K136" s="254" t="s">
        <v>55</v>
      </c>
      <c r="L136" s="254" t="s">
        <v>56</v>
      </c>
      <c r="M136" s="254" t="s">
        <v>11</v>
      </c>
      <c r="N136" s="255" t="s">
        <v>333</v>
      </c>
      <c r="O136" s="827" t="s">
        <v>51</v>
      </c>
      <c r="P136" s="828"/>
      <c r="Q136" s="231"/>
      <c r="R136" s="231"/>
      <c r="S136" s="231"/>
      <c r="T136" s="231"/>
      <c r="U136" s="231"/>
      <c r="V136" s="231"/>
      <c r="W136" s="231"/>
      <c r="X136" s="231"/>
      <c r="Y136" s="231"/>
      <c r="Z136" s="231"/>
      <c r="AA136" s="231"/>
      <c r="AB136" s="231"/>
      <c r="AC136" s="231"/>
      <c r="AD136" s="231"/>
      <c r="AE136" s="231"/>
      <c r="AF136" s="231"/>
      <c r="AG136" s="231"/>
      <c r="AH136" s="231"/>
      <c r="AI136" s="231"/>
    </row>
    <row r="137" spans="1:35" s="135" customFormat="1" ht="50.1" customHeight="1">
      <c r="A137" s="851">
        <v>3</v>
      </c>
      <c r="B137" s="854" t="s">
        <v>422</v>
      </c>
      <c r="C137" s="256">
        <v>1</v>
      </c>
      <c r="D137" s="237"/>
      <c r="E137" s="238"/>
      <c r="F137" s="239"/>
      <c r="G137" s="246"/>
      <c r="H137" s="245"/>
      <c r="I137" s="246"/>
      <c r="J137" s="257"/>
      <c r="K137" s="258"/>
      <c r="L137" s="257"/>
      <c r="M137" s="325">
        <f t="shared" ref="M137:M141" si="14">L137*J137</f>
        <v>0</v>
      </c>
      <c r="N137" s="270"/>
      <c r="O137" s="857"/>
      <c r="P137" s="858"/>
      <c r="Q137" s="231"/>
      <c r="R137" s="392"/>
      <c r="S137" s="392"/>
      <c r="T137" s="231"/>
      <c r="U137" s="231"/>
      <c r="V137" s="231"/>
      <c r="W137" s="231"/>
      <c r="X137" s="231"/>
      <c r="Y137" s="231"/>
      <c r="Z137" s="231"/>
      <c r="AA137" s="231"/>
      <c r="AB137" s="231"/>
      <c r="AC137" s="231"/>
      <c r="AD137" s="231"/>
      <c r="AE137" s="231"/>
      <c r="AF137" s="231"/>
      <c r="AG137" s="231"/>
      <c r="AH137" s="231"/>
      <c r="AI137" s="231"/>
    </row>
    <row r="138" spans="1:35" s="135" customFormat="1" ht="50.1" customHeight="1">
      <c r="A138" s="852"/>
      <c r="B138" s="855"/>
      <c r="C138" s="256">
        <v>2</v>
      </c>
      <c r="D138" s="237"/>
      <c r="E138" s="238"/>
      <c r="F138" s="239"/>
      <c r="G138" s="246"/>
      <c r="H138" s="245"/>
      <c r="I138" s="246"/>
      <c r="J138" s="257"/>
      <c r="K138" s="258"/>
      <c r="L138" s="257"/>
      <c r="M138" s="325">
        <f t="shared" si="14"/>
        <v>0</v>
      </c>
      <c r="N138" s="270"/>
      <c r="O138" s="822"/>
      <c r="P138" s="823"/>
      <c r="Q138" s="231"/>
      <c r="R138" s="392"/>
      <c r="S138" s="398"/>
      <c r="T138" s="231"/>
      <c r="U138" s="231"/>
      <c r="V138" s="231"/>
      <c r="W138" s="231"/>
      <c r="X138" s="231"/>
      <c r="Y138" s="231"/>
      <c r="Z138" s="231"/>
      <c r="AA138" s="231"/>
      <c r="AB138" s="231"/>
      <c r="AC138" s="231"/>
      <c r="AD138" s="231"/>
      <c r="AE138" s="231"/>
      <c r="AF138" s="231"/>
      <c r="AG138" s="231"/>
      <c r="AH138" s="231"/>
      <c r="AI138" s="231"/>
    </row>
    <row r="139" spans="1:35" s="135" customFormat="1" ht="50.1" customHeight="1">
      <c r="A139" s="852"/>
      <c r="B139" s="855"/>
      <c r="C139" s="256">
        <v>3</v>
      </c>
      <c r="D139" s="237"/>
      <c r="E139" s="238"/>
      <c r="F139" s="239"/>
      <c r="G139" s="246"/>
      <c r="H139" s="245"/>
      <c r="I139" s="246"/>
      <c r="J139" s="257"/>
      <c r="K139" s="258"/>
      <c r="L139" s="257"/>
      <c r="M139" s="325">
        <f t="shared" si="14"/>
        <v>0</v>
      </c>
      <c r="N139" s="270"/>
      <c r="O139" s="822"/>
      <c r="P139" s="823"/>
      <c r="Q139" s="392"/>
      <c r="R139" s="392"/>
      <c r="S139" s="398"/>
      <c r="T139" s="231"/>
      <c r="U139" s="231"/>
      <c r="V139" s="231"/>
      <c r="W139" s="231"/>
      <c r="X139" s="231"/>
      <c r="Y139" s="231"/>
      <c r="Z139" s="231"/>
      <c r="AA139" s="231"/>
      <c r="AB139" s="231"/>
      <c r="AC139" s="231"/>
      <c r="AD139" s="231"/>
      <c r="AE139" s="231"/>
      <c r="AF139" s="231"/>
      <c r="AG139" s="231"/>
      <c r="AH139" s="231"/>
      <c r="AI139" s="231"/>
    </row>
    <row r="140" spans="1:35" s="135" customFormat="1" ht="50.1" customHeight="1">
      <c r="A140" s="852"/>
      <c r="B140" s="855"/>
      <c r="C140" s="256">
        <v>4</v>
      </c>
      <c r="D140" s="237"/>
      <c r="E140" s="238"/>
      <c r="F140" s="239"/>
      <c r="G140" s="358"/>
      <c r="H140" s="359"/>
      <c r="I140" s="378"/>
      <c r="J140" s="269"/>
      <c r="K140" s="258"/>
      <c r="L140" s="257"/>
      <c r="M140" s="325">
        <f t="shared" si="14"/>
        <v>0</v>
      </c>
      <c r="N140" s="270"/>
      <c r="O140" s="822"/>
      <c r="P140" s="823"/>
      <c r="Q140" s="231"/>
      <c r="R140" s="231"/>
      <c r="S140"/>
      <c r="T140" s="231"/>
      <c r="U140" s="231"/>
      <c r="V140" s="231"/>
      <c r="W140" s="231"/>
      <c r="X140" s="231"/>
      <c r="Y140" s="231"/>
      <c r="Z140" s="231"/>
      <c r="AA140" s="231"/>
      <c r="AB140" s="231"/>
      <c r="AC140" s="231"/>
      <c r="AD140" s="231"/>
      <c r="AE140" s="231"/>
      <c r="AF140" s="231"/>
      <c r="AG140" s="231"/>
      <c r="AH140" s="231"/>
      <c r="AI140" s="231"/>
    </row>
    <row r="141" spans="1:35" s="135" customFormat="1" ht="50.1" customHeight="1" thickBot="1">
      <c r="A141" s="852"/>
      <c r="B141" s="855"/>
      <c r="C141" s="262">
        <v>5</v>
      </c>
      <c r="D141" s="244"/>
      <c r="E141" s="245"/>
      <c r="F141" s="246"/>
      <c r="G141" s="244"/>
      <c r="H141" s="245"/>
      <c r="I141" s="271"/>
      <c r="J141" s="272"/>
      <c r="K141" s="264"/>
      <c r="L141" s="273"/>
      <c r="M141" s="325">
        <f t="shared" si="14"/>
        <v>0</v>
      </c>
      <c r="N141" s="270"/>
      <c r="O141" s="822"/>
      <c r="P141" s="823"/>
      <c r="Q141" s="231"/>
      <c r="R141" s="231"/>
      <c r="S141"/>
      <c r="T141" s="231"/>
      <c r="U141" s="231"/>
      <c r="V141" s="231"/>
      <c r="W141" s="231"/>
      <c r="X141" s="231"/>
      <c r="Y141" s="231"/>
      <c r="Z141" s="231"/>
      <c r="AA141" s="231"/>
      <c r="AB141" s="231"/>
      <c r="AC141" s="231"/>
      <c r="AD141" s="231"/>
      <c r="AE141" s="231"/>
      <c r="AF141" s="231"/>
      <c r="AG141" s="231"/>
      <c r="AH141" s="231"/>
      <c r="AI141" s="231"/>
    </row>
    <row r="142" spans="1:35" s="135" customFormat="1" ht="15.75" customHeight="1" thickTop="1">
      <c r="A142" s="853"/>
      <c r="B142" s="856"/>
      <c r="C142" s="724"/>
      <c r="D142" s="725"/>
      <c r="E142" s="725"/>
      <c r="F142" s="725"/>
      <c r="G142" s="725"/>
      <c r="H142" s="725"/>
      <c r="I142" s="859"/>
      <c r="J142" s="274" t="s">
        <v>58</v>
      </c>
      <c r="K142" s="212">
        <f>M142/'生產管理報表 7-1 (週)'!$B$53</f>
        <v>0</v>
      </c>
      <c r="L142" s="274" t="s">
        <v>59</v>
      </c>
      <c r="M142" s="326">
        <f>SUM(M137:M141)</f>
        <v>0</v>
      </c>
      <c r="N142" s="824"/>
      <c r="O142" s="825"/>
      <c r="P142" s="826"/>
      <c r="Q142" s="231"/>
      <c r="R142" s="231"/>
      <c r="S142"/>
      <c r="T142" s="231"/>
      <c r="U142" s="231"/>
      <c r="V142" s="231"/>
      <c r="W142" s="231"/>
      <c r="X142" s="231"/>
      <c r="Y142" s="231"/>
      <c r="Z142" s="231"/>
      <c r="AA142" s="231"/>
      <c r="AB142" s="231"/>
      <c r="AC142" s="231"/>
      <c r="AD142" s="231"/>
      <c r="AE142" s="231"/>
      <c r="AF142" s="231"/>
      <c r="AG142" s="231"/>
      <c r="AH142" s="231"/>
      <c r="AI142" s="231"/>
    </row>
  </sheetData>
  <mergeCells count="276"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B90:C90"/>
    <mergeCell ref="D90:E90"/>
    <mergeCell ref="F90:G90"/>
    <mergeCell ref="H90:I90"/>
    <mergeCell ref="J90:K90"/>
    <mergeCell ref="L90:M90"/>
    <mergeCell ref="N90:O9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B34:C34"/>
    <mergeCell ref="D34:E34"/>
    <mergeCell ref="F34:G34"/>
    <mergeCell ref="H34:I34"/>
    <mergeCell ref="J34:K34"/>
    <mergeCell ref="L34:M34"/>
    <mergeCell ref="N34:O34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B62:C62"/>
    <mergeCell ref="D62:E62"/>
    <mergeCell ref="F62:G62"/>
    <mergeCell ref="H62:I62"/>
    <mergeCell ref="J62:K62"/>
    <mergeCell ref="L62:M62"/>
    <mergeCell ref="N62:O62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B118:C118"/>
    <mergeCell ref="D118:E118"/>
    <mergeCell ref="F118:G118"/>
    <mergeCell ref="H118:I118"/>
    <mergeCell ref="J118:K118"/>
    <mergeCell ref="L118:M118"/>
    <mergeCell ref="N118:O118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O132:P132"/>
    <mergeCell ref="O133:P133"/>
    <mergeCell ref="C134:I134"/>
    <mergeCell ref="N134:P134"/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3" manualBreakCount="3">
    <brk id="30" max="15" man="1"/>
    <brk id="58" max="15" man="1"/>
    <brk id="86" max="1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>
    <tabColor rgb="FF92D050"/>
    <outlinePr summaryBelow="0" summaryRight="0"/>
  </sheetPr>
  <dimension ref="A1:U183"/>
  <sheetViews>
    <sheetView view="pageBreakPreview" topLeftCell="A160" zoomScale="91" zoomScaleNormal="60" zoomScaleSheetLayoutView="91" workbookViewId="0">
      <selection activeCell="K182" sqref="K182"/>
    </sheetView>
  </sheetViews>
  <sheetFormatPr defaultColWidth="12.5703125" defaultRowHeight="15.75" customHeight="1"/>
  <cols>
    <col min="1" max="1" width="5.42578125" style="2" customWidth="1"/>
    <col min="2" max="2" width="11.42578125" style="97" customWidth="1"/>
    <col min="3" max="3" width="4" style="96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1" s="98" customFormat="1" ht="15.75" customHeight="1">
      <c r="A1" s="547" t="s">
        <v>361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547"/>
      <c r="P1" s="547"/>
    </row>
    <row r="2" spans="1:21" s="99" customFormat="1" ht="15.75" customHeight="1">
      <c r="A2" s="547"/>
      <c r="B2" s="547"/>
      <c r="C2" s="547"/>
      <c r="D2" s="547"/>
      <c r="E2" s="547"/>
      <c r="F2" s="547"/>
      <c r="G2" s="547"/>
      <c r="H2" s="547"/>
      <c r="I2" s="547"/>
      <c r="J2" s="547"/>
      <c r="K2" s="547"/>
      <c r="L2" s="547"/>
      <c r="M2" s="547"/>
      <c r="N2" s="547"/>
      <c r="O2" s="547"/>
      <c r="P2" s="547"/>
    </row>
    <row r="3" spans="1:21" s="135" customFormat="1" ht="15.75" customHeight="1">
      <c r="A3" s="709" t="s">
        <v>744</v>
      </c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709"/>
      <c r="R3" s="231"/>
      <c r="S3" s="231"/>
      <c r="T3" s="231"/>
      <c r="U3" s="231"/>
    </row>
    <row r="4" spans="1:21" s="136" customFormat="1" ht="15.75" customHeight="1">
      <c r="A4" s="709"/>
      <c r="B4" s="709"/>
      <c r="C4" s="709"/>
      <c r="D4" s="709"/>
      <c r="E4" s="709"/>
      <c r="F4" s="709"/>
      <c r="G4" s="709"/>
      <c r="H4" s="709"/>
      <c r="I4" s="709"/>
      <c r="J4" s="709"/>
      <c r="K4" s="709"/>
      <c r="L4" s="709"/>
      <c r="M4" s="709"/>
    </row>
    <row r="5" spans="1:21" s="135" customFormat="1" ht="15.75" customHeight="1">
      <c r="A5" s="746" t="s">
        <v>191</v>
      </c>
      <c r="B5" s="748">
        <v>1</v>
      </c>
      <c r="C5" s="749"/>
      <c r="D5" s="748">
        <v>2</v>
      </c>
      <c r="E5" s="749"/>
      <c r="F5" s="748">
        <v>3</v>
      </c>
      <c r="G5" s="749"/>
      <c r="H5" s="739">
        <v>4</v>
      </c>
      <c r="I5" s="740"/>
      <c r="J5" s="739">
        <v>5</v>
      </c>
      <c r="K5" s="740"/>
      <c r="L5" s="739">
        <v>6</v>
      </c>
      <c r="M5" s="740"/>
      <c r="N5" s="739">
        <v>7</v>
      </c>
      <c r="O5" s="740"/>
      <c r="P5" s="352">
        <v>8</v>
      </c>
    </row>
    <row r="6" spans="1:21" s="135" customFormat="1" ht="15.75" customHeight="1">
      <c r="A6" s="747"/>
      <c r="B6" s="743" t="s">
        <v>452</v>
      </c>
      <c r="C6" s="744"/>
      <c r="D6" s="743" t="s">
        <v>212</v>
      </c>
      <c r="E6" s="744"/>
      <c r="F6" s="743" t="s">
        <v>166</v>
      </c>
      <c r="G6" s="744"/>
      <c r="H6" s="741" t="s">
        <v>428</v>
      </c>
      <c r="I6" s="742"/>
      <c r="J6" s="741" t="s">
        <v>189</v>
      </c>
      <c r="K6" s="742"/>
      <c r="L6" s="741" t="s">
        <v>167</v>
      </c>
      <c r="M6" s="742"/>
      <c r="N6" s="741" t="s">
        <v>190</v>
      </c>
      <c r="O6" s="742"/>
      <c r="P6" s="353" t="s">
        <v>217</v>
      </c>
    </row>
    <row r="7" spans="1:21" s="135" customFormat="1" ht="15.75" customHeight="1">
      <c r="B7" s="232"/>
      <c r="C7" s="233"/>
    </row>
    <row r="8" spans="1:21" s="278" customFormat="1" ht="15.75" customHeight="1">
      <c r="A8" s="750" t="s">
        <v>191</v>
      </c>
      <c r="B8" s="751"/>
      <c r="C8" s="275" t="s">
        <v>47</v>
      </c>
      <c r="D8" s="752" t="s">
        <v>12</v>
      </c>
      <c r="E8" s="753"/>
      <c r="F8" s="754"/>
      <c r="G8" s="755" t="s">
        <v>53</v>
      </c>
      <c r="H8" s="756"/>
      <c r="I8" s="757"/>
      <c r="J8" s="276" t="s">
        <v>54</v>
      </c>
      <c r="K8" s="276" t="s">
        <v>55</v>
      </c>
      <c r="L8" s="276" t="s">
        <v>56</v>
      </c>
      <c r="M8" s="277" t="s">
        <v>11</v>
      </c>
      <c r="N8" s="277" t="s">
        <v>333</v>
      </c>
      <c r="O8" s="758" t="s">
        <v>51</v>
      </c>
      <c r="P8" s="759"/>
      <c r="R8" s="210"/>
      <c r="S8" s="261"/>
    </row>
    <row r="9" spans="1:21" s="298" customFormat="1" ht="20.100000000000001" customHeight="1">
      <c r="A9" s="760">
        <v>4</v>
      </c>
      <c r="B9" s="763" t="s">
        <v>428</v>
      </c>
      <c r="C9" s="279">
        <v>1</v>
      </c>
      <c r="D9" s="237"/>
      <c r="E9" s="238"/>
      <c r="F9" s="239"/>
      <c r="G9" s="350"/>
      <c r="H9" s="305"/>
      <c r="I9" s="306"/>
      <c r="J9" s="312"/>
      <c r="K9" s="313"/>
      <c r="L9" s="314"/>
      <c r="M9" s="322">
        <f t="shared" ref="M9:M13" si="0">L9*J9</f>
        <v>0</v>
      </c>
      <c r="N9" s="314"/>
      <c r="O9" s="766"/>
      <c r="P9" s="767"/>
      <c r="R9" s="315"/>
      <c r="S9" s="261"/>
    </row>
    <row r="10" spans="1:21" s="298" customFormat="1" ht="20.100000000000001" customHeight="1">
      <c r="A10" s="761"/>
      <c r="B10" s="764"/>
      <c r="C10" s="279">
        <v>2</v>
      </c>
      <c r="D10" s="237"/>
      <c r="E10" s="238"/>
      <c r="F10" s="239"/>
      <c r="G10" s="350"/>
      <c r="H10" s="305"/>
      <c r="I10" s="306"/>
      <c r="J10" s="312"/>
      <c r="K10" s="313"/>
      <c r="L10" s="314"/>
      <c r="M10" s="322">
        <f t="shared" si="0"/>
        <v>0</v>
      </c>
      <c r="N10" s="314"/>
      <c r="O10" s="768"/>
      <c r="P10" s="769"/>
      <c r="R10" s="315"/>
      <c r="S10" s="210"/>
      <c r="T10" s="335"/>
    </row>
    <row r="11" spans="1:21" s="298" customFormat="1" ht="20.100000000000001" customHeight="1">
      <c r="A11" s="761"/>
      <c r="B11" s="764"/>
      <c r="C11" s="279">
        <v>3</v>
      </c>
      <c r="D11" s="237"/>
      <c r="E11" s="238"/>
      <c r="F11" s="239"/>
      <c r="G11" s="350"/>
      <c r="H11" s="305"/>
      <c r="I11" s="306"/>
      <c r="J11" s="312"/>
      <c r="K11" s="313"/>
      <c r="L11" s="314"/>
      <c r="M11" s="322">
        <f t="shared" si="0"/>
        <v>0</v>
      </c>
      <c r="N11" s="314"/>
      <c r="O11" s="766"/>
      <c r="P11" s="767"/>
      <c r="R11" s="315"/>
      <c r="S11" s="261"/>
    </row>
    <row r="12" spans="1:21" s="298" customFormat="1" ht="20.100000000000001" customHeight="1">
      <c r="A12" s="761"/>
      <c r="B12" s="764"/>
      <c r="C12" s="279">
        <v>4</v>
      </c>
      <c r="D12" s="237"/>
      <c r="E12" s="238"/>
      <c r="F12" s="239"/>
      <c r="G12" s="350"/>
      <c r="H12" s="305"/>
      <c r="I12" s="306"/>
      <c r="J12" s="312"/>
      <c r="K12" s="313"/>
      <c r="L12" s="314"/>
      <c r="M12" s="322">
        <f t="shared" si="0"/>
        <v>0</v>
      </c>
      <c r="N12" s="314"/>
      <c r="O12" s="766"/>
      <c r="P12" s="767"/>
      <c r="R12" s="315"/>
      <c r="S12" s="210"/>
      <c r="T12" s="335"/>
    </row>
    <row r="13" spans="1:21" s="298" customFormat="1" ht="20.100000000000001" customHeight="1" thickBot="1">
      <c r="A13" s="761"/>
      <c r="B13" s="764"/>
      <c r="C13" s="279">
        <v>5</v>
      </c>
      <c r="D13" s="237"/>
      <c r="E13" s="245"/>
      <c r="F13" s="246"/>
      <c r="G13" s="350"/>
      <c r="H13" s="305"/>
      <c r="I13" s="306"/>
      <c r="J13" s="388"/>
      <c r="K13" s="382"/>
      <c r="L13" s="317"/>
      <c r="M13" s="322">
        <f t="shared" si="0"/>
        <v>0</v>
      </c>
      <c r="N13" s="314"/>
      <c r="O13" s="766"/>
      <c r="P13" s="767"/>
      <c r="R13" s="318"/>
      <c r="S13" s="261"/>
      <c r="T13" s="289"/>
    </row>
    <row r="14" spans="1:21" s="289" customFormat="1" ht="15.75" customHeight="1" thickTop="1" thickBot="1">
      <c r="A14" s="762"/>
      <c r="B14" s="765"/>
      <c r="C14" s="774"/>
      <c r="D14" s="775"/>
      <c r="E14" s="775"/>
      <c r="F14" s="775"/>
      <c r="G14" s="775"/>
      <c r="H14" s="775"/>
      <c r="I14" s="776"/>
      <c r="J14" s="347" t="s">
        <v>58</v>
      </c>
      <c r="K14" s="212">
        <f>M14/'生產管理報表 7-1 (週)'!$B$9</f>
        <v>0</v>
      </c>
      <c r="L14" s="348" t="s">
        <v>59</v>
      </c>
      <c r="M14" s="389">
        <f>SUM(M9:M13)</f>
        <v>0</v>
      </c>
      <c r="N14" s="777"/>
      <c r="O14" s="778"/>
      <c r="P14" s="779"/>
      <c r="R14" s="210"/>
      <c r="S14" s="210"/>
    </row>
    <row r="15" spans="1:21" s="289" customFormat="1" ht="15.75" customHeight="1" thickTop="1">
      <c r="B15" s="297"/>
      <c r="C15" s="298"/>
      <c r="M15" s="329"/>
      <c r="S15" s="261"/>
    </row>
    <row r="16" spans="1:21" s="289" customFormat="1" ht="15.75" customHeight="1">
      <c r="A16" s="750" t="s">
        <v>191</v>
      </c>
      <c r="B16" s="751"/>
      <c r="C16" s="275" t="s">
        <v>47</v>
      </c>
      <c r="D16" s="752" t="s">
        <v>12</v>
      </c>
      <c r="E16" s="753"/>
      <c r="F16" s="754"/>
      <c r="G16" s="755" t="s">
        <v>53</v>
      </c>
      <c r="H16" s="756"/>
      <c r="I16" s="757"/>
      <c r="J16" s="276" t="s">
        <v>54</v>
      </c>
      <c r="K16" s="276" t="s">
        <v>55</v>
      </c>
      <c r="L16" s="276" t="s">
        <v>56</v>
      </c>
      <c r="M16" s="330" t="s">
        <v>11</v>
      </c>
      <c r="N16" s="277" t="s">
        <v>333</v>
      </c>
      <c r="O16" s="758" t="s">
        <v>51</v>
      </c>
      <c r="P16" s="759"/>
      <c r="S16" s="210"/>
      <c r="T16" s="335"/>
    </row>
    <row r="17" spans="1:20" s="298" customFormat="1" ht="20.100000000000001" customHeight="1">
      <c r="A17" s="760">
        <v>5</v>
      </c>
      <c r="B17" s="780" t="s">
        <v>215</v>
      </c>
      <c r="C17" s="279">
        <v>1</v>
      </c>
      <c r="D17" s="237"/>
      <c r="E17" s="238"/>
      <c r="F17" s="239"/>
      <c r="G17" s="350"/>
      <c r="H17" s="305"/>
      <c r="I17" s="306"/>
      <c r="J17" s="312"/>
      <c r="K17" s="313"/>
      <c r="L17" s="314"/>
      <c r="M17" s="322">
        <f>L17*J17</f>
        <v>0</v>
      </c>
      <c r="N17" s="314"/>
      <c r="O17" s="768"/>
      <c r="P17" s="769"/>
      <c r="R17" s="335"/>
      <c r="S17" s="390"/>
    </row>
    <row r="18" spans="1:20" s="298" customFormat="1" ht="20.100000000000001" customHeight="1">
      <c r="A18" s="761"/>
      <c r="B18" s="781"/>
      <c r="C18" s="279">
        <v>2</v>
      </c>
      <c r="D18" s="237"/>
      <c r="E18" s="238"/>
      <c r="F18" s="239"/>
      <c r="G18" s="350"/>
      <c r="H18" s="305"/>
      <c r="I18" s="306"/>
      <c r="J18" s="312"/>
      <c r="K18" s="313"/>
      <c r="L18" s="314"/>
      <c r="M18" s="322">
        <f t="shared" ref="M18:M21" si="1">L18*J18</f>
        <v>0</v>
      </c>
      <c r="N18" s="314"/>
      <c r="O18" s="768"/>
      <c r="P18" s="769"/>
      <c r="S18" s="210"/>
      <c r="T18" s="336"/>
    </row>
    <row r="19" spans="1:20" s="289" customFormat="1" ht="20.100000000000001" customHeight="1">
      <c r="A19" s="761"/>
      <c r="B19" s="781"/>
      <c r="C19" s="279">
        <v>3</v>
      </c>
      <c r="D19" s="237"/>
      <c r="E19" s="281"/>
      <c r="F19" s="282"/>
      <c r="G19" s="350"/>
      <c r="H19" s="305"/>
      <c r="I19" s="306"/>
      <c r="J19" s="312"/>
      <c r="K19" s="313"/>
      <c r="L19" s="314"/>
      <c r="M19" s="322">
        <f t="shared" si="1"/>
        <v>0</v>
      </c>
      <c r="N19" s="288"/>
      <c r="O19" s="785"/>
      <c r="P19" s="786"/>
    </row>
    <row r="20" spans="1:20" s="289" customFormat="1" ht="20.100000000000001" customHeight="1">
      <c r="A20" s="761"/>
      <c r="B20" s="781"/>
      <c r="C20" s="279">
        <v>4</v>
      </c>
      <c r="D20" s="237"/>
      <c r="E20" s="281"/>
      <c r="F20" s="282"/>
      <c r="G20" s="350"/>
      <c r="H20" s="305"/>
      <c r="I20" s="306"/>
      <c r="J20" s="312"/>
      <c r="K20" s="313"/>
      <c r="L20" s="314"/>
      <c r="M20" s="322">
        <f t="shared" si="1"/>
        <v>0</v>
      </c>
      <c r="N20" s="288"/>
      <c r="O20" s="768"/>
      <c r="P20" s="769"/>
    </row>
    <row r="21" spans="1:20" s="289" customFormat="1" ht="20.100000000000001" customHeight="1" thickBot="1">
      <c r="A21" s="761"/>
      <c r="B21" s="781"/>
      <c r="C21" s="279">
        <v>5</v>
      </c>
      <c r="D21" s="244"/>
      <c r="E21" s="291"/>
      <c r="F21" s="292"/>
      <c r="G21" s="350"/>
      <c r="H21" s="305"/>
      <c r="I21" s="306"/>
      <c r="J21" s="388"/>
      <c r="K21" s="382"/>
      <c r="L21" s="317"/>
      <c r="M21" s="322">
        <f t="shared" si="1"/>
        <v>0</v>
      </c>
      <c r="N21" s="288"/>
      <c r="O21" s="871"/>
      <c r="P21" s="873"/>
      <c r="R21" s="211"/>
    </row>
    <row r="22" spans="1:20" s="289" customFormat="1" ht="15.75" customHeight="1" thickTop="1" thickBot="1">
      <c r="A22" s="762"/>
      <c r="B22" s="782"/>
      <c r="C22" s="789"/>
      <c r="D22" s="790"/>
      <c r="E22" s="790"/>
      <c r="F22" s="790"/>
      <c r="G22" s="790"/>
      <c r="H22" s="790"/>
      <c r="I22" s="791"/>
      <c r="J22" s="347" t="s">
        <v>58</v>
      </c>
      <c r="K22" s="212">
        <f>M22/'生產管理報表 7-1 (週)'!$B$9</f>
        <v>0</v>
      </c>
      <c r="L22" s="348" t="s">
        <v>59</v>
      </c>
      <c r="M22" s="389">
        <f>SUM(M17:M21)</f>
        <v>0</v>
      </c>
      <c r="N22" s="777"/>
      <c r="O22" s="778"/>
      <c r="P22" s="779"/>
      <c r="R22" s="210"/>
    </row>
    <row r="23" spans="1:20" s="289" customFormat="1" ht="15.75" customHeight="1" thickTop="1">
      <c r="B23" s="297"/>
      <c r="C23" s="298"/>
      <c r="M23" s="329"/>
      <c r="R23" s="210"/>
    </row>
    <row r="24" spans="1:20" s="289" customFormat="1" ht="15.75" customHeight="1">
      <c r="A24" s="750" t="s">
        <v>191</v>
      </c>
      <c r="B24" s="751"/>
      <c r="C24" s="303" t="s">
        <v>47</v>
      </c>
      <c r="D24" s="794" t="s">
        <v>12</v>
      </c>
      <c r="E24" s="795"/>
      <c r="F24" s="796"/>
      <c r="G24" s="797" t="s">
        <v>53</v>
      </c>
      <c r="H24" s="798"/>
      <c r="I24" s="799"/>
      <c r="J24" s="304" t="s">
        <v>54</v>
      </c>
      <c r="K24" s="276" t="s">
        <v>55</v>
      </c>
      <c r="L24" s="276" t="s">
        <v>56</v>
      </c>
      <c r="M24" s="330" t="s">
        <v>11</v>
      </c>
      <c r="N24" s="277" t="s">
        <v>333</v>
      </c>
      <c r="O24" s="758" t="s">
        <v>51</v>
      </c>
      <c r="P24" s="759"/>
      <c r="R24" s="210"/>
      <c r="S24" s="2"/>
    </row>
    <row r="25" spans="1:20" s="289" customFormat="1" ht="39.950000000000003" customHeight="1">
      <c r="A25" s="760">
        <v>6</v>
      </c>
      <c r="B25" s="780" t="s">
        <v>216</v>
      </c>
      <c r="C25" s="279">
        <v>1</v>
      </c>
      <c r="D25" s="337" t="s">
        <v>523</v>
      </c>
      <c r="E25" s="281"/>
      <c r="F25" s="282"/>
      <c r="G25" s="306" t="s">
        <v>335</v>
      </c>
      <c r="H25" s="305"/>
      <c r="I25" s="240"/>
      <c r="J25" s="312">
        <v>15.450000000000001</v>
      </c>
      <c r="K25" s="313">
        <v>1.9950625789413251E-3</v>
      </c>
      <c r="L25" s="314">
        <v>139</v>
      </c>
      <c r="M25" s="322">
        <f t="shared" ref="M25:M29" si="2">L25*J25</f>
        <v>2147.5500000000002</v>
      </c>
      <c r="N25" s="288"/>
      <c r="O25" s="785" t="s">
        <v>575</v>
      </c>
      <c r="P25" s="786"/>
      <c r="R25" s="336"/>
      <c r="S25" s="397"/>
    </row>
    <row r="26" spans="1:20" s="298" customFormat="1" ht="39.950000000000003" customHeight="1">
      <c r="A26" s="761"/>
      <c r="B26" s="781"/>
      <c r="C26" s="279">
        <v>2</v>
      </c>
      <c r="D26" s="237" t="s">
        <v>614</v>
      </c>
      <c r="E26" s="238"/>
      <c r="F26" s="239"/>
      <c r="G26" s="306" t="s">
        <v>619</v>
      </c>
      <c r="H26" s="305"/>
      <c r="I26" s="240"/>
      <c r="J26" s="312">
        <v>39.389999999999993</v>
      </c>
      <c r="K26" s="313">
        <v>6.0830035127875017E-3</v>
      </c>
      <c r="L26" s="314">
        <v>38.270000000000003</v>
      </c>
      <c r="M26" s="322">
        <f t="shared" si="2"/>
        <v>1507.4552999999999</v>
      </c>
      <c r="N26" s="314"/>
      <c r="O26" s="869" t="s">
        <v>687</v>
      </c>
      <c r="P26" s="870"/>
      <c r="S26" s="96"/>
    </row>
    <row r="27" spans="1:20" s="289" customFormat="1" ht="39.950000000000003" customHeight="1">
      <c r="A27" s="761"/>
      <c r="B27" s="781"/>
      <c r="C27" s="279">
        <v>3</v>
      </c>
      <c r="D27" s="237" t="s">
        <v>340</v>
      </c>
      <c r="E27" s="281"/>
      <c r="F27" s="282"/>
      <c r="G27" s="306" t="s">
        <v>534</v>
      </c>
      <c r="H27" s="305"/>
      <c r="I27" s="285"/>
      <c r="J27" s="312">
        <v>39.389999999999993</v>
      </c>
      <c r="K27" s="313">
        <v>1.1123997896361564E-3</v>
      </c>
      <c r="L27" s="314">
        <v>38.01</v>
      </c>
      <c r="M27" s="322">
        <f t="shared" si="2"/>
        <v>1497.2138999999997</v>
      </c>
      <c r="N27" s="288"/>
      <c r="O27" s="869" t="s">
        <v>687</v>
      </c>
      <c r="P27" s="870"/>
      <c r="S27" s="2"/>
    </row>
    <row r="28" spans="1:20" s="289" customFormat="1" ht="39.950000000000003" customHeight="1">
      <c r="A28" s="761"/>
      <c r="B28" s="781"/>
      <c r="C28" s="279">
        <v>4</v>
      </c>
      <c r="D28" s="237" t="s">
        <v>650</v>
      </c>
      <c r="E28" s="281"/>
      <c r="F28" s="282"/>
      <c r="G28" s="306" t="s">
        <v>653</v>
      </c>
      <c r="H28" s="305"/>
      <c r="I28" s="285"/>
      <c r="J28" s="312">
        <v>40.420000000000009</v>
      </c>
      <c r="K28" s="313">
        <v>1.0029803727782324E-2</v>
      </c>
      <c r="L28" s="314">
        <v>25.98</v>
      </c>
      <c r="M28" s="322">
        <f t="shared" si="2"/>
        <v>1050.1116000000002</v>
      </c>
      <c r="N28" s="288"/>
      <c r="O28" s="869" t="s">
        <v>687</v>
      </c>
      <c r="P28" s="870"/>
      <c r="R28" s="2"/>
      <c r="S28" s="2"/>
    </row>
    <row r="29" spans="1:20" s="289" customFormat="1" ht="39.950000000000003" customHeight="1" thickBot="1">
      <c r="A29" s="761"/>
      <c r="B29" s="781"/>
      <c r="C29" s="279">
        <v>5</v>
      </c>
      <c r="D29" s="244" t="s">
        <v>543</v>
      </c>
      <c r="E29" s="291"/>
      <c r="F29" s="292"/>
      <c r="G29" s="306" t="s">
        <v>544</v>
      </c>
      <c r="H29" s="305"/>
      <c r="I29" s="285"/>
      <c r="J29" s="388">
        <v>62.43</v>
      </c>
      <c r="K29" s="382">
        <v>7.3703437510014048E-3</v>
      </c>
      <c r="L29" s="317">
        <v>16.099999999999998</v>
      </c>
      <c r="M29" s="322">
        <f t="shared" si="2"/>
        <v>1005.1229999999998</v>
      </c>
      <c r="N29" s="288"/>
      <c r="O29" s="869" t="s">
        <v>687</v>
      </c>
      <c r="P29" s="870"/>
      <c r="R29" s="2"/>
      <c r="S29" s="2"/>
    </row>
    <row r="30" spans="1:20" s="289" customFormat="1" ht="15.75" customHeight="1" thickTop="1" thickBot="1">
      <c r="A30" s="762"/>
      <c r="B30" s="782"/>
      <c r="C30" s="789"/>
      <c r="D30" s="790"/>
      <c r="E30" s="790"/>
      <c r="F30" s="790"/>
      <c r="G30" s="790"/>
      <c r="H30" s="790"/>
      <c r="I30" s="791"/>
      <c r="J30" s="347" t="s">
        <v>58</v>
      </c>
      <c r="K30" s="212">
        <f>M30/'生產管理報表 7-1 (週)'!$B$9</f>
        <v>7.7332822886578181E-2</v>
      </c>
      <c r="L30" s="348" t="s">
        <v>59</v>
      </c>
      <c r="M30" s="389">
        <f>SUM(M25:M29)</f>
        <v>7207.4537999999993</v>
      </c>
      <c r="N30" s="777"/>
      <c r="O30" s="778"/>
      <c r="P30" s="779"/>
      <c r="R30" s="2"/>
      <c r="S30" s="2"/>
    </row>
    <row r="31" spans="1:20" s="289" customFormat="1" ht="15.75" customHeight="1" thickTop="1">
      <c r="B31" s="297"/>
      <c r="C31" s="298"/>
      <c r="M31" s="329"/>
      <c r="R31" s="2"/>
      <c r="S31" s="2"/>
    </row>
    <row r="32" spans="1:20" s="289" customFormat="1" ht="15.75" customHeight="1">
      <c r="A32" s="750" t="s">
        <v>191</v>
      </c>
      <c r="B32" s="751"/>
      <c r="C32" s="303" t="s">
        <v>47</v>
      </c>
      <c r="D32" s="794" t="s">
        <v>12</v>
      </c>
      <c r="E32" s="795"/>
      <c r="F32" s="796"/>
      <c r="G32" s="797" t="s">
        <v>53</v>
      </c>
      <c r="H32" s="798"/>
      <c r="I32" s="799"/>
      <c r="J32" s="304" t="s">
        <v>54</v>
      </c>
      <c r="K32" s="276" t="s">
        <v>55</v>
      </c>
      <c r="L32" s="276" t="s">
        <v>56</v>
      </c>
      <c r="M32" s="330" t="s">
        <v>11</v>
      </c>
      <c r="N32" s="277" t="s">
        <v>333</v>
      </c>
      <c r="O32" s="758" t="s">
        <v>51</v>
      </c>
      <c r="P32" s="759"/>
      <c r="R32" s="2"/>
      <c r="S32" s="2"/>
    </row>
    <row r="33" spans="1:21" s="289" customFormat="1" ht="20.100000000000001" customHeight="1">
      <c r="A33" s="760">
        <v>7</v>
      </c>
      <c r="B33" s="802" t="s">
        <v>249</v>
      </c>
      <c r="C33" s="279">
        <v>1</v>
      </c>
      <c r="D33" s="280"/>
      <c r="E33" s="281"/>
      <c r="F33" s="282"/>
      <c r="G33" s="283"/>
      <c r="H33" s="284"/>
      <c r="I33" s="285"/>
      <c r="J33" s="286"/>
      <c r="K33" s="287"/>
      <c r="L33" s="288"/>
      <c r="M33" s="331">
        <f t="shared" ref="M33:M35" si="3">L33*J33</f>
        <v>0</v>
      </c>
      <c r="N33" s="288"/>
      <c r="O33" s="805"/>
      <c r="P33" s="806"/>
      <c r="R33" s="2"/>
      <c r="S33" s="2"/>
    </row>
    <row r="34" spans="1:21" s="289" customFormat="1" ht="20.100000000000001" customHeight="1">
      <c r="A34" s="761"/>
      <c r="B34" s="803"/>
      <c r="C34" s="279">
        <v>2</v>
      </c>
      <c r="D34" s="280"/>
      <c r="E34" s="281"/>
      <c r="F34" s="282"/>
      <c r="G34" s="283"/>
      <c r="H34" s="284"/>
      <c r="I34" s="285"/>
      <c r="J34" s="286"/>
      <c r="K34" s="287"/>
      <c r="L34" s="288"/>
      <c r="M34" s="331">
        <f t="shared" si="3"/>
        <v>0</v>
      </c>
      <c r="N34" s="288"/>
      <c r="O34" s="807"/>
      <c r="P34" s="808"/>
      <c r="R34" s="2"/>
      <c r="S34" s="2"/>
    </row>
    <row r="35" spans="1:21" s="289" customFormat="1" ht="20.100000000000001" customHeight="1">
      <c r="A35" s="761"/>
      <c r="B35" s="803"/>
      <c r="C35" s="279">
        <v>3</v>
      </c>
      <c r="D35" s="280"/>
      <c r="E35" s="281"/>
      <c r="F35" s="282"/>
      <c r="G35" s="283"/>
      <c r="H35" s="284"/>
      <c r="I35" s="285"/>
      <c r="J35" s="286"/>
      <c r="K35" s="287"/>
      <c r="L35" s="288"/>
      <c r="M35" s="331">
        <f t="shared" si="3"/>
        <v>0</v>
      </c>
      <c r="N35" s="288"/>
      <c r="O35" s="807"/>
      <c r="P35" s="808"/>
      <c r="R35" s="2"/>
      <c r="S35" s="2"/>
    </row>
    <row r="36" spans="1:21" s="289" customFormat="1" ht="20.100000000000001" customHeight="1">
      <c r="A36" s="761"/>
      <c r="B36" s="803"/>
      <c r="C36" s="279">
        <v>4</v>
      </c>
      <c r="D36" s="280"/>
      <c r="E36" s="281"/>
      <c r="F36" s="282"/>
      <c r="G36" s="283"/>
      <c r="H36" s="284"/>
      <c r="I36" s="285"/>
      <c r="J36" s="286"/>
      <c r="K36" s="287"/>
      <c r="L36" s="288"/>
      <c r="M36" s="332">
        <v>0</v>
      </c>
      <c r="N36" s="288"/>
      <c r="O36" s="299"/>
      <c r="P36" s="300"/>
      <c r="R36" s="2"/>
      <c r="S36" s="2"/>
    </row>
    <row r="37" spans="1:21" s="289" customFormat="1" ht="20.100000000000001" customHeight="1" thickBot="1">
      <c r="A37" s="761"/>
      <c r="B37" s="803"/>
      <c r="C37" s="279">
        <v>5</v>
      </c>
      <c r="D37" s="290"/>
      <c r="E37" s="291"/>
      <c r="F37" s="292"/>
      <c r="G37" s="283"/>
      <c r="H37" s="284"/>
      <c r="I37" s="285"/>
      <c r="J37" s="388"/>
      <c r="K37" s="382"/>
      <c r="L37" s="317"/>
      <c r="M37" s="333">
        <v>0</v>
      </c>
      <c r="N37" s="288"/>
      <c r="O37" s="301"/>
      <c r="P37" s="302"/>
      <c r="R37" s="2"/>
      <c r="S37" s="2"/>
    </row>
    <row r="38" spans="1:21" s="289" customFormat="1" ht="15.75" customHeight="1" thickTop="1" thickBot="1">
      <c r="A38" s="762"/>
      <c r="B38" s="804"/>
      <c r="C38" s="789"/>
      <c r="D38" s="790"/>
      <c r="E38" s="790"/>
      <c r="F38" s="790"/>
      <c r="G38" s="790"/>
      <c r="H38" s="790"/>
      <c r="I38" s="791"/>
      <c r="J38" s="347" t="s">
        <v>58</v>
      </c>
      <c r="K38" s="212">
        <f>M38/'生產管理報表 7-1 (週)'!$B$9</f>
        <v>0</v>
      </c>
      <c r="L38" s="348" t="s">
        <v>59</v>
      </c>
      <c r="M38" s="389">
        <f>SUM(M33:M37)</f>
        <v>0</v>
      </c>
      <c r="N38" s="777"/>
      <c r="O38" s="778"/>
      <c r="P38" s="779"/>
      <c r="R38" s="2"/>
      <c r="S38" s="2"/>
      <c r="T38" s="2"/>
    </row>
    <row r="39" spans="1:21" s="135" customFormat="1" ht="13.5" thickTop="1">
      <c r="A39" s="709" t="s">
        <v>791</v>
      </c>
      <c r="B39" s="709"/>
      <c r="C39" s="709"/>
      <c r="D39" s="709"/>
      <c r="E39" s="709"/>
      <c r="F39" s="709"/>
      <c r="G39" s="709"/>
      <c r="H39" s="709"/>
      <c r="I39" s="709"/>
      <c r="J39" s="709"/>
      <c r="K39" s="709"/>
      <c r="L39" s="709"/>
      <c r="M39" s="709"/>
      <c r="R39" s="231"/>
      <c r="S39" s="231"/>
      <c r="T39" s="231"/>
      <c r="U39" s="231"/>
    </row>
    <row r="40" spans="1:21" s="136" customFormat="1" ht="12">
      <c r="A40" s="745"/>
      <c r="B40" s="745"/>
      <c r="C40" s="745"/>
      <c r="D40" s="745"/>
      <c r="E40" s="745"/>
      <c r="F40" s="745"/>
      <c r="G40" s="745"/>
      <c r="H40" s="745"/>
      <c r="I40" s="745"/>
      <c r="J40" s="745"/>
      <c r="K40" s="745"/>
      <c r="L40" s="745"/>
      <c r="M40" s="745"/>
    </row>
    <row r="41" spans="1:21" s="135" customFormat="1" ht="12">
      <c r="A41" s="746" t="s">
        <v>191</v>
      </c>
      <c r="B41" s="748">
        <v>1</v>
      </c>
      <c r="C41" s="749"/>
      <c r="D41" s="748">
        <v>2</v>
      </c>
      <c r="E41" s="749"/>
      <c r="F41" s="748">
        <v>3</v>
      </c>
      <c r="G41" s="749"/>
      <c r="H41" s="739">
        <v>4</v>
      </c>
      <c r="I41" s="740"/>
      <c r="J41" s="739">
        <v>5</v>
      </c>
      <c r="K41" s="740"/>
      <c r="L41" s="739">
        <v>6</v>
      </c>
      <c r="M41" s="740"/>
      <c r="N41" s="739">
        <v>7</v>
      </c>
      <c r="O41" s="740"/>
      <c r="P41" s="352">
        <v>8</v>
      </c>
    </row>
    <row r="42" spans="1:21" s="135" customFormat="1">
      <c r="A42" s="747"/>
      <c r="B42" s="743" t="s">
        <v>452</v>
      </c>
      <c r="C42" s="744"/>
      <c r="D42" s="743" t="s">
        <v>212</v>
      </c>
      <c r="E42" s="744"/>
      <c r="F42" s="743" t="s">
        <v>166</v>
      </c>
      <c r="G42" s="744"/>
      <c r="H42" s="741" t="s">
        <v>428</v>
      </c>
      <c r="I42" s="742"/>
      <c r="J42" s="741" t="s">
        <v>189</v>
      </c>
      <c r="K42" s="742"/>
      <c r="L42" s="741" t="s">
        <v>167</v>
      </c>
      <c r="M42" s="742"/>
      <c r="N42" s="741" t="s">
        <v>190</v>
      </c>
      <c r="O42" s="742"/>
      <c r="P42" s="353" t="s">
        <v>217</v>
      </c>
    </row>
    <row r="43" spans="1:21" s="135" customFormat="1" ht="15.75" customHeight="1">
      <c r="B43" s="232"/>
      <c r="C43" s="233"/>
    </row>
    <row r="44" spans="1:21" s="278" customFormat="1">
      <c r="A44" s="750" t="s">
        <v>191</v>
      </c>
      <c r="B44" s="751"/>
      <c r="C44" s="275" t="s">
        <v>47</v>
      </c>
      <c r="D44" s="752" t="s">
        <v>12</v>
      </c>
      <c r="E44" s="753"/>
      <c r="F44" s="754"/>
      <c r="G44" s="755" t="s">
        <v>53</v>
      </c>
      <c r="H44" s="756"/>
      <c r="I44" s="757"/>
      <c r="J44" s="276" t="s">
        <v>54</v>
      </c>
      <c r="K44" s="276" t="s">
        <v>55</v>
      </c>
      <c r="L44" s="276" t="s">
        <v>56</v>
      </c>
      <c r="M44" s="277" t="s">
        <v>11</v>
      </c>
      <c r="N44" s="277" t="s">
        <v>333</v>
      </c>
      <c r="O44" s="758" t="s">
        <v>51</v>
      </c>
      <c r="P44" s="759"/>
      <c r="R44" s="210"/>
      <c r="S44" s="261"/>
    </row>
    <row r="45" spans="1:21" s="298" customFormat="1" ht="20.100000000000001" customHeight="1">
      <c r="A45" s="760">
        <v>4</v>
      </c>
      <c r="B45" s="763" t="s">
        <v>428</v>
      </c>
      <c r="C45" s="279">
        <v>1</v>
      </c>
      <c r="D45" s="237"/>
      <c r="E45" s="238"/>
      <c r="F45" s="239"/>
      <c r="G45" s="350"/>
      <c r="H45" s="305"/>
      <c r="I45" s="306"/>
      <c r="J45" s="312"/>
      <c r="K45" s="313"/>
      <c r="L45" s="314"/>
      <c r="M45" s="322">
        <f t="shared" ref="M45:M49" si="4">L45*J45</f>
        <v>0</v>
      </c>
      <c r="N45" s="314"/>
      <c r="O45" s="857"/>
      <c r="P45" s="858"/>
      <c r="R45" s="315"/>
      <c r="S45" s="261"/>
    </row>
    <row r="46" spans="1:21" s="298" customFormat="1" ht="20.100000000000001" customHeight="1">
      <c r="A46" s="761"/>
      <c r="B46" s="764"/>
      <c r="C46" s="279">
        <v>2</v>
      </c>
      <c r="D46" s="237"/>
      <c r="E46" s="238"/>
      <c r="F46" s="239"/>
      <c r="G46" s="350"/>
      <c r="H46" s="305"/>
      <c r="I46" s="306"/>
      <c r="J46" s="312"/>
      <c r="K46" s="313"/>
      <c r="L46" s="314"/>
      <c r="M46" s="322">
        <f t="shared" si="4"/>
        <v>0</v>
      </c>
      <c r="N46" s="314"/>
      <c r="O46" s="768"/>
      <c r="P46" s="769"/>
      <c r="R46" s="315"/>
      <c r="S46" s="210"/>
      <c r="T46" s="335"/>
    </row>
    <row r="47" spans="1:21" s="298" customFormat="1" ht="20.100000000000001" customHeight="1">
      <c r="A47" s="761"/>
      <c r="B47" s="764"/>
      <c r="C47" s="279">
        <v>3</v>
      </c>
      <c r="D47" s="237"/>
      <c r="E47" s="238"/>
      <c r="F47" s="239"/>
      <c r="G47" s="350"/>
      <c r="H47" s="305"/>
      <c r="I47" s="306"/>
      <c r="J47" s="312"/>
      <c r="K47" s="313"/>
      <c r="L47" s="314"/>
      <c r="M47" s="322">
        <f t="shared" si="4"/>
        <v>0</v>
      </c>
      <c r="N47" s="314"/>
      <c r="O47" s="857"/>
      <c r="P47" s="858"/>
      <c r="R47" s="315"/>
      <c r="S47" s="261"/>
    </row>
    <row r="48" spans="1:21" s="298" customFormat="1" ht="20.100000000000001" customHeight="1">
      <c r="A48" s="761"/>
      <c r="B48" s="764"/>
      <c r="C48" s="279">
        <v>4</v>
      </c>
      <c r="D48" s="237"/>
      <c r="E48" s="238"/>
      <c r="F48" s="239"/>
      <c r="G48" s="350"/>
      <c r="H48" s="305"/>
      <c r="I48" s="306"/>
      <c r="J48" s="312"/>
      <c r="K48" s="313"/>
      <c r="L48" s="314"/>
      <c r="M48" s="322">
        <f t="shared" si="4"/>
        <v>0</v>
      </c>
      <c r="N48" s="314"/>
      <c r="O48" s="857"/>
      <c r="P48" s="858"/>
      <c r="R48" s="315"/>
      <c r="S48" s="210"/>
      <c r="T48" s="335"/>
    </row>
    <row r="49" spans="1:20" s="298" customFormat="1" ht="20.100000000000001" customHeight="1" thickBot="1">
      <c r="A49" s="761"/>
      <c r="B49" s="764"/>
      <c r="C49" s="279">
        <v>5</v>
      </c>
      <c r="D49" s="237"/>
      <c r="E49" s="245"/>
      <c r="F49" s="246"/>
      <c r="G49" s="350"/>
      <c r="H49" s="305"/>
      <c r="I49" s="306"/>
      <c r="J49" s="388"/>
      <c r="K49" s="382"/>
      <c r="L49" s="317"/>
      <c r="M49" s="322">
        <f t="shared" si="4"/>
        <v>0</v>
      </c>
      <c r="N49" s="314"/>
      <c r="O49" s="857"/>
      <c r="P49" s="858"/>
      <c r="R49" s="318"/>
      <c r="S49" s="261"/>
      <c r="T49" s="289"/>
    </row>
    <row r="50" spans="1:20" s="289" customFormat="1" thickTop="1" thickBot="1">
      <c r="A50" s="762"/>
      <c r="B50" s="765"/>
      <c r="C50" s="774"/>
      <c r="D50" s="775"/>
      <c r="E50" s="775"/>
      <c r="F50" s="775"/>
      <c r="G50" s="775"/>
      <c r="H50" s="775"/>
      <c r="I50" s="776"/>
      <c r="J50" s="347" t="s">
        <v>58</v>
      </c>
      <c r="K50" s="212">
        <f>M50/'生產管理報表 7-1 (週)'!$B$20</f>
        <v>0</v>
      </c>
      <c r="L50" s="348" t="s">
        <v>59</v>
      </c>
      <c r="M50" s="389">
        <f>SUM(M45:M49)</f>
        <v>0</v>
      </c>
      <c r="N50" s="777"/>
      <c r="O50" s="778"/>
      <c r="P50" s="779"/>
      <c r="R50" s="210"/>
      <c r="S50" s="210"/>
    </row>
    <row r="51" spans="1:20" s="289" customFormat="1" ht="15.75" customHeight="1" thickTop="1">
      <c r="B51" s="297"/>
      <c r="C51" s="298"/>
      <c r="M51" s="329"/>
      <c r="S51" s="261"/>
    </row>
    <row r="52" spans="1:20" s="289" customFormat="1" ht="14.25">
      <c r="A52" s="750" t="s">
        <v>191</v>
      </c>
      <c r="B52" s="751"/>
      <c r="C52" s="275" t="s">
        <v>47</v>
      </c>
      <c r="D52" s="752" t="s">
        <v>12</v>
      </c>
      <c r="E52" s="753"/>
      <c r="F52" s="754"/>
      <c r="G52" s="755" t="s">
        <v>53</v>
      </c>
      <c r="H52" s="756"/>
      <c r="I52" s="757"/>
      <c r="J52" s="276" t="s">
        <v>54</v>
      </c>
      <c r="K52" s="276" t="s">
        <v>55</v>
      </c>
      <c r="L52" s="276" t="s">
        <v>56</v>
      </c>
      <c r="M52" s="330" t="s">
        <v>11</v>
      </c>
      <c r="N52" s="277" t="s">
        <v>333</v>
      </c>
      <c r="O52" s="758" t="s">
        <v>51</v>
      </c>
      <c r="P52" s="759"/>
      <c r="S52" s="210"/>
      <c r="T52" s="335"/>
    </row>
    <row r="53" spans="1:20" s="298" customFormat="1" ht="39.950000000000003" customHeight="1">
      <c r="A53" s="760">
        <v>5</v>
      </c>
      <c r="B53" s="780" t="s">
        <v>215</v>
      </c>
      <c r="C53" s="279">
        <v>1</v>
      </c>
      <c r="D53" s="237" t="s">
        <v>340</v>
      </c>
      <c r="E53" s="238"/>
      <c r="F53" s="239"/>
      <c r="G53" s="306" t="s">
        <v>336</v>
      </c>
      <c r="H53" s="305"/>
      <c r="I53" s="306"/>
      <c r="J53" s="312">
        <v>147.43000000000004</v>
      </c>
      <c r="K53" s="313">
        <v>2.5553035774250085E-3</v>
      </c>
      <c r="L53" s="314">
        <v>11.11</v>
      </c>
      <c r="M53" s="322">
        <f>L53*J53</f>
        <v>1637.9473000000003</v>
      </c>
      <c r="N53" s="314"/>
      <c r="O53" s="768" t="s">
        <v>686</v>
      </c>
      <c r="P53" s="769"/>
      <c r="R53" s="335"/>
      <c r="S53" s="390"/>
    </row>
    <row r="54" spans="1:20" s="298" customFormat="1" ht="20.100000000000001" customHeight="1">
      <c r="A54" s="761"/>
      <c r="B54" s="781"/>
      <c r="C54" s="279">
        <v>2</v>
      </c>
      <c r="D54" s="237"/>
      <c r="E54" s="238"/>
      <c r="F54" s="239"/>
      <c r="G54" s="350"/>
      <c r="H54" s="305"/>
      <c r="I54" s="306"/>
      <c r="J54" s="312"/>
      <c r="K54" s="313"/>
      <c r="L54" s="314"/>
      <c r="M54" s="322">
        <f t="shared" ref="M54:M57" si="5">L54*J54</f>
        <v>0</v>
      </c>
      <c r="N54" s="314"/>
      <c r="O54" s="768"/>
      <c r="P54" s="769"/>
      <c r="S54" s="210"/>
      <c r="T54" s="336"/>
    </row>
    <row r="55" spans="1:20" s="289" customFormat="1" ht="20.100000000000001" customHeight="1">
      <c r="A55" s="761"/>
      <c r="B55" s="781"/>
      <c r="C55" s="279">
        <v>3</v>
      </c>
      <c r="D55" s="237"/>
      <c r="E55" s="281"/>
      <c r="F55" s="282"/>
      <c r="G55" s="350"/>
      <c r="H55" s="305"/>
      <c r="I55" s="306"/>
      <c r="J55" s="312"/>
      <c r="K55" s="313"/>
      <c r="L55" s="314"/>
      <c r="M55" s="322">
        <f t="shared" si="5"/>
        <v>0</v>
      </c>
      <c r="N55" s="288"/>
      <c r="O55" s="785"/>
      <c r="P55" s="786"/>
    </row>
    <row r="56" spans="1:20" s="289" customFormat="1" ht="20.100000000000001" customHeight="1">
      <c r="A56" s="761"/>
      <c r="B56" s="781"/>
      <c r="C56" s="279">
        <v>4</v>
      </c>
      <c r="D56" s="237"/>
      <c r="E56" s="281"/>
      <c r="F56" s="282"/>
      <c r="G56" s="350"/>
      <c r="H56" s="305"/>
      <c r="I56" s="306"/>
      <c r="J56" s="312"/>
      <c r="K56" s="313"/>
      <c r="L56" s="314"/>
      <c r="M56" s="322">
        <f t="shared" si="5"/>
        <v>0</v>
      </c>
      <c r="N56" s="288"/>
      <c r="O56" s="768"/>
      <c r="P56" s="769"/>
    </row>
    <row r="57" spans="1:20" s="289" customFormat="1" ht="20.100000000000001" customHeight="1" thickBot="1">
      <c r="A57" s="761"/>
      <c r="B57" s="781"/>
      <c r="C57" s="279">
        <v>5</v>
      </c>
      <c r="D57" s="244"/>
      <c r="E57" s="291"/>
      <c r="F57" s="292"/>
      <c r="G57" s="350"/>
      <c r="H57" s="305"/>
      <c r="I57" s="306"/>
      <c r="J57" s="388"/>
      <c r="K57" s="382"/>
      <c r="L57" s="317"/>
      <c r="M57" s="322">
        <f t="shared" si="5"/>
        <v>0</v>
      </c>
      <c r="N57" s="288"/>
      <c r="O57" s="871"/>
      <c r="P57" s="872"/>
      <c r="R57" s="211"/>
    </row>
    <row r="58" spans="1:20" s="289" customFormat="1" thickTop="1" thickBot="1">
      <c r="A58" s="762"/>
      <c r="B58" s="782"/>
      <c r="C58" s="789"/>
      <c r="D58" s="790"/>
      <c r="E58" s="790"/>
      <c r="F58" s="790"/>
      <c r="G58" s="790"/>
      <c r="H58" s="790"/>
      <c r="I58" s="791"/>
      <c r="J58" s="347" t="s">
        <v>58</v>
      </c>
      <c r="K58" s="212">
        <f>M58/'生產管理報表 7-1 (週)'!$B$9</f>
        <v>1.7574457216562245E-2</v>
      </c>
      <c r="L58" s="348" t="s">
        <v>59</v>
      </c>
      <c r="M58" s="389">
        <f>SUM(M53:M57)</f>
        <v>1637.9473000000003</v>
      </c>
      <c r="N58" s="777"/>
      <c r="O58" s="778"/>
      <c r="P58" s="779"/>
      <c r="R58" s="210"/>
    </row>
    <row r="59" spans="1:20" s="289" customFormat="1" ht="15.75" customHeight="1" thickTop="1">
      <c r="B59" s="297"/>
      <c r="C59" s="298"/>
      <c r="M59" s="329"/>
      <c r="R59" s="210"/>
    </row>
    <row r="60" spans="1:20" s="289" customFormat="1" ht="14.25">
      <c r="A60" s="750" t="s">
        <v>191</v>
      </c>
      <c r="B60" s="751"/>
      <c r="C60" s="303" t="s">
        <v>47</v>
      </c>
      <c r="D60" s="794" t="s">
        <v>12</v>
      </c>
      <c r="E60" s="795"/>
      <c r="F60" s="796"/>
      <c r="G60" s="797" t="s">
        <v>53</v>
      </c>
      <c r="H60" s="798"/>
      <c r="I60" s="799"/>
      <c r="J60" s="304" t="s">
        <v>54</v>
      </c>
      <c r="K60" s="276" t="s">
        <v>55</v>
      </c>
      <c r="L60" s="276" t="s">
        <v>56</v>
      </c>
      <c r="M60" s="330" t="s">
        <v>11</v>
      </c>
      <c r="N60" s="277" t="s">
        <v>333</v>
      </c>
      <c r="O60" s="758" t="s">
        <v>51</v>
      </c>
      <c r="P60" s="759"/>
      <c r="R60" s="210"/>
      <c r="S60" s="2"/>
    </row>
    <row r="61" spans="1:20" s="289" customFormat="1" ht="39.950000000000003" customHeight="1">
      <c r="A61" s="760">
        <v>6</v>
      </c>
      <c r="B61" s="780" t="s">
        <v>216</v>
      </c>
      <c r="C61" s="279">
        <v>1</v>
      </c>
      <c r="D61" s="337" t="s">
        <v>523</v>
      </c>
      <c r="E61" s="281"/>
      <c r="F61" s="282"/>
      <c r="G61" s="306" t="s">
        <v>335</v>
      </c>
      <c r="H61" s="305"/>
      <c r="I61" s="240"/>
      <c r="J61" s="312">
        <v>15.450000000000001</v>
      </c>
      <c r="K61" s="313">
        <v>2.2743177046885936E-3</v>
      </c>
      <c r="L61" s="314">
        <v>143</v>
      </c>
      <c r="M61" s="322">
        <f t="shared" ref="M61:M65" si="6">L61*J61</f>
        <v>2209.3500000000004</v>
      </c>
      <c r="N61" s="288"/>
      <c r="O61" s="785" t="s">
        <v>575</v>
      </c>
      <c r="P61" s="786"/>
      <c r="R61" s="336"/>
      <c r="S61" s="397"/>
    </row>
    <row r="62" spans="1:20" s="298" customFormat="1" ht="39.950000000000003" customHeight="1">
      <c r="A62" s="761"/>
      <c r="B62" s="781"/>
      <c r="C62" s="279">
        <v>2</v>
      </c>
      <c r="D62" s="237" t="s">
        <v>340</v>
      </c>
      <c r="E62" s="238"/>
      <c r="F62" s="239"/>
      <c r="G62" s="306" t="s">
        <v>534</v>
      </c>
      <c r="H62" s="305"/>
      <c r="I62" s="240"/>
      <c r="J62" s="312">
        <v>39.389999999999993</v>
      </c>
      <c r="K62" s="313">
        <v>1.1881135524008418E-3</v>
      </c>
      <c r="L62" s="314">
        <v>38.47</v>
      </c>
      <c r="M62" s="322">
        <f t="shared" si="6"/>
        <v>1515.3332999999998</v>
      </c>
      <c r="N62" s="314"/>
      <c r="O62" s="869" t="s">
        <v>687</v>
      </c>
      <c r="P62" s="870"/>
      <c r="S62" s="96"/>
    </row>
    <row r="63" spans="1:20" s="289" customFormat="1" ht="39.950000000000003" customHeight="1">
      <c r="A63" s="761"/>
      <c r="B63" s="781"/>
      <c r="C63" s="279">
        <v>3</v>
      </c>
      <c r="D63" s="237" t="s">
        <v>752</v>
      </c>
      <c r="E63" s="281"/>
      <c r="F63" s="282"/>
      <c r="G63" s="306" t="s">
        <v>771</v>
      </c>
      <c r="H63" s="305"/>
      <c r="I63" s="285"/>
      <c r="J63" s="312">
        <v>52.26</v>
      </c>
      <c r="K63" s="313">
        <v>4.0731567200022606E-3</v>
      </c>
      <c r="L63" s="314">
        <v>25.950000000000003</v>
      </c>
      <c r="M63" s="322">
        <f t="shared" si="6"/>
        <v>1356.1470000000002</v>
      </c>
      <c r="N63" s="288"/>
      <c r="O63" s="869" t="s">
        <v>687</v>
      </c>
      <c r="P63" s="870"/>
      <c r="S63" s="2"/>
    </row>
    <row r="64" spans="1:20" s="289" customFormat="1" ht="39.950000000000003" customHeight="1">
      <c r="A64" s="761"/>
      <c r="B64" s="781"/>
      <c r="C64" s="279">
        <v>4</v>
      </c>
      <c r="D64" s="237" t="s">
        <v>614</v>
      </c>
      <c r="E64" s="281"/>
      <c r="F64" s="282"/>
      <c r="G64" s="306" t="s">
        <v>619</v>
      </c>
      <c r="H64" s="305"/>
      <c r="I64" s="285"/>
      <c r="J64" s="312">
        <v>39.389999999999993</v>
      </c>
      <c r="K64" s="313">
        <v>4.183889901275291E-3</v>
      </c>
      <c r="L64" s="314">
        <v>26.609999999999996</v>
      </c>
      <c r="M64" s="322">
        <f t="shared" si="6"/>
        <v>1048.1678999999997</v>
      </c>
      <c r="N64" s="288"/>
      <c r="O64" s="869" t="s">
        <v>687</v>
      </c>
      <c r="P64" s="870"/>
      <c r="R64" s="2"/>
      <c r="S64" s="2"/>
    </row>
    <row r="65" spans="1:21" s="289" customFormat="1" ht="39.950000000000003" customHeight="1" thickBot="1">
      <c r="A65" s="761"/>
      <c r="B65" s="781"/>
      <c r="C65" s="279">
        <v>5</v>
      </c>
      <c r="D65" s="244" t="s">
        <v>533</v>
      </c>
      <c r="E65" s="291"/>
      <c r="F65" s="292"/>
      <c r="G65" s="306" t="s">
        <v>568</v>
      </c>
      <c r="H65" s="305"/>
      <c r="I65" s="285"/>
      <c r="J65" s="388">
        <v>40.04</v>
      </c>
      <c r="K65" s="382">
        <v>7.1441411663738267E-3</v>
      </c>
      <c r="L65" s="317">
        <v>24.64</v>
      </c>
      <c r="M65" s="322">
        <f t="shared" si="6"/>
        <v>986.5856</v>
      </c>
      <c r="N65" s="288"/>
      <c r="O65" s="869" t="s">
        <v>687</v>
      </c>
      <c r="P65" s="870"/>
      <c r="R65" s="2"/>
      <c r="S65" s="2"/>
    </row>
    <row r="66" spans="1:21" s="289" customFormat="1" thickTop="1" thickBot="1">
      <c r="A66" s="762"/>
      <c r="B66" s="782"/>
      <c r="C66" s="789"/>
      <c r="D66" s="790"/>
      <c r="E66" s="790"/>
      <c r="F66" s="790"/>
      <c r="G66" s="790"/>
      <c r="H66" s="790"/>
      <c r="I66" s="791"/>
      <c r="J66" s="347" t="s">
        <v>58</v>
      </c>
      <c r="K66" s="212">
        <f>M66/'生產管理報表 7-1 (週)'!$B$20</f>
        <v>7.3001599790879015E-2</v>
      </c>
      <c r="L66" s="348" t="s">
        <v>59</v>
      </c>
      <c r="M66" s="389">
        <f>SUM(M61:M65)</f>
        <v>7115.5838000000003</v>
      </c>
      <c r="N66" s="777"/>
      <c r="O66" s="778"/>
      <c r="P66" s="779"/>
      <c r="R66" s="2"/>
      <c r="S66" s="2"/>
    </row>
    <row r="67" spans="1:21" s="289" customFormat="1" ht="15.75" customHeight="1" thickTop="1">
      <c r="B67" s="297"/>
      <c r="C67" s="298"/>
      <c r="M67" s="329"/>
      <c r="R67" s="2"/>
      <c r="S67" s="2"/>
    </row>
    <row r="68" spans="1:21" s="289" customFormat="1" ht="14.25">
      <c r="A68" s="750" t="s">
        <v>191</v>
      </c>
      <c r="B68" s="751"/>
      <c r="C68" s="303" t="s">
        <v>47</v>
      </c>
      <c r="D68" s="794" t="s">
        <v>12</v>
      </c>
      <c r="E68" s="795"/>
      <c r="F68" s="796"/>
      <c r="G68" s="797" t="s">
        <v>53</v>
      </c>
      <c r="H68" s="798"/>
      <c r="I68" s="799"/>
      <c r="J68" s="304" t="s">
        <v>54</v>
      </c>
      <c r="K68" s="276" t="s">
        <v>55</v>
      </c>
      <c r="L68" s="276" t="s">
        <v>56</v>
      </c>
      <c r="M68" s="330" t="s">
        <v>11</v>
      </c>
      <c r="N68" s="277" t="s">
        <v>333</v>
      </c>
      <c r="O68" s="758" t="s">
        <v>51</v>
      </c>
      <c r="P68" s="759"/>
      <c r="R68" s="2"/>
      <c r="S68" s="2"/>
    </row>
    <row r="69" spans="1:21" s="289" customFormat="1" ht="20.100000000000001" customHeight="1">
      <c r="A69" s="760">
        <v>7</v>
      </c>
      <c r="B69" s="802" t="s">
        <v>249</v>
      </c>
      <c r="C69" s="279">
        <v>1</v>
      </c>
      <c r="D69" s="280"/>
      <c r="E69" s="281"/>
      <c r="F69" s="282"/>
      <c r="G69" s="283"/>
      <c r="H69" s="284"/>
      <c r="I69" s="285"/>
      <c r="J69" s="286"/>
      <c r="K69" s="287"/>
      <c r="L69" s="288"/>
      <c r="M69" s="331">
        <f t="shared" ref="M69:M71" si="7">L69*J69</f>
        <v>0</v>
      </c>
      <c r="N69" s="288"/>
      <c r="O69" s="805"/>
      <c r="P69" s="806"/>
      <c r="R69" s="2"/>
      <c r="S69" s="2"/>
    </row>
    <row r="70" spans="1:21" s="289" customFormat="1" ht="20.100000000000001" customHeight="1">
      <c r="A70" s="761"/>
      <c r="B70" s="803"/>
      <c r="C70" s="279">
        <v>2</v>
      </c>
      <c r="D70" s="280"/>
      <c r="E70" s="281"/>
      <c r="F70" s="282"/>
      <c r="G70" s="283"/>
      <c r="H70" s="284"/>
      <c r="I70" s="285"/>
      <c r="J70" s="286"/>
      <c r="K70" s="287"/>
      <c r="L70" s="288"/>
      <c r="M70" s="331">
        <f t="shared" si="7"/>
        <v>0</v>
      </c>
      <c r="N70" s="288"/>
      <c r="O70" s="807"/>
      <c r="P70" s="808"/>
      <c r="R70" s="2"/>
      <c r="S70" s="2"/>
    </row>
    <row r="71" spans="1:21" s="289" customFormat="1" ht="20.100000000000001" customHeight="1">
      <c r="A71" s="761"/>
      <c r="B71" s="803"/>
      <c r="C71" s="279">
        <v>3</v>
      </c>
      <c r="D71" s="280"/>
      <c r="E71" s="281"/>
      <c r="F71" s="282"/>
      <c r="G71" s="283"/>
      <c r="H71" s="284"/>
      <c r="I71" s="285"/>
      <c r="J71" s="286"/>
      <c r="K71" s="287"/>
      <c r="L71" s="288"/>
      <c r="M71" s="331">
        <f t="shared" si="7"/>
        <v>0</v>
      </c>
      <c r="N71" s="288"/>
      <c r="O71" s="807"/>
      <c r="P71" s="808"/>
      <c r="R71" s="2"/>
      <c r="S71" s="2"/>
    </row>
    <row r="72" spans="1:21" s="289" customFormat="1" ht="20.100000000000001" customHeight="1">
      <c r="A72" s="761"/>
      <c r="B72" s="803"/>
      <c r="C72" s="279">
        <v>4</v>
      </c>
      <c r="D72" s="280"/>
      <c r="E72" s="281"/>
      <c r="F72" s="282"/>
      <c r="G72" s="283"/>
      <c r="H72" s="284"/>
      <c r="I72" s="285"/>
      <c r="J72" s="286"/>
      <c r="K72" s="287"/>
      <c r="L72" s="288"/>
      <c r="M72" s="332">
        <v>0</v>
      </c>
      <c r="N72" s="288"/>
      <c r="O72" s="299"/>
      <c r="P72" s="300"/>
      <c r="R72" s="2"/>
      <c r="S72" s="2"/>
    </row>
    <row r="73" spans="1:21" s="289" customFormat="1" ht="20.100000000000001" customHeight="1" thickBot="1">
      <c r="A73" s="761"/>
      <c r="B73" s="803"/>
      <c r="C73" s="279">
        <v>5</v>
      </c>
      <c r="D73" s="290"/>
      <c r="E73" s="291"/>
      <c r="F73" s="292"/>
      <c r="G73" s="283"/>
      <c r="H73" s="284"/>
      <c r="I73" s="285"/>
      <c r="J73" s="388"/>
      <c r="K73" s="382"/>
      <c r="L73" s="317"/>
      <c r="M73" s="333">
        <v>0</v>
      </c>
      <c r="N73" s="288"/>
      <c r="O73" s="301"/>
      <c r="P73" s="302"/>
      <c r="R73" s="2"/>
      <c r="S73" s="2"/>
    </row>
    <row r="74" spans="1:21" s="289" customFormat="1" thickTop="1" thickBot="1">
      <c r="A74" s="762"/>
      <c r="B74" s="804"/>
      <c r="C74" s="789"/>
      <c r="D74" s="790"/>
      <c r="E74" s="790"/>
      <c r="F74" s="790"/>
      <c r="G74" s="790"/>
      <c r="H74" s="790"/>
      <c r="I74" s="791"/>
      <c r="J74" s="347" t="s">
        <v>58</v>
      </c>
      <c r="K74" s="212">
        <f>M74/'生產管理報表 7-1 (週)'!$B$20</f>
        <v>0</v>
      </c>
      <c r="L74" s="348" t="s">
        <v>59</v>
      </c>
      <c r="M74" s="389">
        <f>SUM(M69:M73)</f>
        <v>0</v>
      </c>
      <c r="N74" s="777"/>
      <c r="O74" s="778"/>
      <c r="P74" s="779"/>
      <c r="R74" s="2"/>
      <c r="S74" s="2"/>
      <c r="T74" s="2"/>
    </row>
    <row r="75" spans="1:21" s="135" customFormat="1" ht="13.5" thickTop="1">
      <c r="A75" s="709" t="s">
        <v>792</v>
      </c>
      <c r="B75" s="709"/>
      <c r="C75" s="709"/>
      <c r="D75" s="709"/>
      <c r="E75" s="709"/>
      <c r="F75" s="709"/>
      <c r="G75" s="709"/>
      <c r="H75" s="709"/>
      <c r="I75" s="709"/>
      <c r="J75" s="709"/>
      <c r="K75" s="709"/>
      <c r="L75" s="709"/>
      <c r="M75" s="709"/>
      <c r="R75" s="231"/>
      <c r="S75" s="231"/>
      <c r="T75" s="231"/>
      <c r="U75" s="231"/>
    </row>
    <row r="76" spans="1:21" s="136" customFormat="1" ht="12">
      <c r="A76" s="745"/>
      <c r="B76" s="745"/>
      <c r="C76" s="745"/>
      <c r="D76" s="745"/>
      <c r="E76" s="745"/>
      <c r="F76" s="745"/>
      <c r="G76" s="745"/>
      <c r="H76" s="745"/>
      <c r="I76" s="745"/>
      <c r="J76" s="745"/>
      <c r="K76" s="745"/>
      <c r="L76" s="745"/>
      <c r="M76" s="745"/>
    </row>
    <row r="77" spans="1:21" s="135" customFormat="1" ht="12">
      <c r="A77" s="746" t="s">
        <v>191</v>
      </c>
      <c r="B77" s="748">
        <v>1</v>
      </c>
      <c r="C77" s="749"/>
      <c r="D77" s="748">
        <v>2</v>
      </c>
      <c r="E77" s="749"/>
      <c r="F77" s="748">
        <v>3</v>
      </c>
      <c r="G77" s="749"/>
      <c r="H77" s="739">
        <v>4</v>
      </c>
      <c r="I77" s="740"/>
      <c r="J77" s="739">
        <v>5</v>
      </c>
      <c r="K77" s="740"/>
      <c r="L77" s="739">
        <v>6</v>
      </c>
      <c r="M77" s="740"/>
      <c r="N77" s="739">
        <v>7</v>
      </c>
      <c r="O77" s="740"/>
      <c r="P77" s="352">
        <v>8</v>
      </c>
    </row>
    <row r="78" spans="1:21" s="135" customFormat="1">
      <c r="A78" s="747"/>
      <c r="B78" s="743" t="s">
        <v>452</v>
      </c>
      <c r="C78" s="744"/>
      <c r="D78" s="743" t="s">
        <v>212</v>
      </c>
      <c r="E78" s="744"/>
      <c r="F78" s="743" t="s">
        <v>166</v>
      </c>
      <c r="G78" s="744"/>
      <c r="H78" s="741" t="s">
        <v>428</v>
      </c>
      <c r="I78" s="742"/>
      <c r="J78" s="741" t="s">
        <v>189</v>
      </c>
      <c r="K78" s="742"/>
      <c r="L78" s="741" t="s">
        <v>167</v>
      </c>
      <c r="M78" s="742"/>
      <c r="N78" s="741" t="s">
        <v>190</v>
      </c>
      <c r="O78" s="742"/>
      <c r="P78" s="353" t="s">
        <v>217</v>
      </c>
    </row>
    <row r="79" spans="1:21" s="135" customFormat="1" ht="15.75" customHeight="1">
      <c r="B79" s="232"/>
      <c r="C79" s="233"/>
    </row>
    <row r="80" spans="1:21" s="278" customFormat="1">
      <c r="A80" s="750" t="s">
        <v>191</v>
      </c>
      <c r="B80" s="751"/>
      <c r="C80" s="275" t="s">
        <v>47</v>
      </c>
      <c r="D80" s="752" t="s">
        <v>12</v>
      </c>
      <c r="E80" s="753"/>
      <c r="F80" s="754"/>
      <c r="G80" s="755" t="s">
        <v>53</v>
      </c>
      <c r="H80" s="756"/>
      <c r="I80" s="757"/>
      <c r="J80" s="276" t="s">
        <v>54</v>
      </c>
      <c r="K80" s="276" t="s">
        <v>55</v>
      </c>
      <c r="L80" s="276" t="s">
        <v>56</v>
      </c>
      <c r="M80" s="277" t="s">
        <v>11</v>
      </c>
      <c r="N80" s="277" t="s">
        <v>333</v>
      </c>
      <c r="O80" s="758" t="s">
        <v>51</v>
      </c>
      <c r="P80" s="759"/>
      <c r="R80" s="210"/>
      <c r="S80" s="261"/>
    </row>
    <row r="81" spans="1:20" s="298" customFormat="1" ht="20.100000000000001" customHeight="1">
      <c r="A81" s="760">
        <v>4</v>
      </c>
      <c r="B81" s="763" t="s">
        <v>428</v>
      </c>
      <c r="C81" s="279">
        <v>1</v>
      </c>
      <c r="D81" s="237"/>
      <c r="E81" s="238"/>
      <c r="F81" s="239"/>
      <c r="G81" s="350"/>
      <c r="H81" s="305"/>
      <c r="I81" s="306"/>
      <c r="J81" s="312"/>
      <c r="K81" s="313"/>
      <c r="L81" s="314"/>
      <c r="M81" s="322">
        <f t="shared" ref="M81:M85" si="8">L81*J81</f>
        <v>0</v>
      </c>
      <c r="N81" s="314"/>
      <c r="O81" s="857"/>
      <c r="P81" s="858"/>
      <c r="R81" s="315"/>
      <c r="S81" s="261"/>
    </row>
    <row r="82" spans="1:20" s="298" customFormat="1" ht="20.100000000000001" customHeight="1">
      <c r="A82" s="761"/>
      <c r="B82" s="764"/>
      <c r="C82" s="279">
        <v>2</v>
      </c>
      <c r="D82" s="237"/>
      <c r="E82" s="238"/>
      <c r="F82" s="239"/>
      <c r="G82" s="350"/>
      <c r="H82" s="305"/>
      <c r="I82" s="306"/>
      <c r="J82" s="312"/>
      <c r="K82" s="313"/>
      <c r="L82" s="314"/>
      <c r="M82" s="322">
        <f t="shared" si="8"/>
        <v>0</v>
      </c>
      <c r="N82" s="314"/>
      <c r="O82" s="768"/>
      <c r="P82" s="769"/>
      <c r="R82" s="315"/>
      <c r="S82" s="210"/>
      <c r="T82" s="335"/>
    </row>
    <row r="83" spans="1:20" s="298" customFormat="1" ht="20.100000000000001" customHeight="1">
      <c r="A83" s="761"/>
      <c r="B83" s="764"/>
      <c r="C83" s="279">
        <v>3</v>
      </c>
      <c r="D83" s="237"/>
      <c r="E83" s="238"/>
      <c r="F83" s="239"/>
      <c r="G83" s="350"/>
      <c r="H83" s="305"/>
      <c r="I83" s="306"/>
      <c r="J83" s="312"/>
      <c r="K83" s="313"/>
      <c r="L83" s="314"/>
      <c r="M83" s="322">
        <f t="shared" si="8"/>
        <v>0</v>
      </c>
      <c r="N83" s="314"/>
      <c r="O83" s="857"/>
      <c r="P83" s="858"/>
      <c r="R83" s="315"/>
      <c r="S83" s="261"/>
    </row>
    <row r="84" spans="1:20" s="298" customFormat="1" ht="20.100000000000001" customHeight="1">
      <c r="A84" s="761"/>
      <c r="B84" s="764"/>
      <c r="C84" s="279">
        <v>4</v>
      </c>
      <c r="D84" s="237"/>
      <c r="E84" s="238"/>
      <c r="F84" s="239"/>
      <c r="G84" s="350"/>
      <c r="H84" s="305"/>
      <c r="I84" s="306"/>
      <c r="J84" s="312"/>
      <c r="K84" s="313"/>
      <c r="L84" s="314"/>
      <c r="M84" s="322">
        <f t="shared" si="8"/>
        <v>0</v>
      </c>
      <c r="N84" s="314"/>
      <c r="O84" s="857"/>
      <c r="P84" s="858"/>
      <c r="R84" s="315"/>
      <c r="S84" s="210"/>
      <c r="T84" s="335"/>
    </row>
    <row r="85" spans="1:20" s="298" customFormat="1" ht="20.100000000000001" customHeight="1" thickBot="1">
      <c r="A85" s="761"/>
      <c r="B85" s="764"/>
      <c r="C85" s="279">
        <v>5</v>
      </c>
      <c r="D85" s="237"/>
      <c r="E85" s="245"/>
      <c r="F85" s="246"/>
      <c r="G85" s="350"/>
      <c r="H85" s="305"/>
      <c r="I85" s="306"/>
      <c r="J85" s="388"/>
      <c r="K85" s="382"/>
      <c r="L85" s="317"/>
      <c r="M85" s="322">
        <f t="shared" si="8"/>
        <v>0</v>
      </c>
      <c r="N85" s="314"/>
      <c r="O85" s="857"/>
      <c r="P85" s="858"/>
      <c r="R85" s="318"/>
      <c r="S85" s="261"/>
      <c r="T85" s="289"/>
    </row>
    <row r="86" spans="1:20" s="289" customFormat="1" thickTop="1" thickBot="1">
      <c r="A86" s="762"/>
      <c r="B86" s="765"/>
      <c r="C86" s="774"/>
      <c r="D86" s="775"/>
      <c r="E86" s="775"/>
      <c r="F86" s="775"/>
      <c r="G86" s="775"/>
      <c r="H86" s="775"/>
      <c r="I86" s="776"/>
      <c r="J86" s="347" t="s">
        <v>58</v>
      </c>
      <c r="K86" s="212">
        <f>M86/'生產管理報表 7-1 (週)'!$B$31</f>
        <v>0</v>
      </c>
      <c r="L86" s="348" t="s">
        <v>59</v>
      </c>
      <c r="M86" s="389">
        <f>SUM(M81:M85)</f>
        <v>0</v>
      </c>
      <c r="N86" s="777"/>
      <c r="O86" s="778"/>
      <c r="P86" s="779"/>
      <c r="R86" s="210"/>
      <c r="S86" s="210"/>
    </row>
    <row r="87" spans="1:20" s="289" customFormat="1" ht="15.75" customHeight="1" thickTop="1">
      <c r="B87" s="297"/>
      <c r="C87" s="298"/>
      <c r="M87" s="329"/>
      <c r="S87" s="261"/>
    </row>
    <row r="88" spans="1:20" s="289" customFormat="1" ht="14.25">
      <c r="A88" s="750" t="s">
        <v>191</v>
      </c>
      <c r="B88" s="751"/>
      <c r="C88" s="275" t="s">
        <v>47</v>
      </c>
      <c r="D88" s="752" t="s">
        <v>12</v>
      </c>
      <c r="E88" s="753"/>
      <c r="F88" s="754"/>
      <c r="G88" s="755" t="s">
        <v>53</v>
      </c>
      <c r="H88" s="756"/>
      <c r="I88" s="757"/>
      <c r="J88" s="276" t="s">
        <v>54</v>
      </c>
      <c r="K88" s="276" t="s">
        <v>55</v>
      </c>
      <c r="L88" s="276" t="s">
        <v>56</v>
      </c>
      <c r="M88" s="330" t="s">
        <v>11</v>
      </c>
      <c r="N88" s="277" t="s">
        <v>333</v>
      </c>
      <c r="O88" s="758" t="s">
        <v>51</v>
      </c>
      <c r="P88" s="759"/>
      <c r="S88" s="210"/>
      <c r="T88" s="335"/>
    </row>
    <row r="89" spans="1:20" s="298" customFormat="1" ht="39.950000000000003" customHeight="1">
      <c r="A89" s="760">
        <v>5</v>
      </c>
      <c r="B89" s="780" t="s">
        <v>215</v>
      </c>
      <c r="C89" s="279">
        <v>1</v>
      </c>
      <c r="D89" s="237" t="s">
        <v>340</v>
      </c>
      <c r="E89" s="238"/>
      <c r="F89" s="239"/>
      <c r="G89" s="306" t="s">
        <v>336</v>
      </c>
      <c r="H89" s="305"/>
      <c r="I89" s="306"/>
      <c r="J89" s="312">
        <v>147.43000000000004</v>
      </c>
      <c r="K89" s="313">
        <v>2.2092966220856086E-3</v>
      </c>
      <c r="L89" s="314">
        <v>10.81</v>
      </c>
      <c r="M89" s="322">
        <f>L89*J89</f>
        <v>1593.7183000000005</v>
      </c>
      <c r="N89" s="314"/>
      <c r="O89" s="768" t="s">
        <v>830</v>
      </c>
      <c r="P89" s="769"/>
      <c r="R89" s="335"/>
      <c r="S89" s="390"/>
    </row>
    <row r="90" spans="1:20" s="298" customFormat="1" ht="39.950000000000003" customHeight="1">
      <c r="A90" s="761"/>
      <c r="B90" s="781"/>
      <c r="C90" s="279">
        <v>2</v>
      </c>
      <c r="D90" s="237" t="s">
        <v>710</v>
      </c>
      <c r="E90" s="238"/>
      <c r="F90" s="239"/>
      <c r="G90" s="306" t="s">
        <v>773</v>
      </c>
      <c r="H90" s="305"/>
      <c r="I90" s="306"/>
      <c r="J90" s="312">
        <v>122.85000000000001</v>
      </c>
      <c r="K90" s="313">
        <v>8.1864281674479244E-3</v>
      </c>
      <c r="L90" s="314">
        <v>8.5399999999999991</v>
      </c>
      <c r="M90" s="322">
        <f t="shared" ref="M90:M93" si="9">L90*J90</f>
        <v>1049.1389999999999</v>
      </c>
      <c r="N90" s="314"/>
      <c r="O90" s="768" t="s">
        <v>831</v>
      </c>
      <c r="P90" s="769"/>
      <c r="S90" s="210"/>
      <c r="T90" s="336"/>
    </row>
    <row r="91" spans="1:20" s="289" customFormat="1" ht="20.100000000000001" customHeight="1">
      <c r="A91" s="761"/>
      <c r="B91" s="781"/>
      <c r="C91" s="279">
        <v>3</v>
      </c>
      <c r="D91" s="237"/>
      <c r="E91" s="281"/>
      <c r="F91" s="282"/>
      <c r="G91" s="350"/>
      <c r="H91" s="305"/>
      <c r="I91" s="306"/>
      <c r="J91" s="312"/>
      <c r="K91" s="313"/>
      <c r="L91" s="314"/>
      <c r="M91" s="322">
        <f t="shared" si="9"/>
        <v>0</v>
      </c>
      <c r="N91" s="288"/>
      <c r="O91" s="785"/>
      <c r="P91" s="786"/>
    </row>
    <row r="92" spans="1:20" s="289" customFormat="1" ht="20.100000000000001" customHeight="1">
      <c r="A92" s="761"/>
      <c r="B92" s="781"/>
      <c r="C92" s="279">
        <v>4</v>
      </c>
      <c r="D92" s="237"/>
      <c r="E92" s="281"/>
      <c r="F92" s="282"/>
      <c r="G92" s="350"/>
      <c r="H92" s="305"/>
      <c r="I92" s="306"/>
      <c r="J92" s="312"/>
      <c r="K92" s="313"/>
      <c r="L92" s="314"/>
      <c r="M92" s="322">
        <f t="shared" si="9"/>
        <v>0</v>
      </c>
      <c r="N92" s="288"/>
      <c r="O92" s="768"/>
      <c r="P92" s="769"/>
    </row>
    <row r="93" spans="1:20" s="289" customFormat="1" ht="20.100000000000001" customHeight="1" thickBot="1">
      <c r="A93" s="761"/>
      <c r="B93" s="781"/>
      <c r="C93" s="279">
        <v>5</v>
      </c>
      <c r="D93" s="244"/>
      <c r="E93" s="291"/>
      <c r="F93" s="292"/>
      <c r="G93" s="350"/>
      <c r="H93" s="305"/>
      <c r="I93" s="306"/>
      <c r="J93" s="388"/>
      <c r="K93" s="382"/>
      <c r="L93" s="317"/>
      <c r="M93" s="322">
        <f t="shared" si="9"/>
        <v>0</v>
      </c>
      <c r="N93" s="288"/>
      <c r="O93" s="871"/>
      <c r="P93" s="872"/>
      <c r="R93" s="211"/>
    </row>
    <row r="94" spans="1:20" s="289" customFormat="1" thickTop="1" thickBot="1">
      <c r="A94" s="762"/>
      <c r="B94" s="782"/>
      <c r="C94" s="789"/>
      <c r="D94" s="790"/>
      <c r="E94" s="790"/>
      <c r="F94" s="790"/>
      <c r="G94" s="790"/>
      <c r="H94" s="790"/>
      <c r="I94" s="791"/>
      <c r="J94" s="347" t="s">
        <v>58</v>
      </c>
      <c r="K94" s="212">
        <f>M94/'生產管理報表 7-1 (週)'!$B$31</f>
        <v>3.01149836547428E-2</v>
      </c>
      <c r="L94" s="348" t="s">
        <v>59</v>
      </c>
      <c r="M94" s="389">
        <f>SUM(M89:M93)</f>
        <v>2642.8573000000006</v>
      </c>
      <c r="N94" s="777"/>
      <c r="O94" s="778"/>
      <c r="P94" s="779"/>
      <c r="R94" s="210"/>
    </row>
    <row r="95" spans="1:20" s="289" customFormat="1" ht="15.75" customHeight="1" thickTop="1">
      <c r="B95" s="297"/>
      <c r="C95" s="298"/>
      <c r="M95" s="329"/>
      <c r="R95" s="210"/>
    </row>
    <row r="96" spans="1:20" s="289" customFormat="1" ht="14.25">
      <c r="A96" s="750" t="s">
        <v>191</v>
      </c>
      <c r="B96" s="751"/>
      <c r="C96" s="303" t="s">
        <v>47</v>
      </c>
      <c r="D96" s="794" t="s">
        <v>12</v>
      </c>
      <c r="E96" s="795"/>
      <c r="F96" s="796"/>
      <c r="G96" s="797" t="s">
        <v>53</v>
      </c>
      <c r="H96" s="798"/>
      <c r="I96" s="799"/>
      <c r="J96" s="304" t="s">
        <v>54</v>
      </c>
      <c r="K96" s="276" t="s">
        <v>55</v>
      </c>
      <c r="L96" s="276" t="s">
        <v>56</v>
      </c>
      <c r="M96" s="330" t="s">
        <v>11</v>
      </c>
      <c r="N96" s="277" t="s">
        <v>333</v>
      </c>
      <c r="O96" s="758" t="s">
        <v>51</v>
      </c>
      <c r="P96" s="759"/>
      <c r="R96" s="210"/>
      <c r="S96" s="2"/>
    </row>
    <row r="97" spans="1:20" s="289" customFormat="1" ht="39.950000000000003" customHeight="1">
      <c r="A97" s="760">
        <v>6</v>
      </c>
      <c r="B97" s="780" t="s">
        <v>216</v>
      </c>
      <c r="C97" s="279">
        <v>1</v>
      </c>
      <c r="D97" s="337" t="s">
        <v>523</v>
      </c>
      <c r="E97" s="281"/>
      <c r="F97" s="282"/>
      <c r="G97" s="240" t="s">
        <v>335</v>
      </c>
      <c r="H97" s="305"/>
      <c r="I97" s="240"/>
      <c r="J97" s="312">
        <v>15.450000000000001</v>
      </c>
      <c r="K97" s="313">
        <v>2.0122510579114019E-3</v>
      </c>
      <c r="L97" s="314">
        <v>136</v>
      </c>
      <c r="M97" s="322">
        <f t="shared" ref="M97:M101" si="10">L97*J97</f>
        <v>2101.2000000000003</v>
      </c>
      <c r="N97" s="288"/>
      <c r="O97" s="785" t="s">
        <v>834</v>
      </c>
      <c r="P97" s="786"/>
      <c r="R97" s="336"/>
      <c r="S97" s="397"/>
    </row>
    <row r="98" spans="1:20" s="298" customFormat="1" ht="39.950000000000003" customHeight="1">
      <c r="A98" s="761"/>
      <c r="B98" s="781"/>
      <c r="C98" s="279">
        <v>2</v>
      </c>
      <c r="D98" s="237" t="s">
        <v>752</v>
      </c>
      <c r="E98" s="238"/>
      <c r="F98" s="239"/>
      <c r="G98" s="240" t="s">
        <v>771</v>
      </c>
      <c r="H98" s="305"/>
      <c r="I98" s="240"/>
      <c r="J98" s="312">
        <v>52.26</v>
      </c>
      <c r="K98" s="313">
        <v>5.8908680768830135E-3</v>
      </c>
      <c r="L98" s="314">
        <v>32.800000000000004</v>
      </c>
      <c r="M98" s="322">
        <f t="shared" si="10"/>
        <v>1714.1280000000002</v>
      </c>
      <c r="N98" s="314"/>
      <c r="O98" s="869" t="s">
        <v>835</v>
      </c>
      <c r="P98" s="870"/>
      <c r="S98" s="521"/>
    </row>
    <row r="99" spans="1:20" s="289" customFormat="1" ht="39.950000000000003" customHeight="1">
      <c r="A99" s="761"/>
      <c r="B99" s="781"/>
      <c r="C99" s="279">
        <v>3</v>
      </c>
      <c r="D99" s="237" t="s">
        <v>340</v>
      </c>
      <c r="E99" s="281"/>
      <c r="F99" s="282"/>
      <c r="G99" s="240" t="s">
        <v>534</v>
      </c>
      <c r="H99" s="305"/>
      <c r="I99" s="285"/>
      <c r="J99" s="312">
        <v>39.389999999999993</v>
      </c>
      <c r="K99" s="313">
        <v>1.1879648082438147E-3</v>
      </c>
      <c r="L99" s="314">
        <v>36.659999999999997</v>
      </c>
      <c r="M99" s="322">
        <f t="shared" si="10"/>
        <v>1444.0373999999997</v>
      </c>
      <c r="N99" s="288"/>
      <c r="O99" s="869" t="s">
        <v>835</v>
      </c>
      <c r="P99" s="870"/>
      <c r="S99" s="2"/>
    </row>
    <row r="100" spans="1:20" s="289" customFormat="1" ht="39.950000000000003" customHeight="1">
      <c r="A100" s="761"/>
      <c r="B100" s="781"/>
      <c r="C100" s="279">
        <v>4</v>
      </c>
      <c r="D100" s="237"/>
      <c r="E100" s="281"/>
      <c r="F100" s="282"/>
      <c r="G100" s="350"/>
      <c r="H100" s="305"/>
      <c r="I100" s="306"/>
      <c r="J100" s="312"/>
      <c r="K100" s="313"/>
      <c r="L100" s="314"/>
      <c r="M100" s="322">
        <f t="shared" si="10"/>
        <v>0</v>
      </c>
      <c r="N100" s="288"/>
      <c r="O100" s="869"/>
      <c r="P100" s="870"/>
      <c r="R100" s="2"/>
      <c r="S100" s="2"/>
    </row>
    <row r="101" spans="1:20" s="289" customFormat="1" ht="39.950000000000003" customHeight="1" thickBot="1">
      <c r="A101" s="761"/>
      <c r="B101" s="781"/>
      <c r="C101" s="279">
        <v>5</v>
      </c>
      <c r="D101" s="244"/>
      <c r="E101" s="291"/>
      <c r="F101" s="292"/>
      <c r="G101" s="350"/>
      <c r="H101" s="305"/>
      <c r="I101" s="306"/>
      <c r="J101" s="388"/>
      <c r="K101" s="382"/>
      <c r="L101" s="317"/>
      <c r="M101" s="322">
        <f t="shared" si="10"/>
        <v>0</v>
      </c>
      <c r="N101" s="288"/>
      <c r="O101" s="869"/>
      <c r="P101" s="870"/>
      <c r="R101" s="2"/>
      <c r="S101" s="2"/>
    </row>
    <row r="102" spans="1:20" s="289" customFormat="1" thickTop="1" thickBot="1">
      <c r="A102" s="762"/>
      <c r="B102" s="782"/>
      <c r="C102" s="789"/>
      <c r="D102" s="790"/>
      <c r="E102" s="790"/>
      <c r="F102" s="790"/>
      <c r="G102" s="790"/>
      <c r="H102" s="790"/>
      <c r="I102" s="791"/>
      <c r="J102" s="347" t="s">
        <v>58</v>
      </c>
      <c r="K102" s="212">
        <f>M102/'生產管理報表 7-1 (週)'!$B$31</f>
        <v>5.992972191700241E-2</v>
      </c>
      <c r="L102" s="348" t="s">
        <v>59</v>
      </c>
      <c r="M102" s="389">
        <f>SUM(M97:M101)</f>
        <v>5259.3654000000006</v>
      </c>
      <c r="N102" s="777"/>
      <c r="O102" s="778"/>
      <c r="P102" s="779"/>
      <c r="R102" s="2"/>
      <c r="S102" s="2"/>
    </row>
    <row r="103" spans="1:20" s="289" customFormat="1" ht="15.75" customHeight="1" thickTop="1">
      <c r="B103" s="297"/>
      <c r="C103" s="298"/>
      <c r="M103" s="329"/>
      <c r="R103" s="2"/>
      <c r="S103" s="2"/>
    </row>
    <row r="104" spans="1:20" s="289" customFormat="1" ht="14.25">
      <c r="A104" s="750" t="s">
        <v>191</v>
      </c>
      <c r="B104" s="751"/>
      <c r="C104" s="303" t="s">
        <v>47</v>
      </c>
      <c r="D104" s="794" t="s">
        <v>12</v>
      </c>
      <c r="E104" s="795"/>
      <c r="F104" s="796"/>
      <c r="G104" s="797" t="s">
        <v>53</v>
      </c>
      <c r="H104" s="798"/>
      <c r="I104" s="799"/>
      <c r="J104" s="304" t="s">
        <v>54</v>
      </c>
      <c r="K104" s="276" t="s">
        <v>55</v>
      </c>
      <c r="L104" s="276" t="s">
        <v>56</v>
      </c>
      <c r="M104" s="330" t="s">
        <v>11</v>
      </c>
      <c r="N104" s="277" t="s">
        <v>333</v>
      </c>
      <c r="O104" s="758" t="s">
        <v>51</v>
      </c>
      <c r="P104" s="759"/>
      <c r="R104" s="2"/>
      <c r="S104" s="2"/>
    </row>
    <row r="105" spans="1:20" s="289" customFormat="1" ht="20.100000000000001" customHeight="1">
      <c r="A105" s="760">
        <v>7</v>
      </c>
      <c r="B105" s="802" t="s">
        <v>249</v>
      </c>
      <c r="C105" s="279">
        <v>1</v>
      </c>
      <c r="D105" s="280"/>
      <c r="E105" s="281"/>
      <c r="F105" s="282"/>
      <c r="G105" s="283"/>
      <c r="H105" s="284"/>
      <c r="I105" s="285"/>
      <c r="J105" s="286"/>
      <c r="K105" s="287"/>
      <c r="L105" s="288"/>
      <c r="M105" s="331">
        <f t="shared" ref="M105:M107" si="11">L105*J105</f>
        <v>0</v>
      </c>
      <c r="N105" s="288"/>
      <c r="O105" s="805"/>
      <c r="P105" s="806"/>
      <c r="R105" s="2"/>
      <c r="S105" s="2"/>
    </row>
    <row r="106" spans="1:20" s="289" customFormat="1" ht="20.100000000000001" customHeight="1">
      <c r="A106" s="761"/>
      <c r="B106" s="803"/>
      <c r="C106" s="279">
        <v>2</v>
      </c>
      <c r="D106" s="280"/>
      <c r="E106" s="281"/>
      <c r="F106" s="282"/>
      <c r="G106" s="283"/>
      <c r="H106" s="284"/>
      <c r="I106" s="285"/>
      <c r="J106" s="286"/>
      <c r="K106" s="287"/>
      <c r="L106" s="288"/>
      <c r="M106" s="331">
        <f t="shared" si="11"/>
        <v>0</v>
      </c>
      <c r="N106" s="288"/>
      <c r="O106" s="807"/>
      <c r="P106" s="808"/>
      <c r="R106" s="2"/>
      <c r="S106" s="2"/>
    </row>
    <row r="107" spans="1:20" s="289" customFormat="1" ht="20.100000000000001" customHeight="1">
      <c r="A107" s="761"/>
      <c r="B107" s="803"/>
      <c r="C107" s="279">
        <v>3</v>
      </c>
      <c r="D107" s="280"/>
      <c r="E107" s="281"/>
      <c r="F107" s="282"/>
      <c r="G107" s="283"/>
      <c r="H107" s="284"/>
      <c r="I107" s="285"/>
      <c r="J107" s="286"/>
      <c r="K107" s="287"/>
      <c r="L107" s="288"/>
      <c r="M107" s="331">
        <f t="shared" si="11"/>
        <v>0</v>
      </c>
      <c r="N107" s="288"/>
      <c r="O107" s="807"/>
      <c r="P107" s="808"/>
      <c r="R107" s="2"/>
      <c r="S107" s="2"/>
    </row>
    <row r="108" spans="1:20" s="289" customFormat="1" ht="20.100000000000001" customHeight="1">
      <c r="A108" s="761"/>
      <c r="B108" s="803"/>
      <c r="C108" s="279">
        <v>4</v>
      </c>
      <c r="D108" s="280"/>
      <c r="E108" s="281"/>
      <c r="F108" s="282"/>
      <c r="G108" s="283"/>
      <c r="H108" s="284"/>
      <c r="I108" s="285"/>
      <c r="J108" s="286"/>
      <c r="K108" s="287"/>
      <c r="L108" s="288"/>
      <c r="M108" s="332">
        <v>0</v>
      </c>
      <c r="N108" s="288"/>
      <c r="O108" s="299"/>
      <c r="P108" s="300"/>
      <c r="R108" s="2"/>
      <c r="S108" s="2"/>
    </row>
    <row r="109" spans="1:20" s="289" customFormat="1" ht="20.100000000000001" customHeight="1" thickBot="1">
      <c r="A109" s="761"/>
      <c r="B109" s="803"/>
      <c r="C109" s="279">
        <v>5</v>
      </c>
      <c r="D109" s="290"/>
      <c r="E109" s="291"/>
      <c r="F109" s="292"/>
      <c r="G109" s="283"/>
      <c r="H109" s="284"/>
      <c r="I109" s="285"/>
      <c r="J109" s="388"/>
      <c r="K109" s="382"/>
      <c r="L109" s="317"/>
      <c r="M109" s="333">
        <v>0</v>
      </c>
      <c r="N109" s="288"/>
      <c r="O109" s="301"/>
      <c r="P109" s="302"/>
      <c r="R109" s="2"/>
      <c r="S109" s="2"/>
    </row>
    <row r="110" spans="1:20" s="289" customFormat="1" thickTop="1" thickBot="1">
      <c r="A110" s="762"/>
      <c r="B110" s="804"/>
      <c r="C110" s="789"/>
      <c r="D110" s="790"/>
      <c r="E110" s="790"/>
      <c r="F110" s="790"/>
      <c r="G110" s="790"/>
      <c r="H110" s="790"/>
      <c r="I110" s="791"/>
      <c r="J110" s="347" t="s">
        <v>58</v>
      </c>
      <c r="K110" s="212">
        <f>M110/'生產管理報表 7-1 (週)'!$B$31</f>
        <v>0</v>
      </c>
      <c r="L110" s="348" t="s">
        <v>59</v>
      </c>
      <c r="M110" s="389">
        <f>SUM(M105:M109)</f>
        <v>0</v>
      </c>
      <c r="N110" s="777"/>
      <c r="O110" s="778"/>
      <c r="P110" s="779"/>
      <c r="R110" s="2"/>
      <c r="S110" s="2"/>
      <c r="T110" s="2"/>
    </row>
    <row r="111" spans="1:20" s="135" customFormat="1" ht="15.75" customHeight="1" thickTop="1">
      <c r="A111" s="868" t="s">
        <v>828</v>
      </c>
      <c r="B111" s="868"/>
      <c r="C111" s="868"/>
      <c r="D111" s="868"/>
      <c r="E111" s="868"/>
      <c r="F111" s="868"/>
      <c r="G111" s="868"/>
      <c r="H111" s="868"/>
      <c r="I111" s="868"/>
      <c r="J111" s="868"/>
      <c r="K111" s="868"/>
      <c r="L111" s="868"/>
      <c r="M111" s="868"/>
      <c r="Q111" s="231"/>
      <c r="R111" s="231"/>
      <c r="S111" s="231"/>
      <c r="T111" s="231"/>
    </row>
    <row r="112" spans="1:20" s="136" customFormat="1" ht="15.75" customHeight="1">
      <c r="A112" s="745"/>
      <c r="B112" s="745"/>
      <c r="C112" s="745"/>
      <c r="D112" s="745"/>
      <c r="E112" s="745"/>
      <c r="F112" s="745"/>
      <c r="G112" s="745"/>
      <c r="H112" s="745"/>
      <c r="I112" s="745"/>
      <c r="J112" s="745"/>
      <c r="K112" s="745"/>
      <c r="L112" s="745"/>
      <c r="M112" s="745"/>
    </row>
    <row r="113" spans="1:20" s="135" customFormat="1" ht="12">
      <c r="A113" s="746" t="s">
        <v>191</v>
      </c>
      <c r="B113" s="748">
        <v>1</v>
      </c>
      <c r="C113" s="749"/>
      <c r="D113" s="748">
        <v>2</v>
      </c>
      <c r="E113" s="749"/>
      <c r="F113" s="748">
        <v>3</v>
      </c>
      <c r="G113" s="749"/>
      <c r="H113" s="739">
        <v>4</v>
      </c>
      <c r="I113" s="740"/>
      <c r="J113" s="739">
        <v>5</v>
      </c>
      <c r="K113" s="740"/>
      <c r="L113" s="739">
        <v>6</v>
      </c>
      <c r="M113" s="740"/>
      <c r="N113" s="739">
        <v>7</v>
      </c>
      <c r="O113" s="740"/>
      <c r="P113" s="352">
        <v>8</v>
      </c>
    </row>
    <row r="114" spans="1:20" s="135" customFormat="1">
      <c r="A114" s="747"/>
      <c r="B114" s="743" t="s">
        <v>452</v>
      </c>
      <c r="C114" s="744"/>
      <c r="D114" s="743" t="s">
        <v>212</v>
      </c>
      <c r="E114" s="744"/>
      <c r="F114" s="743" t="s">
        <v>166</v>
      </c>
      <c r="G114" s="744"/>
      <c r="H114" s="741" t="s">
        <v>428</v>
      </c>
      <c r="I114" s="742"/>
      <c r="J114" s="741" t="s">
        <v>189</v>
      </c>
      <c r="K114" s="742"/>
      <c r="L114" s="741" t="s">
        <v>167</v>
      </c>
      <c r="M114" s="742"/>
      <c r="N114" s="741" t="s">
        <v>190</v>
      </c>
      <c r="O114" s="742"/>
      <c r="P114" s="353" t="s">
        <v>217</v>
      </c>
    </row>
    <row r="115" spans="1:20" s="135" customFormat="1" ht="15.75" customHeight="1">
      <c r="B115" s="232"/>
      <c r="C115" s="233"/>
    </row>
    <row r="116" spans="1:20" s="278" customFormat="1">
      <c r="A116" s="750" t="s">
        <v>191</v>
      </c>
      <c r="B116" s="751"/>
      <c r="C116" s="275" t="s">
        <v>47</v>
      </c>
      <c r="D116" s="752" t="s">
        <v>12</v>
      </c>
      <c r="E116" s="753"/>
      <c r="F116" s="754"/>
      <c r="G116" s="755" t="s">
        <v>53</v>
      </c>
      <c r="H116" s="756"/>
      <c r="I116" s="757"/>
      <c r="J116" s="276" t="s">
        <v>54</v>
      </c>
      <c r="K116" s="276" t="s">
        <v>55</v>
      </c>
      <c r="L116" s="276" t="s">
        <v>56</v>
      </c>
      <c r="M116" s="277" t="s">
        <v>11</v>
      </c>
      <c r="N116" s="277" t="s">
        <v>333</v>
      </c>
      <c r="O116" s="758" t="s">
        <v>51</v>
      </c>
      <c r="P116" s="759"/>
      <c r="R116" s="210"/>
      <c r="S116" s="261"/>
    </row>
    <row r="117" spans="1:20" s="298" customFormat="1" ht="20.100000000000001" customHeight="1">
      <c r="A117" s="760">
        <v>4</v>
      </c>
      <c r="B117" s="763" t="s">
        <v>428</v>
      </c>
      <c r="C117" s="279">
        <v>1</v>
      </c>
      <c r="D117" s="237"/>
      <c r="E117" s="238"/>
      <c r="F117" s="239"/>
      <c r="G117" s="350"/>
      <c r="H117" s="305"/>
      <c r="I117" s="306"/>
      <c r="J117" s="312"/>
      <c r="K117" s="313"/>
      <c r="L117" s="314"/>
      <c r="M117" s="322">
        <f t="shared" ref="M117:M121" si="12">L117*J117</f>
        <v>0</v>
      </c>
      <c r="N117" s="314"/>
      <c r="O117" s="857"/>
      <c r="P117" s="858"/>
      <c r="R117" s="315"/>
      <c r="S117" s="261"/>
    </row>
    <row r="118" spans="1:20" s="298" customFormat="1" ht="20.100000000000001" customHeight="1">
      <c r="A118" s="761"/>
      <c r="B118" s="764"/>
      <c r="C118" s="279">
        <v>2</v>
      </c>
      <c r="D118" s="237"/>
      <c r="E118" s="238"/>
      <c r="F118" s="239"/>
      <c r="G118" s="350"/>
      <c r="H118" s="305"/>
      <c r="I118" s="306"/>
      <c r="J118" s="312"/>
      <c r="K118" s="313"/>
      <c r="L118" s="314"/>
      <c r="M118" s="322">
        <f t="shared" si="12"/>
        <v>0</v>
      </c>
      <c r="N118" s="314"/>
      <c r="O118" s="768"/>
      <c r="P118" s="769"/>
      <c r="R118" s="315"/>
      <c r="S118" s="210"/>
      <c r="T118" s="335"/>
    </row>
    <row r="119" spans="1:20" s="298" customFormat="1" ht="20.100000000000001" customHeight="1">
      <c r="A119" s="761"/>
      <c r="B119" s="764"/>
      <c r="C119" s="279">
        <v>3</v>
      </c>
      <c r="D119" s="237"/>
      <c r="E119" s="238"/>
      <c r="F119" s="239"/>
      <c r="G119" s="350"/>
      <c r="H119" s="305"/>
      <c r="I119" s="306"/>
      <c r="J119" s="312"/>
      <c r="K119" s="313"/>
      <c r="L119" s="314"/>
      <c r="M119" s="322">
        <f t="shared" si="12"/>
        <v>0</v>
      </c>
      <c r="N119" s="314"/>
      <c r="O119" s="857"/>
      <c r="P119" s="858"/>
      <c r="R119" s="315"/>
      <c r="S119" s="261"/>
    </row>
    <row r="120" spans="1:20" s="298" customFormat="1" ht="20.100000000000001" customHeight="1">
      <c r="A120" s="761"/>
      <c r="B120" s="764"/>
      <c r="C120" s="279">
        <v>4</v>
      </c>
      <c r="D120" s="237"/>
      <c r="E120" s="238"/>
      <c r="F120" s="239"/>
      <c r="G120" s="350"/>
      <c r="H120" s="305"/>
      <c r="I120" s="306"/>
      <c r="J120" s="312"/>
      <c r="K120" s="313"/>
      <c r="L120" s="314"/>
      <c r="M120" s="322">
        <f t="shared" si="12"/>
        <v>0</v>
      </c>
      <c r="N120" s="314"/>
      <c r="O120" s="857"/>
      <c r="P120" s="858"/>
      <c r="R120" s="315"/>
      <c r="S120" s="210"/>
      <c r="T120" s="335"/>
    </row>
    <row r="121" spans="1:20" s="298" customFormat="1" ht="20.100000000000001" customHeight="1" thickBot="1">
      <c r="A121" s="761"/>
      <c r="B121" s="764"/>
      <c r="C121" s="279">
        <v>5</v>
      </c>
      <c r="D121" s="237"/>
      <c r="E121" s="245"/>
      <c r="F121" s="246"/>
      <c r="G121" s="350"/>
      <c r="H121" s="305"/>
      <c r="I121" s="306"/>
      <c r="J121" s="388"/>
      <c r="K121" s="382"/>
      <c r="L121" s="317"/>
      <c r="M121" s="322">
        <f t="shared" si="12"/>
        <v>0</v>
      </c>
      <c r="N121" s="314"/>
      <c r="O121" s="857"/>
      <c r="P121" s="858"/>
      <c r="R121" s="318"/>
      <c r="S121" s="261"/>
      <c r="T121" s="289"/>
    </row>
    <row r="122" spans="1:20" s="289" customFormat="1" thickTop="1" thickBot="1">
      <c r="A122" s="762"/>
      <c r="B122" s="765"/>
      <c r="C122" s="774"/>
      <c r="D122" s="775"/>
      <c r="E122" s="775"/>
      <c r="F122" s="775"/>
      <c r="G122" s="775"/>
      <c r="H122" s="775"/>
      <c r="I122" s="776"/>
      <c r="J122" s="347" t="s">
        <v>58</v>
      </c>
      <c r="K122" s="212">
        <f>M122/'生產管理報表 7-1 (週)'!$B$42</f>
        <v>0</v>
      </c>
      <c r="L122" s="348" t="s">
        <v>59</v>
      </c>
      <c r="M122" s="389">
        <f>SUM(M117:M121)</f>
        <v>0</v>
      </c>
      <c r="N122" s="777"/>
      <c r="O122" s="778"/>
      <c r="P122" s="779"/>
      <c r="R122" s="210"/>
      <c r="S122" s="210"/>
    </row>
    <row r="123" spans="1:20" s="289" customFormat="1" ht="15.75" customHeight="1" thickTop="1">
      <c r="B123" s="297"/>
      <c r="C123" s="298"/>
      <c r="M123" s="329"/>
      <c r="S123" s="261"/>
    </row>
    <row r="124" spans="1:20" s="289" customFormat="1" ht="14.25">
      <c r="A124" s="750" t="s">
        <v>191</v>
      </c>
      <c r="B124" s="751"/>
      <c r="C124" s="275" t="s">
        <v>47</v>
      </c>
      <c r="D124" s="752" t="s">
        <v>12</v>
      </c>
      <c r="E124" s="753"/>
      <c r="F124" s="754"/>
      <c r="G124" s="755" t="s">
        <v>53</v>
      </c>
      <c r="H124" s="756"/>
      <c r="I124" s="757"/>
      <c r="J124" s="276" t="s">
        <v>54</v>
      </c>
      <c r="K124" s="276" t="s">
        <v>55</v>
      </c>
      <c r="L124" s="276" t="s">
        <v>56</v>
      </c>
      <c r="M124" s="330" t="s">
        <v>11</v>
      </c>
      <c r="N124" s="277" t="s">
        <v>333</v>
      </c>
      <c r="O124" s="758" t="s">
        <v>51</v>
      </c>
      <c r="P124" s="759"/>
      <c r="S124" s="210"/>
      <c r="T124" s="335"/>
    </row>
    <row r="125" spans="1:20" s="298" customFormat="1" ht="50.1" customHeight="1">
      <c r="A125" s="760">
        <v>5</v>
      </c>
      <c r="B125" s="780" t="s">
        <v>215</v>
      </c>
      <c r="C125" s="279">
        <v>1</v>
      </c>
      <c r="D125" s="237" t="s">
        <v>340</v>
      </c>
      <c r="E125" s="238"/>
      <c r="F125" s="239"/>
      <c r="G125" s="306" t="s">
        <v>336</v>
      </c>
      <c r="H125" s="305"/>
      <c r="I125" s="306"/>
      <c r="J125" s="312">
        <v>147.43000000000004</v>
      </c>
      <c r="K125" s="313">
        <v>2.3822265186694055E-3</v>
      </c>
      <c r="L125" s="314">
        <v>9.66</v>
      </c>
      <c r="M125" s="322">
        <f>L125*J125</f>
        <v>1424.1738000000003</v>
      </c>
      <c r="N125" s="314"/>
      <c r="O125" s="768" t="s">
        <v>870</v>
      </c>
      <c r="P125" s="769"/>
      <c r="R125" s="335"/>
      <c r="S125" s="390"/>
    </row>
    <row r="126" spans="1:20" s="298" customFormat="1" ht="20.100000000000001" customHeight="1">
      <c r="A126" s="761"/>
      <c r="B126" s="781"/>
      <c r="C126" s="279">
        <v>2</v>
      </c>
      <c r="D126" s="237"/>
      <c r="E126" s="238"/>
      <c r="F126" s="239"/>
      <c r="G126" s="350"/>
      <c r="H126" s="305"/>
      <c r="I126" s="306"/>
      <c r="J126" s="312"/>
      <c r="K126" s="313"/>
      <c r="L126" s="314"/>
      <c r="M126" s="322">
        <f t="shared" ref="M126:M129" si="13">L126*J126</f>
        <v>0</v>
      </c>
      <c r="N126" s="314"/>
      <c r="O126" s="768"/>
      <c r="P126" s="769"/>
      <c r="S126" s="210"/>
      <c r="T126" s="336"/>
    </row>
    <row r="127" spans="1:20" s="289" customFormat="1" ht="20.100000000000001" customHeight="1">
      <c r="A127" s="761"/>
      <c r="B127" s="781"/>
      <c r="C127" s="279">
        <v>3</v>
      </c>
      <c r="D127" s="237"/>
      <c r="E127" s="281"/>
      <c r="F127" s="282"/>
      <c r="G127" s="350"/>
      <c r="H127" s="305"/>
      <c r="I127" s="306"/>
      <c r="J127" s="312"/>
      <c r="K127" s="313"/>
      <c r="L127" s="314"/>
      <c r="M127" s="322">
        <f t="shared" si="13"/>
        <v>0</v>
      </c>
      <c r="N127" s="288"/>
      <c r="O127" s="785"/>
      <c r="P127" s="786"/>
    </row>
    <row r="128" spans="1:20" s="289" customFormat="1" ht="20.100000000000001" customHeight="1">
      <c r="A128" s="761"/>
      <c r="B128" s="781"/>
      <c r="C128" s="279">
        <v>4</v>
      </c>
      <c r="D128" s="237"/>
      <c r="E128" s="281"/>
      <c r="F128" s="282"/>
      <c r="G128" s="350"/>
      <c r="H128" s="305"/>
      <c r="I128" s="306"/>
      <c r="J128" s="312"/>
      <c r="K128" s="313"/>
      <c r="L128" s="314"/>
      <c r="M128" s="322">
        <f t="shared" si="13"/>
        <v>0</v>
      </c>
      <c r="N128" s="288"/>
      <c r="O128" s="768"/>
      <c r="P128" s="769"/>
    </row>
    <row r="129" spans="1:19" s="289" customFormat="1" ht="20.100000000000001" customHeight="1" thickBot="1">
      <c r="A129" s="761"/>
      <c r="B129" s="781"/>
      <c r="C129" s="279">
        <v>5</v>
      </c>
      <c r="D129" s="244"/>
      <c r="E129" s="291"/>
      <c r="F129" s="292"/>
      <c r="G129" s="350"/>
      <c r="H129" s="305"/>
      <c r="I129" s="306"/>
      <c r="J129" s="388"/>
      <c r="K129" s="382"/>
      <c r="L129" s="317"/>
      <c r="M129" s="322">
        <f t="shared" si="13"/>
        <v>0</v>
      </c>
      <c r="N129" s="288"/>
      <c r="O129" s="871"/>
      <c r="P129" s="872"/>
      <c r="R129" s="211"/>
    </row>
    <row r="130" spans="1:19" s="289" customFormat="1" thickTop="1" thickBot="1">
      <c r="A130" s="762"/>
      <c r="B130" s="782"/>
      <c r="C130" s="789"/>
      <c r="D130" s="790"/>
      <c r="E130" s="790"/>
      <c r="F130" s="790"/>
      <c r="G130" s="790"/>
      <c r="H130" s="790"/>
      <c r="I130" s="791"/>
      <c r="J130" s="347" t="s">
        <v>58</v>
      </c>
      <c r="K130" s="212">
        <f>M130/'生產管理報表 7-1 (週)'!$B$42</f>
        <v>1.5951240517598761E-2</v>
      </c>
      <c r="L130" s="348" t="s">
        <v>59</v>
      </c>
      <c r="M130" s="389">
        <f>SUM(M125:M129)</f>
        <v>1424.1738000000003</v>
      </c>
      <c r="N130" s="777"/>
      <c r="O130" s="778"/>
      <c r="P130" s="779"/>
      <c r="R130" s="210"/>
    </row>
    <row r="131" spans="1:19" s="289" customFormat="1" ht="15.75" customHeight="1" thickTop="1">
      <c r="B131" s="297"/>
      <c r="C131" s="298"/>
      <c r="M131" s="329"/>
      <c r="R131" s="210"/>
    </row>
    <row r="132" spans="1:19" s="289" customFormat="1" ht="14.25">
      <c r="A132" s="750" t="s">
        <v>191</v>
      </c>
      <c r="B132" s="751"/>
      <c r="C132" s="303" t="s">
        <v>47</v>
      </c>
      <c r="D132" s="794" t="s">
        <v>12</v>
      </c>
      <c r="E132" s="795"/>
      <c r="F132" s="796"/>
      <c r="G132" s="797" t="s">
        <v>53</v>
      </c>
      <c r="H132" s="798"/>
      <c r="I132" s="799"/>
      <c r="J132" s="304" t="s">
        <v>54</v>
      </c>
      <c r="K132" s="276" t="s">
        <v>55</v>
      </c>
      <c r="L132" s="276" t="s">
        <v>56</v>
      </c>
      <c r="M132" s="330" t="s">
        <v>11</v>
      </c>
      <c r="N132" s="277" t="s">
        <v>333</v>
      </c>
      <c r="O132" s="758" t="s">
        <v>51</v>
      </c>
      <c r="P132" s="759"/>
      <c r="R132" s="210"/>
      <c r="S132" s="2"/>
    </row>
    <row r="133" spans="1:19" s="289" customFormat="1" ht="39.950000000000003" customHeight="1">
      <c r="A133" s="760">
        <v>6</v>
      </c>
      <c r="B133" s="780" t="s">
        <v>216</v>
      </c>
      <c r="C133" s="279">
        <v>1</v>
      </c>
      <c r="D133" s="337" t="s">
        <v>523</v>
      </c>
      <c r="E133" s="281"/>
      <c r="F133" s="282"/>
      <c r="G133" s="240" t="s">
        <v>335</v>
      </c>
      <c r="H133" s="305"/>
      <c r="I133" s="240"/>
      <c r="J133" s="312">
        <v>15.450000000000001</v>
      </c>
      <c r="K133" s="313">
        <v>2.0324542291307599E-3</v>
      </c>
      <c r="L133" s="314">
        <v>125</v>
      </c>
      <c r="M133" s="322">
        <f t="shared" ref="M133:M137" si="14">L133*J133</f>
        <v>1931.2500000000002</v>
      </c>
      <c r="N133" s="288"/>
      <c r="O133" s="785" t="s">
        <v>575</v>
      </c>
      <c r="P133" s="786"/>
      <c r="R133" s="336"/>
      <c r="S133" s="397"/>
    </row>
    <row r="134" spans="1:19" s="298" customFormat="1" ht="39.950000000000003" customHeight="1">
      <c r="A134" s="761"/>
      <c r="B134" s="781"/>
      <c r="C134" s="279">
        <v>2</v>
      </c>
      <c r="D134" s="237" t="s">
        <v>752</v>
      </c>
      <c r="E134" s="238"/>
      <c r="F134" s="239"/>
      <c r="G134" s="240" t="s">
        <v>771</v>
      </c>
      <c r="H134" s="305"/>
      <c r="I134" s="240"/>
      <c r="J134" s="312">
        <v>52.26</v>
      </c>
      <c r="K134" s="313">
        <v>5.2082681517635534E-3</v>
      </c>
      <c r="L134" s="314">
        <v>24.97</v>
      </c>
      <c r="M134" s="322">
        <f t="shared" si="14"/>
        <v>1304.9322</v>
      </c>
      <c r="N134" s="314"/>
      <c r="O134" s="869" t="s">
        <v>835</v>
      </c>
      <c r="P134" s="870"/>
      <c r="S134" s="96"/>
    </row>
    <row r="135" spans="1:19" s="289" customFormat="1" ht="39.950000000000003" customHeight="1">
      <c r="A135" s="761"/>
      <c r="B135" s="781"/>
      <c r="C135" s="279">
        <v>3</v>
      </c>
      <c r="D135" s="237" t="s">
        <v>850</v>
      </c>
      <c r="E135" s="281"/>
      <c r="F135" s="282"/>
      <c r="G135" s="240" t="s">
        <v>544</v>
      </c>
      <c r="H135" s="305"/>
      <c r="I135" s="285"/>
      <c r="J135" s="312">
        <v>62.43</v>
      </c>
      <c r="K135" s="313">
        <v>3.9585191793041928E-3</v>
      </c>
      <c r="L135" s="314">
        <v>19.88</v>
      </c>
      <c r="M135" s="322">
        <f t="shared" si="14"/>
        <v>1241.1083999999998</v>
      </c>
      <c r="N135" s="288"/>
      <c r="O135" s="869" t="s">
        <v>835</v>
      </c>
      <c r="P135" s="870"/>
      <c r="S135" s="2"/>
    </row>
    <row r="136" spans="1:19" s="289" customFormat="1" ht="39.950000000000003" customHeight="1">
      <c r="A136" s="761"/>
      <c r="B136" s="781"/>
      <c r="C136" s="279">
        <v>4</v>
      </c>
      <c r="D136" s="237" t="s">
        <v>340</v>
      </c>
      <c r="E136" s="281"/>
      <c r="F136" s="282"/>
      <c r="G136" s="240" t="s">
        <v>534</v>
      </c>
      <c r="H136" s="305"/>
      <c r="I136" s="285"/>
      <c r="J136" s="312">
        <v>39.389999999999993</v>
      </c>
      <c r="K136" s="313">
        <v>1.1303749139387868E-3</v>
      </c>
      <c r="L136" s="314">
        <v>27.09</v>
      </c>
      <c r="M136" s="322">
        <f t="shared" si="14"/>
        <v>1067.0750999999998</v>
      </c>
      <c r="N136" s="288"/>
      <c r="O136" s="869" t="s">
        <v>835</v>
      </c>
      <c r="P136" s="870"/>
      <c r="R136" s="2"/>
      <c r="S136" s="2"/>
    </row>
    <row r="137" spans="1:19" s="289" customFormat="1" ht="39.950000000000003" customHeight="1" thickBot="1">
      <c r="A137" s="761"/>
      <c r="B137" s="781"/>
      <c r="C137" s="279">
        <v>5</v>
      </c>
      <c r="D137" s="244"/>
      <c r="E137" s="291"/>
      <c r="F137" s="292"/>
      <c r="G137" s="350"/>
      <c r="H137" s="305"/>
      <c r="I137" s="306"/>
      <c r="J137" s="388"/>
      <c r="K137" s="382"/>
      <c r="L137" s="317"/>
      <c r="M137" s="322">
        <f t="shared" si="14"/>
        <v>0</v>
      </c>
      <c r="N137" s="288"/>
      <c r="O137" s="869"/>
      <c r="P137" s="870"/>
      <c r="R137" s="2"/>
      <c r="S137" s="2"/>
    </row>
    <row r="138" spans="1:19" s="289" customFormat="1" thickTop="1" thickBot="1">
      <c r="A138" s="762"/>
      <c r="B138" s="782"/>
      <c r="C138" s="789"/>
      <c r="D138" s="790"/>
      <c r="E138" s="790"/>
      <c r="F138" s="790"/>
      <c r="G138" s="790"/>
      <c r="H138" s="790"/>
      <c r="I138" s="791"/>
      <c r="J138" s="347" t="s">
        <v>58</v>
      </c>
      <c r="K138" s="212">
        <f>M138/'生產管理報表 7-1 (週)'!$B$42</f>
        <v>6.209881883673523E-2</v>
      </c>
      <c r="L138" s="348" t="s">
        <v>59</v>
      </c>
      <c r="M138" s="389">
        <f>SUM(M133:M137)</f>
        <v>5544.3657000000003</v>
      </c>
      <c r="N138" s="777"/>
      <c r="O138" s="778"/>
      <c r="P138" s="779"/>
      <c r="R138" s="2"/>
      <c r="S138" s="2"/>
    </row>
    <row r="139" spans="1:19" s="289" customFormat="1" ht="15.75" customHeight="1" thickTop="1">
      <c r="B139" s="297"/>
      <c r="C139" s="298"/>
      <c r="M139" s="329"/>
      <c r="R139" s="2"/>
      <c r="S139" s="2"/>
    </row>
    <row r="140" spans="1:19" s="289" customFormat="1" ht="14.25">
      <c r="A140" s="750" t="s">
        <v>191</v>
      </c>
      <c r="B140" s="751"/>
      <c r="C140" s="303" t="s">
        <v>47</v>
      </c>
      <c r="D140" s="794" t="s">
        <v>12</v>
      </c>
      <c r="E140" s="795"/>
      <c r="F140" s="796"/>
      <c r="G140" s="797" t="s">
        <v>53</v>
      </c>
      <c r="H140" s="798"/>
      <c r="I140" s="799"/>
      <c r="J140" s="304" t="s">
        <v>54</v>
      </c>
      <c r="K140" s="276" t="s">
        <v>55</v>
      </c>
      <c r="L140" s="276" t="s">
        <v>56</v>
      </c>
      <c r="M140" s="330" t="s">
        <v>11</v>
      </c>
      <c r="N140" s="277" t="s">
        <v>333</v>
      </c>
      <c r="O140" s="758" t="s">
        <v>51</v>
      </c>
      <c r="P140" s="759"/>
      <c r="R140" s="2"/>
      <c r="S140" s="2"/>
    </row>
    <row r="141" spans="1:19" s="289" customFormat="1" ht="20.100000000000001" customHeight="1">
      <c r="A141" s="760">
        <v>7</v>
      </c>
      <c r="B141" s="802" t="s">
        <v>249</v>
      </c>
      <c r="C141" s="279">
        <v>1</v>
      </c>
      <c r="D141" s="280"/>
      <c r="E141" s="281"/>
      <c r="F141" s="282"/>
      <c r="G141" s="283"/>
      <c r="H141" s="284"/>
      <c r="I141" s="285"/>
      <c r="J141" s="286"/>
      <c r="K141" s="287"/>
      <c r="L141" s="288"/>
      <c r="M141" s="331">
        <f t="shared" ref="M141:M143" si="15">L141*J141</f>
        <v>0</v>
      </c>
      <c r="N141" s="288"/>
      <c r="O141" s="805"/>
      <c r="P141" s="806"/>
      <c r="R141" s="2"/>
      <c r="S141" s="2"/>
    </row>
    <row r="142" spans="1:19" s="289" customFormat="1" ht="20.100000000000001" customHeight="1">
      <c r="A142" s="761"/>
      <c r="B142" s="803"/>
      <c r="C142" s="279">
        <v>2</v>
      </c>
      <c r="D142" s="280"/>
      <c r="E142" s="281"/>
      <c r="F142" s="282"/>
      <c r="G142" s="283"/>
      <c r="H142" s="284"/>
      <c r="I142" s="285"/>
      <c r="J142" s="286"/>
      <c r="K142" s="287"/>
      <c r="L142" s="288"/>
      <c r="M142" s="331">
        <f t="shared" si="15"/>
        <v>0</v>
      </c>
      <c r="N142" s="288"/>
      <c r="O142" s="807"/>
      <c r="P142" s="808"/>
      <c r="R142" s="2"/>
      <c r="S142" s="2"/>
    </row>
    <row r="143" spans="1:19" s="289" customFormat="1" ht="20.100000000000001" customHeight="1">
      <c r="A143" s="761"/>
      <c r="B143" s="803"/>
      <c r="C143" s="279">
        <v>3</v>
      </c>
      <c r="D143" s="280"/>
      <c r="E143" s="281"/>
      <c r="F143" s="282"/>
      <c r="G143" s="283"/>
      <c r="H143" s="284"/>
      <c r="I143" s="285"/>
      <c r="J143" s="286"/>
      <c r="K143" s="287"/>
      <c r="L143" s="288"/>
      <c r="M143" s="331">
        <f t="shared" si="15"/>
        <v>0</v>
      </c>
      <c r="N143" s="288"/>
      <c r="O143" s="807"/>
      <c r="P143" s="808"/>
      <c r="R143" s="2"/>
      <c r="S143" s="2"/>
    </row>
    <row r="144" spans="1:19" s="289" customFormat="1" ht="20.100000000000001" customHeight="1">
      <c r="A144" s="761"/>
      <c r="B144" s="803"/>
      <c r="C144" s="279">
        <v>4</v>
      </c>
      <c r="D144" s="280"/>
      <c r="E144" s="281"/>
      <c r="F144" s="282"/>
      <c r="G144" s="283"/>
      <c r="H144" s="284"/>
      <c r="I144" s="285"/>
      <c r="J144" s="286"/>
      <c r="K144" s="287"/>
      <c r="L144" s="288"/>
      <c r="M144" s="332">
        <v>0</v>
      </c>
      <c r="N144" s="288"/>
      <c r="O144" s="299"/>
      <c r="P144" s="300"/>
      <c r="R144" s="2"/>
      <c r="S144" s="2"/>
    </row>
    <row r="145" spans="1:20" s="289" customFormat="1" ht="20.100000000000001" customHeight="1" thickBot="1">
      <c r="A145" s="761"/>
      <c r="B145" s="803"/>
      <c r="C145" s="279">
        <v>5</v>
      </c>
      <c r="D145" s="290"/>
      <c r="E145" s="291"/>
      <c r="F145" s="292"/>
      <c r="G145" s="283"/>
      <c r="H145" s="284"/>
      <c r="I145" s="285"/>
      <c r="J145" s="388"/>
      <c r="K145" s="382"/>
      <c r="L145" s="317"/>
      <c r="M145" s="333">
        <v>0</v>
      </c>
      <c r="N145" s="288"/>
      <c r="O145" s="301"/>
      <c r="P145" s="302"/>
      <c r="R145" s="2"/>
      <c r="S145" s="2"/>
    </row>
    <row r="146" spans="1:20" s="289" customFormat="1" thickTop="1" thickBot="1">
      <c r="A146" s="762"/>
      <c r="B146" s="804"/>
      <c r="C146" s="789"/>
      <c r="D146" s="790"/>
      <c r="E146" s="790"/>
      <c r="F146" s="790"/>
      <c r="G146" s="790"/>
      <c r="H146" s="790"/>
      <c r="I146" s="791"/>
      <c r="J146" s="347" t="s">
        <v>58</v>
      </c>
      <c r="K146" s="212">
        <f>M146/'生產管理報表 7-1 (週)'!$B$42</f>
        <v>0</v>
      </c>
      <c r="L146" s="348" t="s">
        <v>59</v>
      </c>
      <c r="M146" s="389">
        <f>SUM(M141:M145)</f>
        <v>0</v>
      </c>
      <c r="N146" s="777"/>
      <c r="O146" s="778"/>
      <c r="P146" s="779"/>
      <c r="R146" s="2"/>
      <c r="S146" s="2"/>
      <c r="T146" s="2"/>
    </row>
    <row r="147" spans="1:20" s="135" customFormat="1" ht="15.75" customHeight="1" thickTop="1">
      <c r="A147" s="868" t="s">
        <v>869</v>
      </c>
      <c r="B147" s="868"/>
      <c r="C147" s="868"/>
      <c r="D147" s="868"/>
      <c r="E147" s="868"/>
      <c r="F147" s="868"/>
      <c r="G147" s="868"/>
      <c r="H147" s="868"/>
      <c r="I147" s="868"/>
      <c r="J147" s="868"/>
      <c r="K147" s="868"/>
      <c r="L147" s="868"/>
      <c r="M147" s="868"/>
      <c r="Q147" s="231"/>
      <c r="R147" s="231"/>
      <c r="S147" s="231"/>
      <c r="T147" s="231"/>
    </row>
    <row r="148" spans="1:20" s="136" customFormat="1" ht="15.75" customHeight="1">
      <c r="A148" s="745"/>
      <c r="B148" s="745"/>
      <c r="C148" s="745"/>
      <c r="D148" s="745"/>
      <c r="E148" s="745"/>
      <c r="F148" s="745"/>
      <c r="G148" s="745"/>
      <c r="H148" s="745"/>
      <c r="I148" s="745"/>
      <c r="J148" s="745"/>
      <c r="K148" s="745"/>
      <c r="L148" s="745"/>
      <c r="M148" s="745"/>
    </row>
    <row r="149" spans="1:20" s="135" customFormat="1" ht="12">
      <c r="A149" s="746" t="s">
        <v>191</v>
      </c>
      <c r="B149" s="748">
        <v>1</v>
      </c>
      <c r="C149" s="749"/>
      <c r="D149" s="748">
        <v>2</v>
      </c>
      <c r="E149" s="749"/>
      <c r="F149" s="748">
        <v>3</v>
      </c>
      <c r="G149" s="749"/>
      <c r="H149" s="739">
        <v>4</v>
      </c>
      <c r="I149" s="740"/>
      <c r="J149" s="739">
        <v>5</v>
      </c>
      <c r="K149" s="740"/>
      <c r="L149" s="739">
        <v>6</v>
      </c>
      <c r="M149" s="740"/>
      <c r="N149" s="739">
        <v>7</v>
      </c>
      <c r="O149" s="740"/>
      <c r="P149" s="352">
        <v>8</v>
      </c>
    </row>
    <row r="150" spans="1:20" s="135" customFormat="1">
      <c r="A150" s="747"/>
      <c r="B150" s="743" t="s">
        <v>452</v>
      </c>
      <c r="C150" s="744"/>
      <c r="D150" s="743" t="s">
        <v>212</v>
      </c>
      <c r="E150" s="744"/>
      <c r="F150" s="743" t="s">
        <v>166</v>
      </c>
      <c r="G150" s="744"/>
      <c r="H150" s="741" t="s">
        <v>428</v>
      </c>
      <c r="I150" s="742"/>
      <c r="J150" s="741" t="s">
        <v>189</v>
      </c>
      <c r="K150" s="742"/>
      <c r="L150" s="741" t="s">
        <v>167</v>
      </c>
      <c r="M150" s="742"/>
      <c r="N150" s="741" t="s">
        <v>190</v>
      </c>
      <c r="O150" s="742"/>
      <c r="P150" s="353" t="s">
        <v>217</v>
      </c>
    </row>
    <row r="151" spans="1:20" s="135" customFormat="1" ht="15.75" customHeight="1">
      <c r="B151" s="232"/>
      <c r="C151" s="233"/>
    </row>
    <row r="152" spans="1:20" s="278" customFormat="1">
      <c r="A152" s="750" t="s">
        <v>191</v>
      </c>
      <c r="B152" s="751"/>
      <c r="C152" s="275" t="s">
        <v>47</v>
      </c>
      <c r="D152" s="752" t="s">
        <v>12</v>
      </c>
      <c r="E152" s="753"/>
      <c r="F152" s="754"/>
      <c r="G152" s="755" t="s">
        <v>53</v>
      </c>
      <c r="H152" s="756"/>
      <c r="I152" s="757"/>
      <c r="J152" s="276" t="s">
        <v>54</v>
      </c>
      <c r="K152" s="276" t="s">
        <v>55</v>
      </c>
      <c r="L152" s="276" t="s">
        <v>56</v>
      </c>
      <c r="M152" s="277" t="s">
        <v>11</v>
      </c>
      <c r="N152" s="277" t="s">
        <v>333</v>
      </c>
      <c r="O152" s="758" t="s">
        <v>51</v>
      </c>
      <c r="P152" s="759"/>
      <c r="R152" s="210"/>
      <c r="S152" s="261"/>
    </row>
    <row r="153" spans="1:20" s="298" customFormat="1" ht="20.100000000000001" customHeight="1">
      <c r="A153" s="760">
        <v>4</v>
      </c>
      <c r="B153" s="763" t="s">
        <v>428</v>
      </c>
      <c r="C153" s="279">
        <v>1</v>
      </c>
      <c r="D153" s="237"/>
      <c r="E153" s="238"/>
      <c r="F153" s="239"/>
      <c r="G153" s="350"/>
      <c r="H153" s="305"/>
      <c r="I153" s="306"/>
      <c r="J153" s="312"/>
      <c r="K153" s="313"/>
      <c r="L153" s="314"/>
      <c r="M153" s="322">
        <f t="shared" ref="M153:M157" si="16">L153*J153</f>
        <v>0</v>
      </c>
      <c r="N153" s="314"/>
      <c r="O153" s="857"/>
      <c r="P153" s="858"/>
      <c r="R153" s="315"/>
      <c r="S153" s="261"/>
    </row>
    <row r="154" spans="1:20" s="298" customFormat="1" ht="20.100000000000001" customHeight="1">
      <c r="A154" s="761"/>
      <c r="B154" s="764"/>
      <c r="C154" s="279">
        <v>2</v>
      </c>
      <c r="D154" s="237"/>
      <c r="E154" s="238"/>
      <c r="F154" s="239"/>
      <c r="G154" s="350"/>
      <c r="H154" s="305"/>
      <c r="I154" s="306"/>
      <c r="J154" s="312"/>
      <c r="K154" s="313"/>
      <c r="L154" s="314"/>
      <c r="M154" s="322">
        <f t="shared" si="16"/>
        <v>0</v>
      </c>
      <c r="N154" s="314"/>
      <c r="O154" s="768"/>
      <c r="P154" s="769"/>
      <c r="R154" s="315"/>
      <c r="S154" s="210"/>
      <c r="T154" s="335"/>
    </row>
    <row r="155" spans="1:20" s="298" customFormat="1" ht="20.100000000000001" customHeight="1">
      <c r="A155" s="761"/>
      <c r="B155" s="764"/>
      <c r="C155" s="279">
        <v>3</v>
      </c>
      <c r="D155" s="237"/>
      <c r="E155" s="238"/>
      <c r="F155" s="239"/>
      <c r="G155" s="350"/>
      <c r="H155" s="305"/>
      <c r="I155" s="306"/>
      <c r="J155" s="312"/>
      <c r="K155" s="313"/>
      <c r="L155" s="314"/>
      <c r="M155" s="322">
        <f t="shared" si="16"/>
        <v>0</v>
      </c>
      <c r="N155" s="314"/>
      <c r="O155" s="857"/>
      <c r="P155" s="858"/>
      <c r="R155" s="315"/>
      <c r="S155" s="261"/>
    </row>
    <row r="156" spans="1:20" s="298" customFormat="1" ht="20.100000000000001" customHeight="1">
      <c r="A156" s="761"/>
      <c r="B156" s="764"/>
      <c r="C156" s="279">
        <v>4</v>
      </c>
      <c r="D156" s="237"/>
      <c r="E156" s="238"/>
      <c r="F156" s="239"/>
      <c r="G156" s="350"/>
      <c r="H156" s="305"/>
      <c r="I156" s="306"/>
      <c r="J156" s="312"/>
      <c r="K156" s="313"/>
      <c r="L156" s="314"/>
      <c r="M156" s="322">
        <f t="shared" si="16"/>
        <v>0</v>
      </c>
      <c r="N156" s="314"/>
      <c r="O156" s="857"/>
      <c r="P156" s="858"/>
      <c r="R156" s="315"/>
      <c r="S156" s="210"/>
      <c r="T156" s="335"/>
    </row>
    <row r="157" spans="1:20" s="298" customFormat="1" ht="20.100000000000001" customHeight="1" thickBot="1">
      <c r="A157" s="761"/>
      <c r="B157" s="764"/>
      <c r="C157" s="279">
        <v>5</v>
      </c>
      <c r="D157" s="237"/>
      <c r="E157" s="245"/>
      <c r="F157" s="246"/>
      <c r="G157" s="350"/>
      <c r="H157" s="305"/>
      <c r="I157" s="306"/>
      <c r="J157" s="388"/>
      <c r="K157" s="382"/>
      <c r="L157" s="317"/>
      <c r="M157" s="322">
        <f t="shared" si="16"/>
        <v>0</v>
      </c>
      <c r="N157" s="314"/>
      <c r="O157" s="857"/>
      <c r="P157" s="858"/>
      <c r="R157" s="318"/>
      <c r="S157" s="261"/>
      <c r="T157" s="289"/>
    </row>
    <row r="158" spans="1:20" s="289" customFormat="1" thickTop="1" thickBot="1">
      <c r="A158" s="762"/>
      <c r="B158" s="765"/>
      <c r="C158" s="774"/>
      <c r="D158" s="775"/>
      <c r="E158" s="775"/>
      <c r="F158" s="775"/>
      <c r="G158" s="775"/>
      <c r="H158" s="775"/>
      <c r="I158" s="776"/>
      <c r="J158" s="347" t="s">
        <v>58</v>
      </c>
      <c r="K158" s="212">
        <f>M158/'生產管理報表 7-1 (週)'!$B$53</f>
        <v>0</v>
      </c>
      <c r="L158" s="348" t="s">
        <v>59</v>
      </c>
      <c r="M158" s="389">
        <f>SUM(M153:M157)</f>
        <v>0</v>
      </c>
      <c r="N158" s="777"/>
      <c r="O158" s="778"/>
      <c r="P158" s="779"/>
      <c r="R158" s="210"/>
      <c r="S158" s="210"/>
    </row>
    <row r="159" spans="1:20" s="289" customFormat="1" ht="15.75" customHeight="1" thickTop="1">
      <c r="B159" s="297"/>
      <c r="C159" s="298"/>
      <c r="M159" s="329"/>
      <c r="S159" s="261"/>
    </row>
    <row r="160" spans="1:20" s="289" customFormat="1" ht="14.25">
      <c r="A160" s="750" t="s">
        <v>191</v>
      </c>
      <c r="B160" s="751"/>
      <c r="C160" s="275" t="s">
        <v>47</v>
      </c>
      <c r="D160" s="752" t="s">
        <v>12</v>
      </c>
      <c r="E160" s="753"/>
      <c r="F160" s="754"/>
      <c r="G160" s="755" t="s">
        <v>53</v>
      </c>
      <c r="H160" s="756"/>
      <c r="I160" s="757"/>
      <c r="J160" s="276" t="s">
        <v>54</v>
      </c>
      <c r="K160" s="276" t="s">
        <v>55</v>
      </c>
      <c r="L160" s="276" t="s">
        <v>56</v>
      </c>
      <c r="M160" s="330" t="s">
        <v>11</v>
      </c>
      <c r="N160" s="277" t="s">
        <v>333</v>
      </c>
      <c r="O160" s="758" t="s">
        <v>51</v>
      </c>
      <c r="P160" s="759"/>
      <c r="S160" s="210"/>
      <c r="T160" s="335"/>
    </row>
    <row r="161" spans="1:20" s="298" customFormat="1" ht="20.100000000000001" customHeight="1">
      <c r="A161" s="760">
        <v>5</v>
      </c>
      <c r="B161" s="780" t="s">
        <v>215</v>
      </c>
      <c r="C161" s="279">
        <v>1</v>
      </c>
      <c r="D161" s="237"/>
      <c r="E161" s="238"/>
      <c r="F161" s="239"/>
      <c r="G161" s="350"/>
      <c r="H161" s="305"/>
      <c r="I161" s="306"/>
      <c r="J161" s="312"/>
      <c r="K161" s="313"/>
      <c r="L161" s="314"/>
      <c r="M161" s="322">
        <f>L161*J161</f>
        <v>0</v>
      </c>
      <c r="N161" s="314"/>
      <c r="O161" s="768"/>
      <c r="P161" s="769"/>
      <c r="R161" s="335"/>
      <c r="S161" s="390"/>
    </row>
    <row r="162" spans="1:20" s="298" customFormat="1" ht="20.100000000000001" customHeight="1">
      <c r="A162" s="761"/>
      <c r="B162" s="781"/>
      <c r="C162" s="279">
        <v>2</v>
      </c>
      <c r="D162" s="237"/>
      <c r="E162" s="238"/>
      <c r="F162" s="239"/>
      <c r="G162" s="350"/>
      <c r="H162" s="305"/>
      <c r="I162" s="306"/>
      <c r="J162" s="312"/>
      <c r="K162" s="313"/>
      <c r="L162" s="314"/>
      <c r="M162" s="322">
        <f t="shared" ref="M162:M165" si="17">L162*J162</f>
        <v>0</v>
      </c>
      <c r="N162" s="314"/>
      <c r="O162" s="768"/>
      <c r="P162" s="769"/>
      <c r="S162" s="210"/>
      <c r="T162" s="336"/>
    </row>
    <row r="163" spans="1:20" s="289" customFormat="1" ht="20.100000000000001" customHeight="1">
      <c r="A163" s="761"/>
      <c r="B163" s="781"/>
      <c r="C163" s="279">
        <v>3</v>
      </c>
      <c r="D163" s="237"/>
      <c r="E163" s="281"/>
      <c r="F163" s="282"/>
      <c r="G163" s="350"/>
      <c r="H163" s="305"/>
      <c r="I163" s="306"/>
      <c r="J163" s="312"/>
      <c r="K163" s="313"/>
      <c r="L163" s="314"/>
      <c r="M163" s="322">
        <f t="shared" si="17"/>
        <v>0</v>
      </c>
      <c r="N163" s="288"/>
      <c r="O163" s="785"/>
      <c r="P163" s="786"/>
    </row>
    <row r="164" spans="1:20" s="289" customFormat="1" ht="20.100000000000001" customHeight="1">
      <c r="A164" s="761"/>
      <c r="B164" s="781"/>
      <c r="C164" s="279">
        <v>4</v>
      </c>
      <c r="D164" s="237"/>
      <c r="E164" s="281"/>
      <c r="F164" s="282"/>
      <c r="G164" s="350"/>
      <c r="H164" s="305"/>
      <c r="I164" s="306"/>
      <c r="J164" s="312"/>
      <c r="K164" s="313"/>
      <c r="L164" s="314"/>
      <c r="M164" s="322">
        <f t="shared" si="17"/>
        <v>0</v>
      </c>
      <c r="N164" s="288"/>
      <c r="O164" s="768"/>
      <c r="P164" s="769"/>
    </row>
    <row r="165" spans="1:20" s="289" customFormat="1" ht="20.100000000000001" customHeight="1" thickBot="1">
      <c r="A165" s="761"/>
      <c r="B165" s="781"/>
      <c r="C165" s="279">
        <v>5</v>
      </c>
      <c r="D165" s="244"/>
      <c r="E165" s="291"/>
      <c r="F165" s="292"/>
      <c r="G165" s="350"/>
      <c r="H165" s="305"/>
      <c r="I165" s="306"/>
      <c r="J165" s="388"/>
      <c r="K165" s="382"/>
      <c r="L165" s="317"/>
      <c r="M165" s="322">
        <f t="shared" si="17"/>
        <v>0</v>
      </c>
      <c r="N165" s="288"/>
      <c r="O165" s="871"/>
      <c r="P165" s="872"/>
      <c r="R165" s="211"/>
    </row>
    <row r="166" spans="1:20" s="289" customFormat="1" thickTop="1" thickBot="1">
      <c r="A166" s="762"/>
      <c r="B166" s="782"/>
      <c r="C166" s="789"/>
      <c r="D166" s="790"/>
      <c r="E166" s="790"/>
      <c r="F166" s="790"/>
      <c r="G166" s="790"/>
      <c r="H166" s="790"/>
      <c r="I166" s="791"/>
      <c r="J166" s="347" t="s">
        <v>58</v>
      </c>
      <c r="K166" s="212">
        <f>M166/'生產管理報表 7-1 (週)'!$B$53</f>
        <v>0</v>
      </c>
      <c r="L166" s="348" t="s">
        <v>59</v>
      </c>
      <c r="M166" s="389">
        <f>SUM(M161:M165)</f>
        <v>0</v>
      </c>
      <c r="N166" s="777"/>
      <c r="O166" s="778"/>
      <c r="P166" s="779"/>
      <c r="R166" s="210"/>
    </row>
    <row r="167" spans="1:20" s="289" customFormat="1" ht="15.75" customHeight="1" thickTop="1">
      <c r="B167" s="297"/>
      <c r="C167" s="298"/>
      <c r="M167" s="329"/>
      <c r="R167" s="210"/>
    </row>
    <row r="168" spans="1:20" s="289" customFormat="1" ht="14.25">
      <c r="A168" s="750" t="s">
        <v>191</v>
      </c>
      <c r="B168" s="751"/>
      <c r="C168" s="303" t="s">
        <v>47</v>
      </c>
      <c r="D168" s="794" t="s">
        <v>12</v>
      </c>
      <c r="E168" s="795"/>
      <c r="F168" s="796"/>
      <c r="G168" s="797" t="s">
        <v>53</v>
      </c>
      <c r="H168" s="798"/>
      <c r="I168" s="799"/>
      <c r="J168" s="304" t="s">
        <v>54</v>
      </c>
      <c r="K168" s="276" t="s">
        <v>55</v>
      </c>
      <c r="L168" s="276" t="s">
        <v>56</v>
      </c>
      <c r="M168" s="330" t="s">
        <v>11</v>
      </c>
      <c r="N168" s="277" t="s">
        <v>333</v>
      </c>
      <c r="O168" s="758" t="s">
        <v>51</v>
      </c>
      <c r="P168" s="759"/>
      <c r="R168" s="210"/>
      <c r="S168" s="2"/>
    </row>
    <row r="169" spans="1:20" s="289" customFormat="1" ht="39.950000000000003" customHeight="1">
      <c r="A169" s="760">
        <v>6</v>
      </c>
      <c r="B169" s="780" t="s">
        <v>216</v>
      </c>
      <c r="C169" s="279">
        <v>1</v>
      </c>
      <c r="D169" s="337"/>
      <c r="E169" s="281"/>
      <c r="F169" s="282"/>
      <c r="G169" s="306"/>
      <c r="H169" s="305"/>
      <c r="I169" s="240"/>
      <c r="J169" s="312"/>
      <c r="K169" s="313"/>
      <c r="L169" s="314"/>
      <c r="M169" s="322">
        <f t="shared" ref="M169:M173" si="18">L169*J169</f>
        <v>0</v>
      </c>
      <c r="N169" s="288"/>
      <c r="O169" s="785"/>
      <c r="P169" s="786"/>
      <c r="R169" s="336"/>
      <c r="S169" s="397"/>
    </row>
    <row r="170" spans="1:20" s="298" customFormat="1" ht="39.950000000000003" customHeight="1">
      <c r="A170" s="761"/>
      <c r="B170" s="781"/>
      <c r="C170" s="279">
        <v>2</v>
      </c>
      <c r="D170" s="237"/>
      <c r="E170" s="238"/>
      <c r="F170" s="239"/>
      <c r="G170" s="306"/>
      <c r="H170" s="305"/>
      <c r="I170" s="240"/>
      <c r="J170" s="312"/>
      <c r="K170" s="313"/>
      <c r="L170" s="314"/>
      <c r="M170" s="322">
        <f t="shared" si="18"/>
        <v>0</v>
      </c>
      <c r="N170" s="314"/>
      <c r="O170" s="869"/>
      <c r="P170" s="870"/>
      <c r="S170" s="96"/>
    </row>
    <row r="171" spans="1:20" s="289" customFormat="1" ht="39.950000000000003" customHeight="1">
      <c r="A171" s="761"/>
      <c r="B171" s="781"/>
      <c r="C171" s="279">
        <v>3</v>
      </c>
      <c r="D171" s="237"/>
      <c r="E171" s="281"/>
      <c r="F171" s="282"/>
      <c r="G171" s="306"/>
      <c r="H171" s="305"/>
      <c r="I171" s="285"/>
      <c r="J171" s="312"/>
      <c r="K171" s="313"/>
      <c r="L171" s="314"/>
      <c r="M171" s="322">
        <f t="shared" si="18"/>
        <v>0</v>
      </c>
      <c r="N171" s="288"/>
      <c r="O171" s="869"/>
      <c r="P171" s="870"/>
      <c r="S171" s="2"/>
    </row>
    <row r="172" spans="1:20" s="289" customFormat="1" ht="39.950000000000003" customHeight="1">
      <c r="A172" s="761"/>
      <c r="B172" s="781"/>
      <c r="C172" s="279">
        <v>4</v>
      </c>
      <c r="D172" s="237"/>
      <c r="E172" s="281"/>
      <c r="F172" s="282"/>
      <c r="G172" s="306"/>
      <c r="H172" s="305"/>
      <c r="I172" s="285"/>
      <c r="J172" s="312"/>
      <c r="K172" s="313"/>
      <c r="L172" s="314"/>
      <c r="M172" s="322">
        <f t="shared" si="18"/>
        <v>0</v>
      </c>
      <c r="N172" s="288"/>
      <c r="O172" s="869"/>
      <c r="P172" s="870"/>
      <c r="R172" s="2"/>
      <c r="S172" s="2"/>
    </row>
    <row r="173" spans="1:20" s="289" customFormat="1" ht="39.950000000000003" customHeight="1" thickBot="1">
      <c r="A173" s="761"/>
      <c r="B173" s="781"/>
      <c r="C173" s="279">
        <v>5</v>
      </c>
      <c r="D173" s="244"/>
      <c r="E173" s="291"/>
      <c r="F173" s="292"/>
      <c r="G173" s="306"/>
      <c r="H173" s="305"/>
      <c r="I173" s="285"/>
      <c r="J173" s="388"/>
      <c r="K173" s="382"/>
      <c r="L173" s="317"/>
      <c r="M173" s="322">
        <f t="shared" si="18"/>
        <v>0</v>
      </c>
      <c r="N173" s="288"/>
      <c r="O173" s="869"/>
      <c r="P173" s="870"/>
      <c r="R173" s="2"/>
      <c r="S173" s="2"/>
    </row>
    <row r="174" spans="1:20" s="289" customFormat="1" thickTop="1" thickBot="1">
      <c r="A174" s="762"/>
      <c r="B174" s="782"/>
      <c r="C174" s="789"/>
      <c r="D174" s="790"/>
      <c r="E174" s="790"/>
      <c r="F174" s="790"/>
      <c r="G174" s="790"/>
      <c r="H174" s="790"/>
      <c r="I174" s="791"/>
      <c r="J174" s="347" t="s">
        <v>58</v>
      </c>
      <c r="K174" s="212">
        <f>M174/'生產管理報表 7-1 (週)'!$B$53</f>
        <v>0</v>
      </c>
      <c r="L174" s="348" t="s">
        <v>59</v>
      </c>
      <c r="M174" s="389">
        <f>SUM(M169:M173)</f>
        <v>0</v>
      </c>
      <c r="N174" s="777"/>
      <c r="O174" s="778"/>
      <c r="P174" s="779"/>
      <c r="R174" s="2"/>
      <c r="S174" s="2"/>
    </row>
    <row r="175" spans="1:20" s="289" customFormat="1" ht="15.75" customHeight="1" thickTop="1">
      <c r="B175" s="297"/>
      <c r="C175" s="298"/>
      <c r="M175" s="329"/>
      <c r="R175" s="2"/>
      <c r="S175" s="2"/>
    </row>
    <row r="176" spans="1:20" s="289" customFormat="1" ht="14.25">
      <c r="A176" s="750" t="s">
        <v>191</v>
      </c>
      <c r="B176" s="751"/>
      <c r="C176" s="303" t="s">
        <v>47</v>
      </c>
      <c r="D176" s="794" t="s">
        <v>12</v>
      </c>
      <c r="E176" s="795"/>
      <c r="F176" s="796"/>
      <c r="G176" s="797" t="s">
        <v>53</v>
      </c>
      <c r="H176" s="798"/>
      <c r="I176" s="799"/>
      <c r="J176" s="304" t="s">
        <v>54</v>
      </c>
      <c r="K176" s="276" t="s">
        <v>55</v>
      </c>
      <c r="L176" s="276" t="s">
        <v>56</v>
      </c>
      <c r="M176" s="330" t="s">
        <v>11</v>
      </c>
      <c r="N176" s="277" t="s">
        <v>333</v>
      </c>
      <c r="O176" s="758" t="s">
        <v>51</v>
      </c>
      <c r="P176" s="759"/>
      <c r="R176" s="2"/>
      <c r="S176" s="2"/>
    </row>
    <row r="177" spans="1:20" s="289" customFormat="1" ht="20.100000000000001" customHeight="1">
      <c r="A177" s="760">
        <v>7</v>
      </c>
      <c r="B177" s="802" t="s">
        <v>249</v>
      </c>
      <c r="C177" s="279">
        <v>1</v>
      </c>
      <c r="D177" s="280"/>
      <c r="E177" s="281"/>
      <c r="F177" s="282"/>
      <c r="G177" s="283"/>
      <c r="H177" s="284"/>
      <c r="I177" s="285"/>
      <c r="J177" s="286"/>
      <c r="K177" s="287"/>
      <c r="L177" s="288"/>
      <c r="M177" s="331">
        <f t="shared" ref="M177:M179" si="19">L177*J177</f>
        <v>0</v>
      </c>
      <c r="N177" s="288"/>
      <c r="O177" s="805"/>
      <c r="P177" s="806"/>
      <c r="R177" s="2"/>
      <c r="S177" s="2"/>
    </row>
    <row r="178" spans="1:20" s="289" customFormat="1" ht="20.100000000000001" customHeight="1">
      <c r="A178" s="761"/>
      <c r="B178" s="803"/>
      <c r="C178" s="279">
        <v>2</v>
      </c>
      <c r="D178" s="280"/>
      <c r="E178" s="281"/>
      <c r="F178" s="282"/>
      <c r="G178" s="283"/>
      <c r="H178" s="284"/>
      <c r="I178" s="285"/>
      <c r="J178" s="286"/>
      <c r="K178" s="287"/>
      <c r="L178" s="288"/>
      <c r="M178" s="331">
        <f t="shared" si="19"/>
        <v>0</v>
      </c>
      <c r="N178" s="288"/>
      <c r="O178" s="807"/>
      <c r="P178" s="808"/>
      <c r="R178" s="2"/>
      <c r="S178" s="2"/>
    </row>
    <row r="179" spans="1:20" s="289" customFormat="1" ht="20.100000000000001" customHeight="1">
      <c r="A179" s="761"/>
      <c r="B179" s="803"/>
      <c r="C179" s="279">
        <v>3</v>
      </c>
      <c r="D179" s="280"/>
      <c r="E179" s="281"/>
      <c r="F179" s="282"/>
      <c r="G179" s="283"/>
      <c r="H179" s="284"/>
      <c r="I179" s="285"/>
      <c r="J179" s="286"/>
      <c r="K179" s="287"/>
      <c r="L179" s="288"/>
      <c r="M179" s="331">
        <f t="shared" si="19"/>
        <v>0</v>
      </c>
      <c r="N179" s="288"/>
      <c r="O179" s="807"/>
      <c r="P179" s="808"/>
      <c r="R179" s="2"/>
      <c r="S179" s="2"/>
    </row>
    <row r="180" spans="1:20" s="289" customFormat="1" ht="20.100000000000001" customHeight="1">
      <c r="A180" s="761"/>
      <c r="B180" s="803"/>
      <c r="C180" s="279">
        <v>4</v>
      </c>
      <c r="D180" s="280"/>
      <c r="E180" s="281"/>
      <c r="F180" s="282"/>
      <c r="G180" s="283"/>
      <c r="H180" s="284"/>
      <c r="I180" s="285"/>
      <c r="J180" s="286"/>
      <c r="K180" s="287"/>
      <c r="L180" s="288"/>
      <c r="M180" s="332">
        <v>0</v>
      </c>
      <c r="N180" s="288"/>
      <c r="O180" s="299"/>
      <c r="P180" s="300"/>
      <c r="R180" s="2"/>
      <c r="S180" s="2"/>
    </row>
    <row r="181" spans="1:20" s="289" customFormat="1" ht="20.100000000000001" customHeight="1" thickBot="1">
      <c r="A181" s="761"/>
      <c r="B181" s="803"/>
      <c r="C181" s="279">
        <v>5</v>
      </c>
      <c r="D181" s="290"/>
      <c r="E181" s="291"/>
      <c r="F181" s="292"/>
      <c r="G181" s="283"/>
      <c r="H181" s="284"/>
      <c r="I181" s="285"/>
      <c r="J181" s="388"/>
      <c r="K181" s="382"/>
      <c r="L181" s="317"/>
      <c r="M181" s="333">
        <v>0</v>
      </c>
      <c r="N181" s="288"/>
      <c r="O181" s="301"/>
      <c r="P181" s="302"/>
      <c r="R181" s="2"/>
      <c r="S181" s="2"/>
    </row>
    <row r="182" spans="1:20" s="289" customFormat="1" thickTop="1" thickBot="1">
      <c r="A182" s="762"/>
      <c r="B182" s="804"/>
      <c r="C182" s="789"/>
      <c r="D182" s="790"/>
      <c r="E182" s="790"/>
      <c r="F182" s="790"/>
      <c r="G182" s="790"/>
      <c r="H182" s="790"/>
      <c r="I182" s="791"/>
      <c r="J182" s="347" t="s">
        <v>58</v>
      </c>
      <c r="K182" s="212">
        <f>M182/'生產管理報表 7-1 (週)'!$B$53</f>
        <v>0</v>
      </c>
      <c r="L182" s="348" t="s">
        <v>59</v>
      </c>
      <c r="M182" s="389">
        <f>SUM(M177:M181)</f>
        <v>0</v>
      </c>
      <c r="N182" s="777"/>
      <c r="O182" s="778"/>
      <c r="P182" s="779"/>
      <c r="R182" s="2"/>
      <c r="S182" s="2"/>
      <c r="T182" s="2"/>
    </row>
    <row r="183" spans="1:20" ht="15.75" customHeight="1" thickTop="1"/>
  </sheetData>
  <mergeCells count="331"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  <mergeCell ref="A132:B132"/>
    <mergeCell ref="D132:F132"/>
    <mergeCell ref="G132:I132"/>
    <mergeCell ref="O132:P132"/>
    <mergeCell ref="A133:A138"/>
    <mergeCell ref="B133:B138"/>
    <mergeCell ref="O133:P133"/>
    <mergeCell ref="O134:P134"/>
    <mergeCell ref="O135:P135"/>
    <mergeCell ref="O136:P136"/>
    <mergeCell ref="O137:P137"/>
    <mergeCell ref="C138:I138"/>
    <mergeCell ref="N138:P138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O128:P128"/>
    <mergeCell ref="O129:P129"/>
    <mergeCell ref="C130:I130"/>
    <mergeCell ref="N130:P130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O98:P98"/>
    <mergeCell ref="O99:P99"/>
    <mergeCell ref="O100:P100"/>
    <mergeCell ref="O101:P101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N42:O42"/>
    <mergeCell ref="A44:B44"/>
    <mergeCell ref="D44:F44"/>
    <mergeCell ref="G44:I44"/>
    <mergeCell ref="O44:P44"/>
    <mergeCell ref="A1:P2"/>
    <mergeCell ref="A39:M40"/>
    <mergeCell ref="A41:A42"/>
    <mergeCell ref="B41:C41"/>
    <mergeCell ref="D41:E41"/>
    <mergeCell ref="F41:G41"/>
    <mergeCell ref="H41:I41"/>
    <mergeCell ref="J41:K41"/>
    <mergeCell ref="L41:M41"/>
    <mergeCell ref="N41:O41"/>
    <mergeCell ref="B42:C42"/>
    <mergeCell ref="D42:E42"/>
    <mergeCell ref="F42:G42"/>
    <mergeCell ref="H42:I42"/>
    <mergeCell ref="J42:K42"/>
    <mergeCell ref="L42:M42"/>
    <mergeCell ref="A3:M4"/>
    <mergeCell ref="A5:A6"/>
    <mergeCell ref="B5:C5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60:B60"/>
    <mergeCell ref="D60:F60"/>
    <mergeCell ref="G60:I60"/>
    <mergeCell ref="O60:P60"/>
    <mergeCell ref="A61:A66"/>
    <mergeCell ref="B61:B66"/>
    <mergeCell ref="O61:P61"/>
    <mergeCell ref="C66:I66"/>
    <mergeCell ref="N66:P66"/>
    <mergeCell ref="O62:P62"/>
    <mergeCell ref="O63:P63"/>
    <mergeCell ref="O64:P64"/>
    <mergeCell ref="O65:P65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147:M148"/>
    <mergeCell ref="A149:A150"/>
    <mergeCell ref="B149:C149"/>
    <mergeCell ref="D149:E149"/>
    <mergeCell ref="F149:G149"/>
    <mergeCell ref="H149:I149"/>
    <mergeCell ref="J149:K149"/>
    <mergeCell ref="L149:M149"/>
    <mergeCell ref="N149:O149"/>
    <mergeCell ref="B150:C150"/>
    <mergeCell ref="D150:E150"/>
    <mergeCell ref="F150:G150"/>
    <mergeCell ref="H150:I150"/>
    <mergeCell ref="J150:K150"/>
    <mergeCell ref="L150:M150"/>
    <mergeCell ref="N150:O150"/>
    <mergeCell ref="A152:B152"/>
    <mergeCell ref="D152:F152"/>
    <mergeCell ref="G152:I152"/>
    <mergeCell ref="O152:P152"/>
    <mergeCell ref="A153:A158"/>
    <mergeCell ref="B153:B158"/>
    <mergeCell ref="O153:P153"/>
    <mergeCell ref="O154:P154"/>
    <mergeCell ref="O155:P155"/>
    <mergeCell ref="O156:P156"/>
    <mergeCell ref="O157:P157"/>
    <mergeCell ref="C158:I158"/>
    <mergeCell ref="N158:P158"/>
    <mergeCell ref="A160:B160"/>
    <mergeCell ref="D160:F160"/>
    <mergeCell ref="G160:I160"/>
    <mergeCell ref="O160:P160"/>
    <mergeCell ref="A161:A166"/>
    <mergeCell ref="B161:B166"/>
    <mergeCell ref="O161:P161"/>
    <mergeCell ref="O162:P162"/>
    <mergeCell ref="O163:P163"/>
    <mergeCell ref="O164:P164"/>
    <mergeCell ref="O165:P165"/>
    <mergeCell ref="C166:I166"/>
    <mergeCell ref="N166:P166"/>
    <mergeCell ref="A168:B168"/>
    <mergeCell ref="D168:F168"/>
    <mergeCell ref="G168:I168"/>
    <mergeCell ref="O168:P168"/>
    <mergeCell ref="A169:A174"/>
    <mergeCell ref="B169:B174"/>
    <mergeCell ref="O169:P169"/>
    <mergeCell ref="O170:P170"/>
    <mergeCell ref="O171:P171"/>
    <mergeCell ref="O172:P172"/>
    <mergeCell ref="O173:P173"/>
    <mergeCell ref="C174:I174"/>
    <mergeCell ref="N174:P174"/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C182:I182"/>
    <mergeCell ref="N182:P182"/>
  </mergeCells>
  <phoneticPr fontId="10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3" manualBreakCount="3">
    <brk id="38" max="15" man="1"/>
    <brk id="74" max="15" man="1"/>
    <brk id="110" max="1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>
    <tabColor rgb="FF92D050"/>
    <outlinePr summaryBelow="0" summaryRight="0"/>
  </sheetPr>
  <dimension ref="A1:BW31"/>
  <sheetViews>
    <sheetView view="pageBreakPreview" zoomScaleNormal="60" zoomScaleSheetLayoutView="100" workbookViewId="0">
      <selection activeCell="K14" sqref="K14"/>
    </sheetView>
  </sheetViews>
  <sheetFormatPr defaultColWidth="12.5703125" defaultRowHeight="15.75" customHeight="1"/>
  <cols>
    <col min="1" max="1" width="5.42578125" style="135" customWidth="1"/>
    <col min="2" max="2" width="11.42578125" style="232" customWidth="1"/>
    <col min="3" max="3" width="4" style="233" customWidth="1"/>
    <col min="4" max="15" width="9.5703125" style="135" customWidth="1"/>
    <col min="16" max="16" width="47.85546875" style="135" customWidth="1"/>
    <col min="17" max="17" width="9.5703125" style="135" customWidth="1"/>
    <col min="18" max="21" width="12.5703125" style="231"/>
    <col min="22" max="22" width="24.42578125" style="135" bestFit="1" customWidth="1"/>
    <col min="23" max="23" width="19.42578125" style="135" bestFit="1" customWidth="1"/>
    <col min="24" max="24" width="23" style="135" bestFit="1" customWidth="1"/>
    <col min="25" max="25" width="11.7109375" style="135" bestFit="1" customWidth="1"/>
    <col min="26" max="26" width="15.85546875" style="135" bestFit="1" customWidth="1"/>
    <col min="27" max="27" width="23.5703125" style="135" bestFit="1" customWidth="1"/>
    <col min="28" max="28" width="23" style="135" bestFit="1" customWidth="1"/>
    <col min="29" max="29" width="11.7109375" style="135" bestFit="1" customWidth="1"/>
    <col min="30" max="30" width="20.5703125" style="135" bestFit="1" customWidth="1"/>
    <col min="31" max="31" width="15" style="135" bestFit="1" customWidth="1"/>
    <col min="32" max="32" width="23" style="135" bestFit="1" customWidth="1"/>
    <col min="33" max="33" width="11.7109375" style="135" bestFit="1" customWidth="1"/>
    <col min="34" max="34" width="15.85546875" style="135" bestFit="1" customWidth="1"/>
    <col min="35" max="35" width="15" style="135" bestFit="1" customWidth="1"/>
    <col min="36" max="36" width="23" style="135" bestFit="1" customWidth="1"/>
    <col min="37" max="37" width="15" style="135" bestFit="1" customWidth="1"/>
    <col min="38" max="38" width="23" style="135" bestFit="1" customWidth="1"/>
    <col min="39" max="39" width="11.7109375" style="135" bestFit="1" customWidth="1"/>
    <col min="40" max="40" width="13.85546875" style="135" bestFit="1" customWidth="1"/>
    <col min="41" max="41" width="27.85546875" style="135" bestFit="1" customWidth="1"/>
    <col min="42" max="42" width="23" style="135" bestFit="1" customWidth="1"/>
    <col min="43" max="43" width="8" style="135" bestFit="1" customWidth="1"/>
    <col min="44" max="44" width="30.7109375" style="135" bestFit="1" customWidth="1"/>
    <col min="45" max="45" width="25.7109375" style="135" bestFit="1" customWidth="1"/>
    <col min="46" max="46" width="23" style="135" bestFit="1" customWidth="1"/>
    <col min="47" max="47" width="15" style="135" bestFit="1" customWidth="1"/>
    <col min="48" max="48" width="23" style="135" bestFit="1" customWidth="1"/>
    <col min="49" max="49" width="11.7109375" style="135" bestFit="1" customWidth="1"/>
    <col min="50" max="50" width="20.140625" style="135" bestFit="1" customWidth="1"/>
    <col min="51" max="51" width="23.5703125" style="135" bestFit="1" customWidth="1"/>
    <col min="52" max="52" width="23" style="135" bestFit="1" customWidth="1"/>
    <col min="53" max="53" width="11.7109375" style="135" bestFit="1" customWidth="1"/>
    <col min="54" max="54" width="21.42578125" style="135" bestFit="1" customWidth="1"/>
    <col min="55" max="55" width="15" style="135" bestFit="1" customWidth="1"/>
    <col min="56" max="56" width="23" style="135" bestFit="1" customWidth="1"/>
    <col min="57" max="57" width="11.7109375" style="135" bestFit="1" customWidth="1"/>
    <col min="58" max="58" width="13.85546875" style="135" bestFit="1" customWidth="1"/>
    <col min="59" max="59" width="22" style="135" bestFit="1" customWidth="1"/>
    <col min="60" max="60" width="23" style="135" bestFit="1" customWidth="1"/>
    <col min="61" max="61" width="15" style="135" bestFit="1" customWidth="1"/>
    <col min="62" max="62" width="23" style="135" bestFit="1" customWidth="1"/>
    <col min="63" max="63" width="11.7109375" style="135" bestFit="1" customWidth="1"/>
    <col min="64" max="64" width="24.7109375" style="135" bestFit="1" customWidth="1"/>
    <col min="65" max="65" width="18.7109375" style="135" bestFit="1" customWidth="1"/>
    <col min="66" max="66" width="23" style="135" bestFit="1" customWidth="1"/>
    <col min="67" max="67" width="15" style="135" bestFit="1" customWidth="1"/>
    <col min="68" max="68" width="23" style="135" bestFit="1" customWidth="1"/>
    <col min="69" max="69" width="15" style="135" bestFit="1" customWidth="1"/>
    <col min="70" max="70" width="23" style="135" bestFit="1" customWidth="1"/>
    <col min="71" max="71" width="15" style="135" bestFit="1" customWidth="1"/>
    <col min="72" max="72" width="21.85546875" style="135" bestFit="1" customWidth="1"/>
    <col min="73" max="73" width="10.5703125" style="135" bestFit="1" customWidth="1"/>
    <col min="74" max="74" width="21.42578125" style="135" bestFit="1" customWidth="1"/>
    <col min="75" max="75" width="5.42578125" style="135" bestFit="1" customWidth="1"/>
    <col min="76" max="16384" width="12.5703125" style="135"/>
  </cols>
  <sheetData>
    <row r="1" spans="1:75" ht="15.75" customHeight="1">
      <c r="A1" s="708" t="s">
        <v>361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8"/>
      <c r="N1" s="708"/>
      <c r="O1" s="708"/>
      <c r="P1" s="708"/>
      <c r="Q1" s="708"/>
    </row>
    <row r="2" spans="1:75" s="136" customFormat="1" ht="15.75" customHeight="1">
      <c r="A2" s="708"/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8"/>
      <c r="P2" s="708"/>
      <c r="Q2" s="708"/>
    </row>
    <row r="3" spans="1:75" ht="15.75" customHeight="1">
      <c r="A3" s="709" t="s">
        <v>431</v>
      </c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709"/>
    </row>
    <row r="4" spans="1:75" s="136" customFormat="1" ht="15.75" customHeight="1">
      <c r="A4" s="709"/>
      <c r="B4" s="709"/>
      <c r="C4" s="709"/>
      <c r="D4" s="709"/>
      <c r="E4" s="709"/>
      <c r="F4" s="709"/>
      <c r="G4" s="709"/>
      <c r="H4" s="709"/>
      <c r="I4" s="709"/>
      <c r="J4" s="709"/>
      <c r="K4" s="709"/>
      <c r="L4" s="709"/>
      <c r="M4" s="709"/>
    </row>
    <row r="5" spans="1:75" ht="15.75" customHeight="1">
      <c r="A5" s="711" t="s">
        <v>191</v>
      </c>
      <c r="B5" s="721">
        <v>1</v>
      </c>
      <c r="C5" s="721"/>
      <c r="D5" s="721">
        <v>2</v>
      </c>
      <c r="E5" s="721"/>
      <c r="F5" s="721">
        <v>3</v>
      </c>
      <c r="G5" s="721"/>
      <c r="H5" s="714">
        <v>4</v>
      </c>
      <c r="I5" s="714"/>
      <c r="J5" s="714">
        <v>5</v>
      </c>
      <c r="K5" s="714"/>
      <c r="L5" s="714">
        <v>6</v>
      </c>
      <c r="M5" s="714"/>
      <c r="N5" s="714">
        <v>7</v>
      </c>
      <c r="O5" s="714"/>
      <c r="P5" s="714">
        <v>8</v>
      </c>
      <c r="Q5" s="714"/>
    </row>
    <row r="6" spans="1:75" ht="15.75" customHeight="1">
      <c r="A6" s="711"/>
      <c r="B6" s="722" t="s">
        <v>452</v>
      </c>
      <c r="C6" s="722"/>
      <c r="D6" s="722" t="s">
        <v>212</v>
      </c>
      <c r="E6" s="722"/>
      <c r="F6" s="722" t="s">
        <v>166</v>
      </c>
      <c r="G6" s="722"/>
      <c r="H6" s="711" t="s">
        <v>428</v>
      </c>
      <c r="I6" s="711"/>
      <c r="J6" s="711" t="s">
        <v>189</v>
      </c>
      <c r="K6" s="711"/>
      <c r="L6" s="711" t="s">
        <v>167</v>
      </c>
      <c r="M6" s="711"/>
      <c r="N6" s="711" t="s">
        <v>190</v>
      </c>
      <c r="O6" s="711"/>
      <c r="P6" s="809" t="s">
        <v>217</v>
      </c>
      <c r="Q6" s="809"/>
    </row>
    <row r="8" spans="1:75" s="235" customFormat="1" ht="15.75" customHeight="1">
      <c r="A8" s="748" t="s">
        <v>191</v>
      </c>
      <c r="B8" s="749"/>
      <c r="C8" s="234" t="s">
        <v>47</v>
      </c>
      <c r="D8" s="860" t="s">
        <v>12</v>
      </c>
      <c r="E8" s="737"/>
      <c r="F8" s="850"/>
      <c r="G8" s="861" t="s">
        <v>53</v>
      </c>
      <c r="H8" s="862"/>
      <c r="I8" s="863"/>
      <c r="J8" s="234" t="s">
        <v>54</v>
      </c>
      <c r="K8" s="234" t="s">
        <v>55</v>
      </c>
      <c r="L8" s="234" t="s">
        <v>56</v>
      </c>
      <c r="M8" s="234" t="s">
        <v>11</v>
      </c>
      <c r="N8" s="234" t="s">
        <v>333</v>
      </c>
      <c r="O8" s="864" t="s">
        <v>51</v>
      </c>
      <c r="P8" s="865"/>
    </row>
    <row r="9" spans="1:75" ht="20.100000000000001" customHeight="1">
      <c r="A9" s="851">
        <v>1</v>
      </c>
      <c r="B9" s="854" t="s">
        <v>453</v>
      </c>
      <c r="C9" s="236">
        <v>1</v>
      </c>
      <c r="D9" s="237"/>
      <c r="E9" s="238"/>
      <c r="F9" s="238"/>
      <c r="G9" s="237"/>
      <c r="H9" s="238"/>
      <c r="I9" s="239"/>
      <c r="J9" s="236"/>
      <c r="K9" s="242"/>
      <c r="L9" s="236"/>
      <c r="M9" s="322">
        <f>L9*J9</f>
        <v>0</v>
      </c>
      <c r="N9" s="243"/>
      <c r="O9" s="766"/>
      <c r="P9" s="767"/>
      <c r="S9" s="340"/>
      <c r="T9" s="339"/>
    </row>
    <row r="10" spans="1:75" ht="20.100000000000001" customHeight="1">
      <c r="A10" s="852"/>
      <c r="B10" s="855"/>
      <c r="C10" s="236">
        <v>2</v>
      </c>
      <c r="D10" s="237"/>
      <c r="E10" s="238"/>
      <c r="F10" s="239"/>
      <c r="G10" s="237"/>
      <c r="H10" s="238"/>
      <c r="I10" s="239"/>
      <c r="J10" s="236"/>
      <c r="K10" s="242"/>
      <c r="L10" s="236"/>
      <c r="M10" s="322">
        <f t="shared" ref="M10:M13" si="0">L10*J10</f>
        <v>0</v>
      </c>
      <c r="N10" s="243"/>
      <c r="O10" s="867"/>
      <c r="P10" s="823"/>
      <c r="S10" s="339"/>
      <c r="T10" s="339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  <c r="BW10" s="231"/>
    </row>
    <row r="11" spans="1:75" ht="20.100000000000001" customHeight="1">
      <c r="A11" s="852"/>
      <c r="B11" s="855"/>
      <c r="C11" s="236">
        <v>3</v>
      </c>
      <c r="D11" s="237"/>
      <c r="E11" s="238"/>
      <c r="F11" s="239"/>
      <c r="G11" s="237"/>
      <c r="H11" s="238"/>
      <c r="I11" s="239"/>
      <c r="J11" s="236"/>
      <c r="K11" s="242"/>
      <c r="L11" s="236"/>
      <c r="M11" s="322">
        <f t="shared" si="0"/>
        <v>0</v>
      </c>
      <c r="N11" s="243"/>
      <c r="O11" s="867"/>
      <c r="P11" s="823"/>
      <c r="S11" s="340"/>
      <c r="T11" s="339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  <c r="BW11" s="231"/>
    </row>
    <row r="12" spans="1:75" ht="20.100000000000001" customHeight="1">
      <c r="A12" s="852"/>
      <c r="B12" s="855"/>
      <c r="C12" s="236">
        <v>4</v>
      </c>
      <c r="D12" s="237"/>
      <c r="E12" s="238"/>
      <c r="F12" s="239"/>
      <c r="G12" s="237"/>
      <c r="H12" s="238"/>
      <c r="I12" s="239"/>
      <c r="J12" s="236"/>
      <c r="K12" s="242"/>
      <c r="L12" s="236"/>
      <c r="M12" s="322">
        <f t="shared" si="0"/>
        <v>0</v>
      </c>
      <c r="N12" s="243"/>
      <c r="O12" s="867"/>
      <c r="P12" s="823"/>
      <c r="S12" s="339"/>
      <c r="T12" s="339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  <c r="BW12" s="231"/>
    </row>
    <row r="13" spans="1:75" ht="20.100000000000001" customHeight="1" thickBot="1">
      <c r="A13" s="852"/>
      <c r="B13" s="855"/>
      <c r="C13" s="236">
        <v>5</v>
      </c>
      <c r="D13" s="244"/>
      <c r="E13" s="245"/>
      <c r="F13" s="246"/>
      <c r="G13" s="237"/>
      <c r="H13" s="238"/>
      <c r="I13" s="268"/>
      <c r="J13" s="247"/>
      <c r="K13" s="248"/>
      <c r="L13" s="247"/>
      <c r="M13" s="323">
        <f t="shared" si="0"/>
        <v>0</v>
      </c>
      <c r="N13" s="243"/>
      <c r="O13" s="867"/>
      <c r="P13" s="823"/>
      <c r="S13" s="340"/>
      <c r="T13" s="339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  <c r="BW13" s="231"/>
    </row>
    <row r="14" spans="1:75" ht="15.75" customHeight="1" thickTop="1" thickBot="1">
      <c r="A14" s="853"/>
      <c r="B14" s="856"/>
      <c r="C14" s="724"/>
      <c r="D14" s="725"/>
      <c r="E14" s="725"/>
      <c r="F14" s="725"/>
      <c r="G14" s="725"/>
      <c r="H14" s="725"/>
      <c r="I14" s="859"/>
      <c r="J14" s="344" t="s">
        <v>58</v>
      </c>
      <c r="K14" s="345">
        <v>0</v>
      </c>
      <c r="L14" s="344" t="s">
        <v>59</v>
      </c>
      <c r="M14" s="324">
        <f>SUM(M9:M13)</f>
        <v>0</v>
      </c>
      <c r="N14" s="812"/>
      <c r="O14" s="813"/>
      <c r="P14" s="814"/>
      <c r="S14" s="339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  <c r="BW14" s="231"/>
    </row>
    <row r="15" spans="1:75" ht="15.75" customHeight="1" thickTop="1"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1"/>
      <c r="O15" s="251"/>
      <c r="P15" s="251"/>
      <c r="S15" s="340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  <c r="BW15" s="231"/>
    </row>
    <row r="16" spans="1:75" ht="15.75" customHeight="1">
      <c r="A16" s="748" t="s">
        <v>191</v>
      </c>
      <c r="B16" s="749"/>
      <c r="C16" s="252" t="s">
        <v>47</v>
      </c>
      <c r="D16" s="736" t="s">
        <v>12</v>
      </c>
      <c r="E16" s="737"/>
      <c r="F16" s="738"/>
      <c r="G16" s="736" t="s">
        <v>53</v>
      </c>
      <c r="H16" s="737"/>
      <c r="I16" s="738"/>
      <c r="J16" s="254" t="s">
        <v>54</v>
      </c>
      <c r="K16" s="254" t="s">
        <v>55</v>
      </c>
      <c r="L16" s="254" t="s">
        <v>56</v>
      </c>
      <c r="M16" s="254" t="s">
        <v>11</v>
      </c>
      <c r="N16" s="255" t="s">
        <v>333</v>
      </c>
      <c r="O16" s="815" t="s">
        <v>51</v>
      </c>
      <c r="P16" s="816"/>
      <c r="S16" s="339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</row>
    <row r="17" spans="1:36" ht="20.100000000000001" customHeight="1">
      <c r="A17" s="851">
        <v>2</v>
      </c>
      <c r="B17" s="854" t="s">
        <v>213</v>
      </c>
      <c r="C17" s="256">
        <v>1</v>
      </c>
      <c r="D17" s="237"/>
      <c r="E17" s="238"/>
      <c r="F17" s="239"/>
      <c r="G17" s="237"/>
      <c r="H17" s="238"/>
      <c r="I17" s="239"/>
      <c r="J17" s="257"/>
      <c r="K17" s="258"/>
      <c r="L17" s="257"/>
      <c r="M17" s="259">
        <f t="shared" ref="M17:M21" si="1">L17*J17</f>
        <v>0</v>
      </c>
      <c r="N17" s="260"/>
      <c r="O17" s="817"/>
      <c r="P17" s="818"/>
      <c r="S17" s="340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  <c r="AJ17" s="231"/>
    </row>
    <row r="18" spans="1:36" ht="20.100000000000001" customHeight="1">
      <c r="A18" s="852"/>
      <c r="B18" s="855"/>
      <c r="C18" s="256">
        <v>2</v>
      </c>
      <c r="D18" s="237"/>
      <c r="E18" s="238"/>
      <c r="F18" s="239"/>
      <c r="G18" s="237"/>
      <c r="H18" s="238"/>
      <c r="I18" s="239"/>
      <c r="J18" s="257"/>
      <c r="K18" s="258"/>
      <c r="L18" s="257"/>
      <c r="M18" s="259">
        <f t="shared" si="1"/>
        <v>0</v>
      </c>
      <c r="N18" s="260"/>
      <c r="O18" s="817"/>
      <c r="P18" s="818"/>
      <c r="S18" s="339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</row>
    <row r="19" spans="1:36" ht="20.100000000000001" customHeight="1">
      <c r="A19" s="852"/>
      <c r="B19" s="855"/>
      <c r="C19" s="256">
        <v>3</v>
      </c>
      <c r="D19" s="237"/>
      <c r="E19" s="238"/>
      <c r="F19" s="239"/>
      <c r="G19" s="237"/>
      <c r="H19" s="238"/>
      <c r="I19" s="239"/>
      <c r="J19" s="257"/>
      <c r="K19" s="258"/>
      <c r="L19" s="257"/>
      <c r="M19" s="259">
        <f t="shared" si="1"/>
        <v>0</v>
      </c>
      <c r="N19" s="260"/>
      <c r="O19" s="817"/>
      <c r="P19" s="818"/>
      <c r="S19" s="340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  <c r="AH19" s="231"/>
    </row>
    <row r="20" spans="1:36" ht="20.100000000000001" customHeight="1">
      <c r="A20" s="852"/>
      <c r="B20" s="855"/>
      <c r="C20" s="256">
        <v>4</v>
      </c>
      <c r="D20" s="237"/>
      <c r="E20" s="238"/>
      <c r="F20" s="239"/>
      <c r="G20" s="237"/>
      <c r="H20" s="238"/>
      <c r="I20" s="239"/>
      <c r="J20" s="257"/>
      <c r="K20" s="258"/>
      <c r="L20" s="257"/>
      <c r="M20" s="259">
        <f t="shared" si="1"/>
        <v>0</v>
      </c>
      <c r="N20" s="260"/>
      <c r="O20" s="817"/>
      <c r="P20" s="818"/>
      <c r="S20" s="339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  <c r="AH20" s="231"/>
    </row>
    <row r="21" spans="1:36" ht="20.100000000000001" customHeight="1" thickBot="1">
      <c r="A21" s="852"/>
      <c r="B21" s="855"/>
      <c r="C21" s="262">
        <v>5</v>
      </c>
      <c r="D21" s="244"/>
      <c r="E21" s="245"/>
      <c r="F21" s="246"/>
      <c r="G21" s="244"/>
      <c r="H21" s="245"/>
      <c r="I21" s="246"/>
      <c r="J21" s="263"/>
      <c r="K21" s="264"/>
      <c r="L21" s="263"/>
      <c r="M21" s="265">
        <f t="shared" si="1"/>
        <v>0</v>
      </c>
      <c r="N21" s="266"/>
      <c r="O21" s="817"/>
      <c r="P21" s="818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  <c r="AH21" s="231"/>
    </row>
    <row r="22" spans="1:36" ht="15.75" customHeight="1" thickTop="1" thickBot="1">
      <c r="A22" s="853"/>
      <c r="B22" s="856"/>
      <c r="C22" s="724"/>
      <c r="D22" s="725"/>
      <c r="E22" s="725"/>
      <c r="F22" s="725"/>
      <c r="G22" s="725"/>
      <c r="H22" s="725"/>
      <c r="I22" s="859"/>
      <c r="J22" s="344" t="s">
        <v>58</v>
      </c>
      <c r="K22" s="345">
        <v>0</v>
      </c>
      <c r="L22" s="344" t="s">
        <v>59</v>
      </c>
      <c r="M22" s="250">
        <f>SUM(M17:M21)</f>
        <v>0</v>
      </c>
      <c r="N22" s="819"/>
      <c r="O22" s="820"/>
      <c r="P22" s="821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  <c r="AH22" s="231"/>
    </row>
    <row r="23" spans="1:36" ht="15.75" customHeight="1" thickTop="1"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7"/>
      <c r="O23" s="267"/>
      <c r="P23" s="267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  <c r="AH23" s="231"/>
    </row>
    <row r="24" spans="1:36" ht="15.75" customHeight="1">
      <c r="A24" s="748" t="s">
        <v>191</v>
      </c>
      <c r="B24" s="749"/>
      <c r="C24" s="252" t="s">
        <v>47</v>
      </c>
      <c r="D24" s="736" t="s">
        <v>12</v>
      </c>
      <c r="E24" s="737"/>
      <c r="F24" s="738"/>
      <c r="G24" s="736" t="s">
        <v>53</v>
      </c>
      <c r="H24" s="737"/>
      <c r="I24" s="850"/>
      <c r="J24" s="253" t="s">
        <v>54</v>
      </c>
      <c r="K24" s="254" t="s">
        <v>55</v>
      </c>
      <c r="L24" s="254" t="s">
        <v>56</v>
      </c>
      <c r="M24" s="254" t="s">
        <v>11</v>
      </c>
      <c r="N24" s="255" t="s">
        <v>333</v>
      </c>
      <c r="O24" s="827" t="s">
        <v>51</v>
      </c>
      <c r="P24" s="828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  <c r="AJ24" s="231"/>
    </row>
    <row r="25" spans="1:36" ht="20.100000000000001" customHeight="1">
      <c r="A25" s="851">
        <v>3</v>
      </c>
      <c r="B25" s="854" t="s">
        <v>422</v>
      </c>
      <c r="C25" s="256">
        <v>1</v>
      </c>
      <c r="D25" s="237"/>
      <c r="E25" s="238"/>
      <c r="F25" s="239"/>
      <c r="G25" s="237"/>
      <c r="H25" s="238"/>
      <c r="I25" s="239"/>
      <c r="J25" s="257"/>
      <c r="K25" s="258"/>
      <c r="L25" s="257"/>
      <c r="M25" s="325">
        <f t="shared" ref="M25:M29" si="2">L25*J25</f>
        <v>0</v>
      </c>
      <c r="N25" s="270"/>
      <c r="O25" s="822"/>
      <c r="P25" s="823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pans="1:36" ht="20.100000000000001" customHeight="1">
      <c r="A26" s="852"/>
      <c r="B26" s="855"/>
      <c r="C26" s="256">
        <v>2</v>
      </c>
      <c r="D26" s="237"/>
      <c r="E26" s="238"/>
      <c r="F26" s="239"/>
      <c r="G26" s="237"/>
      <c r="H26" s="238"/>
      <c r="I26" s="239"/>
      <c r="J26" s="257"/>
      <c r="K26" s="258"/>
      <c r="L26" s="257"/>
      <c r="M26" s="325">
        <f t="shared" si="2"/>
        <v>0</v>
      </c>
      <c r="N26" s="270"/>
      <c r="O26" s="822"/>
      <c r="P26" s="823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pans="1:36" ht="20.100000000000001" customHeight="1">
      <c r="A27" s="852"/>
      <c r="B27" s="855"/>
      <c r="C27" s="256">
        <v>3</v>
      </c>
      <c r="D27" s="237"/>
      <c r="E27" s="238"/>
      <c r="F27" s="239"/>
      <c r="G27" s="237"/>
      <c r="H27" s="238"/>
      <c r="I27" s="239"/>
      <c r="J27" s="257"/>
      <c r="K27" s="258"/>
      <c r="L27" s="257"/>
      <c r="M27" s="325">
        <f t="shared" si="2"/>
        <v>0</v>
      </c>
      <c r="N27" s="270"/>
      <c r="O27" s="822"/>
      <c r="P27" s="823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pans="1:36" ht="20.100000000000001" customHeight="1">
      <c r="A28" s="852"/>
      <c r="B28" s="855"/>
      <c r="C28" s="256">
        <v>4</v>
      </c>
      <c r="D28" s="237"/>
      <c r="E28" s="238"/>
      <c r="F28" s="239"/>
      <c r="G28" s="237"/>
      <c r="H28" s="238"/>
      <c r="I28" s="268"/>
      <c r="J28" s="269"/>
      <c r="K28" s="258"/>
      <c r="L28" s="257"/>
      <c r="M28" s="325">
        <f t="shared" si="2"/>
        <v>0</v>
      </c>
      <c r="N28" s="270"/>
      <c r="O28" s="822"/>
      <c r="P28" s="823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pans="1:36" ht="20.100000000000001" customHeight="1" thickBot="1">
      <c r="A29" s="852"/>
      <c r="B29" s="855"/>
      <c r="C29" s="262">
        <v>5</v>
      </c>
      <c r="D29" s="244"/>
      <c r="E29" s="245"/>
      <c r="F29" s="246"/>
      <c r="G29" s="244"/>
      <c r="H29" s="245"/>
      <c r="I29" s="271"/>
      <c r="J29" s="272"/>
      <c r="K29" s="264"/>
      <c r="L29" s="273"/>
      <c r="M29" s="325">
        <f t="shared" si="2"/>
        <v>0</v>
      </c>
      <c r="N29" s="270"/>
      <c r="O29" s="822"/>
      <c r="P29" s="823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pans="1:36" ht="15.75" customHeight="1" thickTop="1" thickBot="1">
      <c r="A30" s="853"/>
      <c r="B30" s="856"/>
      <c r="C30" s="724"/>
      <c r="D30" s="725"/>
      <c r="E30" s="725"/>
      <c r="F30" s="725"/>
      <c r="G30" s="725"/>
      <c r="H30" s="725"/>
      <c r="I30" s="859"/>
      <c r="J30" s="346" t="s">
        <v>58</v>
      </c>
      <c r="K30" s="345">
        <v>0</v>
      </c>
      <c r="L30" s="346" t="s">
        <v>59</v>
      </c>
      <c r="M30" s="326">
        <f>SUM(M25:M29)</f>
        <v>0</v>
      </c>
      <c r="N30" s="824"/>
      <c r="O30" s="825"/>
      <c r="P30" s="826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  <c r="AJ30" s="231"/>
    </row>
    <row r="31" spans="1:36" ht="15.75" customHeight="1" thickTop="1"/>
  </sheetData>
  <mergeCells count="58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>
    <tabColor rgb="FF92D050"/>
    <outlinePr summaryBelow="0" summaryRight="0"/>
  </sheetPr>
  <dimension ref="A1:U143"/>
  <sheetViews>
    <sheetView view="pageBreakPreview" topLeftCell="A132" zoomScaleNormal="60" zoomScaleSheetLayoutView="100" workbookViewId="0">
      <selection activeCell="R146" sqref="R146"/>
    </sheetView>
  </sheetViews>
  <sheetFormatPr defaultColWidth="12.5703125" defaultRowHeight="15.75" customHeight="1"/>
  <cols>
    <col min="1" max="1" width="5.42578125" style="289" customWidth="1"/>
    <col min="2" max="2" width="11.42578125" style="297" customWidth="1"/>
    <col min="3" max="3" width="4" style="298" customWidth="1"/>
    <col min="4" max="4" width="9.5703125" style="289" customWidth="1"/>
    <col min="5" max="5" width="10.28515625" style="289" customWidth="1"/>
    <col min="6" max="15" width="9.5703125" style="289" customWidth="1"/>
    <col min="16" max="16" width="35.42578125" style="289" customWidth="1"/>
    <col min="17" max="17" width="12.5703125" style="289"/>
    <col min="18" max="18" width="27.42578125" style="289" bestFit="1" customWidth="1"/>
    <col min="19" max="16384" width="12.5703125" style="289"/>
  </cols>
  <sheetData>
    <row r="1" spans="1:21" s="135" customFormat="1" ht="15.75" customHeight="1">
      <c r="A1" s="895" t="s">
        <v>361</v>
      </c>
      <c r="B1" s="896"/>
      <c r="C1" s="896"/>
      <c r="D1" s="896"/>
      <c r="E1" s="896"/>
      <c r="F1" s="896"/>
      <c r="G1" s="896"/>
      <c r="H1" s="896"/>
      <c r="I1" s="896"/>
      <c r="J1" s="896"/>
      <c r="K1" s="896"/>
      <c r="L1" s="896"/>
      <c r="M1" s="896"/>
      <c r="N1" s="896"/>
      <c r="O1" s="896"/>
      <c r="P1" s="897"/>
    </row>
    <row r="2" spans="1:21" s="136" customFormat="1" ht="15.75" customHeight="1">
      <c r="A2" s="898"/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8"/>
      <c r="P2" s="899"/>
    </row>
    <row r="3" spans="1:21" s="135" customFormat="1" ht="15.75" customHeight="1">
      <c r="A3" s="900" t="s">
        <v>744</v>
      </c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709"/>
      <c r="P3" s="507"/>
      <c r="R3" s="231"/>
      <c r="S3" s="231"/>
      <c r="T3" s="231"/>
      <c r="U3" s="231"/>
    </row>
    <row r="4" spans="1:21" s="136" customFormat="1" ht="15.75" customHeight="1">
      <c r="A4" s="900"/>
      <c r="B4" s="709"/>
      <c r="C4" s="709"/>
      <c r="D4" s="709"/>
      <c r="E4" s="709"/>
      <c r="F4" s="709"/>
      <c r="G4" s="709"/>
      <c r="H4" s="709"/>
      <c r="I4" s="709"/>
      <c r="J4" s="709"/>
      <c r="K4" s="709"/>
      <c r="L4" s="709"/>
      <c r="M4" s="709"/>
      <c r="P4" s="508"/>
    </row>
    <row r="5" spans="1:21" s="135" customFormat="1" ht="15.75" customHeight="1">
      <c r="A5" s="746" t="s">
        <v>191</v>
      </c>
      <c r="B5" s="748">
        <v>1</v>
      </c>
      <c r="C5" s="749"/>
      <c r="D5" s="748">
        <v>2</v>
      </c>
      <c r="E5" s="749"/>
      <c r="F5" s="748">
        <v>3</v>
      </c>
      <c r="G5" s="749"/>
      <c r="H5" s="739">
        <v>4</v>
      </c>
      <c r="I5" s="740"/>
      <c r="J5" s="739">
        <v>5</v>
      </c>
      <c r="K5" s="740"/>
      <c r="L5" s="739">
        <v>6</v>
      </c>
      <c r="M5" s="740"/>
      <c r="N5" s="739">
        <v>7</v>
      </c>
      <c r="O5" s="740"/>
      <c r="P5" s="352">
        <v>8</v>
      </c>
    </row>
    <row r="6" spans="1:21" s="135" customFormat="1" ht="15.75" customHeight="1">
      <c r="A6" s="747"/>
      <c r="B6" s="743" t="s">
        <v>452</v>
      </c>
      <c r="C6" s="744"/>
      <c r="D6" s="743" t="s">
        <v>212</v>
      </c>
      <c r="E6" s="744"/>
      <c r="F6" s="743" t="s">
        <v>166</v>
      </c>
      <c r="G6" s="744"/>
      <c r="H6" s="741" t="s">
        <v>428</v>
      </c>
      <c r="I6" s="742"/>
      <c r="J6" s="741" t="s">
        <v>189</v>
      </c>
      <c r="K6" s="742"/>
      <c r="L6" s="741" t="s">
        <v>167</v>
      </c>
      <c r="M6" s="742"/>
      <c r="N6" s="741" t="s">
        <v>190</v>
      </c>
      <c r="O6" s="742"/>
      <c r="P6" s="353" t="s">
        <v>217</v>
      </c>
    </row>
    <row r="7" spans="1:21" s="135" customFormat="1" ht="15.75" customHeight="1">
      <c r="A7" s="502"/>
      <c r="B7" s="503"/>
      <c r="C7" s="504"/>
      <c r="D7" s="505"/>
      <c r="E7" s="505"/>
      <c r="F7" s="505"/>
      <c r="G7" s="505"/>
      <c r="H7" s="505"/>
      <c r="I7" s="505"/>
      <c r="J7" s="505"/>
      <c r="K7" s="505"/>
      <c r="L7" s="505"/>
      <c r="M7" s="505"/>
      <c r="N7" s="505"/>
      <c r="O7" s="505"/>
      <c r="P7" s="506"/>
    </row>
    <row r="8" spans="1:21" s="278" customFormat="1" ht="15.75" customHeight="1">
      <c r="A8" s="883" t="s">
        <v>191</v>
      </c>
      <c r="B8" s="884"/>
      <c r="C8" s="499" t="s">
        <v>47</v>
      </c>
      <c r="D8" s="885" t="s">
        <v>12</v>
      </c>
      <c r="E8" s="886"/>
      <c r="F8" s="887"/>
      <c r="G8" s="888" t="s">
        <v>53</v>
      </c>
      <c r="H8" s="889"/>
      <c r="I8" s="890"/>
      <c r="J8" s="500" t="s">
        <v>54</v>
      </c>
      <c r="K8" s="500" t="s">
        <v>55</v>
      </c>
      <c r="L8" s="500" t="s">
        <v>56</v>
      </c>
      <c r="M8" s="501" t="s">
        <v>11</v>
      </c>
      <c r="N8" s="501" t="s">
        <v>333</v>
      </c>
      <c r="O8" s="891" t="s">
        <v>51</v>
      </c>
      <c r="P8" s="892"/>
      <c r="R8" s="339"/>
      <c r="S8" s="340"/>
    </row>
    <row r="9" spans="1:21" s="298" customFormat="1" ht="60" customHeight="1">
      <c r="A9" s="760">
        <v>4</v>
      </c>
      <c r="B9" s="763" t="s">
        <v>428</v>
      </c>
      <c r="C9" s="279">
        <v>1</v>
      </c>
      <c r="D9" s="237" t="s">
        <v>340</v>
      </c>
      <c r="E9" s="238"/>
      <c r="F9" s="239"/>
      <c r="G9" s="306" t="s">
        <v>633</v>
      </c>
      <c r="H9" s="305"/>
      <c r="I9" s="306"/>
      <c r="J9" s="312">
        <v>144.79999999999998</v>
      </c>
      <c r="K9" s="313">
        <v>2.7763492311934945E-3</v>
      </c>
      <c r="L9" s="314">
        <v>48.510000000000218</v>
      </c>
      <c r="M9" s="322">
        <f t="shared" ref="M9:M13" si="0">L9*J9</f>
        <v>7024.2480000000305</v>
      </c>
      <c r="N9" s="314"/>
      <c r="O9" s="768" t="s">
        <v>612</v>
      </c>
      <c r="P9" s="893"/>
      <c r="R9" s="393"/>
      <c r="S9" s="340"/>
    </row>
    <row r="10" spans="1:21" s="298" customFormat="1" ht="60" customHeight="1">
      <c r="A10" s="761"/>
      <c r="B10" s="764"/>
      <c r="C10" s="279">
        <v>2</v>
      </c>
      <c r="D10" s="237" t="s">
        <v>341</v>
      </c>
      <c r="E10" s="238"/>
      <c r="F10" s="239"/>
      <c r="G10" s="306" t="s">
        <v>545</v>
      </c>
      <c r="H10" s="305"/>
      <c r="I10" s="306"/>
      <c r="J10" s="312">
        <v>66.13</v>
      </c>
      <c r="K10" s="313">
        <v>7.682620926382922E-3</v>
      </c>
      <c r="L10" s="314">
        <v>59.3599999999999</v>
      </c>
      <c r="M10" s="322">
        <f t="shared" si="0"/>
        <v>3925.4767999999931</v>
      </c>
      <c r="N10" s="314"/>
      <c r="O10" s="768" t="s">
        <v>611</v>
      </c>
      <c r="P10" s="893"/>
      <c r="R10" s="393"/>
      <c r="S10" s="394"/>
      <c r="T10" s="335"/>
    </row>
    <row r="11" spans="1:21" s="298" customFormat="1" ht="60" customHeight="1">
      <c r="A11" s="761"/>
      <c r="B11" s="764"/>
      <c r="C11" s="279">
        <v>3</v>
      </c>
      <c r="D11" s="237" t="s">
        <v>458</v>
      </c>
      <c r="E11" s="238"/>
      <c r="F11" s="239"/>
      <c r="G11" s="306" t="s">
        <v>464</v>
      </c>
      <c r="H11" s="305"/>
      <c r="I11" s="306"/>
      <c r="J11" s="312">
        <v>629</v>
      </c>
      <c r="K11" s="313">
        <v>6.2599681020733657E-3</v>
      </c>
      <c r="L11" s="314">
        <v>6.2199999999999989</v>
      </c>
      <c r="M11" s="322">
        <f t="shared" si="0"/>
        <v>3912.3799999999992</v>
      </c>
      <c r="N11" s="314"/>
      <c r="O11" s="770" t="s">
        <v>548</v>
      </c>
      <c r="P11" s="894"/>
      <c r="R11" s="393"/>
      <c r="S11" s="395"/>
    </row>
    <row r="12" spans="1:21" s="298" customFormat="1" ht="60" customHeight="1">
      <c r="A12" s="761"/>
      <c r="B12" s="764"/>
      <c r="C12" s="279">
        <v>4</v>
      </c>
      <c r="D12" s="237" t="s">
        <v>433</v>
      </c>
      <c r="E12" s="238"/>
      <c r="F12" s="239"/>
      <c r="G12" s="306" t="s">
        <v>432</v>
      </c>
      <c r="H12" s="305"/>
      <c r="I12" s="306"/>
      <c r="J12" s="312">
        <v>368.13999999999993</v>
      </c>
      <c r="K12" s="313">
        <v>6.7738779196668264E-3</v>
      </c>
      <c r="L12" s="314">
        <v>11</v>
      </c>
      <c r="M12" s="322">
        <f t="shared" si="0"/>
        <v>4049.5399999999991</v>
      </c>
      <c r="N12" s="314"/>
      <c r="O12" s="770" t="s">
        <v>745</v>
      </c>
      <c r="P12" s="894"/>
      <c r="R12" s="393"/>
      <c r="S12" s="394"/>
      <c r="T12" s="335"/>
    </row>
    <row r="13" spans="1:21" s="298" customFormat="1" ht="60" customHeight="1" thickBot="1">
      <c r="A13" s="761"/>
      <c r="B13" s="764"/>
      <c r="C13" s="279">
        <v>5</v>
      </c>
      <c r="D13" s="237" t="s">
        <v>340</v>
      </c>
      <c r="E13" s="245"/>
      <c r="F13" s="246"/>
      <c r="G13" s="306" t="s">
        <v>386</v>
      </c>
      <c r="H13" s="305"/>
      <c r="I13" s="306"/>
      <c r="J13" s="316">
        <v>127.84000000000002</v>
      </c>
      <c r="K13" s="248">
        <v>2.1443798327383731E-3</v>
      </c>
      <c r="L13" s="317">
        <v>49.349999999999909</v>
      </c>
      <c r="M13" s="322">
        <f t="shared" si="0"/>
        <v>6308.9039999999895</v>
      </c>
      <c r="N13" s="314"/>
      <c r="O13" s="770" t="s">
        <v>746</v>
      </c>
      <c r="P13" s="894"/>
      <c r="R13" s="396"/>
      <c r="S13" s="395"/>
      <c r="T13" s="289"/>
    </row>
    <row r="14" spans="1:21" ht="15.75" customHeight="1" thickTop="1" thickBot="1">
      <c r="A14" s="762"/>
      <c r="B14" s="765"/>
      <c r="C14" s="774"/>
      <c r="D14" s="775"/>
      <c r="E14" s="775"/>
      <c r="F14" s="775"/>
      <c r="G14" s="775"/>
      <c r="H14" s="775"/>
      <c r="I14" s="776"/>
      <c r="J14" s="347" t="s">
        <v>58</v>
      </c>
      <c r="K14" s="345">
        <f>M14/'生產管理報表 7-1 (週)'!$B$10</f>
        <v>9.0344815042066859E-2</v>
      </c>
      <c r="L14" s="348" t="s">
        <v>59</v>
      </c>
      <c r="M14" s="349">
        <f>SUM(M9:M13)</f>
        <v>25220.548800000011</v>
      </c>
      <c r="N14" s="777"/>
      <c r="O14" s="778"/>
      <c r="P14" s="882"/>
      <c r="R14" s="339"/>
      <c r="S14" s="339"/>
    </row>
    <row r="15" spans="1:21" ht="15.75" customHeight="1" thickTop="1">
      <c r="A15" s="509"/>
      <c r="M15" s="329"/>
      <c r="P15" s="510"/>
      <c r="S15" s="340"/>
    </row>
    <row r="16" spans="1:21" ht="15.75" customHeight="1">
      <c r="A16" s="750" t="s">
        <v>191</v>
      </c>
      <c r="B16" s="751"/>
      <c r="C16" s="275" t="s">
        <v>47</v>
      </c>
      <c r="D16" s="752" t="s">
        <v>12</v>
      </c>
      <c r="E16" s="753"/>
      <c r="F16" s="754"/>
      <c r="G16" s="755" t="s">
        <v>53</v>
      </c>
      <c r="H16" s="756"/>
      <c r="I16" s="757"/>
      <c r="J16" s="377" t="s">
        <v>54</v>
      </c>
      <c r="K16" s="276" t="s">
        <v>55</v>
      </c>
      <c r="L16" s="276" t="s">
        <v>56</v>
      </c>
      <c r="M16" s="330" t="s">
        <v>11</v>
      </c>
      <c r="N16" s="277" t="s">
        <v>333</v>
      </c>
      <c r="O16" s="758" t="s">
        <v>51</v>
      </c>
      <c r="P16" s="874"/>
      <c r="S16" s="339"/>
      <c r="T16" s="335"/>
    </row>
    <row r="17" spans="1:21" s="298" customFormat="1" ht="60" customHeight="1">
      <c r="A17" s="760">
        <v>5</v>
      </c>
      <c r="B17" s="780" t="s">
        <v>215</v>
      </c>
      <c r="C17" s="279">
        <v>1</v>
      </c>
      <c r="D17" s="237" t="s">
        <v>340</v>
      </c>
      <c r="E17" s="238"/>
      <c r="F17" s="239"/>
      <c r="G17" s="306" t="s">
        <v>336</v>
      </c>
      <c r="H17" s="305"/>
      <c r="I17" s="306"/>
      <c r="J17" s="312">
        <v>147.43000000000004</v>
      </c>
      <c r="K17" s="313">
        <v>1.5791755016928105E-3</v>
      </c>
      <c r="L17" s="314">
        <v>62.880000000000109</v>
      </c>
      <c r="M17" s="322">
        <f>L17*J17</f>
        <v>9270.3984000000182</v>
      </c>
      <c r="N17" s="314"/>
      <c r="O17" s="835" t="s">
        <v>529</v>
      </c>
      <c r="P17" s="879"/>
      <c r="S17" s="395"/>
      <c r="T17" s="335"/>
    </row>
    <row r="18" spans="1:21" s="298" customFormat="1" ht="24.95" customHeight="1">
      <c r="A18" s="761"/>
      <c r="B18" s="781"/>
      <c r="C18" s="279">
        <v>2</v>
      </c>
      <c r="D18" s="237"/>
      <c r="E18" s="238"/>
      <c r="F18" s="239"/>
      <c r="G18" s="350"/>
      <c r="H18" s="305"/>
      <c r="I18" s="306"/>
      <c r="J18" s="312"/>
      <c r="K18" s="313"/>
      <c r="L18" s="314"/>
      <c r="M18" s="322">
        <f t="shared" ref="M18:M21" si="1">L18*J18</f>
        <v>0</v>
      </c>
      <c r="N18" s="314"/>
      <c r="O18" s="785"/>
      <c r="P18" s="880"/>
      <c r="S18" s="339"/>
      <c r="T18" s="336"/>
    </row>
    <row r="19" spans="1:21" ht="24.95" customHeight="1">
      <c r="A19" s="761"/>
      <c r="B19" s="781"/>
      <c r="C19" s="279">
        <v>3</v>
      </c>
      <c r="D19" s="237"/>
      <c r="E19" s="238"/>
      <c r="F19" s="239"/>
      <c r="G19" s="350"/>
      <c r="H19" s="305"/>
      <c r="I19" s="306"/>
      <c r="J19" s="312"/>
      <c r="K19" s="313"/>
      <c r="L19" s="314"/>
      <c r="M19" s="322">
        <f t="shared" si="1"/>
        <v>0</v>
      </c>
      <c r="N19" s="288"/>
      <c r="O19" s="807"/>
      <c r="P19" s="881"/>
    </row>
    <row r="20" spans="1:21" ht="24.95" customHeight="1">
      <c r="A20" s="761"/>
      <c r="B20" s="781"/>
      <c r="C20" s="279">
        <v>4</v>
      </c>
      <c r="D20" s="280"/>
      <c r="E20" s="281"/>
      <c r="F20" s="282"/>
      <c r="G20" s="350"/>
      <c r="H20" s="305"/>
      <c r="I20" s="306"/>
      <c r="J20" s="286"/>
      <c r="K20" s="287"/>
      <c r="L20" s="288"/>
      <c r="M20" s="322">
        <f t="shared" si="1"/>
        <v>0</v>
      </c>
      <c r="N20" s="288"/>
      <c r="O20" s="299"/>
      <c r="P20" s="511"/>
    </row>
    <row r="21" spans="1:21" ht="24.95" customHeight="1" thickBot="1">
      <c r="A21" s="761"/>
      <c r="B21" s="781"/>
      <c r="C21" s="279">
        <v>5</v>
      </c>
      <c r="D21" s="290"/>
      <c r="E21" s="291"/>
      <c r="F21" s="292"/>
      <c r="G21" s="350"/>
      <c r="H21" s="305"/>
      <c r="I21" s="306"/>
      <c r="J21" s="293"/>
      <c r="K21" s="248"/>
      <c r="L21" s="294"/>
      <c r="M21" s="322">
        <f t="shared" si="1"/>
        <v>0</v>
      </c>
      <c r="N21" s="288"/>
      <c r="O21" s="301"/>
      <c r="P21" s="512"/>
      <c r="R21" s="343"/>
    </row>
    <row r="22" spans="1:21" ht="15.75" customHeight="1" thickTop="1" thickBot="1">
      <c r="A22" s="762"/>
      <c r="B22" s="782"/>
      <c r="C22" s="789"/>
      <c r="D22" s="790"/>
      <c r="E22" s="790"/>
      <c r="F22" s="790"/>
      <c r="G22" s="790"/>
      <c r="H22" s="790"/>
      <c r="I22" s="791"/>
      <c r="J22" s="347" t="s">
        <v>58</v>
      </c>
      <c r="K22" s="345">
        <f>M22/'生產管理報表 7-1 (週)'!$B$10</f>
        <v>3.3208334816817064E-2</v>
      </c>
      <c r="L22" s="348" t="s">
        <v>59</v>
      </c>
      <c r="M22" s="349">
        <f>SUM(M17:M21)</f>
        <v>9270.3984000000182</v>
      </c>
      <c r="N22" s="777"/>
      <c r="O22" s="778"/>
      <c r="P22" s="882"/>
      <c r="R22" s="339"/>
    </row>
    <row r="23" spans="1:21" ht="15.75" customHeight="1" thickTop="1">
      <c r="A23" s="509"/>
      <c r="K23" s="289" t="s">
        <v>456</v>
      </c>
      <c r="M23" s="329"/>
      <c r="P23" s="510"/>
      <c r="R23" s="339"/>
    </row>
    <row r="24" spans="1:21" ht="24.95" customHeight="1">
      <c r="A24" s="750" t="s">
        <v>191</v>
      </c>
      <c r="B24" s="751"/>
      <c r="C24" s="303" t="s">
        <v>47</v>
      </c>
      <c r="D24" s="794" t="s">
        <v>12</v>
      </c>
      <c r="E24" s="795"/>
      <c r="F24" s="796"/>
      <c r="G24" s="797" t="s">
        <v>53</v>
      </c>
      <c r="H24" s="798"/>
      <c r="I24" s="799"/>
      <c r="J24" s="304" t="s">
        <v>54</v>
      </c>
      <c r="K24" s="276" t="s">
        <v>55</v>
      </c>
      <c r="L24" s="276" t="s">
        <v>56</v>
      </c>
      <c r="M24" s="330" t="s">
        <v>11</v>
      </c>
      <c r="N24" s="277" t="s">
        <v>333</v>
      </c>
      <c r="O24" s="758" t="s">
        <v>51</v>
      </c>
      <c r="P24" s="874"/>
      <c r="R24" s="339"/>
    </row>
    <row r="25" spans="1:21" ht="54.95" customHeight="1">
      <c r="A25" s="760">
        <v>6</v>
      </c>
      <c r="B25" s="780" t="s">
        <v>216</v>
      </c>
      <c r="C25" s="279">
        <v>1</v>
      </c>
      <c r="D25" s="513" t="s">
        <v>340</v>
      </c>
      <c r="E25" s="281"/>
      <c r="F25" s="282"/>
      <c r="G25" s="306" t="s">
        <v>534</v>
      </c>
      <c r="H25" s="305"/>
      <c r="I25" s="306"/>
      <c r="J25" s="312">
        <v>39.389999999999993</v>
      </c>
      <c r="K25" s="313">
        <v>1.1123997896361564E-3</v>
      </c>
      <c r="L25" s="314">
        <v>179.11000000000058</v>
      </c>
      <c r="M25" s="322">
        <f t="shared" ref="M25:M29" si="2">L25*J25</f>
        <v>7055.1429000000217</v>
      </c>
      <c r="N25" s="288"/>
      <c r="O25" s="772" t="s">
        <v>711</v>
      </c>
      <c r="P25" s="875"/>
      <c r="R25" s="336"/>
      <c r="S25" s="336"/>
    </row>
    <row r="26" spans="1:21" ht="54.95" customHeight="1">
      <c r="A26" s="761"/>
      <c r="B26" s="781"/>
      <c r="C26" s="279">
        <v>2</v>
      </c>
      <c r="D26" s="237" t="s">
        <v>463</v>
      </c>
      <c r="E26" s="281"/>
      <c r="F26" s="282"/>
      <c r="G26" s="306" t="s">
        <v>461</v>
      </c>
      <c r="H26" s="305"/>
      <c r="I26" s="306"/>
      <c r="J26" s="312">
        <v>407.74000000000007</v>
      </c>
      <c r="K26" s="313">
        <v>2.3218811862870253E-3</v>
      </c>
      <c r="L26" s="314">
        <v>10.3599999999999</v>
      </c>
      <c r="M26" s="322">
        <f t="shared" si="2"/>
        <v>4224.1863999999596</v>
      </c>
      <c r="N26" s="288"/>
      <c r="O26" s="772" t="s">
        <v>537</v>
      </c>
      <c r="P26" s="875"/>
      <c r="R26" s="336"/>
      <c r="S26" s="336"/>
    </row>
    <row r="27" spans="1:21" ht="54.95" customHeight="1">
      <c r="A27" s="761"/>
      <c r="B27" s="781"/>
      <c r="C27" s="279">
        <v>3</v>
      </c>
      <c r="D27" s="237" t="s">
        <v>614</v>
      </c>
      <c r="E27" s="281"/>
      <c r="F27" s="282"/>
      <c r="G27" s="306" t="s">
        <v>619</v>
      </c>
      <c r="H27" s="305"/>
      <c r="I27" s="306"/>
      <c r="J27" s="312">
        <v>39.389999999999993</v>
      </c>
      <c r="K27" s="313">
        <v>6.0830035127875017E-3</v>
      </c>
      <c r="L27" s="314">
        <v>121.34000000000015</v>
      </c>
      <c r="M27" s="322">
        <f t="shared" si="2"/>
        <v>4779.5826000000052</v>
      </c>
      <c r="N27" s="288"/>
      <c r="O27" s="772" t="s">
        <v>711</v>
      </c>
      <c r="P27" s="875"/>
      <c r="R27" s="336"/>
    </row>
    <row r="28" spans="1:21" ht="54.95" customHeight="1">
      <c r="A28" s="761"/>
      <c r="B28" s="781"/>
      <c r="C28" s="279">
        <v>4</v>
      </c>
      <c r="D28" s="237" t="s">
        <v>630</v>
      </c>
      <c r="E28" s="281"/>
      <c r="F28" s="282"/>
      <c r="G28" s="306" t="s">
        <v>631</v>
      </c>
      <c r="H28" s="305"/>
      <c r="I28" s="306"/>
      <c r="J28" s="312">
        <v>43.889999999999993</v>
      </c>
      <c r="K28" s="313">
        <v>7.136736366081425E-3</v>
      </c>
      <c r="L28" s="314">
        <v>94.900000000000091</v>
      </c>
      <c r="M28" s="322">
        <f t="shared" si="2"/>
        <v>4165.1610000000037</v>
      </c>
      <c r="N28" s="288"/>
      <c r="O28" s="772" t="s">
        <v>711</v>
      </c>
      <c r="P28" s="875"/>
      <c r="R28" s="336"/>
      <c r="S28" s="336"/>
    </row>
    <row r="29" spans="1:21" ht="54.75" customHeight="1" thickBot="1">
      <c r="A29" s="761"/>
      <c r="B29" s="781"/>
      <c r="C29" s="279">
        <v>5</v>
      </c>
      <c r="D29" s="244" t="s">
        <v>650</v>
      </c>
      <c r="E29" s="291"/>
      <c r="F29" s="292"/>
      <c r="G29" s="306" t="s">
        <v>652</v>
      </c>
      <c r="H29" s="305"/>
      <c r="I29" s="306"/>
      <c r="J29" s="316">
        <v>31.59</v>
      </c>
      <c r="K29" s="248">
        <v>6.7146953906413931E-3</v>
      </c>
      <c r="L29" s="317">
        <v>134.78999999999996</v>
      </c>
      <c r="M29" s="322">
        <f t="shared" si="2"/>
        <v>4258.0160999999989</v>
      </c>
      <c r="N29" s="288"/>
      <c r="O29" s="772" t="s">
        <v>611</v>
      </c>
      <c r="P29" s="875"/>
    </row>
    <row r="30" spans="1:21" ht="15.75" customHeight="1" thickTop="1">
      <c r="A30" s="762"/>
      <c r="B30" s="782"/>
      <c r="C30" s="789"/>
      <c r="D30" s="790"/>
      <c r="E30" s="790"/>
      <c r="F30" s="790"/>
      <c r="G30" s="790"/>
      <c r="H30" s="790"/>
      <c r="I30" s="791"/>
      <c r="J30" s="514" t="s">
        <v>58</v>
      </c>
      <c r="K30" s="515">
        <f>M30/'生產管理報表 7-1 (週)'!$B$10</f>
        <v>8.7699511223499546E-2</v>
      </c>
      <c r="L30" s="516" t="s">
        <v>59</v>
      </c>
      <c r="M30" s="517">
        <f>SUM(M25:M29)</f>
        <v>24482.088999999993</v>
      </c>
      <c r="N30" s="876"/>
      <c r="O30" s="877"/>
      <c r="P30" s="878"/>
    </row>
    <row r="31" spans="1:21" s="135" customFormat="1" ht="15.75" customHeight="1">
      <c r="A31" s="900" t="s">
        <v>791</v>
      </c>
      <c r="B31" s="709"/>
      <c r="C31" s="709"/>
      <c r="D31" s="709"/>
      <c r="E31" s="709"/>
      <c r="F31" s="709"/>
      <c r="G31" s="709"/>
      <c r="H31" s="709"/>
      <c r="I31" s="709"/>
      <c r="J31" s="709"/>
      <c r="K31" s="709"/>
      <c r="L31" s="709"/>
      <c r="M31" s="709"/>
      <c r="P31" s="507"/>
      <c r="R31" s="231"/>
      <c r="S31" s="231"/>
      <c r="T31" s="231"/>
      <c r="U31" s="231"/>
    </row>
    <row r="32" spans="1:21" s="136" customFormat="1" ht="15.75" customHeight="1">
      <c r="A32" s="900"/>
      <c r="B32" s="709"/>
      <c r="C32" s="709"/>
      <c r="D32" s="709"/>
      <c r="E32" s="709"/>
      <c r="F32" s="709"/>
      <c r="G32" s="709"/>
      <c r="H32" s="709"/>
      <c r="I32" s="709"/>
      <c r="J32" s="709"/>
      <c r="K32" s="709"/>
      <c r="L32" s="709"/>
      <c r="M32" s="709"/>
      <c r="P32" s="508"/>
    </row>
    <row r="33" spans="1:20" s="135" customFormat="1" ht="15.75" customHeight="1">
      <c r="A33" s="746" t="s">
        <v>191</v>
      </c>
      <c r="B33" s="748">
        <v>1</v>
      </c>
      <c r="C33" s="749"/>
      <c r="D33" s="748">
        <v>2</v>
      </c>
      <c r="E33" s="749"/>
      <c r="F33" s="748">
        <v>3</v>
      </c>
      <c r="G33" s="749"/>
      <c r="H33" s="739">
        <v>4</v>
      </c>
      <c r="I33" s="740"/>
      <c r="J33" s="739">
        <v>5</v>
      </c>
      <c r="K33" s="740"/>
      <c r="L33" s="739">
        <v>6</v>
      </c>
      <c r="M33" s="740"/>
      <c r="N33" s="739">
        <v>7</v>
      </c>
      <c r="O33" s="740"/>
      <c r="P33" s="352">
        <v>8</v>
      </c>
    </row>
    <row r="34" spans="1:20" s="135" customFormat="1" ht="15.75" customHeight="1">
      <c r="A34" s="747"/>
      <c r="B34" s="743" t="s">
        <v>452</v>
      </c>
      <c r="C34" s="744"/>
      <c r="D34" s="743" t="s">
        <v>212</v>
      </c>
      <c r="E34" s="744"/>
      <c r="F34" s="743" t="s">
        <v>166</v>
      </c>
      <c r="G34" s="744"/>
      <c r="H34" s="741" t="s">
        <v>428</v>
      </c>
      <c r="I34" s="742"/>
      <c r="J34" s="741" t="s">
        <v>189</v>
      </c>
      <c r="K34" s="742"/>
      <c r="L34" s="741" t="s">
        <v>167</v>
      </c>
      <c r="M34" s="742"/>
      <c r="N34" s="741" t="s">
        <v>190</v>
      </c>
      <c r="O34" s="742"/>
      <c r="P34" s="353" t="s">
        <v>217</v>
      </c>
    </row>
    <row r="35" spans="1:20" s="135" customFormat="1" ht="15.75" customHeight="1">
      <c r="A35" s="502"/>
      <c r="B35" s="503"/>
      <c r="C35" s="504"/>
      <c r="D35" s="505"/>
      <c r="E35" s="505"/>
      <c r="F35" s="505"/>
      <c r="G35" s="505"/>
      <c r="H35" s="505"/>
      <c r="I35" s="505"/>
      <c r="J35" s="505"/>
      <c r="K35" s="505"/>
      <c r="L35" s="505"/>
      <c r="M35" s="505"/>
      <c r="N35" s="505"/>
      <c r="O35" s="505"/>
      <c r="P35" s="506"/>
    </row>
    <row r="36" spans="1:20" s="278" customFormat="1" ht="15.75" customHeight="1">
      <c r="A36" s="883" t="s">
        <v>191</v>
      </c>
      <c r="B36" s="884"/>
      <c r="C36" s="499" t="s">
        <v>47</v>
      </c>
      <c r="D36" s="885" t="s">
        <v>12</v>
      </c>
      <c r="E36" s="886"/>
      <c r="F36" s="887"/>
      <c r="G36" s="888" t="s">
        <v>53</v>
      </c>
      <c r="H36" s="889"/>
      <c r="I36" s="890"/>
      <c r="J36" s="500" t="s">
        <v>54</v>
      </c>
      <c r="K36" s="500" t="s">
        <v>55</v>
      </c>
      <c r="L36" s="500" t="s">
        <v>56</v>
      </c>
      <c r="M36" s="501" t="s">
        <v>11</v>
      </c>
      <c r="N36" s="501" t="s">
        <v>333</v>
      </c>
      <c r="O36" s="891" t="s">
        <v>51</v>
      </c>
      <c r="P36" s="892"/>
      <c r="R36" s="339"/>
      <c r="S36" s="340"/>
    </row>
    <row r="37" spans="1:20" s="298" customFormat="1" ht="60" customHeight="1">
      <c r="A37" s="760">
        <v>4</v>
      </c>
      <c r="B37" s="763" t="s">
        <v>428</v>
      </c>
      <c r="C37" s="279">
        <v>1</v>
      </c>
      <c r="D37" s="237" t="s">
        <v>340</v>
      </c>
      <c r="E37" s="238"/>
      <c r="F37" s="239"/>
      <c r="G37" s="306" t="s">
        <v>633</v>
      </c>
      <c r="H37" s="305"/>
      <c r="I37" s="306"/>
      <c r="J37" s="312">
        <v>144.79999999999998</v>
      </c>
      <c r="K37" s="313">
        <v>1.6775539242634932E-3</v>
      </c>
      <c r="L37" s="314">
        <v>42.2199999999998</v>
      </c>
      <c r="M37" s="322">
        <f t="shared" ref="M37:M41" si="3">L37*J37</f>
        <v>6113.4559999999701</v>
      </c>
      <c r="N37" s="314"/>
      <c r="O37" s="768" t="s">
        <v>612</v>
      </c>
      <c r="P37" s="893"/>
      <c r="R37" s="393"/>
      <c r="S37" s="340"/>
    </row>
    <row r="38" spans="1:20" s="298" customFormat="1" ht="60" customHeight="1">
      <c r="A38" s="761"/>
      <c r="B38" s="764"/>
      <c r="C38" s="279">
        <v>2</v>
      </c>
      <c r="D38" s="237" t="s">
        <v>650</v>
      </c>
      <c r="E38" s="238"/>
      <c r="F38" s="239"/>
      <c r="G38" s="306" t="s">
        <v>651</v>
      </c>
      <c r="H38" s="305"/>
      <c r="I38" s="306"/>
      <c r="J38" s="312">
        <v>655.37</v>
      </c>
      <c r="K38" s="313">
        <v>3.4789702248134552E-3</v>
      </c>
      <c r="L38" s="314">
        <v>7.4300000000000068</v>
      </c>
      <c r="M38" s="322">
        <f t="shared" si="3"/>
        <v>4869.3991000000042</v>
      </c>
      <c r="N38" s="314"/>
      <c r="O38" s="768" t="s">
        <v>685</v>
      </c>
      <c r="P38" s="893"/>
      <c r="R38" s="393"/>
      <c r="S38" s="394"/>
      <c r="T38" s="335"/>
    </row>
    <row r="39" spans="1:20" s="298" customFormat="1" ht="60" customHeight="1">
      <c r="A39" s="761"/>
      <c r="B39" s="764"/>
      <c r="C39" s="279">
        <v>3</v>
      </c>
      <c r="D39" s="237" t="s">
        <v>341</v>
      </c>
      <c r="E39" s="238"/>
      <c r="F39" s="239"/>
      <c r="G39" s="306" t="s">
        <v>545</v>
      </c>
      <c r="H39" s="305"/>
      <c r="I39" s="306"/>
      <c r="J39" s="312">
        <v>66.13</v>
      </c>
      <c r="K39" s="313">
        <v>6.4889750863233063E-3</v>
      </c>
      <c r="L39" s="314">
        <v>63.119999999999891</v>
      </c>
      <c r="M39" s="322">
        <f t="shared" si="3"/>
        <v>4174.1255999999921</v>
      </c>
      <c r="N39" s="314"/>
      <c r="O39" s="770" t="s">
        <v>796</v>
      </c>
      <c r="P39" s="894"/>
      <c r="R39" s="393"/>
      <c r="S39" s="395"/>
    </row>
    <row r="40" spans="1:20" s="298" customFormat="1" ht="60" customHeight="1">
      <c r="A40" s="761"/>
      <c r="B40" s="764"/>
      <c r="C40" s="279">
        <v>4</v>
      </c>
      <c r="D40" s="237" t="s">
        <v>458</v>
      </c>
      <c r="E40" s="238"/>
      <c r="F40" s="239"/>
      <c r="G40" s="306" t="s">
        <v>464</v>
      </c>
      <c r="H40" s="305"/>
      <c r="I40" s="306"/>
      <c r="J40" s="312">
        <v>629</v>
      </c>
      <c r="K40" s="313">
        <v>6.3032225747203206E-3</v>
      </c>
      <c r="L40" s="314">
        <v>6.2700000000000102</v>
      </c>
      <c r="M40" s="322">
        <f t="shared" si="3"/>
        <v>3943.8300000000063</v>
      </c>
      <c r="N40" s="314"/>
      <c r="O40" s="770" t="s">
        <v>548</v>
      </c>
      <c r="P40" s="894"/>
      <c r="R40" s="393"/>
      <c r="S40" s="394"/>
      <c r="T40" s="335"/>
    </row>
    <row r="41" spans="1:20" s="298" customFormat="1" ht="60" customHeight="1" thickBot="1">
      <c r="A41" s="761"/>
      <c r="B41" s="764"/>
      <c r="C41" s="279">
        <v>5</v>
      </c>
      <c r="D41" s="237" t="s">
        <v>340</v>
      </c>
      <c r="E41" s="245"/>
      <c r="F41" s="246"/>
      <c r="G41" s="306" t="s">
        <v>386</v>
      </c>
      <c r="H41" s="305"/>
      <c r="I41" s="306"/>
      <c r="J41" s="316">
        <v>127.84000000000002</v>
      </c>
      <c r="K41" s="248">
        <v>2.6586357415105209E-3</v>
      </c>
      <c r="L41" s="317">
        <v>45.139999999999873</v>
      </c>
      <c r="M41" s="322">
        <f t="shared" si="3"/>
        <v>5770.697599999985</v>
      </c>
      <c r="N41" s="314"/>
      <c r="O41" s="770" t="s">
        <v>746</v>
      </c>
      <c r="P41" s="894"/>
      <c r="R41" s="396"/>
      <c r="S41" s="395"/>
      <c r="T41" s="289"/>
    </row>
    <row r="42" spans="1:20" ht="15.75" customHeight="1" thickTop="1" thickBot="1">
      <c r="A42" s="762"/>
      <c r="B42" s="765"/>
      <c r="C42" s="774"/>
      <c r="D42" s="775"/>
      <c r="E42" s="775"/>
      <c r="F42" s="775"/>
      <c r="G42" s="775"/>
      <c r="H42" s="775"/>
      <c r="I42" s="776"/>
      <c r="J42" s="347" t="s">
        <v>58</v>
      </c>
      <c r="K42" s="345">
        <f>M42/'生產管理報表 7-1 (週)'!$B$21</f>
        <v>8.5158224764248239E-2</v>
      </c>
      <c r="L42" s="348" t="s">
        <v>59</v>
      </c>
      <c r="M42" s="349">
        <f>SUM(M37:M41)</f>
        <v>24871.508299999958</v>
      </c>
      <c r="N42" s="777"/>
      <c r="O42" s="778"/>
      <c r="P42" s="882"/>
      <c r="R42" s="339"/>
      <c r="S42" s="339"/>
    </row>
    <row r="43" spans="1:20" ht="15.75" customHeight="1" thickTop="1">
      <c r="A43" s="509"/>
      <c r="M43" s="329"/>
      <c r="P43" s="510"/>
      <c r="S43" s="340"/>
    </row>
    <row r="44" spans="1:20" ht="15.75" customHeight="1">
      <c r="A44" s="750" t="s">
        <v>191</v>
      </c>
      <c r="B44" s="751"/>
      <c r="C44" s="275" t="s">
        <v>47</v>
      </c>
      <c r="D44" s="752" t="s">
        <v>12</v>
      </c>
      <c r="E44" s="753"/>
      <c r="F44" s="754"/>
      <c r="G44" s="755" t="s">
        <v>53</v>
      </c>
      <c r="H44" s="756"/>
      <c r="I44" s="757"/>
      <c r="J44" s="377" t="s">
        <v>54</v>
      </c>
      <c r="K44" s="276" t="s">
        <v>55</v>
      </c>
      <c r="L44" s="276" t="s">
        <v>56</v>
      </c>
      <c r="M44" s="330" t="s">
        <v>11</v>
      </c>
      <c r="N44" s="277" t="s">
        <v>333</v>
      </c>
      <c r="O44" s="758" t="s">
        <v>51</v>
      </c>
      <c r="P44" s="874"/>
      <c r="S44" s="339"/>
      <c r="T44" s="335"/>
    </row>
    <row r="45" spans="1:20" s="298" customFormat="1" ht="60" customHeight="1">
      <c r="A45" s="760">
        <v>5</v>
      </c>
      <c r="B45" s="780" t="s">
        <v>215</v>
      </c>
      <c r="C45" s="279">
        <v>1</v>
      </c>
      <c r="D45" s="237" t="s">
        <v>340</v>
      </c>
      <c r="E45" s="238"/>
      <c r="F45" s="239"/>
      <c r="G45" s="306" t="s">
        <v>336</v>
      </c>
      <c r="H45" s="305"/>
      <c r="I45" s="306"/>
      <c r="J45" s="312">
        <v>147.43000000000004</v>
      </c>
      <c r="K45" s="313">
        <v>2.5553035774250085E-3</v>
      </c>
      <c r="L45" s="314">
        <v>75.479999999999563</v>
      </c>
      <c r="M45" s="322">
        <f>L45*J45</f>
        <v>11128.016399999939</v>
      </c>
      <c r="N45" s="314"/>
      <c r="O45" s="835" t="s">
        <v>529</v>
      </c>
      <c r="P45" s="879"/>
      <c r="S45" s="395"/>
      <c r="T45" s="335"/>
    </row>
    <row r="46" spans="1:20" s="298" customFormat="1" ht="24.95" customHeight="1">
      <c r="A46" s="761"/>
      <c r="B46" s="781"/>
      <c r="C46" s="279">
        <v>2</v>
      </c>
      <c r="D46" s="237"/>
      <c r="E46" s="238"/>
      <c r="F46" s="239"/>
      <c r="G46" s="350"/>
      <c r="H46" s="305"/>
      <c r="I46" s="306"/>
      <c r="J46" s="312"/>
      <c r="K46" s="313"/>
      <c r="L46" s="314"/>
      <c r="M46" s="322">
        <f t="shared" ref="M46:M49" si="4">L46*J46</f>
        <v>0</v>
      </c>
      <c r="N46" s="314"/>
      <c r="O46" s="785"/>
      <c r="P46" s="880"/>
      <c r="S46" s="339"/>
      <c r="T46" s="336"/>
    </row>
    <row r="47" spans="1:20" ht="24.95" customHeight="1">
      <c r="A47" s="761"/>
      <c r="B47" s="781"/>
      <c r="C47" s="279">
        <v>3</v>
      </c>
      <c r="D47" s="237"/>
      <c r="E47" s="238"/>
      <c r="F47" s="239"/>
      <c r="G47" s="350"/>
      <c r="H47" s="305"/>
      <c r="I47" s="306"/>
      <c r="J47" s="312"/>
      <c r="K47" s="313"/>
      <c r="L47" s="314"/>
      <c r="M47" s="322">
        <f t="shared" si="4"/>
        <v>0</v>
      </c>
      <c r="N47" s="288"/>
      <c r="O47" s="807"/>
      <c r="P47" s="881"/>
    </row>
    <row r="48" spans="1:20" ht="24.95" customHeight="1">
      <c r="A48" s="761"/>
      <c r="B48" s="781"/>
      <c r="C48" s="279">
        <v>4</v>
      </c>
      <c r="D48" s="280"/>
      <c r="E48" s="281"/>
      <c r="F48" s="282"/>
      <c r="G48" s="350"/>
      <c r="H48" s="305"/>
      <c r="I48" s="306"/>
      <c r="J48" s="286"/>
      <c r="K48" s="287"/>
      <c r="L48" s="288"/>
      <c r="M48" s="322">
        <f t="shared" si="4"/>
        <v>0</v>
      </c>
      <c r="N48" s="288"/>
      <c r="O48" s="299"/>
      <c r="P48" s="511"/>
    </row>
    <row r="49" spans="1:21" ht="24.95" customHeight="1" thickBot="1">
      <c r="A49" s="761"/>
      <c r="B49" s="781"/>
      <c r="C49" s="279">
        <v>5</v>
      </c>
      <c r="D49" s="290"/>
      <c r="E49" s="291"/>
      <c r="F49" s="292"/>
      <c r="G49" s="350"/>
      <c r="H49" s="305"/>
      <c r="I49" s="306"/>
      <c r="J49" s="293"/>
      <c r="K49" s="248"/>
      <c r="L49" s="294"/>
      <c r="M49" s="322">
        <f t="shared" si="4"/>
        <v>0</v>
      </c>
      <c r="N49" s="288"/>
      <c r="O49" s="301"/>
      <c r="P49" s="512"/>
      <c r="R49" s="343"/>
    </row>
    <row r="50" spans="1:21" ht="15.75" customHeight="1" thickTop="1" thickBot="1">
      <c r="A50" s="762"/>
      <c r="B50" s="782"/>
      <c r="C50" s="789"/>
      <c r="D50" s="790"/>
      <c r="E50" s="790"/>
      <c r="F50" s="790"/>
      <c r="G50" s="790"/>
      <c r="H50" s="790"/>
      <c r="I50" s="791"/>
      <c r="J50" s="347" t="s">
        <v>58</v>
      </c>
      <c r="K50" s="345">
        <f>M50/'生產管理報表 7-1 (週)'!$B$21</f>
        <v>3.8101514003130922E-2</v>
      </c>
      <c r="L50" s="348" t="s">
        <v>59</v>
      </c>
      <c r="M50" s="349">
        <f>SUM(M45:M49)</f>
        <v>11128.016399999939</v>
      </c>
      <c r="N50" s="777"/>
      <c r="O50" s="778"/>
      <c r="P50" s="882"/>
      <c r="R50" s="339"/>
    </row>
    <row r="51" spans="1:21" ht="15.75" customHeight="1" thickTop="1">
      <c r="A51" s="509"/>
      <c r="K51" s="289" t="s">
        <v>456</v>
      </c>
      <c r="M51" s="329"/>
      <c r="P51" s="510"/>
      <c r="R51" s="339"/>
    </row>
    <row r="52" spans="1:21" ht="24.95" customHeight="1">
      <c r="A52" s="750" t="s">
        <v>191</v>
      </c>
      <c r="B52" s="751"/>
      <c r="C52" s="303" t="s">
        <v>47</v>
      </c>
      <c r="D52" s="794" t="s">
        <v>12</v>
      </c>
      <c r="E52" s="795"/>
      <c r="F52" s="796"/>
      <c r="G52" s="797" t="s">
        <v>53</v>
      </c>
      <c r="H52" s="798"/>
      <c r="I52" s="799"/>
      <c r="J52" s="304" t="s">
        <v>54</v>
      </c>
      <c r="K52" s="276" t="s">
        <v>55</v>
      </c>
      <c r="L52" s="276" t="s">
        <v>56</v>
      </c>
      <c r="M52" s="330" t="s">
        <v>11</v>
      </c>
      <c r="N52" s="277" t="s">
        <v>333</v>
      </c>
      <c r="O52" s="758" t="s">
        <v>51</v>
      </c>
      <c r="P52" s="874"/>
      <c r="R52" s="339"/>
    </row>
    <row r="53" spans="1:21" ht="60" customHeight="1">
      <c r="A53" s="760">
        <v>6</v>
      </c>
      <c r="B53" s="780" t="s">
        <v>216</v>
      </c>
      <c r="C53" s="279">
        <v>1</v>
      </c>
      <c r="D53" s="513" t="s">
        <v>340</v>
      </c>
      <c r="E53" s="281"/>
      <c r="F53" s="282"/>
      <c r="G53" s="306" t="s">
        <v>534</v>
      </c>
      <c r="H53" s="305"/>
      <c r="I53" s="306"/>
      <c r="J53" s="312">
        <v>39.389999999999993</v>
      </c>
      <c r="K53" s="313">
        <v>1.1881135524008418E-3</v>
      </c>
      <c r="L53" s="314">
        <v>178.75</v>
      </c>
      <c r="M53" s="322">
        <f t="shared" ref="M53:M57" si="5">L53*J53</f>
        <v>7040.9624999999987</v>
      </c>
      <c r="N53" s="288"/>
      <c r="O53" s="772" t="s">
        <v>711</v>
      </c>
      <c r="P53" s="875"/>
      <c r="R53" s="336"/>
      <c r="S53" s="336"/>
    </row>
    <row r="54" spans="1:21" ht="60" customHeight="1">
      <c r="A54" s="761"/>
      <c r="B54" s="781"/>
      <c r="C54" s="279">
        <v>2</v>
      </c>
      <c r="D54" s="237" t="s">
        <v>463</v>
      </c>
      <c r="E54" s="281"/>
      <c r="F54" s="282"/>
      <c r="G54" s="306" t="s">
        <v>461</v>
      </c>
      <c r="H54" s="305"/>
      <c r="I54" s="306"/>
      <c r="J54" s="312">
        <v>407.74000000000007</v>
      </c>
      <c r="K54" s="313">
        <v>2.5324944629258692E-3</v>
      </c>
      <c r="L54" s="314">
        <v>12.099999999999909</v>
      </c>
      <c r="M54" s="322">
        <f t="shared" si="5"/>
        <v>4933.6539999999641</v>
      </c>
      <c r="N54" s="288"/>
      <c r="O54" s="772" t="s">
        <v>537</v>
      </c>
      <c r="P54" s="875"/>
      <c r="R54" s="336"/>
      <c r="S54" s="336"/>
    </row>
    <row r="55" spans="1:21" ht="60" customHeight="1">
      <c r="A55" s="761"/>
      <c r="B55" s="781"/>
      <c r="C55" s="279">
        <v>3</v>
      </c>
      <c r="D55" s="237" t="s">
        <v>533</v>
      </c>
      <c r="E55" s="281"/>
      <c r="F55" s="282"/>
      <c r="G55" s="306" t="s">
        <v>568</v>
      </c>
      <c r="H55" s="305"/>
      <c r="I55" s="306"/>
      <c r="J55" s="312">
        <v>40.04</v>
      </c>
      <c r="K55" s="313">
        <v>7.1441411663738267E-3</v>
      </c>
      <c r="L55" s="314">
        <v>104.7199999999998</v>
      </c>
      <c r="M55" s="322">
        <f t="shared" si="5"/>
        <v>4192.9887999999919</v>
      </c>
      <c r="N55" s="288"/>
      <c r="O55" s="772" t="s">
        <v>711</v>
      </c>
      <c r="P55" s="875"/>
      <c r="R55" s="336"/>
    </row>
    <row r="56" spans="1:21" ht="60" customHeight="1">
      <c r="A56" s="761"/>
      <c r="B56" s="781"/>
      <c r="C56" s="279">
        <v>4</v>
      </c>
      <c r="D56" s="237" t="s">
        <v>614</v>
      </c>
      <c r="E56" s="281"/>
      <c r="F56" s="282"/>
      <c r="G56" s="306" t="s">
        <v>619</v>
      </c>
      <c r="H56" s="305"/>
      <c r="I56" s="306"/>
      <c r="J56" s="312">
        <v>39.389999999999993</v>
      </c>
      <c r="K56" s="313">
        <v>4.183889901275291E-3</v>
      </c>
      <c r="L56" s="314">
        <v>129.14000000000033</v>
      </c>
      <c r="M56" s="322">
        <f t="shared" si="5"/>
        <v>5086.8246000000117</v>
      </c>
      <c r="N56" s="288"/>
      <c r="O56" s="772" t="s">
        <v>711</v>
      </c>
      <c r="P56" s="875"/>
      <c r="R56" s="336"/>
      <c r="S56" s="336"/>
    </row>
    <row r="57" spans="1:21" ht="60" customHeight="1" thickBot="1">
      <c r="A57" s="761"/>
      <c r="B57" s="781"/>
      <c r="C57" s="279">
        <v>5</v>
      </c>
      <c r="D57" s="244" t="s">
        <v>650</v>
      </c>
      <c r="E57" s="291"/>
      <c r="F57" s="292"/>
      <c r="G57" s="306" t="s">
        <v>652</v>
      </c>
      <c r="H57" s="305"/>
      <c r="I57" s="306"/>
      <c r="J57" s="316">
        <v>31.59</v>
      </c>
      <c r="K57" s="248">
        <v>6.7587402954606022E-3</v>
      </c>
      <c r="L57" s="317">
        <v>130.43000000000029</v>
      </c>
      <c r="M57" s="322">
        <f t="shared" si="5"/>
        <v>4120.283700000009</v>
      </c>
      <c r="N57" s="288"/>
      <c r="O57" s="772" t="s">
        <v>795</v>
      </c>
      <c r="P57" s="875"/>
    </row>
    <row r="58" spans="1:21" ht="15.75" customHeight="1" thickTop="1" thickBot="1">
      <c r="A58" s="762"/>
      <c r="B58" s="782"/>
      <c r="C58" s="789"/>
      <c r="D58" s="790"/>
      <c r="E58" s="790"/>
      <c r="F58" s="790"/>
      <c r="G58" s="790"/>
      <c r="H58" s="790"/>
      <c r="I58" s="791"/>
      <c r="J58" s="514" t="s">
        <v>58</v>
      </c>
      <c r="K58" s="345">
        <f>M58/'生產管理報表 7-1 (週)'!$B$21</f>
        <v>8.6881162895827591E-2</v>
      </c>
      <c r="L58" s="516" t="s">
        <v>59</v>
      </c>
      <c r="M58" s="517">
        <f>SUM(M53:M57)</f>
        <v>25374.713599999974</v>
      </c>
      <c r="N58" s="876"/>
      <c r="O58" s="877"/>
      <c r="P58" s="878"/>
    </row>
    <row r="59" spans="1:21" s="135" customFormat="1" ht="15.75" customHeight="1" thickTop="1">
      <c r="A59" s="900" t="s">
        <v>792</v>
      </c>
      <c r="B59" s="709"/>
      <c r="C59" s="709"/>
      <c r="D59" s="709"/>
      <c r="E59" s="709"/>
      <c r="F59" s="709"/>
      <c r="G59" s="709"/>
      <c r="H59" s="709"/>
      <c r="I59" s="709"/>
      <c r="J59" s="709"/>
      <c r="K59" s="709"/>
      <c r="L59" s="709"/>
      <c r="M59" s="709"/>
      <c r="P59" s="507"/>
      <c r="R59" s="231"/>
      <c r="S59" s="231"/>
      <c r="T59" s="231"/>
      <c r="U59" s="231"/>
    </row>
    <row r="60" spans="1:21" s="136" customFormat="1" ht="15.75" customHeight="1">
      <c r="A60" s="900"/>
      <c r="B60" s="709"/>
      <c r="C60" s="709"/>
      <c r="D60" s="709"/>
      <c r="E60" s="709"/>
      <c r="F60" s="709"/>
      <c r="G60" s="709"/>
      <c r="H60" s="709"/>
      <c r="I60" s="709"/>
      <c r="J60" s="709"/>
      <c r="K60" s="709"/>
      <c r="L60" s="709"/>
      <c r="M60" s="709"/>
      <c r="P60" s="508"/>
    </row>
    <row r="61" spans="1:21" s="135" customFormat="1" ht="15.75" customHeight="1">
      <c r="A61" s="746" t="s">
        <v>191</v>
      </c>
      <c r="B61" s="748">
        <v>1</v>
      </c>
      <c r="C61" s="749"/>
      <c r="D61" s="748">
        <v>2</v>
      </c>
      <c r="E61" s="749"/>
      <c r="F61" s="748">
        <v>3</v>
      </c>
      <c r="G61" s="749"/>
      <c r="H61" s="739">
        <v>4</v>
      </c>
      <c r="I61" s="740"/>
      <c r="J61" s="739">
        <v>5</v>
      </c>
      <c r="K61" s="740"/>
      <c r="L61" s="739">
        <v>6</v>
      </c>
      <c r="M61" s="740"/>
      <c r="N61" s="739">
        <v>7</v>
      </c>
      <c r="O61" s="740"/>
      <c r="P61" s="352">
        <v>8</v>
      </c>
    </row>
    <row r="62" spans="1:21" s="135" customFormat="1" ht="15.75" customHeight="1">
      <c r="A62" s="747"/>
      <c r="B62" s="743" t="s">
        <v>452</v>
      </c>
      <c r="C62" s="744"/>
      <c r="D62" s="743" t="s">
        <v>212</v>
      </c>
      <c r="E62" s="744"/>
      <c r="F62" s="743" t="s">
        <v>166</v>
      </c>
      <c r="G62" s="744"/>
      <c r="H62" s="741" t="s">
        <v>428</v>
      </c>
      <c r="I62" s="742"/>
      <c r="J62" s="741" t="s">
        <v>189</v>
      </c>
      <c r="K62" s="742"/>
      <c r="L62" s="741" t="s">
        <v>167</v>
      </c>
      <c r="M62" s="742"/>
      <c r="N62" s="741" t="s">
        <v>190</v>
      </c>
      <c r="O62" s="742"/>
      <c r="P62" s="353" t="s">
        <v>217</v>
      </c>
    </row>
    <row r="63" spans="1:21" s="135" customFormat="1" ht="15.75" customHeight="1">
      <c r="A63" s="502"/>
      <c r="B63" s="503"/>
      <c r="C63" s="504"/>
      <c r="D63" s="505"/>
      <c r="E63" s="505"/>
      <c r="F63" s="505"/>
      <c r="G63" s="505"/>
      <c r="H63" s="505"/>
      <c r="I63" s="505"/>
      <c r="J63" s="505"/>
      <c r="K63" s="505"/>
      <c r="L63" s="505"/>
      <c r="M63" s="505"/>
      <c r="N63" s="505"/>
      <c r="O63" s="505"/>
      <c r="P63" s="506"/>
    </row>
    <row r="64" spans="1:21" s="278" customFormat="1" ht="15.75" customHeight="1">
      <c r="A64" s="883" t="s">
        <v>191</v>
      </c>
      <c r="B64" s="884"/>
      <c r="C64" s="499" t="s">
        <v>47</v>
      </c>
      <c r="D64" s="885" t="s">
        <v>12</v>
      </c>
      <c r="E64" s="886"/>
      <c r="F64" s="887"/>
      <c r="G64" s="888" t="s">
        <v>53</v>
      </c>
      <c r="H64" s="889"/>
      <c r="I64" s="890"/>
      <c r="J64" s="500" t="s">
        <v>54</v>
      </c>
      <c r="K64" s="500" t="s">
        <v>55</v>
      </c>
      <c r="L64" s="500" t="s">
        <v>56</v>
      </c>
      <c r="M64" s="501" t="s">
        <v>11</v>
      </c>
      <c r="N64" s="501" t="s">
        <v>333</v>
      </c>
      <c r="O64" s="891" t="s">
        <v>51</v>
      </c>
      <c r="P64" s="892"/>
      <c r="R64" s="339"/>
      <c r="S64" s="340"/>
    </row>
    <row r="65" spans="1:20" s="298" customFormat="1" ht="60" customHeight="1">
      <c r="A65" s="760">
        <v>4</v>
      </c>
      <c r="B65" s="763" t="s">
        <v>428</v>
      </c>
      <c r="C65" s="279">
        <v>1</v>
      </c>
      <c r="D65" s="237" t="s">
        <v>340</v>
      </c>
      <c r="E65" s="238"/>
      <c r="F65" s="239"/>
      <c r="G65" s="306" t="s">
        <v>386</v>
      </c>
      <c r="H65" s="305"/>
      <c r="I65" s="306"/>
      <c r="J65" s="312">
        <v>127.84000000000002</v>
      </c>
      <c r="K65" s="313">
        <v>2.3826759693916072E-3</v>
      </c>
      <c r="L65" s="314">
        <v>55.579999999999927</v>
      </c>
      <c r="M65" s="322">
        <f t="shared" ref="M65:M69" si="6">L65*J65</f>
        <v>7105.347199999992</v>
      </c>
      <c r="N65" s="314"/>
      <c r="O65" s="768" t="s">
        <v>843</v>
      </c>
      <c r="P65" s="893"/>
      <c r="R65" s="393"/>
      <c r="S65" s="395"/>
    </row>
    <row r="66" spans="1:20" s="298" customFormat="1" ht="60" customHeight="1">
      <c r="A66" s="761"/>
      <c r="B66" s="764"/>
      <c r="C66" s="279">
        <v>2</v>
      </c>
      <c r="D66" s="237" t="s">
        <v>751</v>
      </c>
      <c r="E66" s="238"/>
      <c r="F66" s="239"/>
      <c r="G66" s="306" t="s">
        <v>772</v>
      </c>
      <c r="H66" s="305"/>
      <c r="I66" s="306"/>
      <c r="J66" s="312">
        <v>24.789999999999996</v>
      </c>
      <c r="K66" s="313">
        <v>5.2439665258690784E-3</v>
      </c>
      <c r="L66" s="314">
        <v>220.36000000000058</v>
      </c>
      <c r="M66" s="322">
        <f t="shared" si="6"/>
        <v>5462.7244000000137</v>
      </c>
      <c r="N66" s="314"/>
      <c r="O66" s="768" t="s">
        <v>795</v>
      </c>
      <c r="P66" s="893"/>
      <c r="R66" s="393"/>
      <c r="S66" s="394"/>
      <c r="T66" s="335"/>
    </row>
    <row r="67" spans="1:20" s="298" customFormat="1" ht="60" customHeight="1">
      <c r="A67" s="761"/>
      <c r="B67" s="764"/>
      <c r="C67" s="279">
        <v>3</v>
      </c>
      <c r="D67" s="237" t="s">
        <v>751</v>
      </c>
      <c r="E67" s="238"/>
      <c r="F67" s="239"/>
      <c r="G67" s="306" t="s">
        <v>777</v>
      </c>
      <c r="H67" s="305"/>
      <c r="I67" s="306"/>
      <c r="J67" s="312">
        <v>650</v>
      </c>
      <c r="K67" s="313">
        <v>2.7748934798954494E-3</v>
      </c>
      <c r="L67" s="314">
        <v>7.3600000000000136</v>
      </c>
      <c r="M67" s="322">
        <f t="shared" si="6"/>
        <v>4784.0000000000091</v>
      </c>
      <c r="N67" s="314"/>
      <c r="O67" s="770" t="s">
        <v>844</v>
      </c>
      <c r="P67" s="894"/>
      <c r="R67" s="393"/>
      <c r="S67" s="395"/>
    </row>
    <row r="68" spans="1:20" s="298" customFormat="1" ht="60" customHeight="1">
      <c r="A68" s="761"/>
      <c r="B68" s="764"/>
      <c r="C68" s="279">
        <v>4</v>
      </c>
      <c r="D68" s="237" t="s">
        <v>616</v>
      </c>
      <c r="E68" s="238"/>
      <c r="F68" s="239"/>
      <c r="G68" s="306" t="s">
        <v>635</v>
      </c>
      <c r="H68" s="305"/>
      <c r="I68" s="306"/>
      <c r="J68" s="312">
        <v>49.82</v>
      </c>
      <c r="K68" s="313">
        <v>6.2689225289403383E-3</v>
      </c>
      <c r="L68" s="314">
        <v>86.039999999999964</v>
      </c>
      <c r="M68" s="322">
        <f t="shared" si="6"/>
        <v>4286.5127999999986</v>
      </c>
      <c r="N68" s="314"/>
      <c r="O68" s="770" t="s">
        <v>795</v>
      </c>
      <c r="P68" s="894"/>
      <c r="R68" s="393"/>
      <c r="S68" s="394"/>
      <c r="T68" s="335"/>
    </row>
    <row r="69" spans="1:20" s="298" customFormat="1" ht="60" customHeight="1" thickBot="1">
      <c r="A69" s="761"/>
      <c r="B69" s="764"/>
      <c r="C69" s="279">
        <v>5</v>
      </c>
      <c r="D69" s="237" t="s">
        <v>433</v>
      </c>
      <c r="E69" s="245"/>
      <c r="F69" s="246"/>
      <c r="G69" s="306" t="s">
        <v>432</v>
      </c>
      <c r="H69" s="305"/>
      <c r="I69" s="306"/>
      <c r="J69" s="316">
        <v>368.13999999999993</v>
      </c>
      <c r="K69" s="248">
        <v>5.6751428742109573E-3</v>
      </c>
      <c r="L69" s="317">
        <v>11.310000000000002</v>
      </c>
      <c r="M69" s="322">
        <f t="shared" si="6"/>
        <v>4163.6634000000004</v>
      </c>
      <c r="N69" s="314"/>
      <c r="O69" s="770" t="s">
        <v>845</v>
      </c>
      <c r="P69" s="894"/>
      <c r="R69" s="396"/>
      <c r="S69" s="395"/>
      <c r="T69" s="289"/>
    </row>
    <row r="70" spans="1:20" ht="15.75" customHeight="1" thickTop="1" thickBot="1">
      <c r="A70" s="762"/>
      <c r="B70" s="765"/>
      <c r="C70" s="774"/>
      <c r="D70" s="775"/>
      <c r="E70" s="775"/>
      <c r="F70" s="775"/>
      <c r="G70" s="775"/>
      <c r="H70" s="775"/>
      <c r="I70" s="776"/>
      <c r="J70" s="347" t="s">
        <v>58</v>
      </c>
      <c r="K70" s="345">
        <f>M70/'生產管理報表 7-1 (週)'!$B$32</f>
        <v>9.7979228156021836E-2</v>
      </c>
      <c r="L70" s="348" t="s">
        <v>59</v>
      </c>
      <c r="M70" s="349">
        <f>SUM(M65:M69)</f>
        <v>25802.247800000016</v>
      </c>
      <c r="N70" s="777"/>
      <c r="O70" s="778"/>
      <c r="P70" s="882"/>
      <c r="R70" s="339"/>
      <c r="S70" s="339"/>
    </row>
    <row r="71" spans="1:20" ht="15.75" customHeight="1" thickTop="1">
      <c r="A71" s="509"/>
      <c r="M71" s="329"/>
      <c r="P71" s="510"/>
      <c r="S71" s="340"/>
    </row>
    <row r="72" spans="1:20" ht="15.75" customHeight="1">
      <c r="A72" s="750" t="s">
        <v>191</v>
      </c>
      <c r="B72" s="751"/>
      <c r="C72" s="275" t="s">
        <v>47</v>
      </c>
      <c r="D72" s="752" t="s">
        <v>12</v>
      </c>
      <c r="E72" s="753"/>
      <c r="F72" s="754"/>
      <c r="G72" s="755" t="s">
        <v>53</v>
      </c>
      <c r="H72" s="756"/>
      <c r="I72" s="757"/>
      <c r="J72" s="377" t="s">
        <v>54</v>
      </c>
      <c r="K72" s="276" t="s">
        <v>55</v>
      </c>
      <c r="L72" s="276" t="s">
        <v>56</v>
      </c>
      <c r="M72" s="330" t="s">
        <v>11</v>
      </c>
      <c r="N72" s="277" t="s">
        <v>333</v>
      </c>
      <c r="O72" s="758" t="s">
        <v>51</v>
      </c>
      <c r="P72" s="874"/>
      <c r="S72" s="339"/>
      <c r="T72" s="335"/>
    </row>
    <row r="73" spans="1:20" s="298" customFormat="1" ht="60" customHeight="1">
      <c r="A73" s="760">
        <v>5</v>
      </c>
      <c r="B73" s="780" t="s">
        <v>215</v>
      </c>
      <c r="C73" s="279">
        <v>1</v>
      </c>
      <c r="D73" s="237" t="s">
        <v>340</v>
      </c>
      <c r="E73" s="238"/>
      <c r="F73" s="239"/>
      <c r="G73" s="306" t="s">
        <v>336</v>
      </c>
      <c r="H73" s="305"/>
      <c r="I73" s="306"/>
      <c r="J73" s="312">
        <v>147.43000000000004</v>
      </c>
      <c r="K73" s="313">
        <v>2.2092966220856086E-3</v>
      </c>
      <c r="L73" s="314">
        <v>83.680000000000291</v>
      </c>
      <c r="M73" s="322">
        <f>L73*J73</f>
        <v>12336.942400000045</v>
      </c>
      <c r="N73" s="314"/>
      <c r="O73" s="835" t="s">
        <v>529</v>
      </c>
      <c r="P73" s="879"/>
      <c r="S73" s="395"/>
      <c r="T73" s="335"/>
    </row>
    <row r="74" spans="1:20" s="298" customFormat="1" ht="24.95" customHeight="1">
      <c r="A74" s="761"/>
      <c r="B74" s="781"/>
      <c r="C74" s="279">
        <v>2</v>
      </c>
      <c r="D74" s="237"/>
      <c r="E74" s="238"/>
      <c r="F74" s="239"/>
      <c r="G74" s="350"/>
      <c r="H74" s="305"/>
      <c r="I74" s="306"/>
      <c r="J74" s="312"/>
      <c r="K74" s="313"/>
      <c r="L74" s="314"/>
      <c r="M74" s="322">
        <f t="shared" ref="M74:M77" si="7">L74*J74</f>
        <v>0</v>
      </c>
      <c r="N74" s="314"/>
      <c r="O74" s="785"/>
      <c r="P74" s="880"/>
      <c r="S74" s="339"/>
      <c r="T74" s="336"/>
    </row>
    <row r="75" spans="1:20" ht="24.95" customHeight="1">
      <c r="A75" s="761"/>
      <c r="B75" s="781"/>
      <c r="C75" s="279">
        <v>3</v>
      </c>
      <c r="D75" s="237"/>
      <c r="E75" s="238"/>
      <c r="F75" s="239"/>
      <c r="G75" s="350"/>
      <c r="H75" s="305"/>
      <c r="I75" s="306"/>
      <c r="J75" s="312"/>
      <c r="K75" s="313"/>
      <c r="L75" s="314"/>
      <c r="M75" s="322">
        <f t="shared" si="7"/>
        <v>0</v>
      </c>
      <c r="N75" s="288"/>
      <c r="O75" s="807"/>
      <c r="P75" s="881"/>
    </row>
    <row r="76" spans="1:20" ht="24.95" customHeight="1">
      <c r="A76" s="761"/>
      <c r="B76" s="781"/>
      <c r="C76" s="279">
        <v>4</v>
      </c>
      <c r="D76" s="280"/>
      <c r="E76" s="281"/>
      <c r="F76" s="282"/>
      <c r="G76" s="350"/>
      <c r="H76" s="305"/>
      <c r="I76" s="306"/>
      <c r="J76" s="286"/>
      <c r="K76" s="287"/>
      <c r="L76" s="288"/>
      <c r="M76" s="322">
        <f t="shared" si="7"/>
        <v>0</v>
      </c>
      <c r="N76" s="288"/>
      <c r="O76" s="299"/>
      <c r="P76" s="511"/>
    </row>
    <row r="77" spans="1:20" ht="24.95" customHeight="1" thickBot="1">
      <c r="A77" s="761"/>
      <c r="B77" s="781"/>
      <c r="C77" s="279">
        <v>5</v>
      </c>
      <c r="D77" s="290"/>
      <c r="E77" s="291"/>
      <c r="F77" s="292"/>
      <c r="G77" s="350"/>
      <c r="H77" s="305"/>
      <c r="I77" s="306"/>
      <c r="J77" s="293"/>
      <c r="K77" s="248"/>
      <c r="L77" s="294"/>
      <c r="M77" s="322">
        <f t="shared" si="7"/>
        <v>0</v>
      </c>
      <c r="N77" s="288"/>
      <c r="O77" s="301"/>
      <c r="P77" s="512"/>
      <c r="R77" s="343"/>
    </row>
    <row r="78" spans="1:20" ht="15.75" customHeight="1" thickTop="1" thickBot="1">
      <c r="A78" s="762"/>
      <c r="B78" s="782"/>
      <c r="C78" s="789"/>
      <c r="D78" s="790"/>
      <c r="E78" s="790"/>
      <c r="F78" s="790"/>
      <c r="G78" s="790"/>
      <c r="H78" s="790"/>
      <c r="I78" s="791"/>
      <c r="J78" s="347" t="s">
        <v>58</v>
      </c>
      <c r="K78" s="345">
        <f>M78/'生產管理報表 7-1 (週)'!$B$32</f>
        <v>4.6847239958578472E-2</v>
      </c>
      <c r="L78" s="348" t="s">
        <v>59</v>
      </c>
      <c r="M78" s="349">
        <f>SUM(M73:M77)</f>
        <v>12336.942400000045</v>
      </c>
      <c r="N78" s="777"/>
      <c r="O78" s="778"/>
      <c r="P78" s="882"/>
      <c r="R78" s="339"/>
    </row>
    <row r="79" spans="1:20" ht="15.75" customHeight="1" thickTop="1">
      <c r="A79" s="509"/>
      <c r="K79" s="289" t="s">
        <v>456</v>
      </c>
      <c r="M79" s="329"/>
      <c r="P79" s="510"/>
      <c r="R79" s="339"/>
    </row>
    <row r="80" spans="1:20" ht="24.95" customHeight="1">
      <c r="A80" s="750" t="s">
        <v>191</v>
      </c>
      <c r="B80" s="751"/>
      <c r="C80" s="303" t="s">
        <v>47</v>
      </c>
      <c r="D80" s="794" t="s">
        <v>12</v>
      </c>
      <c r="E80" s="795"/>
      <c r="F80" s="796"/>
      <c r="G80" s="797" t="s">
        <v>53</v>
      </c>
      <c r="H80" s="798"/>
      <c r="I80" s="799"/>
      <c r="J80" s="304" t="s">
        <v>54</v>
      </c>
      <c r="K80" s="276" t="s">
        <v>55</v>
      </c>
      <c r="L80" s="276" t="s">
        <v>56</v>
      </c>
      <c r="M80" s="330" t="s">
        <v>11</v>
      </c>
      <c r="N80" s="277" t="s">
        <v>333</v>
      </c>
      <c r="O80" s="758" t="s">
        <v>51</v>
      </c>
      <c r="P80" s="874"/>
      <c r="R80" s="339"/>
    </row>
    <row r="81" spans="1:20" ht="60" customHeight="1">
      <c r="A81" s="760">
        <v>6</v>
      </c>
      <c r="B81" s="780" t="s">
        <v>216</v>
      </c>
      <c r="C81" s="279">
        <v>1</v>
      </c>
      <c r="D81" s="513" t="s">
        <v>697</v>
      </c>
      <c r="E81" s="281"/>
      <c r="F81" s="282"/>
      <c r="G81" s="306" t="s">
        <v>692</v>
      </c>
      <c r="H81" s="305"/>
      <c r="I81" s="306"/>
      <c r="J81" s="312">
        <v>625.94000000000005</v>
      </c>
      <c r="K81" s="313">
        <v>1.5584507582689388E-3</v>
      </c>
      <c r="L81" s="314">
        <v>15.8900000000001</v>
      </c>
      <c r="M81" s="322">
        <f t="shared" ref="M81:M85" si="8">L81*J81</f>
        <v>9946.1866000000628</v>
      </c>
      <c r="N81" s="288"/>
      <c r="O81" s="772" t="s">
        <v>548</v>
      </c>
      <c r="P81" s="875"/>
      <c r="R81" s="336"/>
      <c r="S81" s="336"/>
    </row>
    <row r="82" spans="1:20" ht="60" customHeight="1">
      <c r="A82" s="761"/>
      <c r="B82" s="781"/>
      <c r="C82" s="279">
        <v>2</v>
      </c>
      <c r="D82" s="237" t="s">
        <v>340</v>
      </c>
      <c r="E82" s="281"/>
      <c r="F82" s="282"/>
      <c r="G82" s="306" t="s">
        <v>534</v>
      </c>
      <c r="H82" s="305"/>
      <c r="I82" s="306"/>
      <c r="J82" s="312">
        <v>39.389999999999993</v>
      </c>
      <c r="K82" s="313">
        <v>1.1879648082438147E-3</v>
      </c>
      <c r="L82" s="314">
        <v>167.63999999999942</v>
      </c>
      <c r="M82" s="322">
        <f t="shared" si="8"/>
        <v>6603.3395999999757</v>
      </c>
      <c r="N82" s="288"/>
      <c r="O82" s="772" t="s">
        <v>711</v>
      </c>
      <c r="P82" s="875"/>
      <c r="R82" s="336"/>
      <c r="S82" s="336"/>
    </row>
    <row r="83" spans="1:20" ht="60" customHeight="1">
      <c r="A83" s="761"/>
      <c r="B83" s="781"/>
      <c r="C83" s="279">
        <v>3</v>
      </c>
      <c r="D83" s="237" t="s">
        <v>752</v>
      </c>
      <c r="E83" s="281"/>
      <c r="F83" s="282"/>
      <c r="G83" s="306" t="s">
        <v>771</v>
      </c>
      <c r="H83" s="305"/>
      <c r="I83" s="306"/>
      <c r="J83" s="312">
        <v>52.26</v>
      </c>
      <c r="K83" s="313">
        <v>5.8908680768830135E-3</v>
      </c>
      <c r="L83" s="314">
        <v>112.63000000000011</v>
      </c>
      <c r="M83" s="322">
        <f t="shared" si="8"/>
        <v>5886.0438000000058</v>
      </c>
      <c r="N83" s="288"/>
      <c r="O83" s="772" t="s">
        <v>840</v>
      </c>
      <c r="P83" s="875"/>
      <c r="R83" s="336"/>
    </row>
    <row r="84" spans="1:20" ht="60" customHeight="1">
      <c r="A84" s="761"/>
      <c r="B84" s="781"/>
      <c r="C84" s="279">
        <v>4</v>
      </c>
      <c r="D84" s="237" t="s">
        <v>463</v>
      </c>
      <c r="E84" s="281"/>
      <c r="F84" s="282"/>
      <c r="G84" s="306" t="s">
        <v>461</v>
      </c>
      <c r="H84" s="305"/>
      <c r="I84" s="306"/>
      <c r="J84" s="312">
        <v>407.74</v>
      </c>
      <c r="K84" s="313">
        <v>2.5554390461765505E-3</v>
      </c>
      <c r="L84" s="314">
        <v>13.930000000000064</v>
      </c>
      <c r="M84" s="322">
        <f t="shared" si="8"/>
        <v>5679.8182000000261</v>
      </c>
      <c r="N84" s="288"/>
      <c r="O84" s="772" t="s">
        <v>841</v>
      </c>
      <c r="P84" s="875"/>
      <c r="R84" s="336"/>
      <c r="S84" s="336"/>
    </row>
    <row r="85" spans="1:20" ht="60" customHeight="1" thickBot="1">
      <c r="A85" s="761"/>
      <c r="B85" s="781"/>
      <c r="C85" s="279">
        <v>5</v>
      </c>
      <c r="D85" s="244" t="s">
        <v>614</v>
      </c>
      <c r="E85" s="291"/>
      <c r="F85" s="292"/>
      <c r="G85" s="306" t="s">
        <v>619</v>
      </c>
      <c r="H85" s="305"/>
      <c r="I85" s="306"/>
      <c r="J85" s="316">
        <v>39.389999999999993</v>
      </c>
      <c r="K85" s="248">
        <v>4.0517962963580517E-3</v>
      </c>
      <c r="L85" s="317">
        <v>113.0600000000004</v>
      </c>
      <c r="M85" s="322">
        <f t="shared" si="8"/>
        <v>4453.4334000000154</v>
      </c>
      <c r="N85" s="288"/>
      <c r="O85" s="772" t="s">
        <v>842</v>
      </c>
      <c r="P85" s="875"/>
    </row>
    <row r="86" spans="1:20" ht="15.75" customHeight="1" thickTop="1" thickBot="1">
      <c r="A86" s="762"/>
      <c r="B86" s="782"/>
      <c r="C86" s="789"/>
      <c r="D86" s="790"/>
      <c r="E86" s="790"/>
      <c r="F86" s="790"/>
      <c r="G86" s="790"/>
      <c r="H86" s="790"/>
      <c r="I86" s="791"/>
      <c r="J86" s="514" t="s">
        <v>58</v>
      </c>
      <c r="K86" s="345">
        <f>M86/'生產管理報表 7-1 (週)'!$B$32</f>
        <v>0.12367403131130222</v>
      </c>
      <c r="L86" s="516" t="s">
        <v>59</v>
      </c>
      <c r="M86" s="517">
        <f>SUM(M81:M85)</f>
        <v>32568.821600000087</v>
      </c>
      <c r="N86" s="876"/>
      <c r="O86" s="877"/>
      <c r="P86" s="878"/>
    </row>
    <row r="87" spans="1:20" s="135" customFormat="1" ht="15.75" customHeight="1" thickTop="1">
      <c r="A87" s="868" t="s">
        <v>828</v>
      </c>
      <c r="B87" s="868"/>
      <c r="C87" s="868"/>
      <c r="D87" s="868"/>
      <c r="E87" s="868"/>
      <c r="F87" s="868"/>
      <c r="G87" s="868"/>
      <c r="H87" s="868"/>
      <c r="I87" s="868"/>
      <c r="J87" s="868"/>
      <c r="K87" s="868"/>
      <c r="L87" s="868"/>
      <c r="M87" s="868"/>
      <c r="Q87" s="231"/>
      <c r="R87" s="231"/>
      <c r="S87" s="231"/>
      <c r="T87" s="231"/>
    </row>
    <row r="88" spans="1:20" s="136" customFormat="1" ht="15.75" customHeight="1">
      <c r="A88" s="745"/>
      <c r="B88" s="745"/>
      <c r="C88" s="745"/>
      <c r="D88" s="745"/>
      <c r="E88" s="745"/>
      <c r="F88" s="745"/>
      <c r="G88" s="745"/>
      <c r="H88" s="745"/>
      <c r="I88" s="745"/>
      <c r="J88" s="745"/>
      <c r="K88" s="745"/>
      <c r="L88" s="745"/>
      <c r="M88" s="745"/>
    </row>
    <row r="89" spans="1:20" s="135" customFormat="1" ht="15.75" customHeight="1">
      <c r="A89" s="746" t="s">
        <v>191</v>
      </c>
      <c r="B89" s="748">
        <v>1</v>
      </c>
      <c r="C89" s="749"/>
      <c r="D89" s="748">
        <v>2</v>
      </c>
      <c r="E89" s="749"/>
      <c r="F89" s="748">
        <v>3</v>
      </c>
      <c r="G89" s="749"/>
      <c r="H89" s="739">
        <v>4</v>
      </c>
      <c r="I89" s="740"/>
      <c r="J89" s="739">
        <v>5</v>
      </c>
      <c r="K89" s="740"/>
      <c r="L89" s="739">
        <v>6</v>
      </c>
      <c r="M89" s="740"/>
      <c r="N89" s="739">
        <v>7</v>
      </c>
      <c r="O89" s="740"/>
      <c r="P89" s="352">
        <v>8</v>
      </c>
    </row>
    <row r="90" spans="1:20" s="135" customFormat="1" ht="15.75" customHeight="1">
      <c r="A90" s="747"/>
      <c r="B90" s="743" t="s">
        <v>452</v>
      </c>
      <c r="C90" s="744"/>
      <c r="D90" s="743" t="s">
        <v>212</v>
      </c>
      <c r="E90" s="744"/>
      <c r="F90" s="743" t="s">
        <v>166</v>
      </c>
      <c r="G90" s="744"/>
      <c r="H90" s="741" t="s">
        <v>428</v>
      </c>
      <c r="I90" s="742"/>
      <c r="J90" s="741" t="s">
        <v>189</v>
      </c>
      <c r="K90" s="742"/>
      <c r="L90" s="741" t="s">
        <v>167</v>
      </c>
      <c r="M90" s="742"/>
      <c r="N90" s="741" t="s">
        <v>190</v>
      </c>
      <c r="O90" s="742"/>
      <c r="P90" s="353" t="s">
        <v>217</v>
      </c>
    </row>
    <row r="91" spans="1:20" s="135" customFormat="1" ht="15.75" customHeight="1">
      <c r="A91" s="502"/>
      <c r="B91" s="503"/>
      <c r="C91" s="504"/>
      <c r="D91" s="505"/>
      <c r="E91" s="505"/>
      <c r="F91" s="505"/>
      <c r="G91" s="505"/>
      <c r="H91" s="505"/>
      <c r="I91" s="505"/>
      <c r="J91" s="505"/>
      <c r="K91" s="505"/>
      <c r="L91" s="505"/>
      <c r="M91" s="505"/>
      <c r="N91" s="505"/>
      <c r="O91" s="505"/>
      <c r="P91" s="506"/>
    </row>
    <row r="92" spans="1:20" s="278" customFormat="1" ht="15.75" customHeight="1">
      <c r="A92" s="883" t="s">
        <v>191</v>
      </c>
      <c r="B92" s="884"/>
      <c r="C92" s="499" t="s">
        <v>47</v>
      </c>
      <c r="D92" s="885" t="s">
        <v>12</v>
      </c>
      <c r="E92" s="886"/>
      <c r="F92" s="887"/>
      <c r="G92" s="888" t="s">
        <v>53</v>
      </c>
      <c r="H92" s="889"/>
      <c r="I92" s="890"/>
      <c r="J92" s="500" t="s">
        <v>54</v>
      </c>
      <c r="K92" s="500" t="s">
        <v>55</v>
      </c>
      <c r="L92" s="500" t="s">
        <v>56</v>
      </c>
      <c r="M92" s="501" t="s">
        <v>11</v>
      </c>
      <c r="N92" s="501" t="s">
        <v>333</v>
      </c>
      <c r="O92" s="891" t="s">
        <v>51</v>
      </c>
      <c r="P92" s="892"/>
      <c r="R92" s="339"/>
      <c r="S92" s="340"/>
    </row>
    <row r="93" spans="1:20" s="298" customFormat="1" ht="60" customHeight="1">
      <c r="A93" s="760">
        <v>4</v>
      </c>
      <c r="B93" s="763" t="s">
        <v>428</v>
      </c>
      <c r="C93" s="279">
        <v>1</v>
      </c>
      <c r="D93" s="237" t="s">
        <v>340</v>
      </c>
      <c r="E93" s="238"/>
      <c r="F93" s="239"/>
      <c r="G93" s="306" t="s">
        <v>386</v>
      </c>
      <c r="H93" s="305"/>
      <c r="I93" s="306"/>
      <c r="J93" s="312">
        <v>127.84000000000002</v>
      </c>
      <c r="K93" s="313">
        <v>2.4006550131559076E-3</v>
      </c>
      <c r="L93" s="314">
        <v>46.019999999999982</v>
      </c>
      <c r="M93" s="322">
        <f t="shared" ref="M93:M97" si="9">L93*J93</f>
        <v>5883.1967999999988</v>
      </c>
      <c r="N93" s="314"/>
      <c r="O93" s="768" t="s">
        <v>843</v>
      </c>
      <c r="P93" s="893"/>
      <c r="R93" s="393"/>
      <c r="S93" s="395"/>
    </row>
    <row r="94" spans="1:20" s="298" customFormat="1" ht="60" customHeight="1">
      <c r="A94" s="761"/>
      <c r="B94" s="764"/>
      <c r="C94" s="279">
        <v>2</v>
      </c>
      <c r="D94" s="237" t="s">
        <v>636</v>
      </c>
      <c r="E94" s="238"/>
      <c r="F94" s="239"/>
      <c r="G94" s="306" t="s">
        <v>632</v>
      </c>
      <c r="H94" s="305"/>
      <c r="I94" s="306"/>
      <c r="J94" s="312">
        <v>193.82999999999998</v>
      </c>
      <c r="K94" s="313">
        <v>9.4167926766327724E-4</v>
      </c>
      <c r="L94" s="314">
        <v>22.199999999999818</v>
      </c>
      <c r="M94" s="322">
        <f t="shared" si="9"/>
        <v>4303.0259999999644</v>
      </c>
      <c r="N94" s="314"/>
      <c r="O94" s="768" t="s">
        <v>612</v>
      </c>
      <c r="P94" s="893"/>
      <c r="R94" s="393"/>
      <c r="S94" s="394"/>
      <c r="T94" s="335"/>
    </row>
    <row r="95" spans="1:20" s="298" customFormat="1" ht="60" customHeight="1">
      <c r="A95" s="761"/>
      <c r="B95" s="764"/>
      <c r="C95" s="279">
        <v>3</v>
      </c>
      <c r="D95" s="237" t="s">
        <v>433</v>
      </c>
      <c r="E95" s="238"/>
      <c r="F95" s="239"/>
      <c r="G95" s="306" t="s">
        <v>432</v>
      </c>
      <c r="H95" s="305"/>
      <c r="I95" s="306"/>
      <c r="J95" s="312">
        <v>368.13999999999993</v>
      </c>
      <c r="K95" s="313">
        <v>6.009842892296044E-3</v>
      </c>
      <c r="L95" s="314">
        <v>10.879999999999995</v>
      </c>
      <c r="M95" s="322">
        <f t="shared" si="9"/>
        <v>4005.3631999999975</v>
      </c>
      <c r="N95" s="314"/>
      <c r="O95" s="770" t="s">
        <v>845</v>
      </c>
      <c r="P95" s="894"/>
      <c r="R95" s="393"/>
      <c r="S95" s="395"/>
    </row>
    <row r="96" spans="1:20" s="298" customFormat="1" ht="60" customHeight="1">
      <c r="A96" s="761"/>
      <c r="B96" s="764"/>
      <c r="C96" s="279">
        <v>4</v>
      </c>
      <c r="D96" s="237" t="s">
        <v>358</v>
      </c>
      <c r="E96" s="238"/>
      <c r="F96" s="239"/>
      <c r="G96" s="306" t="s">
        <v>713</v>
      </c>
      <c r="H96" s="305"/>
      <c r="I96" s="306"/>
      <c r="J96" s="312">
        <v>426.69</v>
      </c>
      <c r="K96" s="313">
        <v>2.6405038759689929E-3</v>
      </c>
      <c r="L96" s="314">
        <v>9.2799999999999727</v>
      </c>
      <c r="M96" s="322">
        <f t="shared" si="9"/>
        <v>3959.6831999999881</v>
      </c>
      <c r="N96" s="314"/>
      <c r="O96" s="770" t="s">
        <v>874</v>
      </c>
      <c r="P96" s="894"/>
      <c r="R96" s="393"/>
      <c r="S96" s="394"/>
      <c r="T96" s="335"/>
    </row>
    <row r="97" spans="1:20" s="298" customFormat="1" ht="60" customHeight="1" thickBot="1">
      <c r="A97" s="761"/>
      <c r="B97" s="764"/>
      <c r="C97" s="279">
        <v>5</v>
      </c>
      <c r="D97" s="237" t="s">
        <v>856</v>
      </c>
      <c r="E97" s="245"/>
      <c r="F97" s="246"/>
      <c r="G97" s="306" t="s">
        <v>854</v>
      </c>
      <c r="H97" s="305"/>
      <c r="I97" s="306"/>
      <c r="J97" s="316">
        <v>339.16</v>
      </c>
      <c r="K97" s="248">
        <v>3.737568174526789E-3</v>
      </c>
      <c r="L97" s="317">
        <v>11.379999999999995</v>
      </c>
      <c r="M97" s="322">
        <f t="shared" si="9"/>
        <v>3859.6407999999988</v>
      </c>
      <c r="N97" s="314"/>
      <c r="O97" s="770" t="s">
        <v>612</v>
      </c>
      <c r="P97" s="894"/>
      <c r="R97" s="396"/>
      <c r="S97" s="395"/>
      <c r="T97" s="289"/>
    </row>
    <row r="98" spans="1:20" ht="15.75" customHeight="1" thickTop="1" thickBot="1">
      <c r="A98" s="762"/>
      <c r="B98" s="765"/>
      <c r="C98" s="774"/>
      <c r="D98" s="775"/>
      <c r="E98" s="775"/>
      <c r="F98" s="775"/>
      <c r="G98" s="775"/>
      <c r="H98" s="775"/>
      <c r="I98" s="776"/>
      <c r="J98" s="347" t="s">
        <v>58</v>
      </c>
      <c r="K98" s="345">
        <f>M98/'生產管理報表 7-1 (週)'!$B$43</f>
        <v>8.2339458623238368E-2</v>
      </c>
      <c r="L98" s="348" t="s">
        <v>59</v>
      </c>
      <c r="M98" s="349">
        <f>SUM(M93:M97)</f>
        <v>22010.909999999945</v>
      </c>
      <c r="N98" s="777"/>
      <c r="O98" s="778"/>
      <c r="P98" s="882"/>
      <c r="R98" s="339"/>
      <c r="S98" s="339"/>
    </row>
    <row r="99" spans="1:20" ht="15.75" customHeight="1" thickTop="1">
      <c r="A99" s="509"/>
      <c r="M99" s="329"/>
      <c r="P99" s="510"/>
      <c r="S99" s="340"/>
    </row>
    <row r="100" spans="1:20" ht="15.75" customHeight="1">
      <c r="A100" s="750" t="s">
        <v>191</v>
      </c>
      <c r="B100" s="751"/>
      <c r="C100" s="275" t="s">
        <v>47</v>
      </c>
      <c r="D100" s="752" t="s">
        <v>12</v>
      </c>
      <c r="E100" s="753"/>
      <c r="F100" s="754"/>
      <c r="G100" s="755" t="s">
        <v>53</v>
      </c>
      <c r="H100" s="756"/>
      <c r="I100" s="757"/>
      <c r="J100" s="377" t="s">
        <v>54</v>
      </c>
      <c r="K100" s="276" t="s">
        <v>55</v>
      </c>
      <c r="L100" s="276" t="s">
        <v>56</v>
      </c>
      <c r="M100" s="330" t="s">
        <v>11</v>
      </c>
      <c r="N100" s="277" t="s">
        <v>333</v>
      </c>
      <c r="O100" s="758" t="s">
        <v>51</v>
      </c>
      <c r="P100" s="874"/>
      <c r="S100" s="339"/>
      <c r="T100" s="335"/>
    </row>
    <row r="101" spans="1:20" s="298" customFormat="1" ht="60" customHeight="1">
      <c r="A101" s="760">
        <v>5</v>
      </c>
      <c r="B101" s="780" t="s">
        <v>215</v>
      </c>
      <c r="C101" s="279">
        <v>1</v>
      </c>
      <c r="D101" s="237" t="s">
        <v>340</v>
      </c>
      <c r="E101" s="238"/>
      <c r="F101" s="239"/>
      <c r="G101" s="306" t="s">
        <v>336</v>
      </c>
      <c r="H101" s="305"/>
      <c r="I101" s="306"/>
      <c r="J101" s="312">
        <v>147.43000000000004</v>
      </c>
      <c r="K101" s="313">
        <v>2.3822265186694055E-3</v>
      </c>
      <c r="L101" s="314">
        <v>71.559999999999945</v>
      </c>
      <c r="M101" s="322">
        <f>L101*J101</f>
        <v>10550.090799999994</v>
      </c>
      <c r="N101" s="314"/>
      <c r="O101" s="835" t="s">
        <v>529</v>
      </c>
      <c r="P101" s="879"/>
      <c r="S101" s="395"/>
      <c r="T101" s="335"/>
    </row>
    <row r="102" spans="1:20" s="298" customFormat="1" ht="24.95" customHeight="1">
      <c r="A102" s="761"/>
      <c r="B102" s="781"/>
      <c r="C102" s="279">
        <v>2</v>
      </c>
      <c r="D102" s="237"/>
      <c r="E102" s="238"/>
      <c r="F102" s="239"/>
      <c r="G102" s="350"/>
      <c r="H102" s="305"/>
      <c r="I102" s="306"/>
      <c r="J102" s="312"/>
      <c r="K102" s="313"/>
      <c r="L102" s="314"/>
      <c r="M102" s="322">
        <f t="shared" ref="M102:M105" si="10">L102*J102</f>
        <v>0</v>
      </c>
      <c r="N102" s="314"/>
      <c r="O102" s="785"/>
      <c r="P102" s="880"/>
      <c r="S102" s="339"/>
      <c r="T102" s="336"/>
    </row>
    <row r="103" spans="1:20" ht="24.95" customHeight="1">
      <c r="A103" s="761"/>
      <c r="B103" s="781"/>
      <c r="C103" s="279">
        <v>3</v>
      </c>
      <c r="D103" s="237"/>
      <c r="E103" s="238"/>
      <c r="F103" s="239"/>
      <c r="G103" s="350"/>
      <c r="H103" s="305"/>
      <c r="I103" s="306"/>
      <c r="J103" s="312"/>
      <c r="K103" s="313"/>
      <c r="L103" s="314"/>
      <c r="M103" s="322">
        <f t="shared" si="10"/>
        <v>0</v>
      </c>
      <c r="N103" s="288"/>
      <c r="O103" s="807"/>
      <c r="P103" s="881"/>
    </row>
    <row r="104" spans="1:20" ht="24.95" customHeight="1">
      <c r="A104" s="761"/>
      <c r="B104" s="781"/>
      <c r="C104" s="279">
        <v>4</v>
      </c>
      <c r="D104" s="280"/>
      <c r="E104" s="281"/>
      <c r="F104" s="282"/>
      <c r="G104" s="350"/>
      <c r="H104" s="305"/>
      <c r="I104" s="306"/>
      <c r="J104" s="286"/>
      <c r="K104" s="287"/>
      <c r="L104" s="288"/>
      <c r="M104" s="322">
        <f t="shared" si="10"/>
        <v>0</v>
      </c>
      <c r="N104" s="288"/>
      <c r="O104" s="299"/>
      <c r="P104" s="511"/>
    </row>
    <row r="105" spans="1:20" ht="24.95" customHeight="1" thickBot="1">
      <c r="A105" s="761"/>
      <c r="B105" s="781"/>
      <c r="C105" s="279">
        <v>5</v>
      </c>
      <c r="D105" s="290"/>
      <c r="E105" s="291"/>
      <c r="F105" s="292"/>
      <c r="G105" s="350"/>
      <c r="H105" s="305"/>
      <c r="I105" s="306"/>
      <c r="J105" s="293"/>
      <c r="K105" s="248"/>
      <c r="L105" s="294"/>
      <c r="M105" s="322">
        <f t="shared" si="10"/>
        <v>0</v>
      </c>
      <c r="N105" s="288"/>
      <c r="O105" s="301"/>
      <c r="P105" s="512"/>
      <c r="R105" s="343"/>
    </row>
    <row r="106" spans="1:20" ht="15.75" customHeight="1" thickTop="1" thickBot="1">
      <c r="A106" s="762"/>
      <c r="B106" s="782"/>
      <c r="C106" s="789"/>
      <c r="D106" s="790"/>
      <c r="E106" s="790"/>
      <c r="F106" s="790"/>
      <c r="G106" s="790"/>
      <c r="H106" s="790"/>
      <c r="I106" s="791"/>
      <c r="J106" s="347" t="s">
        <v>58</v>
      </c>
      <c r="K106" s="345">
        <f>M106/'生產管理報表 7-1 (週)'!$B$43</f>
        <v>3.9466281262247202E-2</v>
      </c>
      <c r="L106" s="348" t="s">
        <v>59</v>
      </c>
      <c r="M106" s="349">
        <f>SUM(M101:M105)</f>
        <v>10550.090799999994</v>
      </c>
      <c r="N106" s="777"/>
      <c r="O106" s="778"/>
      <c r="P106" s="882"/>
      <c r="R106" s="339"/>
    </row>
    <row r="107" spans="1:20" ht="15.75" customHeight="1" thickTop="1">
      <c r="A107" s="509"/>
      <c r="K107" s="289" t="s">
        <v>456</v>
      </c>
      <c r="M107" s="329"/>
      <c r="P107" s="510"/>
      <c r="R107" s="339"/>
    </row>
    <row r="108" spans="1:20" ht="24.95" customHeight="1">
      <c r="A108" s="750" t="s">
        <v>191</v>
      </c>
      <c r="B108" s="751"/>
      <c r="C108" s="303" t="s">
        <v>47</v>
      </c>
      <c r="D108" s="794" t="s">
        <v>12</v>
      </c>
      <c r="E108" s="795"/>
      <c r="F108" s="796"/>
      <c r="G108" s="797" t="s">
        <v>53</v>
      </c>
      <c r="H108" s="798"/>
      <c r="I108" s="799"/>
      <c r="J108" s="304" t="s">
        <v>54</v>
      </c>
      <c r="K108" s="276" t="s">
        <v>55</v>
      </c>
      <c r="L108" s="276" t="s">
        <v>56</v>
      </c>
      <c r="M108" s="330" t="s">
        <v>11</v>
      </c>
      <c r="N108" s="277" t="s">
        <v>333</v>
      </c>
      <c r="O108" s="758" t="s">
        <v>51</v>
      </c>
      <c r="P108" s="874"/>
      <c r="R108" s="339"/>
    </row>
    <row r="109" spans="1:20" ht="60" customHeight="1">
      <c r="A109" s="760">
        <v>6</v>
      </c>
      <c r="B109" s="780" t="s">
        <v>216</v>
      </c>
      <c r="C109" s="279">
        <v>1</v>
      </c>
      <c r="D109" s="513" t="s">
        <v>697</v>
      </c>
      <c r="E109" s="281"/>
      <c r="F109" s="282"/>
      <c r="G109" s="306" t="s">
        <v>692</v>
      </c>
      <c r="H109" s="305"/>
      <c r="I109" s="306"/>
      <c r="J109" s="312">
        <v>625.93999999999994</v>
      </c>
      <c r="K109" s="313">
        <v>1.2102416701335046E-3</v>
      </c>
      <c r="L109" s="314">
        <v>11.259999999999991</v>
      </c>
      <c r="M109" s="322">
        <f t="shared" ref="M109:M113" si="11">L109*J109</f>
        <v>7048.0843999999934</v>
      </c>
      <c r="N109" s="288"/>
      <c r="O109" s="772" t="s">
        <v>872</v>
      </c>
      <c r="P109" s="875"/>
      <c r="R109" s="336"/>
      <c r="S109" s="336"/>
    </row>
    <row r="110" spans="1:20" ht="60" customHeight="1">
      <c r="A110" s="761"/>
      <c r="B110" s="781"/>
      <c r="C110" s="279">
        <v>2</v>
      </c>
      <c r="D110" s="237" t="s">
        <v>850</v>
      </c>
      <c r="E110" s="281"/>
      <c r="F110" s="282"/>
      <c r="G110" s="306" t="s">
        <v>544</v>
      </c>
      <c r="H110" s="305"/>
      <c r="I110" s="306"/>
      <c r="J110" s="312">
        <v>62.43</v>
      </c>
      <c r="K110" s="313">
        <v>3.9585191793041928E-3</v>
      </c>
      <c r="L110" s="314">
        <v>91.300000000000182</v>
      </c>
      <c r="M110" s="322">
        <f t="shared" si="11"/>
        <v>5699.8590000000113</v>
      </c>
      <c r="N110" s="288"/>
      <c r="O110" s="772" t="s">
        <v>873</v>
      </c>
      <c r="P110" s="875"/>
      <c r="R110" s="336"/>
      <c r="S110" s="336"/>
    </row>
    <row r="111" spans="1:20" ht="60" customHeight="1">
      <c r="A111" s="761"/>
      <c r="B111" s="781"/>
      <c r="C111" s="279">
        <v>3</v>
      </c>
      <c r="D111" s="237" t="s">
        <v>340</v>
      </c>
      <c r="E111" s="281"/>
      <c r="F111" s="282"/>
      <c r="G111" s="306" t="s">
        <v>534</v>
      </c>
      <c r="H111" s="305"/>
      <c r="I111" s="306"/>
      <c r="J111" s="312">
        <v>39.389999999999993</v>
      </c>
      <c r="K111" s="313">
        <v>1.1303749139387868E-3</v>
      </c>
      <c r="L111" s="314">
        <v>138.11999999999898</v>
      </c>
      <c r="M111" s="322">
        <f t="shared" si="11"/>
        <v>5440.5467999999591</v>
      </c>
      <c r="N111" s="288"/>
      <c r="O111" s="772" t="s">
        <v>842</v>
      </c>
      <c r="P111" s="875"/>
      <c r="R111" s="336"/>
    </row>
    <row r="112" spans="1:20" ht="60" customHeight="1">
      <c r="A112" s="761"/>
      <c r="B112" s="781"/>
      <c r="C112" s="279">
        <v>4</v>
      </c>
      <c r="D112" s="237" t="s">
        <v>463</v>
      </c>
      <c r="E112" s="281"/>
      <c r="F112" s="282"/>
      <c r="G112" s="306" t="s">
        <v>461</v>
      </c>
      <c r="H112" s="305"/>
      <c r="I112" s="306"/>
      <c r="J112" s="312">
        <v>407.74000000000007</v>
      </c>
      <c r="K112" s="313">
        <v>2.5083082049749618E-3</v>
      </c>
      <c r="L112" s="314">
        <v>12.619999999999891</v>
      </c>
      <c r="M112" s="322">
        <f t="shared" si="11"/>
        <v>5145.678799999956</v>
      </c>
      <c r="N112" s="288"/>
      <c r="O112" s="772" t="s">
        <v>841</v>
      </c>
      <c r="P112" s="875"/>
      <c r="R112" s="336"/>
      <c r="S112" s="336"/>
    </row>
    <row r="113" spans="1:20" ht="60" customHeight="1" thickBot="1">
      <c r="A113" s="761"/>
      <c r="B113" s="781"/>
      <c r="C113" s="279">
        <v>5</v>
      </c>
      <c r="D113" s="244" t="s">
        <v>752</v>
      </c>
      <c r="E113" s="291"/>
      <c r="F113" s="292"/>
      <c r="G113" s="306" t="s">
        <v>771</v>
      </c>
      <c r="H113" s="305"/>
      <c r="I113" s="306"/>
      <c r="J113" s="316">
        <v>52.26</v>
      </c>
      <c r="K113" s="248">
        <v>5.2082681517635534E-3</v>
      </c>
      <c r="L113" s="317">
        <v>90.380000000000109</v>
      </c>
      <c r="M113" s="322">
        <f t="shared" si="11"/>
        <v>4723.258800000006</v>
      </c>
      <c r="N113" s="288"/>
      <c r="O113" s="772" t="s">
        <v>873</v>
      </c>
      <c r="P113" s="875"/>
    </row>
    <row r="114" spans="1:20" ht="15.75" customHeight="1" thickTop="1" thickBot="1">
      <c r="A114" s="762"/>
      <c r="B114" s="782"/>
      <c r="C114" s="789"/>
      <c r="D114" s="790"/>
      <c r="E114" s="790"/>
      <c r="F114" s="790"/>
      <c r="G114" s="790"/>
      <c r="H114" s="790"/>
      <c r="I114" s="791"/>
      <c r="J114" s="514" t="s">
        <v>58</v>
      </c>
      <c r="K114" s="345">
        <f>M114/'生產管理報表 7-1 (週)'!$B$43</f>
        <v>0.1049585598874648</v>
      </c>
      <c r="L114" s="516" t="s">
        <v>59</v>
      </c>
      <c r="M114" s="517">
        <f>SUM(M109:M113)</f>
        <v>28057.427799999929</v>
      </c>
      <c r="N114" s="876"/>
      <c r="O114" s="877"/>
      <c r="P114" s="878"/>
    </row>
    <row r="115" spans="1:20" s="135" customFormat="1" ht="15.75" customHeight="1" thickTop="1">
      <c r="A115" s="868" t="s">
        <v>869</v>
      </c>
      <c r="B115" s="868"/>
      <c r="C115" s="868"/>
      <c r="D115" s="868"/>
      <c r="E115" s="868"/>
      <c r="F115" s="868"/>
      <c r="G115" s="868"/>
      <c r="H115" s="868"/>
      <c r="I115" s="868"/>
      <c r="J115" s="868"/>
      <c r="K115" s="868"/>
      <c r="L115" s="868"/>
      <c r="M115" s="868"/>
      <c r="Q115" s="231"/>
      <c r="R115" s="231"/>
      <c r="S115" s="231"/>
      <c r="T115" s="231"/>
    </row>
    <row r="116" spans="1:20" s="136" customFormat="1" ht="15.75" customHeight="1">
      <c r="A116" s="745"/>
      <c r="B116" s="745"/>
      <c r="C116" s="745"/>
      <c r="D116" s="745"/>
      <c r="E116" s="745"/>
      <c r="F116" s="745"/>
      <c r="G116" s="745"/>
      <c r="H116" s="745"/>
      <c r="I116" s="745"/>
      <c r="J116" s="745"/>
      <c r="K116" s="745"/>
      <c r="L116" s="745"/>
      <c r="M116" s="745"/>
    </row>
    <row r="117" spans="1:20" s="135" customFormat="1" ht="15.75" customHeight="1">
      <c r="A117" s="746" t="s">
        <v>191</v>
      </c>
      <c r="B117" s="748">
        <v>1</v>
      </c>
      <c r="C117" s="749"/>
      <c r="D117" s="748">
        <v>2</v>
      </c>
      <c r="E117" s="749"/>
      <c r="F117" s="748">
        <v>3</v>
      </c>
      <c r="G117" s="749"/>
      <c r="H117" s="739">
        <v>4</v>
      </c>
      <c r="I117" s="740"/>
      <c r="J117" s="739">
        <v>5</v>
      </c>
      <c r="K117" s="740"/>
      <c r="L117" s="739">
        <v>6</v>
      </c>
      <c r="M117" s="740"/>
      <c r="N117" s="739">
        <v>7</v>
      </c>
      <c r="O117" s="740"/>
      <c r="P117" s="352">
        <v>8</v>
      </c>
    </row>
    <row r="118" spans="1:20" s="135" customFormat="1" ht="15.75" customHeight="1">
      <c r="A118" s="747"/>
      <c r="B118" s="743" t="s">
        <v>452</v>
      </c>
      <c r="C118" s="744"/>
      <c r="D118" s="743" t="s">
        <v>212</v>
      </c>
      <c r="E118" s="744"/>
      <c r="F118" s="743" t="s">
        <v>166</v>
      </c>
      <c r="G118" s="744"/>
      <c r="H118" s="741" t="s">
        <v>428</v>
      </c>
      <c r="I118" s="742"/>
      <c r="J118" s="741" t="s">
        <v>189</v>
      </c>
      <c r="K118" s="742"/>
      <c r="L118" s="741" t="s">
        <v>167</v>
      </c>
      <c r="M118" s="742"/>
      <c r="N118" s="741" t="s">
        <v>190</v>
      </c>
      <c r="O118" s="742"/>
      <c r="P118" s="353" t="s">
        <v>217</v>
      </c>
    </row>
    <row r="119" spans="1:20" s="135" customFormat="1" ht="15.75" customHeight="1">
      <c r="A119" s="502"/>
      <c r="B119" s="503"/>
      <c r="C119" s="504"/>
      <c r="D119" s="505"/>
      <c r="E119" s="505"/>
      <c r="F119" s="505"/>
      <c r="G119" s="505"/>
      <c r="H119" s="505"/>
      <c r="I119" s="505"/>
      <c r="J119" s="505"/>
      <c r="K119" s="505"/>
      <c r="L119" s="505"/>
      <c r="M119" s="505"/>
      <c r="N119" s="505"/>
      <c r="O119" s="505"/>
      <c r="P119" s="506"/>
    </row>
    <row r="120" spans="1:20" s="278" customFormat="1" ht="15.75" customHeight="1">
      <c r="A120" s="883" t="s">
        <v>191</v>
      </c>
      <c r="B120" s="884"/>
      <c r="C120" s="499" t="s">
        <v>47</v>
      </c>
      <c r="D120" s="885" t="s">
        <v>12</v>
      </c>
      <c r="E120" s="886"/>
      <c r="F120" s="887"/>
      <c r="G120" s="888" t="s">
        <v>53</v>
      </c>
      <c r="H120" s="889"/>
      <c r="I120" s="890"/>
      <c r="J120" s="500" t="s">
        <v>54</v>
      </c>
      <c r="K120" s="500" t="s">
        <v>55</v>
      </c>
      <c r="L120" s="500" t="s">
        <v>56</v>
      </c>
      <c r="M120" s="501" t="s">
        <v>11</v>
      </c>
      <c r="N120" s="501" t="s">
        <v>333</v>
      </c>
      <c r="O120" s="891" t="s">
        <v>51</v>
      </c>
      <c r="P120" s="892"/>
      <c r="R120" s="339"/>
      <c r="S120" s="340"/>
    </row>
    <row r="121" spans="1:20" s="298" customFormat="1" ht="60" customHeight="1">
      <c r="A121" s="760">
        <v>4</v>
      </c>
      <c r="B121" s="763" t="s">
        <v>428</v>
      </c>
      <c r="C121" s="279">
        <v>1</v>
      </c>
      <c r="D121" s="237"/>
      <c r="E121" s="238"/>
      <c r="F121" s="239"/>
      <c r="G121" s="306"/>
      <c r="H121" s="305"/>
      <c r="I121" s="306"/>
      <c r="J121" s="312"/>
      <c r="K121" s="313"/>
      <c r="L121" s="314"/>
      <c r="M121" s="322">
        <f t="shared" ref="M121:M125" si="12">L121*J121</f>
        <v>0</v>
      </c>
      <c r="N121" s="314"/>
      <c r="O121" s="768"/>
      <c r="P121" s="893"/>
      <c r="R121" s="393"/>
      <c r="S121" s="395"/>
    </row>
    <row r="122" spans="1:20" s="298" customFormat="1" ht="60" customHeight="1">
      <c r="A122" s="761"/>
      <c r="B122" s="764"/>
      <c r="C122" s="279">
        <v>2</v>
      </c>
      <c r="D122" s="237"/>
      <c r="E122" s="238"/>
      <c r="F122" s="239"/>
      <c r="G122" s="306"/>
      <c r="H122" s="305"/>
      <c r="I122" s="306"/>
      <c r="J122" s="312"/>
      <c r="K122" s="313"/>
      <c r="L122" s="314"/>
      <c r="M122" s="322">
        <f t="shared" si="12"/>
        <v>0</v>
      </c>
      <c r="N122" s="314"/>
      <c r="O122" s="768"/>
      <c r="P122" s="893"/>
      <c r="R122" s="393"/>
      <c r="S122" s="394"/>
      <c r="T122" s="335"/>
    </row>
    <row r="123" spans="1:20" s="298" customFormat="1" ht="60" customHeight="1">
      <c r="A123" s="761"/>
      <c r="B123" s="764"/>
      <c r="C123" s="279">
        <v>3</v>
      </c>
      <c r="D123" s="237"/>
      <c r="E123" s="238"/>
      <c r="F123" s="239"/>
      <c r="G123" s="306"/>
      <c r="H123" s="305"/>
      <c r="I123" s="306"/>
      <c r="J123" s="312"/>
      <c r="K123" s="313"/>
      <c r="L123" s="314"/>
      <c r="M123" s="322">
        <f t="shared" si="12"/>
        <v>0</v>
      </c>
      <c r="N123" s="314"/>
      <c r="O123" s="770"/>
      <c r="P123" s="894"/>
      <c r="R123" s="393"/>
      <c r="S123" s="395"/>
    </row>
    <row r="124" spans="1:20" s="298" customFormat="1" ht="60" customHeight="1">
      <c r="A124" s="761"/>
      <c r="B124" s="764"/>
      <c r="C124" s="279">
        <v>4</v>
      </c>
      <c r="D124" s="237"/>
      <c r="E124" s="238"/>
      <c r="F124" s="239"/>
      <c r="G124" s="306"/>
      <c r="H124" s="305"/>
      <c r="I124" s="306"/>
      <c r="J124" s="312"/>
      <c r="K124" s="313"/>
      <c r="L124" s="314"/>
      <c r="M124" s="322">
        <f t="shared" si="12"/>
        <v>0</v>
      </c>
      <c r="N124" s="314"/>
      <c r="O124" s="770"/>
      <c r="P124" s="894"/>
      <c r="R124" s="393"/>
      <c r="S124" s="394"/>
      <c r="T124" s="335"/>
    </row>
    <row r="125" spans="1:20" s="298" customFormat="1" ht="60" customHeight="1" thickBot="1">
      <c r="A125" s="761"/>
      <c r="B125" s="764"/>
      <c r="C125" s="279">
        <v>5</v>
      </c>
      <c r="D125" s="237"/>
      <c r="E125" s="245"/>
      <c r="F125" s="246"/>
      <c r="G125" s="306"/>
      <c r="H125" s="305"/>
      <c r="I125" s="306"/>
      <c r="J125" s="316"/>
      <c r="K125" s="248"/>
      <c r="L125" s="317"/>
      <c r="M125" s="322">
        <f t="shared" si="12"/>
        <v>0</v>
      </c>
      <c r="N125" s="314"/>
      <c r="O125" s="770"/>
      <c r="P125" s="894"/>
      <c r="R125" s="396"/>
      <c r="S125" s="395"/>
      <c r="T125" s="289"/>
    </row>
    <row r="126" spans="1:20" ht="15.75" customHeight="1" thickTop="1" thickBot="1">
      <c r="A126" s="762"/>
      <c r="B126" s="765"/>
      <c r="C126" s="774"/>
      <c r="D126" s="775"/>
      <c r="E126" s="775"/>
      <c r="F126" s="775"/>
      <c r="G126" s="775"/>
      <c r="H126" s="775"/>
      <c r="I126" s="776"/>
      <c r="J126" s="347" t="s">
        <v>58</v>
      </c>
      <c r="K126" s="345">
        <f>M126/'生產管理報表 7-1 (週)'!$B$54</f>
        <v>0</v>
      </c>
      <c r="L126" s="348" t="s">
        <v>59</v>
      </c>
      <c r="M126" s="349">
        <f>SUM(M121:M125)</f>
        <v>0</v>
      </c>
      <c r="N126" s="777"/>
      <c r="O126" s="778"/>
      <c r="P126" s="882"/>
      <c r="R126" s="339"/>
      <c r="S126" s="339"/>
    </row>
    <row r="127" spans="1:20" ht="15.75" customHeight="1" thickTop="1">
      <c r="A127" s="509"/>
      <c r="M127" s="329"/>
      <c r="P127" s="510"/>
      <c r="S127" s="340"/>
    </row>
    <row r="128" spans="1:20" ht="15.75" customHeight="1">
      <c r="A128" s="750" t="s">
        <v>191</v>
      </c>
      <c r="B128" s="751"/>
      <c r="C128" s="275" t="s">
        <v>47</v>
      </c>
      <c r="D128" s="752" t="s">
        <v>12</v>
      </c>
      <c r="E128" s="753"/>
      <c r="F128" s="754"/>
      <c r="G128" s="755" t="s">
        <v>53</v>
      </c>
      <c r="H128" s="756"/>
      <c r="I128" s="757"/>
      <c r="J128" s="377" t="s">
        <v>54</v>
      </c>
      <c r="K128" s="276" t="s">
        <v>55</v>
      </c>
      <c r="L128" s="276" t="s">
        <v>56</v>
      </c>
      <c r="M128" s="330" t="s">
        <v>11</v>
      </c>
      <c r="N128" s="277" t="s">
        <v>333</v>
      </c>
      <c r="O128" s="758" t="s">
        <v>51</v>
      </c>
      <c r="P128" s="874"/>
      <c r="S128" s="339"/>
      <c r="T128" s="335"/>
    </row>
    <row r="129" spans="1:20" s="298" customFormat="1" ht="60" customHeight="1">
      <c r="A129" s="760">
        <v>5</v>
      </c>
      <c r="B129" s="780" t="s">
        <v>215</v>
      </c>
      <c r="C129" s="279">
        <v>1</v>
      </c>
      <c r="D129" s="237"/>
      <c r="E129" s="238"/>
      <c r="F129" s="239"/>
      <c r="G129" s="306"/>
      <c r="H129" s="305"/>
      <c r="I129" s="306"/>
      <c r="J129" s="312"/>
      <c r="K129" s="313"/>
      <c r="L129" s="314"/>
      <c r="M129" s="322">
        <f>L129*J129</f>
        <v>0</v>
      </c>
      <c r="N129" s="314"/>
      <c r="O129" s="835"/>
      <c r="P129" s="879"/>
      <c r="S129" s="395"/>
      <c r="T129" s="335"/>
    </row>
    <row r="130" spans="1:20" s="298" customFormat="1" ht="24.95" customHeight="1">
      <c r="A130" s="761"/>
      <c r="B130" s="781"/>
      <c r="C130" s="279">
        <v>2</v>
      </c>
      <c r="D130" s="237"/>
      <c r="E130" s="238"/>
      <c r="F130" s="239"/>
      <c r="G130" s="350"/>
      <c r="H130" s="305"/>
      <c r="I130" s="306"/>
      <c r="J130" s="312"/>
      <c r="K130" s="313"/>
      <c r="L130" s="314"/>
      <c r="M130" s="322">
        <f t="shared" ref="M130:M133" si="13">L130*J130</f>
        <v>0</v>
      </c>
      <c r="N130" s="314"/>
      <c r="O130" s="785"/>
      <c r="P130" s="880"/>
      <c r="S130" s="339"/>
      <c r="T130" s="336"/>
    </row>
    <row r="131" spans="1:20" ht="24.95" customHeight="1">
      <c r="A131" s="761"/>
      <c r="B131" s="781"/>
      <c r="C131" s="279">
        <v>3</v>
      </c>
      <c r="D131" s="237"/>
      <c r="E131" s="238"/>
      <c r="F131" s="239"/>
      <c r="G131" s="350"/>
      <c r="H131" s="305"/>
      <c r="I131" s="306"/>
      <c r="J131" s="312"/>
      <c r="K131" s="313"/>
      <c r="L131" s="314"/>
      <c r="M131" s="322">
        <f t="shared" si="13"/>
        <v>0</v>
      </c>
      <c r="N131" s="288"/>
      <c r="O131" s="807"/>
      <c r="P131" s="881"/>
    </row>
    <row r="132" spans="1:20" ht="24.95" customHeight="1">
      <c r="A132" s="761"/>
      <c r="B132" s="781"/>
      <c r="C132" s="279">
        <v>4</v>
      </c>
      <c r="D132" s="280"/>
      <c r="E132" s="281"/>
      <c r="F132" s="282"/>
      <c r="G132" s="350"/>
      <c r="H132" s="305"/>
      <c r="I132" s="306"/>
      <c r="J132" s="286"/>
      <c r="K132" s="287"/>
      <c r="L132" s="288"/>
      <c r="M132" s="322">
        <f t="shared" si="13"/>
        <v>0</v>
      </c>
      <c r="N132" s="288"/>
      <c r="O132" s="299"/>
      <c r="P132" s="511"/>
    </row>
    <row r="133" spans="1:20" ht="24.95" customHeight="1" thickBot="1">
      <c r="A133" s="761"/>
      <c r="B133" s="781"/>
      <c r="C133" s="279">
        <v>5</v>
      </c>
      <c r="D133" s="290"/>
      <c r="E133" s="291"/>
      <c r="F133" s="292"/>
      <c r="G133" s="350"/>
      <c r="H133" s="305"/>
      <c r="I133" s="306"/>
      <c r="J133" s="293"/>
      <c r="K133" s="248"/>
      <c r="L133" s="294"/>
      <c r="M133" s="322">
        <f t="shared" si="13"/>
        <v>0</v>
      </c>
      <c r="N133" s="288"/>
      <c r="O133" s="301"/>
      <c r="P133" s="512"/>
      <c r="R133" s="343"/>
    </row>
    <row r="134" spans="1:20" ht="15.75" customHeight="1" thickTop="1" thickBot="1">
      <c r="A134" s="762"/>
      <c r="B134" s="782"/>
      <c r="C134" s="789"/>
      <c r="D134" s="790"/>
      <c r="E134" s="790"/>
      <c r="F134" s="790"/>
      <c r="G134" s="790"/>
      <c r="H134" s="790"/>
      <c r="I134" s="791"/>
      <c r="J134" s="347" t="s">
        <v>58</v>
      </c>
      <c r="K134" s="345">
        <f>M134/'生產管理報表 7-1 (週)'!$B$54</f>
        <v>0</v>
      </c>
      <c r="L134" s="348" t="s">
        <v>59</v>
      </c>
      <c r="M134" s="349">
        <f>SUM(M129:M133)</f>
        <v>0</v>
      </c>
      <c r="N134" s="777"/>
      <c r="O134" s="778"/>
      <c r="P134" s="882"/>
      <c r="R134" s="339"/>
    </row>
    <row r="135" spans="1:20" ht="15.75" customHeight="1" thickTop="1">
      <c r="A135" s="509"/>
      <c r="K135" s="289" t="s">
        <v>456</v>
      </c>
      <c r="M135" s="329"/>
      <c r="P135" s="510"/>
      <c r="R135" s="339"/>
    </row>
    <row r="136" spans="1:20" ht="24.95" customHeight="1">
      <c r="A136" s="750" t="s">
        <v>191</v>
      </c>
      <c r="B136" s="751"/>
      <c r="C136" s="303" t="s">
        <v>47</v>
      </c>
      <c r="D136" s="794" t="s">
        <v>12</v>
      </c>
      <c r="E136" s="795"/>
      <c r="F136" s="796"/>
      <c r="G136" s="797" t="s">
        <v>53</v>
      </c>
      <c r="H136" s="798"/>
      <c r="I136" s="799"/>
      <c r="J136" s="304" t="s">
        <v>54</v>
      </c>
      <c r="K136" s="276" t="s">
        <v>55</v>
      </c>
      <c r="L136" s="276" t="s">
        <v>56</v>
      </c>
      <c r="M136" s="330" t="s">
        <v>11</v>
      </c>
      <c r="N136" s="277" t="s">
        <v>333</v>
      </c>
      <c r="O136" s="758" t="s">
        <v>51</v>
      </c>
      <c r="P136" s="874"/>
      <c r="R136" s="339"/>
    </row>
    <row r="137" spans="1:20" ht="60" customHeight="1">
      <c r="A137" s="760">
        <v>6</v>
      </c>
      <c r="B137" s="780" t="s">
        <v>216</v>
      </c>
      <c r="C137" s="279">
        <v>1</v>
      </c>
      <c r="D137" s="513"/>
      <c r="E137" s="281"/>
      <c r="F137" s="282"/>
      <c r="G137" s="306"/>
      <c r="H137" s="305"/>
      <c r="I137" s="306"/>
      <c r="J137" s="312"/>
      <c r="K137" s="313"/>
      <c r="L137" s="314"/>
      <c r="M137" s="322">
        <f t="shared" ref="M137:M141" si="14">L137*J137</f>
        <v>0</v>
      </c>
      <c r="N137" s="288"/>
      <c r="O137" s="772"/>
      <c r="P137" s="875"/>
      <c r="R137" s="336"/>
      <c r="S137" s="336"/>
    </row>
    <row r="138" spans="1:20" ht="60" customHeight="1">
      <c r="A138" s="761"/>
      <c r="B138" s="781"/>
      <c r="C138" s="279">
        <v>2</v>
      </c>
      <c r="D138" s="237"/>
      <c r="E138" s="281"/>
      <c r="F138" s="282"/>
      <c r="G138" s="306"/>
      <c r="H138" s="305"/>
      <c r="I138" s="306"/>
      <c r="J138" s="312"/>
      <c r="K138" s="313"/>
      <c r="L138" s="314"/>
      <c r="M138" s="322">
        <f t="shared" si="14"/>
        <v>0</v>
      </c>
      <c r="N138" s="288"/>
      <c r="O138" s="772"/>
      <c r="P138" s="875"/>
      <c r="R138" s="336"/>
      <c r="S138" s="336"/>
    </row>
    <row r="139" spans="1:20" ht="60" customHeight="1">
      <c r="A139" s="761"/>
      <c r="B139" s="781"/>
      <c r="C139" s="279">
        <v>3</v>
      </c>
      <c r="D139" s="237"/>
      <c r="E139" s="281"/>
      <c r="F139" s="282"/>
      <c r="G139" s="306"/>
      <c r="H139" s="305"/>
      <c r="I139" s="306"/>
      <c r="J139" s="312"/>
      <c r="K139" s="313"/>
      <c r="L139" s="314"/>
      <c r="M139" s="322">
        <f t="shared" si="14"/>
        <v>0</v>
      </c>
      <c r="N139" s="288"/>
      <c r="O139" s="772"/>
      <c r="P139" s="875"/>
      <c r="R139" s="336"/>
    </row>
    <row r="140" spans="1:20" ht="60" customHeight="1">
      <c r="A140" s="761"/>
      <c r="B140" s="781"/>
      <c r="C140" s="279">
        <v>4</v>
      </c>
      <c r="D140" s="237"/>
      <c r="E140" s="281"/>
      <c r="F140" s="282"/>
      <c r="G140" s="306"/>
      <c r="H140" s="305"/>
      <c r="I140" s="306"/>
      <c r="J140" s="312"/>
      <c r="K140" s="313"/>
      <c r="L140" s="314"/>
      <c r="M140" s="322">
        <f t="shared" si="14"/>
        <v>0</v>
      </c>
      <c r="N140" s="288"/>
      <c r="O140" s="772"/>
      <c r="P140" s="875"/>
      <c r="R140" s="336"/>
      <c r="S140" s="336"/>
    </row>
    <row r="141" spans="1:20" ht="60" customHeight="1" thickBot="1">
      <c r="A141" s="761"/>
      <c r="B141" s="781"/>
      <c r="C141" s="279">
        <v>5</v>
      </c>
      <c r="D141" s="244"/>
      <c r="E141" s="291"/>
      <c r="F141" s="292"/>
      <c r="G141" s="306"/>
      <c r="H141" s="305"/>
      <c r="I141" s="306"/>
      <c r="J141" s="316"/>
      <c r="K141" s="248"/>
      <c r="L141" s="317"/>
      <c r="M141" s="322">
        <f t="shared" si="14"/>
        <v>0</v>
      </c>
      <c r="N141" s="288"/>
      <c r="O141" s="772"/>
      <c r="P141" s="875"/>
    </row>
    <row r="142" spans="1:20" ht="15.75" customHeight="1" thickTop="1" thickBot="1">
      <c r="A142" s="762"/>
      <c r="B142" s="782"/>
      <c r="C142" s="789"/>
      <c r="D142" s="790"/>
      <c r="E142" s="790"/>
      <c r="F142" s="790"/>
      <c r="G142" s="790"/>
      <c r="H142" s="790"/>
      <c r="I142" s="791"/>
      <c r="J142" s="514" t="s">
        <v>58</v>
      </c>
      <c r="K142" s="345">
        <f>M142/'生產管理報表 7-1 (週)'!$B$54</f>
        <v>0</v>
      </c>
      <c r="L142" s="516" t="s">
        <v>59</v>
      </c>
      <c r="M142" s="517">
        <f>SUM(M137:M141)</f>
        <v>0</v>
      </c>
      <c r="N142" s="876"/>
      <c r="O142" s="877"/>
      <c r="P142" s="878"/>
    </row>
    <row r="143" spans="1:20" ht="15.75" customHeight="1" thickTop="1"/>
  </sheetData>
  <mergeCells count="266"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B90:C90"/>
    <mergeCell ref="D90:E90"/>
    <mergeCell ref="F90:G90"/>
    <mergeCell ref="H90:I90"/>
    <mergeCell ref="J90:K90"/>
    <mergeCell ref="L90:M90"/>
    <mergeCell ref="N90:O9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B62:C62"/>
    <mergeCell ref="D62:E62"/>
    <mergeCell ref="F62:G62"/>
    <mergeCell ref="H62:I62"/>
    <mergeCell ref="J62:K62"/>
    <mergeCell ref="L62:M62"/>
    <mergeCell ref="N62:O62"/>
    <mergeCell ref="N34:O34"/>
    <mergeCell ref="A36:B36"/>
    <mergeCell ref="D36:F36"/>
    <mergeCell ref="G36:I36"/>
    <mergeCell ref="O36:P36"/>
    <mergeCell ref="A1:P2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B34:C34"/>
    <mergeCell ref="D34:E34"/>
    <mergeCell ref="F34:G34"/>
    <mergeCell ref="H34:I34"/>
    <mergeCell ref="J34:K34"/>
    <mergeCell ref="L34:M34"/>
    <mergeCell ref="A3:M4"/>
    <mergeCell ref="A5:A6"/>
    <mergeCell ref="B5:C5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B118:C118"/>
    <mergeCell ref="D118:E118"/>
    <mergeCell ref="F118:G118"/>
    <mergeCell ref="H118:I118"/>
    <mergeCell ref="J118:K118"/>
    <mergeCell ref="L118:M118"/>
    <mergeCell ref="N118:O118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C134:I134"/>
    <mergeCell ref="N134:P134"/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3" manualBreakCount="3">
    <brk id="30" max="15" man="1"/>
    <brk id="58" max="15" man="1"/>
    <brk id="86" max="1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>
    <tabColor rgb="FF92D050"/>
    <outlinePr summaryBelow="0" summaryRight="0"/>
  </sheetPr>
  <dimension ref="A1:Q20"/>
  <sheetViews>
    <sheetView view="pageBreakPreview" topLeftCell="A7" zoomScale="115" zoomScaleNormal="60" zoomScaleSheetLayoutView="115" workbookViewId="0">
      <selection activeCell="S27" sqref="S27"/>
    </sheetView>
  </sheetViews>
  <sheetFormatPr defaultColWidth="12.5703125" defaultRowHeight="15.75" customHeight="1"/>
  <cols>
    <col min="1" max="1" width="5.42578125" style="98" customWidth="1"/>
    <col min="2" max="2" width="7.85546875" style="132" customWidth="1"/>
    <col min="3" max="3" width="4" style="129" customWidth="1"/>
    <col min="4" max="17" width="8.5703125" style="98" customWidth="1"/>
    <col min="18" max="16384" width="12.5703125" style="98"/>
  </cols>
  <sheetData>
    <row r="1" spans="1:17" ht="15.75" customHeight="1">
      <c r="A1" s="547" t="s">
        <v>361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547"/>
      <c r="P1" s="547"/>
      <c r="Q1" s="547"/>
    </row>
    <row r="2" spans="1:17" s="99" customFormat="1" ht="15.75" customHeight="1">
      <c r="A2" s="547"/>
      <c r="B2" s="547"/>
      <c r="C2" s="547"/>
      <c r="D2" s="547"/>
      <c r="E2" s="547"/>
      <c r="F2" s="547"/>
      <c r="G2" s="547"/>
      <c r="H2" s="547"/>
      <c r="I2" s="547"/>
      <c r="J2" s="547"/>
      <c r="K2" s="547"/>
      <c r="L2" s="547"/>
      <c r="M2" s="547"/>
      <c r="N2" s="547"/>
      <c r="O2" s="547"/>
      <c r="P2" s="547"/>
      <c r="Q2" s="547"/>
    </row>
    <row r="3" spans="1:17" ht="15.75" customHeight="1">
      <c r="A3" s="685" t="s">
        <v>382</v>
      </c>
      <c r="B3" s="685"/>
      <c r="C3" s="685"/>
      <c r="D3" s="685"/>
      <c r="E3" s="685"/>
      <c r="F3" s="685"/>
      <c r="G3" s="685"/>
      <c r="H3" s="685"/>
      <c r="I3" s="685"/>
      <c r="J3" s="685"/>
      <c r="K3" s="685"/>
      <c r="L3" s="685"/>
      <c r="M3" s="685"/>
      <c r="N3" s="685"/>
      <c r="O3" s="685"/>
      <c r="P3" s="685"/>
      <c r="Q3" s="685"/>
    </row>
    <row r="4" spans="1:17" s="99" customFormat="1" ht="15.75" customHeight="1">
      <c r="A4" s="908"/>
      <c r="B4" s="908"/>
      <c r="C4" s="908"/>
      <c r="D4" s="908"/>
      <c r="E4" s="908"/>
      <c r="F4" s="908"/>
      <c r="G4" s="908"/>
      <c r="H4" s="908"/>
      <c r="I4" s="908"/>
      <c r="J4" s="908"/>
      <c r="K4" s="908"/>
      <c r="L4" s="908"/>
      <c r="M4" s="908"/>
      <c r="N4" s="908"/>
      <c r="O4" s="908"/>
      <c r="P4" s="908"/>
      <c r="Q4" s="908"/>
    </row>
    <row r="5" spans="1:17" ht="15.75" customHeight="1">
      <c r="A5" s="590" t="s">
        <v>191</v>
      </c>
      <c r="B5" s="907">
        <v>1</v>
      </c>
      <c r="C5" s="907"/>
      <c r="D5" s="907">
        <v>2</v>
      </c>
      <c r="E5" s="907"/>
      <c r="F5" s="907">
        <v>3</v>
      </c>
      <c r="G5" s="907"/>
      <c r="H5" s="907">
        <v>4</v>
      </c>
      <c r="I5" s="907"/>
      <c r="J5" s="907">
        <v>5</v>
      </c>
      <c r="K5" s="907"/>
      <c r="L5" s="907">
        <v>6</v>
      </c>
      <c r="M5" s="907"/>
      <c r="N5" s="907">
        <v>7</v>
      </c>
      <c r="O5" s="907"/>
      <c r="P5" s="909">
        <v>8</v>
      </c>
      <c r="Q5" s="909"/>
    </row>
    <row r="6" spans="1:17" ht="15.75" customHeight="1">
      <c r="A6" s="590"/>
      <c r="B6" s="590" t="s">
        <v>251</v>
      </c>
      <c r="C6" s="590"/>
      <c r="D6" s="590" t="s">
        <v>338</v>
      </c>
      <c r="E6" s="590"/>
      <c r="F6" s="590" t="s">
        <v>166</v>
      </c>
      <c r="G6" s="590"/>
      <c r="H6" s="590" t="s">
        <v>428</v>
      </c>
      <c r="I6" s="590"/>
      <c r="J6" s="590" t="s">
        <v>189</v>
      </c>
      <c r="K6" s="590"/>
      <c r="L6" s="590" t="s">
        <v>167</v>
      </c>
      <c r="M6" s="590"/>
      <c r="N6" s="590" t="s">
        <v>190</v>
      </c>
      <c r="O6" s="590"/>
      <c r="P6" s="906" t="s">
        <v>218</v>
      </c>
      <c r="Q6" s="906"/>
    </row>
    <row r="8" spans="1:17" s="105" customFormat="1" ht="15.75" customHeight="1">
      <c r="A8" s="130" t="s">
        <v>193</v>
      </c>
      <c r="B8" s="130" t="s">
        <v>18</v>
      </c>
      <c r="C8" s="903" t="s">
        <v>12</v>
      </c>
      <c r="D8" s="903"/>
      <c r="E8" s="903"/>
      <c r="F8" s="903" t="s">
        <v>53</v>
      </c>
      <c r="G8" s="903"/>
      <c r="H8" s="903"/>
      <c r="I8" s="130" t="s">
        <v>54</v>
      </c>
      <c r="J8" s="133" t="s">
        <v>19</v>
      </c>
      <c r="K8" s="130" t="s">
        <v>57</v>
      </c>
      <c r="L8" s="130" t="s">
        <v>2</v>
      </c>
      <c r="M8" s="903" t="s">
        <v>50</v>
      </c>
      <c r="N8" s="903"/>
      <c r="O8" s="903"/>
      <c r="P8" s="903"/>
      <c r="Q8" s="903"/>
    </row>
    <row r="9" spans="1:17" ht="15.75" customHeight="1">
      <c r="A9" s="903" t="s">
        <v>192</v>
      </c>
      <c r="B9" s="128">
        <v>1</v>
      </c>
      <c r="C9" s="901"/>
      <c r="D9" s="902"/>
      <c r="E9" s="902"/>
      <c r="F9" s="901"/>
      <c r="G9" s="902"/>
      <c r="H9" s="902"/>
      <c r="I9" s="107"/>
      <c r="J9" s="117"/>
      <c r="K9" s="117"/>
      <c r="L9" s="134">
        <f t="shared" ref="L9:L13" si="0">K9-J9</f>
        <v>0</v>
      </c>
      <c r="M9" s="901"/>
      <c r="N9" s="901"/>
      <c r="O9" s="901"/>
      <c r="P9" s="901"/>
      <c r="Q9" s="901"/>
    </row>
    <row r="10" spans="1:17" ht="15.75" customHeight="1">
      <c r="A10" s="903"/>
      <c r="B10" s="128">
        <v>2</v>
      </c>
      <c r="C10" s="901"/>
      <c r="D10" s="902"/>
      <c r="E10" s="902"/>
      <c r="F10" s="901"/>
      <c r="G10" s="902"/>
      <c r="H10" s="902"/>
      <c r="I10" s="107"/>
      <c r="J10" s="117"/>
      <c r="K10" s="117"/>
      <c r="L10" s="134">
        <f t="shared" si="0"/>
        <v>0</v>
      </c>
      <c r="M10" s="901"/>
      <c r="N10" s="901"/>
      <c r="O10" s="901"/>
      <c r="P10" s="901"/>
      <c r="Q10" s="901"/>
    </row>
    <row r="11" spans="1:17" ht="15.75" customHeight="1">
      <c r="A11" s="903"/>
      <c r="B11" s="128">
        <v>3</v>
      </c>
      <c r="C11" s="901"/>
      <c r="D11" s="902"/>
      <c r="E11" s="902"/>
      <c r="F11" s="901"/>
      <c r="G11" s="902"/>
      <c r="H11" s="902"/>
      <c r="I11" s="107"/>
      <c r="J11" s="117"/>
      <c r="K11" s="117"/>
      <c r="L11" s="134">
        <f t="shared" si="0"/>
        <v>0</v>
      </c>
      <c r="M11" s="901"/>
      <c r="N11" s="901"/>
      <c r="O11" s="901"/>
      <c r="P11" s="901"/>
      <c r="Q11" s="901"/>
    </row>
    <row r="12" spans="1:17" ht="15.75" customHeight="1">
      <c r="A12" s="903"/>
      <c r="B12" s="128">
        <v>4</v>
      </c>
      <c r="C12" s="901"/>
      <c r="D12" s="902"/>
      <c r="E12" s="902"/>
      <c r="F12" s="901"/>
      <c r="G12" s="902"/>
      <c r="H12" s="902"/>
      <c r="I12" s="107"/>
      <c r="J12" s="117"/>
      <c r="K12" s="117"/>
      <c r="L12" s="134">
        <f t="shared" si="0"/>
        <v>0</v>
      </c>
      <c r="M12" s="901"/>
      <c r="N12" s="901"/>
      <c r="O12" s="901"/>
      <c r="P12" s="901"/>
      <c r="Q12" s="901"/>
    </row>
    <row r="13" spans="1:17" ht="15.75" customHeight="1">
      <c r="A13" s="903"/>
      <c r="B13" s="128">
        <v>5</v>
      </c>
      <c r="C13" s="901"/>
      <c r="D13" s="902"/>
      <c r="E13" s="902"/>
      <c r="F13" s="901"/>
      <c r="G13" s="902"/>
      <c r="H13" s="902"/>
      <c r="I13" s="107"/>
      <c r="J13" s="117"/>
      <c r="K13" s="117"/>
      <c r="L13" s="134">
        <f t="shared" si="0"/>
        <v>0</v>
      </c>
      <c r="M13" s="901"/>
      <c r="N13" s="901"/>
      <c r="O13" s="901"/>
      <c r="P13" s="901"/>
      <c r="Q13" s="901"/>
    </row>
    <row r="14" spans="1:17" ht="15.75" customHeight="1">
      <c r="A14" s="904"/>
      <c r="B14" s="904"/>
      <c r="C14" s="904"/>
      <c r="D14" s="904"/>
      <c r="E14" s="904"/>
      <c r="F14" s="904"/>
      <c r="G14" s="904"/>
      <c r="H14" s="904"/>
      <c r="I14" s="904"/>
      <c r="J14" s="904"/>
      <c r="K14" s="904"/>
      <c r="L14" s="904"/>
      <c r="M14" s="904"/>
      <c r="N14" s="904"/>
      <c r="O14" s="905"/>
    </row>
    <row r="15" spans="1:17" s="105" customFormat="1" ht="15.75" customHeight="1">
      <c r="A15" s="130" t="s">
        <v>193</v>
      </c>
      <c r="B15" s="130" t="s">
        <v>18</v>
      </c>
      <c r="C15" s="903" t="s">
        <v>12</v>
      </c>
      <c r="D15" s="903"/>
      <c r="E15" s="903"/>
      <c r="F15" s="903" t="s">
        <v>53</v>
      </c>
      <c r="G15" s="903"/>
      <c r="H15" s="903"/>
      <c r="I15" s="130" t="s">
        <v>54</v>
      </c>
      <c r="J15" s="133" t="s">
        <v>19</v>
      </c>
      <c r="K15" s="130" t="s">
        <v>57</v>
      </c>
      <c r="L15" s="130" t="s">
        <v>2</v>
      </c>
      <c r="M15" s="903" t="s">
        <v>50</v>
      </c>
      <c r="N15" s="903"/>
      <c r="O15" s="903"/>
      <c r="P15" s="903"/>
      <c r="Q15" s="903"/>
    </row>
    <row r="16" spans="1:17" ht="15.75" customHeight="1">
      <c r="A16" s="903" t="s">
        <v>194</v>
      </c>
      <c r="B16" s="128">
        <v>1</v>
      </c>
      <c r="C16" s="901"/>
      <c r="D16" s="902"/>
      <c r="E16" s="902"/>
      <c r="F16" s="901"/>
      <c r="G16" s="902"/>
      <c r="H16" s="902"/>
      <c r="I16" s="107"/>
      <c r="J16" s="117"/>
      <c r="K16" s="117"/>
      <c r="L16" s="134">
        <f t="shared" ref="L16:L19" si="1">K16-J16</f>
        <v>0</v>
      </c>
      <c r="M16" s="901"/>
      <c r="N16" s="901"/>
      <c r="O16" s="901"/>
      <c r="P16" s="901"/>
      <c r="Q16" s="901"/>
    </row>
    <row r="17" spans="1:17" ht="15.75" customHeight="1">
      <c r="A17" s="903"/>
      <c r="B17" s="128">
        <v>2</v>
      </c>
      <c r="C17" s="901"/>
      <c r="D17" s="902"/>
      <c r="E17" s="902"/>
      <c r="F17" s="901"/>
      <c r="G17" s="902"/>
      <c r="H17" s="902"/>
      <c r="I17" s="107"/>
      <c r="J17" s="117"/>
      <c r="K17" s="117"/>
      <c r="L17" s="134">
        <f t="shared" si="1"/>
        <v>0</v>
      </c>
      <c r="M17" s="901"/>
      <c r="N17" s="901"/>
      <c r="O17" s="901"/>
      <c r="P17" s="901"/>
      <c r="Q17" s="901"/>
    </row>
    <row r="18" spans="1:17" ht="15.75" customHeight="1">
      <c r="A18" s="903"/>
      <c r="B18" s="128">
        <v>3</v>
      </c>
      <c r="C18" s="901"/>
      <c r="D18" s="902"/>
      <c r="E18" s="902"/>
      <c r="F18" s="901"/>
      <c r="G18" s="902"/>
      <c r="H18" s="902"/>
      <c r="I18" s="107"/>
      <c r="J18" s="117"/>
      <c r="K18" s="117"/>
      <c r="L18" s="134">
        <f t="shared" si="1"/>
        <v>0</v>
      </c>
      <c r="M18" s="901"/>
      <c r="N18" s="901"/>
      <c r="O18" s="901"/>
      <c r="P18" s="901"/>
      <c r="Q18" s="901"/>
    </row>
    <row r="19" spans="1:17" ht="15.75" customHeight="1">
      <c r="A19" s="903"/>
      <c r="B19" s="128">
        <v>4</v>
      </c>
      <c r="C19" s="901"/>
      <c r="D19" s="902"/>
      <c r="E19" s="902"/>
      <c r="F19" s="901"/>
      <c r="G19" s="902"/>
      <c r="H19" s="902"/>
      <c r="I19" s="107"/>
      <c r="J19" s="117"/>
      <c r="K19" s="117"/>
      <c r="L19" s="134">
        <f t="shared" si="1"/>
        <v>0</v>
      </c>
      <c r="M19" s="901"/>
      <c r="N19" s="901"/>
      <c r="O19" s="901"/>
      <c r="P19" s="901"/>
      <c r="Q19" s="901"/>
    </row>
    <row r="20" spans="1:17" ht="15.75" customHeight="1">
      <c r="A20" s="903"/>
      <c r="B20" s="128">
        <v>5</v>
      </c>
      <c r="C20" s="901"/>
      <c r="D20" s="902"/>
      <c r="E20" s="902"/>
      <c r="F20" s="901"/>
      <c r="G20" s="902"/>
      <c r="H20" s="902"/>
      <c r="I20" s="107"/>
      <c r="J20" s="117"/>
      <c r="K20" s="117"/>
      <c r="L20" s="134">
        <f>K20-J20</f>
        <v>0</v>
      </c>
      <c r="M20" s="901"/>
      <c r="N20" s="901"/>
      <c r="O20" s="901"/>
      <c r="P20" s="901"/>
      <c r="Q20" s="901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>
    <tabColor rgb="FFFFFFCC"/>
  </sheetPr>
  <dimension ref="A1:AG49"/>
  <sheetViews>
    <sheetView zoomScale="70" zoomScaleNormal="70" workbookViewId="0">
      <selection activeCell="E3" sqref="E3"/>
    </sheetView>
  </sheetViews>
  <sheetFormatPr defaultColWidth="10.140625" defaultRowHeight="15.75"/>
  <cols>
    <col min="1" max="4" width="25.7109375" style="471" customWidth="1"/>
    <col min="5" max="5" width="33.7109375" style="471" customWidth="1"/>
    <col min="6" max="6" width="25.7109375" style="471" customWidth="1"/>
    <col min="7" max="7" width="33.7109375" style="471" customWidth="1"/>
    <col min="8" max="11" width="25.7109375" style="471" customWidth="1"/>
    <col min="12" max="12" width="26.42578125" style="471" bestFit="1" customWidth="1"/>
    <col min="13" max="14" width="26.42578125" style="471" customWidth="1"/>
    <col min="15" max="15" width="26.140625" style="471" bestFit="1" customWidth="1"/>
    <col min="16" max="16" width="10.140625" style="471"/>
    <col min="17" max="18" width="13.7109375" style="471" bestFit="1" customWidth="1"/>
    <col min="19" max="20" width="10.140625" style="471"/>
    <col min="21" max="21" width="15.140625" style="471" bestFit="1" customWidth="1"/>
    <col min="22" max="23" width="10.140625" style="471"/>
    <col min="24" max="24" width="13.7109375" style="471" bestFit="1" customWidth="1"/>
    <col min="25" max="26" width="10.140625" style="471"/>
    <col min="27" max="27" width="15.140625" style="471" bestFit="1" customWidth="1"/>
    <col min="28" max="29" width="10.140625" style="471"/>
    <col min="30" max="30" width="13.7109375" style="471" bestFit="1" customWidth="1"/>
    <col min="31" max="32" width="10.140625" style="471"/>
    <col min="33" max="33" width="15.140625" style="471" bestFit="1" customWidth="1"/>
    <col min="34" max="16384" width="10.140625" style="471"/>
  </cols>
  <sheetData>
    <row r="1" spans="1:33" ht="27">
      <c r="A1" s="912" t="s">
        <v>565</v>
      </c>
      <c r="B1" s="912"/>
      <c r="C1" s="912"/>
      <c r="D1" s="912"/>
      <c r="E1" s="912"/>
      <c r="F1" s="912"/>
      <c r="G1" s="912"/>
      <c r="H1" s="912"/>
      <c r="I1" s="912"/>
      <c r="J1" s="912"/>
      <c r="K1" s="470"/>
      <c r="L1" s="470"/>
      <c r="M1" s="470"/>
      <c r="N1" s="470"/>
      <c r="O1" s="470"/>
      <c r="P1" s="470"/>
      <c r="Q1" s="470"/>
      <c r="R1" s="470"/>
      <c r="S1" s="470"/>
      <c r="T1" s="470"/>
      <c r="U1" s="470"/>
      <c r="V1" s="470"/>
    </row>
    <row r="2" spans="1:33" ht="48">
      <c r="A2" s="913" t="s">
        <v>754</v>
      </c>
      <c r="B2" s="915">
        <f>SUM(C13:C43)</f>
        <v>400249.67920000001</v>
      </c>
      <c r="C2" s="913" t="s">
        <v>755</v>
      </c>
      <c r="D2" s="917">
        <f>B2/B48</f>
        <v>2.0073847980904545E-3</v>
      </c>
      <c r="E2" s="473" t="s">
        <v>756</v>
      </c>
      <c r="F2" s="474" t="s">
        <v>757</v>
      </c>
      <c r="G2" s="475" t="s">
        <v>758</v>
      </c>
      <c r="H2" s="476" t="s">
        <v>759</v>
      </c>
      <c r="I2" s="919" t="s">
        <v>760</v>
      </c>
      <c r="J2" s="919" t="s">
        <v>761</v>
      </c>
      <c r="K2" s="470"/>
      <c r="L2" s="449"/>
      <c r="M2" s="470"/>
      <c r="N2" s="470"/>
      <c r="O2" s="470"/>
      <c r="P2" s="470"/>
      <c r="Q2" s="470"/>
      <c r="R2" s="470"/>
      <c r="S2" s="470"/>
      <c r="T2" s="470"/>
      <c r="U2" s="470"/>
      <c r="V2" s="470"/>
    </row>
    <row r="3" spans="1:33" ht="24">
      <c r="A3" s="914"/>
      <c r="B3" s="916"/>
      <c r="C3" s="914"/>
      <c r="D3" s="918"/>
      <c r="E3" s="472">
        <f>SUM(E13:E43)</f>
        <v>1199544.5157699999</v>
      </c>
      <c r="F3" s="477">
        <f>E3/B48</f>
        <v>6.0161133180727687E-3</v>
      </c>
      <c r="G3" s="478">
        <f>SUM(G13:G43)</f>
        <v>799294.83656999969</v>
      </c>
      <c r="H3" s="479">
        <f>G3/B48</f>
        <v>4.0087285199823137E-3</v>
      </c>
      <c r="I3" s="920"/>
      <c r="J3" s="920"/>
      <c r="K3" s="480"/>
      <c r="L3" s="481"/>
      <c r="M3" s="470"/>
      <c r="N3" s="470"/>
      <c r="O3" s="470"/>
      <c r="P3" s="470"/>
      <c r="Q3" s="470"/>
      <c r="R3" s="470"/>
      <c r="S3" s="470"/>
      <c r="T3" s="470"/>
      <c r="U3" s="470"/>
      <c r="V3" s="470"/>
    </row>
    <row r="4" spans="1:33" ht="37.5" customHeight="1">
      <c r="A4" s="482" t="s">
        <v>762</v>
      </c>
      <c r="B4" s="482" t="s">
        <v>135</v>
      </c>
      <c r="C4" s="482" t="s">
        <v>763</v>
      </c>
      <c r="D4" s="482" t="s">
        <v>764</v>
      </c>
      <c r="E4" s="482" t="s">
        <v>765</v>
      </c>
      <c r="F4" s="482" t="s">
        <v>766</v>
      </c>
      <c r="G4" s="483" t="s">
        <v>767</v>
      </c>
      <c r="H4" s="483" t="s">
        <v>768</v>
      </c>
      <c r="I4" s="921"/>
      <c r="J4" s="921"/>
      <c r="K4" s="470"/>
      <c r="L4" s="449"/>
      <c r="M4" s="450"/>
      <c r="N4" s="449"/>
      <c r="O4" s="484"/>
      <c r="P4" s="449"/>
      <c r="Q4" s="450"/>
      <c r="R4" s="485"/>
      <c r="S4" s="470"/>
      <c r="T4" s="470"/>
      <c r="U4" s="485"/>
      <c r="V4" s="470"/>
      <c r="X4" s="486"/>
      <c r="AA4" s="486"/>
      <c r="AD4" s="486"/>
      <c r="AG4" s="486"/>
    </row>
    <row r="5" spans="1:33" s="495" customFormat="1" ht="19.5" customHeight="1">
      <c r="A5" s="487">
        <v>46196</v>
      </c>
      <c r="B5" s="488">
        <v>7449467.7599999998</v>
      </c>
      <c r="C5" s="489">
        <v>15006.648499999992</v>
      </c>
      <c r="D5" s="490">
        <f t="shared" ref="D5:D46" si="0">C5/B5</f>
        <v>2.0144591511058493E-3</v>
      </c>
      <c r="E5" s="489">
        <v>45326.036800000002</v>
      </c>
      <c r="F5" s="491">
        <f t="shared" ref="F5:F46" si="1">E5/B5</f>
        <v>6.0844664693199511E-3</v>
      </c>
      <c r="G5" s="492">
        <f>E5-C5</f>
        <v>30319.38830000001</v>
      </c>
      <c r="H5" s="493">
        <f t="shared" ref="H5:H10" si="2">G5/B5</f>
        <v>4.0700073182141014E-3</v>
      </c>
      <c r="I5" s="910">
        <f>SUM(C5:C11)</f>
        <v>93627.815799999982</v>
      </c>
      <c r="J5" s="910">
        <f>SUM(E5:E11)</f>
        <v>281657.45449999999</v>
      </c>
      <c r="K5" s="470"/>
      <c r="L5" s="470"/>
      <c r="M5" s="470"/>
      <c r="N5" s="470"/>
      <c r="O5" s="494"/>
      <c r="P5" s="494"/>
      <c r="Q5" s="494"/>
      <c r="R5" s="494"/>
      <c r="S5" s="494"/>
      <c r="T5" s="494"/>
      <c r="U5" s="494"/>
      <c r="V5" s="494"/>
    </row>
    <row r="6" spans="1:33" s="495" customFormat="1" ht="19.5" customHeight="1">
      <c r="A6" s="487">
        <f>A5+1</f>
        <v>46197</v>
      </c>
      <c r="B6" s="488">
        <v>6989716.1500000004</v>
      </c>
      <c r="C6" s="489">
        <v>14037.559799999995</v>
      </c>
      <c r="D6" s="490">
        <f t="shared" si="0"/>
        <v>2.0083161459997193E-3</v>
      </c>
      <c r="E6" s="489">
        <v>42287.341700000019</v>
      </c>
      <c r="F6" s="491">
        <f t="shared" si="1"/>
        <v>6.0499369062361735E-3</v>
      </c>
      <c r="G6" s="492">
        <f t="shared" ref="G6:G10" si="3">E6-C6</f>
        <v>28249.781900000024</v>
      </c>
      <c r="H6" s="493">
        <f t="shared" si="2"/>
        <v>4.0416207602364546E-3</v>
      </c>
      <c r="I6" s="910"/>
      <c r="J6" s="910"/>
      <c r="K6" s="470"/>
      <c r="L6" s="470"/>
      <c r="M6" s="470"/>
      <c r="N6" s="470"/>
      <c r="O6" s="494"/>
      <c r="P6" s="494"/>
      <c r="Q6" s="494"/>
      <c r="R6" s="494"/>
      <c r="S6" s="494"/>
      <c r="T6" s="494"/>
      <c r="U6" s="494"/>
      <c r="V6" s="494"/>
    </row>
    <row r="7" spans="1:33" s="495" customFormat="1" ht="19.5" customHeight="1">
      <c r="A7" s="487">
        <f t="shared" ref="A7:A46" si="4">A6+1</f>
        <v>46198</v>
      </c>
      <c r="B7" s="488">
        <v>6448640.1000000006</v>
      </c>
      <c r="C7" s="489">
        <v>12908.202599999995</v>
      </c>
      <c r="D7" s="490">
        <f t="shared" si="0"/>
        <v>2.0016937524548772E-3</v>
      </c>
      <c r="E7" s="489">
        <v>38822.113600000012</v>
      </c>
      <c r="F7" s="491">
        <f t="shared" si="1"/>
        <v>6.0202016235950291E-3</v>
      </c>
      <c r="G7" s="492">
        <f t="shared" si="3"/>
        <v>25913.911000000015</v>
      </c>
      <c r="H7" s="493">
        <f t="shared" si="2"/>
        <v>4.0185078711401515E-3</v>
      </c>
      <c r="I7" s="910"/>
      <c r="J7" s="910"/>
      <c r="K7" s="470"/>
      <c r="L7" s="470"/>
      <c r="M7" s="470"/>
      <c r="N7" s="470"/>
      <c r="O7" s="494"/>
      <c r="P7" s="494"/>
      <c r="Q7" s="494"/>
      <c r="R7" s="494"/>
      <c r="S7" s="494"/>
      <c r="T7" s="494"/>
      <c r="U7" s="494"/>
      <c r="V7" s="494"/>
    </row>
    <row r="8" spans="1:33" s="495" customFormat="1" ht="19.5" customHeight="1">
      <c r="A8" s="487">
        <f t="shared" si="4"/>
        <v>46199</v>
      </c>
      <c r="B8" s="488">
        <v>5352556.66</v>
      </c>
      <c r="C8" s="489">
        <v>10703.473600000003</v>
      </c>
      <c r="D8" s="490">
        <f t="shared" si="0"/>
        <v>1.9996936566758364E-3</v>
      </c>
      <c r="E8" s="489">
        <v>32177.576800000006</v>
      </c>
      <c r="F8" s="491">
        <f t="shared" si="1"/>
        <v>6.0116274976526832E-3</v>
      </c>
      <c r="G8" s="492">
        <f t="shared" si="3"/>
        <v>21474.103200000005</v>
      </c>
      <c r="H8" s="493">
        <f t="shared" si="2"/>
        <v>4.0119338409768468E-3</v>
      </c>
      <c r="I8" s="910"/>
      <c r="J8" s="910"/>
      <c r="K8" s="470"/>
      <c r="L8" s="470"/>
      <c r="M8" s="470"/>
      <c r="N8" s="470"/>
      <c r="O8" s="494"/>
      <c r="P8" s="494"/>
      <c r="Q8" s="494"/>
      <c r="R8" s="494"/>
      <c r="S8" s="494"/>
      <c r="T8" s="494"/>
      <c r="U8" s="494"/>
      <c r="V8" s="494"/>
    </row>
    <row r="9" spans="1:33" s="495" customFormat="1" ht="19.5" customHeight="1">
      <c r="A9" s="487">
        <f t="shared" si="4"/>
        <v>46200</v>
      </c>
      <c r="B9" s="488">
        <v>5770317.1100000003</v>
      </c>
      <c r="C9" s="489">
        <v>11553.129899999994</v>
      </c>
      <c r="D9" s="490">
        <f t="shared" si="0"/>
        <v>2.0021655101031344E-3</v>
      </c>
      <c r="E9" s="489">
        <v>34715.205099999992</v>
      </c>
      <c r="F9" s="491">
        <f t="shared" si="1"/>
        <v>6.0161693782544981E-3</v>
      </c>
      <c r="G9" s="492">
        <f t="shared" si="3"/>
        <v>23162.075199999999</v>
      </c>
      <c r="H9" s="493">
        <f t="shared" si="2"/>
        <v>4.0140038681513637E-3</v>
      </c>
      <c r="I9" s="910"/>
      <c r="J9" s="910"/>
      <c r="K9" s="470"/>
      <c r="L9" s="470"/>
      <c r="M9" s="470"/>
      <c r="N9" s="470"/>
      <c r="O9" s="494"/>
      <c r="P9" s="494"/>
      <c r="Q9" s="494"/>
      <c r="R9" s="494"/>
      <c r="S9" s="494"/>
      <c r="T9" s="494"/>
      <c r="U9" s="494"/>
      <c r="V9" s="494"/>
    </row>
    <row r="10" spans="1:33" s="495" customFormat="1" ht="19.5" customHeight="1">
      <c r="A10" s="487">
        <f t="shared" si="4"/>
        <v>46201</v>
      </c>
      <c r="B10" s="488">
        <v>7367341.2600000016</v>
      </c>
      <c r="C10" s="489">
        <v>14810.736300000002</v>
      </c>
      <c r="D10" s="490">
        <f t="shared" si="0"/>
        <v>2.0103230972091553E-3</v>
      </c>
      <c r="E10" s="489">
        <v>44495.530799999986</v>
      </c>
      <c r="F10" s="491">
        <f t="shared" si="1"/>
        <v>6.0395642375876551E-3</v>
      </c>
      <c r="G10" s="492">
        <f t="shared" si="3"/>
        <v>29684.794499999982</v>
      </c>
      <c r="H10" s="493">
        <f t="shared" si="2"/>
        <v>4.0292411403784999E-3</v>
      </c>
      <c r="I10" s="910"/>
      <c r="J10" s="910"/>
      <c r="K10" s="470"/>
      <c r="L10" s="470"/>
      <c r="M10" s="470"/>
      <c r="N10" s="470"/>
      <c r="O10" s="494"/>
      <c r="P10" s="494"/>
      <c r="Q10" s="494"/>
      <c r="R10" s="494"/>
      <c r="S10" s="494"/>
      <c r="T10" s="494"/>
      <c r="U10" s="494"/>
      <c r="V10" s="494"/>
    </row>
    <row r="11" spans="1:33" s="495" customFormat="1" ht="19.5" customHeight="1">
      <c r="A11" s="487">
        <f t="shared" si="4"/>
        <v>46202</v>
      </c>
      <c r="B11" s="488">
        <v>7280769.8300000001</v>
      </c>
      <c r="C11" s="489">
        <v>14608.065100000002</v>
      </c>
      <c r="D11" s="490">
        <f t="shared" si="0"/>
        <v>2.0063901814075065E-3</v>
      </c>
      <c r="E11" s="489">
        <v>43833.649700000002</v>
      </c>
      <c r="F11" s="491">
        <f>E11/B11</f>
        <v>6.0204690882255238E-3</v>
      </c>
      <c r="G11" s="492">
        <f>E11-C11</f>
        <v>29225.584600000002</v>
      </c>
      <c r="H11" s="493">
        <f>G11/B11</f>
        <v>4.0140789068180173E-3</v>
      </c>
      <c r="I11" s="910"/>
      <c r="J11" s="910"/>
      <c r="K11" s="470"/>
      <c r="L11" s="470"/>
      <c r="M11" s="470"/>
      <c r="N11" s="470"/>
      <c r="O11" s="494"/>
      <c r="P11" s="494"/>
      <c r="Q11" s="494"/>
      <c r="R11" s="494"/>
      <c r="S11" s="494"/>
      <c r="T11" s="494"/>
      <c r="U11" s="494"/>
      <c r="V11" s="494"/>
    </row>
    <row r="12" spans="1:33" s="495" customFormat="1" ht="19.5" customHeight="1">
      <c r="A12" s="496">
        <f t="shared" si="4"/>
        <v>46203</v>
      </c>
      <c r="B12" s="488">
        <v>7292751.3200000003</v>
      </c>
      <c r="C12" s="489">
        <v>14683.012900000003</v>
      </c>
      <c r="D12" s="490">
        <f t="shared" si="0"/>
        <v>2.0133708467108408E-3</v>
      </c>
      <c r="E12" s="489">
        <v>43971.88769999997</v>
      </c>
      <c r="F12" s="491">
        <f>E12/B12</f>
        <v>6.029533405233399E-3</v>
      </c>
      <c r="G12" s="492">
        <f t="shared" ref="G12:G46" si="5">E12-C12</f>
        <v>29288.874799999969</v>
      </c>
      <c r="H12" s="493">
        <f t="shared" ref="H12:H46" si="6">G12/B12</f>
        <v>4.0161625585225591E-3</v>
      </c>
      <c r="I12" s="911">
        <f>SUM(C12:C18)</f>
        <v>93200.448800000013</v>
      </c>
      <c r="J12" s="911">
        <f>SUM(E12:E18)</f>
        <v>279158.78502000007</v>
      </c>
      <c r="K12" s="470"/>
      <c r="L12" s="470"/>
      <c r="M12" s="470"/>
      <c r="N12" s="470"/>
      <c r="O12" s="494"/>
      <c r="P12" s="494"/>
      <c r="Q12" s="494"/>
      <c r="R12" s="494"/>
      <c r="S12" s="494"/>
      <c r="T12" s="494"/>
      <c r="U12" s="494"/>
      <c r="V12" s="494"/>
    </row>
    <row r="13" spans="1:33" s="495" customFormat="1" ht="19.5" customHeight="1">
      <c r="A13" s="496">
        <f t="shared" si="4"/>
        <v>46204</v>
      </c>
      <c r="B13" s="488">
        <v>6821172.7800000003</v>
      </c>
      <c r="C13" s="451">
        <v>13696.273500000005</v>
      </c>
      <c r="D13" s="490">
        <f t="shared" si="0"/>
        <v>2.0079059630564006E-3</v>
      </c>
      <c r="E13" s="451">
        <v>41050.606100000026</v>
      </c>
      <c r="F13" s="491">
        <f t="shared" si="1"/>
        <v>6.0181155680973713E-3</v>
      </c>
      <c r="G13" s="492">
        <f t="shared" si="5"/>
        <v>27354.332600000023</v>
      </c>
      <c r="H13" s="493">
        <f t="shared" si="6"/>
        <v>4.0102096050409711E-3</v>
      </c>
      <c r="I13" s="911"/>
      <c r="J13" s="911"/>
      <c r="K13" s="470"/>
      <c r="L13" s="470"/>
      <c r="M13" s="470"/>
      <c r="N13" s="470"/>
      <c r="O13" s="494"/>
      <c r="P13" s="494"/>
      <c r="Q13" s="494"/>
      <c r="R13" s="494"/>
      <c r="S13" s="494"/>
      <c r="T13" s="494"/>
      <c r="U13" s="494"/>
      <c r="V13" s="494"/>
    </row>
    <row r="14" spans="1:33" s="495" customFormat="1" ht="19.5" customHeight="1">
      <c r="A14" s="496">
        <f t="shared" si="4"/>
        <v>46205</v>
      </c>
      <c r="B14" s="488">
        <v>6343385.2199999997</v>
      </c>
      <c r="C14" s="451">
        <v>12724.155099999996</v>
      </c>
      <c r="D14" s="490">
        <f t="shared" si="0"/>
        <v>2.0058934872632561E-3</v>
      </c>
      <c r="E14" s="451">
        <v>38135.225300000049</v>
      </c>
      <c r="F14" s="491">
        <f t="shared" si="1"/>
        <v>6.0118097793846505E-3</v>
      </c>
      <c r="G14" s="492">
        <f t="shared" si="5"/>
        <v>25411.070200000053</v>
      </c>
      <c r="H14" s="493">
        <f t="shared" si="6"/>
        <v>4.0059162921213939E-3</v>
      </c>
      <c r="I14" s="911"/>
      <c r="J14" s="911"/>
      <c r="K14" s="470"/>
      <c r="L14" s="470"/>
      <c r="M14" s="470"/>
      <c r="N14" s="470"/>
      <c r="O14" s="494"/>
      <c r="P14" s="494"/>
      <c r="Q14" s="494"/>
      <c r="R14" s="494"/>
      <c r="S14" s="494"/>
      <c r="T14" s="494"/>
      <c r="U14" s="494"/>
      <c r="V14" s="494"/>
    </row>
    <row r="15" spans="1:33" s="495" customFormat="1" ht="19.5" customHeight="1">
      <c r="A15" s="496">
        <f t="shared" si="4"/>
        <v>46206</v>
      </c>
      <c r="B15" s="488">
        <v>5464679.9400000004</v>
      </c>
      <c r="C15" s="451">
        <v>10942.5322</v>
      </c>
      <c r="D15" s="490">
        <f t="shared" si="0"/>
        <v>2.0024104467497869E-3</v>
      </c>
      <c r="E15" s="451">
        <v>32833.702400000016</v>
      </c>
      <c r="F15" s="491">
        <f t="shared" si="1"/>
        <v>6.0083486609464661E-3</v>
      </c>
      <c r="G15" s="492">
        <f t="shared" si="5"/>
        <v>21891.170200000015</v>
      </c>
      <c r="H15" s="493">
        <f t="shared" si="6"/>
        <v>4.0059382141966783E-3</v>
      </c>
      <c r="I15" s="911"/>
      <c r="J15" s="911"/>
      <c r="K15" s="470"/>
      <c r="L15" s="470"/>
      <c r="M15" s="470"/>
      <c r="N15" s="470"/>
      <c r="O15" s="494"/>
      <c r="P15" s="494"/>
      <c r="Q15" s="494"/>
      <c r="R15" s="494"/>
      <c r="S15" s="494"/>
      <c r="T15" s="494"/>
      <c r="U15" s="494"/>
      <c r="V15" s="494"/>
    </row>
    <row r="16" spans="1:33" s="495" customFormat="1" ht="19.5" customHeight="1">
      <c r="A16" s="496">
        <f t="shared" si="4"/>
        <v>46207</v>
      </c>
      <c r="B16" s="488">
        <v>6007602.620000002</v>
      </c>
      <c r="C16" s="451">
        <v>12042.110200000006</v>
      </c>
      <c r="D16" s="490">
        <f t="shared" si="0"/>
        <v>2.0044784852963531E-3</v>
      </c>
      <c r="E16" s="451">
        <v>36118.718620000007</v>
      </c>
      <c r="F16" s="491">
        <f t="shared" si="1"/>
        <v>6.0121683980489367E-3</v>
      </c>
      <c r="G16" s="492">
        <f t="shared" si="5"/>
        <v>24076.60842</v>
      </c>
      <c r="H16" s="493">
        <f t="shared" si="6"/>
        <v>4.0076899127525836E-3</v>
      </c>
      <c r="I16" s="911"/>
      <c r="J16" s="911"/>
      <c r="K16" s="470"/>
      <c r="L16" s="470"/>
      <c r="M16" s="470"/>
      <c r="N16" s="470"/>
      <c r="O16" s="494"/>
      <c r="P16" s="494"/>
      <c r="Q16" s="494"/>
      <c r="R16" s="494"/>
      <c r="S16" s="494"/>
      <c r="T16" s="494"/>
      <c r="U16" s="494"/>
      <c r="V16" s="494"/>
    </row>
    <row r="17" spans="1:22" s="495" customFormat="1" ht="19.5" customHeight="1">
      <c r="A17" s="496">
        <f t="shared" si="4"/>
        <v>46208</v>
      </c>
      <c r="B17" s="488">
        <v>7429288.9299999988</v>
      </c>
      <c r="C17" s="451">
        <v>14964.413499999997</v>
      </c>
      <c r="D17" s="490">
        <f t="shared" si="0"/>
        <v>2.0142457294361816E-3</v>
      </c>
      <c r="E17" s="451">
        <v>44751.840099999979</v>
      </c>
      <c r="F17" s="491">
        <f t="shared" si="1"/>
        <v>6.023704357396689E-3</v>
      </c>
      <c r="G17" s="492">
        <f t="shared" si="5"/>
        <v>29787.426599999984</v>
      </c>
      <c r="H17" s="493">
        <f t="shared" si="6"/>
        <v>4.0094586279605078E-3</v>
      </c>
      <c r="I17" s="911"/>
      <c r="J17" s="911"/>
      <c r="K17" s="470"/>
      <c r="L17" s="470"/>
      <c r="M17" s="470"/>
      <c r="N17" s="470"/>
      <c r="O17" s="494"/>
      <c r="P17" s="494"/>
      <c r="Q17" s="494"/>
      <c r="R17" s="494"/>
      <c r="S17" s="494"/>
      <c r="T17" s="494"/>
      <c r="U17" s="494"/>
      <c r="V17" s="494"/>
    </row>
    <row r="18" spans="1:22" s="495" customFormat="1" ht="19.5" customHeight="1">
      <c r="A18" s="496">
        <f t="shared" si="4"/>
        <v>46209</v>
      </c>
      <c r="B18" s="488">
        <v>7038286.0199999996</v>
      </c>
      <c r="C18" s="451">
        <v>14147.9514</v>
      </c>
      <c r="D18" s="490">
        <f t="shared" si="0"/>
        <v>2.0101415827372131E-3</v>
      </c>
      <c r="E18" s="451">
        <v>42296.804800000013</v>
      </c>
      <c r="F18" s="491">
        <f t="shared" si="1"/>
        <v>6.0095319627263477E-3</v>
      </c>
      <c r="G18" s="492">
        <f t="shared" si="5"/>
        <v>28148.853400000015</v>
      </c>
      <c r="H18" s="493">
        <f t="shared" si="6"/>
        <v>3.999390379989135E-3</v>
      </c>
      <c r="I18" s="911"/>
      <c r="J18" s="911"/>
      <c r="K18" s="470"/>
      <c r="L18" s="470"/>
      <c r="M18" s="470"/>
      <c r="N18" s="470"/>
      <c r="O18" s="494"/>
      <c r="P18" s="494"/>
      <c r="Q18" s="494"/>
      <c r="R18" s="494"/>
      <c r="S18" s="494"/>
      <c r="T18" s="494"/>
      <c r="U18" s="494"/>
      <c r="V18" s="494"/>
    </row>
    <row r="19" spans="1:22" s="495" customFormat="1" ht="19.5" customHeight="1">
      <c r="A19" s="487">
        <f t="shared" si="4"/>
        <v>46210</v>
      </c>
      <c r="B19" s="488">
        <v>7860603.3600000003</v>
      </c>
      <c r="C19" s="451">
        <v>15878.214199999999</v>
      </c>
      <c r="D19" s="490">
        <f t="shared" si="0"/>
        <v>2.01997397309206E-3</v>
      </c>
      <c r="E19" s="451">
        <v>47553.909699999975</v>
      </c>
      <c r="F19" s="491">
        <f t="shared" si="1"/>
        <v>6.0496513463566964E-3</v>
      </c>
      <c r="G19" s="492">
        <f t="shared" si="5"/>
        <v>31675.695499999976</v>
      </c>
      <c r="H19" s="493">
        <f t="shared" si="6"/>
        <v>4.029677373264636E-3</v>
      </c>
      <c r="I19" s="910">
        <f>SUM(C19:C25)</f>
        <v>97471.614600000001</v>
      </c>
      <c r="J19" s="910">
        <f>SUM(E19:E25)</f>
        <v>292062.31539999996</v>
      </c>
      <c r="K19" s="470"/>
      <c r="L19" s="470"/>
      <c r="M19" s="470"/>
      <c r="N19" s="470"/>
      <c r="O19" s="494"/>
      <c r="P19" s="494"/>
      <c r="Q19" s="494"/>
      <c r="R19" s="494"/>
      <c r="S19" s="494"/>
      <c r="T19" s="494"/>
      <c r="U19" s="494"/>
      <c r="V19" s="494"/>
    </row>
    <row r="20" spans="1:22" s="495" customFormat="1" ht="19.5" customHeight="1">
      <c r="A20" s="487">
        <f t="shared" si="4"/>
        <v>46211</v>
      </c>
      <c r="B20" s="488">
        <v>7229874.9699999988</v>
      </c>
      <c r="C20" s="451">
        <v>14575.342900000001</v>
      </c>
      <c r="D20" s="490">
        <f t="shared" si="0"/>
        <v>2.0159882377606322E-3</v>
      </c>
      <c r="E20" s="451">
        <v>43641.878000000019</v>
      </c>
      <c r="F20" s="491">
        <f t="shared" si="1"/>
        <v>6.0363254110326649E-3</v>
      </c>
      <c r="G20" s="492">
        <f t="shared" si="5"/>
        <v>29066.535100000016</v>
      </c>
      <c r="H20" s="493">
        <f t="shared" si="6"/>
        <v>4.0203371732720327E-3</v>
      </c>
      <c r="I20" s="910"/>
      <c r="J20" s="910"/>
      <c r="K20" s="470"/>
      <c r="L20" s="470"/>
      <c r="M20" s="470"/>
      <c r="N20" s="470"/>
      <c r="O20" s="494"/>
      <c r="P20" s="494"/>
      <c r="Q20" s="494"/>
      <c r="R20" s="494"/>
      <c r="S20" s="494"/>
      <c r="T20" s="494"/>
      <c r="U20" s="494"/>
      <c r="V20" s="494"/>
    </row>
    <row r="21" spans="1:22" s="495" customFormat="1" ht="19.5" customHeight="1">
      <c r="A21" s="487">
        <f t="shared" si="4"/>
        <v>46212</v>
      </c>
      <c r="B21" s="488">
        <v>6763681.4199999999</v>
      </c>
      <c r="C21" s="451">
        <v>13598.093999999999</v>
      </c>
      <c r="D21" s="490">
        <f t="shared" si="0"/>
        <v>2.0104574943152777E-3</v>
      </c>
      <c r="E21" s="451">
        <v>40482.406800000004</v>
      </c>
      <c r="F21" s="491">
        <f t="shared" si="1"/>
        <v>5.9852622094669862E-3</v>
      </c>
      <c r="G21" s="492">
        <f t="shared" si="5"/>
        <v>26884.312800000007</v>
      </c>
      <c r="H21" s="493">
        <f t="shared" si="6"/>
        <v>3.9748047151517089E-3</v>
      </c>
      <c r="I21" s="910"/>
      <c r="J21" s="910"/>
      <c r="K21" s="470"/>
      <c r="L21" s="470"/>
      <c r="M21" s="470"/>
      <c r="N21" s="470"/>
      <c r="O21" s="494"/>
      <c r="P21" s="494"/>
      <c r="Q21" s="494"/>
      <c r="R21" s="494"/>
      <c r="S21" s="494"/>
      <c r="T21" s="494"/>
      <c r="U21" s="494"/>
      <c r="V21" s="494"/>
    </row>
    <row r="22" spans="1:22" s="495" customFormat="1" ht="19.5" customHeight="1">
      <c r="A22" s="487">
        <f t="shared" si="4"/>
        <v>46213</v>
      </c>
      <c r="B22" s="488">
        <v>5383246.2600000007</v>
      </c>
      <c r="C22" s="451">
        <v>10788.829100000001</v>
      </c>
      <c r="D22" s="490">
        <f t="shared" si="0"/>
        <v>2.0041492770200707E-3</v>
      </c>
      <c r="E22" s="451">
        <v>32235.094899999996</v>
      </c>
      <c r="F22" s="491">
        <f t="shared" si="1"/>
        <v>5.9880401793099454E-3</v>
      </c>
      <c r="G22" s="492">
        <f t="shared" si="5"/>
        <v>21446.265799999994</v>
      </c>
      <c r="H22" s="493">
        <f t="shared" si="6"/>
        <v>3.9838909022898742E-3</v>
      </c>
      <c r="I22" s="910"/>
      <c r="J22" s="910"/>
      <c r="K22" s="470"/>
      <c r="L22" s="470"/>
      <c r="M22" s="470"/>
      <c r="N22" s="470"/>
      <c r="O22" s="494"/>
      <c r="P22" s="494"/>
      <c r="Q22" s="494"/>
      <c r="R22" s="494"/>
      <c r="S22" s="494"/>
      <c r="T22" s="494"/>
      <c r="U22" s="494"/>
      <c r="V22" s="494"/>
    </row>
    <row r="23" spans="1:22" s="495" customFormat="1" ht="19.5" customHeight="1">
      <c r="A23" s="487">
        <f t="shared" si="4"/>
        <v>46214</v>
      </c>
      <c r="B23" s="488">
        <v>6085802.3500000015</v>
      </c>
      <c r="C23" s="451">
        <v>12231.091399999996</v>
      </c>
      <c r="D23" s="490">
        <f t="shared" si="0"/>
        <v>2.0097746684132772E-3</v>
      </c>
      <c r="E23" s="451">
        <v>36539.751599999996</v>
      </c>
      <c r="F23" s="491">
        <f t="shared" si="1"/>
        <v>6.0040976519718861E-3</v>
      </c>
      <c r="G23" s="492">
        <f t="shared" si="5"/>
        <v>24308.660199999998</v>
      </c>
      <c r="H23" s="493">
        <f t="shared" si="6"/>
        <v>3.9943229835586085E-3</v>
      </c>
      <c r="I23" s="910"/>
      <c r="J23" s="910"/>
      <c r="K23" s="470"/>
      <c r="L23" s="470"/>
      <c r="M23" s="470"/>
      <c r="N23" s="470"/>
      <c r="O23" s="494"/>
      <c r="P23" s="494"/>
      <c r="Q23" s="494"/>
      <c r="R23" s="494"/>
      <c r="S23" s="494"/>
      <c r="T23" s="494"/>
      <c r="U23" s="494"/>
      <c r="V23" s="494"/>
    </row>
    <row r="24" spans="1:22" s="495" customFormat="1" ht="19.5" customHeight="1">
      <c r="A24" s="487">
        <f t="shared" si="4"/>
        <v>46215</v>
      </c>
      <c r="B24" s="488">
        <v>7790002.1000000006</v>
      </c>
      <c r="C24" s="451">
        <v>15732.254800000006</v>
      </c>
      <c r="D24" s="490">
        <f t="shared" si="0"/>
        <v>2.0195443593012644E-3</v>
      </c>
      <c r="E24" s="451">
        <v>47583.363200000014</v>
      </c>
      <c r="F24" s="491">
        <f t="shared" si="1"/>
        <v>6.1082606383379553E-3</v>
      </c>
      <c r="G24" s="492">
        <f t="shared" si="5"/>
        <v>31851.108400000008</v>
      </c>
      <c r="H24" s="493">
        <f t="shared" si="6"/>
        <v>4.0887162790366905E-3</v>
      </c>
      <c r="I24" s="910"/>
      <c r="J24" s="910"/>
      <c r="K24" s="470"/>
      <c r="L24" s="470"/>
      <c r="M24" s="470"/>
      <c r="N24" s="470"/>
      <c r="O24" s="494"/>
      <c r="P24" s="494"/>
      <c r="Q24" s="494"/>
      <c r="R24" s="494"/>
      <c r="S24" s="494"/>
      <c r="T24" s="494"/>
      <c r="U24" s="494"/>
      <c r="V24" s="494"/>
    </row>
    <row r="25" spans="1:22" s="495" customFormat="1" ht="19.5" customHeight="1">
      <c r="A25" s="487">
        <f t="shared" si="4"/>
        <v>46216</v>
      </c>
      <c r="B25" s="488">
        <v>7296191.4900000002</v>
      </c>
      <c r="C25" s="451">
        <v>14667.788200000001</v>
      </c>
      <c r="D25" s="490">
        <f t="shared" si="0"/>
        <v>2.0103348740371399E-3</v>
      </c>
      <c r="E25" s="451">
        <v>44025.911199999966</v>
      </c>
      <c r="F25" s="491">
        <f t="shared" si="1"/>
        <v>6.0340948096470485E-3</v>
      </c>
      <c r="G25" s="492">
        <f t="shared" si="5"/>
        <v>29358.122999999963</v>
      </c>
      <c r="H25" s="493">
        <f t="shared" si="6"/>
        <v>4.0237599356099081E-3</v>
      </c>
      <c r="I25" s="910"/>
      <c r="J25" s="910"/>
      <c r="K25" s="470"/>
      <c r="L25" s="470"/>
      <c r="M25" s="470"/>
      <c r="N25" s="470"/>
      <c r="O25" s="494"/>
      <c r="P25" s="494"/>
      <c r="Q25" s="494"/>
      <c r="R25" s="494"/>
      <c r="S25" s="494"/>
      <c r="T25" s="494"/>
      <c r="U25" s="494"/>
      <c r="V25" s="494"/>
    </row>
    <row r="26" spans="1:22" s="495" customFormat="1" ht="19.5" customHeight="1">
      <c r="A26" s="496">
        <f t="shared" si="4"/>
        <v>46217</v>
      </c>
      <c r="B26" s="488">
        <v>6870172.4199999999</v>
      </c>
      <c r="C26" s="451">
        <v>13784.064200000003</v>
      </c>
      <c r="D26" s="490">
        <f t="shared" si="0"/>
        <v>2.0063636481484409E-3</v>
      </c>
      <c r="E26" s="451">
        <v>41358.172199999986</v>
      </c>
      <c r="F26" s="491">
        <f t="shared" si="1"/>
        <v>6.0199613156142577E-3</v>
      </c>
      <c r="G26" s="492">
        <f t="shared" si="5"/>
        <v>27574.107999999986</v>
      </c>
      <c r="H26" s="493">
        <f t="shared" si="6"/>
        <v>4.0135976674658168E-3</v>
      </c>
      <c r="I26" s="911">
        <f>SUM(C26:C32)</f>
        <v>87758.882100000003</v>
      </c>
      <c r="J26" s="911">
        <f>SUM(E26:E32)</f>
        <v>263344.06062999996</v>
      </c>
      <c r="K26" s="470"/>
      <c r="L26" s="470"/>
      <c r="M26" s="470"/>
      <c r="N26" s="470"/>
      <c r="O26" s="494"/>
      <c r="P26" s="494"/>
      <c r="Q26" s="494"/>
      <c r="R26" s="494"/>
      <c r="S26" s="494"/>
      <c r="T26" s="494"/>
      <c r="U26" s="494"/>
      <c r="V26" s="494"/>
    </row>
    <row r="27" spans="1:22" s="495" customFormat="1" ht="19.5" customHeight="1">
      <c r="A27" s="496">
        <f t="shared" si="4"/>
        <v>46218</v>
      </c>
      <c r="B27" s="488">
        <v>6423738.6200000001</v>
      </c>
      <c r="C27" s="451">
        <v>12857.284799999996</v>
      </c>
      <c r="D27" s="490">
        <f t="shared" si="0"/>
        <v>2.0015267682233304E-3</v>
      </c>
      <c r="E27" s="451">
        <v>38630.656099999993</v>
      </c>
      <c r="F27" s="491">
        <f t="shared" si="1"/>
        <v>6.0137341173448914E-3</v>
      </c>
      <c r="G27" s="492">
        <f t="shared" si="5"/>
        <v>25773.371299999999</v>
      </c>
      <c r="H27" s="493">
        <f t="shared" si="6"/>
        <v>4.0122073491215618E-3</v>
      </c>
      <c r="I27" s="911"/>
      <c r="J27" s="911"/>
      <c r="K27" s="470"/>
      <c r="L27" s="470"/>
      <c r="M27" s="470"/>
      <c r="N27" s="470"/>
      <c r="O27" s="494"/>
      <c r="P27" s="494"/>
      <c r="Q27" s="494"/>
      <c r="R27" s="494"/>
      <c r="S27" s="494"/>
      <c r="T27" s="494"/>
      <c r="U27" s="494"/>
      <c r="V27" s="494"/>
    </row>
    <row r="28" spans="1:22" s="495" customFormat="1" ht="19.5" customHeight="1">
      <c r="A28" s="496">
        <f t="shared" si="4"/>
        <v>46219</v>
      </c>
      <c r="B28" s="488">
        <v>5886839.0899999999</v>
      </c>
      <c r="C28" s="451">
        <v>11776.549399999996</v>
      </c>
      <c r="D28" s="490">
        <f t="shared" si="0"/>
        <v>2.0004877354308655E-3</v>
      </c>
      <c r="E28" s="451">
        <v>35382.618000000002</v>
      </c>
      <c r="F28" s="491">
        <f t="shared" si="1"/>
        <v>6.0104612100073561E-3</v>
      </c>
      <c r="G28" s="492">
        <f t="shared" si="5"/>
        <v>23606.068600000006</v>
      </c>
      <c r="H28" s="493">
        <f t="shared" si="6"/>
        <v>4.009973474576491E-3</v>
      </c>
      <c r="I28" s="911"/>
      <c r="J28" s="911"/>
      <c r="K28" s="470"/>
      <c r="L28" s="470"/>
      <c r="M28" s="470"/>
      <c r="N28" s="470"/>
      <c r="O28" s="494"/>
      <c r="P28" s="494"/>
      <c r="Q28" s="494"/>
      <c r="R28" s="494"/>
      <c r="S28" s="494"/>
      <c r="T28" s="494"/>
      <c r="U28" s="494"/>
      <c r="V28" s="494"/>
    </row>
    <row r="29" spans="1:22" s="495" customFormat="1" ht="19.5" customHeight="1">
      <c r="A29" s="496">
        <f t="shared" si="4"/>
        <v>46220</v>
      </c>
      <c r="B29" s="488">
        <v>5200104.47</v>
      </c>
      <c r="C29" s="451">
        <v>10387.606</v>
      </c>
      <c r="D29" s="490">
        <f t="shared" si="0"/>
        <v>1.9975764063832357E-3</v>
      </c>
      <c r="E29" s="451">
        <v>31240.630730000012</v>
      </c>
      <c r="F29" s="491">
        <f t="shared" si="1"/>
        <v>6.0076929050619657E-3</v>
      </c>
      <c r="G29" s="492">
        <f t="shared" si="5"/>
        <v>20853.024730000012</v>
      </c>
      <c r="H29" s="493">
        <f t="shared" si="6"/>
        <v>4.0101164986787296E-3</v>
      </c>
      <c r="I29" s="911"/>
      <c r="J29" s="911"/>
      <c r="K29" s="470"/>
      <c r="L29" s="470"/>
      <c r="M29" s="470"/>
      <c r="N29" s="470"/>
      <c r="O29" s="494"/>
      <c r="P29" s="494"/>
      <c r="Q29" s="494"/>
      <c r="R29" s="494"/>
      <c r="S29" s="494"/>
      <c r="T29" s="494"/>
      <c r="U29" s="494"/>
      <c r="V29" s="494"/>
    </row>
    <row r="30" spans="1:22" s="495" customFormat="1" ht="19.5" customHeight="1">
      <c r="A30" s="496">
        <f t="shared" si="4"/>
        <v>46221</v>
      </c>
      <c r="B30" s="488">
        <v>5391308.3200000003</v>
      </c>
      <c r="C30" s="451">
        <v>10780.444300000006</v>
      </c>
      <c r="D30" s="490">
        <f t="shared" si="0"/>
        <v>1.9995970662646141E-3</v>
      </c>
      <c r="E30" s="451">
        <v>32403.86119999997</v>
      </c>
      <c r="F30" s="491">
        <f t="shared" si="1"/>
        <v>6.0103891813777718E-3</v>
      </c>
      <c r="G30" s="492">
        <f t="shared" si="5"/>
        <v>21623.416899999964</v>
      </c>
      <c r="H30" s="493">
        <f t="shared" si="6"/>
        <v>4.0107921151131569E-3</v>
      </c>
      <c r="I30" s="911"/>
      <c r="J30" s="911"/>
      <c r="K30" s="470"/>
      <c r="L30" s="470"/>
      <c r="M30" s="470"/>
      <c r="N30" s="470"/>
      <c r="O30" s="494"/>
      <c r="P30" s="494"/>
      <c r="Q30" s="494"/>
      <c r="R30" s="494"/>
      <c r="S30" s="494"/>
      <c r="T30" s="494"/>
      <c r="U30" s="494"/>
      <c r="V30" s="494"/>
    </row>
    <row r="31" spans="1:22" s="495" customFormat="1" ht="19.5" customHeight="1">
      <c r="A31" s="496">
        <f t="shared" si="4"/>
        <v>46222</v>
      </c>
      <c r="B31" s="488">
        <v>7176291.25</v>
      </c>
      <c r="C31" s="451">
        <v>14455.089900000001</v>
      </c>
      <c r="D31" s="490">
        <f t="shared" si="0"/>
        <v>2.0142841749908077E-3</v>
      </c>
      <c r="E31" s="451">
        <v>43185.546699999992</v>
      </c>
      <c r="F31" s="491">
        <f t="shared" si="1"/>
        <v>6.0178085302766927E-3</v>
      </c>
      <c r="G31" s="492">
        <f t="shared" si="5"/>
        <v>28730.456799999993</v>
      </c>
      <c r="H31" s="493">
        <f t="shared" si="6"/>
        <v>4.0035243552858854E-3</v>
      </c>
      <c r="I31" s="911"/>
      <c r="J31" s="911"/>
      <c r="K31" s="470"/>
      <c r="L31" s="470"/>
      <c r="M31" s="470"/>
      <c r="N31" s="470"/>
      <c r="O31" s="494"/>
      <c r="P31" s="494"/>
      <c r="Q31" s="494"/>
      <c r="R31" s="494"/>
      <c r="S31" s="494"/>
      <c r="T31" s="494"/>
      <c r="U31" s="494"/>
      <c r="V31" s="494"/>
    </row>
    <row r="32" spans="1:22" s="495" customFormat="1" ht="19.5" customHeight="1">
      <c r="A32" s="496">
        <f t="shared" si="4"/>
        <v>46223</v>
      </c>
      <c r="B32" s="488">
        <v>6838954.3600000003</v>
      </c>
      <c r="C32" s="451">
        <v>13717.843500000001</v>
      </c>
      <c r="D32" s="490">
        <f t="shared" si="0"/>
        <v>2.0058393107919496E-3</v>
      </c>
      <c r="E32" s="451">
        <v>41142.575699999987</v>
      </c>
      <c r="F32" s="491">
        <f t="shared" si="1"/>
        <v>6.0159161085555166E-3</v>
      </c>
      <c r="G32" s="492">
        <f t="shared" si="5"/>
        <v>27424.732199999984</v>
      </c>
      <c r="H32" s="493">
        <f t="shared" si="6"/>
        <v>4.0100767977635666E-3</v>
      </c>
      <c r="I32" s="911"/>
      <c r="J32" s="911"/>
      <c r="K32" s="470"/>
      <c r="L32" s="470"/>
      <c r="M32" s="470"/>
      <c r="N32" s="470"/>
      <c r="O32" s="494"/>
      <c r="P32" s="494"/>
      <c r="Q32" s="494"/>
      <c r="R32" s="494"/>
      <c r="S32" s="494"/>
      <c r="T32" s="494"/>
      <c r="U32" s="494"/>
      <c r="V32" s="494"/>
    </row>
    <row r="33" spans="1:22" s="495" customFormat="1" ht="19.5" customHeight="1">
      <c r="A33" s="487">
        <f t="shared" si="4"/>
        <v>46224</v>
      </c>
      <c r="B33" s="488">
        <v>7083157.2799999984</v>
      </c>
      <c r="C33" s="451">
        <v>14252.4431</v>
      </c>
      <c r="D33" s="490">
        <f t="shared" si="0"/>
        <v>2.0121596255166033E-3</v>
      </c>
      <c r="E33" s="451">
        <v>42652.082499999975</v>
      </c>
      <c r="F33" s="491">
        <f t="shared" si="1"/>
        <v>6.0216201354772094E-3</v>
      </c>
      <c r="G33" s="492">
        <f t="shared" si="5"/>
        <v>28399.639399999975</v>
      </c>
      <c r="H33" s="493">
        <f t="shared" si="6"/>
        <v>4.0094605099606061E-3</v>
      </c>
      <c r="I33" s="910">
        <f>SUM(C33:C39)</f>
        <v>89282.949400000027</v>
      </c>
      <c r="J33" s="910">
        <f>SUM(E33:E39)</f>
        <v>267319.10031999997</v>
      </c>
      <c r="K33" s="470"/>
      <c r="L33" s="470"/>
      <c r="M33" s="470"/>
      <c r="N33" s="470"/>
      <c r="O33" s="494"/>
      <c r="P33" s="494"/>
      <c r="Q33" s="494"/>
      <c r="R33" s="494"/>
      <c r="S33" s="494"/>
      <c r="T33" s="494"/>
      <c r="U33" s="494"/>
      <c r="V33" s="494"/>
    </row>
    <row r="34" spans="1:22" s="495" customFormat="1" ht="19.5" customHeight="1">
      <c r="A34" s="487">
        <f t="shared" si="4"/>
        <v>46225</v>
      </c>
      <c r="B34" s="488">
        <v>6640513.2300000004</v>
      </c>
      <c r="C34" s="451">
        <v>13335.327700000005</v>
      </c>
      <c r="D34" s="490">
        <f t="shared" si="0"/>
        <v>2.0081772655394597E-3</v>
      </c>
      <c r="E34" s="451">
        <v>39909.261300000035</v>
      </c>
      <c r="F34" s="491">
        <f t="shared" si="1"/>
        <v>6.0099663862878908E-3</v>
      </c>
      <c r="G34" s="492">
        <f t="shared" si="5"/>
        <v>26573.933600000029</v>
      </c>
      <c r="H34" s="493">
        <f t="shared" si="6"/>
        <v>4.0017891207484316E-3</v>
      </c>
      <c r="I34" s="910"/>
      <c r="J34" s="910"/>
      <c r="K34" s="470"/>
      <c r="L34" s="470"/>
      <c r="M34" s="470"/>
      <c r="N34" s="470"/>
      <c r="O34" s="494"/>
      <c r="P34" s="494"/>
      <c r="Q34" s="494"/>
      <c r="R34" s="494"/>
      <c r="S34" s="494"/>
      <c r="T34" s="494"/>
      <c r="U34" s="494"/>
      <c r="V34" s="494"/>
    </row>
    <row r="35" spans="1:22" s="495" customFormat="1" ht="19.5" customHeight="1">
      <c r="A35" s="487">
        <f t="shared" si="4"/>
        <v>46226</v>
      </c>
      <c r="B35" s="488">
        <v>6072830.7199999997</v>
      </c>
      <c r="C35" s="451">
        <v>12170.226700000007</v>
      </c>
      <c r="D35" s="490">
        <f t="shared" si="0"/>
        <v>2.0040451086375758E-3</v>
      </c>
      <c r="E35" s="451">
        <v>36462.75220000001</v>
      </c>
      <c r="F35" s="491">
        <f t="shared" si="1"/>
        <v>6.0042431414916849E-3</v>
      </c>
      <c r="G35" s="492">
        <f t="shared" si="5"/>
        <v>24292.525500000003</v>
      </c>
      <c r="H35" s="493">
        <f t="shared" si="6"/>
        <v>4.0001980328541091E-3</v>
      </c>
      <c r="I35" s="910"/>
      <c r="J35" s="910"/>
      <c r="K35" s="470"/>
      <c r="L35" s="470"/>
      <c r="M35" s="470"/>
      <c r="N35" s="470"/>
      <c r="O35" s="494"/>
      <c r="P35" s="494"/>
      <c r="Q35" s="494"/>
      <c r="R35" s="494"/>
      <c r="S35" s="494"/>
      <c r="T35" s="494"/>
      <c r="U35" s="494"/>
      <c r="V35" s="494"/>
    </row>
    <row r="36" spans="1:22" s="495" customFormat="1" ht="19.5" customHeight="1">
      <c r="A36" s="487">
        <f t="shared" si="4"/>
        <v>46227</v>
      </c>
      <c r="B36" s="488">
        <v>5136735.6099999985</v>
      </c>
      <c r="C36" s="451">
        <v>10275.626600000003</v>
      </c>
      <c r="D36" s="490">
        <f t="shared" si="0"/>
        <v>2.0004196011170618E-3</v>
      </c>
      <c r="E36" s="451">
        <v>30819.998919999984</v>
      </c>
      <c r="F36" s="491">
        <f t="shared" si="1"/>
        <v>5.9999192600064524E-3</v>
      </c>
      <c r="G36" s="492">
        <f t="shared" si="5"/>
        <v>20544.37231999998</v>
      </c>
      <c r="H36" s="493">
        <f t="shared" si="6"/>
        <v>3.9994996588893911E-3</v>
      </c>
      <c r="I36" s="910"/>
      <c r="J36" s="910"/>
      <c r="K36" s="470"/>
      <c r="L36" s="470"/>
      <c r="M36" s="470"/>
      <c r="N36" s="470"/>
      <c r="O36" s="494"/>
      <c r="P36" s="494"/>
      <c r="Q36" s="494"/>
      <c r="R36" s="494"/>
      <c r="S36" s="494"/>
      <c r="T36" s="494"/>
      <c r="U36" s="494"/>
      <c r="V36" s="494"/>
    </row>
    <row r="37" spans="1:22" s="495" customFormat="1" ht="19.5" customHeight="1">
      <c r="A37" s="487">
        <f t="shared" si="4"/>
        <v>46228</v>
      </c>
      <c r="B37" s="488">
        <v>5426020.8499999987</v>
      </c>
      <c r="C37" s="451">
        <v>10862.947800000002</v>
      </c>
      <c r="D37" s="490">
        <f t="shared" si="0"/>
        <v>2.0020099627888464E-3</v>
      </c>
      <c r="E37" s="451">
        <v>32577.740799999981</v>
      </c>
      <c r="F37" s="491">
        <f t="shared" si="1"/>
        <v>6.0039837111941783E-3</v>
      </c>
      <c r="G37" s="492">
        <f t="shared" si="5"/>
        <v>21714.79299999998</v>
      </c>
      <c r="H37" s="493">
        <f t="shared" si="6"/>
        <v>4.0019737484053314E-3</v>
      </c>
      <c r="I37" s="910"/>
      <c r="J37" s="910"/>
      <c r="K37" s="470"/>
      <c r="L37" s="470"/>
      <c r="M37" s="470"/>
      <c r="N37" s="470"/>
      <c r="O37" s="494"/>
      <c r="P37" s="494"/>
      <c r="Q37" s="494"/>
      <c r="R37" s="494"/>
      <c r="S37" s="494"/>
      <c r="T37" s="494"/>
      <c r="U37" s="494"/>
      <c r="V37" s="494"/>
    </row>
    <row r="38" spans="1:22" s="495" customFormat="1" ht="19.5" customHeight="1">
      <c r="A38" s="487">
        <f t="shared" si="4"/>
        <v>46229</v>
      </c>
      <c r="B38" s="488">
        <v>7251453.3399999989</v>
      </c>
      <c r="C38" s="451">
        <v>14588.846200000004</v>
      </c>
      <c r="D38" s="490">
        <f t="shared" si="0"/>
        <v>2.0118513511665245E-3</v>
      </c>
      <c r="E38" s="451">
        <v>43607.538800000009</v>
      </c>
      <c r="F38" s="491">
        <f t="shared" si="1"/>
        <v>6.0136274420266788E-3</v>
      </c>
      <c r="G38" s="492">
        <f t="shared" si="5"/>
        <v>29018.692600000006</v>
      </c>
      <c r="H38" s="493">
        <f t="shared" si="6"/>
        <v>4.0017760908601548E-3</v>
      </c>
      <c r="I38" s="910"/>
      <c r="J38" s="910"/>
      <c r="K38" s="470"/>
      <c r="L38" s="470"/>
      <c r="M38" s="470"/>
      <c r="N38" s="470"/>
      <c r="O38" s="494"/>
      <c r="P38" s="494"/>
      <c r="Q38" s="494"/>
      <c r="R38" s="494"/>
      <c r="S38" s="494"/>
      <c r="T38" s="494"/>
      <c r="U38" s="494"/>
      <c r="V38" s="494"/>
    </row>
    <row r="39" spans="1:22" s="495" customFormat="1" ht="19.5" customHeight="1">
      <c r="A39" s="487">
        <f t="shared" si="4"/>
        <v>46230</v>
      </c>
      <c r="B39" s="488">
        <v>6872917.9300000006</v>
      </c>
      <c r="C39" s="451">
        <v>13797.531299999999</v>
      </c>
      <c r="D39" s="490">
        <f t="shared" si="0"/>
        <v>2.0075216146222771E-3</v>
      </c>
      <c r="E39" s="451">
        <v>41289.725800000007</v>
      </c>
      <c r="F39" s="491">
        <f t="shared" si="1"/>
        <v>6.0075976783851986E-3</v>
      </c>
      <c r="G39" s="492">
        <f t="shared" si="5"/>
        <v>27492.194500000009</v>
      </c>
      <c r="H39" s="493">
        <f t="shared" si="6"/>
        <v>4.0000760637629211E-3</v>
      </c>
      <c r="I39" s="910"/>
      <c r="J39" s="910"/>
      <c r="K39" s="470"/>
      <c r="L39" s="470"/>
      <c r="M39" s="470"/>
      <c r="N39" s="470"/>
      <c r="O39" s="494"/>
      <c r="P39" s="494"/>
      <c r="Q39" s="494"/>
      <c r="R39" s="494"/>
      <c r="S39" s="494"/>
      <c r="T39" s="494"/>
      <c r="U39" s="494"/>
      <c r="V39" s="494"/>
    </row>
    <row r="40" spans="1:22" s="495" customFormat="1" ht="19.5" customHeight="1">
      <c r="A40" s="496">
        <f t="shared" si="4"/>
        <v>46231</v>
      </c>
      <c r="B40" s="537">
        <v>6626056.8700000001</v>
      </c>
      <c r="C40" s="451">
        <v>13277.1584</v>
      </c>
      <c r="D40" s="538">
        <f t="shared" si="0"/>
        <v>2.003779723067786E-3</v>
      </c>
      <c r="E40" s="451">
        <v>39781.560499999985</v>
      </c>
      <c r="F40" s="491">
        <f t="shared" si="1"/>
        <v>6.0038060765995179E-3</v>
      </c>
      <c r="G40" s="492">
        <f t="shared" si="5"/>
        <v>26504.402099999985</v>
      </c>
      <c r="H40" s="493">
        <f t="shared" si="6"/>
        <v>4.0000263535317328E-3</v>
      </c>
      <c r="I40" s="911">
        <f>SUM(C40:C46)</f>
        <v>85080.957900000009</v>
      </c>
      <c r="J40" s="911">
        <f>SUM(E40:E46)</f>
        <v>255308.68299999996</v>
      </c>
      <c r="K40" s="470"/>
      <c r="L40" s="470"/>
      <c r="M40" s="470"/>
      <c r="N40" s="470"/>
      <c r="O40" s="494"/>
      <c r="P40" s="494"/>
      <c r="Q40" s="494"/>
      <c r="R40" s="494"/>
      <c r="S40" s="494"/>
      <c r="T40" s="494"/>
      <c r="U40" s="494"/>
      <c r="V40" s="494"/>
    </row>
    <row r="41" spans="1:22" s="495" customFormat="1" ht="19.5" customHeight="1">
      <c r="A41" s="496">
        <f t="shared" si="4"/>
        <v>46232</v>
      </c>
      <c r="B41" s="537">
        <v>6255627.21</v>
      </c>
      <c r="C41" s="451">
        <v>12523.439700000003</v>
      </c>
      <c r="D41" s="538">
        <f t="shared" si="0"/>
        <v>2.001947891009318E-3</v>
      </c>
      <c r="E41" s="451">
        <v>37544.726500000004</v>
      </c>
      <c r="F41" s="491">
        <f t="shared" si="1"/>
        <v>6.001752540493858E-3</v>
      </c>
      <c r="G41" s="492">
        <f t="shared" si="5"/>
        <v>25021.286800000002</v>
      </c>
      <c r="H41" s="493">
        <f t="shared" si="6"/>
        <v>3.99980464948454E-3</v>
      </c>
      <c r="I41" s="911"/>
      <c r="J41" s="911"/>
      <c r="K41" s="470"/>
      <c r="L41" s="470"/>
      <c r="M41" s="470"/>
      <c r="N41" s="470"/>
      <c r="O41" s="494"/>
      <c r="P41" s="494"/>
      <c r="Q41" s="494"/>
      <c r="R41" s="494"/>
      <c r="S41" s="494"/>
      <c r="T41" s="494"/>
      <c r="U41" s="494"/>
      <c r="V41" s="494"/>
    </row>
    <row r="42" spans="1:22" s="495" customFormat="1" ht="19.5" customHeight="1">
      <c r="A42" s="496">
        <f t="shared" si="4"/>
        <v>46233</v>
      </c>
      <c r="B42" s="537">
        <v>5785963.21</v>
      </c>
      <c r="C42" s="451">
        <v>11563.415300000004</v>
      </c>
      <c r="D42" s="538">
        <f t="shared" si="0"/>
        <v>1.998529005510217E-3</v>
      </c>
      <c r="E42" s="451">
        <v>34707.423399999992</v>
      </c>
      <c r="F42" s="491">
        <f t="shared" si="1"/>
        <v>5.9985558394174427E-3</v>
      </c>
      <c r="G42" s="492">
        <f t="shared" si="5"/>
        <v>23144.008099999988</v>
      </c>
      <c r="H42" s="493">
        <f t="shared" si="6"/>
        <v>4.0000268339072257E-3</v>
      </c>
      <c r="I42" s="911"/>
      <c r="J42" s="911"/>
      <c r="K42" s="470"/>
      <c r="L42" s="470"/>
      <c r="M42" s="470"/>
      <c r="N42" s="470"/>
      <c r="O42" s="494"/>
      <c r="P42" s="494"/>
      <c r="Q42" s="494"/>
      <c r="R42" s="494"/>
      <c r="S42" s="494"/>
      <c r="T42" s="494"/>
      <c r="U42" s="494"/>
      <c r="V42" s="494"/>
    </row>
    <row r="43" spans="1:22" s="495" customFormat="1" ht="19.5" customHeight="1">
      <c r="A43" s="496">
        <f t="shared" si="4"/>
        <v>46234</v>
      </c>
      <c r="B43" s="537">
        <v>4936115.0199999996</v>
      </c>
      <c r="C43" s="451">
        <v>9854.7837999999956</v>
      </c>
      <c r="D43" s="538">
        <f t="shared" si="0"/>
        <v>1.9964655928945505E-3</v>
      </c>
      <c r="E43" s="451">
        <v>29598.431699999994</v>
      </c>
      <c r="F43" s="491">
        <f t="shared" si="1"/>
        <v>5.9963010545892826E-3</v>
      </c>
      <c r="G43" s="492">
        <f t="shared" si="5"/>
        <v>19743.647899999996</v>
      </c>
      <c r="H43" s="493">
        <f t="shared" si="6"/>
        <v>3.9998354616947313E-3</v>
      </c>
      <c r="I43" s="911"/>
      <c r="J43" s="911"/>
      <c r="K43" s="470"/>
      <c r="L43" s="470"/>
      <c r="M43" s="470"/>
      <c r="N43" s="470"/>
      <c r="O43" s="494"/>
      <c r="P43" s="494"/>
      <c r="Q43" s="494"/>
      <c r="R43" s="494"/>
      <c r="S43" s="494"/>
      <c r="T43" s="494"/>
      <c r="U43" s="494"/>
      <c r="V43" s="494"/>
    </row>
    <row r="44" spans="1:22" s="495" customFormat="1" ht="19.5" customHeight="1">
      <c r="A44" s="496">
        <f t="shared" si="4"/>
        <v>46235</v>
      </c>
      <c r="B44" s="537">
        <v>5278918.5600000005</v>
      </c>
      <c r="C44" s="451">
        <f>'[1]0801合計'!$P$2</f>
        <v>10569.7711</v>
      </c>
      <c r="D44" s="538">
        <f t="shared" si="0"/>
        <v>2.0022606865145497E-3</v>
      </c>
      <c r="E44" s="451">
        <f>'[1]0801合計'!$S$2</f>
        <v>31686.342000000004</v>
      </c>
      <c r="F44" s="491">
        <f t="shared" si="1"/>
        <v>6.002430543274E-3</v>
      </c>
      <c r="G44" s="492">
        <f t="shared" si="5"/>
        <v>21116.570900000006</v>
      </c>
      <c r="H44" s="493">
        <f t="shared" si="6"/>
        <v>4.0001698567594503E-3</v>
      </c>
      <c r="I44" s="911"/>
      <c r="J44" s="911"/>
      <c r="K44" s="470"/>
      <c r="L44" s="470"/>
      <c r="M44" s="470"/>
      <c r="N44" s="470"/>
      <c r="O44" s="494"/>
      <c r="P44" s="494"/>
      <c r="Q44" s="494"/>
      <c r="R44" s="494"/>
      <c r="S44" s="494"/>
      <c r="T44" s="494"/>
      <c r="U44" s="494"/>
      <c r="V44" s="494"/>
    </row>
    <row r="45" spans="1:22" s="495" customFormat="1" ht="19.5" customHeight="1">
      <c r="A45" s="496">
        <f t="shared" si="4"/>
        <v>46236</v>
      </c>
      <c r="B45" s="537">
        <v>6878371.459999999</v>
      </c>
      <c r="C45" s="451">
        <f>'[1]0802合計'!$P$2</f>
        <v>13798.472</v>
      </c>
      <c r="D45" s="538">
        <f t="shared" si="0"/>
        <v>2.0060667092847008E-3</v>
      </c>
      <c r="E45" s="451">
        <f>'[1]0802合計'!$S$2</f>
        <v>41544.367100000003</v>
      </c>
      <c r="F45" s="491">
        <f t="shared" si="1"/>
        <v>6.039855122915971E-3</v>
      </c>
      <c r="G45" s="492">
        <f t="shared" si="5"/>
        <v>27745.895100000002</v>
      </c>
      <c r="H45" s="493">
        <f t="shared" si="6"/>
        <v>4.0337884136312707E-3</v>
      </c>
      <c r="I45" s="911"/>
      <c r="J45" s="911"/>
      <c r="K45" s="470"/>
      <c r="L45" s="470"/>
      <c r="M45" s="470"/>
      <c r="N45" s="470"/>
      <c r="O45" s="494"/>
      <c r="P45" s="494"/>
      <c r="Q45" s="494"/>
      <c r="R45" s="494"/>
      <c r="S45" s="494"/>
      <c r="T45" s="494"/>
      <c r="U45" s="494"/>
      <c r="V45" s="494"/>
    </row>
    <row r="46" spans="1:22" s="495" customFormat="1" ht="19.5" customHeight="1">
      <c r="A46" s="496">
        <f t="shared" si="4"/>
        <v>46237</v>
      </c>
      <c r="B46" s="537">
        <v>6725813.830000001</v>
      </c>
      <c r="C46" s="451">
        <f>'[1]0803合計'!$P$2</f>
        <v>13493.917600000004</v>
      </c>
      <c r="D46" s="538">
        <f t="shared" si="0"/>
        <v>2.0062877060038997E-3</v>
      </c>
      <c r="E46" s="451">
        <f>'[1]0803合計'!$S$2</f>
        <v>40445.831799999978</v>
      </c>
      <c r="F46" s="491">
        <f t="shared" si="1"/>
        <v>6.0135223516884009E-3</v>
      </c>
      <c r="G46" s="492">
        <f t="shared" si="5"/>
        <v>26951.914199999974</v>
      </c>
      <c r="H46" s="493">
        <f t="shared" si="6"/>
        <v>4.0072346456845017E-3</v>
      </c>
      <c r="I46" s="911"/>
      <c r="J46" s="911"/>
      <c r="K46" s="470"/>
      <c r="L46" s="470"/>
      <c r="M46" s="470"/>
      <c r="N46" s="470"/>
      <c r="O46" s="494"/>
      <c r="P46" s="494"/>
      <c r="Q46" s="494"/>
      <c r="R46" s="494"/>
      <c r="S46" s="494"/>
      <c r="T46" s="494"/>
      <c r="U46" s="494"/>
      <c r="V46" s="494"/>
    </row>
    <row r="47" spans="1:22" ht="18.75">
      <c r="A47" s="470"/>
      <c r="B47" s="470"/>
      <c r="C47" s="470"/>
      <c r="D47" s="470"/>
      <c r="E47" s="470"/>
      <c r="F47" s="470"/>
      <c r="G47" s="470"/>
      <c r="H47" s="470"/>
      <c r="I47" s="470"/>
      <c r="J47" s="470"/>
      <c r="K47" s="470"/>
      <c r="L47" s="470"/>
      <c r="M47" s="470"/>
      <c r="N47" s="470"/>
      <c r="O47" s="470"/>
      <c r="P47" s="470"/>
      <c r="Q47" s="470"/>
      <c r="R47" s="470"/>
      <c r="S47" s="470"/>
      <c r="T47" s="470"/>
      <c r="U47" s="470"/>
      <c r="V47" s="470"/>
    </row>
    <row r="48" spans="1:22" ht="18.75">
      <c r="A48" s="497" t="s">
        <v>769</v>
      </c>
      <c r="B48" s="498">
        <f>SUM(B13:B43)</f>
        <v>199388617.25999999</v>
      </c>
      <c r="C48" s="470"/>
      <c r="D48" s="470"/>
      <c r="E48" s="470"/>
      <c r="F48" s="470"/>
      <c r="G48" s="470"/>
      <c r="H48" s="470"/>
      <c r="I48" s="470"/>
      <c r="J48" s="470"/>
      <c r="K48" s="470"/>
      <c r="L48" s="470"/>
      <c r="M48" s="470"/>
      <c r="N48" s="470"/>
      <c r="O48" s="470"/>
      <c r="P48" s="470"/>
      <c r="Q48" s="470"/>
      <c r="R48" s="470"/>
      <c r="S48" s="470"/>
      <c r="T48" s="470"/>
      <c r="U48" s="470"/>
      <c r="V48" s="470"/>
    </row>
    <row r="49" spans="1:22" ht="18.75">
      <c r="A49" s="470"/>
      <c r="B49" s="470"/>
      <c r="C49" s="470"/>
      <c r="D49" s="470"/>
      <c r="E49" s="470"/>
      <c r="F49" s="470"/>
      <c r="G49" s="470"/>
      <c r="H49" s="470"/>
      <c r="I49" s="470"/>
      <c r="J49" s="470"/>
      <c r="K49" s="470"/>
      <c r="L49" s="470"/>
      <c r="M49" s="470"/>
      <c r="N49" s="470"/>
      <c r="O49" s="470"/>
      <c r="P49" s="470"/>
      <c r="Q49" s="470"/>
      <c r="R49" s="470"/>
      <c r="S49" s="470"/>
      <c r="T49" s="470"/>
      <c r="U49" s="470"/>
      <c r="V49" s="470"/>
    </row>
  </sheetData>
  <mergeCells count="19">
    <mergeCell ref="I40:I46"/>
    <mergeCell ref="J40:J46"/>
    <mergeCell ref="I19:I25"/>
    <mergeCell ref="J19:J25"/>
    <mergeCell ref="I26:I32"/>
    <mergeCell ref="J26:J32"/>
    <mergeCell ref="I33:I39"/>
    <mergeCell ref="J33:J39"/>
    <mergeCell ref="I5:I11"/>
    <mergeCell ref="J5:J11"/>
    <mergeCell ref="I12:I18"/>
    <mergeCell ref="J12:J18"/>
    <mergeCell ref="A1:J1"/>
    <mergeCell ref="A2:A3"/>
    <mergeCell ref="B2:B3"/>
    <mergeCell ref="C2:C3"/>
    <mergeCell ref="D2:D3"/>
    <mergeCell ref="I2:I4"/>
    <mergeCell ref="J2:J4"/>
  </mergeCells>
  <phoneticPr fontId="13" type="noConversion"/>
  <conditionalFormatting sqref="A5:A46">
    <cfRule type="timePeriod" dxfId="2" priority="3" timePeriod="yesterday">
      <formula>FLOOR(A5,1)=TODAY()-1</formula>
    </cfRule>
  </conditionalFormatting>
  <conditionalFormatting sqref="D5:D46">
    <cfRule type="cellIs" dxfId="1" priority="1" operator="greaterThan">
      <formula>0.0025</formula>
    </cfRule>
  </conditionalFormatting>
  <conditionalFormatting sqref="D48">
    <cfRule type="cellIs" dxfId="0" priority="4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4">
    <tabColor rgb="FF92D050"/>
    <pageSetUpPr fitToPage="1"/>
  </sheetPr>
  <dimension ref="B2:AM224"/>
  <sheetViews>
    <sheetView zoomScaleNormal="100" workbookViewId="0">
      <pane xSplit="3" ySplit="2" topLeftCell="AC205" activePane="bottomRight" state="frozen"/>
      <selection pane="topRight" activeCell="D1" sqref="D1"/>
      <selection pane="bottomLeft" activeCell="A4" sqref="A4"/>
      <selection pane="bottomRight" activeCell="AL209" sqref="AL209"/>
    </sheetView>
  </sheetViews>
  <sheetFormatPr defaultColWidth="8.85546875" defaultRowHeight="14.25"/>
  <cols>
    <col min="1" max="1" width="8.85546875" style="145"/>
    <col min="2" max="2" width="12.42578125" style="145" customWidth="1"/>
    <col min="3" max="3" width="8.85546875" style="145"/>
    <col min="4" max="4" width="11.5703125" style="145" customWidth="1"/>
    <col min="5" max="5" width="39.28515625" style="145" bestFit="1" customWidth="1"/>
    <col min="6" max="6" width="11.42578125" style="145" bestFit="1" customWidth="1"/>
    <col min="7" max="8" width="17.28515625" style="145" bestFit="1" customWidth="1"/>
    <col min="9" max="9" width="16.85546875" style="145" customWidth="1"/>
    <col min="10" max="10" width="14" style="145" customWidth="1"/>
    <col min="11" max="11" width="16.85546875" style="145" customWidth="1"/>
    <col min="12" max="12" width="14" style="145" customWidth="1"/>
    <col min="13" max="13" width="13.85546875" style="145" bestFit="1" customWidth="1"/>
    <col min="14" max="14" width="10.85546875" style="145" bestFit="1" customWidth="1"/>
    <col min="15" max="15" width="19.140625" style="145" bestFit="1" customWidth="1"/>
    <col min="16" max="16" width="15.28515625" style="145" bestFit="1" customWidth="1"/>
    <col min="17" max="17" width="12.5703125" style="145" bestFit="1" customWidth="1"/>
    <col min="18" max="18" width="12.85546875" style="145" bestFit="1" customWidth="1"/>
    <col min="19" max="19" width="13.42578125" style="145" bestFit="1" customWidth="1"/>
    <col min="20" max="20" width="12.85546875" style="145" bestFit="1" customWidth="1"/>
    <col min="21" max="21" width="10.85546875" style="145" bestFit="1" customWidth="1"/>
    <col min="22" max="22" width="12.5703125" style="145" bestFit="1" customWidth="1"/>
    <col min="23" max="24" width="10.85546875" style="145" customWidth="1"/>
    <col min="25" max="25" width="12.42578125" style="145" bestFit="1" customWidth="1"/>
    <col min="26" max="26" width="25.28515625" style="145" bestFit="1" customWidth="1"/>
    <col min="27" max="27" width="88.28515625" style="145" customWidth="1"/>
    <col min="28" max="28" width="117.7109375" style="145" bestFit="1" customWidth="1"/>
    <col min="29" max="29" width="11.5703125" style="145" bestFit="1" customWidth="1"/>
    <col min="30" max="30" width="69.5703125" style="145" bestFit="1" customWidth="1"/>
    <col min="31" max="31" width="11.42578125" style="145" bestFit="1" customWidth="1"/>
    <col min="32" max="32" width="21.5703125" style="145" customWidth="1"/>
    <col min="33" max="33" width="19.42578125" style="145" bestFit="1" customWidth="1"/>
    <col min="34" max="39" width="14.42578125" style="145" customWidth="1"/>
    <col min="40" max="16384" width="8.85546875" style="145"/>
  </cols>
  <sheetData>
    <row r="2" spans="2:39" ht="41.1" customHeight="1">
      <c r="B2" s="991" t="s">
        <v>441</v>
      </c>
      <c r="C2" s="992"/>
      <c r="D2" s="992"/>
      <c r="E2" s="992"/>
      <c r="F2" s="992"/>
      <c r="G2" s="992"/>
      <c r="H2" s="992"/>
      <c r="I2" s="992"/>
      <c r="J2" s="992"/>
      <c r="K2" s="992"/>
      <c r="L2" s="992"/>
      <c r="M2" s="992"/>
      <c r="N2" s="992"/>
      <c r="O2" s="992"/>
      <c r="P2" s="992"/>
      <c r="Q2" s="992"/>
      <c r="R2" s="992"/>
      <c r="S2" s="992"/>
      <c r="T2" s="992"/>
      <c r="U2" s="992"/>
      <c r="V2" s="992"/>
      <c r="W2" s="992"/>
      <c r="X2" s="992"/>
      <c r="Y2" s="992"/>
      <c r="Z2" s="992"/>
      <c r="AA2" s="992"/>
      <c r="AB2" s="992"/>
      <c r="AC2" s="992"/>
      <c r="AD2" s="992"/>
      <c r="AF2" s="146"/>
      <c r="AG2" s="146"/>
    </row>
    <row r="3" spans="2:39" ht="17.100000000000001" hidden="1" customHeight="1">
      <c r="B3" s="974" t="s">
        <v>442</v>
      </c>
      <c r="C3" s="975"/>
      <c r="D3" s="971" t="s">
        <v>170</v>
      </c>
      <c r="E3" s="972"/>
      <c r="F3" s="973"/>
      <c r="G3" s="971" t="s">
        <v>184</v>
      </c>
      <c r="H3" s="972"/>
      <c r="I3" s="972"/>
      <c r="J3" s="972"/>
      <c r="K3" s="972"/>
      <c r="L3" s="972"/>
      <c r="M3" s="972"/>
      <c r="N3" s="972"/>
      <c r="O3" s="972"/>
      <c r="P3" s="972"/>
      <c r="Q3" s="972"/>
      <c r="R3" s="972"/>
      <c r="S3" s="972"/>
      <c r="T3" s="972"/>
      <c r="U3" s="973"/>
      <c r="Y3" s="947" t="s">
        <v>171</v>
      </c>
      <c r="Z3" s="947" t="s">
        <v>245</v>
      </c>
      <c r="AA3" s="968" t="s">
        <v>443</v>
      </c>
      <c r="AB3" s="968" t="s">
        <v>444</v>
      </c>
      <c r="AC3" s="947" t="s">
        <v>246</v>
      </c>
      <c r="AD3" s="922" t="s">
        <v>172</v>
      </c>
      <c r="AF3" s="957" t="s">
        <v>247</v>
      </c>
      <c r="AG3" s="958"/>
      <c r="AH3" s="958"/>
      <c r="AI3" s="958"/>
      <c r="AJ3" s="958"/>
      <c r="AK3" s="958"/>
      <c r="AL3" s="958"/>
      <c r="AM3" s="959"/>
    </row>
    <row r="4" spans="2:39" ht="17.100000000000001" hidden="1" customHeight="1">
      <c r="B4" s="976"/>
      <c r="C4" s="977"/>
      <c r="D4" s="980" t="s">
        <v>169</v>
      </c>
      <c r="E4" s="971" t="s">
        <v>173</v>
      </c>
      <c r="F4" s="973"/>
      <c r="G4" s="971" t="s">
        <v>185</v>
      </c>
      <c r="H4" s="972"/>
      <c r="I4" s="972"/>
      <c r="J4" s="972"/>
      <c r="K4" s="972"/>
      <c r="L4" s="972"/>
      <c r="M4" s="972"/>
      <c r="N4" s="972"/>
      <c r="O4" s="972"/>
      <c r="P4" s="973"/>
      <c r="Q4" s="971" t="s">
        <v>174</v>
      </c>
      <c r="R4" s="972"/>
      <c r="S4" s="972"/>
      <c r="T4" s="972"/>
      <c r="U4" s="973"/>
      <c r="Y4" s="986"/>
      <c r="Z4" s="986"/>
      <c r="AA4" s="969"/>
      <c r="AB4" s="969"/>
      <c r="AC4" s="986"/>
      <c r="AD4" s="989"/>
      <c r="AF4" s="960"/>
      <c r="AG4" s="961"/>
      <c r="AH4" s="961"/>
      <c r="AI4" s="961"/>
      <c r="AJ4" s="961"/>
      <c r="AK4" s="961"/>
      <c r="AL4" s="961"/>
      <c r="AM4" s="962"/>
    </row>
    <row r="5" spans="2:39" ht="17.100000000000001" hidden="1" customHeight="1">
      <c r="B5" s="976"/>
      <c r="C5" s="977"/>
      <c r="D5" s="985"/>
      <c r="E5" s="980" t="s">
        <v>175</v>
      </c>
      <c r="F5" s="922" t="s">
        <v>248</v>
      </c>
      <c r="G5" s="982" t="s">
        <v>186</v>
      </c>
      <c r="H5" s="983"/>
      <c r="I5" s="983"/>
      <c r="J5" s="983"/>
      <c r="K5" s="983"/>
      <c r="L5" s="983"/>
      <c r="M5" s="983"/>
      <c r="N5" s="983"/>
      <c r="O5" s="983"/>
      <c r="P5" s="984"/>
      <c r="Q5" s="982" t="s">
        <v>168</v>
      </c>
      <c r="R5" s="984"/>
      <c r="S5" s="982" t="s">
        <v>176</v>
      </c>
      <c r="T5" s="983"/>
      <c r="U5" s="984"/>
      <c r="Y5" s="986"/>
      <c r="Z5" s="986"/>
      <c r="AA5" s="969"/>
      <c r="AB5" s="969"/>
      <c r="AC5" s="986"/>
      <c r="AD5" s="989"/>
      <c r="AF5" s="963"/>
      <c r="AG5" s="964"/>
      <c r="AH5" s="964"/>
      <c r="AI5" s="964"/>
      <c r="AJ5" s="964"/>
      <c r="AK5" s="964"/>
      <c r="AL5" s="964"/>
      <c r="AM5" s="965"/>
    </row>
    <row r="6" spans="2:39" ht="38.450000000000003" hidden="1" customHeight="1">
      <c r="B6" s="978"/>
      <c r="C6" s="979"/>
      <c r="D6" s="981"/>
      <c r="E6" s="981"/>
      <c r="F6" s="923"/>
      <c r="G6" s="362" t="s">
        <v>177</v>
      </c>
      <c r="H6" s="362" t="s">
        <v>252</v>
      </c>
      <c r="I6" s="439" t="s">
        <v>559</v>
      </c>
      <c r="J6" s="362" t="s">
        <v>560</v>
      </c>
      <c r="K6" s="362" t="s">
        <v>253</v>
      </c>
      <c r="L6" s="362" t="s">
        <v>178</v>
      </c>
      <c r="M6" s="362" t="s">
        <v>250</v>
      </c>
      <c r="N6" s="362" t="s">
        <v>179</v>
      </c>
      <c r="O6" s="362" t="s">
        <v>187</v>
      </c>
      <c r="P6" s="362" t="s">
        <v>180</v>
      </c>
      <c r="Q6" s="363" t="s">
        <v>181</v>
      </c>
      <c r="R6" s="363" t="s">
        <v>182</v>
      </c>
      <c r="S6" s="363" t="s">
        <v>181</v>
      </c>
      <c r="T6" s="363" t="s">
        <v>182</v>
      </c>
      <c r="U6" s="362" t="s">
        <v>183</v>
      </c>
      <c r="Y6" s="948"/>
      <c r="Z6" s="948"/>
      <c r="AA6" s="970"/>
      <c r="AB6" s="970"/>
      <c r="AC6" s="948"/>
      <c r="AD6" s="923"/>
      <c r="AF6" s="160" t="s">
        <v>244</v>
      </c>
      <c r="AG6" s="160" t="s">
        <v>445</v>
      </c>
      <c r="AH6" s="155" t="s">
        <v>383</v>
      </c>
      <c r="AI6" s="155" t="s">
        <v>337</v>
      </c>
      <c r="AJ6" s="155" t="s">
        <v>428</v>
      </c>
      <c r="AK6" s="155" t="s">
        <v>215</v>
      </c>
      <c r="AL6" s="155" t="s">
        <v>216</v>
      </c>
      <c r="AM6" s="155" t="s">
        <v>384</v>
      </c>
    </row>
    <row r="7" spans="2:39" s="147" customFormat="1" ht="27" hidden="1" customHeight="1">
      <c r="B7" s="933" t="s">
        <v>564</v>
      </c>
      <c r="C7" s="934"/>
      <c r="D7" s="361">
        <v>1</v>
      </c>
      <c r="E7" s="440" t="s">
        <v>448</v>
      </c>
      <c r="F7" s="441">
        <f>IFERROR(Q7*G7,"-")</f>
        <v>3932.2499999999995</v>
      </c>
      <c r="G7" s="365">
        <v>2.4499999999999997</v>
      </c>
      <c r="H7" s="442">
        <v>158641</v>
      </c>
      <c r="I7" s="442">
        <v>158641</v>
      </c>
      <c r="J7" s="444">
        <f>IFERROR(I7/H7,"-")</f>
        <v>1</v>
      </c>
      <c r="K7" s="443">
        <v>160246</v>
      </c>
      <c r="L7" s="444">
        <f>IFERROR(K7/H7,"-")</f>
        <v>1.0101171828215909</v>
      </c>
      <c r="M7" s="443">
        <v>0</v>
      </c>
      <c r="N7" s="444">
        <f>IFERROR(M7/H7,"-")</f>
        <v>0</v>
      </c>
      <c r="O7" s="445">
        <f>IFERROR(K7+M7,"-")</f>
        <v>160246</v>
      </c>
      <c r="P7" s="444">
        <f>IFERROR(O7/H7,"-")</f>
        <v>1.0101171828215909</v>
      </c>
      <c r="Q7" s="442">
        <v>1605</v>
      </c>
      <c r="R7" s="444">
        <f>IFERROR(Q7/H7,"-")</f>
        <v>1.0117182821590888E-2</v>
      </c>
      <c r="S7" s="445">
        <f>IFERROR(O7-H7,"-")</f>
        <v>1605</v>
      </c>
      <c r="T7" s="444">
        <f>IFERROR(S7/H7,"-")</f>
        <v>1.0117182821590888E-2</v>
      </c>
      <c r="U7" s="364">
        <f>IFERROR(S7*G7,"-")</f>
        <v>3932.2499999999995</v>
      </c>
      <c r="Y7" s="366" t="s">
        <v>417</v>
      </c>
      <c r="Z7" s="366" t="s">
        <v>337</v>
      </c>
      <c r="AA7" s="367" t="s">
        <v>467</v>
      </c>
      <c r="AB7" s="367" t="s">
        <v>468</v>
      </c>
      <c r="AC7" s="367">
        <v>1</v>
      </c>
      <c r="AD7" s="446" t="s">
        <v>340</v>
      </c>
      <c r="AE7" s="368" t="s">
        <v>446</v>
      </c>
      <c r="AF7" s="374">
        <f>SUM(AC7:AC26)</f>
        <v>20</v>
      </c>
      <c r="AG7" s="369">
        <f t="shared" ref="AG7:AM7" si="0">SUMIF($Z$7:$Z$26,TRIM(AG6),$AC$7:$AC$26)</f>
        <v>10</v>
      </c>
      <c r="AH7" s="369">
        <f t="shared" si="0"/>
        <v>0</v>
      </c>
      <c r="AI7" s="369">
        <f t="shared" si="0"/>
        <v>7</v>
      </c>
      <c r="AJ7" s="369">
        <f t="shared" si="0"/>
        <v>0</v>
      </c>
      <c r="AK7" s="369">
        <f t="shared" si="0"/>
        <v>1</v>
      </c>
      <c r="AL7" s="369">
        <f t="shared" si="0"/>
        <v>2</v>
      </c>
      <c r="AM7" s="369">
        <f t="shared" si="0"/>
        <v>0</v>
      </c>
    </row>
    <row r="8" spans="2:39" s="147" customFormat="1" ht="27" hidden="1" customHeight="1">
      <c r="B8" s="935"/>
      <c r="C8" s="936"/>
      <c r="D8" s="361">
        <v>2</v>
      </c>
      <c r="E8" s="440" t="s">
        <v>447</v>
      </c>
      <c r="F8" s="441">
        <f t="shared" ref="F8:F26" si="1">IFERROR(Q8*G8,"-")</f>
        <v>3452.6699999999996</v>
      </c>
      <c r="G8" s="365">
        <v>1.17</v>
      </c>
      <c r="H8" s="442">
        <v>299533</v>
      </c>
      <c r="I8" s="442">
        <v>299533</v>
      </c>
      <c r="J8" s="444">
        <f t="shared" ref="J8:J26" si="2">IFERROR(I8/H8,"-")</f>
        <v>1</v>
      </c>
      <c r="K8" s="443">
        <v>302484</v>
      </c>
      <c r="L8" s="444">
        <f t="shared" ref="L8:L26" si="3">IFERROR(K8/H8,"-")</f>
        <v>1.0098520029512608</v>
      </c>
      <c r="M8" s="443">
        <v>0</v>
      </c>
      <c r="N8" s="444">
        <f t="shared" ref="N8:N26" si="4">IFERROR(M8/H8,"-")</f>
        <v>0</v>
      </c>
      <c r="O8" s="445">
        <f t="shared" ref="O8:O26" si="5">IFERROR(K8+M8,"-")</f>
        <v>302484</v>
      </c>
      <c r="P8" s="444">
        <f t="shared" ref="P8:P26" si="6">IFERROR(O8/H8,"-")</f>
        <v>1.0098520029512608</v>
      </c>
      <c r="Q8" s="442">
        <v>2951</v>
      </c>
      <c r="R8" s="444">
        <f t="shared" ref="R8:R26" si="7">IFERROR(Q8/H8,"-")</f>
        <v>9.8520029512607962E-3</v>
      </c>
      <c r="S8" s="445">
        <f t="shared" ref="S8:S26" si="8">IFERROR(O8-H8,"-")</f>
        <v>2951</v>
      </c>
      <c r="T8" s="444">
        <f t="shared" ref="T8:T26" si="9">IFERROR(S8/H8,"-")</f>
        <v>9.8520029512607962E-3</v>
      </c>
      <c r="U8" s="364">
        <f t="shared" ref="U8:U26" si="10">IFERROR(S8*G8,"-")</f>
        <v>3452.6699999999996</v>
      </c>
      <c r="Y8" s="366" t="s">
        <v>417</v>
      </c>
      <c r="Z8" s="366" t="s">
        <v>337</v>
      </c>
      <c r="AA8" s="367" t="s">
        <v>469</v>
      </c>
      <c r="AB8" s="367" t="s">
        <v>526</v>
      </c>
      <c r="AC8" s="367">
        <v>1</v>
      </c>
      <c r="AD8" s="446" t="s">
        <v>340</v>
      </c>
      <c r="AF8" s="375"/>
      <c r="AG8" s="372">
        <f>SUMIF($Z7:$Z$26,TRIM(AG6),$F$7:$F$26)</f>
        <v>13087.2803</v>
      </c>
      <c r="AH8" s="372">
        <f>SUMIF($Z7:$Z$26,TRIM(AH6),$F$7:$F$26)</f>
        <v>0</v>
      </c>
      <c r="AI8" s="372">
        <f>SUMIF($Z7:$Z$26,TRIM(AI6),$F$7:$F$26)</f>
        <v>16114.2778</v>
      </c>
      <c r="AJ8" s="372">
        <f>SUMIF($Z7:$Z$26,TRIM(AJ6),$F$7:$F$26)</f>
        <v>0</v>
      </c>
      <c r="AK8" s="372">
        <f>SUMIF($Z7:$Z$26,TRIM(AK6),$F$7:$F$26)</f>
        <v>1444.8140000000005</v>
      </c>
      <c r="AL8" s="372">
        <f>SUMIF($Z7:$Z$26,TRIM(AL6),$F$7:$F$26)</f>
        <v>4810.9979999999996</v>
      </c>
      <c r="AM8" s="372">
        <f>SUMIF($Z7:$Z$26,TRIM(AM6),$F$7:$F$26)</f>
        <v>0</v>
      </c>
    </row>
    <row r="9" spans="2:39" s="147" customFormat="1" ht="27" hidden="1" customHeight="1">
      <c r="B9" s="935"/>
      <c r="C9" s="936"/>
      <c r="D9" s="361">
        <v>3</v>
      </c>
      <c r="E9" s="440" t="s">
        <v>335</v>
      </c>
      <c r="F9" s="441">
        <f t="shared" si="1"/>
        <v>3306.3</v>
      </c>
      <c r="G9" s="365">
        <v>15.450000000000001</v>
      </c>
      <c r="H9" s="442">
        <v>67490</v>
      </c>
      <c r="I9" s="442">
        <v>67490</v>
      </c>
      <c r="J9" s="444">
        <f t="shared" si="2"/>
        <v>1</v>
      </c>
      <c r="K9" s="443">
        <v>67704</v>
      </c>
      <c r="L9" s="444">
        <f t="shared" si="3"/>
        <v>1.0031708401244628</v>
      </c>
      <c r="M9" s="443">
        <v>0</v>
      </c>
      <c r="N9" s="444">
        <f t="shared" si="4"/>
        <v>0</v>
      </c>
      <c r="O9" s="445">
        <f t="shared" si="5"/>
        <v>67704</v>
      </c>
      <c r="P9" s="444">
        <f t="shared" si="6"/>
        <v>1.0031708401244628</v>
      </c>
      <c r="Q9" s="442">
        <v>214</v>
      </c>
      <c r="R9" s="444">
        <f t="shared" si="7"/>
        <v>3.1708401244628834E-3</v>
      </c>
      <c r="S9" s="445">
        <f t="shared" si="8"/>
        <v>214</v>
      </c>
      <c r="T9" s="444">
        <f t="shared" si="9"/>
        <v>3.1708401244628834E-3</v>
      </c>
      <c r="U9" s="364">
        <f t="shared" si="10"/>
        <v>3306.3</v>
      </c>
      <c r="Y9" s="366" t="s">
        <v>417</v>
      </c>
      <c r="Z9" s="366" t="s">
        <v>216</v>
      </c>
      <c r="AA9" s="367" t="s">
        <v>466</v>
      </c>
      <c r="AB9" s="367" t="s">
        <v>569</v>
      </c>
      <c r="AC9" s="367">
        <v>1</v>
      </c>
      <c r="AD9" s="446" t="s">
        <v>523</v>
      </c>
      <c r="AF9" s="361"/>
      <c r="AG9" s="373">
        <f t="shared" ref="AG9:AM9" si="11">AG7/$AF7</f>
        <v>0.5</v>
      </c>
      <c r="AH9" s="373">
        <f t="shared" si="11"/>
        <v>0</v>
      </c>
      <c r="AI9" s="373">
        <f t="shared" si="11"/>
        <v>0.35</v>
      </c>
      <c r="AJ9" s="373">
        <f t="shared" si="11"/>
        <v>0</v>
      </c>
      <c r="AK9" s="373">
        <f t="shared" si="11"/>
        <v>0.05</v>
      </c>
      <c r="AL9" s="373">
        <f t="shared" si="11"/>
        <v>0.1</v>
      </c>
      <c r="AM9" s="373">
        <f t="shared" si="11"/>
        <v>0</v>
      </c>
    </row>
    <row r="10" spans="2:39" s="147" customFormat="1" ht="27" hidden="1" customHeight="1">
      <c r="B10" s="935"/>
      <c r="C10" s="936"/>
      <c r="D10" s="361">
        <v>4</v>
      </c>
      <c r="E10" s="440" t="s">
        <v>461</v>
      </c>
      <c r="F10" s="441">
        <f t="shared" si="1"/>
        <v>2711.4710000000005</v>
      </c>
      <c r="G10" s="365">
        <v>407.74000000000007</v>
      </c>
      <c r="H10" s="442">
        <v>1204.5999999999999</v>
      </c>
      <c r="I10" s="442">
        <v>1204.5999999999999</v>
      </c>
      <c r="J10" s="444">
        <f t="shared" si="2"/>
        <v>1</v>
      </c>
      <c r="K10" s="443">
        <v>1220.3599999999999</v>
      </c>
      <c r="L10" s="444">
        <f t="shared" si="3"/>
        <v>1.0130831811389673</v>
      </c>
      <c r="M10" s="443">
        <v>15.76</v>
      </c>
      <c r="N10" s="444">
        <f t="shared" si="4"/>
        <v>1.3083181138967294E-2</v>
      </c>
      <c r="O10" s="445">
        <f t="shared" si="5"/>
        <v>1236.1199999999999</v>
      </c>
      <c r="P10" s="444">
        <f t="shared" si="6"/>
        <v>1.0261663622779347</v>
      </c>
      <c r="Q10" s="442">
        <v>6.65</v>
      </c>
      <c r="R10" s="444">
        <f t="shared" si="7"/>
        <v>5.5205047318611991E-3</v>
      </c>
      <c r="S10" s="445">
        <f t="shared" si="8"/>
        <v>31.519999999999982</v>
      </c>
      <c r="T10" s="444">
        <f t="shared" si="9"/>
        <v>2.616636227793457E-2</v>
      </c>
      <c r="U10" s="364">
        <f t="shared" si="10"/>
        <v>12851.964799999994</v>
      </c>
      <c r="Y10" s="366" t="s">
        <v>417</v>
      </c>
      <c r="Z10" s="366" t="s">
        <v>337</v>
      </c>
      <c r="AA10" s="367" t="s">
        <v>586</v>
      </c>
      <c r="AB10" s="380" t="s">
        <v>587</v>
      </c>
      <c r="AC10" s="367">
        <v>1</v>
      </c>
      <c r="AD10" s="446" t="s">
        <v>463</v>
      </c>
    </row>
    <row r="11" spans="2:39" s="147" customFormat="1" ht="27" hidden="1" customHeight="1">
      <c r="B11" s="935"/>
      <c r="C11" s="936"/>
      <c r="D11" s="361">
        <v>5</v>
      </c>
      <c r="E11" s="440" t="s">
        <v>386</v>
      </c>
      <c r="F11" s="441">
        <f t="shared" si="1"/>
        <v>2536.3456000000006</v>
      </c>
      <c r="G11" s="365">
        <v>127.84000000000002</v>
      </c>
      <c r="H11" s="442">
        <v>4439.49</v>
      </c>
      <c r="I11" s="442">
        <v>4439.49</v>
      </c>
      <c r="J11" s="444">
        <f t="shared" si="2"/>
        <v>1</v>
      </c>
      <c r="K11" s="443">
        <v>4531.1400000000003</v>
      </c>
      <c r="L11" s="444">
        <f t="shared" si="3"/>
        <v>1.0206442631923938</v>
      </c>
      <c r="M11" s="443">
        <v>91.65</v>
      </c>
      <c r="N11" s="444">
        <f t="shared" si="4"/>
        <v>2.0644263192393722E-2</v>
      </c>
      <c r="O11" s="445">
        <f t="shared" si="5"/>
        <v>4622.79</v>
      </c>
      <c r="P11" s="444">
        <f t="shared" si="6"/>
        <v>1.0412885263847875</v>
      </c>
      <c r="Q11" s="442">
        <v>19.840000000000003</v>
      </c>
      <c r="R11" s="444">
        <f t="shared" si="7"/>
        <v>4.4689817974587183E-3</v>
      </c>
      <c r="S11" s="445">
        <f t="shared" si="8"/>
        <v>183.30000000000018</v>
      </c>
      <c r="T11" s="444">
        <f t="shared" si="9"/>
        <v>4.1288526384787486E-2</v>
      </c>
      <c r="U11" s="364">
        <f t="shared" si="10"/>
        <v>23433.072000000026</v>
      </c>
      <c r="Y11" s="366" t="s">
        <v>417</v>
      </c>
      <c r="Z11" s="366" t="s">
        <v>445</v>
      </c>
      <c r="AA11" s="367" t="s">
        <v>570</v>
      </c>
      <c r="AB11" s="367" t="s">
        <v>571</v>
      </c>
      <c r="AC11" s="367">
        <v>1</v>
      </c>
      <c r="AD11" s="446" t="s">
        <v>340</v>
      </c>
    </row>
    <row r="12" spans="2:39" s="147" customFormat="1" ht="27" hidden="1" customHeight="1">
      <c r="B12" s="935"/>
      <c r="C12" s="936"/>
      <c r="D12" s="361">
        <v>6</v>
      </c>
      <c r="E12" s="440" t="s">
        <v>581</v>
      </c>
      <c r="F12" s="441">
        <f t="shared" si="1"/>
        <v>2040.97</v>
      </c>
      <c r="G12" s="365">
        <v>24.59</v>
      </c>
      <c r="H12" s="442">
        <v>16803</v>
      </c>
      <c r="I12" s="442">
        <v>16803</v>
      </c>
      <c r="J12" s="444">
        <f t="shared" si="2"/>
        <v>1</v>
      </c>
      <c r="K12" s="443">
        <v>16886</v>
      </c>
      <c r="L12" s="444">
        <f t="shared" si="3"/>
        <v>1.0049395941200976</v>
      </c>
      <c r="M12" s="443">
        <v>0</v>
      </c>
      <c r="N12" s="444">
        <f t="shared" si="4"/>
        <v>0</v>
      </c>
      <c r="O12" s="445">
        <f t="shared" si="5"/>
        <v>16886</v>
      </c>
      <c r="P12" s="444">
        <f t="shared" si="6"/>
        <v>1.0049395941200976</v>
      </c>
      <c r="Q12" s="442">
        <v>83</v>
      </c>
      <c r="R12" s="444">
        <f t="shared" si="7"/>
        <v>4.9395941200976014E-3</v>
      </c>
      <c r="S12" s="445">
        <f t="shared" si="8"/>
        <v>83</v>
      </c>
      <c r="T12" s="444">
        <f t="shared" si="9"/>
        <v>4.9395941200976014E-3</v>
      </c>
      <c r="U12" s="364">
        <f t="shared" si="10"/>
        <v>2040.97</v>
      </c>
      <c r="Y12" s="366" t="s">
        <v>417</v>
      </c>
      <c r="Z12" s="366" t="s">
        <v>337</v>
      </c>
      <c r="AA12" s="367" t="s">
        <v>585</v>
      </c>
      <c r="AB12" s="367" t="s">
        <v>603</v>
      </c>
      <c r="AC12" s="367">
        <v>1</v>
      </c>
      <c r="AD12" s="446" t="s">
        <v>566</v>
      </c>
    </row>
    <row r="13" spans="2:39" s="147" customFormat="1" ht="27" hidden="1" customHeight="1">
      <c r="B13" s="935"/>
      <c r="C13" s="936"/>
      <c r="D13" s="361">
        <v>7</v>
      </c>
      <c r="E13" s="440" t="s">
        <v>462</v>
      </c>
      <c r="F13" s="441">
        <f t="shared" si="1"/>
        <v>1786.2537000000002</v>
      </c>
      <c r="G13" s="365">
        <v>160.49</v>
      </c>
      <c r="H13" s="442">
        <v>699.3</v>
      </c>
      <c r="I13" s="442">
        <v>699.3</v>
      </c>
      <c r="J13" s="444">
        <f t="shared" si="2"/>
        <v>1</v>
      </c>
      <c r="K13" s="443">
        <v>721.76</v>
      </c>
      <c r="L13" s="444">
        <f t="shared" si="3"/>
        <v>1.0321178321178321</v>
      </c>
      <c r="M13" s="443">
        <v>19.940000000000001</v>
      </c>
      <c r="N13" s="444">
        <f t="shared" si="4"/>
        <v>2.8514228514228517E-2</v>
      </c>
      <c r="O13" s="445">
        <f t="shared" si="5"/>
        <v>741.7</v>
      </c>
      <c r="P13" s="444">
        <f t="shared" si="6"/>
        <v>1.0606320606320607</v>
      </c>
      <c r="Q13" s="442">
        <v>11.13</v>
      </c>
      <c r="R13" s="444">
        <f t="shared" si="7"/>
        <v>1.5915915915915919E-2</v>
      </c>
      <c r="S13" s="445">
        <f t="shared" si="8"/>
        <v>42.400000000000091</v>
      </c>
      <c r="T13" s="444">
        <f t="shared" si="9"/>
        <v>6.0632060632060766E-2</v>
      </c>
      <c r="U13" s="364">
        <f t="shared" si="10"/>
        <v>6804.7760000000153</v>
      </c>
      <c r="Y13" s="366" t="s">
        <v>417</v>
      </c>
      <c r="Z13" s="366" t="s">
        <v>445</v>
      </c>
      <c r="AA13" s="367" t="s">
        <v>527</v>
      </c>
      <c r="AB13" s="367" t="s">
        <v>455</v>
      </c>
      <c r="AC13" s="367">
        <v>1</v>
      </c>
      <c r="AD13" s="446" t="s">
        <v>433</v>
      </c>
      <c r="AH13" s="370"/>
    </row>
    <row r="14" spans="2:39" s="147" customFormat="1" ht="27" hidden="1" customHeight="1">
      <c r="B14" s="935"/>
      <c r="C14" s="936"/>
      <c r="D14" s="361">
        <v>8</v>
      </c>
      <c r="E14" s="440" t="s">
        <v>459</v>
      </c>
      <c r="F14" s="441">
        <f t="shared" si="1"/>
        <v>1550.7967999999996</v>
      </c>
      <c r="G14" s="365">
        <v>605.77999999999986</v>
      </c>
      <c r="H14" s="442">
        <v>1046.28</v>
      </c>
      <c r="I14" s="442">
        <v>1046.28</v>
      </c>
      <c r="J14" s="444">
        <f t="shared" si="2"/>
        <v>1</v>
      </c>
      <c r="K14" s="443">
        <v>1062.83</v>
      </c>
      <c r="L14" s="444">
        <f t="shared" si="3"/>
        <v>1.0158179454830447</v>
      </c>
      <c r="M14" s="443">
        <v>16.549999999999997</v>
      </c>
      <c r="N14" s="444">
        <f t="shared" si="4"/>
        <v>1.5817945483044691E-2</v>
      </c>
      <c r="O14" s="445">
        <f t="shared" si="5"/>
        <v>1079.3799999999999</v>
      </c>
      <c r="P14" s="444">
        <f t="shared" si="6"/>
        <v>1.0316358909660892</v>
      </c>
      <c r="Q14" s="442">
        <v>2.56</v>
      </c>
      <c r="R14" s="444">
        <f t="shared" si="7"/>
        <v>2.4467637726038921E-3</v>
      </c>
      <c r="S14" s="445">
        <f t="shared" si="8"/>
        <v>33.099999999999909</v>
      </c>
      <c r="T14" s="444">
        <f t="shared" si="9"/>
        <v>3.1635890966089299E-2</v>
      </c>
      <c r="U14" s="364">
        <f t="shared" si="10"/>
        <v>20051.317999999941</v>
      </c>
      <c r="Y14" s="366" t="s">
        <v>417</v>
      </c>
      <c r="Z14" s="366" t="s">
        <v>337</v>
      </c>
      <c r="AA14" s="367" t="s">
        <v>586</v>
      </c>
      <c r="AB14" s="380" t="s">
        <v>587</v>
      </c>
      <c r="AC14" s="367">
        <v>1</v>
      </c>
      <c r="AD14" s="446" t="s">
        <v>342</v>
      </c>
      <c r="AH14" s="370"/>
    </row>
    <row r="15" spans="2:39" s="147" customFormat="1" ht="27" hidden="1" customHeight="1">
      <c r="B15" s="935"/>
      <c r="C15" s="936"/>
      <c r="D15" s="361">
        <v>9</v>
      </c>
      <c r="E15" s="440" t="s">
        <v>534</v>
      </c>
      <c r="F15" s="441">
        <f t="shared" si="1"/>
        <v>1504.6979999999999</v>
      </c>
      <c r="G15" s="365">
        <v>39.389999999999993</v>
      </c>
      <c r="H15" s="442">
        <v>38623.35</v>
      </c>
      <c r="I15" s="442">
        <v>38623.35</v>
      </c>
      <c r="J15" s="444">
        <f t="shared" si="2"/>
        <v>1</v>
      </c>
      <c r="K15" s="443">
        <v>38954.090000000004</v>
      </c>
      <c r="L15" s="444">
        <f t="shared" si="3"/>
        <v>1.0085632137036276</v>
      </c>
      <c r="M15" s="443">
        <v>330.74</v>
      </c>
      <c r="N15" s="444">
        <f t="shared" si="4"/>
        <v>8.5632137036274689E-3</v>
      </c>
      <c r="O15" s="445">
        <f t="shared" si="5"/>
        <v>39284.83</v>
      </c>
      <c r="P15" s="444">
        <f t="shared" si="6"/>
        <v>1.0171264274072551</v>
      </c>
      <c r="Q15" s="442">
        <v>38.200000000000003</v>
      </c>
      <c r="R15" s="444">
        <f t="shared" si="7"/>
        <v>9.8903901396435066E-4</v>
      </c>
      <c r="S15" s="445">
        <f t="shared" si="8"/>
        <v>661.4800000000032</v>
      </c>
      <c r="T15" s="444">
        <f t="shared" si="9"/>
        <v>1.7126427407255021E-2</v>
      </c>
      <c r="U15" s="364">
        <f t="shared" si="10"/>
        <v>26055.697200000122</v>
      </c>
      <c r="Y15" s="366" t="s">
        <v>417</v>
      </c>
      <c r="Z15" s="366" t="s">
        <v>216</v>
      </c>
      <c r="AA15" s="380" t="s">
        <v>572</v>
      </c>
      <c r="AB15" s="367" t="s">
        <v>569</v>
      </c>
      <c r="AC15" s="367">
        <v>1</v>
      </c>
      <c r="AD15" s="446" t="s">
        <v>340</v>
      </c>
      <c r="AH15" s="370"/>
    </row>
    <row r="16" spans="2:39" s="147" customFormat="1" ht="27" hidden="1" customHeight="1">
      <c r="B16" s="935"/>
      <c r="C16" s="936"/>
      <c r="D16" s="361">
        <v>10</v>
      </c>
      <c r="E16" s="440" t="s">
        <v>336</v>
      </c>
      <c r="F16" s="441">
        <f t="shared" si="1"/>
        <v>1444.8140000000005</v>
      </c>
      <c r="G16" s="365">
        <v>147.43000000000004</v>
      </c>
      <c r="H16" s="442">
        <v>5035.0899999999992</v>
      </c>
      <c r="I16" s="442">
        <v>5035.0899999999992</v>
      </c>
      <c r="J16" s="444">
        <f t="shared" si="2"/>
        <v>1</v>
      </c>
      <c r="K16" s="443">
        <v>5146.2</v>
      </c>
      <c r="L16" s="444">
        <f t="shared" si="3"/>
        <v>1.0220671328615776</v>
      </c>
      <c r="M16" s="443">
        <v>111.11000000000001</v>
      </c>
      <c r="N16" s="444">
        <f t="shared" si="4"/>
        <v>2.2067132861577455E-2</v>
      </c>
      <c r="O16" s="445">
        <f t="shared" si="5"/>
        <v>5257.3099999999995</v>
      </c>
      <c r="P16" s="444">
        <f t="shared" si="6"/>
        <v>1.0441342657231549</v>
      </c>
      <c r="Q16" s="442">
        <v>9.8000000000000007</v>
      </c>
      <c r="R16" s="444">
        <f t="shared" si="7"/>
        <v>1.9463405817969496E-3</v>
      </c>
      <c r="S16" s="445">
        <f t="shared" si="8"/>
        <v>222.22000000000025</v>
      </c>
      <c r="T16" s="444">
        <f t="shared" si="9"/>
        <v>4.4134265723154958E-2</v>
      </c>
      <c r="U16" s="364">
        <f t="shared" si="10"/>
        <v>32761.894600000047</v>
      </c>
      <c r="Y16" s="366" t="s">
        <v>417</v>
      </c>
      <c r="Z16" s="366" t="s">
        <v>215</v>
      </c>
      <c r="AA16" s="367" t="s">
        <v>602</v>
      </c>
      <c r="AB16" s="367" t="s">
        <v>569</v>
      </c>
      <c r="AC16" s="367">
        <v>1</v>
      </c>
      <c r="AD16" s="446" t="s">
        <v>340</v>
      </c>
      <c r="AH16" s="370"/>
    </row>
    <row r="17" spans="2:39" s="147" customFormat="1" ht="27" hidden="1" customHeight="1">
      <c r="B17" s="935"/>
      <c r="C17" s="936"/>
      <c r="D17" s="361">
        <v>11</v>
      </c>
      <c r="E17" s="440" t="s">
        <v>475</v>
      </c>
      <c r="F17" s="441">
        <f t="shared" si="1"/>
        <v>1278.9310999999998</v>
      </c>
      <c r="G17" s="365">
        <v>118.30999999999997</v>
      </c>
      <c r="H17" s="442">
        <v>825.54</v>
      </c>
      <c r="I17" s="442">
        <v>825.54</v>
      </c>
      <c r="J17" s="444">
        <f t="shared" si="2"/>
        <v>1</v>
      </c>
      <c r="K17" s="443">
        <v>847.87</v>
      </c>
      <c r="L17" s="444">
        <f t="shared" si="3"/>
        <v>1.0270489618916103</v>
      </c>
      <c r="M17" s="443">
        <v>17.03</v>
      </c>
      <c r="N17" s="444">
        <f t="shared" si="4"/>
        <v>2.0628921675509365E-2</v>
      </c>
      <c r="O17" s="445">
        <f t="shared" si="5"/>
        <v>864.9</v>
      </c>
      <c r="P17" s="444">
        <f t="shared" si="6"/>
        <v>1.0476778835671197</v>
      </c>
      <c r="Q17" s="442">
        <v>10.81</v>
      </c>
      <c r="R17" s="444">
        <f t="shared" si="7"/>
        <v>1.3094459384160671E-2</v>
      </c>
      <c r="S17" s="445">
        <f t="shared" si="8"/>
        <v>39.360000000000014</v>
      </c>
      <c r="T17" s="444">
        <f t="shared" si="9"/>
        <v>4.7677883567119723E-2</v>
      </c>
      <c r="U17" s="364">
        <f t="shared" si="10"/>
        <v>4656.6816000000008</v>
      </c>
      <c r="Y17" s="366" t="s">
        <v>417</v>
      </c>
      <c r="Z17" s="366" t="s">
        <v>445</v>
      </c>
      <c r="AA17" s="367" t="s">
        <v>546</v>
      </c>
      <c r="AB17" s="367" t="s">
        <v>454</v>
      </c>
      <c r="AC17" s="367">
        <v>1</v>
      </c>
      <c r="AD17" s="446" t="s">
        <v>472</v>
      </c>
      <c r="AH17" s="370"/>
    </row>
    <row r="18" spans="2:39" s="147" customFormat="1" ht="27" hidden="1" customHeight="1">
      <c r="B18" s="935"/>
      <c r="C18" s="936"/>
      <c r="D18" s="361">
        <v>12</v>
      </c>
      <c r="E18" s="440" t="s">
        <v>582</v>
      </c>
      <c r="F18" s="441">
        <f t="shared" si="1"/>
        <v>1236.24</v>
      </c>
      <c r="G18" s="365">
        <v>24.240000000000002</v>
      </c>
      <c r="H18" s="442">
        <v>20191</v>
      </c>
      <c r="I18" s="442">
        <v>20191</v>
      </c>
      <c r="J18" s="444">
        <f t="shared" si="2"/>
        <v>1</v>
      </c>
      <c r="K18" s="443">
        <v>20242</v>
      </c>
      <c r="L18" s="444">
        <f t="shared" si="3"/>
        <v>1.0025258778663761</v>
      </c>
      <c r="M18" s="443">
        <v>0</v>
      </c>
      <c r="N18" s="444">
        <f t="shared" si="4"/>
        <v>0</v>
      </c>
      <c r="O18" s="445">
        <f t="shared" si="5"/>
        <v>20242</v>
      </c>
      <c r="P18" s="444">
        <f t="shared" si="6"/>
        <v>1.0025258778663761</v>
      </c>
      <c r="Q18" s="442">
        <v>51</v>
      </c>
      <c r="R18" s="444">
        <f t="shared" si="7"/>
        <v>2.5258778663761082E-3</v>
      </c>
      <c r="S18" s="445">
        <f t="shared" si="8"/>
        <v>51</v>
      </c>
      <c r="T18" s="444">
        <f t="shared" si="9"/>
        <v>2.5258778663761082E-3</v>
      </c>
      <c r="U18" s="364">
        <f t="shared" si="10"/>
        <v>1236.24</v>
      </c>
      <c r="Y18" s="366" t="s">
        <v>417</v>
      </c>
      <c r="Z18" s="366" t="s">
        <v>337</v>
      </c>
      <c r="AA18" s="367" t="s">
        <v>588</v>
      </c>
      <c r="AB18" s="367" t="s">
        <v>589</v>
      </c>
      <c r="AC18" s="367">
        <v>1</v>
      </c>
      <c r="AD18" s="446" t="s">
        <v>580</v>
      </c>
    </row>
    <row r="19" spans="2:39" s="147" customFormat="1" ht="27" hidden="1" customHeight="1">
      <c r="B19" s="935"/>
      <c r="C19" s="936"/>
      <c r="D19" s="361">
        <v>13</v>
      </c>
      <c r="E19" s="440" t="s">
        <v>474</v>
      </c>
      <c r="F19" s="441">
        <f t="shared" si="1"/>
        <v>1224.0359999999998</v>
      </c>
      <c r="G19" s="365">
        <v>84.3</v>
      </c>
      <c r="H19" s="442">
        <v>1341.0100000000002</v>
      </c>
      <c r="I19" s="442">
        <v>1341.0100000000002</v>
      </c>
      <c r="J19" s="444">
        <f t="shared" si="2"/>
        <v>1</v>
      </c>
      <c r="K19" s="443">
        <v>1392</v>
      </c>
      <c r="L19" s="444">
        <f t="shared" si="3"/>
        <v>1.038023579242511</v>
      </c>
      <c r="M19" s="443">
        <v>46.290000000000006</v>
      </c>
      <c r="N19" s="444">
        <f t="shared" si="4"/>
        <v>3.4518758249379201E-2</v>
      </c>
      <c r="O19" s="445">
        <f t="shared" si="5"/>
        <v>1438.29</v>
      </c>
      <c r="P19" s="444">
        <f t="shared" si="6"/>
        <v>1.0725423374918903</v>
      </c>
      <c r="Q19" s="442">
        <v>14.52</v>
      </c>
      <c r="R19" s="444">
        <f t="shared" si="7"/>
        <v>1.0827659748995157E-2</v>
      </c>
      <c r="S19" s="445">
        <f t="shared" si="8"/>
        <v>97.279999999999745</v>
      </c>
      <c r="T19" s="444">
        <f t="shared" si="9"/>
        <v>7.2542337491890235E-2</v>
      </c>
      <c r="U19" s="364">
        <f t="shared" si="10"/>
        <v>8200.7039999999779</v>
      </c>
      <c r="Y19" s="366" t="s">
        <v>417</v>
      </c>
      <c r="Z19" s="366" t="s">
        <v>445</v>
      </c>
      <c r="AA19" s="367" t="s">
        <v>479</v>
      </c>
      <c r="AB19" s="367" t="s">
        <v>590</v>
      </c>
      <c r="AC19" s="367">
        <v>1</v>
      </c>
      <c r="AD19" s="446" t="s">
        <v>473</v>
      </c>
    </row>
    <row r="20" spans="2:39" s="147" customFormat="1" ht="27" hidden="1" customHeight="1">
      <c r="B20" s="935"/>
      <c r="C20" s="936"/>
      <c r="D20" s="361">
        <v>14</v>
      </c>
      <c r="E20" s="440" t="s">
        <v>598</v>
      </c>
      <c r="F20" s="441">
        <f t="shared" si="1"/>
        <v>1189.8800000000001</v>
      </c>
      <c r="G20" s="365">
        <v>6.04</v>
      </c>
      <c r="H20" s="442">
        <v>9310</v>
      </c>
      <c r="I20" s="442">
        <v>9310</v>
      </c>
      <c r="J20" s="444">
        <f t="shared" si="2"/>
        <v>1</v>
      </c>
      <c r="K20" s="443">
        <v>9507</v>
      </c>
      <c r="L20" s="444">
        <f t="shared" si="3"/>
        <v>1.0211600429645542</v>
      </c>
      <c r="M20" s="443">
        <v>0</v>
      </c>
      <c r="N20" s="444">
        <f t="shared" si="4"/>
        <v>0</v>
      </c>
      <c r="O20" s="445">
        <f t="shared" si="5"/>
        <v>9507</v>
      </c>
      <c r="P20" s="444">
        <f t="shared" si="6"/>
        <v>1.0211600429645542</v>
      </c>
      <c r="Q20" s="442">
        <v>197</v>
      </c>
      <c r="R20" s="444">
        <f t="shared" si="7"/>
        <v>2.1160042964554242E-2</v>
      </c>
      <c r="S20" s="445">
        <f t="shared" si="8"/>
        <v>197</v>
      </c>
      <c r="T20" s="444">
        <f t="shared" si="9"/>
        <v>2.1160042964554242E-2</v>
      </c>
      <c r="U20" s="364">
        <f t="shared" si="10"/>
        <v>1189.8800000000001</v>
      </c>
      <c r="Y20" s="366" t="s">
        <v>417</v>
      </c>
      <c r="Z20" s="366" t="s">
        <v>337</v>
      </c>
      <c r="AA20" s="366" t="s">
        <v>604</v>
      </c>
      <c r="AB20" s="367" t="s">
        <v>605</v>
      </c>
      <c r="AC20" s="367">
        <v>1</v>
      </c>
      <c r="AD20" s="446" t="s">
        <v>508</v>
      </c>
    </row>
    <row r="21" spans="2:39" s="147" customFormat="1" ht="27" hidden="1" customHeight="1">
      <c r="B21" s="935"/>
      <c r="C21" s="936"/>
      <c r="D21" s="361">
        <v>15</v>
      </c>
      <c r="E21" s="440" t="s">
        <v>476</v>
      </c>
      <c r="F21" s="441">
        <f t="shared" si="1"/>
        <v>1061.9531999999999</v>
      </c>
      <c r="G21" s="365">
        <v>421.40999999999997</v>
      </c>
      <c r="H21" s="442">
        <v>214.66</v>
      </c>
      <c r="I21" s="442">
        <v>214.66</v>
      </c>
      <c r="J21" s="444">
        <f t="shared" si="2"/>
        <v>1</v>
      </c>
      <c r="K21" s="443">
        <v>221.85999999999996</v>
      </c>
      <c r="L21" s="444">
        <f t="shared" si="3"/>
        <v>1.0335414143296373</v>
      </c>
      <c r="M21" s="443">
        <v>6.12</v>
      </c>
      <c r="N21" s="444">
        <f t="shared" si="4"/>
        <v>2.8510202180191933E-2</v>
      </c>
      <c r="O21" s="445">
        <f t="shared" si="5"/>
        <v>227.97999999999996</v>
      </c>
      <c r="P21" s="444">
        <f t="shared" si="6"/>
        <v>1.0620516165098293</v>
      </c>
      <c r="Q21" s="442">
        <v>2.52</v>
      </c>
      <c r="R21" s="444">
        <f t="shared" si="7"/>
        <v>1.1739495015373148E-2</v>
      </c>
      <c r="S21" s="445">
        <f t="shared" si="8"/>
        <v>13.319999999999965</v>
      </c>
      <c r="T21" s="444">
        <f t="shared" si="9"/>
        <v>6.2051616509829335E-2</v>
      </c>
      <c r="U21" s="364">
        <f t="shared" si="10"/>
        <v>5613.1811999999845</v>
      </c>
      <c r="Y21" s="366" t="s">
        <v>417</v>
      </c>
      <c r="Z21" s="366" t="s">
        <v>445</v>
      </c>
      <c r="AA21" s="367" t="s">
        <v>621</v>
      </c>
      <c r="AB21" s="367" t="s">
        <v>569</v>
      </c>
      <c r="AC21" s="367">
        <v>1</v>
      </c>
      <c r="AD21" s="446" t="s">
        <v>440</v>
      </c>
    </row>
    <row r="22" spans="2:39" s="147" customFormat="1" ht="27" hidden="1" customHeight="1">
      <c r="B22" s="935"/>
      <c r="C22" s="936"/>
      <c r="D22" s="361">
        <v>16</v>
      </c>
      <c r="E22" s="440" t="s">
        <v>483</v>
      </c>
      <c r="F22" s="441">
        <f t="shared" si="1"/>
        <v>1055.9534999999996</v>
      </c>
      <c r="G22" s="365">
        <v>370.50999999999993</v>
      </c>
      <c r="H22" s="442">
        <v>397.08000000000004</v>
      </c>
      <c r="I22" s="442">
        <v>397.08000000000004</v>
      </c>
      <c r="J22" s="444">
        <f t="shared" si="2"/>
        <v>1</v>
      </c>
      <c r="K22" s="443">
        <v>408.84000000000003</v>
      </c>
      <c r="L22" s="444">
        <f t="shared" si="3"/>
        <v>1.0296161982472045</v>
      </c>
      <c r="M22" s="443">
        <v>11.759999999999998</v>
      </c>
      <c r="N22" s="444">
        <f t="shared" si="4"/>
        <v>2.9616198247204586E-2</v>
      </c>
      <c r="O22" s="445">
        <f t="shared" si="5"/>
        <v>420.6</v>
      </c>
      <c r="P22" s="444">
        <f t="shared" si="6"/>
        <v>1.059232396494409</v>
      </c>
      <c r="Q22" s="442">
        <v>2.8499999999999996</v>
      </c>
      <c r="R22" s="444">
        <f t="shared" si="7"/>
        <v>7.1773949833786625E-3</v>
      </c>
      <c r="S22" s="445">
        <f t="shared" si="8"/>
        <v>23.519999999999982</v>
      </c>
      <c r="T22" s="444">
        <f t="shared" si="9"/>
        <v>5.9232396494409138E-2</v>
      </c>
      <c r="U22" s="364">
        <f t="shared" si="10"/>
        <v>8714.3951999999917</v>
      </c>
      <c r="Y22" s="366" t="s">
        <v>417</v>
      </c>
      <c r="Z22" s="366" t="s">
        <v>445</v>
      </c>
      <c r="AA22" s="367" t="s">
        <v>622</v>
      </c>
      <c r="AB22" s="367" t="s">
        <v>569</v>
      </c>
      <c r="AC22" s="367">
        <v>1</v>
      </c>
      <c r="AD22" s="446" t="s">
        <v>353</v>
      </c>
    </row>
    <row r="23" spans="2:39" s="147" customFormat="1" ht="27" hidden="1" customHeight="1">
      <c r="B23" s="935"/>
      <c r="C23" s="936"/>
      <c r="D23" s="361">
        <v>17</v>
      </c>
      <c r="E23" s="440" t="s">
        <v>599</v>
      </c>
      <c r="F23" s="441">
        <f t="shared" si="1"/>
        <v>1044.9264000000001</v>
      </c>
      <c r="G23" s="365">
        <v>153.44000000000003</v>
      </c>
      <c r="H23" s="442">
        <v>2546.5</v>
      </c>
      <c r="I23" s="442">
        <v>2546.5</v>
      </c>
      <c r="J23" s="444">
        <f t="shared" si="2"/>
        <v>1</v>
      </c>
      <c r="K23" s="443">
        <v>2580.71</v>
      </c>
      <c r="L23" s="444">
        <f t="shared" si="3"/>
        <v>1.0134341252699783</v>
      </c>
      <c r="M23" s="443">
        <v>34.21</v>
      </c>
      <c r="N23" s="444">
        <f t="shared" si="4"/>
        <v>1.3434125269978402E-2</v>
      </c>
      <c r="O23" s="445">
        <f t="shared" si="5"/>
        <v>2614.92</v>
      </c>
      <c r="P23" s="444">
        <f t="shared" si="6"/>
        <v>1.0268682505399569</v>
      </c>
      <c r="Q23" s="442">
        <v>6.81</v>
      </c>
      <c r="R23" s="444">
        <f t="shared" si="7"/>
        <v>2.6742587865698016E-3</v>
      </c>
      <c r="S23" s="445">
        <f t="shared" si="8"/>
        <v>68.420000000000073</v>
      </c>
      <c r="T23" s="444">
        <f t="shared" si="9"/>
        <v>2.6868250539956832E-2</v>
      </c>
      <c r="U23" s="364">
        <f t="shared" si="10"/>
        <v>10498.364800000012</v>
      </c>
      <c r="Y23" s="366" t="s">
        <v>417</v>
      </c>
      <c r="Z23" s="366" t="s">
        <v>445</v>
      </c>
      <c r="AA23" s="367" t="s">
        <v>527</v>
      </c>
      <c r="AB23" s="367" t="s">
        <v>455</v>
      </c>
      <c r="AC23" s="367">
        <v>1</v>
      </c>
      <c r="AD23" s="446" t="s">
        <v>465</v>
      </c>
    </row>
    <row r="24" spans="2:39" s="147" customFormat="1" ht="27" hidden="1" customHeight="1">
      <c r="B24" s="935"/>
      <c r="C24" s="936"/>
      <c r="D24" s="361">
        <v>18</v>
      </c>
      <c r="E24" s="440" t="s">
        <v>438</v>
      </c>
      <c r="F24" s="441">
        <f t="shared" si="1"/>
        <v>1040.6252999999999</v>
      </c>
      <c r="G24" s="365">
        <v>181.60999999999999</v>
      </c>
      <c r="H24" s="442">
        <v>464.32</v>
      </c>
      <c r="I24" s="442">
        <v>464.32</v>
      </c>
      <c r="J24" s="444">
        <f t="shared" si="2"/>
        <v>1</v>
      </c>
      <c r="K24" s="443">
        <v>484.01</v>
      </c>
      <c r="L24" s="444">
        <f t="shared" si="3"/>
        <v>1.0424060992419022</v>
      </c>
      <c r="M24" s="443">
        <v>19.690000000000001</v>
      </c>
      <c r="N24" s="444">
        <f t="shared" si="4"/>
        <v>4.240609924190214E-2</v>
      </c>
      <c r="O24" s="445">
        <f t="shared" si="5"/>
        <v>503.7</v>
      </c>
      <c r="P24" s="444">
        <f t="shared" si="6"/>
        <v>1.0848121984838042</v>
      </c>
      <c r="Q24" s="442">
        <v>5.73</v>
      </c>
      <c r="R24" s="444">
        <f t="shared" si="7"/>
        <v>1.2340627153687113E-2</v>
      </c>
      <c r="S24" s="445">
        <f t="shared" si="8"/>
        <v>39.379999999999995</v>
      </c>
      <c r="T24" s="444">
        <f t="shared" si="9"/>
        <v>8.4812198483804266E-2</v>
      </c>
      <c r="U24" s="364">
        <f t="shared" si="10"/>
        <v>7151.8017999999984</v>
      </c>
      <c r="Y24" s="366" t="s">
        <v>417</v>
      </c>
      <c r="Z24" s="366" t="s">
        <v>445</v>
      </c>
      <c r="AA24" s="367" t="s">
        <v>546</v>
      </c>
      <c r="AB24" s="367" t="s">
        <v>454</v>
      </c>
      <c r="AC24" s="367">
        <v>1</v>
      </c>
      <c r="AD24" s="446" t="s">
        <v>437</v>
      </c>
    </row>
    <row r="25" spans="2:39" s="147" customFormat="1" ht="27" hidden="1" customHeight="1">
      <c r="B25" s="935"/>
      <c r="C25" s="936"/>
      <c r="D25" s="361">
        <v>19</v>
      </c>
      <c r="E25" s="440" t="s">
        <v>600</v>
      </c>
      <c r="F25" s="441">
        <f t="shared" si="1"/>
        <v>1030.7355</v>
      </c>
      <c r="G25" s="365">
        <v>413.94999999999993</v>
      </c>
      <c r="H25" s="442">
        <v>545.73</v>
      </c>
      <c r="I25" s="442">
        <v>545.73</v>
      </c>
      <c r="J25" s="444">
        <f t="shared" si="2"/>
        <v>1</v>
      </c>
      <c r="K25" s="443">
        <v>558.84</v>
      </c>
      <c r="L25" s="444">
        <f t="shared" si="3"/>
        <v>1.0240228684514321</v>
      </c>
      <c r="M25" s="443">
        <v>12.41</v>
      </c>
      <c r="N25" s="444">
        <f t="shared" si="4"/>
        <v>2.2740182874315135E-2</v>
      </c>
      <c r="O25" s="445">
        <f t="shared" si="5"/>
        <v>571.25</v>
      </c>
      <c r="P25" s="444">
        <f t="shared" si="6"/>
        <v>1.0467630513257471</v>
      </c>
      <c r="Q25" s="442">
        <v>2.4900000000000002</v>
      </c>
      <c r="R25" s="444">
        <f t="shared" si="7"/>
        <v>4.5626958386015062E-3</v>
      </c>
      <c r="S25" s="445">
        <f t="shared" si="8"/>
        <v>25.519999999999982</v>
      </c>
      <c r="T25" s="444">
        <f t="shared" si="9"/>
        <v>4.6763051325747131E-2</v>
      </c>
      <c r="U25" s="364">
        <f t="shared" si="10"/>
        <v>10564.00399999999</v>
      </c>
      <c r="V25" s="145"/>
      <c r="W25" s="145"/>
      <c r="X25" s="145"/>
      <c r="Y25" s="366" t="s">
        <v>417</v>
      </c>
      <c r="Z25" s="366" t="s">
        <v>445</v>
      </c>
      <c r="AA25" s="367" t="s">
        <v>527</v>
      </c>
      <c r="AB25" s="367" t="s">
        <v>455</v>
      </c>
      <c r="AC25" s="367">
        <v>1</v>
      </c>
      <c r="AD25" s="446" t="s">
        <v>597</v>
      </c>
      <c r="AG25" s="371"/>
      <c r="AH25" s="370"/>
    </row>
    <row r="26" spans="2:39" s="147" customFormat="1" ht="27" hidden="1" customHeight="1">
      <c r="B26" s="937"/>
      <c r="C26" s="938"/>
      <c r="D26" s="361">
        <v>20</v>
      </c>
      <c r="E26" s="440" t="s">
        <v>618</v>
      </c>
      <c r="F26" s="441">
        <f t="shared" si="1"/>
        <v>1027.52</v>
      </c>
      <c r="G26" s="365">
        <v>2.08</v>
      </c>
      <c r="H26" s="442">
        <v>47604</v>
      </c>
      <c r="I26" s="442">
        <v>47604</v>
      </c>
      <c r="J26" s="444">
        <f t="shared" si="2"/>
        <v>1</v>
      </c>
      <c r="K26" s="443">
        <v>48098</v>
      </c>
      <c r="L26" s="444">
        <f t="shared" si="3"/>
        <v>1.0103772792202337</v>
      </c>
      <c r="M26" s="443">
        <v>0</v>
      </c>
      <c r="N26" s="444">
        <f t="shared" si="4"/>
        <v>0</v>
      </c>
      <c r="O26" s="445">
        <f t="shared" si="5"/>
        <v>48098</v>
      </c>
      <c r="P26" s="444">
        <f t="shared" si="6"/>
        <v>1.0103772792202337</v>
      </c>
      <c r="Q26" s="442">
        <v>494</v>
      </c>
      <c r="R26" s="444">
        <f t="shared" si="7"/>
        <v>1.0377279220233593E-2</v>
      </c>
      <c r="S26" s="445">
        <f t="shared" si="8"/>
        <v>494</v>
      </c>
      <c r="T26" s="444">
        <f t="shared" si="9"/>
        <v>1.0377279220233593E-2</v>
      </c>
      <c r="U26" s="364">
        <f t="shared" si="10"/>
        <v>1027.52</v>
      </c>
      <c r="V26" s="145"/>
      <c r="W26" s="145"/>
      <c r="X26" s="145"/>
      <c r="Y26" s="366" t="s">
        <v>417</v>
      </c>
      <c r="Z26" s="366" t="s">
        <v>445</v>
      </c>
      <c r="AA26" s="367" t="s">
        <v>623</v>
      </c>
      <c r="AB26" s="367" t="s">
        <v>605</v>
      </c>
      <c r="AC26" s="367">
        <v>1</v>
      </c>
      <c r="AD26" s="446" t="s">
        <v>530</v>
      </c>
      <c r="AG26" s="371"/>
      <c r="AH26" s="370"/>
    </row>
    <row r="27" spans="2:39" ht="17.100000000000001" hidden="1" customHeight="1">
      <c r="B27" s="987" t="s">
        <v>442</v>
      </c>
      <c r="C27" s="988"/>
      <c r="D27" s="980" t="s">
        <v>549</v>
      </c>
      <c r="E27" s="966" t="s">
        <v>550</v>
      </c>
      <c r="F27" s="922" t="s">
        <v>551</v>
      </c>
      <c r="G27" s="922" t="s">
        <v>552</v>
      </c>
      <c r="H27" s="956" t="s">
        <v>553</v>
      </c>
      <c r="I27" s="939" t="s">
        <v>554</v>
      </c>
      <c r="J27" s="940"/>
      <c r="K27" s="939" t="s">
        <v>555</v>
      </c>
      <c r="L27" s="940"/>
      <c r="M27" s="939" t="s">
        <v>556</v>
      </c>
      <c r="N27" s="940"/>
      <c r="O27" s="939" t="s">
        <v>557</v>
      </c>
      <c r="P27" s="940"/>
      <c r="Q27" s="939" t="s">
        <v>418</v>
      </c>
      <c r="R27" s="940"/>
      <c r="S27" s="941" t="s">
        <v>419</v>
      </c>
      <c r="T27" s="942"/>
      <c r="U27" s="943"/>
      <c r="Y27" s="947" t="s">
        <v>171</v>
      </c>
      <c r="Z27" s="947" t="s">
        <v>245</v>
      </c>
      <c r="AA27" s="947" t="s">
        <v>558</v>
      </c>
      <c r="AB27" s="947" t="s">
        <v>444</v>
      </c>
      <c r="AC27" s="947" t="s">
        <v>246</v>
      </c>
      <c r="AD27" s="922" t="s">
        <v>172</v>
      </c>
      <c r="AF27" s="924" t="s">
        <v>247</v>
      </c>
      <c r="AG27" s="925"/>
      <c r="AH27" s="925"/>
      <c r="AI27" s="925"/>
      <c r="AJ27" s="925"/>
      <c r="AK27" s="925"/>
      <c r="AL27" s="925"/>
      <c r="AM27" s="926"/>
    </row>
    <row r="28" spans="2:39" hidden="1">
      <c r="B28" s="951"/>
      <c r="C28" s="952"/>
      <c r="D28" s="981"/>
      <c r="E28" s="967"/>
      <c r="F28" s="923"/>
      <c r="G28" s="923"/>
      <c r="H28" s="990"/>
      <c r="I28" s="439" t="s">
        <v>559</v>
      </c>
      <c r="J28" s="362" t="s">
        <v>560</v>
      </c>
      <c r="K28" s="439" t="s">
        <v>559</v>
      </c>
      <c r="L28" s="362" t="s">
        <v>560</v>
      </c>
      <c r="M28" s="439" t="s">
        <v>559</v>
      </c>
      <c r="N28" s="362" t="s">
        <v>560</v>
      </c>
      <c r="O28" s="439" t="s">
        <v>559</v>
      </c>
      <c r="P28" s="362" t="s">
        <v>560</v>
      </c>
      <c r="Q28" s="439" t="s">
        <v>559</v>
      </c>
      <c r="R28" s="362" t="s">
        <v>560</v>
      </c>
      <c r="S28" s="439" t="s">
        <v>559</v>
      </c>
      <c r="T28" s="362" t="s">
        <v>560</v>
      </c>
      <c r="U28" s="362" t="s">
        <v>561</v>
      </c>
      <c r="Y28" s="948"/>
      <c r="Z28" s="948"/>
      <c r="AA28" s="948"/>
      <c r="AB28" s="948"/>
      <c r="AC28" s="948"/>
      <c r="AD28" s="923"/>
      <c r="AF28" s="927"/>
      <c r="AG28" s="928"/>
      <c r="AH28" s="928"/>
      <c r="AI28" s="928"/>
      <c r="AJ28" s="928"/>
      <c r="AK28" s="928"/>
      <c r="AL28" s="928"/>
      <c r="AM28" s="929"/>
    </row>
    <row r="29" spans="2:39" s="147" customFormat="1" ht="27" hidden="1" customHeight="1">
      <c r="B29" s="933" t="s">
        <v>625</v>
      </c>
      <c r="C29" s="934"/>
      <c r="D29" s="361">
        <v>1</v>
      </c>
      <c r="E29" s="440" t="s">
        <v>335</v>
      </c>
      <c r="F29" s="441">
        <f>IFERROR(Q29*G29,"-")</f>
        <v>3275.4</v>
      </c>
      <c r="G29" s="365">
        <v>15.450000000000001</v>
      </c>
      <c r="H29" s="442">
        <v>78076</v>
      </c>
      <c r="I29" s="442">
        <v>78076</v>
      </c>
      <c r="J29" s="444">
        <f>IFERROR(I29/H29,"-")</f>
        <v>1</v>
      </c>
      <c r="K29" s="443">
        <v>78289</v>
      </c>
      <c r="L29" s="444">
        <f>IFERROR(K29/H29,"-")</f>
        <v>1.0027281110712638</v>
      </c>
      <c r="M29" s="443">
        <v>0</v>
      </c>
      <c r="N29" s="444">
        <f>IFERROR(M29/H29,"-")</f>
        <v>0</v>
      </c>
      <c r="O29" s="445">
        <f>IFERROR(K29+M29,"-")</f>
        <v>78289</v>
      </c>
      <c r="P29" s="444">
        <f>IFERROR(O29/H29,"-")</f>
        <v>1.0027281110712638</v>
      </c>
      <c r="Q29" s="442">
        <v>212</v>
      </c>
      <c r="R29" s="444">
        <f>IFERROR(Q29/H29,"-")</f>
        <v>2.7153030380654745E-3</v>
      </c>
      <c r="S29" s="445">
        <f>IFERROR(O29-H29,"-")</f>
        <v>213</v>
      </c>
      <c r="T29" s="444">
        <f>IFERROR(S29/H29,"-")</f>
        <v>2.7281110712638968E-3</v>
      </c>
      <c r="U29" s="364">
        <f>IFERROR(S29*G29,"-")</f>
        <v>3290.8500000000004</v>
      </c>
      <c r="V29" s="145"/>
      <c r="W29" s="145"/>
      <c r="X29" s="145"/>
      <c r="Y29" s="366" t="s">
        <v>417</v>
      </c>
      <c r="Z29" s="366" t="s">
        <v>216</v>
      </c>
      <c r="AA29" s="367" t="s">
        <v>466</v>
      </c>
      <c r="AB29" s="367" t="s">
        <v>569</v>
      </c>
      <c r="AC29" s="367">
        <v>1</v>
      </c>
      <c r="AD29" s="446" t="s">
        <v>523</v>
      </c>
      <c r="AF29" s="930"/>
      <c r="AG29" s="931"/>
      <c r="AH29" s="931"/>
      <c r="AI29" s="931"/>
      <c r="AJ29" s="931"/>
      <c r="AK29" s="931"/>
      <c r="AL29" s="931"/>
      <c r="AM29" s="932"/>
    </row>
    <row r="30" spans="2:39" s="147" customFormat="1" ht="27" hidden="1" customHeight="1">
      <c r="B30" s="935"/>
      <c r="C30" s="936"/>
      <c r="D30" s="361">
        <v>2</v>
      </c>
      <c r="E30" s="440" t="s">
        <v>448</v>
      </c>
      <c r="F30" s="441">
        <f t="shared" ref="F30:F48" si="12">IFERROR(Q30*G30,"-")</f>
        <v>3268.2999999999997</v>
      </c>
      <c r="G30" s="365">
        <v>2.4499999999999997</v>
      </c>
      <c r="H30" s="442">
        <v>150466</v>
      </c>
      <c r="I30" s="442">
        <v>150466</v>
      </c>
      <c r="J30" s="444">
        <f t="shared" ref="J30:J48" si="13">IFERROR(I30/H30,"-")</f>
        <v>1</v>
      </c>
      <c r="K30" s="443">
        <v>151800</v>
      </c>
      <c r="L30" s="444">
        <f t="shared" ref="L30:L48" si="14">IFERROR(K30/H30,"-")</f>
        <v>1.0088657902782023</v>
      </c>
      <c r="M30" s="443">
        <v>0</v>
      </c>
      <c r="N30" s="444">
        <f t="shared" ref="N30:N48" si="15">IFERROR(M30/H30,"-")</f>
        <v>0</v>
      </c>
      <c r="O30" s="445">
        <f t="shared" ref="O30:O48" si="16">IFERROR(K30+M30,"-")</f>
        <v>151800</v>
      </c>
      <c r="P30" s="444">
        <f t="shared" ref="P30:P48" si="17">IFERROR(O30/H30,"-")</f>
        <v>1.0088657902782023</v>
      </c>
      <c r="Q30" s="442">
        <v>1334</v>
      </c>
      <c r="R30" s="444">
        <f t="shared" ref="R30:R48" si="18">IFERROR(Q30/H30,"-")</f>
        <v>8.8657902782023849E-3</v>
      </c>
      <c r="S30" s="445">
        <f t="shared" ref="S30:S48" si="19">IFERROR(O30-H30,"-")</f>
        <v>1334</v>
      </c>
      <c r="T30" s="444">
        <f t="shared" ref="T30:T48" si="20">IFERROR(S30/H30,"-")</f>
        <v>8.8657902782023849E-3</v>
      </c>
      <c r="U30" s="364">
        <f t="shared" ref="U30:U48" si="21">IFERROR(S30*G30,"-")</f>
        <v>3268.2999999999997</v>
      </c>
      <c r="V30" s="145"/>
      <c r="W30" s="145"/>
      <c r="X30" s="145"/>
      <c r="Y30" s="366" t="s">
        <v>417</v>
      </c>
      <c r="Z30" s="366" t="s">
        <v>337</v>
      </c>
      <c r="AA30" s="367" t="s">
        <v>467</v>
      </c>
      <c r="AB30" s="367" t="s">
        <v>468</v>
      </c>
      <c r="AC30" s="367">
        <v>1</v>
      </c>
      <c r="AD30" s="446" t="s">
        <v>340</v>
      </c>
      <c r="AF30" s="160" t="s">
        <v>244</v>
      </c>
      <c r="AG30" s="160" t="s">
        <v>445</v>
      </c>
      <c r="AH30" s="155" t="s">
        <v>562</v>
      </c>
      <c r="AI30" s="155" t="s">
        <v>337</v>
      </c>
      <c r="AJ30" s="155" t="s">
        <v>428</v>
      </c>
      <c r="AK30" s="155" t="s">
        <v>215</v>
      </c>
      <c r="AL30" s="155" t="s">
        <v>216</v>
      </c>
      <c r="AM30" s="155" t="s">
        <v>384</v>
      </c>
    </row>
    <row r="31" spans="2:39" s="147" customFormat="1" ht="27" hidden="1" customHeight="1">
      <c r="B31" s="935"/>
      <c r="C31" s="936"/>
      <c r="D31" s="361">
        <v>3</v>
      </c>
      <c r="E31" s="440" t="s">
        <v>447</v>
      </c>
      <c r="F31" s="441">
        <f t="shared" si="12"/>
        <v>2833.74</v>
      </c>
      <c r="G31" s="365">
        <v>1.17</v>
      </c>
      <c r="H31" s="442">
        <v>285494</v>
      </c>
      <c r="I31" s="442">
        <v>285494</v>
      </c>
      <c r="J31" s="444">
        <f t="shared" si="13"/>
        <v>1</v>
      </c>
      <c r="K31" s="443">
        <v>287916</v>
      </c>
      <c r="L31" s="444">
        <f t="shared" si="14"/>
        <v>1.0084835408099644</v>
      </c>
      <c r="M31" s="443">
        <v>0</v>
      </c>
      <c r="N31" s="444">
        <f t="shared" si="15"/>
        <v>0</v>
      </c>
      <c r="O31" s="445">
        <f t="shared" si="16"/>
        <v>287916</v>
      </c>
      <c r="P31" s="444">
        <f t="shared" si="17"/>
        <v>1.0084835408099644</v>
      </c>
      <c r="Q31" s="442">
        <v>2422</v>
      </c>
      <c r="R31" s="444">
        <f t="shared" si="18"/>
        <v>8.4835408099644821E-3</v>
      </c>
      <c r="S31" s="445">
        <f t="shared" si="19"/>
        <v>2422</v>
      </c>
      <c r="T31" s="444">
        <f t="shared" si="20"/>
        <v>8.4835408099644821E-3</v>
      </c>
      <c r="U31" s="364">
        <f t="shared" si="21"/>
        <v>2833.74</v>
      </c>
      <c r="V31" s="145"/>
      <c r="W31" s="145"/>
      <c r="X31" s="145"/>
      <c r="Y31" s="366" t="s">
        <v>417</v>
      </c>
      <c r="Z31" s="366" t="s">
        <v>337</v>
      </c>
      <c r="AA31" s="367" t="s">
        <v>469</v>
      </c>
      <c r="AB31" s="367" t="s">
        <v>526</v>
      </c>
      <c r="AC31" s="367">
        <v>1</v>
      </c>
      <c r="AD31" s="446" t="s">
        <v>340</v>
      </c>
      <c r="AF31" s="374">
        <f>SUM(AC29:AC48)</f>
        <v>20</v>
      </c>
      <c r="AG31" s="369">
        <f t="shared" ref="AG31:AM31" si="22">SUMIF($Z$29:$Z$48,TRIM(AG30),$AC$29:$AC$48)</f>
        <v>5</v>
      </c>
      <c r="AH31" s="369">
        <f t="shared" si="22"/>
        <v>0</v>
      </c>
      <c r="AI31" s="369">
        <f t="shared" si="22"/>
        <v>9</v>
      </c>
      <c r="AJ31" s="369">
        <f t="shared" si="22"/>
        <v>0</v>
      </c>
      <c r="AK31" s="369">
        <f t="shared" si="22"/>
        <v>1</v>
      </c>
      <c r="AL31" s="369">
        <f t="shared" si="22"/>
        <v>5</v>
      </c>
      <c r="AM31" s="369">
        <f t="shared" si="22"/>
        <v>0</v>
      </c>
    </row>
    <row r="32" spans="2:39" s="147" customFormat="1" ht="27" hidden="1" customHeight="1">
      <c r="B32" s="935"/>
      <c r="C32" s="936"/>
      <c r="D32" s="361">
        <v>4</v>
      </c>
      <c r="E32" s="440" t="s">
        <v>386</v>
      </c>
      <c r="F32" s="441">
        <f t="shared" si="12"/>
        <v>1752.6864000000003</v>
      </c>
      <c r="G32" s="365">
        <v>127.84000000000002</v>
      </c>
      <c r="H32" s="442">
        <v>4280.3500000000004</v>
      </c>
      <c r="I32" s="442">
        <v>4280.3500000000004</v>
      </c>
      <c r="J32" s="444">
        <f t="shared" si="13"/>
        <v>1</v>
      </c>
      <c r="K32" s="443">
        <v>4319.95</v>
      </c>
      <c r="L32" s="444">
        <f t="shared" si="14"/>
        <v>1.0092515798941675</v>
      </c>
      <c r="M32" s="443">
        <v>39.599999999999994</v>
      </c>
      <c r="N32" s="444">
        <f t="shared" si="15"/>
        <v>9.251579894167531E-3</v>
      </c>
      <c r="O32" s="445">
        <f t="shared" si="16"/>
        <v>4359.55</v>
      </c>
      <c r="P32" s="444">
        <f t="shared" si="17"/>
        <v>1.0185031597883349</v>
      </c>
      <c r="Q32" s="442">
        <v>13.71</v>
      </c>
      <c r="R32" s="444">
        <f t="shared" si="18"/>
        <v>3.2030090997231535E-3</v>
      </c>
      <c r="S32" s="445">
        <f t="shared" si="19"/>
        <v>79.199999999999818</v>
      </c>
      <c r="T32" s="444">
        <f t="shared" si="20"/>
        <v>1.850315978833502E-2</v>
      </c>
      <c r="U32" s="364">
        <f t="shared" si="21"/>
        <v>10124.927999999978</v>
      </c>
      <c r="V32" s="145"/>
      <c r="W32" s="145"/>
      <c r="X32" s="145"/>
      <c r="Y32" s="366" t="s">
        <v>417</v>
      </c>
      <c r="Z32" s="366" t="s">
        <v>445</v>
      </c>
      <c r="AA32" s="367" t="s">
        <v>570</v>
      </c>
      <c r="AB32" s="367" t="s">
        <v>571</v>
      </c>
      <c r="AC32" s="367">
        <v>1</v>
      </c>
      <c r="AD32" s="446" t="s">
        <v>340</v>
      </c>
      <c r="AF32" s="375" t="s">
        <v>11</v>
      </c>
      <c r="AG32" s="372">
        <f>SUMIF($Z$29:$Z48,TRIM(AG30),$F$29:$F$48)</f>
        <v>7264.2619999999997</v>
      </c>
      <c r="AH32" s="372">
        <f>SUMIF($Z$29:$Z48,TRIM(AH30),$F$29:$F$48)</f>
        <v>0</v>
      </c>
      <c r="AI32" s="372">
        <f>SUMIF($Z$29:$Z48,TRIM(AI30),$F$29:$F$48)</f>
        <v>15182.581999999999</v>
      </c>
      <c r="AJ32" s="372">
        <f>SUMIF($Z$29:$Z48,TRIM(AJ30),$F$29:$F$48)</f>
        <v>0</v>
      </c>
      <c r="AK32" s="372">
        <f>SUMIF($Z$29:$Z48,TRIM(AK30),$F$29:$F$48)</f>
        <v>1506.7346000000005</v>
      </c>
      <c r="AL32" s="372">
        <f>SUMIF($Z$29:$Z48,TRIM(AL30),$F$29:$F$48)</f>
        <v>8656.4228999999996</v>
      </c>
      <c r="AM32" s="372">
        <f>SUMIF($Z$29:$Z48,TRIM(AM30),$F$29:$F$48)</f>
        <v>0</v>
      </c>
    </row>
    <row r="33" spans="2:39" s="147" customFormat="1" ht="27" hidden="1" customHeight="1">
      <c r="B33" s="935"/>
      <c r="C33" s="936"/>
      <c r="D33" s="361">
        <v>5</v>
      </c>
      <c r="E33" s="440" t="s">
        <v>459</v>
      </c>
      <c r="F33" s="441">
        <f t="shared" si="12"/>
        <v>1647.7215999999994</v>
      </c>
      <c r="G33" s="365">
        <v>605.77999999999986</v>
      </c>
      <c r="H33" s="442">
        <v>1043.78</v>
      </c>
      <c r="I33" s="442">
        <v>1043.78</v>
      </c>
      <c r="J33" s="444">
        <f t="shared" si="13"/>
        <v>1</v>
      </c>
      <c r="K33" s="443">
        <v>1051.8799999999999</v>
      </c>
      <c r="L33" s="444">
        <f t="shared" si="14"/>
        <v>1.007760255992642</v>
      </c>
      <c r="M33" s="443">
        <v>7.0000000000000009</v>
      </c>
      <c r="N33" s="444">
        <f t="shared" si="15"/>
        <v>6.7063940677154201E-3</v>
      </c>
      <c r="O33" s="445">
        <f t="shared" si="16"/>
        <v>1058.8799999999999</v>
      </c>
      <c r="P33" s="444">
        <f t="shared" si="17"/>
        <v>1.0144666500603574</v>
      </c>
      <c r="Q33" s="442">
        <v>2.7199999999999998</v>
      </c>
      <c r="R33" s="444">
        <f t="shared" si="18"/>
        <v>2.6059131234551342E-3</v>
      </c>
      <c r="S33" s="445">
        <f t="shared" si="19"/>
        <v>15.099999999999909</v>
      </c>
      <c r="T33" s="444">
        <f t="shared" si="20"/>
        <v>1.446665006035746E-2</v>
      </c>
      <c r="U33" s="364">
        <f t="shared" si="21"/>
        <v>9147.277999999942</v>
      </c>
      <c r="V33" s="145"/>
      <c r="W33" s="145"/>
      <c r="X33" s="145"/>
      <c r="Y33" s="366" t="s">
        <v>417</v>
      </c>
      <c r="Z33" s="366" t="s">
        <v>337</v>
      </c>
      <c r="AA33" s="367" t="s">
        <v>586</v>
      </c>
      <c r="AB33" s="380" t="s">
        <v>587</v>
      </c>
      <c r="AC33" s="367">
        <v>1</v>
      </c>
      <c r="AD33" s="446" t="s">
        <v>342</v>
      </c>
      <c r="AF33" s="361" t="s">
        <v>563</v>
      </c>
      <c r="AG33" s="447">
        <f t="shared" ref="AG33:AM33" si="23">AG31/$AF31</f>
        <v>0.25</v>
      </c>
      <c r="AH33" s="447">
        <f t="shared" si="23"/>
        <v>0</v>
      </c>
      <c r="AI33" s="447">
        <f t="shared" si="23"/>
        <v>0.45</v>
      </c>
      <c r="AJ33" s="447">
        <f t="shared" si="23"/>
        <v>0</v>
      </c>
      <c r="AK33" s="447">
        <f t="shared" si="23"/>
        <v>0.05</v>
      </c>
      <c r="AL33" s="447">
        <f t="shared" si="23"/>
        <v>0.25</v>
      </c>
      <c r="AM33" s="447">
        <f t="shared" si="23"/>
        <v>0</v>
      </c>
    </row>
    <row r="34" spans="2:39" s="147" customFormat="1" ht="27" hidden="1" customHeight="1">
      <c r="B34" s="935"/>
      <c r="C34" s="936"/>
      <c r="D34" s="361">
        <v>6</v>
      </c>
      <c r="E34" s="440" t="s">
        <v>634</v>
      </c>
      <c r="F34" s="441">
        <f t="shared" si="12"/>
        <v>1585.211</v>
      </c>
      <c r="G34" s="365">
        <v>212.78</v>
      </c>
      <c r="H34" s="442">
        <v>908.13</v>
      </c>
      <c r="I34" s="442">
        <v>908.13</v>
      </c>
      <c r="J34" s="444">
        <f t="shared" si="13"/>
        <v>1</v>
      </c>
      <c r="K34" s="443">
        <v>933.74</v>
      </c>
      <c r="L34" s="444">
        <f t="shared" si="14"/>
        <v>1.0282008082543248</v>
      </c>
      <c r="M34" s="443">
        <v>25.61</v>
      </c>
      <c r="N34" s="444">
        <f t="shared" si="15"/>
        <v>2.8200808254324822E-2</v>
      </c>
      <c r="O34" s="445">
        <f t="shared" si="16"/>
        <v>959.35</v>
      </c>
      <c r="P34" s="444">
        <f t="shared" si="17"/>
        <v>1.0564016165086496</v>
      </c>
      <c r="Q34" s="442">
        <v>7.45</v>
      </c>
      <c r="R34" s="444">
        <f t="shared" si="18"/>
        <v>8.2036712805435355E-3</v>
      </c>
      <c r="S34" s="445">
        <f t="shared" si="19"/>
        <v>51.220000000000027</v>
      </c>
      <c r="T34" s="444">
        <f t="shared" si="20"/>
        <v>5.6401616508649673E-2</v>
      </c>
      <c r="U34" s="364">
        <f t="shared" si="21"/>
        <v>10898.591600000005</v>
      </c>
      <c r="V34" s="145"/>
      <c r="W34" s="145"/>
      <c r="X34" s="145"/>
      <c r="Y34" s="366" t="s">
        <v>417</v>
      </c>
      <c r="Z34" s="366" t="s">
        <v>445</v>
      </c>
      <c r="AA34" s="367" t="s">
        <v>546</v>
      </c>
      <c r="AB34" s="367" t="s">
        <v>454</v>
      </c>
      <c r="AC34" s="367">
        <v>1</v>
      </c>
      <c r="AD34" s="446" t="s">
        <v>630</v>
      </c>
    </row>
    <row r="35" spans="2:39" s="147" customFormat="1" ht="27" hidden="1" customHeight="1">
      <c r="B35" s="935"/>
      <c r="C35" s="936"/>
      <c r="D35" s="361">
        <v>7</v>
      </c>
      <c r="E35" s="440" t="s">
        <v>600</v>
      </c>
      <c r="F35" s="441">
        <f t="shared" si="12"/>
        <v>1519.1965</v>
      </c>
      <c r="G35" s="365">
        <v>413.94999999999993</v>
      </c>
      <c r="H35" s="442">
        <v>827.88999999999987</v>
      </c>
      <c r="I35" s="442">
        <v>827.88999999999987</v>
      </c>
      <c r="J35" s="444">
        <f t="shared" si="13"/>
        <v>1</v>
      </c>
      <c r="K35" s="443">
        <v>842.67</v>
      </c>
      <c r="L35" s="444">
        <f t="shared" si="14"/>
        <v>1.0178526132698789</v>
      </c>
      <c r="M35" s="443">
        <v>14.780000000000001</v>
      </c>
      <c r="N35" s="444">
        <f t="shared" si="15"/>
        <v>1.7852613269878852E-2</v>
      </c>
      <c r="O35" s="445">
        <f t="shared" si="16"/>
        <v>857.44999999999993</v>
      </c>
      <c r="P35" s="444">
        <f t="shared" si="17"/>
        <v>1.0357052265397577</v>
      </c>
      <c r="Q35" s="442">
        <v>3.6700000000000004</v>
      </c>
      <c r="R35" s="444">
        <f t="shared" si="18"/>
        <v>4.4329560690429901E-3</v>
      </c>
      <c r="S35" s="445">
        <f t="shared" si="19"/>
        <v>29.560000000000059</v>
      </c>
      <c r="T35" s="444">
        <f t="shared" si="20"/>
        <v>3.5705226539757773E-2</v>
      </c>
      <c r="U35" s="364">
        <f t="shared" si="21"/>
        <v>12236.362000000023</v>
      </c>
      <c r="V35" s="145"/>
      <c r="W35" s="145"/>
      <c r="X35" s="145"/>
      <c r="Y35" s="366" t="s">
        <v>417</v>
      </c>
      <c r="Z35" s="366" t="s">
        <v>445</v>
      </c>
      <c r="AA35" s="366" t="s">
        <v>643</v>
      </c>
      <c r="AB35" s="367" t="s">
        <v>454</v>
      </c>
      <c r="AC35" s="367">
        <v>1</v>
      </c>
      <c r="AD35" s="446" t="s">
        <v>340</v>
      </c>
    </row>
    <row r="36" spans="2:39" s="147" customFormat="1" ht="27" hidden="1" customHeight="1">
      <c r="B36" s="935"/>
      <c r="C36" s="936"/>
      <c r="D36" s="361">
        <v>8</v>
      </c>
      <c r="E36" s="440" t="s">
        <v>336</v>
      </c>
      <c r="F36" s="441">
        <f t="shared" si="12"/>
        <v>1506.7346000000005</v>
      </c>
      <c r="G36" s="365">
        <v>147.43000000000004</v>
      </c>
      <c r="H36" s="442">
        <v>4841.42</v>
      </c>
      <c r="I36" s="442">
        <v>4841.42</v>
      </c>
      <c r="J36" s="444">
        <f t="shared" si="13"/>
        <v>1</v>
      </c>
      <c r="K36" s="443">
        <v>4924.6100000000006</v>
      </c>
      <c r="L36" s="444">
        <f t="shared" si="14"/>
        <v>1.0171829752428008</v>
      </c>
      <c r="M36" s="443">
        <v>83.190000000000012</v>
      </c>
      <c r="N36" s="444">
        <f t="shared" si="15"/>
        <v>1.7182975242800668E-2</v>
      </c>
      <c r="O36" s="445">
        <f t="shared" si="16"/>
        <v>5007.8</v>
      </c>
      <c r="P36" s="444">
        <f t="shared" si="17"/>
        <v>1.0343659504856013</v>
      </c>
      <c r="Q36" s="442">
        <v>10.220000000000001</v>
      </c>
      <c r="R36" s="444">
        <f t="shared" si="18"/>
        <v>2.1109509193583701E-3</v>
      </c>
      <c r="S36" s="445">
        <f t="shared" si="19"/>
        <v>166.38000000000011</v>
      </c>
      <c r="T36" s="444">
        <f t="shared" si="20"/>
        <v>3.4365950485601357E-2</v>
      </c>
      <c r="U36" s="364">
        <f t="shared" si="21"/>
        <v>24529.403400000021</v>
      </c>
      <c r="V36" s="145"/>
      <c r="W36" s="145"/>
      <c r="X36" s="145"/>
      <c r="Y36" s="366" t="s">
        <v>417</v>
      </c>
      <c r="Z36" s="366" t="s">
        <v>215</v>
      </c>
      <c r="AA36" s="367" t="s">
        <v>602</v>
      </c>
      <c r="AB36" s="367" t="s">
        <v>569</v>
      </c>
      <c r="AC36" s="367">
        <v>1</v>
      </c>
      <c r="AD36" s="446" t="s">
        <v>340</v>
      </c>
    </row>
    <row r="37" spans="2:39" s="147" customFormat="1" ht="27" hidden="1" customHeight="1">
      <c r="B37" s="935"/>
      <c r="C37" s="936"/>
      <c r="D37" s="361">
        <v>9</v>
      </c>
      <c r="E37" s="440" t="s">
        <v>581</v>
      </c>
      <c r="F37" s="441">
        <f t="shared" si="12"/>
        <v>1475.4</v>
      </c>
      <c r="G37" s="365">
        <v>24.59</v>
      </c>
      <c r="H37" s="442">
        <v>16625</v>
      </c>
      <c r="I37" s="442">
        <v>16625</v>
      </c>
      <c r="J37" s="444">
        <f t="shared" si="13"/>
        <v>1</v>
      </c>
      <c r="K37" s="443">
        <v>16685</v>
      </c>
      <c r="L37" s="444">
        <f t="shared" si="14"/>
        <v>1.003609022556391</v>
      </c>
      <c r="M37" s="443">
        <v>0</v>
      </c>
      <c r="N37" s="444">
        <f t="shared" si="15"/>
        <v>0</v>
      </c>
      <c r="O37" s="445">
        <f t="shared" si="16"/>
        <v>16685</v>
      </c>
      <c r="P37" s="444">
        <f t="shared" si="17"/>
        <v>1.003609022556391</v>
      </c>
      <c r="Q37" s="442">
        <v>60</v>
      </c>
      <c r="R37" s="444">
        <f t="shared" si="18"/>
        <v>3.6090225563909775E-3</v>
      </c>
      <c r="S37" s="445">
        <f t="shared" si="19"/>
        <v>60</v>
      </c>
      <c r="T37" s="444">
        <f t="shared" si="20"/>
        <v>3.6090225563909775E-3</v>
      </c>
      <c r="U37" s="364">
        <f t="shared" si="21"/>
        <v>1475.4</v>
      </c>
      <c r="V37" s="145"/>
      <c r="W37" s="145"/>
      <c r="X37" s="145"/>
      <c r="Y37" s="366" t="s">
        <v>417</v>
      </c>
      <c r="Z37" s="366" t="s">
        <v>337</v>
      </c>
      <c r="AA37" s="367" t="s">
        <v>585</v>
      </c>
      <c r="AB37" s="367" t="s">
        <v>603</v>
      </c>
      <c r="AC37" s="367">
        <v>1</v>
      </c>
      <c r="AD37" s="446" t="s">
        <v>566</v>
      </c>
    </row>
    <row r="38" spans="2:39" s="147" customFormat="1" ht="27" hidden="1" customHeight="1">
      <c r="B38" s="935"/>
      <c r="C38" s="936"/>
      <c r="D38" s="361">
        <v>10</v>
      </c>
      <c r="E38" s="440" t="s">
        <v>534</v>
      </c>
      <c r="F38" s="441">
        <f t="shared" si="12"/>
        <v>1466.0957999999996</v>
      </c>
      <c r="G38" s="365">
        <v>39.389999999999993</v>
      </c>
      <c r="H38" s="442">
        <v>35576.85</v>
      </c>
      <c r="I38" s="442">
        <v>35576.85</v>
      </c>
      <c r="J38" s="444">
        <f t="shared" si="13"/>
        <v>1</v>
      </c>
      <c r="K38" s="443">
        <v>35815.5</v>
      </c>
      <c r="L38" s="444">
        <f t="shared" si="14"/>
        <v>1.0067080137786228</v>
      </c>
      <c r="M38" s="443">
        <v>238.64999999999998</v>
      </c>
      <c r="N38" s="444">
        <f t="shared" si="15"/>
        <v>6.7080137786228958E-3</v>
      </c>
      <c r="O38" s="445">
        <f t="shared" si="16"/>
        <v>36054.15</v>
      </c>
      <c r="P38" s="444">
        <f t="shared" si="17"/>
        <v>1.0134160275572459</v>
      </c>
      <c r="Q38" s="442">
        <v>37.22</v>
      </c>
      <c r="R38" s="444">
        <f t="shared" si="18"/>
        <v>1.0461859327062402E-3</v>
      </c>
      <c r="S38" s="445">
        <f t="shared" si="19"/>
        <v>477.30000000000291</v>
      </c>
      <c r="T38" s="444">
        <f t="shared" si="20"/>
        <v>1.3416027557245875E-2</v>
      </c>
      <c r="U38" s="364">
        <f t="shared" si="21"/>
        <v>18800.847000000111</v>
      </c>
      <c r="V38" s="145"/>
      <c r="W38" s="145"/>
      <c r="X38" s="145"/>
      <c r="Y38" s="366" t="s">
        <v>417</v>
      </c>
      <c r="Z38" s="366" t="s">
        <v>216</v>
      </c>
      <c r="AA38" s="380" t="s">
        <v>572</v>
      </c>
      <c r="AB38" s="367" t="s">
        <v>569</v>
      </c>
      <c r="AC38" s="367">
        <v>1</v>
      </c>
      <c r="AD38" s="446" t="s">
        <v>340</v>
      </c>
    </row>
    <row r="39" spans="2:39" s="147" customFormat="1" ht="27" hidden="1" customHeight="1">
      <c r="B39" s="935"/>
      <c r="C39" s="936"/>
      <c r="D39" s="361">
        <v>11</v>
      </c>
      <c r="E39" s="440" t="s">
        <v>631</v>
      </c>
      <c r="F39" s="441">
        <f t="shared" si="12"/>
        <v>1443.5420999999999</v>
      </c>
      <c r="G39" s="365">
        <v>43.889999999999993</v>
      </c>
      <c r="H39" s="442">
        <v>6266.0999999999985</v>
      </c>
      <c r="I39" s="442">
        <v>6266.0999999999985</v>
      </c>
      <c r="J39" s="444">
        <f t="shared" si="13"/>
        <v>1</v>
      </c>
      <c r="K39" s="443">
        <v>6448.079999999999</v>
      </c>
      <c r="L39" s="444">
        <f t="shared" si="14"/>
        <v>1.029041987839326</v>
      </c>
      <c r="M39" s="443">
        <v>181.98</v>
      </c>
      <c r="N39" s="444">
        <f t="shared" si="15"/>
        <v>2.9041987839325902E-2</v>
      </c>
      <c r="O39" s="445">
        <f t="shared" si="16"/>
        <v>6630.0599999999986</v>
      </c>
      <c r="P39" s="444">
        <f t="shared" si="17"/>
        <v>1.0580839756786518</v>
      </c>
      <c r="Q39" s="442">
        <v>32.89</v>
      </c>
      <c r="R39" s="444">
        <f t="shared" si="18"/>
        <v>5.2488788879845533E-3</v>
      </c>
      <c r="S39" s="445">
        <f t="shared" si="19"/>
        <v>363.96000000000004</v>
      </c>
      <c r="T39" s="444">
        <f t="shared" si="20"/>
        <v>5.8083975678651811E-2</v>
      </c>
      <c r="U39" s="364">
        <f t="shared" si="21"/>
        <v>15974.204399999999</v>
      </c>
      <c r="V39" s="145"/>
      <c r="W39" s="145"/>
      <c r="X39" s="145"/>
      <c r="Y39" s="366" t="s">
        <v>417</v>
      </c>
      <c r="Z39" s="366" t="s">
        <v>216</v>
      </c>
      <c r="AA39" s="380" t="s">
        <v>572</v>
      </c>
      <c r="AB39" s="367" t="s">
        <v>569</v>
      </c>
      <c r="AC39" s="367">
        <v>1</v>
      </c>
      <c r="AD39" s="446" t="s">
        <v>630</v>
      </c>
      <c r="AH39" s="370"/>
    </row>
    <row r="40" spans="2:39" s="147" customFormat="1" ht="27" hidden="1" customHeight="1">
      <c r="B40" s="935"/>
      <c r="C40" s="936"/>
      <c r="D40" s="361">
        <v>12</v>
      </c>
      <c r="E40" s="440" t="s">
        <v>544</v>
      </c>
      <c r="F40" s="441">
        <f t="shared" si="12"/>
        <v>1302.2898</v>
      </c>
      <c r="G40" s="365">
        <v>62.43</v>
      </c>
      <c r="H40" s="442">
        <v>3029.93</v>
      </c>
      <c r="I40" s="442">
        <v>3029.93</v>
      </c>
      <c r="J40" s="444">
        <f t="shared" si="13"/>
        <v>1</v>
      </c>
      <c r="K40" s="443">
        <v>3086.7400000000007</v>
      </c>
      <c r="L40" s="444">
        <f t="shared" si="14"/>
        <v>1.0187496080767546</v>
      </c>
      <c r="M40" s="443">
        <v>56.81</v>
      </c>
      <c r="N40" s="444">
        <f t="shared" si="15"/>
        <v>1.874960807675425E-2</v>
      </c>
      <c r="O40" s="445">
        <f t="shared" si="16"/>
        <v>3143.5500000000006</v>
      </c>
      <c r="P40" s="444">
        <f t="shared" si="17"/>
        <v>1.0374992161535088</v>
      </c>
      <c r="Q40" s="442">
        <v>20.86</v>
      </c>
      <c r="R40" s="444">
        <f t="shared" si="18"/>
        <v>6.8846475001072636E-3</v>
      </c>
      <c r="S40" s="445">
        <f t="shared" si="19"/>
        <v>113.6200000000008</v>
      </c>
      <c r="T40" s="444">
        <f t="shared" si="20"/>
        <v>3.7499216153508763E-2</v>
      </c>
      <c r="U40" s="364">
        <f t="shared" si="21"/>
        <v>7093.2966000000497</v>
      </c>
      <c r="V40" s="145"/>
      <c r="W40" s="145"/>
      <c r="X40" s="145"/>
      <c r="Y40" s="366" t="s">
        <v>417</v>
      </c>
      <c r="Z40" s="366" t="s">
        <v>216</v>
      </c>
      <c r="AA40" s="380" t="s">
        <v>572</v>
      </c>
      <c r="AB40" s="367" t="s">
        <v>569</v>
      </c>
      <c r="AC40" s="367">
        <v>1</v>
      </c>
      <c r="AD40" s="446" t="s">
        <v>543</v>
      </c>
    </row>
    <row r="41" spans="2:39" s="147" customFormat="1" ht="27" hidden="1" customHeight="1">
      <c r="B41" s="935"/>
      <c r="C41" s="936"/>
      <c r="D41" s="361">
        <v>13</v>
      </c>
      <c r="E41" s="440" t="s">
        <v>598</v>
      </c>
      <c r="F41" s="441">
        <f t="shared" si="12"/>
        <v>1274.44</v>
      </c>
      <c r="G41" s="365">
        <v>6.04</v>
      </c>
      <c r="H41" s="442">
        <v>8955</v>
      </c>
      <c r="I41" s="442">
        <v>8955</v>
      </c>
      <c r="J41" s="444">
        <f t="shared" si="13"/>
        <v>1</v>
      </c>
      <c r="K41" s="443">
        <v>9166</v>
      </c>
      <c r="L41" s="444">
        <f t="shared" si="14"/>
        <v>1.0235622557230597</v>
      </c>
      <c r="M41" s="443">
        <v>0</v>
      </c>
      <c r="N41" s="444">
        <f t="shared" si="15"/>
        <v>0</v>
      </c>
      <c r="O41" s="445">
        <f t="shared" si="16"/>
        <v>9166</v>
      </c>
      <c r="P41" s="444">
        <f t="shared" si="17"/>
        <v>1.0235622557230597</v>
      </c>
      <c r="Q41" s="442">
        <v>211</v>
      </c>
      <c r="R41" s="444">
        <f t="shared" si="18"/>
        <v>2.3562255723059745E-2</v>
      </c>
      <c r="S41" s="445">
        <f t="shared" si="19"/>
        <v>211</v>
      </c>
      <c r="T41" s="444">
        <f t="shared" si="20"/>
        <v>2.3562255723059745E-2</v>
      </c>
      <c r="U41" s="364">
        <f t="shared" si="21"/>
        <v>1274.44</v>
      </c>
      <c r="V41" s="145"/>
      <c r="W41" s="145"/>
      <c r="X41" s="145"/>
      <c r="Y41" s="366" t="s">
        <v>417</v>
      </c>
      <c r="Z41" s="366" t="s">
        <v>337</v>
      </c>
      <c r="AA41" s="366" t="s">
        <v>604</v>
      </c>
      <c r="AB41" s="367" t="s">
        <v>605</v>
      </c>
      <c r="AC41" s="367">
        <v>1</v>
      </c>
      <c r="AD41" s="446" t="s">
        <v>508</v>
      </c>
    </row>
    <row r="42" spans="2:39" s="147" customFormat="1" ht="27" hidden="1" customHeight="1">
      <c r="B42" s="935"/>
      <c r="C42" s="936"/>
      <c r="D42" s="361">
        <v>14</v>
      </c>
      <c r="E42" s="440" t="s">
        <v>462</v>
      </c>
      <c r="F42" s="441">
        <f t="shared" si="12"/>
        <v>1234.1680999999999</v>
      </c>
      <c r="G42" s="365">
        <v>160.49</v>
      </c>
      <c r="H42" s="442">
        <v>690.03</v>
      </c>
      <c r="I42" s="442">
        <v>690.03</v>
      </c>
      <c r="J42" s="444">
        <f t="shared" si="13"/>
        <v>1</v>
      </c>
      <c r="K42" s="443">
        <v>707.63000000000011</v>
      </c>
      <c r="L42" s="444">
        <f t="shared" si="14"/>
        <v>1.0255061374143155</v>
      </c>
      <c r="M42" s="443">
        <v>17.600000000000001</v>
      </c>
      <c r="N42" s="444">
        <f t="shared" si="15"/>
        <v>2.5506137414315323E-2</v>
      </c>
      <c r="O42" s="445">
        <f t="shared" si="16"/>
        <v>725.23000000000013</v>
      </c>
      <c r="P42" s="444">
        <f t="shared" si="17"/>
        <v>1.0510122748286308</v>
      </c>
      <c r="Q42" s="442">
        <v>7.6899999999999986</v>
      </c>
      <c r="R42" s="444">
        <f t="shared" si="18"/>
        <v>1.114444299523209E-2</v>
      </c>
      <c r="S42" s="445">
        <f t="shared" si="19"/>
        <v>35.200000000000159</v>
      </c>
      <c r="T42" s="444">
        <f t="shared" si="20"/>
        <v>5.1012274828630869E-2</v>
      </c>
      <c r="U42" s="364">
        <f t="shared" si="21"/>
        <v>5649.248000000026</v>
      </c>
      <c r="V42" s="145"/>
      <c r="W42" s="145"/>
      <c r="X42" s="145"/>
      <c r="Y42" s="366" t="s">
        <v>417</v>
      </c>
      <c r="Z42" s="366" t="s">
        <v>445</v>
      </c>
      <c r="AA42" s="367" t="s">
        <v>644</v>
      </c>
      <c r="AB42" s="367" t="s">
        <v>571</v>
      </c>
      <c r="AC42" s="367">
        <v>1</v>
      </c>
      <c r="AD42" s="446" t="s">
        <v>433</v>
      </c>
    </row>
    <row r="43" spans="2:39" s="147" customFormat="1" ht="27" hidden="1" customHeight="1">
      <c r="B43" s="935"/>
      <c r="C43" s="936"/>
      <c r="D43" s="361">
        <v>15</v>
      </c>
      <c r="E43" s="440" t="s">
        <v>637</v>
      </c>
      <c r="F43" s="441">
        <f t="shared" si="12"/>
        <v>1220.1000000000001</v>
      </c>
      <c r="G43" s="365">
        <v>5.8100000000000005</v>
      </c>
      <c r="H43" s="442">
        <v>6162</v>
      </c>
      <c r="I43" s="442">
        <v>6162</v>
      </c>
      <c r="J43" s="444">
        <f t="shared" si="13"/>
        <v>1</v>
      </c>
      <c r="K43" s="443">
        <v>6372</v>
      </c>
      <c r="L43" s="444">
        <f t="shared" si="14"/>
        <v>1.0340798442064265</v>
      </c>
      <c r="M43" s="443">
        <v>0</v>
      </c>
      <c r="N43" s="444">
        <f t="shared" si="15"/>
        <v>0</v>
      </c>
      <c r="O43" s="445">
        <f t="shared" si="16"/>
        <v>6372</v>
      </c>
      <c r="P43" s="444">
        <f t="shared" si="17"/>
        <v>1.0340798442064265</v>
      </c>
      <c r="Q43" s="442">
        <v>210</v>
      </c>
      <c r="R43" s="444">
        <f t="shared" si="18"/>
        <v>3.4079844206426485E-2</v>
      </c>
      <c r="S43" s="445">
        <f t="shared" si="19"/>
        <v>210</v>
      </c>
      <c r="T43" s="444">
        <f t="shared" si="20"/>
        <v>3.4079844206426485E-2</v>
      </c>
      <c r="U43" s="364">
        <f t="shared" si="21"/>
        <v>1220.1000000000001</v>
      </c>
      <c r="V43" s="145"/>
      <c r="W43" s="145"/>
      <c r="X43" s="145"/>
      <c r="Y43" s="366" t="s">
        <v>417</v>
      </c>
      <c r="Z43" s="366" t="s">
        <v>337</v>
      </c>
      <c r="AA43" s="367" t="s">
        <v>645</v>
      </c>
      <c r="AB43" s="367" t="s">
        <v>646</v>
      </c>
      <c r="AC43" s="367">
        <v>1</v>
      </c>
      <c r="AD43" s="446" t="s">
        <v>484</v>
      </c>
    </row>
    <row r="44" spans="2:39" s="147" customFormat="1" ht="27" hidden="1" customHeight="1">
      <c r="B44" s="935"/>
      <c r="C44" s="936"/>
      <c r="D44" s="361">
        <v>16</v>
      </c>
      <c r="E44" s="440" t="s">
        <v>638</v>
      </c>
      <c r="F44" s="441">
        <f t="shared" si="12"/>
        <v>1173.0000000000002</v>
      </c>
      <c r="G44" s="365">
        <v>1.1500000000000001</v>
      </c>
      <c r="H44" s="442">
        <v>45627</v>
      </c>
      <c r="I44" s="442">
        <v>45627</v>
      </c>
      <c r="J44" s="444">
        <f t="shared" si="13"/>
        <v>1</v>
      </c>
      <c r="K44" s="443">
        <v>46647</v>
      </c>
      <c r="L44" s="444">
        <f t="shared" si="14"/>
        <v>1.0223551844302716</v>
      </c>
      <c r="M44" s="443">
        <v>0</v>
      </c>
      <c r="N44" s="444">
        <f t="shared" si="15"/>
        <v>0</v>
      </c>
      <c r="O44" s="445">
        <f t="shared" si="16"/>
        <v>46647</v>
      </c>
      <c r="P44" s="444">
        <f t="shared" si="17"/>
        <v>1.0223551844302716</v>
      </c>
      <c r="Q44" s="442">
        <v>1020</v>
      </c>
      <c r="R44" s="444">
        <f t="shared" si="18"/>
        <v>2.2355184430271551E-2</v>
      </c>
      <c r="S44" s="445">
        <f t="shared" si="19"/>
        <v>1020</v>
      </c>
      <c r="T44" s="444">
        <f t="shared" si="20"/>
        <v>2.2355184430271551E-2</v>
      </c>
      <c r="U44" s="364">
        <f t="shared" si="21"/>
        <v>1173.0000000000002</v>
      </c>
      <c r="V44" s="145"/>
      <c r="W44" s="145"/>
      <c r="X44" s="145"/>
      <c r="Y44" s="366" t="s">
        <v>417</v>
      </c>
      <c r="Z44" s="366" t="s">
        <v>445</v>
      </c>
      <c r="AA44" s="366" t="s">
        <v>604</v>
      </c>
      <c r="AB44" s="367" t="s">
        <v>605</v>
      </c>
      <c r="AC44" s="367">
        <v>1</v>
      </c>
      <c r="AD44" s="446" t="s">
        <v>435</v>
      </c>
    </row>
    <row r="45" spans="2:39" s="147" customFormat="1" ht="27" hidden="1" customHeight="1">
      <c r="B45" s="935"/>
      <c r="C45" s="936"/>
      <c r="D45" s="361">
        <v>17</v>
      </c>
      <c r="E45" s="440" t="s">
        <v>619</v>
      </c>
      <c r="F45" s="441">
        <f t="shared" si="12"/>
        <v>1169.0951999999997</v>
      </c>
      <c r="G45" s="365">
        <v>39.389999999999993</v>
      </c>
      <c r="H45" s="442">
        <v>5051.83</v>
      </c>
      <c r="I45" s="442">
        <v>5051.83</v>
      </c>
      <c r="J45" s="444">
        <f t="shared" si="13"/>
        <v>1</v>
      </c>
      <c r="K45" s="443">
        <v>5184.1600000000008</v>
      </c>
      <c r="L45" s="444">
        <f t="shared" si="14"/>
        <v>1.0261944681432276</v>
      </c>
      <c r="M45" s="443">
        <v>132.33000000000001</v>
      </c>
      <c r="N45" s="444">
        <f t="shared" si="15"/>
        <v>2.6194468143227307E-2</v>
      </c>
      <c r="O45" s="445">
        <f t="shared" si="16"/>
        <v>5316.4900000000007</v>
      </c>
      <c r="P45" s="444">
        <f t="shared" si="17"/>
        <v>1.0523889362864547</v>
      </c>
      <c r="Q45" s="442">
        <v>29.68</v>
      </c>
      <c r="R45" s="444">
        <f t="shared" si="18"/>
        <v>5.8750987266000636E-3</v>
      </c>
      <c r="S45" s="445">
        <f t="shared" si="19"/>
        <v>264.66000000000076</v>
      </c>
      <c r="T45" s="444">
        <f t="shared" si="20"/>
        <v>5.2388936286454767E-2</v>
      </c>
      <c r="U45" s="364">
        <f t="shared" si="21"/>
        <v>10424.957400000028</v>
      </c>
      <c r="V45" s="145"/>
      <c r="W45" s="145"/>
      <c r="X45" s="145"/>
      <c r="Y45" s="366" t="s">
        <v>417</v>
      </c>
      <c r="Z45" s="366" t="s">
        <v>216</v>
      </c>
      <c r="AA45" s="380" t="s">
        <v>572</v>
      </c>
      <c r="AB45" s="367" t="s">
        <v>569</v>
      </c>
      <c r="AC45" s="367">
        <v>1</v>
      </c>
      <c r="AD45" s="446" t="s">
        <v>614</v>
      </c>
    </row>
    <row r="46" spans="2:39" s="147" customFormat="1" ht="27" hidden="1" customHeight="1">
      <c r="B46" s="935"/>
      <c r="C46" s="936"/>
      <c r="D46" s="361">
        <v>18</v>
      </c>
      <c r="E46" s="440" t="s">
        <v>639</v>
      </c>
      <c r="F46" s="441">
        <f t="shared" si="12"/>
        <v>1156.7000000000003</v>
      </c>
      <c r="G46" s="365">
        <v>2.6900000000000004</v>
      </c>
      <c r="H46" s="442">
        <v>82312</v>
      </c>
      <c r="I46" s="442">
        <v>82312</v>
      </c>
      <c r="J46" s="444">
        <f t="shared" si="13"/>
        <v>1</v>
      </c>
      <c r="K46" s="443">
        <v>82742</v>
      </c>
      <c r="L46" s="444">
        <f t="shared" si="14"/>
        <v>1.0052240256584701</v>
      </c>
      <c r="M46" s="443">
        <v>0</v>
      </c>
      <c r="N46" s="444">
        <f t="shared" si="15"/>
        <v>0</v>
      </c>
      <c r="O46" s="445">
        <f t="shared" si="16"/>
        <v>82742</v>
      </c>
      <c r="P46" s="444">
        <f t="shared" si="17"/>
        <v>1.0052240256584701</v>
      </c>
      <c r="Q46" s="442">
        <v>430</v>
      </c>
      <c r="R46" s="444">
        <f t="shared" si="18"/>
        <v>5.2240256584702108E-3</v>
      </c>
      <c r="S46" s="445">
        <f t="shared" si="19"/>
        <v>430</v>
      </c>
      <c r="T46" s="444">
        <f t="shared" si="20"/>
        <v>5.2240256584702108E-3</v>
      </c>
      <c r="U46" s="364">
        <f t="shared" si="21"/>
        <v>1156.7000000000003</v>
      </c>
      <c r="V46" s="145"/>
      <c r="W46" s="145"/>
      <c r="X46" s="145"/>
      <c r="Y46" s="366" t="s">
        <v>417</v>
      </c>
      <c r="Z46" s="366" t="s">
        <v>337</v>
      </c>
      <c r="AA46" s="366" t="s">
        <v>647</v>
      </c>
      <c r="AB46" s="367" t="s">
        <v>605</v>
      </c>
      <c r="AC46" s="367">
        <v>1</v>
      </c>
      <c r="AD46" s="446" t="s">
        <v>437</v>
      </c>
    </row>
    <row r="47" spans="2:39" s="147" customFormat="1" ht="27" hidden="1" customHeight="1">
      <c r="B47" s="935"/>
      <c r="C47" s="936"/>
      <c r="D47" s="361">
        <v>19</v>
      </c>
      <c r="E47" s="440" t="s">
        <v>640</v>
      </c>
      <c r="F47" s="441">
        <f t="shared" si="12"/>
        <v>1155.98</v>
      </c>
      <c r="G47" s="365">
        <v>3.2199999999999998</v>
      </c>
      <c r="H47" s="442">
        <v>218158</v>
      </c>
      <c r="I47" s="442">
        <v>218158</v>
      </c>
      <c r="J47" s="444">
        <f t="shared" si="13"/>
        <v>1</v>
      </c>
      <c r="K47" s="443">
        <v>218517</v>
      </c>
      <c r="L47" s="444">
        <f t="shared" si="14"/>
        <v>1.0016455963109305</v>
      </c>
      <c r="M47" s="443">
        <v>0</v>
      </c>
      <c r="N47" s="444">
        <f t="shared" si="15"/>
        <v>0</v>
      </c>
      <c r="O47" s="445">
        <f t="shared" si="16"/>
        <v>218517</v>
      </c>
      <c r="P47" s="444">
        <f t="shared" si="17"/>
        <v>1.0016455963109305</v>
      </c>
      <c r="Q47" s="442">
        <v>359</v>
      </c>
      <c r="R47" s="444">
        <f t="shared" si="18"/>
        <v>1.6455963109306099E-3</v>
      </c>
      <c r="S47" s="445">
        <f t="shared" si="19"/>
        <v>359</v>
      </c>
      <c r="T47" s="444">
        <f t="shared" si="20"/>
        <v>1.6455963109306099E-3</v>
      </c>
      <c r="U47" s="364">
        <f t="shared" si="21"/>
        <v>1155.98</v>
      </c>
      <c r="V47" s="145"/>
      <c r="W47" s="145"/>
      <c r="X47" s="145"/>
      <c r="Y47" s="366" t="s">
        <v>417</v>
      </c>
      <c r="Z47" s="366" t="s">
        <v>337</v>
      </c>
      <c r="AA47" s="366" t="s">
        <v>647</v>
      </c>
      <c r="AB47" s="367" t="s">
        <v>605</v>
      </c>
      <c r="AC47" s="367">
        <v>1</v>
      </c>
      <c r="AD47" s="446" t="s">
        <v>340</v>
      </c>
    </row>
    <row r="48" spans="2:39" s="147" customFormat="1" ht="27" hidden="1" customHeight="1">
      <c r="B48" s="937"/>
      <c r="C48" s="938"/>
      <c r="D48" s="361">
        <v>20</v>
      </c>
      <c r="E48" s="440" t="s">
        <v>641</v>
      </c>
      <c r="F48" s="441">
        <f t="shared" si="12"/>
        <v>1150.2004000000004</v>
      </c>
      <c r="G48" s="365">
        <v>3.5599999999999996</v>
      </c>
      <c r="H48" s="442">
        <v>51170</v>
      </c>
      <c r="I48" s="442">
        <v>51170</v>
      </c>
      <c r="J48" s="444">
        <f t="shared" si="13"/>
        <v>1</v>
      </c>
      <c r="K48" s="443">
        <v>51493.09</v>
      </c>
      <c r="L48" s="444">
        <f t="shared" si="14"/>
        <v>1.006314051201876</v>
      </c>
      <c r="M48" s="443">
        <v>0</v>
      </c>
      <c r="N48" s="444">
        <f t="shared" si="15"/>
        <v>0</v>
      </c>
      <c r="O48" s="445">
        <f t="shared" si="16"/>
        <v>51493.09</v>
      </c>
      <c r="P48" s="444">
        <f t="shared" si="17"/>
        <v>1.006314051201876</v>
      </c>
      <c r="Q48" s="442">
        <v>323.09000000000015</v>
      </c>
      <c r="R48" s="444">
        <f t="shared" si="18"/>
        <v>6.314051201876102E-3</v>
      </c>
      <c r="S48" s="445">
        <f t="shared" si="19"/>
        <v>323.08999999999651</v>
      </c>
      <c r="T48" s="444">
        <f t="shared" si="20"/>
        <v>6.3140512018760309E-3</v>
      </c>
      <c r="U48" s="364">
        <f t="shared" si="21"/>
        <v>1150.2003999999874</v>
      </c>
      <c r="V48" s="145"/>
      <c r="W48" s="145"/>
      <c r="X48" s="145"/>
      <c r="Y48" s="366" t="s">
        <v>417</v>
      </c>
      <c r="Z48" s="366" t="s">
        <v>337</v>
      </c>
      <c r="AA48" s="366" t="s">
        <v>647</v>
      </c>
      <c r="AB48" s="367" t="s">
        <v>605</v>
      </c>
      <c r="AC48" s="367">
        <v>1</v>
      </c>
      <c r="AD48" s="446" t="s">
        <v>349</v>
      </c>
    </row>
    <row r="49" spans="2:39" ht="17.100000000000001" hidden="1" customHeight="1">
      <c r="B49" s="987" t="s">
        <v>442</v>
      </c>
      <c r="C49" s="988"/>
      <c r="D49" s="980" t="s">
        <v>549</v>
      </c>
      <c r="E49" s="966" t="s">
        <v>550</v>
      </c>
      <c r="F49" s="922" t="s">
        <v>551</v>
      </c>
      <c r="G49" s="922" t="s">
        <v>552</v>
      </c>
      <c r="H49" s="956" t="s">
        <v>553</v>
      </c>
      <c r="I49" s="939" t="s">
        <v>554</v>
      </c>
      <c r="J49" s="940"/>
      <c r="K49" s="939" t="s">
        <v>555</v>
      </c>
      <c r="L49" s="940"/>
      <c r="M49" s="939" t="s">
        <v>556</v>
      </c>
      <c r="N49" s="940"/>
      <c r="O49" s="939" t="s">
        <v>557</v>
      </c>
      <c r="P49" s="940"/>
      <c r="Q49" s="939" t="s">
        <v>418</v>
      </c>
      <c r="R49" s="940"/>
      <c r="S49" s="941" t="s">
        <v>419</v>
      </c>
      <c r="T49" s="942"/>
      <c r="U49" s="943"/>
      <c r="Y49" s="947" t="s">
        <v>171</v>
      </c>
      <c r="Z49" s="947" t="s">
        <v>245</v>
      </c>
      <c r="AA49" s="947" t="s">
        <v>558</v>
      </c>
      <c r="AB49" s="947" t="s">
        <v>444</v>
      </c>
      <c r="AC49" s="947" t="s">
        <v>246</v>
      </c>
      <c r="AD49" s="922" t="s">
        <v>172</v>
      </c>
      <c r="AF49" s="924" t="s">
        <v>247</v>
      </c>
      <c r="AG49" s="925"/>
      <c r="AH49" s="925"/>
      <c r="AI49" s="925"/>
      <c r="AJ49" s="925"/>
      <c r="AK49" s="925"/>
      <c r="AL49" s="925"/>
      <c r="AM49" s="926"/>
    </row>
    <row r="50" spans="2:39" hidden="1">
      <c r="B50" s="951"/>
      <c r="C50" s="952"/>
      <c r="D50" s="981"/>
      <c r="E50" s="967"/>
      <c r="F50" s="923"/>
      <c r="G50" s="923"/>
      <c r="H50" s="990"/>
      <c r="I50" s="439" t="s">
        <v>559</v>
      </c>
      <c r="J50" s="362" t="s">
        <v>560</v>
      </c>
      <c r="K50" s="439" t="s">
        <v>559</v>
      </c>
      <c r="L50" s="362" t="s">
        <v>560</v>
      </c>
      <c r="M50" s="439" t="s">
        <v>559</v>
      </c>
      <c r="N50" s="362" t="s">
        <v>560</v>
      </c>
      <c r="O50" s="439" t="s">
        <v>559</v>
      </c>
      <c r="P50" s="362" t="s">
        <v>560</v>
      </c>
      <c r="Q50" s="439" t="s">
        <v>559</v>
      </c>
      <c r="R50" s="362" t="s">
        <v>560</v>
      </c>
      <c r="S50" s="439" t="s">
        <v>559</v>
      </c>
      <c r="T50" s="362" t="s">
        <v>560</v>
      </c>
      <c r="U50" s="362" t="s">
        <v>561</v>
      </c>
      <c r="Y50" s="948"/>
      <c r="Z50" s="948"/>
      <c r="AA50" s="948"/>
      <c r="AB50" s="948"/>
      <c r="AC50" s="948"/>
      <c r="AD50" s="923"/>
      <c r="AF50" s="927"/>
      <c r="AG50" s="928"/>
      <c r="AH50" s="928"/>
      <c r="AI50" s="928"/>
      <c r="AJ50" s="928"/>
      <c r="AK50" s="928"/>
      <c r="AL50" s="928"/>
      <c r="AM50" s="929"/>
    </row>
    <row r="51" spans="2:39" s="147" customFormat="1" ht="27" hidden="1" customHeight="1">
      <c r="B51" s="933" t="s">
        <v>626</v>
      </c>
      <c r="C51" s="934"/>
      <c r="D51" s="361">
        <v>1</v>
      </c>
      <c r="E51" s="440" t="s">
        <v>448</v>
      </c>
      <c r="F51" s="441">
        <f>IFERROR(Q51*G51,"-")</f>
        <v>2535.7499999999995</v>
      </c>
      <c r="G51" s="365">
        <v>2.4499999999999997</v>
      </c>
      <c r="H51" s="442">
        <v>151134</v>
      </c>
      <c r="I51" s="442">
        <v>151134</v>
      </c>
      <c r="J51" s="444">
        <f>IFERROR(I51/H51,"-")</f>
        <v>1</v>
      </c>
      <c r="K51" s="443">
        <v>152169</v>
      </c>
      <c r="L51" s="444">
        <f>IFERROR(K51/H51,"-")</f>
        <v>1.0068482274008497</v>
      </c>
      <c r="M51" s="443">
        <v>0</v>
      </c>
      <c r="N51" s="444">
        <f>IFERROR(M51/H51,"-")</f>
        <v>0</v>
      </c>
      <c r="O51" s="445">
        <f>IFERROR(K51+M51,"-")</f>
        <v>152169</v>
      </c>
      <c r="P51" s="444">
        <f>IFERROR(O51/H51,"-")</f>
        <v>1.0068482274008497</v>
      </c>
      <c r="Q51" s="442">
        <v>1035</v>
      </c>
      <c r="R51" s="444">
        <f>IFERROR(Q51/H51,"-")</f>
        <v>6.8482274008495776E-3</v>
      </c>
      <c r="S51" s="445">
        <f>IFERROR(O51-H51,"-")</f>
        <v>1035</v>
      </c>
      <c r="T51" s="444">
        <f>IFERROR(S51/H51,"-")</f>
        <v>6.8482274008495776E-3</v>
      </c>
      <c r="U51" s="364">
        <f>IFERROR(S51*G51,"-")</f>
        <v>2535.7499999999995</v>
      </c>
      <c r="V51" s="145"/>
      <c r="W51" s="145"/>
      <c r="X51" s="145"/>
      <c r="Y51" s="366" t="s">
        <v>417</v>
      </c>
      <c r="Z51" s="366" t="s">
        <v>337</v>
      </c>
      <c r="AA51" s="367" t="s">
        <v>467</v>
      </c>
      <c r="AB51" s="367" t="s">
        <v>468</v>
      </c>
      <c r="AC51" s="367">
        <v>1</v>
      </c>
      <c r="AD51" s="446" t="s">
        <v>340</v>
      </c>
      <c r="AF51" s="930"/>
      <c r="AG51" s="931"/>
      <c r="AH51" s="931"/>
      <c r="AI51" s="931"/>
      <c r="AJ51" s="931"/>
      <c r="AK51" s="931"/>
      <c r="AL51" s="931"/>
      <c r="AM51" s="932"/>
    </row>
    <row r="52" spans="2:39" s="147" customFormat="1" ht="27" hidden="1" customHeight="1">
      <c r="B52" s="935"/>
      <c r="C52" s="936"/>
      <c r="D52" s="361">
        <v>2</v>
      </c>
      <c r="E52" s="440" t="s">
        <v>447</v>
      </c>
      <c r="F52" s="441">
        <f t="shared" ref="F52:F70" si="24">IFERROR(Q52*G52,"-")</f>
        <v>2533.0499999999997</v>
      </c>
      <c r="G52" s="365">
        <v>1.17</v>
      </c>
      <c r="H52" s="442">
        <v>295586</v>
      </c>
      <c r="I52" s="442">
        <v>295586</v>
      </c>
      <c r="J52" s="444">
        <f t="shared" ref="J52:J70" si="25">IFERROR(I52/H52,"-")</f>
        <v>1</v>
      </c>
      <c r="K52" s="443">
        <v>297751</v>
      </c>
      <c r="L52" s="444">
        <f t="shared" ref="L52:L70" si="26">IFERROR(K52/H52,"-")</f>
        <v>1.0073244334982037</v>
      </c>
      <c r="M52" s="443">
        <v>0</v>
      </c>
      <c r="N52" s="444">
        <f t="shared" ref="N52:N70" si="27">IFERROR(M52/H52,"-")</f>
        <v>0</v>
      </c>
      <c r="O52" s="445">
        <f t="shared" ref="O52:O70" si="28">IFERROR(K52+M52,"-")</f>
        <v>297751</v>
      </c>
      <c r="P52" s="444">
        <f t="shared" ref="P52:P70" si="29">IFERROR(O52/H52,"-")</f>
        <v>1.0073244334982037</v>
      </c>
      <c r="Q52" s="442">
        <v>2165</v>
      </c>
      <c r="R52" s="444">
        <f t="shared" ref="R52:R70" si="30">IFERROR(Q52/H52,"-")</f>
        <v>7.3244334982035687E-3</v>
      </c>
      <c r="S52" s="445">
        <f t="shared" ref="S52:S70" si="31">IFERROR(O52-H52,"-")</f>
        <v>2165</v>
      </c>
      <c r="T52" s="444">
        <f t="shared" ref="T52:T70" si="32">IFERROR(S52/H52,"-")</f>
        <v>7.3244334982035687E-3</v>
      </c>
      <c r="U52" s="364">
        <f t="shared" ref="U52:U70" si="33">IFERROR(S52*G52,"-")</f>
        <v>2533.0499999999997</v>
      </c>
      <c r="V52" s="145"/>
      <c r="W52" s="145"/>
      <c r="X52" s="145"/>
      <c r="Y52" s="366" t="s">
        <v>417</v>
      </c>
      <c r="Z52" s="366" t="s">
        <v>337</v>
      </c>
      <c r="AA52" s="367" t="s">
        <v>469</v>
      </c>
      <c r="AB52" s="367" t="s">
        <v>526</v>
      </c>
      <c r="AC52" s="367">
        <v>1</v>
      </c>
      <c r="AD52" s="446" t="s">
        <v>340</v>
      </c>
      <c r="AF52" s="160" t="s">
        <v>244</v>
      </c>
      <c r="AG52" s="160" t="s">
        <v>445</v>
      </c>
      <c r="AH52" s="155" t="s">
        <v>562</v>
      </c>
      <c r="AI52" s="155" t="s">
        <v>337</v>
      </c>
      <c r="AJ52" s="155" t="s">
        <v>428</v>
      </c>
      <c r="AK52" s="155" t="s">
        <v>215</v>
      </c>
      <c r="AL52" s="155" t="s">
        <v>216</v>
      </c>
      <c r="AM52" s="155" t="s">
        <v>384</v>
      </c>
    </row>
    <row r="53" spans="2:39" s="147" customFormat="1" ht="27" hidden="1" customHeight="1">
      <c r="B53" s="935"/>
      <c r="C53" s="936"/>
      <c r="D53" s="361">
        <v>3</v>
      </c>
      <c r="E53" s="440" t="s">
        <v>335</v>
      </c>
      <c r="F53" s="441">
        <f t="shared" si="24"/>
        <v>2473.3905000000004</v>
      </c>
      <c r="G53" s="365">
        <v>15.450000000000001</v>
      </c>
      <c r="H53" s="442">
        <v>75982</v>
      </c>
      <c r="I53" s="442">
        <v>75982</v>
      </c>
      <c r="J53" s="444">
        <f t="shared" si="25"/>
        <v>1</v>
      </c>
      <c r="K53" s="443">
        <v>76152</v>
      </c>
      <c r="L53" s="444">
        <f t="shared" si="26"/>
        <v>1.00223737200916</v>
      </c>
      <c r="M53" s="443">
        <v>0</v>
      </c>
      <c r="N53" s="444">
        <f t="shared" si="27"/>
        <v>0</v>
      </c>
      <c r="O53" s="445">
        <f t="shared" si="28"/>
        <v>76152</v>
      </c>
      <c r="P53" s="444">
        <f t="shared" si="29"/>
        <v>1.00223737200916</v>
      </c>
      <c r="Q53" s="442">
        <v>160.09</v>
      </c>
      <c r="R53" s="444">
        <f t="shared" si="30"/>
        <v>2.1069463820378512E-3</v>
      </c>
      <c r="S53" s="445">
        <f t="shared" si="31"/>
        <v>170</v>
      </c>
      <c r="T53" s="444">
        <f t="shared" si="32"/>
        <v>2.2373720091600643E-3</v>
      </c>
      <c r="U53" s="364">
        <f t="shared" si="33"/>
        <v>2626.5</v>
      </c>
      <c r="V53" s="145"/>
      <c r="W53" s="145"/>
      <c r="X53" s="145"/>
      <c r="Y53" s="366" t="s">
        <v>417</v>
      </c>
      <c r="Z53" s="366" t="s">
        <v>216</v>
      </c>
      <c r="AA53" s="367" t="s">
        <v>466</v>
      </c>
      <c r="AB53" s="367" t="s">
        <v>569</v>
      </c>
      <c r="AC53" s="367">
        <v>1</v>
      </c>
      <c r="AD53" s="446" t="s">
        <v>523</v>
      </c>
      <c r="AF53" s="374">
        <f>SUM(AC51:AC70)</f>
        <v>20</v>
      </c>
      <c r="AG53" s="369">
        <f t="shared" ref="AG53:AM53" si="34">SUMIF($Z$51:$Z$70,TRIM(AG52),$AC$51:$AC$70)</f>
        <v>7</v>
      </c>
      <c r="AH53" s="369">
        <f t="shared" si="34"/>
        <v>0</v>
      </c>
      <c r="AI53" s="369">
        <f t="shared" si="34"/>
        <v>5</v>
      </c>
      <c r="AJ53" s="369">
        <f t="shared" si="34"/>
        <v>0</v>
      </c>
      <c r="AK53" s="369">
        <f t="shared" si="34"/>
        <v>2</v>
      </c>
      <c r="AL53" s="369">
        <f t="shared" si="34"/>
        <v>6</v>
      </c>
      <c r="AM53" s="369">
        <f t="shared" si="34"/>
        <v>0</v>
      </c>
    </row>
    <row r="54" spans="2:39" s="147" customFormat="1" ht="27" hidden="1" customHeight="1">
      <c r="B54" s="935"/>
      <c r="C54" s="936"/>
      <c r="D54" s="361">
        <v>4</v>
      </c>
      <c r="E54" s="440" t="s">
        <v>651</v>
      </c>
      <c r="F54" s="441">
        <f t="shared" si="24"/>
        <v>2195.4894999999997</v>
      </c>
      <c r="G54" s="365">
        <v>655.37</v>
      </c>
      <c r="H54" s="442">
        <v>884.7600000000001</v>
      </c>
      <c r="I54" s="442">
        <v>884.7600000000001</v>
      </c>
      <c r="J54" s="444">
        <f t="shared" si="25"/>
        <v>1</v>
      </c>
      <c r="K54" s="443">
        <v>897.45999999999992</v>
      </c>
      <c r="L54" s="444">
        <f t="shared" si="26"/>
        <v>1.0143541751435416</v>
      </c>
      <c r="M54" s="443">
        <v>12.7</v>
      </c>
      <c r="N54" s="444">
        <f t="shared" si="27"/>
        <v>1.4354175143541748E-2</v>
      </c>
      <c r="O54" s="445">
        <f t="shared" si="28"/>
        <v>910.16</v>
      </c>
      <c r="P54" s="444">
        <f t="shared" si="29"/>
        <v>1.0287083502870833</v>
      </c>
      <c r="Q54" s="442">
        <v>3.3499999999999996</v>
      </c>
      <c r="R54" s="444">
        <f t="shared" si="30"/>
        <v>3.7863375378633744E-3</v>
      </c>
      <c r="S54" s="445">
        <f t="shared" si="31"/>
        <v>25.399999999999864</v>
      </c>
      <c r="T54" s="444">
        <f t="shared" si="32"/>
        <v>2.8708350287083344E-2</v>
      </c>
      <c r="U54" s="364">
        <f t="shared" si="33"/>
        <v>16646.39799999991</v>
      </c>
      <c r="V54" s="145"/>
      <c r="W54" s="145"/>
      <c r="X54" s="145"/>
      <c r="Y54" s="366" t="s">
        <v>417</v>
      </c>
      <c r="Z54" s="366" t="s">
        <v>445</v>
      </c>
      <c r="AA54" s="367" t="s">
        <v>655</v>
      </c>
      <c r="AB54" s="367" t="s">
        <v>571</v>
      </c>
      <c r="AC54" s="367">
        <v>1</v>
      </c>
      <c r="AD54" s="446" t="s">
        <v>650</v>
      </c>
      <c r="AF54" s="375" t="s">
        <v>11</v>
      </c>
      <c r="AG54" s="372">
        <f>SUMIF($Z$51:$Z70,TRIM(AG52),$F$51:$F$70)</f>
        <v>9269.1837428571434</v>
      </c>
      <c r="AH54" s="372">
        <f>SUMIF($Z$51:$Z70,TRIM(AH52),$F$51:$F$70)</f>
        <v>0</v>
      </c>
      <c r="AI54" s="372">
        <f>SUMIF($Z$51:$Z70,TRIM(AI52),$F$51:$F$70)</f>
        <v>9240.1687999999995</v>
      </c>
      <c r="AJ54" s="372">
        <f>SUMIF($Z$51:$Z70,TRIM(AJ52),$F$51:$F$70)</f>
        <v>0</v>
      </c>
      <c r="AK54" s="372">
        <f>SUMIF($Z$51:$Z70,TRIM(AK52),$F$51:$F$70)</f>
        <v>2906.7147000000004</v>
      </c>
      <c r="AL54" s="372">
        <f>SUMIF($Z$51:$Z70,TRIM(AL52),$F$51:$F$70)</f>
        <v>8766.3528999999999</v>
      </c>
      <c r="AM54" s="372">
        <f>SUMIF($Z$51:$Z70,TRIM(AM52),$F$51:$F$70)</f>
        <v>0</v>
      </c>
    </row>
    <row r="55" spans="2:39" s="147" customFormat="1" ht="27" hidden="1" customHeight="1">
      <c r="B55" s="935"/>
      <c r="C55" s="936"/>
      <c r="D55" s="361">
        <v>5</v>
      </c>
      <c r="E55" s="440" t="s">
        <v>336</v>
      </c>
      <c r="F55" s="441">
        <f t="shared" si="24"/>
        <v>1811.9147000000005</v>
      </c>
      <c r="G55" s="365">
        <v>147.43000000000004</v>
      </c>
      <c r="H55" s="442">
        <v>4946.46</v>
      </c>
      <c r="I55" s="442">
        <v>4946.46</v>
      </c>
      <c r="J55" s="444">
        <f t="shared" si="25"/>
        <v>1</v>
      </c>
      <c r="K55" s="443">
        <v>5017.13</v>
      </c>
      <c r="L55" s="444">
        <f t="shared" si="26"/>
        <v>1.014286985035763</v>
      </c>
      <c r="M55" s="443">
        <v>70.67</v>
      </c>
      <c r="N55" s="444">
        <f t="shared" si="27"/>
        <v>1.428698503576295E-2</v>
      </c>
      <c r="O55" s="445">
        <f t="shared" si="28"/>
        <v>5087.8</v>
      </c>
      <c r="P55" s="444">
        <f t="shared" si="29"/>
        <v>1.028573970071526</v>
      </c>
      <c r="Q55" s="442">
        <v>12.290000000000001</v>
      </c>
      <c r="R55" s="444">
        <f t="shared" si="30"/>
        <v>2.4846051519672656E-3</v>
      </c>
      <c r="S55" s="445">
        <f t="shared" si="31"/>
        <v>141.34000000000015</v>
      </c>
      <c r="T55" s="444">
        <f t="shared" si="32"/>
        <v>2.8573970071525928E-2</v>
      </c>
      <c r="U55" s="364">
        <f t="shared" si="33"/>
        <v>20837.756200000025</v>
      </c>
      <c r="V55" s="145"/>
      <c r="W55" s="145"/>
      <c r="X55" s="145"/>
      <c r="Y55" s="366" t="s">
        <v>417</v>
      </c>
      <c r="Z55" s="366" t="s">
        <v>215</v>
      </c>
      <c r="AA55" s="367" t="s">
        <v>602</v>
      </c>
      <c r="AB55" s="367" t="s">
        <v>569</v>
      </c>
      <c r="AC55" s="367">
        <v>1</v>
      </c>
      <c r="AD55" s="446" t="s">
        <v>340</v>
      </c>
      <c r="AF55" s="361" t="s">
        <v>563</v>
      </c>
      <c r="AG55" s="447">
        <f t="shared" ref="AG55:AM55" si="35">AG53/$AF53</f>
        <v>0.35</v>
      </c>
      <c r="AH55" s="447">
        <f t="shared" si="35"/>
        <v>0</v>
      </c>
      <c r="AI55" s="447">
        <f t="shared" si="35"/>
        <v>0.25</v>
      </c>
      <c r="AJ55" s="447">
        <f t="shared" si="35"/>
        <v>0</v>
      </c>
      <c r="AK55" s="447">
        <f t="shared" si="35"/>
        <v>0.1</v>
      </c>
      <c r="AL55" s="447">
        <f t="shared" si="35"/>
        <v>0.3</v>
      </c>
      <c r="AM55" s="447">
        <f t="shared" si="35"/>
        <v>0</v>
      </c>
    </row>
    <row r="56" spans="2:39" s="147" customFormat="1" ht="27" hidden="1" customHeight="1">
      <c r="B56" s="935"/>
      <c r="C56" s="936"/>
      <c r="D56" s="361">
        <v>6</v>
      </c>
      <c r="E56" s="440" t="s">
        <v>459</v>
      </c>
      <c r="F56" s="441">
        <f t="shared" si="24"/>
        <v>1599.2591999999995</v>
      </c>
      <c r="G56" s="365">
        <v>605.77999999999986</v>
      </c>
      <c r="H56" s="442">
        <v>1086.77</v>
      </c>
      <c r="I56" s="442">
        <v>1086.77</v>
      </c>
      <c r="J56" s="444">
        <f t="shared" si="25"/>
        <v>1</v>
      </c>
      <c r="K56" s="443">
        <v>1097.48</v>
      </c>
      <c r="L56" s="444">
        <f t="shared" si="26"/>
        <v>1.0098548910993126</v>
      </c>
      <c r="M56" s="443">
        <v>10.709999999999999</v>
      </c>
      <c r="N56" s="444">
        <f t="shared" si="27"/>
        <v>9.8548910993126407E-3</v>
      </c>
      <c r="O56" s="445">
        <f t="shared" si="28"/>
        <v>1108.19</v>
      </c>
      <c r="P56" s="444">
        <f t="shared" si="29"/>
        <v>1.0197097821986254</v>
      </c>
      <c r="Q56" s="442">
        <v>2.6399999999999997</v>
      </c>
      <c r="R56" s="444">
        <f t="shared" si="30"/>
        <v>2.4292168536120796E-3</v>
      </c>
      <c r="S56" s="445">
        <f t="shared" si="31"/>
        <v>21.420000000000073</v>
      </c>
      <c r="T56" s="444">
        <f t="shared" si="32"/>
        <v>1.9709782198625351E-2</v>
      </c>
      <c r="U56" s="364">
        <f t="shared" si="33"/>
        <v>12975.807600000042</v>
      </c>
      <c r="V56" s="145"/>
      <c r="W56" s="145"/>
      <c r="X56" s="145"/>
      <c r="Y56" s="366" t="s">
        <v>417</v>
      </c>
      <c r="Z56" s="366" t="s">
        <v>337</v>
      </c>
      <c r="AA56" s="367" t="s">
        <v>586</v>
      </c>
      <c r="AB56" s="380" t="s">
        <v>587</v>
      </c>
      <c r="AC56" s="367">
        <v>1</v>
      </c>
      <c r="AD56" s="446" t="s">
        <v>342</v>
      </c>
    </row>
    <row r="57" spans="2:39" s="147" customFormat="1" ht="27" hidden="1" customHeight="1">
      <c r="B57" s="935"/>
      <c r="C57" s="936"/>
      <c r="D57" s="361">
        <v>7</v>
      </c>
      <c r="E57" s="440" t="s">
        <v>581</v>
      </c>
      <c r="F57" s="441">
        <f t="shared" si="24"/>
        <v>1475.4</v>
      </c>
      <c r="G57" s="365">
        <v>24.59</v>
      </c>
      <c r="H57" s="442">
        <v>15861</v>
      </c>
      <c r="I57" s="442">
        <v>15861</v>
      </c>
      <c r="J57" s="444">
        <f t="shared" si="25"/>
        <v>1</v>
      </c>
      <c r="K57" s="443">
        <v>15939</v>
      </c>
      <c r="L57" s="444">
        <f t="shared" si="26"/>
        <v>1.0049177227160961</v>
      </c>
      <c r="M57" s="443">
        <v>0</v>
      </c>
      <c r="N57" s="444">
        <f t="shared" si="27"/>
        <v>0</v>
      </c>
      <c r="O57" s="445">
        <f t="shared" si="28"/>
        <v>15939</v>
      </c>
      <c r="P57" s="444">
        <f t="shared" si="29"/>
        <v>1.0049177227160961</v>
      </c>
      <c r="Q57" s="442">
        <v>60</v>
      </c>
      <c r="R57" s="444">
        <f t="shared" si="30"/>
        <v>3.7828636277662192E-3</v>
      </c>
      <c r="S57" s="445">
        <f t="shared" si="31"/>
        <v>78</v>
      </c>
      <c r="T57" s="444">
        <f t="shared" si="32"/>
        <v>4.9177227160960846E-3</v>
      </c>
      <c r="U57" s="364">
        <f t="shared" si="33"/>
        <v>1918.02</v>
      </c>
      <c r="V57" s="145"/>
      <c r="W57" s="145"/>
      <c r="X57" s="145"/>
      <c r="Y57" s="366" t="s">
        <v>417</v>
      </c>
      <c r="Z57" s="366" t="s">
        <v>337</v>
      </c>
      <c r="AA57" s="367" t="s">
        <v>585</v>
      </c>
      <c r="AB57" s="367" t="s">
        <v>656</v>
      </c>
      <c r="AC57" s="367">
        <v>1</v>
      </c>
      <c r="AD57" s="446" t="s">
        <v>566</v>
      </c>
    </row>
    <row r="58" spans="2:39" s="147" customFormat="1" ht="27" hidden="1" customHeight="1">
      <c r="B58" s="935"/>
      <c r="C58" s="936"/>
      <c r="D58" s="361">
        <v>8</v>
      </c>
      <c r="E58" s="440" t="s">
        <v>631</v>
      </c>
      <c r="F58" s="441">
        <f t="shared" si="24"/>
        <v>1454.0756999999999</v>
      </c>
      <c r="G58" s="365">
        <v>43.889999999999993</v>
      </c>
      <c r="H58" s="442">
        <v>3631.4</v>
      </c>
      <c r="I58" s="442">
        <v>3631.4</v>
      </c>
      <c r="J58" s="444">
        <f t="shared" si="25"/>
        <v>1</v>
      </c>
      <c r="K58" s="443">
        <v>3732.92</v>
      </c>
      <c r="L58" s="444">
        <f t="shared" si="26"/>
        <v>1.0279561601586165</v>
      </c>
      <c r="M58" s="443">
        <v>92.62</v>
      </c>
      <c r="N58" s="444">
        <f t="shared" si="27"/>
        <v>2.5505314754640084E-2</v>
      </c>
      <c r="O58" s="445">
        <f t="shared" si="28"/>
        <v>3825.54</v>
      </c>
      <c r="P58" s="444">
        <f t="shared" si="29"/>
        <v>1.0534614749132565</v>
      </c>
      <c r="Q58" s="442">
        <v>33.130000000000003</v>
      </c>
      <c r="R58" s="444">
        <f t="shared" si="30"/>
        <v>9.1232031723302316E-3</v>
      </c>
      <c r="S58" s="445">
        <f t="shared" si="31"/>
        <v>194.13999999999987</v>
      </c>
      <c r="T58" s="444">
        <f t="shared" si="32"/>
        <v>5.3461474913256556E-2</v>
      </c>
      <c r="U58" s="364">
        <f t="shared" si="33"/>
        <v>8520.804599999994</v>
      </c>
      <c r="V58" s="145"/>
      <c r="W58" s="145"/>
      <c r="X58" s="145"/>
      <c r="Y58" s="366" t="s">
        <v>417</v>
      </c>
      <c r="Z58" s="366" t="s">
        <v>216</v>
      </c>
      <c r="AA58" s="380" t="s">
        <v>662</v>
      </c>
      <c r="AB58" s="367" t="s">
        <v>569</v>
      </c>
      <c r="AC58" s="367">
        <v>1</v>
      </c>
      <c r="AD58" s="446" t="s">
        <v>630</v>
      </c>
    </row>
    <row r="59" spans="2:39" s="147" customFormat="1" ht="27" hidden="1" customHeight="1">
      <c r="B59" s="935"/>
      <c r="C59" s="936"/>
      <c r="D59" s="361">
        <v>9</v>
      </c>
      <c r="E59" s="440" t="s">
        <v>534</v>
      </c>
      <c r="F59" s="441">
        <f t="shared" si="24"/>
        <v>1418.0399999999997</v>
      </c>
      <c r="G59" s="365">
        <v>39.389999999999993</v>
      </c>
      <c r="H59" s="442">
        <v>25259.64</v>
      </c>
      <c r="I59" s="442">
        <v>25259.64</v>
      </c>
      <c r="J59" s="444">
        <f t="shared" si="25"/>
        <v>1</v>
      </c>
      <c r="K59" s="443">
        <v>25406.290000000005</v>
      </c>
      <c r="L59" s="444">
        <f t="shared" si="26"/>
        <v>1.0058057042776543</v>
      </c>
      <c r="M59" s="443">
        <v>136.21</v>
      </c>
      <c r="N59" s="444">
        <f t="shared" si="27"/>
        <v>5.3923967245772314E-3</v>
      </c>
      <c r="O59" s="445">
        <f t="shared" si="28"/>
        <v>25542.500000000004</v>
      </c>
      <c r="P59" s="444">
        <f t="shared" si="29"/>
        <v>1.0111981010022313</v>
      </c>
      <c r="Q59" s="442">
        <v>36</v>
      </c>
      <c r="R59" s="444">
        <f t="shared" si="30"/>
        <v>1.4251984588853999E-3</v>
      </c>
      <c r="S59" s="445">
        <f t="shared" si="31"/>
        <v>282.86000000000422</v>
      </c>
      <c r="T59" s="444">
        <f t="shared" si="32"/>
        <v>1.1198101002231394E-2</v>
      </c>
      <c r="U59" s="364">
        <f t="shared" si="33"/>
        <v>11141.855400000164</v>
      </c>
      <c r="V59" s="145"/>
      <c r="W59" s="145"/>
      <c r="X59" s="145"/>
      <c r="Y59" s="366" t="s">
        <v>417</v>
      </c>
      <c r="Z59" s="366" t="s">
        <v>216</v>
      </c>
      <c r="AA59" s="380" t="s">
        <v>662</v>
      </c>
      <c r="AB59" s="367" t="s">
        <v>569</v>
      </c>
      <c r="AC59" s="367">
        <v>1</v>
      </c>
      <c r="AD59" s="446" t="s">
        <v>340</v>
      </c>
    </row>
    <row r="60" spans="2:39" s="147" customFormat="1" ht="27" hidden="1" customHeight="1">
      <c r="B60" s="935"/>
      <c r="C60" s="936"/>
      <c r="D60" s="361">
        <v>10</v>
      </c>
      <c r="E60" s="440" t="s">
        <v>652</v>
      </c>
      <c r="F60" s="441">
        <f t="shared" si="24"/>
        <v>1378.5875999999998</v>
      </c>
      <c r="G60" s="365">
        <v>31.59</v>
      </c>
      <c r="H60" s="442">
        <v>9400.57</v>
      </c>
      <c r="I60" s="442">
        <v>9400.57</v>
      </c>
      <c r="J60" s="444">
        <f t="shared" si="25"/>
        <v>1</v>
      </c>
      <c r="K60" s="443">
        <v>9649.39</v>
      </c>
      <c r="L60" s="444">
        <f t="shared" si="26"/>
        <v>1.0264686077546361</v>
      </c>
      <c r="M60" s="443">
        <v>248.82</v>
      </c>
      <c r="N60" s="444">
        <f t="shared" si="27"/>
        <v>2.6468607754636154E-2</v>
      </c>
      <c r="O60" s="445">
        <f t="shared" si="28"/>
        <v>9898.2099999999991</v>
      </c>
      <c r="P60" s="444">
        <f t="shared" si="29"/>
        <v>1.0529372155092722</v>
      </c>
      <c r="Q60" s="442">
        <v>43.639999999999993</v>
      </c>
      <c r="R60" s="444">
        <f t="shared" si="30"/>
        <v>4.6422716920356951E-3</v>
      </c>
      <c r="S60" s="445">
        <f t="shared" si="31"/>
        <v>497.63999999999942</v>
      </c>
      <c r="T60" s="444">
        <f t="shared" si="32"/>
        <v>5.2937215509272252E-2</v>
      </c>
      <c r="U60" s="364">
        <f t="shared" si="33"/>
        <v>15720.447599999981</v>
      </c>
      <c r="V60" s="145"/>
      <c r="W60" s="145"/>
      <c r="X60" s="145"/>
      <c r="Y60" s="366" t="s">
        <v>417</v>
      </c>
      <c r="Z60" s="366" t="s">
        <v>445</v>
      </c>
      <c r="AA60" s="367" t="s">
        <v>479</v>
      </c>
      <c r="AB60" s="367" t="s">
        <v>590</v>
      </c>
      <c r="AC60" s="367">
        <v>1</v>
      </c>
      <c r="AD60" s="446" t="s">
        <v>650</v>
      </c>
    </row>
    <row r="61" spans="2:39" s="147" customFormat="1" ht="27" hidden="1" customHeight="1">
      <c r="B61" s="935"/>
      <c r="C61" s="936"/>
      <c r="D61" s="361">
        <v>11</v>
      </c>
      <c r="E61" s="440" t="s">
        <v>462</v>
      </c>
      <c r="F61" s="441">
        <f t="shared" si="24"/>
        <v>1317.6229000000003</v>
      </c>
      <c r="G61" s="365">
        <v>160.49</v>
      </c>
      <c r="H61" s="442">
        <v>737.83999999999992</v>
      </c>
      <c r="I61" s="442">
        <v>737.83999999999992</v>
      </c>
      <c r="J61" s="444">
        <f t="shared" si="25"/>
        <v>1</v>
      </c>
      <c r="K61" s="443">
        <v>759.7399999999999</v>
      </c>
      <c r="L61" s="444">
        <f t="shared" si="26"/>
        <v>1.0296812317033504</v>
      </c>
      <c r="M61" s="443">
        <v>21.9</v>
      </c>
      <c r="N61" s="444">
        <f t="shared" si="27"/>
        <v>2.9681231703350321E-2</v>
      </c>
      <c r="O61" s="445">
        <f t="shared" si="28"/>
        <v>781.63999999999987</v>
      </c>
      <c r="P61" s="444">
        <f t="shared" si="29"/>
        <v>1.0593624634067005</v>
      </c>
      <c r="Q61" s="442">
        <v>8.2100000000000009</v>
      </c>
      <c r="R61" s="444">
        <f t="shared" si="30"/>
        <v>1.1127073620297086E-2</v>
      </c>
      <c r="S61" s="445">
        <f t="shared" si="31"/>
        <v>43.799999999999955</v>
      </c>
      <c r="T61" s="444">
        <f t="shared" si="32"/>
        <v>5.9362463406700587E-2</v>
      </c>
      <c r="U61" s="364">
        <f t="shared" si="33"/>
        <v>7029.4619999999932</v>
      </c>
      <c r="V61" s="145"/>
      <c r="W61" s="145"/>
      <c r="X61" s="145"/>
      <c r="Y61" s="366" t="s">
        <v>417</v>
      </c>
      <c r="Z61" s="366" t="s">
        <v>445</v>
      </c>
      <c r="AA61" s="367" t="s">
        <v>644</v>
      </c>
      <c r="AB61" s="367" t="s">
        <v>571</v>
      </c>
      <c r="AC61" s="367">
        <v>1</v>
      </c>
      <c r="AD61" s="446" t="s">
        <v>433</v>
      </c>
      <c r="AH61" s="370"/>
    </row>
    <row r="62" spans="2:39" s="147" customFormat="1" ht="27" hidden="1" customHeight="1">
      <c r="B62" s="935"/>
      <c r="C62" s="936"/>
      <c r="D62" s="361">
        <v>12</v>
      </c>
      <c r="E62" s="440" t="s">
        <v>653</v>
      </c>
      <c r="F62" s="441">
        <f t="shared" si="24"/>
        <v>1209.7706000000003</v>
      </c>
      <c r="G62" s="365">
        <v>40.420000000000009</v>
      </c>
      <c r="H62" s="442">
        <v>5161.1000000000004</v>
      </c>
      <c r="I62" s="442">
        <v>5161.1000000000004</v>
      </c>
      <c r="J62" s="444">
        <f t="shared" si="25"/>
        <v>1</v>
      </c>
      <c r="K62" s="443">
        <v>5318.82</v>
      </c>
      <c r="L62" s="444">
        <f t="shared" si="26"/>
        <v>1.0305593768770223</v>
      </c>
      <c r="M62" s="443">
        <v>157.72</v>
      </c>
      <c r="N62" s="444">
        <f t="shared" si="27"/>
        <v>3.0559376877022339E-2</v>
      </c>
      <c r="O62" s="445">
        <f t="shared" si="28"/>
        <v>5476.54</v>
      </c>
      <c r="P62" s="444">
        <f t="shared" si="29"/>
        <v>1.0611187537540445</v>
      </c>
      <c r="Q62" s="442">
        <v>29.93</v>
      </c>
      <c r="R62" s="444">
        <f t="shared" si="30"/>
        <v>5.7991513437057989E-3</v>
      </c>
      <c r="S62" s="445">
        <f t="shared" si="31"/>
        <v>315.4399999999996</v>
      </c>
      <c r="T62" s="444">
        <f t="shared" si="32"/>
        <v>6.1118753754044595E-2</v>
      </c>
      <c r="U62" s="364">
        <f t="shared" si="33"/>
        <v>12750.084799999986</v>
      </c>
      <c r="V62" s="145"/>
      <c r="W62" s="145"/>
      <c r="X62" s="145"/>
      <c r="Y62" s="366" t="s">
        <v>417</v>
      </c>
      <c r="Z62" s="366" t="s">
        <v>216</v>
      </c>
      <c r="AA62" s="380" t="s">
        <v>657</v>
      </c>
      <c r="AB62" s="367" t="s">
        <v>569</v>
      </c>
      <c r="AC62" s="367">
        <v>1</v>
      </c>
      <c r="AD62" s="446" t="s">
        <v>650</v>
      </c>
    </row>
    <row r="63" spans="2:39" s="147" customFormat="1" ht="27" hidden="1" customHeight="1">
      <c r="B63" s="935"/>
      <c r="C63" s="936"/>
      <c r="D63" s="361">
        <v>13</v>
      </c>
      <c r="E63" s="440" t="s">
        <v>386</v>
      </c>
      <c r="F63" s="441">
        <f t="shared" si="24"/>
        <v>1178.6848000000002</v>
      </c>
      <c r="G63" s="365">
        <v>127.84000000000002</v>
      </c>
      <c r="H63" s="442">
        <v>4364.0199999999995</v>
      </c>
      <c r="I63" s="442">
        <v>4364.0199999999995</v>
      </c>
      <c r="J63" s="444">
        <f t="shared" si="25"/>
        <v>1</v>
      </c>
      <c r="K63" s="443">
        <v>4403.34</v>
      </c>
      <c r="L63" s="444">
        <f t="shared" si="26"/>
        <v>1.0090100412005445</v>
      </c>
      <c r="M63" s="443">
        <v>39.319999999999993</v>
      </c>
      <c r="N63" s="444">
        <f t="shared" si="27"/>
        <v>9.0100412005444507E-3</v>
      </c>
      <c r="O63" s="445">
        <f t="shared" si="28"/>
        <v>4442.66</v>
      </c>
      <c r="P63" s="444">
        <f t="shared" si="29"/>
        <v>1.018020082401089</v>
      </c>
      <c r="Q63" s="442">
        <v>9.2200000000000006</v>
      </c>
      <c r="R63" s="444">
        <f t="shared" si="30"/>
        <v>2.1127309224064053E-3</v>
      </c>
      <c r="S63" s="445">
        <f t="shared" si="31"/>
        <v>78.640000000000327</v>
      </c>
      <c r="T63" s="444">
        <f t="shared" si="32"/>
        <v>1.8020082401088981E-2</v>
      </c>
      <c r="U63" s="364">
        <f t="shared" si="33"/>
        <v>10053.337600000043</v>
      </c>
      <c r="V63" s="145"/>
      <c r="W63" s="145"/>
      <c r="X63" s="145"/>
      <c r="Y63" s="366" t="s">
        <v>417</v>
      </c>
      <c r="Z63" s="366" t="s">
        <v>445</v>
      </c>
      <c r="AA63" s="367" t="s">
        <v>644</v>
      </c>
      <c r="AB63" s="367" t="s">
        <v>571</v>
      </c>
      <c r="AC63" s="367">
        <v>1</v>
      </c>
      <c r="AD63" s="446" t="s">
        <v>340</v>
      </c>
    </row>
    <row r="64" spans="2:39" s="147" customFormat="1" ht="27" hidden="1" customHeight="1">
      <c r="B64" s="935"/>
      <c r="C64" s="936"/>
      <c r="D64" s="361">
        <v>14</v>
      </c>
      <c r="E64" s="440" t="s">
        <v>544</v>
      </c>
      <c r="F64" s="441">
        <f t="shared" si="24"/>
        <v>1135.6017000000002</v>
      </c>
      <c r="G64" s="365">
        <v>62.43</v>
      </c>
      <c r="H64" s="442">
        <v>2175.88</v>
      </c>
      <c r="I64" s="442">
        <v>2175.88</v>
      </c>
      <c r="J64" s="444">
        <f t="shared" si="25"/>
        <v>1</v>
      </c>
      <c r="K64" s="443">
        <v>2245.2799999999997</v>
      </c>
      <c r="L64" s="444">
        <f t="shared" si="26"/>
        <v>1.0318951412761732</v>
      </c>
      <c r="M64" s="443">
        <v>69.400000000000006</v>
      </c>
      <c r="N64" s="444">
        <f t="shared" si="27"/>
        <v>3.1895141276173322E-2</v>
      </c>
      <c r="O64" s="445">
        <f t="shared" si="28"/>
        <v>2314.6799999999998</v>
      </c>
      <c r="P64" s="444">
        <f t="shared" si="29"/>
        <v>1.0637902825523464</v>
      </c>
      <c r="Q64" s="442">
        <v>18.190000000000001</v>
      </c>
      <c r="R64" s="444">
        <f t="shared" si="30"/>
        <v>8.3598360203687699E-3</v>
      </c>
      <c r="S64" s="445">
        <f t="shared" si="31"/>
        <v>138.79999999999973</v>
      </c>
      <c r="T64" s="444">
        <f t="shared" si="32"/>
        <v>6.3790282552346506E-2</v>
      </c>
      <c r="U64" s="364">
        <f t="shared" si="33"/>
        <v>8665.2839999999833</v>
      </c>
      <c r="V64" s="145"/>
      <c r="W64" s="145"/>
      <c r="X64" s="145"/>
      <c r="Y64" s="366" t="s">
        <v>417</v>
      </c>
      <c r="Z64" s="366" t="s">
        <v>216</v>
      </c>
      <c r="AA64" s="380" t="s">
        <v>662</v>
      </c>
      <c r="AB64" s="367" t="s">
        <v>569</v>
      </c>
      <c r="AC64" s="367">
        <v>1</v>
      </c>
      <c r="AD64" s="446" t="s">
        <v>543</v>
      </c>
    </row>
    <row r="65" spans="2:39" s="147" customFormat="1" ht="27" hidden="1" customHeight="1">
      <c r="B65" s="935"/>
      <c r="C65" s="936"/>
      <c r="D65" s="361">
        <v>15</v>
      </c>
      <c r="E65" s="440" t="s">
        <v>634</v>
      </c>
      <c r="F65" s="441">
        <f t="shared" si="24"/>
        <v>1104.3281999999999</v>
      </c>
      <c r="G65" s="365">
        <v>212.78</v>
      </c>
      <c r="H65" s="442">
        <v>526.29</v>
      </c>
      <c r="I65" s="442">
        <v>526.29</v>
      </c>
      <c r="J65" s="444">
        <f t="shared" si="25"/>
        <v>1</v>
      </c>
      <c r="K65" s="443">
        <v>543.71</v>
      </c>
      <c r="L65" s="444">
        <f t="shared" si="26"/>
        <v>1.0330996218814723</v>
      </c>
      <c r="M65" s="443">
        <v>17.420000000000002</v>
      </c>
      <c r="N65" s="444">
        <f t="shared" si="27"/>
        <v>3.3099621881472197E-2</v>
      </c>
      <c r="O65" s="445">
        <f t="shared" si="28"/>
        <v>561.13</v>
      </c>
      <c r="P65" s="444">
        <f t="shared" si="29"/>
        <v>1.0661992437629444</v>
      </c>
      <c r="Q65" s="442">
        <v>5.1899999999999995</v>
      </c>
      <c r="R65" s="444">
        <f t="shared" si="30"/>
        <v>9.8614832126774216E-3</v>
      </c>
      <c r="S65" s="445">
        <f t="shared" si="31"/>
        <v>34.840000000000032</v>
      </c>
      <c r="T65" s="444">
        <f t="shared" si="32"/>
        <v>6.6199243762944449E-2</v>
      </c>
      <c r="U65" s="364">
        <f t="shared" si="33"/>
        <v>7413.2552000000069</v>
      </c>
      <c r="V65" s="145"/>
      <c r="W65" s="145"/>
      <c r="X65" s="145"/>
      <c r="Y65" s="366" t="s">
        <v>417</v>
      </c>
      <c r="Z65" s="366" t="s">
        <v>445</v>
      </c>
      <c r="AA65" s="367" t="s">
        <v>546</v>
      </c>
      <c r="AB65" s="367" t="s">
        <v>454</v>
      </c>
      <c r="AC65" s="367">
        <v>1</v>
      </c>
      <c r="AD65" s="446" t="s">
        <v>630</v>
      </c>
    </row>
    <row r="66" spans="2:39" s="147" customFormat="1" ht="27" hidden="1" customHeight="1">
      <c r="B66" s="935"/>
      <c r="C66" s="936"/>
      <c r="D66" s="361">
        <v>16</v>
      </c>
      <c r="E66" s="440" t="s">
        <v>483</v>
      </c>
      <c r="F66" s="441">
        <f t="shared" si="24"/>
        <v>1096.7095999999999</v>
      </c>
      <c r="G66" s="365">
        <v>370.50999999999993</v>
      </c>
      <c r="H66" s="442">
        <v>430.84000000000003</v>
      </c>
      <c r="I66" s="442">
        <v>430.84000000000003</v>
      </c>
      <c r="J66" s="444">
        <f t="shared" si="25"/>
        <v>1</v>
      </c>
      <c r="K66" s="443">
        <v>442.74</v>
      </c>
      <c r="L66" s="444">
        <f t="shared" si="26"/>
        <v>1.0276204623526135</v>
      </c>
      <c r="M66" s="443">
        <v>11.900000000000002</v>
      </c>
      <c r="N66" s="444">
        <f t="shared" si="27"/>
        <v>2.7620462352613503E-2</v>
      </c>
      <c r="O66" s="445">
        <f t="shared" si="28"/>
        <v>454.64</v>
      </c>
      <c r="P66" s="444">
        <f t="shared" si="29"/>
        <v>1.0552409247052268</v>
      </c>
      <c r="Q66" s="442">
        <v>2.9600000000000004</v>
      </c>
      <c r="R66" s="444">
        <f t="shared" si="30"/>
        <v>6.8702998793055432E-3</v>
      </c>
      <c r="S66" s="445">
        <f t="shared" si="31"/>
        <v>23.799999999999955</v>
      </c>
      <c r="T66" s="444">
        <f t="shared" si="32"/>
        <v>5.5240924705226888E-2</v>
      </c>
      <c r="U66" s="364">
        <f t="shared" si="33"/>
        <v>8818.1379999999808</v>
      </c>
      <c r="V66" s="145"/>
      <c r="W66" s="145"/>
      <c r="X66" s="145"/>
      <c r="Y66" s="366" t="s">
        <v>417</v>
      </c>
      <c r="Z66" s="366" t="s">
        <v>337</v>
      </c>
      <c r="AA66" s="367" t="s">
        <v>591</v>
      </c>
      <c r="AB66" s="367" t="s">
        <v>574</v>
      </c>
      <c r="AC66" s="367">
        <v>1</v>
      </c>
      <c r="AD66" s="446" t="s">
        <v>353</v>
      </c>
    </row>
    <row r="67" spans="2:39" s="147" customFormat="1" ht="27" hidden="1" customHeight="1">
      <c r="B67" s="935"/>
      <c r="C67" s="936"/>
      <c r="D67" s="361">
        <v>17</v>
      </c>
      <c r="E67" s="440" t="s">
        <v>638</v>
      </c>
      <c r="F67" s="441">
        <f t="shared" si="24"/>
        <v>1094.8000000000002</v>
      </c>
      <c r="G67" s="365">
        <v>1.1500000000000001</v>
      </c>
      <c r="H67" s="442">
        <v>48117</v>
      </c>
      <c r="I67" s="442">
        <v>48117</v>
      </c>
      <c r="J67" s="444">
        <f t="shared" si="25"/>
        <v>1</v>
      </c>
      <c r="K67" s="443">
        <v>49069</v>
      </c>
      <c r="L67" s="444">
        <f t="shared" si="26"/>
        <v>1.0197851071346926</v>
      </c>
      <c r="M67" s="443">
        <v>0</v>
      </c>
      <c r="N67" s="444">
        <f t="shared" si="27"/>
        <v>0</v>
      </c>
      <c r="O67" s="445">
        <f t="shared" si="28"/>
        <v>49069</v>
      </c>
      <c r="P67" s="444">
        <f t="shared" si="29"/>
        <v>1.0197851071346926</v>
      </c>
      <c r="Q67" s="442">
        <v>952</v>
      </c>
      <c r="R67" s="444">
        <f t="shared" si="30"/>
        <v>1.9785107134692521E-2</v>
      </c>
      <c r="S67" s="445">
        <f t="shared" si="31"/>
        <v>952</v>
      </c>
      <c r="T67" s="444">
        <f t="shared" si="32"/>
        <v>1.9785107134692521E-2</v>
      </c>
      <c r="U67" s="364">
        <f t="shared" si="33"/>
        <v>1094.8000000000002</v>
      </c>
      <c r="V67" s="145"/>
      <c r="W67" s="145"/>
      <c r="X67" s="145"/>
      <c r="Y67" s="366" t="s">
        <v>417</v>
      </c>
      <c r="Z67" s="366" t="s">
        <v>215</v>
      </c>
      <c r="AA67" s="366" t="s">
        <v>604</v>
      </c>
      <c r="AB67" s="367" t="s">
        <v>605</v>
      </c>
      <c r="AC67" s="367">
        <v>1</v>
      </c>
      <c r="AD67" s="446" t="s">
        <v>435</v>
      </c>
    </row>
    <row r="68" spans="2:39" s="147" customFormat="1" ht="27" hidden="1" customHeight="1">
      <c r="B68" s="935"/>
      <c r="C68" s="936"/>
      <c r="D68" s="361">
        <v>18</v>
      </c>
      <c r="E68" s="440" t="s">
        <v>568</v>
      </c>
      <c r="F68" s="441">
        <f t="shared" si="24"/>
        <v>1075.4744000000001</v>
      </c>
      <c r="G68" s="365">
        <v>40.04</v>
      </c>
      <c r="H68" s="442">
        <v>2890.69</v>
      </c>
      <c r="I68" s="442">
        <v>2890.69</v>
      </c>
      <c r="J68" s="444">
        <f t="shared" si="25"/>
        <v>1</v>
      </c>
      <c r="K68" s="443">
        <v>2987.64</v>
      </c>
      <c r="L68" s="444">
        <f t="shared" si="26"/>
        <v>1.0335387052918161</v>
      </c>
      <c r="M68" s="443">
        <v>96.95</v>
      </c>
      <c r="N68" s="444">
        <f t="shared" si="27"/>
        <v>3.3538705291816143E-2</v>
      </c>
      <c r="O68" s="445">
        <f t="shared" si="28"/>
        <v>3084.5899999999997</v>
      </c>
      <c r="P68" s="444">
        <f t="shared" si="29"/>
        <v>1.0670774105836323</v>
      </c>
      <c r="Q68" s="442">
        <v>26.86</v>
      </c>
      <c r="R68" s="444">
        <f t="shared" si="30"/>
        <v>9.2918991659430798E-3</v>
      </c>
      <c r="S68" s="445">
        <f t="shared" si="31"/>
        <v>193.89999999999964</v>
      </c>
      <c r="T68" s="444">
        <f t="shared" si="32"/>
        <v>6.707741058363216E-2</v>
      </c>
      <c r="U68" s="364">
        <f t="shared" si="33"/>
        <v>7763.7559999999849</v>
      </c>
      <c r="V68" s="145"/>
      <c r="W68" s="145"/>
      <c r="X68" s="145"/>
      <c r="Y68" s="366" t="s">
        <v>417</v>
      </c>
      <c r="Z68" s="366" t="s">
        <v>216</v>
      </c>
      <c r="AA68" s="380" t="s">
        <v>662</v>
      </c>
      <c r="AB68" s="367" t="s">
        <v>569</v>
      </c>
      <c r="AC68" s="367">
        <v>1</v>
      </c>
      <c r="AD68" s="446" t="s">
        <v>533</v>
      </c>
    </row>
    <row r="69" spans="2:39" s="147" customFormat="1" ht="27" hidden="1" customHeight="1">
      <c r="B69" s="935"/>
      <c r="C69" s="936"/>
      <c r="D69" s="361">
        <v>19</v>
      </c>
      <c r="E69" s="440" t="s">
        <v>654</v>
      </c>
      <c r="F69" s="441">
        <f t="shared" si="24"/>
        <v>1048.2307428571432</v>
      </c>
      <c r="G69" s="365">
        <v>51.434285714285728</v>
      </c>
      <c r="H69" s="442">
        <v>1137.33</v>
      </c>
      <c r="I69" s="442">
        <v>1137.33</v>
      </c>
      <c r="J69" s="444">
        <f t="shared" si="25"/>
        <v>1</v>
      </c>
      <c r="K69" s="443">
        <v>1186.52</v>
      </c>
      <c r="L69" s="444">
        <f t="shared" si="26"/>
        <v>1.0432504198429655</v>
      </c>
      <c r="M69" s="443">
        <v>49.189999999999991</v>
      </c>
      <c r="N69" s="444">
        <f t="shared" si="27"/>
        <v>4.3250419842965536E-2</v>
      </c>
      <c r="O69" s="445">
        <f t="shared" si="28"/>
        <v>1235.71</v>
      </c>
      <c r="P69" s="444">
        <f t="shared" si="29"/>
        <v>1.0865008396859313</v>
      </c>
      <c r="Q69" s="442">
        <v>20.380000000000003</v>
      </c>
      <c r="R69" s="444">
        <f t="shared" si="30"/>
        <v>1.7919161545022117E-2</v>
      </c>
      <c r="S69" s="445">
        <f t="shared" si="31"/>
        <v>98.380000000000109</v>
      </c>
      <c r="T69" s="444">
        <f t="shared" si="32"/>
        <v>8.6500839685931183E-2</v>
      </c>
      <c r="U69" s="364">
        <f t="shared" si="33"/>
        <v>5060.1050285714355</v>
      </c>
      <c r="V69" s="145"/>
      <c r="W69" s="145"/>
      <c r="X69" s="145"/>
      <c r="Y69" s="366" t="s">
        <v>417</v>
      </c>
      <c r="Z69" s="366" t="s">
        <v>445</v>
      </c>
      <c r="AA69" s="367" t="s">
        <v>479</v>
      </c>
      <c r="AB69" s="367" t="s">
        <v>590</v>
      </c>
      <c r="AC69" s="367">
        <v>1</v>
      </c>
      <c r="AD69" s="446" t="s">
        <v>342</v>
      </c>
    </row>
    <row r="70" spans="2:39" s="147" customFormat="1" ht="27" hidden="1" customHeight="1">
      <c r="B70" s="937"/>
      <c r="C70" s="938"/>
      <c r="D70" s="361">
        <v>20</v>
      </c>
      <c r="E70" s="440" t="s">
        <v>618</v>
      </c>
      <c r="F70" s="441">
        <f t="shared" si="24"/>
        <v>1046.24</v>
      </c>
      <c r="G70" s="365">
        <v>2.08</v>
      </c>
      <c r="H70" s="442">
        <v>39366</v>
      </c>
      <c r="I70" s="442">
        <v>39366</v>
      </c>
      <c r="J70" s="444">
        <f t="shared" si="25"/>
        <v>1</v>
      </c>
      <c r="K70" s="443">
        <v>39928</v>
      </c>
      <c r="L70" s="444">
        <f t="shared" si="26"/>
        <v>1.0142762790225068</v>
      </c>
      <c r="M70" s="443">
        <v>0</v>
      </c>
      <c r="N70" s="444">
        <f t="shared" si="27"/>
        <v>0</v>
      </c>
      <c r="O70" s="445">
        <f t="shared" si="28"/>
        <v>39928</v>
      </c>
      <c r="P70" s="444">
        <f t="shared" si="29"/>
        <v>1.0142762790225068</v>
      </c>
      <c r="Q70" s="442">
        <v>503</v>
      </c>
      <c r="R70" s="444">
        <f t="shared" si="30"/>
        <v>1.2777523751460651E-2</v>
      </c>
      <c r="S70" s="445">
        <f t="shared" si="31"/>
        <v>562</v>
      </c>
      <c r="T70" s="444">
        <f t="shared" si="32"/>
        <v>1.4276279022506732E-2</v>
      </c>
      <c r="U70" s="364">
        <f t="shared" si="33"/>
        <v>1168.96</v>
      </c>
      <c r="V70" s="145"/>
      <c r="W70" s="145"/>
      <c r="X70" s="145"/>
      <c r="Y70" s="366" t="s">
        <v>417</v>
      </c>
      <c r="Z70" s="366" t="s">
        <v>445</v>
      </c>
      <c r="AA70" s="366" t="s">
        <v>658</v>
      </c>
      <c r="AB70" s="367" t="s">
        <v>571</v>
      </c>
      <c r="AC70" s="367">
        <v>1</v>
      </c>
      <c r="AD70" s="446" t="s">
        <v>530</v>
      </c>
    </row>
    <row r="71" spans="2:39" ht="17.100000000000001" hidden="1" customHeight="1">
      <c r="B71" s="987" t="s">
        <v>442</v>
      </c>
      <c r="C71" s="988"/>
      <c r="D71" s="980" t="s">
        <v>549</v>
      </c>
      <c r="E71" s="966" t="s">
        <v>550</v>
      </c>
      <c r="F71" s="922" t="s">
        <v>551</v>
      </c>
      <c r="G71" s="922" t="s">
        <v>552</v>
      </c>
      <c r="H71" s="956" t="s">
        <v>553</v>
      </c>
      <c r="I71" s="939" t="s">
        <v>554</v>
      </c>
      <c r="J71" s="940"/>
      <c r="K71" s="939" t="s">
        <v>555</v>
      </c>
      <c r="L71" s="940"/>
      <c r="M71" s="939" t="s">
        <v>556</v>
      </c>
      <c r="N71" s="940"/>
      <c r="O71" s="939" t="s">
        <v>557</v>
      </c>
      <c r="P71" s="940"/>
      <c r="Q71" s="939" t="s">
        <v>418</v>
      </c>
      <c r="R71" s="940"/>
      <c r="S71" s="941" t="s">
        <v>419</v>
      </c>
      <c r="T71" s="942"/>
      <c r="U71" s="943"/>
      <c r="Y71" s="947" t="s">
        <v>171</v>
      </c>
      <c r="Z71" s="947" t="s">
        <v>245</v>
      </c>
      <c r="AA71" s="947" t="s">
        <v>558</v>
      </c>
      <c r="AB71" s="947" t="s">
        <v>444</v>
      </c>
      <c r="AC71" s="947" t="s">
        <v>246</v>
      </c>
      <c r="AD71" s="922" t="s">
        <v>172</v>
      </c>
      <c r="AF71" s="924" t="s">
        <v>247</v>
      </c>
      <c r="AG71" s="925"/>
      <c r="AH71" s="925"/>
      <c r="AI71" s="925"/>
      <c r="AJ71" s="925"/>
      <c r="AK71" s="925"/>
      <c r="AL71" s="925"/>
      <c r="AM71" s="926"/>
    </row>
    <row r="72" spans="2:39" hidden="1">
      <c r="B72" s="951"/>
      <c r="C72" s="952"/>
      <c r="D72" s="981"/>
      <c r="E72" s="967"/>
      <c r="F72" s="923"/>
      <c r="G72" s="923"/>
      <c r="H72" s="990"/>
      <c r="I72" s="439" t="s">
        <v>559</v>
      </c>
      <c r="J72" s="362" t="s">
        <v>560</v>
      </c>
      <c r="K72" s="439" t="s">
        <v>559</v>
      </c>
      <c r="L72" s="362" t="s">
        <v>560</v>
      </c>
      <c r="M72" s="439" t="s">
        <v>559</v>
      </c>
      <c r="N72" s="362" t="s">
        <v>560</v>
      </c>
      <c r="O72" s="439" t="s">
        <v>559</v>
      </c>
      <c r="P72" s="362" t="s">
        <v>560</v>
      </c>
      <c r="Q72" s="439" t="s">
        <v>559</v>
      </c>
      <c r="R72" s="362" t="s">
        <v>560</v>
      </c>
      <c r="S72" s="439" t="s">
        <v>559</v>
      </c>
      <c r="T72" s="362" t="s">
        <v>560</v>
      </c>
      <c r="U72" s="362" t="s">
        <v>561</v>
      </c>
      <c r="Y72" s="948"/>
      <c r="Z72" s="948"/>
      <c r="AA72" s="948"/>
      <c r="AB72" s="948"/>
      <c r="AC72" s="948"/>
      <c r="AD72" s="923"/>
      <c r="AF72" s="927"/>
      <c r="AG72" s="928"/>
      <c r="AH72" s="928"/>
      <c r="AI72" s="928"/>
      <c r="AJ72" s="928"/>
      <c r="AK72" s="928"/>
      <c r="AL72" s="928"/>
      <c r="AM72" s="929"/>
    </row>
    <row r="73" spans="2:39" s="147" customFormat="1" ht="27" hidden="1" customHeight="1">
      <c r="B73" s="933" t="s">
        <v>627</v>
      </c>
      <c r="C73" s="934"/>
      <c r="D73" s="361">
        <v>1</v>
      </c>
      <c r="E73" s="440" t="s">
        <v>335</v>
      </c>
      <c r="F73" s="441">
        <f>IFERROR(Q73*G73,"-")</f>
        <v>2085.75</v>
      </c>
      <c r="G73" s="365">
        <v>15.450000000000001</v>
      </c>
      <c r="H73" s="442">
        <v>66708</v>
      </c>
      <c r="I73" s="442">
        <v>66708</v>
      </c>
      <c r="J73" s="444">
        <f>IFERROR(I73/H73,"-")</f>
        <v>1</v>
      </c>
      <c r="K73" s="443">
        <v>66843</v>
      </c>
      <c r="L73" s="444">
        <f>IFERROR(K73/H73,"-")</f>
        <v>1.0020237452779277</v>
      </c>
      <c r="M73" s="443">
        <v>0</v>
      </c>
      <c r="N73" s="444">
        <f>IFERROR(M73/H73,"-")</f>
        <v>0</v>
      </c>
      <c r="O73" s="445">
        <f>IFERROR(K73+M73,"-")</f>
        <v>66843</v>
      </c>
      <c r="P73" s="444">
        <f>IFERROR(O73/H73,"-")</f>
        <v>1.0020237452779277</v>
      </c>
      <c r="Q73" s="442">
        <v>135</v>
      </c>
      <c r="R73" s="444">
        <f>IFERROR(Q73/H73,"-")</f>
        <v>2.0237452779276847E-3</v>
      </c>
      <c r="S73" s="445">
        <f>IFERROR(O73-H73,"-")</f>
        <v>135</v>
      </c>
      <c r="T73" s="444">
        <f>IFERROR(S73/H73,"-")</f>
        <v>2.0237452779276847E-3</v>
      </c>
      <c r="U73" s="364">
        <f>IFERROR(S73*G73,"-")</f>
        <v>2085.75</v>
      </c>
      <c r="V73" s="145"/>
      <c r="W73" s="145"/>
      <c r="X73" s="145"/>
      <c r="Y73" s="366" t="s">
        <v>417</v>
      </c>
      <c r="Z73" s="366" t="s">
        <v>216</v>
      </c>
      <c r="AA73" s="367" t="s">
        <v>671</v>
      </c>
      <c r="AB73" s="367" t="s">
        <v>569</v>
      </c>
      <c r="AC73" s="367">
        <v>1</v>
      </c>
      <c r="AD73" s="446" t="s">
        <v>523</v>
      </c>
      <c r="AF73" s="930"/>
      <c r="AG73" s="931"/>
      <c r="AH73" s="931"/>
      <c r="AI73" s="931"/>
      <c r="AJ73" s="931"/>
      <c r="AK73" s="931"/>
      <c r="AL73" s="931"/>
      <c r="AM73" s="932"/>
    </row>
    <row r="74" spans="2:39" s="147" customFormat="1" ht="27" hidden="1" customHeight="1">
      <c r="B74" s="935"/>
      <c r="C74" s="936"/>
      <c r="D74" s="361">
        <v>2</v>
      </c>
      <c r="E74" s="440" t="s">
        <v>447</v>
      </c>
      <c r="F74" s="441">
        <f t="shared" ref="F74:F92" si="36">IFERROR(Q74*G74,"-")</f>
        <v>1847.4299999999998</v>
      </c>
      <c r="G74" s="365">
        <v>1.17</v>
      </c>
      <c r="H74" s="442">
        <v>243737</v>
      </c>
      <c r="I74" s="442">
        <v>243737</v>
      </c>
      <c r="J74" s="444">
        <f t="shared" ref="J74:J92" si="37">IFERROR(I74/H74,"-")</f>
        <v>1</v>
      </c>
      <c r="K74" s="443">
        <v>245316</v>
      </c>
      <c r="L74" s="444">
        <f t="shared" ref="L74:L92" si="38">IFERROR(K74/H74,"-")</f>
        <v>1.0064782942269741</v>
      </c>
      <c r="M74" s="443">
        <v>0</v>
      </c>
      <c r="N74" s="444">
        <f t="shared" ref="N74:N92" si="39">IFERROR(M74/H74,"-")</f>
        <v>0</v>
      </c>
      <c r="O74" s="445">
        <f t="shared" ref="O74:O92" si="40">IFERROR(K74+M74,"-")</f>
        <v>245316</v>
      </c>
      <c r="P74" s="444">
        <f t="shared" ref="P74:P92" si="41">IFERROR(O74/H74,"-")</f>
        <v>1.0064782942269741</v>
      </c>
      <c r="Q74" s="442">
        <v>1579</v>
      </c>
      <c r="R74" s="444">
        <f t="shared" ref="R74:R92" si="42">IFERROR(Q74/H74,"-")</f>
        <v>6.4782942269741564E-3</v>
      </c>
      <c r="S74" s="445">
        <f t="shared" ref="S74:S92" si="43">IFERROR(O74-H74,"-")</f>
        <v>1579</v>
      </c>
      <c r="T74" s="444">
        <f t="shared" ref="T74:T92" si="44">IFERROR(S74/H74,"-")</f>
        <v>6.4782942269741564E-3</v>
      </c>
      <c r="U74" s="364">
        <f t="shared" ref="U74:U92" si="45">IFERROR(S74*G74,"-")</f>
        <v>1847.4299999999998</v>
      </c>
      <c r="V74" s="145"/>
      <c r="W74" s="145"/>
      <c r="X74" s="145"/>
      <c r="Y74" s="366" t="s">
        <v>417</v>
      </c>
      <c r="Z74" s="366" t="s">
        <v>337</v>
      </c>
      <c r="AA74" s="367" t="s">
        <v>672</v>
      </c>
      <c r="AB74" s="367" t="s">
        <v>526</v>
      </c>
      <c r="AC74" s="367">
        <v>1</v>
      </c>
      <c r="AD74" s="446" t="s">
        <v>340</v>
      </c>
      <c r="AF74" s="160" t="s">
        <v>244</v>
      </c>
      <c r="AG74" s="160" t="s">
        <v>445</v>
      </c>
      <c r="AH74" s="155" t="s">
        <v>562</v>
      </c>
      <c r="AI74" s="155" t="s">
        <v>337</v>
      </c>
      <c r="AJ74" s="155" t="s">
        <v>428</v>
      </c>
      <c r="AK74" s="155" t="s">
        <v>215</v>
      </c>
      <c r="AL74" s="155" t="s">
        <v>216</v>
      </c>
      <c r="AM74" s="155" t="s">
        <v>384</v>
      </c>
    </row>
    <row r="75" spans="2:39" s="147" customFormat="1" ht="27" hidden="1" customHeight="1">
      <c r="B75" s="935"/>
      <c r="C75" s="936"/>
      <c r="D75" s="361">
        <v>3</v>
      </c>
      <c r="E75" s="440" t="s">
        <v>448</v>
      </c>
      <c r="F75" s="441">
        <f t="shared" si="36"/>
        <v>1795.85</v>
      </c>
      <c r="G75" s="365">
        <v>2.4499999999999997</v>
      </c>
      <c r="H75" s="442">
        <v>122927</v>
      </c>
      <c r="I75" s="442">
        <v>122927</v>
      </c>
      <c r="J75" s="444">
        <f t="shared" si="37"/>
        <v>1</v>
      </c>
      <c r="K75" s="443">
        <v>123660</v>
      </c>
      <c r="L75" s="444">
        <f t="shared" si="38"/>
        <v>1.0059628885436072</v>
      </c>
      <c r="M75" s="443">
        <v>0</v>
      </c>
      <c r="N75" s="444">
        <f t="shared" si="39"/>
        <v>0</v>
      </c>
      <c r="O75" s="445">
        <f t="shared" si="40"/>
        <v>123660</v>
      </c>
      <c r="P75" s="444">
        <f t="shared" si="41"/>
        <v>1.0059628885436072</v>
      </c>
      <c r="Q75" s="442">
        <v>733</v>
      </c>
      <c r="R75" s="444">
        <f t="shared" si="42"/>
        <v>5.9628885436071814E-3</v>
      </c>
      <c r="S75" s="445">
        <f t="shared" si="43"/>
        <v>733</v>
      </c>
      <c r="T75" s="444">
        <f t="shared" si="44"/>
        <v>5.9628885436071814E-3</v>
      </c>
      <c r="U75" s="364">
        <f t="shared" si="45"/>
        <v>1795.85</v>
      </c>
      <c r="V75" s="145"/>
      <c r="W75" s="145"/>
      <c r="X75" s="145"/>
      <c r="Y75" s="366" t="s">
        <v>417</v>
      </c>
      <c r="Z75" s="366" t="s">
        <v>337</v>
      </c>
      <c r="AA75" s="367" t="s">
        <v>673</v>
      </c>
      <c r="AB75" s="367" t="s">
        <v>468</v>
      </c>
      <c r="AC75" s="367">
        <v>1</v>
      </c>
      <c r="AD75" s="446" t="s">
        <v>340</v>
      </c>
      <c r="AF75" s="374">
        <f>SUM(AC73:AC92)</f>
        <v>20</v>
      </c>
      <c r="AG75" s="369">
        <f t="shared" ref="AG75:AM75" si="46">SUMIF($Z$73:$Z$92,TRIM(AG74),$AC$73:$AC$92)</f>
        <v>8</v>
      </c>
      <c r="AH75" s="369">
        <f t="shared" si="46"/>
        <v>0</v>
      </c>
      <c r="AI75" s="369">
        <f t="shared" si="46"/>
        <v>6</v>
      </c>
      <c r="AJ75" s="369">
        <f t="shared" si="46"/>
        <v>0</v>
      </c>
      <c r="AK75" s="369">
        <f t="shared" si="46"/>
        <v>1</v>
      </c>
      <c r="AL75" s="369">
        <f t="shared" si="46"/>
        <v>5</v>
      </c>
      <c r="AM75" s="369">
        <f t="shared" si="46"/>
        <v>0</v>
      </c>
    </row>
    <row r="76" spans="2:39" s="147" customFormat="1" ht="27" hidden="1" customHeight="1">
      <c r="B76" s="935"/>
      <c r="C76" s="936"/>
      <c r="D76" s="361">
        <v>4</v>
      </c>
      <c r="E76" s="440" t="s">
        <v>534</v>
      </c>
      <c r="F76" s="441">
        <f t="shared" si="36"/>
        <v>1531.4831999999999</v>
      </c>
      <c r="G76" s="365">
        <v>39.389999999999993</v>
      </c>
      <c r="H76" s="442">
        <v>29156.94</v>
      </c>
      <c r="I76" s="442">
        <v>29156.94</v>
      </c>
      <c r="J76" s="444">
        <f t="shared" si="37"/>
        <v>1</v>
      </c>
      <c r="K76" s="443">
        <v>29314.080000000002</v>
      </c>
      <c r="L76" s="444">
        <f t="shared" si="38"/>
        <v>1.0053894544489237</v>
      </c>
      <c r="M76" s="443">
        <v>157.14000000000001</v>
      </c>
      <c r="N76" s="444">
        <f t="shared" si="39"/>
        <v>5.3894544489236536E-3</v>
      </c>
      <c r="O76" s="445">
        <f t="shared" si="40"/>
        <v>29471.22</v>
      </c>
      <c r="P76" s="444">
        <f t="shared" si="41"/>
        <v>1.0107789088978474</v>
      </c>
      <c r="Q76" s="442">
        <v>38.880000000000003</v>
      </c>
      <c r="R76" s="444">
        <f t="shared" si="42"/>
        <v>1.3334732657130689E-3</v>
      </c>
      <c r="S76" s="445">
        <f t="shared" si="43"/>
        <v>314.28000000000247</v>
      </c>
      <c r="T76" s="444">
        <f t="shared" si="44"/>
        <v>1.077890889784739E-2</v>
      </c>
      <c r="U76" s="364">
        <f t="shared" si="45"/>
        <v>12379.489200000095</v>
      </c>
      <c r="V76" s="145"/>
      <c r="W76" s="145"/>
      <c r="X76" s="145"/>
      <c r="Y76" s="366" t="s">
        <v>417</v>
      </c>
      <c r="Z76" s="366" t="s">
        <v>216</v>
      </c>
      <c r="AA76" s="367" t="s">
        <v>662</v>
      </c>
      <c r="AB76" s="367" t="s">
        <v>674</v>
      </c>
      <c r="AC76" s="367">
        <v>1</v>
      </c>
      <c r="AD76" s="446" t="s">
        <v>340</v>
      </c>
      <c r="AF76" s="375" t="s">
        <v>11</v>
      </c>
      <c r="AG76" s="372">
        <f>SUMIF($Z$73:$Z92,TRIM(AG74),$F$73:$F$92)</f>
        <v>7784.2734</v>
      </c>
      <c r="AH76" s="372">
        <f>SUMIF($Z$73:$Z92,TRIM(AH74),$F$73:$F$92)</f>
        <v>0</v>
      </c>
      <c r="AI76" s="372">
        <f>SUMIF($Z$73:$Z92,TRIM(AI74),$F$73:$F$92)</f>
        <v>7842.5915999999997</v>
      </c>
      <c r="AJ76" s="372">
        <f>SUMIF($Z$73:$Z92,TRIM(AJ74),$F$73:$F$92)</f>
        <v>0</v>
      </c>
      <c r="AK76" s="372">
        <f>SUMIF($Z$73:$Z92,TRIM(AK74),$F$73:$F$92)</f>
        <v>1413.8537000000003</v>
      </c>
      <c r="AL76" s="372">
        <f>SUMIF($Z$73:$Z92,TRIM(AL74),$F$73:$F$92)</f>
        <v>6889.3279999999995</v>
      </c>
      <c r="AM76" s="372">
        <f>SUMIF($Z$73:$Z92,TRIM(AM74),$F$73:$F$92)</f>
        <v>0</v>
      </c>
    </row>
    <row r="77" spans="2:39" s="147" customFormat="1" ht="27" hidden="1" customHeight="1">
      <c r="B77" s="935"/>
      <c r="C77" s="936"/>
      <c r="D77" s="361">
        <v>5</v>
      </c>
      <c r="E77" s="440" t="s">
        <v>336</v>
      </c>
      <c r="F77" s="441">
        <f t="shared" si="36"/>
        <v>1413.8537000000003</v>
      </c>
      <c r="G77" s="365">
        <v>147.43000000000004</v>
      </c>
      <c r="H77" s="442">
        <v>4104.16</v>
      </c>
      <c r="I77" s="442">
        <v>4104.16</v>
      </c>
      <c r="J77" s="444">
        <f t="shared" si="37"/>
        <v>1</v>
      </c>
      <c r="K77" s="443">
        <v>4169.46</v>
      </c>
      <c r="L77" s="444">
        <f t="shared" si="38"/>
        <v>1.0159106857432458</v>
      </c>
      <c r="M77" s="443">
        <v>65.3</v>
      </c>
      <c r="N77" s="444">
        <f t="shared" si="39"/>
        <v>1.5910685743245879E-2</v>
      </c>
      <c r="O77" s="445">
        <f t="shared" si="40"/>
        <v>4234.76</v>
      </c>
      <c r="P77" s="444">
        <f t="shared" si="41"/>
        <v>1.0318213714864919</v>
      </c>
      <c r="Q77" s="442">
        <v>9.59</v>
      </c>
      <c r="R77" s="444">
        <f t="shared" si="42"/>
        <v>2.3366535417722505E-3</v>
      </c>
      <c r="S77" s="445">
        <f t="shared" si="43"/>
        <v>130.60000000000036</v>
      </c>
      <c r="T77" s="444">
        <f t="shared" si="44"/>
        <v>3.1821371486491848E-2</v>
      </c>
      <c r="U77" s="364">
        <f t="shared" si="45"/>
        <v>19254.358000000058</v>
      </c>
      <c r="V77" s="145"/>
      <c r="W77" s="145"/>
      <c r="X77" s="145"/>
      <c r="Y77" s="366" t="s">
        <v>417</v>
      </c>
      <c r="Z77" s="366" t="s">
        <v>215</v>
      </c>
      <c r="AA77" s="367" t="s">
        <v>675</v>
      </c>
      <c r="AB77" s="367" t="s">
        <v>569</v>
      </c>
      <c r="AC77" s="367">
        <v>1</v>
      </c>
      <c r="AD77" s="446" t="s">
        <v>340</v>
      </c>
      <c r="AF77" s="361" t="s">
        <v>563</v>
      </c>
      <c r="AG77" s="447">
        <f t="shared" ref="AG77:AM77" si="47">AG75/$AF75</f>
        <v>0.4</v>
      </c>
      <c r="AH77" s="447">
        <f t="shared" si="47"/>
        <v>0</v>
      </c>
      <c r="AI77" s="447">
        <f t="shared" si="47"/>
        <v>0.3</v>
      </c>
      <c r="AJ77" s="447">
        <f t="shared" si="47"/>
        <v>0</v>
      </c>
      <c r="AK77" s="447">
        <f t="shared" si="47"/>
        <v>0.05</v>
      </c>
      <c r="AL77" s="447">
        <f t="shared" si="47"/>
        <v>0.25</v>
      </c>
      <c r="AM77" s="447">
        <f t="shared" si="47"/>
        <v>0</v>
      </c>
    </row>
    <row r="78" spans="2:39" s="147" customFormat="1" ht="27" hidden="1" customHeight="1">
      <c r="B78" s="935"/>
      <c r="C78" s="936"/>
      <c r="D78" s="361">
        <v>6</v>
      </c>
      <c r="E78" s="440" t="s">
        <v>386</v>
      </c>
      <c r="F78" s="441">
        <f t="shared" si="36"/>
        <v>1218.3152</v>
      </c>
      <c r="G78" s="365">
        <v>127.84000000000002</v>
      </c>
      <c r="H78" s="442">
        <v>3665.4800000000005</v>
      </c>
      <c r="I78" s="442">
        <v>3665.4800000000005</v>
      </c>
      <c r="J78" s="444">
        <f t="shared" si="37"/>
        <v>1</v>
      </c>
      <c r="K78" s="443">
        <v>3706.5800000000004</v>
      </c>
      <c r="L78" s="444">
        <f t="shared" si="38"/>
        <v>1.0112127197529381</v>
      </c>
      <c r="M78" s="443">
        <v>41.1</v>
      </c>
      <c r="N78" s="444">
        <f t="shared" si="39"/>
        <v>1.1212719752938223E-2</v>
      </c>
      <c r="O78" s="445">
        <f t="shared" si="40"/>
        <v>3747.6800000000003</v>
      </c>
      <c r="P78" s="444">
        <f t="shared" si="41"/>
        <v>1.0224254395058765</v>
      </c>
      <c r="Q78" s="442">
        <v>9.5299999999999994</v>
      </c>
      <c r="R78" s="444">
        <f t="shared" si="42"/>
        <v>2.5999323417396896E-3</v>
      </c>
      <c r="S78" s="445">
        <f t="shared" si="43"/>
        <v>82.199999999999818</v>
      </c>
      <c r="T78" s="444">
        <f t="shared" si="44"/>
        <v>2.2425439505876395E-2</v>
      </c>
      <c r="U78" s="364">
        <f t="shared" si="45"/>
        <v>10508.447999999978</v>
      </c>
      <c r="V78" s="145"/>
      <c r="W78" s="145"/>
      <c r="X78" s="145"/>
      <c r="Y78" s="366" t="s">
        <v>417</v>
      </c>
      <c r="Z78" s="366" t="s">
        <v>445</v>
      </c>
      <c r="AA78" s="367" t="s">
        <v>644</v>
      </c>
      <c r="AB78" s="367" t="s">
        <v>571</v>
      </c>
      <c r="AC78" s="367">
        <v>1</v>
      </c>
      <c r="AD78" s="446" t="s">
        <v>340</v>
      </c>
    </row>
    <row r="79" spans="2:39" s="147" customFormat="1" ht="27" hidden="1" customHeight="1">
      <c r="B79" s="935"/>
      <c r="C79" s="936"/>
      <c r="D79" s="361">
        <v>7</v>
      </c>
      <c r="E79" s="440" t="s">
        <v>619</v>
      </c>
      <c r="F79" s="441">
        <f t="shared" si="36"/>
        <v>1174.2158999999997</v>
      </c>
      <c r="G79" s="365">
        <v>39.389999999999993</v>
      </c>
      <c r="H79" s="442">
        <v>5900.0300000000007</v>
      </c>
      <c r="I79" s="442">
        <v>5900.0300000000007</v>
      </c>
      <c r="J79" s="444">
        <f t="shared" si="37"/>
        <v>1</v>
      </c>
      <c r="K79" s="443">
        <v>6016.2199999999993</v>
      </c>
      <c r="L79" s="444">
        <f t="shared" si="38"/>
        <v>1.0196931202044732</v>
      </c>
      <c r="M79" s="443">
        <v>116.19</v>
      </c>
      <c r="N79" s="444">
        <f t="shared" si="39"/>
        <v>1.9693120204473533E-2</v>
      </c>
      <c r="O79" s="445">
        <f t="shared" si="40"/>
        <v>6132.4099999999989</v>
      </c>
      <c r="P79" s="444">
        <f t="shared" si="41"/>
        <v>1.0393862404089467</v>
      </c>
      <c r="Q79" s="442">
        <v>29.81</v>
      </c>
      <c r="R79" s="444">
        <f t="shared" si="42"/>
        <v>5.0525166821185647E-3</v>
      </c>
      <c r="S79" s="445">
        <f t="shared" si="43"/>
        <v>232.37999999999829</v>
      </c>
      <c r="T79" s="444">
        <f t="shared" si="44"/>
        <v>3.9386240408946782E-2</v>
      </c>
      <c r="U79" s="364">
        <f t="shared" si="45"/>
        <v>9153.4481999999316</v>
      </c>
      <c r="V79" s="145"/>
      <c r="W79" s="145"/>
      <c r="X79" s="145"/>
      <c r="Y79" s="366" t="s">
        <v>417</v>
      </c>
      <c r="Z79" s="366" t="s">
        <v>216</v>
      </c>
      <c r="AA79" s="367" t="s">
        <v>662</v>
      </c>
      <c r="AB79" s="367" t="s">
        <v>674</v>
      </c>
      <c r="AC79" s="367">
        <v>1</v>
      </c>
      <c r="AD79" s="446" t="s">
        <v>614</v>
      </c>
    </row>
    <row r="80" spans="2:39" s="147" customFormat="1" ht="27" hidden="1" customHeight="1">
      <c r="B80" s="935"/>
      <c r="C80" s="936"/>
      <c r="D80" s="361">
        <v>8</v>
      </c>
      <c r="E80" s="440" t="s">
        <v>461</v>
      </c>
      <c r="F80" s="441">
        <f t="shared" si="36"/>
        <v>1157.9816000000001</v>
      </c>
      <c r="G80" s="365">
        <v>407.74000000000007</v>
      </c>
      <c r="H80" s="442">
        <v>965.51</v>
      </c>
      <c r="I80" s="442">
        <v>965.51</v>
      </c>
      <c r="J80" s="444">
        <f t="shared" si="37"/>
        <v>1</v>
      </c>
      <c r="K80" s="443">
        <v>977.11</v>
      </c>
      <c r="L80" s="444">
        <f t="shared" si="38"/>
        <v>1.0120143758221043</v>
      </c>
      <c r="M80" s="443">
        <v>11.6</v>
      </c>
      <c r="N80" s="444">
        <f t="shared" si="39"/>
        <v>1.201437582210438E-2</v>
      </c>
      <c r="O80" s="445">
        <f t="shared" si="40"/>
        <v>988.71</v>
      </c>
      <c r="P80" s="444">
        <f t="shared" si="41"/>
        <v>1.0240287516442088</v>
      </c>
      <c r="Q80" s="442">
        <v>2.84</v>
      </c>
      <c r="R80" s="444">
        <f t="shared" si="42"/>
        <v>2.9414506323083137E-3</v>
      </c>
      <c r="S80" s="445">
        <f t="shared" si="43"/>
        <v>23.200000000000045</v>
      </c>
      <c r="T80" s="444">
        <f t="shared" si="44"/>
        <v>2.4028751644208809E-2</v>
      </c>
      <c r="U80" s="364">
        <f t="shared" si="45"/>
        <v>9459.5680000000193</v>
      </c>
      <c r="V80" s="145"/>
      <c r="W80" s="145"/>
      <c r="X80" s="145"/>
      <c r="Y80" s="366" t="s">
        <v>417</v>
      </c>
      <c r="Z80" s="366" t="s">
        <v>337</v>
      </c>
      <c r="AA80" s="367" t="s">
        <v>586</v>
      </c>
      <c r="AB80" s="380" t="s">
        <v>587</v>
      </c>
      <c r="AC80" s="367">
        <v>1</v>
      </c>
      <c r="AD80" s="446" t="s">
        <v>463</v>
      </c>
    </row>
    <row r="81" spans="2:39" s="147" customFormat="1" ht="27" hidden="1" customHeight="1">
      <c r="B81" s="935"/>
      <c r="C81" s="936"/>
      <c r="D81" s="361">
        <v>9</v>
      </c>
      <c r="E81" s="440" t="s">
        <v>640</v>
      </c>
      <c r="F81" s="441">
        <f t="shared" si="36"/>
        <v>1146.32</v>
      </c>
      <c r="G81" s="365">
        <v>3.2199999999999998</v>
      </c>
      <c r="H81" s="442">
        <v>193286</v>
      </c>
      <c r="I81" s="442">
        <v>193286</v>
      </c>
      <c r="J81" s="444">
        <f t="shared" si="37"/>
        <v>1</v>
      </c>
      <c r="K81" s="443">
        <v>193642</v>
      </c>
      <c r="L81" s="444">
        <f t="shared" si="38"/>
        <v>1.0018418302411969</v>
      </c>
      <c r="M81" s="443">
        <v>0</v>
      </c>
      <c r="N81" s="444">
        <f t="shared" si="39"/>
        <v>0</v>
      </c>
      <c r="O81" s="445">
        <f t="shared" si="40"/>
        <v>193642</v>
      </c>
      <c r="P81" s="444">
        <f t="shared" si="41"/>
        <v>1.0018418302411969</v>
      </c>
      <c r="Q81" s="442">
        <v>356</v>
      </c>
      <c r="R81" s="444">
        <f t="shared" si="42"/>
        <v>1.8418302411969828E-3</v>
      </c>
      <c r="S81" s="445">
        <f t="shared" si="43"/>
        <v>356</v>
      </c>
      <c r="T81" s="444">
        <f t="shared" si="44"/>
        <v>1.8418302411969828E-3</v>
      </c>
      <c r="U81" s="364">
        <f t="shared" si="45"/>
        <v>1146.32</v>
      </c>
      <c r="V81" s="145"/>
      <c r="W81" s="145"/>
      <c r="X81" s="145"/>
      <c r="Y81" s="366" t="s">
        <v>417</v>
      </c>
      <c r="Z81" s="366" t="s">
        <v>337</v>
      </c>
      <c r="AA81" s="367" t="s">
        <v>647</v>
      </c>
      <c r="AB81" s="380" t="s">
        <v>605</v>
      </c>
      <c r="AC81" s="367">
        <v>1</v>
      </c>
      <c r="AD81" s="446" t="s">
        <v>340</v>
      </c>
    </row>
    <row r="82" spans="2:39" s="147" customFormat="1" ht="27" hidden="1" customHeight="1">
      <c r="B82" s="935"/>
      <c r="C82" s="936"/>
      <c r="D82" s="361">
        <v>10</v>
      </c>
      <c r="E82" s="440" t="s">
        <v>601</v>
      </c>
      <c r="F82" s="441">
        <f t="shared" si="36"/>
        <v>1138.5204999999996</v>
      </c>
      <c r="G82" s="365">
        <v>46.149999999999991</v>
      </c>
      <c r="H82" s="442">
        <v>2326.14</v>
      </c>
      <c r="I82" s="442">
        <v>2326.14</v>
      </c>
      <c r="J82" s="444">
        <f t="shared" si="37"/>
        <v>1</v>
      </c>
      <c r="K82" s="443">
        <v>2402.21</v>
      </c>
      <c r="L82" s="444">
        <f t="shared" si="38"/>
        <v>1.0327022449207701</v>
      </c>
      <c r="M82" s="443">
        <v>76.069999999999993</v>
      </c>
      <c r="N82" s="444">
        <f t="shared" si="39"/>
        <v>3.2702244920770028E-2</v>
      </c>
      <c r="O82" s="445">
        <f t="shared" si="40"/>
        <v>2478.2800000000002</v>
      </c>
      <c r="P82" s="444">
        <f t="shared" si="41"/>
        <v>1.0654044898415402</v>
      </c>
      <c r="Q82" s="442">
        <v>24.669999999999998</v>
      </c>
      <c r="R82" s="444">
        <f t="shared" si="42"/>
        <v>1.0605552546278384E-2</v>
      </c>
      <c r="S82" s="445">
        <f t="shared" si="43"/>
        <v>152.14000000000033</v>
      </c>
      <c r="T82" s="444">
        <f t="shared" si="44"/>
        <v>6.5404489841540209E-2</v>
      </c>
      <c r="U82" s="364">
        <f t="shared" si="45"/>
        <v>7021.2610000000141</v>
      </c>
      <c r="V82" s="145"/>
      <c r="W82" s="145"/>
      <c r="X82" s="145"/>
      <c r="Y82" s="366" t="s">
        <v>417</v>
      </c>
      <c r="Z82" s="366" t="s">
        <v>216</v>
      </c>
      <c r="AA82" s="367" t="s">
        <v>662</v>
      </c>
      <c r="AB82" s="367" t="s">
        <v>674</v>
      </c>
      <c r="AC82" s="367">
        <v>1</v>
      </c>
      <c r="AD82" s="446" t="s">
        <v>597</v>
      </c>
    </row>
    <row r="83" spans="2:39" s="147" customFormat="1" ht="27" hidden="1" customHeight="1">
      <c r="B83" s="935"/>
      <c r="C83" s="936"/>
      <c r="D83" s="361">
        <v>11</v>
      </c>
      <c r="E83" s="440" t="s">
        <v>568</v>
      </c>
      <c r="F83" s="441">
        <f t="shared" si="36"/>
        <v>959.35839999999996</v>
      </c>
      <c r="G83" s="365">
        <v>40.04</v>
      </c>
      <c r="H83" s="442">
        <v>2859.09</v>
      </c>
      <c r="I83" s="442">
        <v>2859.09</v>
      </c>
      <c r="J83" s="444">
        <f t="shared" si="37"/>
        <v>1</v>
      </c>
      <c r="K83" s="443">
        <v>2955.03</v>
      </c>
      <c r="L83" s="444">
        <f t="shared" si="38"/>
        <v>1.0335561314963853</v>
      </c>
      <c r="M83" s="443">
        <v>95.940000000000012</v>
      </c>
      <c r="N83" s="444">
        <f t="shared" si="39"/>
        <v>3.3556131496385214E-2</v>
      </c>
      <c r="O83" s="445">
        <f t="shared" si="40"/>
        <v>3050.9700000000003</v>
      </c>
      <c r="P83" s="444">
        <f t="shared" si="41"/>
        <v>1.0671122629927705</v>
      </c>
      <c r="Q83" s="442">
        <v>23.96</v>
      </c>
      <c r="R83" s="444">
        <f t="shared" si="42"/>
        <v>8.3802888331602019E-3</v>
      </c>
      <c r="S83" s="445">
        <f t="shared" si="43"/>
        <v>191.88000000000011</v>
      </c>
      <c r="T83" s="444">
        <f t="shared" si="44"/>
        <v>6.7112262992770455E-2</v>
      </c>
      <c r="U83" s="364">
        <f t="shared" si="45"/>
        <v>7682.875200000004</v>
      </c>
      <c r="V83" s="145"/>
      <c r="W83" s="145"/>
      <c r="X83" s="145"/>
      <c r="Y83" s="366" t="s">
        <v>417</v>
      </c>
      <c r="Z83" s="366" t="s">
        <v>216</v>
      </c>
      <c r="AA83" s="367" t="s">
        <v>662</v>
      </c>
      <c r="AB83" s="367" t="s">
        <v>674</v>
      </c>
      <c r="AC83" s="367">
        <v>1</v>
      </c>
      <c r="AD83" s="446" t="s">
        <v>533</v>
      </c>
      <c r="AH83" s="370"/>
    </row>
    <row r="84" spans="2:39" s="147" customFormat="1" ht="27" hidden="1" customHeight="1">
      <c r="B84" s="935"/>
      <c r="C84" s="936"/>
      <c r="D84" s="361">
        <v>12</v>
      </c>
      <c r="E84" s="440" t="s">
        <v>665</v>
      </c>
      <c r="F84" s="441">
        <f t="shared" si="36"/>
        <v>953.78</v>
      </c>
      <c r="G84" s="365">
        <v>4.63</v>
      </c>
      <c r="H84" s="442">
        <v>102080</v>
      </c>
      <c r="I84" s="442">
        <v>102080</v>
      </c>
      <c r="J84" s="444">
        <f t="shared" si="37"/>
        <v>1</v>
      </c>
      <c r="K84" s="443">
        <v>102286</v>
      </c>
      <c r="L84" s="444">
        <f t="shared" si="38"/>
        <v>1.0020180250783699</v>
      </c>
      <c r="M84" s="443">
        <v>0</v>
      </c>
      <c r="N84" s="444">
        <f t="shared" si="39"/>
        <v>0</v>
      </c>
      <c r="O84" s="445">
        <f t="shared" si="40"/>
        <v>102286</v>
      </c>
      <c r="P84" s="444">
        <f t="shared" si="41"/>
        <v>1.0020180250783699</v>
      </c>
      <c r="Q84" s="442">
        <v>206</v>
      </c>
      <c r="R84" s="444">
        <f t="shared" si="42"/>
        <v>2.0180250783699062E-3</v>
      </c>
      <c r="S84" s="445">
        <f t="shared" si="43"/>
        <v>206</v>
      </c>
      <c r="T84" s="444">
        <f t="shared" si="44"/>
        <v>2.0180250783699062E-3</v>
      </c>
      <c r="U84" s="364">
        <f t="shared" si="45"/>
        <v>953.78</v>
      </c>
      <c r="V84" s="145"/>
      <c r="W84" s="145"/>
      <c r="X84" s="145"/>
      <c r="Y84" s="366" t="s">
        <v>417</v>
      </c>
      <c r="Z84" s="366" t="s">
        <v>337</v>
      </c>
      <c r="AA84" s="367" t="s">
        <v>647</v>
      </c>
      <c r="AB84" s="380" t="s">
        <v>605</v>
      </c>
      <c r="AC84" s="367">
        <v>1</v>
      </c>
      <c r="AD84" s="446" t="s">
        <v>649</v>
      </c>
    </row>
    <row r="85" spans="2:39" s="147" customFormat="1" ht="27" hidden="1" customHeight="1">
      <c r="B85" s="935"/>
      <c r="C85" s="936"/>
      <c r="D85" s="361">
        <v>13</v>
      </c>
      <c r="E85" s="440" t="s">
        <v>666</v>
      </c>
      <c r="F85" s="441">
        <f t="shared" si="36"/>
        <v>946.40520000000004</v>
      </c>
      <c r="G85" s="365">
        <v>127.72000000000001</v>
      </c>
      <c r="H85" s="442">
        <v>729.92000000000007</v>
      </c>
      <c r="I85" s="442">
        <v>729.92000000000007</v>
      </c>
      <c r="J85" s="444">
        <f t="shared" si="37"/>
        <v>1</v>
      </c>
      <c r="K85" s="443">
        <v>752.34</v>
      </c>
      <c r="L85" s="444">
        <f t="shared" si="38"/>
        <v>1.0307156948706706</v>
      </c>
      <c r="M85" s="443">
        <v>20.22</v>
      </c>
      <c r="N85" s="444">
        <f t="shared" si="39"/>
        <v>2.7701665935992981E-2</v>
      </c>
      <c r="O85" s="445">
        <f t="shared" si="40"/>
        <v>772.56000000000006</v>
      </c>
      <c r="P85" s="444">
        <f t="shared" si="41"/>
        <v>1.0584173608066638</v>
      </c>
      <c r="Q85" s="442">
        <v>7.4099999999999993</v>
      </c>
      <c r="R85" s="444">
        <f t="shared" si="42"/>
        <v>1.0151797457255588E-2</v>
      </c>
      <c r="S85" s="445">
        <f t="shared" si="43"/>
        <v>42.639999999999986</v>
      </c>
      <c r="T85" s="444">
        <f t="shared" si="44"/>
        <v>5.8417360806663716E-2</v>
      </c>
      <c r="U85" s="364">
        <f t="shared" si="45"/>
        <v>5445.9807999999985</v>
      </c>
      <c r="V85" s="145"/>
      <c r="W85" s="145"/>
      <c r="X85" s="145"/>
      <c r="Y85" s="366" t="s">
        <v>417</v>
      </c>
      <c r="Z85" s="366" t="s">
        <v>445</v>
      </c>
      <c r="AA85" s="367" t="s">
        <v>676</v>
      </c>
      <c r="AB85" s="367" t="s">
        <v>455</v>
      </c>
      <c r="AC85" s="367">
        <v>1</v>
      </c>
      <c r="AD85" s="446" t="s">
        <v>580</v>
      </c>
    </row>
    <row r="86" spans="2:39" s="147" customFormat="1" ht="27" hidden="1" customHeight="1">
      <c r="B86" s="935"/>
      <c r="C86" s="936"/>
      <c r="D86" s="361">
        <v>14</v>
      </c>
      <c r="E86" s="440" t="s">
        <v>634</v>
      </c>
      <c r="F86" s="441">
        <f t="shared" si="36"/>
        <v>942.61539999999991</v>
      </c>
      <c r="G86" s="365">
        <v>212.78</v>
      </c>
      <c r="H86" s="442">
        <v>455.54999999999995</v>
      </c>
      <c r="I86" s="442">
        <v>455.54999999999995</v>
      </c>
      <c r="J86" s="444">
        <f t="shared" si="37"/>
        <v>1</v>
      </c>
      <c r="K86" s="443">
        <v>469.03</v>
      </c>
      <c r="L86" s="444">
        <f t="shared" si="38"/>
        <v>1.0295906047634729</v>
      </c>
      <c r="M86" s="443">
        <v>13.479999999999999</v>
      </c>
      <c r="N86" s="444">
        <f t="shared" si="39"/>
        <v>2.9590604763472726E-2</v>
      </c>
      <c r="O86" s="445">
        <f t="shared" si="40"/>
        <v>482.51</v>
      </c>
      <c r="P86" s="444">
        <f t="shared" si="41"/>
        <v>1.0591812095269455</v>
      </c>
      <c r="Q86" s="442">
        <v>4.43</v>
      </c>
      <c r="R86" s="444">
        <f t="shared" si="42"/>
        <v>9.7245088354736033E-3</v>
      </c>
      <c r="S86" s="445">
        <f t="shared" si="43"/>
        <v>26.960000000000036</v>
      </c>
      <c r="T86" s="444">
        <f t="shared" si="44"/>
        <v>5.9181209526945534E-2</v>
      </c>
      <c r="U86" s="364">
        <f t="shared" si="45"/>
        <v>5736.5488000000078</v>
      </c>
      <c r="V86" s="145"/>
      <c r="W86" s="145"/>
      <c r="X86" s="145"/>
      <c r="Y86" s="366" t="s">
        <v>417</v>
      </c>
      <c r="Z86" s="366" t="s">
        <v>445</v>
      </c>
      <c r="AA86" s="367" t="s">
        <v>677</v>
      </c>
      <c r="AB86" s="367" t="s">
        <v>454</v>
      </c>
      <c r="AC86" s="367">
        <v>1</v>
      </c>
      <c r="AD86" s="446" t="s">
        <v>630</v>
      </c>
    </row>
    <row r="87" spans="2:39" s="147" customFormat="1" ht="27" hidden="1" customHeight="1">
      <c r="B87" s="935"/>
      <c r="C87" s="936"/>
      <c r="D87" s="361">
        <v>15</v>
      </c>
      <c r="E87" s="440" t="s">
        <v>667</v>
      </c>
      <c r="F87" s="441">
        <f t="shared" si="36"/>
        <v>941.23000000000025</v>
      </c>
      <c r="G87" s="365">
        <v>15.430000000000003</v>
      </c>
      <c r="H87" s="442">
        <v>13809</v>
      </c>
      <c r="I87" s="442">
        <v>13809</v>
      </c>
      <c r="J87" s="444">
        <f t="shared" si="37"/>
        <v>1</v>
      </c>
      <c r="K87" s="443">
        <v>13870</v>
      </c>
      <c r="L87" s="444">
        <f t="shared" si="38"/>
        <v>1.004417408936201</v>
      </c>
      <c r="M87" s="443">
        <v>0</v>
      </c>
      <c r="N87" s="444">
        <f t="shared" si="39"/>
        <v>0</v>
      </c>
      <c r="O87" s="445">
        <f t="shared" si="40"/>
        <v>13870</v>
      </c>
      <c r="P87" s="444">
        <f t="shared" si="41"/>
        <v>1.004417408936201</v>
      </c>
      <c r="Q87" s="442">
        <v>61</v>
      </c>
      <c r="R87" s="444">
        <f t="shared" si="42"/>
        <v>4.4174089362010284E-3</v>
      </c>
      <c r="S87" s="445">
        <f t="shared" si="43"/>
        <v>61</v>
      </c>
      <c r="T87" s="444">
        <f t="shared" si="44"/>
        <v>4.4174089362010284E-3</v>
      </c>
      <c r="U87" s="364">
        <f t="shared" si="45"/>
        <v>941.23000000000025</v>
      </c>
      <c r="V87" s="145"/>
      <c r="W87" s="145"/>
      <c r="X87" s="145"/>
      <c r="Y87" s="366" t="s">
        <v>417</v>
      </c>
      <c r="Z87" s="366" t="s">
        <v>337</v>
      </c>
      <c r="AA87" s="367" t="s">
        <v>647</v>
      </c>
      <c r="AB87" s="380" t="s">
        <v>605</v>
      </c>
      <c r="AC87" s="367">
        <v>1</v>
      </c>
      <c r="AD87" s="446" t="s">
        <v>350</v>
      </c>
    </row>
    <row r="88" spans="2:39" s="147" customFormat="1" ht="27" hidden="1" customHeight="1">
      <c r="B88" s="935"/>
      <c r="C88" s="936"/>
      <c r="D88" s="361">
        <v>16</v>
      </c>
      <c r="E88" s="440" t="s">
        <v>668</v>
      </c>
      <c r="F88" s="441">
        <f t="shared" si="36"/>
        <v>939.23520000000019</v>
      </c>
      <c r="G88" s="365">
        <v>108.96000000000001</v>
      </c>
      <c r="H88" s="442">
        <v>610.26</v>
      </c>
      <c r="I88" s="442">
        <v>610.26</v>
      </c>
      <c r="J88" s="444">
        <f t="shared" si="37"/>
        <v>1</v>
      </c>
      <c r="K88" s="443">
        <v>631.20000000000005</v>
      </c>
      <c r="L88" s="444">
        <f t="shared" si="38"/>
        <v>1.0343132435355422</v>
      </c>
      <c r="M88" s="443">
        <v>20.94</v>
      </c>
      <c r="N88" s="444">
        <f t="shared" si="39"/>
        <v>3.4313243535542229E-2</v>
      </c>
      <c r="O88" s="445">
        <f t="shared" si="40"/>
        <v>652.1400000000001</v>
      </c>
      <c r="P88" s="444">
        <f t="shared" si="41"/>
        <v>1.0686264870710847</v>
      </c>
      <c r="Q88" s="442">
        <v>8.620000000000001</v>
      </c>
      <c r="R88" s="444">
        <f t="shared" si="42"/>
        <v>1.4125126995051291E-2</v>
      </c>
      <c r="S88" s="445">
        <f t="shared" si="43"/>
        <v>41.880000000000109</v>
      </c>
      <c r="T88" s="444">
        <f t="shared" si="44"/>
        <v>6.8626487071084638E-2</v>
      </c>
      <c r="U88" s="364">
        <f t="shared" si="45"/>
        <v>4563.2448000000122</v>
      </c>
      <c r="V88" s="145"/>
      <c r="W88" s="145"/>
      <c r="X88" s="145"/>
      <c r="Y88" s="366" t="s">
        <v>417</v>
      </c>
      <c r="Z88" s="366" t="s">
        <v>445</v>
      </c>
      <c r="AA88" s="367" t="s">
        <v>678</v>
      </c>
      <c r="AB88" s="367" t="s">
        <v>571</v>
      </c>
      <c r="AC88" s="367">
        <v>1</v>
      </c>
      <c r="AD88" s="446" t="s">
        <v>650</v>
      </c>
    </row>
    <row r="89" spans="2:39" s="147" customFormat="1" ht="27" hidden="1" customHeight="1">
      <c r="B89" s="935"/>
      <c r="C89" s="936"/>
      <c r="D89" s="361">
        <v>17</v>
      </c>
      <c r="E89" s="440" t="s">
        <v>483</v>
      </c>
      <c r="F89" s="441">
        <f t="shared" si="36"/>
        <v>937.39029999999991</v>
      </c>
      <c r="G89" s="365">
        <v>370.50999999999993</v>
      </c>
      <c r="H89" s="442">
        <v>381.52</v>
      </c>
      <c r="I89" s="442">
        <v>381.52</v>
      </c>
      <c r="J89" s="444">
        <f t="shared" si="37"/>
        <v>1</v>
      </c>
      <c r="K89" s="443">
        <v>390.73</v>
      </c>
      <c r="L89" s="444">
        <f t="shared" si="38"/>
        <v>1.0241402809813378</v>
      </c>
      <c r="M89" s="443">
        <v>9.2100000000000009</v>
      </c>
      <c r="N89" s="444">
        <f t="shared" si="39"/>
        <v>2.414028098133781E-2</v>
      </c>
      <c r="O89" s="445">
        <f t="shared" si="40"/>
        <v>399.94</v>
      </c>
      <c r="P89" s="444">
        <f t="shared" si="41"/>
        <v>1.0482805619626756</v>
      </c>
      <c r="Q89" s="442">
        <v>2.5300000000000002</v>
      </c>
      <c r="R89" s="444">
        <f t="shared" si="42"/>
        <v>6.6313692598028943E-3</v>
      </c>
      <c r="S89" s="445">
        <f t="shared" si="43"/>
        <v>18.420000000000016</v>
      </c>
      <c r="T89" s="444">
        <f t="shared" si="44"/>
        <v>4.8280561962675654E-2</v>
      </c>
      <c r="U89" s="364">
        <f t="shared" si="45"/>
        <v>6824.7942000000048</v>
      </c>
      <c r="V89" s="145"/>
      <c r="W89" s="145"/>
      <c r="X89" s="145"/>
      <c r="Y89" s="366" t="s">
        <v>417</v>
      </c>
      <c r="Z89" s="366" t="s">
        <v>445</v>
      </c>
      <c r="AA89" s="367" t="s">
        <v>591</v>
      </c>
      <c r="AB89" s="367" t="s">
        <v>574</v>
      </c>
      <c r="AC89" s="367">
        <v>1</v>
      </c>
      <c r="AD89" s="446" t="s">
        <v>353</v>
      </c>
    </row>
    <row r="90" spans="2:39" s="147" customFormat="1" ht="27" hidden="1" customHeight="1">
      <c r="B90" s="935"/>
      <c r="C90" s="936"/>
      <c r="D90" s="361">
        <v>18</v>
      </c>
      <c r="E90" s="440" t="s">
        <v>638</v>
      </c>
      <c r="F90" s="441">
        <f t="shared" si="36"/>
        <v>934.95000000000016</v>
      </c>
      <c r="G90" s="365">
        <v>1.1500000000000001</v>
      </c>
      <c r="H90" s="442">
        <v>41448</v>
      </c>
      <c r="I90" s="442">
        <v>41448</v>
      </c>
      <c r="J90" s="444">
        <f t="shared" si="37"/>
        <v>1</v>
      </c>
      <c r="K90" s="443">
        <v>42261</v>
      </c>
      <c r="L90" s="444">
        <f t="shared" si="38"/>
        <v>1.0196149392009264</v>
      </c>
      <c r="M90" s="443">
        <v>0</v>
      </c>
      <c r="N90" s="444">
        <f t="shared" si="39"/>
        <v>0</v>
      </c>
      <c r="O90" s="445">
        <f t="shared" si="40"/>
        <v>42261</v>
      </c>
      <c r="P90" s="444">
        <f t="shared" si="41"/>
        <v>1.0196149392009264</v>
      </c>
      <c r="Q90" s="442">
        <v>813</v>
      </c>
      <c r="R90" s="444">
        <f t="shared" si="42"/>
        <v>1.9614939200926461E-2</v>
      </c>
      <c r="S90" s="445">
        <f t="shared" si="43"/>
        <v>813</v>
      </c>
      <c r="T90" s="444">
        <f t="shared" si="44"/>
        <v>1.9614939200926461E-2</v>
      </c>
      <c r="U90" s="364">
        <f t="shared" si="45"/>
        <v>934.95000000000016</v>
      </c>
      <c r="V90" s="145"/>
      <c r="W90" s="145"/>
      <c r="X90" s="145"/>
      <c r="Y90" s="366" t="s">
        <v>417</v>
      </c>
      <c r="Z90" s="366" t="s">
        <v>445</v>
      </c>
      <c r="AA90" s="367" t="s">
        <v>679</v>
      </c>
      <c r="AB90" s="367" t="s">
        <v>605</v>
      </c>
      <c r="AC90" s="367">
        <v>1</v>
      </c>
      <c r="AD90" s="446" t="s">
        <v>435</v>
      </c>
    </row>
    <row r="91" spans="2:39" s="147" customFormat="1" ht="27" hidden="1" customHeight="1">
      <c r="B91" s="935"/>
      <c r="C91" s="936"/>
      <c r="D91" s="361">
        <v>19</v>
      </c>
      <c r="E91" s="440" t="s">
        <v>599</v>
      </c>
      <c r="F91" s="441">
        <f t="shared" si="36"/>
        <v>932.91520000000014</v>
      </c>
      <c r="G91" s="365">
        <v>153.44000000000003</v>
      </c>
      <c r="H91" s="442">
        <v>1392.6200000000001</v>
      </c>
      <c r="I91" s="442">
        <v>1392.6200000000001</v>
      </c>
      <c r="J91" s="444">
        <f t="shared" si="37"/>
        <v>1</v>
      </c>
      <c r="K91" s="443">
        <v>1415.7600000000002</v>
      </c>
      <c r="L91" s="444">
        <f t="shared" si="38"/>
        <v>1.016616162341486</v>
      </c>
      <c r="M91" s="443">
        <v>20.64</v>
      </c>
      <c r="N91" s="444">
        <f t="shared" si="39"/>
        <v>1.4820984906148122E-2</v>
      </c>
      <c r="O91" s="445">
        <f t="shared" si="40"/>
        <v>1436.4000000000003</v>
      </c>
      <c r="P91" s="444">
        <f t="shared" si="41"/>
        <v>1.031437147247634</v>
      </c>
      <c r="Q91" s="442">
        <v>6.08</v>
      </c>
      <c r="R91" s="444">
        <f t="shared" si="42"/>
        <v>4.3658715227413072E-3</v>
      </c>
      <c r="S91" s="445">
        <f t="shared" si="43"/>
        <v>43.7800000000002</v>
      </c>
      <c r="T91" s="444">
        <f t="shared" si="44"/>
        <v>3.1437147247634099E-2</v>
      </c>
      <c r="U91" s="364">
        <f t="shared" si="45"/>
        <v>6717.6032000000314</v>
      </c>
      <c r="V91" s="145"/>
      <c r="W91" s="145"/>
      <c r="X91" s="145"/>
      <c r="Y91" s="366" t="s">
        <v>417</v>
      </c>
      <c r="Z91" s="366" t="s">
        <v>445</v>
      </c>
      <c r="AA91" s="380" t="s">
        <v>680</v>
      </c>
      <c r="AB91" s="380" t="s">
        <v>681</v>
      </c>
      <c r="AC91" s="367">
        <v>1</v>
      </c>
      <c r="AD91" s="446" t="s">
        <v>465</v>
      </c>
    </row>
    <row r="92" spans="2:39" s="147" customFormat="1" ht="27" hidden="1" customHeight="1">
      <c r="B92" s="937"/>
      <c r="C92" s="938"/>
      <c r="D92" s="361">
        <v>20</v>
      </c>
      <c r="E92" s="440" t="s">
        <v>462</v>
      </c>
      <c r="F92" s="441">
        <f t="shared" si="36"/>
        <v>932.44690000000003</v>
      </c>
      <c r="G92" s="365">
        <v>160.49</v>
      </c>
      <c r="H92" s="442">
        <v>600.58000000000004</v>
      </c>
      <c r="I92" s="442">
        <v>600.58000000000004</v>
      </c>
      <c r="J92" s="444">
        <f t="shared" si="37"/>
        <v>1</v>
      </c>
      <c r="K92" s="443">
        <v>616.05999999999995</v>
      </c>
      <c r="L92" s="444">
        <f t="shared" si="38"/>
        <v>1.0257750840853839</v>
      </c>
      <c r="M92" s="443">
        <v>15.48</v>
      </c>
      <c r="N92" s="444">
        <f t="shared" si="39"/>
        <v>2.5775084085384127E-2</v>
      </c>
      <c r="O92" s="445">
        <f t="shared" si="40"/>
        <v>631.54</v>
      </c>
      <c r="P92" s="444">
        <f t="shared" si="41"/>
        <v>1.0515501681707682</v>
      </c>
      <c r="Q92" s="442">
        <v>5.81</v>
      </c>
      <c r="R92" s="444">
        <f t="shared" si="42"/>
        <v>9.6739818175763416E-3</v>
      </c>
      <c r="S92" s="445">
        <f t="shared" si="43"/>
        <v>30.959999999999923</v>
      </c>
      <c r="T92" s="444">
        <f t="shared" si="44"/>
        <v>5.1550168170768122E-2</v>
      </c>
      <c r="U92" s="364">
        <f t="shared" si="45"/>
        <v>4968.7703999999876</v>
      </c>
      <c r="V92" s="145"/>
      <c r="W92" s="145"/>
      <c r="X92" s="145"/>
      <c r="Y92" s="366" t="s">
        <v>417</v>
      </c>
      <c r="Z92" s="366" t="s">
        <v>445</v>
      </c>
      <c r="AA92" s="367" t="s">
        <v>644</v>
      </c>
      <c r="AB92" s="367" t="s">
        <v>571</v>
      </c>
      <c r="AC92" s="367">
        <v>1</v>
      </c>
      <c r="AD92" s="446" t="s">
        <v>433</v>
      </c>
    </row>
    <row r="93" spans="2:39" ht="17.100000000000001" hidden="1" customHeight="1">
      <c r="B93" s="987" t="s">
        <v>442</v>
      </c>
      <c r="C93" s="988"/>
      <c r="D93" s="980" t="s">
        <v>549</v>
      </c>
      <c r="E93" s="966" t="s">
        <v>550</v>
      </c>
      <c r="F93" s="922" t="s">
        <v>551</v>
      </c>
      <c r="G93" s="922" t="s">
        <v>552</v>
      </c>
      <c r="H93" s="956" t="s">
        <v>553</v>
      </c>
      <c r="I93" s="939" t="s">
        <v>554</v>
      </c>
      <c r="J93" s="940"/>
      <c r="K93" s="939" t="s">
        <v>555</v>
      </c>
      <c r="L93" s="940"/>
      <c r="M93" s="939" t="s">
        <v>556</v>
      </c>
      <c r="N93" s="940"/>
      <c r="O93" s="939" t="s">
        <v>557</v>
      </c>
      <c r="P93" s="940"/>
      <c r="Q93" s="939" t="s">
        <v>418</v>
      </c>
      <c r="R93" s="940"/>
      <c r="S93" s="941" t="s">
        <v>717</v>
      </c>
      <c r="T93" s="942"/>
      <c r="U93" s="943"/>
      <c r="Y93" s="947" t="s">
        <v>171</v>
      </c>
      <c r="Z93" s="947" t="s">
        <v>245</v>
      </c>
      <c r="AA93" s="947" t="s">
        <v>558</v>
      </c>
      <c r="AB93" s="947" t="s">
        <v>444</v>
      </c>
      <c r="AC93" s="947" t="s">
        <v>246</v>
      </c>
      <c r="AD93" s="922" t="s">
        <v>172</v>
      </c>
      <c r="AF93" s="924" t="s">
        <v>247</v>
      </c>
      <c r="AG93" s="925"/>
      <c r="AH93" s="925"/>
      <c r="AI93" s="925"/>
      <c r="AJ93" s="925"/>
      <c r="AK93" s="925"/>
      <c r="AL93" s="925"/>
      <c r="AM93" s="926"/>
    </row>
    <row r="94" spans="2:39" hidden="1">
      <c r="B94" s="951"/>
      <c r="C94" s="952"/>
      <c r="D94" s="981"/>
      <c r="E94" s="967"/>
      <c r="F94" s="923"/>
      <c r="G94" s="923"/>
      <c r="H94" s="990"/>
      <c r="I94" s="439" t="s">
        <v>559</v>
      </c>
      <c r="J94" s="362" t="s">
        <v>560</v>
      </c>
      <c r="K94" s="439" t="s">
        <v>559</v>
      </c>
      <c r="L94" s="362" t="s">
        <v>560</v>
      </c>
      <c r="M94" s="439" t="s">
        <v>559</v>
      </c>
      <c r="N94" s="362" t="s">
        <v>560</v>
      </c>
      <c r="O94" s="439" t="s">
        <v>559</v>
      </c>
      <c r="P94" s="362" t="s">
        <v>560</v>
      </c>
      <c r="Q94" s="439" t="s">
        <v>559</v>
      </c>
      <c r="R94" s="362" t="s">
        <v>560</v>
      </c>
      <c r="S94" s="439" t="s">
        <v>559</v>
      </c>
      <c r="T94" s="362" t="s">
        <v>560</v>
      </c>
      <c r="U94" s="362" t="s">
        <v>561</v>
      </c>
      <c r="Y94" s="948"/>
      <c r="Z94" s="948"/>
      <c r="AA94" s="948"/>
      <c r="AB94" s="948"/>
      <c r="AC94" s="948"/>
      <c r="AD94" s="923"/>
      <c r="AF94" s="927"/>
      <c r="AG94" s="928"/>
      <c r="AH94" s="928"/>
      <c r="AI94" s="928"/>
      <c r="AJ94" s="928"/>
      <c r="AK94" s="928"/>
      <c r="AL94" s="928"/>
      <c r="AM94" s="929"/>
    </row>
    <row r="95" spans="2:39" s="147" customFormat="1" ht="27" hidden="1" customHeight="1">
      <c r="B95" s="933" t="s">
        <v>628</v>
      </c>
      <c r="C95" s="934"/>
      <c r="D95" s="361">
        <v>1</v>
      </c>
      <c r="E95" s="440" t="s">
        <v>335</v>
      </c>
      <c r="F95" s="441">
        <f>IFERROR(Q95*G95,"-")</f>
        <v>2406.4920000000002</v>
      </c>
      <c r="G95" s="365">
        <v>15.450000000000001</v>
      </c>
      <c r="H95" s="442">
        <v>69870</v>
      </c>
      <c r="I95" s="442">
        <v>69870</v>
      </c>
      <c r="J95" s="444">
        <f>IFERROR(I95/H95,"-")</f>
        <v>1</v>
      </c>
      <c r="K95" s="443">
        <v>70036</v>
      </c>
      <c r="L95" s="444">
        <f>IFERROR(K95/H95,"-")</f>
        <v>1.0023758408472878</v>
      </c>
      <c r="M95" s="443">
        <v>0</v>
      </c>
      <c r="N95" s="444">
        <f>IFERROR(M95/H95,"-")</f>
        <v>0</v>
      </c>
      <c r="O95" s="445">
        <f>IFERROR(K95+M95,"-")</f>
        <v>70036</v>
      </c>
      <c r="P95" s="444">
        <f>IFERROR(O95/H95,"-")</f>
        <v>1.0023758408472878</v>
      </c>
      <c r="Q95" s="442">
        <v>155.76</v>
      </c>
      <c r="R95" s="444">
        <f>IFERROR(Q95/H95,"-")</f>
        <v>2.2292829540575352E-3</v>
      </c>
      <c r="S95" s="445">
        <f>IFERROR(O95-H95,"-")</f>
        <v>166</v>
      </c>
      <c r="T95" s="444">
        <f>IFERROR(S95/H95,"-")</f>
        <v>2.3758408472878204E-3</v>
      </c>
      <c r="U95" s="364">
        <f>IFERROR(S95*G95,"-")</f>
        <v>2564.7000000000003</v>
      </c>
      <c r="V95" s="145"/>
      <c r="W95" s="145"/>
      <c r="X95" s="145"/>
      <c r="Y95" s="366" t="s">
        <v>417</v>
      </c>
      <c r="Z95" s="366" t="s">
        <v>216</v>
      </c>
      <c r="AA95" s="367" t="s">
        <v>671</v>
      </c>
      <c r="AB95" s="367" t="s">
        <v>569</v>
      </c>
      <c r="AC95" s="367">
        <v>1</v>
      </c>
      <c r="AD95" s="446" t="s">
        <v>523</v>
      </c>
      <c r="AF95" s="930"/>
      <c r="AG95" s="931"/>
      <c r="AH95" s="931"/>
      <c r="AI95" s="931"/>
      <c r="AJ95" s="931"/>
      <c r="AK95" s="931"/>
      <c r="AL95" s="931"/>
      <c r="AM95" s="932"/>
    </row>
    <row r="96" spans="2:39" s="147" customFormat="1" ht="27" hidden="1" customHeight="1">
      <c r="B96" s="935"/>
      <c r="C96" s="936"/>
      <c r="D96" s="361">
        <v>2</v>
      </c>
      <c r="E96" s="440" t="s">
        <v>447</v>
      </c>
      <c r="F96" s="441">
        <f t="shared" ref="F96:F114" si="48">IFERROR(Q96*G96,"-")</f>
        <v>2252.25</v>
      </c>
      <c r="G96" s="365">
        <v>1.17</v>
      </c>
      <c r="H96" s="442">
        <v>273751</v>
      </c>
      <c r="I96" s="442">
        <v>273751</v>
      </c>
      <c r="J96" s="444">
        <f t="shared" ref="J96:J114" si="49">IFERROR(I96/H96,"-")</f>
        <v>1</v>
      </c>
      <c r="K96" s="443">
        <v>275676</v>
      </c>
      <c r="L96" s="444">
        <f t="shared" ref="L96:L114" si="50">IFERROR(K96/H96,"-")</f>
        <v>1.0070319377828756</v>
      </c>
      <c r="M96" s="443">
        <v>0</v>
      </c>
      <c r="N96" s="444">
        <f t="shared" ref="N96:N114" si="51">IFERROR(M96/H96,"-")</f>
        <v>0</v>
      </c>
      <c r="O96" s="445">
        <f t="shared" ref="O96:O114" si="52">IFERROR(K96+M96,"-")</f>
        <v>275676</v>
      </c>
      <c r="P96" s="444">
        <f t="shared" ref="P96:P114" si="53">IFERROR(O96/H96,"-")</f>
        <v>1.0070319377828756</v>
      </c>
      <c r="Q96" s="442">
        <v>1925</v>
      </c>
      <c r="R96" s="444">
        <f t="shared" ref="R96:R114" si="54">IFERROR(Q96/H96,"-")</f>
        <v>7.0319377828756786E-3</v>
      </c>
      <c r="S96" s="445">
        <f t="shared" ref="S96:S114" si="55">IFERROR(O96-H96,"-")</f>
        <v>1925</v>
      </c>
      <c r="T96" s="444">
        <f t="shared" ref="T96:T114" si="56">IFERROR(S96/H96,"-")</f>
        <v>7.0319377828756786E-3</v>
      </c>
      <c r="U96" s="364">
        <f t="shared" ref="U96:U114" si="57">IFERROR(S96*G96,"-")</f>
        <v>2252.25</v>
      </c>
      <c r="V96" s="145"/>
      <c r="W96" s="145"/>
      <c r="X96" s="145"/>
      <c r="Y96" s="366" t="s">
        <v>417</v>
      </c>
      <c r="Z96" s="366" t="s">
        <v>337</v>
      </c>
      <c r="AA96" s="367" t="s">
        <v>672</v>
      </c>
      <c r="AB96" s="367" t="s">
        <v>526</v>
      </c>
      <c r="AC96" s="367">
        <v>1</v>
      </c>
      <c r="AD96" s="446" t="s">
        <v>340</v>
      </c>
      <c r="AF96" s="160" t="s">
        <v>244</v>
      </c>
      <c r="AG96" s="160" t="s">
        <v>445</v>
      </c>
      <c r="AH96" s="155" t="s">
        <v>562</v>
      </c>
      <c r="AI96" s="155" t="s">
        <v>337</v>
      </c>
      <c r="AJ96" s="155" t="s">
        <v>428</v>
      </c>
      <c r="AK96" s="155" t="s">
        <v>215</v>
      </c>
      <c r="AL96" s="155" t="s">
        <v>216</v>
      </c>
      <c r="AM96" s="155" t="s">
        <v>384</v>
      </c>
    </row>
    <row r="97" spans="2:39" s="147" customFormat="1" ht="27" hidden="1" customHeight="1">
      <c r="B97" s="935"/>
      <c r="C97" s="936"/>
      <c r="D97" s="361">
        <v>3</v>
      </c>
      <c r="E97" s="440" t="s">
        <v>448</v>
      </c>
      <c r="F97" s="441">
        <f t="shared" si="48"/>
        <v>2084.9499999999998</v>
      </c>
      <c r="G97" s="365">
        <v>2.4499999999999997</v>
      </c>
      <c r="H97" s="442">
        <v>143209</v>
      </c>
      <c r="I97" s="442">
        <v>143209</v>
      </c>
      <c r="J97" s="444">
        <f t="shared" si="49"/>
        <v>1</v>
      </c>
      <c r="K97" s="443">
        <v>144060</v>
      </c>
      <c r="L97" s="444">
        <f t="shared" si="50"/>
        <v>1.0059423639575724</v>
      </c>
      <c r="M97" s="443">
        <v>0</v>
      </c>
      <c r="N97" s="444">
        <f t="shared" si="51"/>
        <v>0</v>
      </c>
      <c r="O97" s="445">
        <f t="shared" si="52"/>
        <v>144060</v>
      </c>
      <c r="P97" s="444">
        <f t="shared" si="53"/>
        <v>1.0059423639575724</v>
      </c>
      <c r="Q97" s="442">
        <v>851</v>
      </c>
      <c r="R97" s="444">
        <f t="shared" si="54"/>
        <v>5.9423639575724987E-3</v>
      </c>
      <c r="S97" s="445">
        <f t="shared" si="55"/>
        <v>851</v>
      </c>
      <c r="T97" s="444">
        <f t="shared" si="56"/>
        <v>5.9423639575724987E-3</v>
      </c>
      <c r="U97" s="364">
        <f t="shared" si="57"/>
        <v>2084.9499999999998</v>
      </c>
      <c r="V97" s="145"/>
      <c r="W97" s="145"/>
      <c r="X97" s="145"/>
      <c r="Y97" s="366" t="s">
        <v>417</v>
      </c>
      <c r="Z97" s="366" t="s">
        <v>337</v>
      </c>
      <c r="AA97" s="367" t="s">
        <v>673</v>
      </c>
      <c r="AB97" s="367" t="s">
        <v>468</v>
      </c>
      <c r="AC97" s="367">
        <v>1</v>
      </c>
      <c r="AD97" s="446" t="s">
        <v>340</v>
      </c>
      <c r="AF97" s="374">
        <f>SUM(AC95:AC114)</f>
        <v>20</v>
      </c>
      <c r="AG97" s="369">
        <f t="shared" ref="AG97:AM97" si="58">SUMIF($Z$95:$Z$114,TRIM(AG96),$AC$95:$AC$114)</f>
        <v>8</v>
      </c>
      <c r="AH97" s="369">
        <f t="shared" si="58"/>
        <v>0</v>
      </c>
      <c r="AI97" s="369">
        <f t="shared" si="58"/>
        <v>6</v>
      </c>
      <c r="AJ97" s="369">
        <f t="shared" si="58"/>
        <v>0</v>
      </c>
      <c r="AK97" s="369">
        <f t="shared" si="58"/>
        <v>1</v>
      </c>
      <c r="AL97" s="369">
        <f t="shared" si="58"/>
        <v>5</v>
      </c>
      <c r="AM97" s="369">
        <f t="shared" si="58"/>
        <v>0</v>
      </c>
    </row>
    <row r="98" spans="2:39" s="147" customFormat="1" ht="27" hidden="1" customHeight="1">
      <c r="B98" s="935"/>
      <c r="C98" s="936"/>
      <c r="D98" s="361">
        <v>4</v>
      </c>
      <c r="E98" s="440" t="s">
        <v>544</v>
      </c>
      <c r="F98" s="441">
        <f t="shared" si="48"/>
        <v>1621.9314000000002</v>
      </c>
      <c r="G98" s="365">
        <v>62.43</v>
      </c>
      <c r="H98" s="442">
        <v>2296.34</v>
      </c>
      <c r="I98" s="442">
        <v>2296.34</v>
      </c>
      <c r="J98" s="444">
        <f t="shared" si="49"/>
        <v>1</v>
      </c>
      <c r="K98" s="443">
        <v>2357.7199999999998</v>
      </c>
      <c r="L98" s="444">
        <f t="shared" si="50"/>
        <v>1.0267294912774239</v>
      </c>
      <c r="M98" s="443">
        <v>61.379999999999995</v>
      </c>
      <c r="N98" s="444">
        <f t="shared" si="51"/>
        <v>2.6729491277424071E-2</v>
      </c>
      <c r="O98" s="445">
        <f t="shared" si="52"/>
        <v>2419.1</v>
      </c>
      <c r="P98" s="444">
        <f t="shared" si="53"/>
        <v>1.0534589825548479</v>
      </c>
      <c r="Q98" s="442">
        <v>25.980000000000004</v>
      </c>
      <c r="R98" s="444">
        <f t="shared" si="54"/>
        <v>1.1313655643328079E-2</v>
      </c>
      <c r="S98" s="445">
        <f t="shared" si="55"/>
        <v>122.75999999999976</v>
      </c>
      <c r="T98" s="444">
        <f t="shared" si="56"/>
        <v>5.3458982554848045E-2</v>
      </c>
      <c r="U98" s="364">
        <f t="shared" si="57"/>
        <v>7663.9067999999852</v>
      </c>
      <c r="V98" s="145"/>
      <c r="W98" s="145"/>
      <c r="X98" s="145"/>
      <c r="Y98" s="366" t="s">
        <v>417</v>
      </c>
      <c r="Z98" s="366" t="s">
        <v>216</v>
      </c>
      <c r="AA98" s="367" t="s">
        <v>662</v>
      </c>
      <c r="AB98" s="367" t="s">
        <v>674</v>
      </c>
      <c r="AC98" s="367">
        <v>1</v>
      </c>
      <c r="AD98" s="446" t="s">
        <v>340</v>
      </c>
      <c r="AF98" s="375" t="s">
        <v>11</v>
      </c>
      <c r="AG98" s="372">
        <f>SUMIF($Z$95:$Z114,TRIM(AG96),$F$95:$F$114)</f>
        <v>8673.9858000000004</v>
      </c>
      <c r="AH98" s="372">
        <f>SUMIF($Z$95:$Z114,TRIM(AH96),$F$95:$F$114)</f>
        <v>0</v>
      </c>
      <c r="AI98" s="372">
        <f>SUMIF($Z$95:$Z114,TRIM(AI96),$F$95:$F$114)</f>
        <v>8588.4707999999991</v>
      </c>
      <c r="AJ98" s="372">
        <f>SUMIF($Z$95:$Z114,TRIM(AJ96),$F$95:$F$114)</f>
        <v>0</v>
      </c>
      <c r="AK98" s="372">
        <f>SUMIF($Z$95:$Z114,TRIM(AK96),$F$95:$F$114)</f>
        <v>1371.0990000000004</v>
      </c>
      <c r="AL98" s="372">
        <f>SUMIF($Z$95:$Z114,TRIM(AL96),$F$95:$F$114)</f>
        <v>7748.348</v>
      </c>
      <c r="AM98" s="372">
        <f>SUMIF($Z$95:$Z114,TRIM(AM96),$F$95:$F$114)</f>
        <v>0</v>
      </c>
    </row>
    <row r="99" spans="2:39" s="147" customFormat="1" ht="27" hidden="1" customHeight="1">
      <c r="B99" s="935"/>
      <c r="C99" s="936"/>
      <c r="D99" s="361">
        <v>5</v>
      </c>
      <c r="E99" s="440" t="s">
        <v>534</v>
      </c>
      <c r="F99" s="441">
        <f t="shared" si="48"/>
        <v>1412.1314999999995</v>
      </c>
      <c r="G99" s="365">
        <v>39.389999999999993</v>
      </c>
      <c r="H99" s="442">
        <v>34928.070000000007</v>
      </c>
      <c r="I99" s="442">
        <v>34928.070000000007</v>
      </c>
      <c r="J99" s="444">
        <f t="shared" si="49"/>
        <v>1</v>
      </c>
      <c r="K99" s="443">
        <v>35121.479999999996</v>
      </c>
      <c r="L99" s="444">
        <f t="shared" si="50"/>
        <v>1.0055373801071743</v>
      </c>
      <c r="M99" s="443">
        <v>193.41000000000003</v>
      </c>
      <c r="N99" s="444">
        <f t="shared" si="51"/>
        <v>5.5373801071745441E-3</v>
      </c>
      <c r="O99" s="445">
        <f t="shared" si="52"/>
        <v>35314.89</v>
      </c>
      <c r="P99" s="444">
        <f t="shared" si="53"/>
        <v>1.0110747602143488</v>
      </c>
      <c r="Q99" s="442">
        <v>35.849999999999994</v>
      </c>
      <c r="R99" s="444">
        <f t="shared" si="54"/>
        <v>1.0263951028499424E-3</v>
      </c>
      <c r="S99" s="445">
        <f t="shared" si="55"/>
        <v>386.81999999999243</v>
      </c>
      <c r="T99" s="444">
        <f t="shared" si="56"/>
        <v>1.107476021434887E-2</v>
      </c>
      <c r="U99" s="364">
        <f t="shared" si="57"/>
        <v>15236.8397999997</v>
      </c>
      <c r="V99" s="145"/>
      <c r="W99" s="145"/>
      <c r="X99" s="145"/>
      <c r="Y99" s="366" t="s">
        <v>417</v>
      </c>
      <c r="Z99" s="366" t="s">
        <v>216</v>
      </c>
      <c r="AA99" s="367" t="s">
        <v>662</v>
      </c>
      <c r="AB99" s="367" t="s">
        <v>674</v>
      </c>
      <c r="AC99" s="367">
        <v>1</v>
      </c>
      <c r="AD99" s="446" t="s">
        <v>340</v>
      </c>
      <c r="AF99" s="361" t="s">
        <v>563</v>
      </c>
      <c r="AG99" s="447">
        <f t="shared" ref="AG99:AM99" si="59">AG97/$AF97</f>
        <v>0.4</v>
      </c>
      <c r="AH99" s="447">
        <f t="shared" si="59"/>
        <v>0</v>
      </c>
      <c r="AI99" s="447">
        <f t="shared" si="59"/>
        <v>0.3</v>
      </c>
      <c r="AJ99" s="447">
        <f t="shared" si="59"/>
        <v>0</v>
      </c>
      <c r="AK99" s="447">
        <f t="shared" si="59"/>
        <v>0.05</v>
      </c>
      <c r="AL99" s="447">
        <f t="shared" si="59"/>
        <v>0.25</v>
      </c>
      <c r="AM99" s="447">
        <f t="shared" si="59"/>
        <v>0</v>
      </c>
    </row>
    <row r="100" spans="2:39" s="147" customFormat="1" ht="27" hidden="1" customHeight="1">
      <c r="B100" s="935"/>
      <c r="C100" s="936"/>
      <c r="D100" s="361">
        <v>6</v>
      </c>
      <c r="E100" s="440" t="s">
        <v>336</v>
      </c>
      <c r="F100" s="441">
        <f t="shared" si="48"/>
        <v>1371.0990000000004</v>
      </c>
      <c r="G100" s="365">
        <v>147.43000000000004</v>
      </c>
      <c r="H100" s="442">
        <v>4611.7699999999995</v>
      </c>
      <c r="I100" s="442">
        <v>4611.7699999999995</v>
      </c>
      <c r="J100" s="444">
        <f t="shared" si="49"/>
        <v>1</v>
      </c>
      <c r="K100" s="443">
        <v>4696.42</v>
      </c>
      <c r="L100" s="444">
        <f t="shared" si="50"/>
        <v>1.0183552085208067</v>
      </c>
      <c r="M100" s="443">
        <v>84.65</v>
      </c>
      <c r="N100" s="444">
        <f t="shared" si="51"/>
        <v>1.8355208520806549E-2</v>
      </c>
      <c r="O100" s="445">
        <f t="shared" si="52"/>
        <v>4781.07</v>
      </c>
      <c r="P100" s="444">
        <f t="shared" si="53"/>
        <v>1.036710417041613</v>
      </c>
      <c r="Q100" s="442">
        <v>9.3000000000000007</v>
      </c>
      <c r="R100" s="444">
        <f t="shared" si="54"/>
        <v>2.0165793177023142E-3</v>
      </c>
      <c r="S100" s="445">
        <f t="shared" si="55"/>
        <v>169.30000000000018</v>
      </c>
      <c r="T100" s="444">
        <f t="shared" si="56"/>
        <v>3.6710417041613132E-2</v>
      </c>
      <c r="U100" s="364">
        <f t="shared" si="57"/>
        <v>24959.899000000034</v>
      </c>
      <c r="V100" s="145"/>
      <c r="W100" s="145"/>
      <c r="X100" s="145"/>
      <c r="Y100" s="366" t="s">
        <v>417</v>
      </c>
      <c r="Z100" s="366" t="s">
        <v>215</v>
      </c>
      <c r="AA100" s="367" t="s">
        <v>675</v>
      </c>
      <c r="AB100" s="367" t="s">
        <v>569</v>
      </c>
      <c r="AC100" s="367">
        <v>1</v>
      </c>
      <c r="AD100" s="446" t="s">
        <v>340</v>
      </c>
    </row>
    <row r="101" spans="2:39" s="147" customFormat="1" ht="27" hidden="1" customHeight="1">
      <c r="B101" s="935"/>
      <c r="C101" s="936"/>
      <c r="D101" s="361">
        <v>7</v>
      </c>
      <c r="E101" s="440" t="s">
        <v>633</v>
      </c>
      <c r="F101" s="441">
        <f t="shared" si="48"/>
        <v>1300.3039999999999</v>
      </c>
      <c r="G101" s="365">
        <v>144.79999999999998</v>
      </c>
      <c r="H101" s="442">
        <v>2814.75</v>
      </c>
      <c r="I101" s="442">
        <v>2814.75</v>
      </c>
      <c r="J101" s="444">
        <f t="shared" si="49"/>
        <v>1</v>
      </c>
      <c r="K101" s="443">
        <v>2871.42</v>
      </c>
      <c r="L101" s="444">
        <f t="shared" si="50"/>
        <v>1.0201332267519319</v>
      </c>
      <c r="M101" s="443">
        <v>45.67</v>
      </c>
      <c r="N101" s="444">
        <f t="shared" si="51"/>
        <v>1.6225242028599342E-2</v>
      </c>
      <c r="O101" s="445">
        <f t="shared" si="52"/>
        <v>2917.09</v>
      </c>
      <c r="P101" s="444">
        <f t="shared" si="53"/>
        <v>1.0363584687805312</v>
      </c>
      <c r="Q101" s="442">
        <v>8.98</v>
      </c>
      <c r="R101" s="444">
        <f t="shared" si="54"/>
        <v>3.1903366195932146E-3</v>
      </c>
      <c r="S101" s="445">
        <f t="shared" si="55"/>
        <v>102.34000000000015</v>
      </c>
      <c r="T101" s="444">
        <f t="shared" si="56"/>
        <v>3.6358468780531179E-2</v>
      </c>
      <c r="U101" s="364">
        <f t="shared" si="57"/>
        <v>14818.832000000019</v>
      </c>
      <c r="V101" s="145"/>
      <c r="W101" s="145"/>
      <c r="X101" s="145"/>
      <c r="Y101" s="366" t="s">
        <v>417</v>
      </c>
      <c r="Z101" s="366" t="s">
        <v>445</v>
      </c>
      <c r="AA101" s="367" t="s">
        <v>678</v>
      </c>
      <c r="AB101" s="367" t="s">
        <v>571</v>
      </c>
      <c r="AC101" s="367">
        <v>1</v>
      </c>
      <c r="AD101" s="446" t="s">
        <v>614</v>
      </c>
    </row>
    <row r="102" spans="2:39" s="147" customFormat="1" ht="27" hidden="1" customHeight="1">
      <c r="B102" s="935"/>
      <c r="C102" s="936"/>
      <c r="D102" s="361">
        <v>8</v>
      </c>
      <c r="E102" s="440" t="s">
        <v>619</v>
      </c>
      <c r="F102" s="441">
        <f t="shared" si="48"/>
        <v>1259.2982999999999</v>
      </c>
      <c r="G102" s="365">
        <v>39.389999999999993</v>
      </c>
      <c r="H102" s="442">
        <v>7006.3500000000013</v>
      </c>
      <c r="I102" s="442">
        <v>7006.3500000000013</v>
      </c>
      <c r="J102" s="444">
        <f t="shared" si="49"/>
        <v>1</v>
      </c>
      <c r="K102" s="443">
        <v>7117.1299999999992</v>
      </c>
      <c r="L102" s="444">
        <f t="shared" si="50"/>
        <v>1.015811371113347</v>
      </c>
      <c r="M102" s="443">
        <v>102.00000000000001</v>
      </c>
      <c r="N102" s="444">
        <f t="shared" si="51"/>
        <v>1.455822218416151E-2</v>
      </c>
      <c r="O102" s="445">
        <f t="shared" si="52"/>
        <v>7219.1299999999992</v>
      </c>
      <c r="P102" s="444">
        <f t="shared" si="53"/>
        <v>1.0303695932975083</v>
      </c>
      <c r="Q102" s="442">
        <v>31.970000000000002</v>
      </c>
      <c r="R102" s="444">
        <f t="shared" si="54"/>
        <v>4.5630035610553276E-3</v>
      </c>
      <c r="S102" s="445">
        <f t="shared" si="55"/>
        <v>212.77999999999793</v>
      </c>
      <c r="T102" s="444">
        <f t="shared" si="56"/>
        <v>3.0369593297508386E-2</v>
      </c>
      <c r="U102" s="364">
        <f t="shared" si="57"/>
        <v>8381.4041999999172</v>
      </c>
      <c r="V102" s="145"/>
      <c r="W102" s="145"/>
      <c r="X102" s="145"/>
      <c r="Y102" s="366" t="s">
        <v>417</v>
      </c>
      <c r="Z102" s="366" t="s">
        <v>216</v>
      </c>
      <c r="AA102" s="367" t="s">
        <v>662</v>
      </c>
      <c r="AB102" s="367" t="s">
        <v>674</v>
      </c>
      <c r="AC102" s="367">
        <v>1</v>
      </c>
      <c r="AD102" s="446" t="s">
        <v>463</v>
      </c>
    </row>
    <row r="103" spans="2:39" s="147" customFormat="1" ht="27" hidden="1" customHeight="1">
      <c r="B103" s="935"/>
      <c r="C103" s="936"/>
      <c r="D103" s="361">
        <v>9</v>
      </c>
      <c r="E103" s="440" t="s">
        <v>386</v>
      </c>
      <c r="F103" s="441">
        <f t="shared" si="48"/>
        <v>1196.5824</v>
      </c>
      <c r="G103" s="365">
        <v>127.84000000000002</v>
      </c>
      <c r="H103" s="442">
        <v>4089.3399999999997</v>
      </c>
      <c r="I103" s="442">
        <v>4089.3399999999997</v>
      </c>
      <c r="J103" s="444">
        <f t="shared" si="49"/>
        <v>1</v>
      </c>
      <c r="K103" s="443">
        <v>4129.5200000000004</v>
      </c>
      <c r="L103" s="444">
        <f t="shared" si="50"/>
        <v>1.009825546420694</v>
      </c>
      <c r="M103" s="443">
        <v>40.179999999999993</v>
      </c>
      <c r="N103" s="444">
        <f t="shared" si="51"/>
        <v>9.8255464206938037E-3</v>
      </c>
      <c r="O103" s="445">
        <f t="shared" si="52"/>
        <v>4169.7000000000007</v>
      </c>
      <c r="P103" s="444">
        <f t="shared" si="53"/>
        <v>1.0196510928413878</v>
      </c>
      <c r="Q103" s="442">
        <v>9.36</v>
      </c>
      <c r="R103" s="444">
        <f t="shared" si="54"/>
        <v>2.2888779118390742E-3</v>
      </c>
      <c r="S103" s="445">
        <f t="shared" si="55"/>
        <v>80.360000000001037</v>
      </c>
      <c r="T103" s="444">
        <f t="shared" si="56"/>
        <v>1.9651092841387864E-2</v>
      </c>
      <c r="U103" s="364">
        <f t="shared" si="57"/>
        <v>10273.222400000133</v>
      </c>
      <c r="V103" s="145"/>
      <c r="W103" s="145"/>
      <c r="X103" s="145"/>
      <c r="Y103" s="366" t="s">
        <v>417</v>
      </c>
      <c r="Z103" s="366" t="s">
        <v>445</v>
      </c>
      <c r="AA103" s="367" t="s">
        <v>644</v>
      </c>
      <c r="AB103" s="367" t="s">
        <v>571</v>
      </c>
      <c r="AC103" s="367">
        <v>1</v>
      </c>
      <c r="AD103" s="446" t="s">
        <v>340</v>
      </c>
      <c r="AH103" s="370"/>
    </row>
    <row r="104" spans="2:39" s="147" customFormat="1" ht="27" hidden="1" customHeight="1">
      <c r="B104" s="935"/>
      <c r="C104" s="936"/>
      <c r="D104" s="361">
        <v>10</v>
      </c>
      <c r="E104" s="440" t="s">
        <v>692</v>
      </c>
      <c r="F104" s="441">
        <f t="shared" si="48"/>
        <v>1095.395</v>
      </c>
      <c r="G104" s="365">
        <v>625.93999999999994</v>
      </c>
      <c r="H104" s="442">
        <v>1716.9</v>
      </c>
      <c r="I104" s="442">
        <v>1716.9</v>
      </c>
      <c r="J104" s="444">
        <f t="shared" si="49"/>
        <v>1</v>
      </c>
      <c r="K104" s="443">
        <v>1727.31</v>
      </c>
      <c r="L104" s="444">
        <f t="shared" si="50"/>
        <v>1.006063253538354</v>
      </c>
      <c r="M104" s="443">
        <v>10.41</v>
      </c>
      <c r="N104" s="444">
        <f t="shared" si="51"/>
        <v>6.06325353835401E-3</v>
      </c>
      <c r="O104" s="445">
        <f t="shared" si="52"/>
        <v>1737.72</v>
      </c>
      <c r="P104" s="444">
        <f t="shared" si="53"/>
        <v>1.012126507076708</v>
      </c>
      <c r="Q104" s="442">
        <v>1.75</v>
      </c>
      <c r="R104" s="444">
        <f t="shared" si="54"/>
        <v>1.0192789329605684E-3</v>
      </c>
      <c r="S104" s="445">
        <f t="shared" si="55"/>
        <v>20.819999999999936</v>
      </c>
      <c r="T104" s="444">
        <f t="shared" si="56"/>
        <v>1.2126507076707982E-2</v>
      </c>
      <c r="U104" s="364">
        <f t="shared" si="57"/>
        <v>13032.070799999959</v>
      </c>
      <c r="V104" s="145"/>
      <c r="W104" s="145"/>
      <c r="X104" s="145"/>
      <c r="Y104" s="366" t="s">
        <v>417</v>
      </c>
      <c r="Z104" s="366" t="s">
        <v>337</v>
      </c>
      <c r="AA104" s="367" t="s">
        <v>586</v>
      </c>
      <c r="AB104" s="380" t="s">
        <v>587</v>
      </c>
      <c r="AC104" s="367">
        <v>1</v>
      </c>
      <c r="AD104" s="446" t="s">
        <v>597</v>
      </c>
      <c r="AH104" s="370"/>
    </row>
    <row r="105" spans="2:39" s="147" customFormat="1" ht="27" hidden="1" customHeight="1">
      <c r="B105" s="935"/>
      <c r="C105" s="936"/>
      <c r="D105" s="361">
        <v>11</v>
      </c>
      <c r="E105" s="440" t="s">
        <v>461</v>
      </c>
      <c r="F105" s="441">
        <f t="shared" si="48"/>
        <v>1088.6658000000002</v>
      </c>
      <c r="G105" s="365">
        <v>407.74000000000007</v>
      </c>
      <c r="H105" s="442">
        <v>1119.06</v>
      </c>
      <c r="I105" s="442">
        <v>1119.06</v>
      </c>
      <c r="J105" s="444">
        <f t="shared" si="49"/>
        <v>1</v>
      </c>
      <c r="K105" s="443">
        <v>1130.7</v>
      </c>
      <c r="L105" s="444">
        <f t="shared" si="50"/>
        <v>1.010401587046271</v>
      </c>
      <c r="M105" s="443">
        <v>11.64</v>
      </c>
      <c r="N105" s="444">
        <f t="shared" si="51"/>
        <v>1.0401587046270979E-2</v>
      </c>
      <c r="O105" s="445">
        <f t="shared" si="52"/>
        <v>1142.3400000000001</v>
      </c>
      <c r="P105" s="444">
        <f t="shared" si="53"/>
        <v>1.0208031740925421</v>
      </c>
      <c r="Q105" s="442">
        <v>2.67</v>
      </c>
      <c r="R105" s="444">
        <f t="shared" si="54"/>
        <v>2.3859310492734976E-3</v>
      </c>
      <c r="S105" s="445">
        <f t="shared" si="55"/>
        <v>23.2800000000002</v>
      </c>
      <c r="T105" s="444">
        <f t="shared" si="56"/>
        <v>2.0803174092542134E-2</v>
      </c>
      <c r="U105" s="364">
        <f t="shared" si="57"/>
        <v>9492.187200000084</v>
      </c>
      <c r="V105" s="145"/>
      <c r="W105" s="145"/>
      <c r="X105" s="145"/>
      <c r="Y105" s="366" t="s">
        <v>417</v>
      </c>
      <c r="Z105" s="366" t="s">
        <v>337</v>
      </c>
      <c r="AA105" s="367" t="s">
        <v>586</v>
      </c>
      <c r="AB105" s="380" t="s">
        <v>587</v>
      </c>
      <c r="AC105" s="367">
        <v>1</v>
      </c>
      <c r="AD105" s="446" t="s">
        <v>533</v>
      </c>
      <c r="AH105" s="370"/>
    </row>
    <row r="106" spans="2:39" s="147" customFormat="1" ht="27" hidden="1" customHeight="1">
      <c r="B106" s="935"/>
      <c r="C106" s="936"/>
      <c r="D106" s="361">
        <v>12</v>
      </c>
      <c r="E106" s="440" t="s">
        <v>653</v>
      </c>
      <c r="F106" s="441">
        <f t="shared" si="48"/>
        <v>1048.4948000000002</v>
      </c>
      <c r="G106" s="365">
        <v>40.420000000000009</v>
      </c>
      <c r="H106" s="442">
        <v>3099.3199999999997</v>
      </c>
      <c r="I106" s="442">
        <v>3099.3199999999997</v>
      </c>
      <c r="J106" s="444">
        <f t="shared" si="49"/>
        <v>1</v>
      </c>
      <c r="K106" s="443">
        <v>3197.7499999999995</v>
      </c>
      <c r="L106" s="444">
        <f t="shared" si="50"/>
        <v>1.031758579301266</v>
      </c>
      <c r="M106" s="443">
        <v>98.43</v>
      </c>
      <c r="N106" s="444">
        <f t="shared" si="51"/>
        <v>3.1758579301266091E-2</v>
      </c>
      <c r="O106" s="445">
        <f t="shared" si="52"/>
        <v>3296.1799999999994</v>
      </c>
      <c r="P106" s="444">
        <f t="shared" si="53"/>
        <v>1.063517158602532</v>
      </c>
      <c r="Q106" s="442">
        <v>25.94</v>
      </c>
      <c r="R106" s="444">
        <f t="shared" si="54"/>
        <v>8.3695778428816651E-3</v>
      </c>
      <c r="S106" s="445">
        <f t="shared" si="55"/>
        <v>196.85999999999967</v>
      </c>
      <c r="T106" s="444">
        <f t="shared" si="56"/>
        <v>6.351715860253207E-2</v>
      </c>
      <c r="U106" s="364">
        <f t="shared" si="57"/>
        <v>7957.0811999999887</v>
      </c>
      <c r="V106" s="145"/>
      <c r="W106" s="145"/>
      <c r="X106" s="145"/>
      <c r="Y106" s="366" t="s">
        <v>417</v>
      </c>
      <c r="Z106" s="366" t="s">
        <v>216</v>
      </c>
      <c r="AA106" s="367" t="s">
        <v>662</v>
      </c>
      <c r="AB106" s="367" t="s">
        <v>674</v>
      </c>
      <c r="AC106" s="367">
        <v>1</v>
      </c>
      <c r="AD106" s="446" t="s">
        <v>649</v>
      </c>
      <c r="AH106" s="370"/>
    </row>
    <row r="107" spans="2:39" s="147" customFormat="1" ht="27" hidden="1" customHeight="1">
      <c r="B107" s="935"/>
      <c r="C107" s="936"/>
      <c r="D107" s="361">
        <v>13</v>
      </c>
      <c r="E107" s="440" t="s">
        <v>665</v>
      </c>
      <c r="F107" s="441">
        <f t="shared" si="48"/>
        <v>1037.1199999999999</v>
      </c>
      <c r="G107" s="365">
        <v>4.63</v>
      </c>
      <c r="H107" s="442">
        <v>77945</v>
      </c>
      <c r="I107" s="442">
        <v>77945</v>
      </c>
      <c r="J107" s="444">
        <f t="shared" si="49"/>
        <v>1</v>
      </c>
      <c r="K107" s="443">
        <v>78169</v>
      </c>
      <c r="L107" s="444">
        <f t="shared" si="50"/>
        <v>1.002873821284239</v>
      </c>
      <c r="M107" s="443">
        <v>0</v>
      </c>
      <c r="N107" s="444">
        <f t="shared" si="51"/>
        <v>0</v>
      </c>
      <c r="O107" s="445">
        <f t="shared" si="52"/>
        <v>78169</v>
      </c>
      <c r="P107" s="444">
        <f t="shared" si="53"/>
        <v>1.002873821284239</v>
      </c>
      <c r="Q107" s="442">
        <v>224</v>
      </c>
      <c r="R107" s="444">
        <f t="shared" si="54"/>
        <v>2.8738212842388863E-3</v>
      </c>
      <c r="S107" s="445">
        <f t="shared" si="55"/>
        <v>224</v>
      </c>
      <c r="T107" s="444">
        <f t="shared" si="56"/>
        <v>2.8738212842388863E-3</v>
      </c>
      <c r="U107" s="364">
        <f t="shared" si="57"/>
        <v>1037.1199999999999</v>
      </c>
      <c r="V107" s="145"/>
      <c r="W107" s="145"/>
      <c r="X107" s="145"/>
      <c r="Y107" s="366" t="s">
        <v>417</v>
      </c>
      <c r="Z107" s="366" t="s">
        <v>337</v>
      </c>
      <c r="AA107" s="367" t="s">
        <v>647</v>
      </c>
      <c r="AB107" s="380" t="s">
        <v>605</v>
      </c>
      <c r="AC107" s="367">
        <v>1</v>
      </c>
      <c r="AD107" s="446" t="s">
        <v>580</v>
      </c>
      <c r="AH107" s="370"/>
    </row>
    <row r="108" spans="2:39" s="147" customFormat="1" ht="27" hidden="1" customHeight="1">
      <c r="B108" s="935"/>
      <c r="C108" s="936"/>
      <c r="D108" s="361">
        <v>14</v>
      </c>
      <c r="E108" s="440" t="s">
        <v>545</v>
      </c>
      <c r="F108" s="441">
        <f t="shared" si="48"/>
        <v>1032.9505999999999</v>
      </c>
      <c r="G108" s="365">
        <v>66.13</v>
      </c>
      <c r="H108" s="442">
        <v>1931.02</v>
      </c>
      <c r="I108" s="442">
        <v>1931.02</v>
      </c>
      <c r="J108" s="444">
        <f t="shared" si="49"/>
        <v>1</v>
      </c>
      <c r="K108" s="443">
        <v>1988.01</v>
      </c>
      <c r="L108" s="444">
        <f t="shared" si="50"/>
        <v>1.029512899918178</v>
      </c>
      <c r="M108" s="443">
        <v>56.99</v>
      </c>
      <c r="N108" s="444">
        <f t="shared" si="51"/>
        <v>2.9512899918177959E-2</v>
      </c>
      <c r="O108" s="445">
        <f t="shared" si="52"/>
        <v>2045</v>
      </c>
      <c r="P108" s="444">
        <f t="shared" si="53"/>
        <v>1.0590257998363559</v>
      </c>
      <c r="Q108" s="442">
        <v>15.62</v>
      </c>
      <c r="R108" s="444">
        <f t="shared" si="54"/>
        <v>8.0889892388478629E-3</v>
      </c>
      <c r="S108" s="445">
        <f t="shared" si="55"/>
        <v>113.98000000000002</v>
      </c>
      <c r="T108" s="444">
        <f t="shared" si="56"/>
        <v>5.9025799836355926E-2</v>
      </c>
      <c r="U108" s="364">
        <f t="shared" si="57"/>
        <v>7537.4974000000011</v>
      </c>
      <c r="V108" s="145"/>
      <c r="W108" s="145"/>
      <c r="X108" s="145"/>
      <c r="Y108" s="366" t="s">
        <v>417</v>
      </c>
      <c r="Z108" s="366" t="s">
        <v>445</v>
      </c>
      <c r="AA108" s="367" t="s">
        <v>479</v>
      </c>
      <c r="AB108" s="367" t="s">
        <v>590</v>
      </c>
      <c r="AC108" s="367">
        <v>1</v>
      </c>
      <c r="AD108" s="446" t="s">
        <v>630</v>
      </c>
      <c r="AF108" s="957" t="s">
        <v>247</v>
      </c>
      <c r="AG108" s="958"/>
      <c r="AH108" s="958"/>
      <c r="AI108" s="958"/>
      <c r="AJ108" s="958"/>
      <c r="AK108" s="958"/>
      <c r="AL108" s="958"/>
      <c r="AM108" s="959"/>
    </row>
    <row r="109" spans="2:39" s="147" customFormat="1" ht="27" hidden="1" customHeight="1">
      <c r="B109" s="935"/>
      <c r="C109" s="936"/>
      <c r="D109" s="361">
        <v>15</v>
      </c>
      <c r="E109" s="440" t="s">
        <v>462</v>
      </c>
      <c r="F109" s="441">
        <f t="shared" si="48"/>
        <v>1030.3458000000001</v>
      </c>
      <c r="G109" s="365">
        <v>160.49</v>
      </c>
      <c r="H109" s="442">
        <v>662.77</v>
      </c>
      <c r="I109" s="442">
        <v>662.77</v>
      </c>
      <c r="J109" s="444">
        <f t="shared" si="49"/>
        <v>1</v>
      </c>
      <c r="K109" s="443">
        <v>680.31</v>
      </c>
      <c r="L109" s="444">
        <f t="shared" si="50"/>
        <v>1.0264646860901971</v>
      </c>
      <c r="M109" s="443">
        <v>17.54</v>
      </c>
      <c r="N109" s="444">
        <f t="shared" si="51"/>
        <v>2.6464686090197202E-2</v>
      </c>
      <c r="O109" s="445">
        <f t="shared" si="52"/>
        <v>697.84999999999991</v>
      </c>
      <c r="P109" s="444">
        <f t="shared" si="53"/>
        <v>1.0529293721803943</v>
      </c>
      <c r="Q109" s="442">
        <v>6.42</v>
      </c>
      <c r="R109" s="444">
        <f t="shared" si="54"/>
        <v>9.6866182838692156E-3</v>
      </c>
      <c r="S109" s="445">
        <f t="shared" si="55"/>
        <v>35.079999999999927</v>
      </c>
      <c r="T109" s="444">
        <f t="shared" si="56"/>
        <v>5.2929372180394299E-2</v>
      </c>
      <c r="U109" s="364">
        <f t="shared" si="57"/>
        <v>5629.9891999999891</v>
      </c>
      <c r="V109" s="145"/>
      <c r="W109" s="145"/>
      <c r="X109" s="145"/>
      <c r="Y109" s="366" t="s">
        <v>417</v>
      </c>
      <c r="Z109" s="366" t="s">
        <v>445</v>
      </c>
      <c r="AA109" s="367" t="s">
        <v>644</v>
      </c>
      <c r="AB109" s="367" t="s">
        <v>571</v>
      </c>
      <c r="AC109" s="367">
        <v>1</v>
      </c>
      <c r="AD109" s="446" t="s">
        <v>350</v>
      </c>
      <c r="AF109" s="960"/>
      <c r="AG109" s="961"/>
      <c r="AH109" s="961"/>
      <c r="AI109" s="961"/>
      <c r="AJ109" s="961"/>
      <c r="AK109" s="961"/>
      <c r="AL109" s="961"/>
      <c r="AM109" s="962"/>
    </row>
    <row r="110" spans="2:39" s="147" customFormat="1" ht="27" hidden="1" customHeight="1">
      <c r="B110" s="935"/>
      <c r="C110" s="936"/>
      <c r="D110" s="361">
        <v>16</v>
      </c>
      <c r="E110" s="440" t="s">
        <v>693</v>
      </c>
      <c r="F110" s="441">
        <f t="shared" si="48"/>
        <v>1030.0899999999999</v>
      </c>
      <c r="G110" s="365">
        <v>4.3099999999999996</v>
      </c>
      <c r="H110" s="442">
        <v>58407</v>
      </c>
      <c r="I110" s="442">
        <v>58407</v>
      </c>
      <c r="J110" s="444">
        <f t="shared" si="49"/>
        <v>1</v>
      </c>
      <c r="K110" s="443">
        <v>58646</v>
      </c>
      <c r="L110" s="444">
        <f t="shared" si="50"/>
        <v>1.0040919752769359</v>
      </c>
      <c r="M110" s="443">
        <v>0</v>
      </c>
      <c r="N110" s="444">
        <f t="shared" si="51"/>
        <v>0</v>
      </c>
      <c r="O110" s="445">
        <f t="shared" si="52"/>
        <v>58646</v>
      </c>
      <c r="P110" s="444">
        <f t="shared" si="53"/>
        <v>1.0040919752769359</v>
      </c>
      <c r="Q110" s="442">
        <v>239</v>
      </c>
      <c r="R110" s="444">
        <f t="shared" si="54"/>
        <v>4.091975276935984E-3</v>
      </c>
      <c r="S110" s="445">
        <f t="shared" si="55"/>
        <v>239</v>
      </c>
      <c r="T110" s="444">
        <f t="shared" si="56"/>
        <v>4.091975276935984E-3</v>
      </c>
      <c r="U110" s="364">
        <f t="shared" si="57"/>
        <v>1030.0899999999999</v>
      </c>
      <c r="V110" s="145"/>
      <c r="W110" s="145"/>
      <c r="X110" s="145"/>
      <c r="Y110" s="366" t="s">
        <v>417</v>
      </c>
      <c r="Z110" s="366" t="s">
        <v>337</v>
      </c>
      <c r="AA110" s="380" t="s">
        <v>699</v>
      </c>
      <c r="AB110" s="367" t="s">
        <v>700</v>
      </c>
      <c r="AC110" s="367">
        <v>1</v>
      </c>
      <c r="AD110" s="446" t="s">
        <v>650</v>
      </c>
      <c r="AF110" s="963"/>
      <c r="AG110" s="964"/>
      <c r="AH110" s="964"/>
      <c r="AI110" s="964"/>
      <c r="AJ110" s="964"/>
      <c r="AK110" s="964"/>
      <c r="AL110" s="964"/>
      <c r="AM110" s="965"/>
    </row>
    <row r="111" spans="2:39" s="147" customFormat="1" ht="27" hidden="1" customHeight="1">
      <c r="B111" s="935"/>
      <c r="C111" s="936"/>
      <c r="D111" s="361">
        <v>17</v>
      </c>
      <c r="E111" s="440" t="s">
        <v>669</v>
      </c>
      <c r="F111" s="441">
        <f t="shared" si="48"/>
        <v>1029.9285</v>
      </c>
      <c r="G111" s="365">
        <v>99.51</v>
      </c>
      <c r="H111" s="442">
        <v>1193.3999999999999</v>
      </c>
      <c r="I111" s="442">
        <v>1193.3999999999999</v>
      </c>
      <c r="J111" s="444">
        <f t="shared" si="49"/>
        <v>1</v>
      </c>
      <c r="K111" s="443">
        <v>1221.33</v>
      </c>
      <c r="L111" s="444">
        <f t="shared" si="50"/>
        <v>1.0234037204625441</v>
      </c>
      <c r="M111" s="443">
        <v>27.93</v>
      </c>
      <c r="N111" s="444">
        <f t="shared" si="51"/>
        <v>2.3403720462543996E-2</v>
      </c>
      <c r="O111" s="445">
        <f t="shared" si="52"/>
        <v>1249.26</v>
      </c>
      <c r="P111" s="444">
        <f t="shared" si="53"/>
        <v>1.046807440925088</v>
      </c>
      <c r="Q111" s="442">
        <v>10.35</v>
      </c>
      <c r="R111" s="444">
        <f t="shared" si="54"/>
        <v>8.6726998491704378E-3</v>
      </c>
      <c r="S111" s="445">
        <f t="shared" si="55"/>
        <v>55.860000000000127</v>
      </c>
      <c r="T111" s="444">
        <f t="shared" si="56"/>
        <v>4.6807440925088095E-2</v>
      </c>
      <c r="U111" s="364">
        <f t="shared" si="57"/>
        <v>5558.6286000000127</v>
      </c>
      <c r="V111" s="145"/>
      <c r="W111" s="145"/>
      <c r="X111" s="145"/>
      <c r="Y111" s="366" t="s">
        <v>417</v>
      </c>
      <c r="Z111" s="366" t="s">
        <v>445</v>
      </c>
      <c r="AA111" s="367" t="s">
        <v>479</v>
      </c>
      <c r="AB111" s="367" t="s">
        <v>590</v>
      </c>
      <c r="AC111" s="367">
        <v>1</v>
      </c>
      <c r="AD111" s="446" t="s">
        <v>353</v>
      </c>
      <c r="AF111" s="160" t="s">
        <v>244</v>
      </c>
      <c r="AG111" s="160" t="s">
        <v>445</v>
      </c>
      <c r="AH111" s="155" t="s">
        <v>383</v>
      </c>
      <c r="AI111" s="155" t="s">
        <v>337</v>
      </c>
      <c r="AJ111" s="155" t="s">
        <v>428</v>
      </c>
      <c r="AK111" s="155" t="s">
        <v>215</v>
      </c>
      <c r="AL111" s="155" t="s">
        <v>216</v>
      </c>
      <c r="AM111" s="155" t="s">
        <v>384</v>
      </c>
    </row>
    <row r="112" spans="2:39" s="147" customFormat="1" ht="27" hidden="1" customHeight="1">
      <c r="B112" s="935"/>
      <c r="C112" s="936"/>
      <c r="D112" s="361">
        <v>18</v>
      </c>
      <c r="E112" s="440" t="s">
        <v>474</v>
      </c>
      <c r="F112" s="441">
        <f t="shared" si="48"/>
        <v>1029.3030000000001</v>
      </c>
      <c r="G112" s="365">
        <v>84.3</v>
      </c>
      <c r="H112" s="442">
        <v>1192.4000000000001</v>
      </c>
      <c r="I112" s="442">
        <v>1192.4000000000001</v>
      </c>
      <c r="J112" s="444">
        <f t="shared" si="49"/>
        <v>1</v>
      </c>
      <c r="K112" s="443">
        <v>1229.6799999999998</v>
      </c>
      <c r="L112" s="444">
        <f t="shared" si="50"/>
        <v>1.0312646762831263</v>
      </c>
      <c r="M112" s="443">
        <v>37.28</v>
      </c>
      <c r="N112" s="444">
        <f t="shared" si="51"/>
        <v>3.1264676283126465E-2</v>
      </c>
      <c r="O112" s="445">
        <f t="shared" si="52"/>
        <v>1266.9599999999998</v>
      </c>
      <c r="P112" s="444">
        <f t="shared" si="53"/>
        <v>1.0625293525662527</v>
      </c>
      <c r="Q112" s="442">
        <v>12.21</v>
      </c>
      <c r="R112" s="444">
        <f t="shared" si="54"/>
        <v>1.0239852398523985E-2</v>
      </c>
      <c r="S112" s="445">
        <f t="shared" si="55"/>
        <v>74.559999999999718</v>
      </c>
      <c r="T112" s="444">
        <f t="shared" si="56"/>
        <v>6.2529352566252694E-2</v>
      </c>
      <c r="U112" s="364">
        <f t="shared" si="57"/>
        <v>6285.4079999999758</v>
      </c>
      <c r="V112" s="145"/>
      <c r="W112" s="145"/>
      <c r="X112" s="145"/>
      <c r="Y112" s="366" t="s">
        <v>417</v>
      </c>
      <c r="Z112" s="366" t="s">
        <v>445</v>
      </c>
      <c r="AA112" s="367" t="s">
        <v>479</v>
      </c>
      <c r="AB112" s="367" t="s">
        <v>590</v>
      </c>
      <c r="AC112" s="367">
        <v>1</v>
      </c>
      <c r="AD112" s="446" t="s">
        <v>435</v>
      </c>
      <c r="AE112" s="453" t="s">
        <v>610</v>
      </c>
      <c r="AF112" s="374">
        <f t="shared" ref="AF112:AM112" si="60">AF31+AF53+AF75+AF97</f>
        <v>80</v>
      </c>
      <c r="AG112" s="374">
        <f t="shared" si="60"/>
        <v>28</v>
      </c>
      <c r="AH112" s="374">
        <f t="shared" si="60"/>
        <v>0</v>
      </c>
      <c r="AI112" s="374">
        <f t="shared" si="60"/>
        <v>26</v>
      </c>
      <c r="AJ112" s="374">
        <f t="shared" si="60"/>
        <v>0</v>
      </c>
      <c r="AK112" s="374">
        <f t="shared" si="60"/>
        <v>5</v>
      </c>
      <c r="AL112" s="374">
        <f t="shared" si="60"/>
        <v>21</v>
      </c>
      <c r="AM112" s="374">
        <f t="shared" si="60"/>
        <v>0</v>
      </c>
    </row>
    <row r="113" spans="2:39" s="147" customFormat="1" ht="27" hidden="1" customHeight="1">
      <c r="B113" s="935"/>
      <c r="C113" s="936"/>
      <c r="D113" s="361">
        <v>19</v>
      </c>
      <c r="E113" s="440" t="s">
        <v>694</v>
      </c>
      <c r="F113" s="441">
        <f t="shared" si="48"/>
        <v>1028.9719000000002</v>
      </c>
      <c r="G113" s="365">
        <v>335.17</v>
      </c>
      <c r="H113" s="442">
        <v>231.88</v>
      </c>
      <c r="I113" s="442">
        <v>231.88</v>
      </c>
      <c r="J113" s="444">
        <f t="shared" si="49"/>
        <v>1</v>
      </c>
      <c r="K113" s="443">
        <v>240.74</v>
      </c>
      <c r="L113" s="444">
        <f t="shared" si="50"/>
        <v>1.0382094186648267</v>
      </c>
      <c r="M113" s="443">
        <v>8.86</v>
      </c>
      <c r="N113" s="444">
        <f t="shared" si="51"/>
        <v>3.8209418664826633E-2</v>
      </c>
      <c r="O113" s="445">
        <f t="shared" si="52"/>
        <v>249.60000000000002</v>
      </c>
      <c r="P113" s="444">
        <f t="shared" si="53"/>
        <v>1.0764188373296535</v>
      </c>
      <c r="Q113" s="442">
        <v>3.0700000000000003</v>
      </c>
      <c r="R113" s="444">
        <f t="shared" si="54"/>
        <v>1.3239606693117131E-2</v>
      </c>
      <c r="S113" s="445">
        <f t="shared" si="55"/>
        <v>17.720000000000027</v>
      </c>
      <c r="T113" s="444">
        <f t="shared" si="56"/>
        <v>7.6418837329653391E-2</v>
      </c>
      <c r="U113" s="364">
        <f t="shared" si="57"/>
        <v>5939.2124000000094</v>
      </c>
      <c r="V113" s="145"/>
      <c r="W113" s="145"/>
      <c r="X113" s="145"/>
      <c r="Y113" s="366" t="s">
        <v>417</v>
      </c>
      <c r="Z113" s="366" t="s">
        <v>445</v>
      </c>
      <c r="AA113" s="367" t="s">
        <v>679</v>
      </c>
      <c r="AB113" s="367" t="s">
        <v>605</v>
      </c>
      <c r="AC113" s="367">
        <v>1</v>
      </c>
      <c r="AD113" s="446" t="s">
        <v>465</v>
      </c>
      <c r="AF113" s="375"/>
      <c r="AG113" s="374">
        <f t="shared" ref="AG113:AM113" si="61">AG32+AG54+AG76+AG98</f>
        <v>32991.704942857148</v>
      </c>
      <c r="AH113" s="374">
        <f t="shared" si="61"/>
        <v>0</v>
      </c>
      <c r="AI113" s="374">
        <f t="shared" si="61"/>
        <v>40853.813199999997</v>
      </c>
      <c r="AJ113" s="374">
        <f t="shared" si="61"/>
        <v>0</v>
      </c>
      <c r="AK113" s="374">
        <f t="shared" si="61"/>
        <v>7198.4020000000019</v>
      </c>
      <c r="AL113" s="374">
        <f t="shared" si="61"/>
        <v>32060.451799999995</v>
      </c>
      <c r="AM113" s="374">
        <f t="shared" si="61"/>
        <v>0</v>
      </c>
    </row>
    <row r="114" spans="2:39" s="147" customFormat="1" ht="27" hidden="1" customHeight="1">
      <c r="B114" s="937"/>
      <c r="C114" s="938"/>
      <c r="D114" s="361">
        <v>20</v>
      </c>
      <c r="E114" s="440" t="s">
        <v>634</v>
      </c>
      <c r="F114" s="441">
        <f t="shared" si="48"/>
        <v>1025.5996</v>
      </c>
      <c r="G114" s="365">
        <v>212.78</v>
      </c>
      <c r="H114" s="442">
        <v>507.33</v>
      </c>
      <c r="I114" s="442">
        <v>507.33</v>
      </c>
      <c r="J114" s="444">
        <f t="shared" si="49"/>
        <v>1</v>
      </c>
      <c r="K114" s="443">
        <v>522.01</v>
      </c>
      <c r="L114" s="444">
        <f t="shared" si="50"/>
        <v>1.0289358011550667</v>
      </c>
      <c r="M114" s="443">
        <v>14.68</v>
      </c>
      <c r="N114" s="444">
        <f t="shared" si="51"/>
        <v>2.8935801155066724E-2</v>
      </c>
      <c r="O114" s="445">
        <f t="shared" si="52"/>
        <v>536.68999999999994</v>
      </c>
      <c r="P114" s="444">
        <f t="shared" si="53"/>
        <v>1.0578716023101333</v>
      </c>
      <c r="Q114" s="442">
        <v>4.82</v>
      </c>
      <c r="R114" s="444">
        <f t="shared" si="54"/>
        <v>9.5007194528216356E-3</v>
      </c>
      <c r="S114" s="445">
        <f t="shared" si="55"/>
        <v>29.359999999999957</v>
      </c>
      <c r="T114" s="444">
        <f t="shared" si="56"/>
        <v>5.7871602310133358E-2</v>
      </c>
      <c r="U114" s="364">
        <f t="shared" si="57"/>
        <v>6247.220799999991</v>
      </c>
      <c r="V114" s="145"/>
      <c r="W114" s="145"/>
      <c r="X114" s="145"/>
      <c r="Y114" s="366" t="s">
        <v>417</v>
      </c>
      <c r="Z114" s="366" t="s">
        <v>445</v>
      </c>
      <c r="AA114" s="367" t="s">
        <v>677</v>
      </c>
      <c r="AB114" s="367" t="s">
        <v>454</v>
      </c>
      <c r="AC114" s="367">
        <v>1</v>
      </c>
      <c r="AD114" s="446" t="s">
        <v>433</v>
      </c>
      <c r="AF114" s="361"/>
      <c r="AG114" s="373">
        <f>AG112/$AF112</f>
        <v>0.35</v>
      </c>
      <c r="AH114" s="373">
        <f t="shared" ref="AH114:AM114" si="62">AH112/$AF112</f>
        <v>0</v>
      </c>
      <c r="AI114" s="373">
        <f t="shared" si="62"/>
        <v>0.32500000000000001</v>
      </c>
      <c r="AJ114" s="373">
        <f t="shared" si="62"/>
        <v>0</v>
      </c>
      <c r="AK114" s="373">
        <f t="shared" si="62"/>
        <v>6.25E-2</v>
      </c>
      <c r="AL114" s="373">
        <f t="shared" si="62"/>
        <v>0.26250000000000001</v>
      </c>
      <c r="AM114" s="373">
        <f t="shared" si="62"/>
        <v>0</v>
      </c>
    </row>
    <row r="115" spans="2:39" ht="17.100000000000001" customHeight="1">
      <c r="B115" s="949" t="s">
        <v>442</v>
      </c>
      <c r="C115" s="950"/>
      <c r="D115" s="953" t="s">
        <v>549</v>
      </c>
      <c r="E115" s="954" t="s">
        <v>550</v>
      </c>
      <c r="F115" s="955" t="s">
        <v>551</v>
      </c>
      <c r="G115" s="922" t="s">
        <v>552</v>
      </c>
      <c r="H115" s="956" t="s">
        <v>553</v>
      </c>
      <c r="I115" s="939" t="s">
        <v>554</v>
      </c>
      <c r="J115" s="940"/>
      <c r="K115" s="939" t="s">
        <v>555</v>
      </c>
      <c r="L115" s="940"/>
      <c r="M115" s="939" t="s">
        <v>556</v>
      </c>
      <c r="N115" s="940"/>
      <c r="O115" s="939" t="s">
        <v>557</v>
      </c>
      <c r="P115" s="940"/>
      <c r="Q115" s="939" t="s">
        <v>418</v>
      </c>
      <c r="R115" s="940"/>
      <c r="S115" s="941" t="s">
        <v>419</v>
      </c>
      <c r="T115" s="942"/>
      <c r="U115" s="943"/>
      <c r="V115" s="944" t="s">
        <v>718</v>
      </c>
      <c r="W115" s="945"/>
      <c r="X115" s="946"/>
      <c r="Y115" s="947" t="s">
        <v>171</v>
      </c>
      <c r="Z115" s="947" t="s">
        <v>245</v>
      </c>
      <c r="AA115" s="947" t="s">
        <v>558</v>
      </c>
      <c r="AB115" s="947" t="s">
        <v>444</v>
      </c>
      <c r="AC115" s="947" t="s">
        <v>246</v>
      </c>
      <c r="AD115" s="922" t="s">
        <v>172</v>
      </c>
      <c r="AF115" s="924" t="s">
        <v>247</v>
      </c>
      <c r="AG115" s="925"/>
      <c r="AH115" s="925"/>
      <c r="AI115" s="925"/>
      <c r="AJ115" s="925"/>
      <c r="AK115" s="925"/>
      <c r="AL115" s="925"/>
      <c r="AM115" s="926"/>
    </row>
    <row r="116" spans="2:39">
      <c r="B116" s="951"/>
      <c r="C116" s="952"/>
      <c r="D116" s="953"/>
      <c r="E116" s="953"/>
      <c r="F116" s="955"/>
      <c r="G116" s="923"/>
      <c r="H116" s="923"/>
      <c r="I116" s="439" t="s">
        <v>559</v>
      </c>
      <c r="J116" s="362" t="s">
        <v>560</v>
      </c>
      <c r="K116" s="439" t="s">
        <v>559</v>
      </c>
      <c r="L116" s="362" t="s">
        <v>560</v>
      </c>
      <c r="M116" s="439" t="s">
        <v>559</v>
      </c>
      <c r="N116" s="362" t="s">
        <v>560</v>
      </c>
      <c r="O116" s="439" t="s">
        <v>559</v>
      </c>
      <c r="P116" s="362" t="s">
        <v>560</v>
      </c>
      <c r="Q116" s="439" t="s">
        <v>559</v>
      </c>
      <c r="R116" s="362" t="s">
        <v>560</v>
      </c>
      <c r="S116" s="439" t="s">
        <v>559</v>
      </c>
      <c r="T116" s="362" t="s">
        <v>560</v>
      </c>
      <c r="U116" s="362" t="s">
        <v>561</v>
      </c>
      <c r="V116" s="439" t="s">
        <v>559</v>
      </c>
      <c r="W116" s="362" t="s">
        <v>560</v>
      </c>
      <c r="X116" s="362" t="s">
        <v>561</v>
      </c>
      <c r="Y116" s="948"/>
      <c r="Z116" s="948"/>
      <c r="AA116" s="948"/>
      <c r="AB116" s="948"/>
      <c r="AC116" s="948"/>
      <c r="AD116" s="923"/>
      <c r="AF116" s="927"/>
      <c r="AG116" s="928"/>
      <c r="AH116" s="928"/>
      <c r="AI116" s="928"/>
      <c r="AJ116" s="928"/>
      <c r="AK116" s="928"/>
      <c r="AL116" s="928"/>
      <c r="AM116" s="929"/>
    </row>
    <row r="117" spans="2:39" s="147" customFormat="1" ht="27" customHeight="1">
      <c r="B117" s="933" t="s">
        <v>712</v>
      </c>
      <c r="C117" s="934"/>
      <c r="D117" s="361">
        <v>1</v>
      </c>
      <c r="E117" s="440" t="s">
        <v>448</v>
      </c>
      <c r="F117" s="441">
        <f>IFERROR(Q117*G117,"-")</f>
        <v>2317.6999999999998</v>
      </c>
      <c r="G117" s="365">
        <v>2.4499999999999997</v>
      </c>
      <c r="H117" s="442">
        <v>139094</v>
      </c>
      <c r="I117" s="442">
        <v>139094</v>
      </c>
      <c r="J117" s="444">
        <f>IFERROR(I117/H117,"-")</f>
        <v>1</v>
      </c>
      <c r="K117" s="443">
        <v>140040</v>
      </c>
      <c r="L117" s="444">
        <f>IFERROR(K117/H117,"-")</f>
        <v>1.0068011560527412</v>
      </c>
      <c r="M117" s="443">
        <v>0</v>
      </c>
      <c r="N117" s="444">
        <f>IFERROR(M117/H117,"-")</f>
        <v>0</v>
      </c>
      <c r="O117" s="445">
        <f>IFERROR(K117+M117,"-")</f>
        <v>140040</v>
      </c>
      <c r="P117" s="444">
        <f>IFERROR(O117/H117,"-")</f>
        <v>1.0068011560527412</v>
      </c>
      <c r="Q117" s="442">
        <v>946</v>
      </c>
      <c r="R117" s="444">
        <f>IFERROR(Q117/H117,"-")</f>
        <v>6.8011560527413114E-3</v>
      </c>
      <c r="S117" s="445">
        <f>IFERROR(O117-H117,"-")</f>
        <v>946</v>
      </c>
      <c r="T117" s="444">
        <f>IFERROR(S117/H117,"-")</f>
        <v>6.8011560527413114E-3</v>
      </c>
      <c r="U117" s="364">
        <f>IFERROR(S117*G117,"-")</f>
        <v>2317.6999999999998</v>
      </c>
      <c r="V117" s="457">
        <f>S117-Q117</f>
        <v>0</v>
      </c>
      <c r="W117" s="458">
        <f>IFERROR(V117/H117,"-")</f>
        <v>0</v>
      </c>
      <c r="X117" s="459">
        <f>IFERROR(V117*G117,"-")</f>
        <v>0</v>
      </c>
      <c r="Y117" s="366" t="s">
        <v>417</v>
      </c>
      <c r="Z117" s="366" t="s">
        <v>337</v>
      </c>
      <c r="AA117" s="367" t="s">
        <v>467</v>
      </c>
      <c r="AB117" s="367" t="s">
        <v>468</v>
      </c>
      <c r="AC117" s="367">
        <v>1</v>
      </c>
      <c r="AD117" s="446" t="s">
        <v>340</v>
      </c>
      <c r="AF117" s="930"/>
      <c r="AG117" s="931"/>
      <c r="AH117" s="931"/>
      <c r="AI117" s="931"/>
      <c r="AJ117" s="931"/>
      <c r="AK117" s="931"/>
      <c r="AL117" s="931"/>
      <c r="AM117" s="932"/>
    </row>
    <row r="118" spans="2:39" s="147" customFormat="1" ht="27" customHeight="1">
      <c r="B118" s="935"/>
      <c r="C118" s="936"/>
      <c r="D118" s="361">
        <v>2</v>
      </c>
      <c r="E118" s="440" t="s">
        <v>335</v>
      </c>
      <c r="F118" s="441">
        <f t="shared" ref="F118:F136" si="63">IFERROR(Q118*G118,"-")</f>
        <v>2147.5500000000002</v>
      </c>
      <c r="G118" s="365">
        <v>15.450000000000001</v>
      </c>
      <c r="H118" s="442">
        <v>69672</v>
      </c>
      <c r="I118" s="442">
        <v>69672</v>
      </c>
      <c r="J118" s="444">
        <f t="shared" ref="J118:J136" si="64">IFERROR(I118/H118,"-")</f>
        <v>1</v>
      </c>
      <c r="K118" s="443">
        <v>69811</v>
      </c>
      <c r="L118" s="444">
        <f t="shared" ref="L118:L136" si="65">IFERROR(K118/H118,"-")</f>
        <v>1.0019950625789413</v>
      </c>
      <c r="M118" s="443">
        <v>0</v>
      </c>
      <c r="N118" s="444">
        <f t="shared" ref="N118:N136" si="66">IFERROR(M118/H118,"-")</f>
        <v>0</v>
      </c>
      <c r="O118" s="445">
        <f t="shared" ref="O118:O136" si="67">IFERROR(K118+M118,"-")</f>
        <v>69811</v>
      </c>
      <c r="P118" s="444">
        <f t="shared" ref="P118:P136" si="68">IFERROR(O118/H118,"-")</f>
        <v>1.0019950625789413</v>
      </c>
      <c r="Q118" s="442">
        <v>139</v>
      </c>
      <c r="R118" s="444">
        <f t="shared" ref="R118:R136" si="69">IFERROR(Q118/H118,"-")</f>
        <v>1.9950625789413251E-3</v>
      </c>
      <c r="S118" s="445">
        <f t="shared" ref="S118:S136" si="70">IFERROR(O118-H118,"-")</f>
        <v>139</v>
      </c>
      <c r="T118" s="444">
        <f t="shared" ref="T118:T136" si="71">IFERROR(S118/H118,"-")</f>
        <v>1.9950625789413251E-3</v>
      </c>
      <c r="U118" s="364">
        <f t="shared" ref="U118:U136" si="72">IFERROR(S118*G118,"-")</f>
        <v>2147.5500000000002</v>
      </c>
      <c r="V118" s="457">
        <f t="shared" ref="V118:V136" si="73">S118-Q118</f>
        <v>0</v>
      </c>
      <c r="W118" s="458">
        <f t="shared" ref="W118:W136" si="74">IFERROR(V118/H118,"-")</f>
        <v>0</v>
      </c>
      <c r="X118" s="459">
        <f t="shared" ref="X118:X136" si="75">IFERROR(V118*G118,"-")</f>
        <v>0</v>
      </c>
      <c r="Y118" s="366" t="s">
        <v>417</v>
      </c>
      <c r="Z118" s="366" t="s">
        <v>216</v>
      </c>
      <c r="AA118" s="367" t="s">
        <v>466</v>
      </c>
      <c r="AB118" s="367" t="s">
        <v>721</v>
      </c>
      <c r="AC118" s="367">
        <v>1</v>
      </c>
      <c r="AD118" s="446" t="s">
        <v>523</v>
      </c>
      <c r="AF118" s="160" t="s">
        <v>244</v>
      </c>
      <c r="AG118" s="160" t="s">
        <v>445</v>
      </c>
      <c r="AH118" s="155" t="s">
        <v>562</v>
      </c>
      <c r="AI118" s="155" t="s">
        <v>337</v>
      </c>
      <c r="AJ118" s="155" t="s">
        <v>428</v>
      </c>
      <c r="AK118" s="155" t="s">
        <v>215</v>
      </c>
      <c r="AL118" s="155" t="s">
        <v>216</v>
      </c>
      <c r="AM118" s="155" t="s">
        <v>384</v>
      </c>
    </row>
    <row r="119" spans="2:39" s="147" customFormat="1" ht="27" customHeight="1">
      <c r="B119" s="935"/>
      <c r="C119" s="936"/>
      <c r="D119" s="361">
        <v>3</v>
      </c>
      <c r="E119" s="440" t="s">
        <v>447</v>
      </c>
      <c r="F119" s="441">
        <f t="shared" si="63"/>
        <v>1866.1499999999999</v>
      </c>
      <c r="G119" s="365">
        <v>1.17</v>
      </c>
      <c r="H119" s="442">
        <v>232549</v>
      </c>
      <c r="I119" s="442">
        <v>232549</v>
      </c>
      <c r="J119" s="444">
        <f t="shared" si="64"/>
        <v>1</v>
      </c>
      <c r="K119" s="443">
        <v>234144</v>
      </c>
      <c r="L119" s="444">
        <f t="shared" si="65"/>
        <v>1.0068587695496434</v>
      </c>
      <c r="M119" s="443">
        <v>0</v>
      </c>
      <c r="N119" s="444">
        <f t="shared" si="66"/>
        <v>0</v>
      </c>
      <c r="O119" s="445">
        <f t="shared" si="67"/>
        <v>234144</v>
      </c>
      <c r="P119" s="444">
        <f t="shared" si="68"/>
        <v>1.0068587695496434</v>
      </c>
      <c r="Q119" s="442">
        <v>1595</v>
      </c>
      <c r="R119" s="444">
        <f t="shared" si="69"/>
        <v>6.8587695496433012E-3</v>
      </c>
      <c r="S119" s="445">
        <f t="shared" si="70"/>
        <v>1595</v>
      </c>
      <c r="T119" s="444">
        <f t="shared" si="71"/>
        <v>6.8587695496433012E-3</v>
      </c>
      <c r="U119" s="364">
        <f t="shared" si="72"/>
        <v>1866.1499999999999</v>
      </c>
      <c r="V119" s="457">
        <f t="shared" si="73"/>
        <v>0</v>
      </c>
      <c r="W119" s="458">
        <f t="shared" si="74"/>
        <v>0</v>
      </c>
      <c r="X119" s="459">
        <f t="shared" si="75"/>
        <v>0</v>
      </c>
      <c r="Y119" s="366" t="s">
        <v>417</v>
      </c>
      <c r="Z119" s="366" t="s">
        <v>337</v>
      </c>
      <c r="AA119" s="367" t="s">
        <v>469</v>
      </c>
      <c r="AB119" s="367" t="s">
        <v>526</v>
      </c>
      <c r="AC119" s="367">
        <v>1</v>
      </c>
      <c r="AD119" s="446" t="s">
        <v>340</v>
      </c>
      <c r="AF119" s="374">
        <f>SUM(AC117:AC136)</f>
        <v>20</v>
      </c>
      <c r="AG119" s="369">
        <f t="shared" ref="AG119:AM119" si="76">SUMIF($Z$117:$Z$136,TRIM(AG118),$AC$117:$AC$136)</f>
        <v>11</v>
      </c>
      <c r="AH119" s="369">
        <f t="shared" si="76"/>
        <v>0</v>
      </c>
      <c r="AI119" s="369">
        <f t="shared" si="76"/>
        <v>4</v>
      </c>
      <c r="AJ119" s="369">
        <f t="shared" si="76"/>
        <v>0</v>
      </c>
      <c r="AK119" s="369">
        <f t="shared" si="76"/>
        <v>0</v>
      </c>
      <c r="AL119" s="369">
        <f t="shared" si="76"/>
        <v>5</v>
      </c>
      <c r="AM119" s="369">
        <f t="shared" si="76"/>
        <v>0</v>
      </c>
    </row>
    <row r="120" spans="2:39" s="147" customFormat="1" ht="27" customHeight="1">
      <c r="B120" s="935"/>
      <c r="C120" s="936"/>
      <c r="D120" s="361">
        <v>4</v>
      </c>
      <c r="E120" s="440" t="s">
        <v>619</v>
      </c>
      <c r="F120" s="441">
        <f t="shared" si="63"/>
        <v>1507.4552999999999</v>
      </c>
      <c r="G120" s="365">
        <v>39.389999999999993</v>
      </c>
      <c r="H120" s="442">
        <v>6291.2999999999993</v>
      </c>
      <c r="I120" s="442">
        <v>6291.2999999999993</v>
      </c>
      <c r="J120" s="444">
        <f t="shared" si="64"/>
        <v>1</v>
      </c>
      <c r="K120" s="443">
        <v>6412.64</v>
      </c>
      <c r="L120" s="444">
        <f t="shared" si="65"/>
        <v>1.019286951822358</v>
      </c>
      <c r="M120" s="443">
        <v>121.34</v>
      </c>
      <c r="N120" s="444">
        <f t="shared" si="66"/>
        <v>1.9286951822357862E-2</v>
      </c>
      <c r="O120" s="445">
        <f t="shared" si="67"/>
        <v>6533.9800000000005</v>
      </c>
      <c r="P120" s="444">
        <f t="shared" si="68"/>
        <v>1.0385739036447159</v>
      </c>
      <c r="Q120" s="442">
        <v>38.270000000000003</v>
      </c>
      <c r="R120" s="444">
        <f t="shared" si="69"/>
        <v>6.0830035127875017E-3</v>
      </c>
      <c r="S120" s="445">
        <f t="shared" si="70"/>
        <v>242.6800000000012</v>
      </c>
      <c r="T120" s="444">
        <f t="shared" si="71"/>
        <v>3.8573903644715912E-2</v>
      </c>
      <c r="U120" s="364">
        <f t="shared" si="72"/>
        <v>9559.1652000000449</v>
      </c>
      <c r="V120" s="457">
        <f t="shared" si="73"/>
        <v>204.41000000000119</v>
      </c>
      <c r="W120" s="458">
        <f t="shared" si="74"/>
        <v>3.2490900131928409E-2</v>
      </c>
      <c r="X120" s="459">
        <f t="shared" si="75"/>
        <v>8051.7099000000453</v>
      </c>
      <c r="Y120" s="366" t="s">
        <v>417</v>
      </c>
      <c r="Z120" s="366" t="s">
        <v>216</v>
      </c>
      <c r="AA120" s="367" t="s">
        <v>722</v>
      </c>
      <c r="AB120" s="367" t="s">
        <v>723</v>
      </c>
      <c r="AC120" s="367">
        <v>1</v>
      </c>
      <c r="AD120" s="446" t="s">
        <v>614</v>
      </c>
      <c r="AF120" s="375" t="s">
        <v>11</v>
      </c>
      <c r="AG120" s="372">
        <f>SUMIF($Z$117:$Z136,TRIM(AG118),$F$117:$F$136)</f>
        <v>11669.386100000003</v>
      </c>
      <c r="AH120" s="372">
        <f>SUMIF($Z$117:$Z136,TRIM(AH118),$F$117:$F$136)</f>
        <v>0</v>
      </c>
      <c r="AI120" s="372">
        <f>SUMIF($Z$117:$Z136,TRIM(AI118),$F$117:$F$136)</f>
        <v>6221.9974000000002</v>
      </c>
      <c r="AJ120" s="372">
        <f>SUMIF($Z$117:$Z136,TRIM(AJ118),$F$117:$F$136)</f>
        <v>0</v>
      </c>
      <c r="AK120" s="372">
        <f>SUMIF($Z$117:$Z136,TRIM(AK118),$F$117:$F$136)</f>
        <v>0</v>
      </c>
      <c r="AL120" s="372">
        <f>SUMIF($Z$117:$Z136,TRIM(AL118),$F$117:$F$136)</f>
        <v>7207.4537999999993</v>
      </c>
      <c r="AM120" s="372">
        <f>SUMIF($Z$117:$Z136,TRIM(AM118),$F$117:$F$136)</f>
        <v>0</v>
      </c>
    </row>
    <row r="121" spans="2:39" s="147" customFormat="1" ht="27" customHeight="1">
      <c r="B121" s="935"/>
      <c r="C121" s="936"/>
      <c r="D121" s="361">
        <v>5</v>
      </c>
      <c r="E121" s="440" t="s">
        <v>534</v>
      </c>
      <c r="F121" s="441">
        <f t="shared" si="63"/>
        <v>1497.2138999999997</v>
      </c>
      <c r="G121" s="365">
        <v>39.389999999999993</v>
      </c>
      <c r="H121" s="442">
        <v>34169.370000000003</v>
      </c>
      <c r="I121" s="442">
        <v>34169.370000000003</v>
      </c>
      <c r="J121" s="444">
        <f t="shared" si="64"/>
        <v>1</v>
      </c>
      <c r="K121" s="443">
        <v>34348.479999999996</v>
      </c>
      <c r="L121" s="444">
        <f t="shared" si="65"/>
        <v>1.0052418291586878</v>
      </c>
      <c r="M121" s="443">
        <v>179.10999999999999</v>
      </c>
      <c r="N121" s="444">
        <f t="shared" si="66"/>
        <v>5.2418291586880288E-3</v>
      </c>
      <c r="O121" s="445">
        <f t="shared" si="67"/>
        <v>34527.589999999997</v>
      </c>
      <c r="P121" s="444">
        <f t="shared" si="68"/>
        <v>1.010483658317376</v>
      </c>
      <c r="Q121" s="442">
        <v>38.01</v>
      </c>
      <c r="R121" s="444">
        <f t="shared" si="69"/>
        <v>1.1123997896361564E-3</v>
      </c>
      <c r="S121" s="445">
        <f t="shared" si="70"/>
        <v>358.21999999999389</v>
      </c>
      <c r="T121" s="444">
        <f t="shared" si="71"/>
        <v>1.0483658317375879E-2</v>
      </c>
      <c r="U121" s="364">
        <f t="shared" si="72"/>
        <v>14110.285799999758</v>
      </c>
      <c r="V121" s="457">
        <f t="shared" si="73"/>
        <v>320.2099999999939</v>
      </c>
      <c r="W121" s="458">
        <f t="shared" si="74"/>
        <v>9.3712585277397238E-3</v>
      </c>
      <c r="X121" s="459">
        <f t="shared" si="75"/>
        <v>12613.071899999757</v>
      </c>
      <c r="Y121" s="366" t="s">
        <v>417</v>
      </c>
      <c r="Z121" s="366" t="s">
        <v>216</v>
      </c>
      <c r="AA121" s="367" t="s">
        <v>722</v>
      </c>
      <c r="AB121" s="367" t="s">
        <v>723</v>
      </c>
      <c r="AC121" s="367">
        <v>1</v>
      </c>
      <c r="AD121" s="446" t="s">
        <v>340</v>
      </c>
      <c r="AF121" s="361" t="s">
        <v>563</v>
      </c>
      <c r="AG121" s="447">
        <f>AG119/$AF119</f>
        <v>0.55000000000000004</v>
      </c>
      <c r="AH121" s="447">
        <f t="shared" ref="AH121:AM121" si="77">AH119/$AF119</f>
        <v>0</v>
      </c>
      <c r="AI121" s="447">
        <f t="shared" si="77"/>
        <v>0.2</v>
      </c>
      <c r="AJ121" s="447">
        <f t="shared" si="77"/>
        <v>0</v>
      </c>
      <c r="AK121" s="447">
        <f t="shared" si="77"/>
        <v>0</v>
      </c>
      <c r="AL121" s="447">
        <f t="shared" si="77"/>
        <v>0.25</v>
      </c>
      <c r="AM121" s="447">
        <f t="shared" si="77"/>
        <v>0</v>
      </c>
    </row>
    <row r="122" spans="2:39" s="147" customFormat="1" ht="27" customHeight="1">
      <c r="B122" s="935"/>
      <c r="C122" s="936"/>
      <c r="D122" s="361">
        <v>6</v>
      </c>
      <c r="E122" s="440" t="s">
        <v>713</v>
      </c>
      <c r="F122" s="441">
        <f t="shared" si="63"/>
        <v>1254.4685999999999</v>
      </c>
      <c r="G122" s="365">
        <v>426.69</v>
      </c>
      <c r="H122" s="442">
        <v>1195.21</v>
      </c>
      <c r="I122" s="442">
        <v>1195.21</v>
      </c>
      <c r="J122" s="444">
        <f t="shared" si="64"/>
        <v>1</v>
      </c>
      <c r="K122" s="443">
        <v>1203.75</v>
      </c>
      <c r="L122" s="444">
        <f t="shared" si="65"/>
        <v>1.007145187874934</v>
      </c>
      <c r="M122" s="443">
        <v>8.5399999999999991</v>
      </c>
      <c r="N122" s="444">
        <f t="shared" si="66"/>
        <v>7.1451878749341112E-3</v>
      </c>
      <c r="O122" s="445">
        <f t="shared" si="67"/>
        <v>1212.29</v>
      </c>
      <c r="P122" s="444">
        <f t="shared" si="68"/>
        <v>1.0142903757498682</v>
      </c>
      <c r="Q122" s="442">
        <v>2.94</v>
      </c>
      <c r="R122" s="444">
        <f t="shared" si="69"/>
        <v>2.4598187766166615E-3</v>
      </c>
      <c r="S122" s="445">
        <f t="shared" si="70"/>
        <v>17.079999999999927</v>
      </c>
      <c r="T122" s="444">
        <f t="shared" si="71"/>
        <v>1.4290375749868163E-2</v>
      </c>
      <c r="U122" s="364">
        <f t="shared" si="72"/>
        <v>7287.8651999999693</v>
      </c>
      <c r="V122" s="457">
        <f t="shared" si="73"/>
        <v>14.139999999999928</v>
      </c>
      <c r="W122" s="458">
        <f t="shared" si="74"/>
        <v>1.1830556973251501E-2</v>
      </c>
      <c r="X122" s="459">
        <f t="shared" si="75"/>
        <v>6033.3965999999691</v>
      </c>
      <c r="Y122" s="366" t="s">
        <v>417</v>
      </c>
      <c r="Z122" s="366" t="s">
        <v>445</v>
      </c>
      <c r="AA122" s="367" t="s">
        <v>724</v>
      </c>
      <c r="AB122" s="367" t="s">
        <v>455</v>
      </c>
      <c r="AC122" s="367">
        <v>1</v>
      </c>
      <c r="AD122" s="446" t="s">
        <v>358</v>
      </c>
    </row>
    <row r="123" spans="2:39" s="147" customFormat="1" ht="27" customHeight="1">
      <c r="B123" s="935"/>
      <c r="C123" s="936"/>
      <c r="D123" s="361">
        <v>7</v>
      </c>
      <c r="E123" s="440" t="s">
        <v>714</v>
      </c>
      <c r="F123" s="441">
        <f t="shared" si="63"/>
        <v>1176.4882999999998</v>
      </c>
      <c r="G123" s="365">
        <v>91.13</v>
      </c>
      <c r="H123" s="442">
        <v>1903.5200000000002</v>
      </c>
      <c r="I123" s="442">
        <v>1903.5200000000002</v>
      </c>
      <c r="J123" s="444">
        <f t="shared" si="64"/>
        <v>1</v>
      </c>
      <c r="K123" s="443">
        <v>1959.8799999999999</v>
      </c>
      <c r="L123" s="444">
        <f t="shared" si="65"/>
        <v>1.0296083046146085</v>
      </c>
      <c r="M123" s="443">
        <v>56.36</v>
      </c>
      <c r="N123" s="444">
        <f t="shared" si="66"/>
        <v>2.960830461460872E-2</v>
      </c>
      <c r="O123" s="445">
        <f t="shared" si="67"/>
        <v>2016.2399999999998</v>
      </c>
      <c r="P123" s="444">
        <f t="shared" si="68"/>
        <v>1.0592166092292172</v>
      </c>
      <c r="Q123" s="442">
        <v>12.909999999999998</v>
      </c>
      <c r="R123" s="444">
        <f t="shared" si="69"/>
        <v>6.7821719761284342E-3</v>
      </c>
      <c r="S123" s="445">
        <f t="shared" si="70"/>
        <v>112.71999999999957</v>
      </c>
      <c r="T123" s="444">
        <f t="shared" si="71"/>
        <v>5.9216609229217218E-2</v>
      </c>
      <c r="U123" s="364">
        <f t="shared" si="72"/>
        <v>10272.17359999996</v>
      </c>
      <c r="V123" s="457">
        <f t="shared" si="73"/>
        <v>99.809999999999576</v>
      </c>
      <c r="W123" s="458">
        <f t="shared" si="74"/>
        <v>5.2434437253088786E-2</v>
      </c>
      <c r="X123" s="459">
        <f t="shared" si="75"/>
        <v>9095.685299999961</v>
      </c>
      <c r="Y123" s="366" t="s">
        <v>417</v>
      </c>
      <c r="Z123" s="366" t="s">
        <v>445</v>
      </c>
      <c r="AA123" s="367" t="s">
        <v>546</v>
      </c>
      <c r="AB123" s="367" t="s">
        <v>454</v>
      </c>
      <c r="AC123" s="367">
        <v>1</v>
      </c>
      <c r="AD123" s="446" t="s">
        <v>710</v>
      </c>
    </row>
    <row r="124" spans="2:39" s="147" customFormat="1" ht="27" customHeight="1">
      <c r="B124" s="935"/>
      <c r="C124" s="936"/>
      <c r="D124" s="361">
        <v>8</v>
      </c>
      <c r="E124" s="440" t="s">
        <v>386</v>
      </c>
      <c r="F124" s="441">
        <f t="shared" si="63"/>
        <v>1086.6400000000001</v>
      </c>
      <c r="G124" s="365">
        <v>127.84000000000002</v>
      </c>
      <c r="H124" s="442">
        <v>3963.8499999999995</v>
      </c>
      <c r="I124" s="442">
        <v>3963.8499999999995</v>
      </c>
      <c r="J124" s="444">
        <f t="shared" si="64"/>
        <v>1</v>
      </c>
      <c r="K124" s="443">
        <v>4013.2</v>
      </c>
      <c r="L124" s="444">
        <f t="shared" si="65"/>
        <v>1.0124500170288988</v>
      </c>
      <c r="M124" s="443">
        <v>49.35</v>
      </c>
      <c r="N124" s="444">
        <f t="shared" si="66"/>
        <v>1.2450017028898674E-2</v>
      </c>
      <c r="O124" s="445">
        <f t="shared" si="67"/>
        <v>4062.5499999999997</v>
      </c>
      <c r="P124" s="444">
        <f t="shared" si="68"/>
        <v>1.0249000340577974</v>
      </c>
      <c r="Q124" s="442">
        <v>8.5</v>
      </c>
      <c r="R124" s="444">
        <f t="shared" si="69"/>
        <v>2.1443798327383731E-3</v>
      </c>
      <c r="S124" s="445">
        <f t="shared" si="70"/>
        <v>98.700000000000273</v>
      </c>
      <c r="T124" s="444">
        <f t="shared" si="71"/>
        <v>2.4900034057797414E-2</v>
      </c>
      <c r="U124" s="364">
        <f t="shared" si="72"/>
        <v>12617.808000000037</v>
      </c>
      <c r="V124" s="457">
        <f t="shared" si="73"/>
        <v>90.200000000000273</v>
      </c>
      <c r="W124" s="458">
        <f t="shared" si="74"/>
        <v>2.2755654225059041E-2</v>
      </c>
      <c r="X124" s="459">
        <f t="shared" si="75"/>
        <v>11531.168000000036</v>
      </c>
      <c r="Y124" s="366" t="s">
        <v>417</v>
      </c>
      <c r="Z124" s="366" t="s">
        <v>445</v>
      </c>
      <c r="AA124" s="367" t="s">
        <v>725</v>
      </c>
      <c r="AB124" s="367" t="s">
        <v>455</v>
      </c>
      <c r="AC124" s="367">
        <v>1</v>
      </c>
      <c r="AD124" s="446" t="s">
        <v>340</v>
      </c>
    </row>
    <row r="125" spans="2:39" s="147" customFormat="1" ht="27" customHeight="1">
      <c r="B125" s="935"/>
      <c r="C125" s="936"/>
      <c r="D125" s="361">
        <v>9</v>
      </c>
      <c r="E125" s="440" t="s">
        <v>633</v>
      </c>
      <c r="F125" s="441">
        <f t="shared" si="63"/>
        <v>1078.76</v>
      </c>
      <c r="G125" s="365">
        <v>144.79999999999998</v>
      </c>
      <c r="H125" s="442">
        <v>2683.3800000000006</v>
      </c>
      <c r="I125" s="442">
        <v>2683.3800000000006</v>
      </c>
      <c r="J125" s="444">
        <f t="shared" si="64"/>
        <v>1</v>
      </c>
      <c r="K125" s="443">
        <v>2731.8900000000003</v>
      </c>
      <c r="L125" s="444">
        <f t="shared" si="65"/>
        <v>1.0180779464704961</v>
      </c>
      <c r="M125" s="443">
        <v>48.510000000000005</v>
      </c>
      <c r="N125" s="444">
        <f t="shared" si="66"/>
        <v>1.8077946470496164E-2</v>
      </c>
      <c r="O125" s="445">
        <f t="shared" si="67"/>
        <v>2780.4000000000005</v>
      </c>
      <c r="P125" s="444">
        <f t="shared" si="68"/>
        <v>1.0361558929409924</v>
      </c>
      <c r="Q125" s="442">
        <v>7.4500000000000011</v>
      </c>
      <c r="R125" s="444">
        <f t="shared" si="69"/>
        <v>2.7763492311934945E-3</v>
      </c>
      <c r="S125" s="445">
        <f t="shared" si="70"/>
        <v>97.019999999999982</v>
      </c>
      <c r="T125" s="444">
        <f t="shared" si="71"/>
        <v>3.6155892940992314E-2</v>
      </c>
      <c r="U125" s="364">
        <f t="shared" si="72"/>
        <v>14048.495999999996</v>
      </c>
      <c r="V125" s="457">
        <f t="shared" si="73"/>
        <v>89.569999999999979</v>
      </c>
      <c r="W125" s="458">
        <f t="shared" si="74"/>
        <v>3.3379543709798822E-2</v>
      </c>
      <c r="X125" s="459">
        <f t="shared" si="75"/>
        <v>12969.735999999995</v>
      </c>
      <c r="Y125" s="366" t="s">
        <v>417</v>
      </c>
      <c r="Z125" s="366" t="s">
        <v>445</v>
      </c>
      <c r="AA125" s="367" t="s">
        <v>725</v>
      </c>
      <c r="AB125" s="367" t="s">
        <v>455</v>
      </c>
      <c r="AC125" s="367">
        <v>1</v>
      </c>
      <c r="AD125" s="446" t="s">
        <v>340</v>
      </c>
      <c r="AH125" s="370"/>
    </row>
    <row r="126" spans="2:39" s="147" customFormat="1" ht="27" customHeight="1">
      <c r="B126" s="935"/>
      <c r="C126" s="936"/>
      <c r="D126" s="361">
        <v>10</v>
      </c>
      <c r="E126" s="440" t="s">
        <v>635</v>
      </c>
      <c r="F126" s="441">
        <f t="shared" si="63"/>
        <v>1050.7038</v>
      </c>
      <c r="G126" s="365">
        <v>49.82</v>
      </c>
      <c r="H126" s="442">
        <v>2935.75</v>
      </c>
      <c r="I126" s="442">
        <v>2935.75</v>
      </c>
      <c r="J126" s="444">
        <f t="shared" si="64"/>
        <v>1</v>
      </c>
      <c r="K126" s="443">
        <v>3016.9800000000005</v>
      </c>
      <c r="L126" s="444">
        <f t="shared" si="65"/>
        <v>1.0276692497658182</v>
      </c>
      <c r="M126" s="443">
        <v>81.23</v>
      </c>
      <c r="N126" s="444">
        <f t="shared" si="66"/>
        <v>2.7669249765817937E-2</v>
      </c>
      <c r="O126" s="445">
        <f t="shared" si="67"/>
        <v>3098.2100000000005</v>
      </c>
      <c r="P126" s="444">
        <f t="shared" si="68"/>
        <v>1.0553384995316359</v>
      </c>
      <c r="Q126" s="442">
        <v>21.09</v>
      </c>
      <c r="R126" s="444">
        <f t="shared" si="69"/>
        <v>7.1838542110193304E-3</v>
      </c>
      <c r="S126" s="445">
        <f t="shared" si="70"/>
        <v>162.46000000000049</v>
      </c>
      <c r="T126" s="444">
        <f t="shared" si="71"/>
        <v>5.5338499531636033E-2</v>
      </c>
      <c r="U126" s="364">
        <f t="shared" si="72"/>
        <v>8093.7572000000246</v>
      </c>
      <c r="V126" s="457">
        <f t="shared" si="73"/>
        <v>141.37000000000049</v>
      </c>
      <c r="W126" s="458">
        <f t="shared" si="74"/>
        <v>4.8154645320616703E-2</v>
      </c>
      <c r="X126" s="459">
        <f t="shared" si="75"/>
        <v>7043.0534000000243</v>
      </c>
      <c r="Y126" s="366" t="s">
        <v>417</v>
      </c>
      <c r="Z126" s="366" t="s">
        <v>445</v>
      </c>
      <c r="AA126" s="367" t="s">
        <v>479</v>
      </c>
      <c r="AB126" s="380" t="s">
        <v>726</v>
      </c>
      <c r="AC126" s="367">
        <v>1</v>
      </c>
      <c r="AD126" s="446" t="s">
        <v>616</v>
      </c>
      <c r="AH126" s="370"/>
    </row>
    <row r="127" spans="2:39" s="147" customFormat="1" ht="27" customHeight="1">
      <c r="B127" s="935"/>
      <c r="C127" s="936"/>
      <c r="D127" s="361">
        <v>11</v>
      </c>
      <c r="E127" s="440" t="s">
        <v>653</v>
      </c>
      <c r="F127" s="441">
        <f t="shared" si="63"/>
        <v>1050.1116000000002</v>
      </c>
      <c r="G127" s="365">
        <v>40.420000000000009</v>
      </c>
      <c r="H127" s="442">
        <v>2590.2800000000002</v>
      </c>
      <c r="I127" s="442">
        <v>2590.2800000000002</v>
      </c>
      <c r="J127" s="444">
        <f t="shared" si="64"/>
        <v>1</v>
      </c>
      <c r="K127" s="443">
        <v>2692.01</v>
      </c>
      <c r="L127" s="444">
        <f t="shared" si="65"/>
        <v>1.0392737464675634</v>
      </c>
      <c r="M127" s="443">
        <v>101.73</v>
      </c>
      <c r="N127" s="444">
        <f t="shared" si="66"/>
        <v>3.9273746467563347E-2</v>
      </c>
      <c r="O127" s="445">
        <f t="shared" si="67"/>
        <v>2793.7400000000002</v>
      </c>
      <c r="P127" s="444">
        <f t="shared" si="68"/>
        <v>1.0785474929351266</v>
      </c>
      <c r="Q127" s="442">
        <v>25.98</v>
      </c>
      <c r="R127" s="444">
        <f t="shared" si="69"/>
        <v>1.0029803727782324E-2</v>
      </c>
      <c r="S127" s="445">
        <f t="shared" si="70"/>
        <v>203.46000000000004</v>
      </c>
      <c r="T127" s="444">
        <f t="shared" si="71"/>
        <v>7.8547492935126709E-2</v>
      </c>
      <c r="U127" s="364">
        <f t="shared" si="72"/>
        <v>8223.8532000000032</v>
      </c>
      <c r="V127" s="457">
        <f t="shared" si="73"/>
        <v>177.48000000000005</v>
      </c>
      <c r="W127" s="458">
        <f t="shared" si="74"/>
        <v>6.8517689207344398E-2</v>
      </c>
      <c r="X127" s="459">
        <f t="shared" si="75"/>
        <v>7173.741600000003</v>
      </c>
      <c r="Y127" s="366" t="s">
        <v>417</v>
      </c>
      <c r="Z127" s="366" t="s">
        <v>216</v>
      </c>
      <c r="AA127" s="367" t="s">
        <v>722</v>
      </c>
      <c r="AB127" s="380" t="s">
        <v>723</v>
      </c>
      <c r="AC127" s="367">
        <v>1</v>
      </c>
      <c r="AD127" s="446" t="s">
        <v>650</v>
      </c>
      <c r="AH127" s="370"/>
    </row>
    <row r="128" spans="2:39" s="147" customFormat="1" ht="26.25" customHeight="1">
      <c r="B128" s="935"/>
      <c r="C128" s="936"/>
      <c r="D128" s="361">
        <v>12</v>
      </c>
      <c r="E128" s="440" t="s">
        <v>461</v>
      </c>
      <c r="F128" s="441">
        <f t="shared" si="63"/>
        <v>1023.4274000000003</v>
      </c>
      <c r="G128" s="365">
        <v>407.74000000000007</v>
      </c>
      <c r="H128" s="442">
        <v>1081.02</v>
      </c>
      <c r="I128" s="442">
        <v>1081.02</v>
      </c>
      <c r="J128" s="444">
        <f t="shared" si="64"/>
        <v>1</v>
      </c>
      <c r="K128" s="443">
        <v>1091.3800000000001</v>
      </c>
      <c r="L128" s="444">
        <f t="shared" si="65"/>
        <v>1.0095835414700931</v>
      </c>
      <c r="M128" s="443">
        <v>10.36</v>
      </c>
      <c r="N128" s="444">
        <f t="shared" si="66"/>
        <v>9.5835414700930592E-3</v>
      </c>
      <c r="O128" s="445">
        <f t="shared" si="67"/>
        <v>1101.74</v>
      </c>
      <c r="P128" s="444">
        <f t="shared" si="68"/>
        <v>1.0191670829401862</v>
      </c>
      <c r="Q128" s="442">
        <v>2.5100000000000002</v>
      </c>
      <c r="R128" s="444">
        <f t="shared" si="69"/>
        <v>2.3218811862870253E-3</v>
      </c>
      <c r="S128" s="445">
        <f t="shared" si="70"/>
        <v>20.720000000000027</v>
      </c>
      <c r="T128" s="444">
        <f t="shared" si="71"/>
        <v>1.9167082940186146E-2</v>
      </c>
      <c r="U128" s="364">
        <f t="shared" si="72"/>
        <v>8448.3728000000119</v>
      </c>
      <c r="V128" s="457">
        <f t="shared" si="73"/>
        <v>18.210000000000026</v>
      </c>
      <c r="W128" s="458">
        <f t="shared" si="74"/>
        <v>1.6845201753899121E-2</v>
      </c>
      <c r="X128" s="459">
        <f t="shared" si="75"/>
        <v>7424.9454000000114</v>
      </c>
      <c r="Y128" s="366" t="s">
        <v>417</v>
      </c>
      <c r="Z128" s="366" t="s">
        <v>337</v>
      </c>
      <c r="AA128" s="367" t="s">
        <v>727</v>
      </c>
      <c r="AB128" s="367" t="s">
        <v>728</v>
      </c>
      <c r="AC128" s="367">
        <v>1</v>
      </c>
      <c r="AD128" s="446" t="s">
        <v>463</v>
      </c>
      <c r="AH128" s="370"/>
    </row>
    <row r="129" spans="2:39" s="147" customFormat="1" ht="27" customHeight="1">
      <c r="B129" s="935"/>
      <c r="C129" s="936"/>
      <c r="D129" s="361">
        <v>13</v>
      </c>
      <c r="E129" s="440" t="s">
        <v>598</v>
      </c>
      <c r="F129" s="441">
        <f t="shared" si="63"/>
        <v>1014.72</v>
      </c>
      <c r="G129" s="365">
        <v>6.04</v>
      </c>
      <c r="H129" s="442">
        <v>6612</v>
      </c>
      <c r="I129" s="442">
        <v>6612</v>
      </c>
      <c r="J129" s="444">
        <f t="shared" si="64"/>
        <v>1</v>
      </c>
      <c r="K129" s="443">
        <v>6780</v>
      </c>
      <c r="L129" s="444">
        <f t="shared" si="65"/>
        <v>1.0254083484573502</v>
      </c>
      <c r="M129" s="443">
        <v>0</v>
      </c>
      <c r="N129" s="444">
        <f t="shared" si="66"/>
        <v>0</v>
      </c>
      <c r="O129" s="445">
        <f t="shared" si="67"/>
        <v>6780</v>
      </c>
      <c r="P129" s="444">
        <f t="shared" si="68"/>
        <v>1.0254083484573502</v>
      </c>
      <c r="Q129" s="442">
        <v>168</v>
      </c>
      <c r="R129" s="444">
        <f t="shared" si="69"/>
        <v>2.5408348457350273E-2</v>
      </c>
      <c r="S129" s="445">
        <f t="shared" si="70"/>
        <v>168</v>
      </c>
      <c r="T129" s="444">
        <f t="shared" si="71"/>
        <v>2.5408348457350273E-2</v>
      </c>
      <c r="U129" s="364">
        <f t="shared" si="72"/>
        <v>1014.72</v>
      </c>
      <c r="V129" s="457">
        <f t="shared" si="73"/>
        <v>0</v>
      </c>
      <c r="W129" s="458">
        <f t="shared" si="74"/>
        <v>0</v>
      </c>
      <c r="X129" s="459">
        <f t="shared" si="75"/>
        <v>0</v>
      </c>
      <c r="Y129" s="366" t="s">
        <v>417</v>
      </c>
      <c r="Z129" s="366" t="s">
        <v>337</v>
      </c>
      <c r="AA129" s="367" t="s">
        <v>729</v>
      </c>
      <c r="AB129" s="380" t="s">
        <v>730</v>
      </c>
      <c r="AC129" s="367">
        <v>1</v>
      </c>
      <c r="AD129" s="446" t="s">
        <v>508</v>
      </c>
    </row>
    <row r="130" spans="2:39" s="147" customFormat="1" ht="27" customHeight="1">
      <c r="B130" s="935"/>
      <c r="C130" s="936"/>
      <c r="D130" s="361">
        <v>14</v>
      </c>
      <c r="E130" s="440" t="s">
        <v>620</v>
      </c>
      <c r="F130" s="441">
        <f t="shared" si="63"/>
        <v>1010.7095999999998</v>
      </c>
      <c r="G130" s="365">
        <v>95.439999999999984</v>
      </c>
      <c r="H130" s="442">
        <v>1968.5900000000001</v>
      </c>
      <c r="I130" s="442">
        <v>1968.5900000000001</v>
      </c>
      <c r="J130" s="444">
        <f t="shared" si="64"/>
        <v>1</v>
      </c>
      <c r="K130" s="443">
        <v>2016.96</v>
      </c>
      <c r="L130" s="444">
        <f t="shared" si="65"/>
        <v>1.0245708857608744</v>
      </c>
      <c r="M130" s="443">
        <v>48.370000000000005</v>
      </c>
      <c r="N130" s="444">
        <f t="shared" si="66"/>
        <v>2.4570885760874534E-2</v>
      </c>
      <c r="O130" s="445">
        <f t="shared" si="67"/>
        <v>2065.33</v>
      </c>
      <c r="P130" s="444">
        <f t="shared" si="68"/>
        <v>1.049141771521749</v>
      </c>
      <c r="Q130" s="442">
        <v>10.59</v>
      </c>
      <c r="R130" s="444">
        <f t="shared" si="69"/>
        <v>5.3794848089241537E-3</v>
      </c>
      <c r="S130" s="445">
        <f t="shared" si="70"/>
        <v>96.739999999999782</v>
      </c>
      <c r="T130" s="444">
        <f t="shared" si="71"/>
        <v>4.9141771521748957E-2</v>
      </c>
      <c r="U130" s="364">
        <f t="shared" si="72"/>
        <v>9232.8655999999773</v>
      </c>
      <c r="V130" s="457">
        <f t="shared" si="73"/>
        <v>86.149999999999778</v>
      </c>
      <c r="W130" s="458">
        <f t="shared" si="74"/>
        <v>4.3762286712824797E-2</v>
      </c>
      <c r="X130" s="459">
        <f t="shared" si="75"/>
        <v>8222.1559999999772</v>
      </c>
      <c r="Y130" s="366" t="s">
        <v>417</v>
      </c>
      <c r="Z130" s="366" t="s">
        <v>445</v>
      </c>
      <c r="AA130" s="367" t="s">
        <v>725</v>
      </c>
      <c r="AB130" s="367" t="s">
        <v>455</v>
      </c>
      <c r="AC130" s="367">
        <v>1</v>
      </c>
      <c r="AD130" s="446" t="s">
        <v>340</v>
      </c>
    </row>
    <row r="131" spans="2:39" s="147" customFormat="1" ht="27" customHeight="1">
      <c r="B131" s="935"/>
      <c r="C131" s="936"/>
      <c r="D131" s="361">
        <v>15</v>
      </c>
      <c r="E131" s="440" t="s">
        <v>544</v>
      </c>
      <c r="F131" s="441">
        <f t="shared" si="63"/>
        <v>1005.1229999999998</v>
      </c>
      <c r="G131" s="365">
        <v>62.43</v>
      </c>
      <c r="H131" s="442">
        <v>2184.4299999999998</v>
      </c>
      <c r="I131" s="442">
        <v>2184.4299999999998</v>
      </c>
      <c r="J131" s="444">
        <f t="shared" si="64"/>
        <v>1</v>
      </c>
      <c r="K131" s="443">
        <v>2241.6499999999996</v>
      </c>
      <c r="L131" s="444">
        <f t="shared" si="65"/>
        <v>1.0261944763622546</v>
      </c>
      <c r="M131" s="443">
        <v>57.22</v>
      </c>
      <c r="N131" s="444">
        <f t="shared" si="66"/>
        <v>2.6194476362254686E-2</v>
      </c>
      <c r="O131" s="445">
        <f t="shared" si="67"/>
        <v>2298.8699999999994</v>
      </c>
      <c r="P131" s="444">
        <f t="shared" si="68"/>
        <v>1.0523889527245092</v>
      </c>
      <c r="Q131" s="442">
        <v>16.099999999999998</v>
      </c>
      <c r="R131" s="444">
        <f t="shared" si="69"/>
        <v>7.3703437510014048E-3</v>
      </c>
      <c r="S131" s="445">
        <f t="shared" si="70"/>
        <v>114.4399999999996</v>
      </c>
      <c r="T131" s="444">
        <f t="shared" si="71"/>
        <v>5.2388952724509191E-2</v>
      </c>
      <c r="U131" s="364">
        <f t="shared" si="72"/>
        <v>7144.4891999999754</v>
      </c>
      <c r="V131" s="457">
        <f t="shared" si="73"/>
        <v>98.339999999999606</v>
      </c>
      <c r="W131" s="458">
        <f t="shared" si="74"/>
        <v>4.5018608973507783E-2</v>
      </c>
      <c r="X131" s="459">
        <f t="shared" si="75"/>
        <v>6139.3661999999749</v>
      </c>
      <c r="Y131" s="366" t="s">
        <v>417</v>
      </c>
      <c r="Z131" s="366" t="s">
        <v>216</v>
      </c>
      <c r="AA131" s="367" t="s">
        <v>722</v>
      </c>
      <c r="AB131" s="367" t="s">
        <v>723</v>
      </c>
      <c r="AC131" s="367">
        <v>1</v>
      </c>
      <c r="AD131" s="446" t="s">
        <v>543</v>
      </c>
    </row>
    <row r="132" spans="2:39" s="147" customFormat="1" ht="27" customHeight="1">
      <c r="B132" s="935"/>
      <c r="C132" s="936"/>
      <c r="D132" s="361">
        <v>16</v>
      </c>
      <c r="E132" s="440" t="s">
        <v>618</v>
      </c>
      <c r="F132" s="441">
        <f t="shared" si="63"/>
        <v>1002.5600000000001</v>
      </c>
      <c r="G132" s="365">
        <v>2.08</v>
      </c>
      <c r="H132" s="442">
        <v>28842</v>
      </c>
      <c r="I132" s="442">
        <v>28842</v>
      </c>
      <c r="J132" s="444">
        <f t="shared" si="64"/>
        <v>1</v>
      </c>
      <c r="K132" s="443">
        <v>29324</v>
      </c>
      <c r="L132" s="444">
        <f t="shared" si="65"/>
        <v>1.0167117398238679</v>
      </c>
      <c r="M132" s="443">
        <v>0</v>
      </c>
      <c r="N132" s="444">
        <f t="shared" si="66"/>
        <v>0</v>
      </c>
      <c r="O132" s="445">
        <f t="shared" si="67"/>
        <v>29324</v>
      </c>
      <c r="P132" s="444">
        <f t="shared" si="68"/>
        <v>1.0167117398238679</v>
      </c>
      <c r="Q132" s="442">
        <v>482</v>
      </c>
      <c r="R132" s="444">
        <f t="shared" si="69"/>
        <v>1.671173982386797E-2</v>
      </c>
      <c r="S132" s="445">
        <f t="shared" si="70"/>
        <v>482</v>
      </c>
      <c r="T132" s="444">
        <f t="shared" si="71"/>
        <v>1.671173982386797E-2</v>
      </c>
      <c r="U132" s="364">
        <f t="shared" si="72"/>
        <v>1002.5600000000001</v>
      </c>
      <c r="V132" s="457">
        <f t="shared" si="73"/>
        <v>0</v>
      </c>
      <c r="W132" s="458">
        <f t="shared" si="74"/>
        <v>0</v>
      </c>
      <c r="X132" s="459">
        <f t="shared" si="75"/>
        <v>0</v>
      </c>
      <c r="Y132" s="366" t="s">
        <v>417</v>
      </c>
      <c r="Z132" s="366" t="s">
        <v>445</v>
      </c>
      <c r="AA132" s="380" t="s">
        <v>731</v>
      </c>
      <c r="AB132" s="367" t="s">
        <v>455</v>
      </c>
      <c r="AC132" s="367">
        <v>1</v>
      </c>
      <c r="AD132" s="446" t="s">
        <v>530</v>
      </c>
    </row>
    <row r="133" spans="2:39" s="147" customFormat="1" ht="27" customHeight="1">
      <c r="B133" s="935"/>
      <c r="C133" s="936"/>
      <c r="D133" s="361">
        <v>17</v>
      </c>
      <c r="E133" s="440" t="s">
        <v>668</v>
      </c>
      <c r="F133" s="441">
        <f t="shared" si="63"/>
        <v>1002.4320000000002</v>
      </c>
      <c r="G133" s="365">
        <v>108.96000000000001</v>
      </c>
      <c r="H133" s="442">
        <v>518.06000000000006</v>
      </c>
      <c r="I133" s="442">
        <v>518.06000000000006</v>
      </c>
      <c r="J133" s="444">
        <f t="shared" si="64"/>
        <v>1</v>
      </c>
      <c r="K133" s="443">
        <v>537.29999999999995</v>
      </c>
      <c r="L133" s="444">
        <f t="shared" si="65"/>
        <v>1.0371385553796855</v>
      </c>
      <c r="M133" s="443">
        <v>19.239999999999998</v>
      </c>
      <c r="N133" s="444">
        <f t="shared" si="66"/>
        <v>3.7138555379685745E-2</v>
      </c>
      <c r="O133" s="445">
        <f t="shared" si="67"/>
        <v>556.54</v>
      </c>
      <c r="P133" s="444">
        <f t="shared" si="68"/>
        <v>1.0742771107593714</v>
      </c>
      <c r="Q133" s="442">
        <v>9.2000000000000011</v>
      </c>
      <c r="R133" s="444">
        <f t="shared" si="69"/>
        <v>1.7758560784465121E-2</v>
      </c>
      <c r="S133" s="445">
        <f t="shared" si="70"/>
        <v>38.479999999999905</v>
      </c>
      <c r="T133" s="444">
        <f t="shared" si="71"/>
        <v>7.4277110759371309E-2</v>
      </c>
      <c r="U133" s="364">
        <f t="shared" si="72"/>
        <v>4192.7807999999895</v>
      </c>
      <c r="V133" s="457">
        <f t="shared" si="73"/>
        <v>29.279999999999902</v>
      </c>
      <c r="W133" s="458">
        <f t="shared" si="74"/>
        <v>5.6518549974906185E-2</v>
      </c>
      <c r="X133" s="459">
        <f t="shared" si="75"/>
        <v>3190.3487999999893</v>
      </c>
      <c r="Y133" s="366" t="s">
        <v>417</v>
      </c>
      <c r="Z133" s="366" t="s">
        <v>445</v>
      </c>
      <c r="AA133" s="367" t="s">
        <v>725</v>
      </c>
      <c r="AB133" s="367" t="s">
        <v>455</v>
      </c>
      <c r="AC133" s="367">
        <v>1</v>
      </c>
      <c r="AD133" s="446" t="s">
        <v>650</v>
      </c>
    </row>
    <row r="134" spans="2:39" s="147" customFormat="1" ht="27" customHeight="1">
      <c r="B134" s="935"/>
      <c r="C134" s="936"/>
      <c r="D134" s="361">
        <v>18</v>
      </c>
      <c r="E134" s="440" t="s">
        <v>715</v>
      </c>
      <c r="F134" s="441">
        <f t="shared" si="63"/>
        <v>1002.2568000000001</v>
      </c>
      <c r="G134" s="365">
        <v>139.97999999999999</v>
      </c>
      <c r="H134" s="442">
        <v>528.95999999999992</v>
      </c>
      <c r="I134" s="442">
        <v>528.95999999999992</v>
      </c>
      <c r="J134" s="444">
        <f t="shared" si="64"/>
        <v>1</v>
      </c>
      <c r="K134" s="443">
        <v>542.75</v>
      </c>
      <c r="L134" s="444">
        <f t="shared" si="65"/>
        <v>1.0260700241984273</v>
      </c>
      <c r="M134" s="443">
        <v>13.790000000000001</v>
      </c>
      <c r="N134" s="444">
        <f t="shared" si="66"/>
        <v>2.6070024198427109E-2</v>
      </c>
      <c r="O134" s="445">
        <f t="shared" si="67"/>
        <v>556.54</v>
      </c>
      <c r="P134" s="444">
        <f t="shared" si="68"/>
        <v>1.0521400483968544</v>
      </c>
      <c r="Q134" s="442">
        <v>7.160000000000001</v>
      </c>
      <c r="R134" s="444">
        <f t="shared" si="69"/>
        <v>1.3535995160314583E-2</v>
      </c>
      <c r="S134" s="445">
        <f t="shared" si="70"/>
        <v>27.580000000000041</v>
      </c>
      <c r="T134" s="444">
        <f t="shared" si="71"/>
        <v>5.2140048396854287E-2</v>
      </c>
      <c r="U134" s="364">
        <f t="shared" si="72"/>
        <v>3860.6484000000055</v>
      </c>
      <c r="V134" s="457">
        <f t="shared" si="73"/>
        <v>20.420000000000041</v>
      </c>
      <c r="W134" s="458">
        <f t="shared" si="74"/>
        <v>3.8604053236539711E-2</v>
      </c>
      <c r="X134" s="459">
        <f t="shared" si="75"/>
        <v>2858.3916000000054</v>
      </c>
      <c r="Y134" s="366" t="s">
        <v>417</v>
      </c>
      <c r="Z134" s="366" t="s">
        <v>445</v>
      </c>
      <c r="AA134" s="367" t="s">
        <v>725</v>
      </c>
      <c r="AB134" s="367" t="s">
        <v>455</v>
      </c>
      <c r="AC134" s="367">
        <v>1</v>
      </c>
      <c r="AD134" s="446" t="s">
        <v>508</v>
      </c>
    </row>
    <row r="135" spans="2:39" s="147" customFormat="1" ht="27" customHeight="1">
      <c r="B135" s="935"/>
      <c r="C135" s="936"/>
      <c r="D135" s="361">
        <v>19</v>
      </c>
      <c r="E135" s="440" t="s">
        <v>634</v>
      </c>
      <c r="F135" s="441">
        <f t="shared" si="63"/>
        <v>1002.1938</v>
      </c>
      <c r="G135" s="365">
        <v>212.78</v>
      </c>
      <c r="H135" s="442">
        <v>463.41</v>
      </c>
      <c r="I135" s="442">
        <v>463.41</v>
      </c>
      <c r="J135" s="444">
        <f t="shared" si="64"/>
        <v>1</v>
      </c>
      <c r="K135" s="443">
        <v>476.98000000000008</v>
      </c>
      <c r="L135" s="444">
        <f t="shared" si="65"/>
        <v>1.0292829244081916</v>
      </c>
      <c r="M135" s="443">
        <v>13.57</v>
      </c>
      <c r="N135" s="444">
        <f t="shared" si="66"/>
        <v>2.9282924408191448E-2</v>
      </c>
      <c r="O135" s="445">
        <f t="shared" si="67"/>
        <v>490.55000000000007</v>
      </c>
      <c r="P135" s="444">
        <f t="shared" si="68"/>
        <v>1.0585658488163829</v>
      </c>
      <c r="Q135" s="442">
        <v>4.71</v>
      </c>
      <c r="R135" s="444">
        <f t="shared" si="69"/>
        <v>1.01637858483848E-2</v>
      </c>
      <c r="S135" s="445">
        <f t="shared" si="70"/>
        <v>27.140000000000043</v>
      </c>
      <c r="T135" s="444">
        <f t="shared" si="71"/>
        <v>5.8565848816382993E-2</v>
      </c>
      <c r="U135" s="364">
        <f t="shared" si="72"/>
        <v>5774.8492000000097</v>
      </c>
      <c r="V135" s="457">
        <f t="shared" si="73"/>
        <v>22.430000000000042</v>
      </c>
      <c r="W135" s="458">
        <f t="shared" si="74"/>
        <v>4.8402062967998191E-2</v>
      </c>
      <c r="X135" s="459">
        <f t="shared" si="75"/>
        <v>4772.6554000000087</v>
      </c>
      <c r="Y135" s="366" t="s">
        <v>417</v>
      </c>
      <c r="Z135" s="366" t="s">
        <v>445</v>
      </c>
      <c r="AA135" s="367" t="s">
        <v>546</v>
      </c>
      <c r="AB135" s="367" t="s">
        <v>454</v>
      </c>
      <c r="AC135" s="367">
        <v>1</v>
      </c>
      <c r="AD135" s="446" t="s">
        <v>630</v>
      </c>
    </row>
    <row r="136" spans="2:39" s="147" customFormat="1" ht="27" customHeight="1">
      <c r="B136" s="937"/>
      <c r="C136" s="938"/>
      <c r="D136" s="361">
        <v>20</v>
      </c>
      <c r="E136" s="440" t="s">
        <v>696</v>
      </c>
      <c r="F136" s="441">
        <f t="shared" si="63"/>
        <v>1002.1732000000002</v>
      </c>
      <c r="G136" s="365">
        <v>98.060000000000016</v>
      </c>
      <c r="H136" s="442">
        <v>1407.1200000000001</v>
      </c>
      <c r="I136" s="442">
        <v>1407.1200000000001</v>
      </c>
      <c r="J136" s="444">
        <f t="shared" si="64"/>
        <v>1</v>
      </c>
      <c r="K136" s="443">
        <v>1448.02</v>
      </c>
      <c r="L136" s="444">
        <f t="shared" si="65"/>
        <v>1.0290664619932912</v>
      </c>
      <c r="M136" s="443">
        <v>40.9</v>
      </c>
      <c r="N136" s="444">
        <f t="shared" si="66"/>
        <v>2.9066461993291257E-2</v>
      </c>
      <c r="O136" s="445">
        <f t="shared" si="67"/>
        <v>1488.92</v>
      </c>
      <c r="P136" s="444">
        <f t="shared" si="68"/>
        <v>1.0581329239865824</v>
      </c>
      <c r="Q136" s="442">
        <v>10.220000000000001</v>
      </c>
      <c r="R136" s="444">
        <f t="shared" si="69"/>
        <v>7.2630621411109214E-3</v>
      </c>
      <c r="S136" s="445">
        <f t="shared" si="70"/>
        <v>81.799999999999955</v>
      </c>
      <c r="T136" s="444">
        <f t="shared" si="71"/>
        <v>5.8132923986582485E-2</v>
      </c>
      <c r="U136" s="364">
        <f t="shared" si="72"/>
        <v>8021.3079999999973</v>
      </c>
      <c r="V136" s="457">
        <f t="shared" si="73"/>
        <v>71.579999999999956</v>
      </c>
      <c r="W136" s="458">
        <f t="shared" si="74"/>
        <v>5.0869861845471563E-2</v>
      </c>
      <c r="X136" s="459">
        <f t="shared" si="75"/>
        <v>7019.1347999999971</v>
      </c>
      <c r="Y136" s="366" t="s">
        <v>417</v>
      </c>
      <c r="Z136" s="366" t="s">
        <v>445</v>
      </c>
      <c r="AA136" s="367" t="s">
        <v>479</v>
      </c>
      <c r="AB136" s="367" t="s">
        <v>726</v>
      </c>
      <c r="AC136" s="367">
        <v>1</v>
      </c>
      <c r="AD136" s="446" t="s">
        <v>664</v>
      </c>
    </row>
    <row r="137" spans="2:39" ht="17.100000000000001" customHeight="1">
      <c r="B137" s="949" t="s">
        <v>442</v>
      </c>
      <c r="C137" s="950"/>
      <c r="D137" s="953" t="s">
        <v>549</v>
      </c>
      <c r="E137" s="954" t="s">
        <v>550</v>
      </c>
      <c r="F137" s="955" t="s">
        <v>551</v>
      </c>
      <c r="G137" s="922" t="s">
        <v>552</v>
      </c>
      <c r="H137" s="956" t="s">
        <v>553</v>
      </c>
      <c r="I137" s="939" t="s">
        <v>554</v>
      </c>
      <c r="J137" s="940"/>
      <c r="K137" s="939" t="s">
        <v>555</v>
      </c>
      <c r="L137" s="940"/>
      <c r="M137" s="939" t="s">
        <v>556</v>
      </c>
      <c r="N137" s="940"/>
      <c r="O137" s="939" t="s">
        <v>557</v>
      </c>
      <c r="P137" s="940"/>
      <c r="Q137" s="939" t="s">
        <v>418</v>
      </c>
      <c r="R137" s="940"/>
      <c r="S137" s="941" t="s">
        <v>419</v>
      </c>
      <c r="T137" s="942"/>
      <c r="U137" s="943"/>
      <c r="V137" s="944" t="s">
        <v>718</v>
      </c>
      <c r="W137" s="945"/>
      <c r="X137" s="946"/>
      <c r="Y137" s="947" t="s">
        <v>171</v>
      </c>
      <c r="Z137" s="947" t="s">
        <v>245</v>
      </c>
      <c r="AA137" s="947" t="s">
        <v>558</v>
      </c>
      <c r="AB137" s="947" t="s">
        <v>444</v>
      </c>
      <c r="AC137" s="947" t="s">
        <v>246</v>
      </c>
      <c r="AD137" s="922" t="s">
        <v>172</v>
      </c>
      <c r="AF137" s="924" t="s">
        <v>247</v>
      </c>
      <c r="AG137" s="925"/>
      <c r="AH137" s="925"/>
      <c r="AI137" s="925"/>
      <c r="AJ137" s="925"/>
      <c r="AK137" s="925"/>
      <c r="AL137" s="925"/>
      <c r="AM137" s="926"/>
    </row>
    <row r="138" spans="2:39">
      <c r="B138" s="951"/>
      <c r="C138" s="952"/>
      <c r="D138" s="953"/>
      <c r="E138" s="953"/>
      <c r="F138" s="955"/>
      <c r="G138" s="923"/>
      <c r="H138" s="923"/>
      <c r="I138" s="439" t="s">
        <v>559</v>
      </c>
      <c r="J138" s="362" t="s">
        <v>560</v>
      </c>
      <c r="K138" s="439" t="s">
        <v>559</v>
      </c>
      <c r="L138" s="362" t="s">
        <v>560</v>
      </c>
      <c r="M138" s="439" t="s">
        <v>559</v>
      </c>
      <c r="N138" s="362" t="s">
        <v>560</v>
      </c>
      <c r="O138" s="439" t="s">
        <v>559</v>
      </c>
      <c r="P138" s="362" t="s">
        <v>560</v>
      </c>
      <c r="Q138" s="439" t="s">
        <v>559</v>
      </c>
      <c r="R138" s="362" t="s">
        <v>560</v>
      </c>
      <c r="S138" s="439" t="s">
        <v>559</v>
      </c>
      <c r="T138" s="362" t="s">
        <v>560</v>
      </c>
      <c r="U138" s="362" t="s">
        <v>561</v>
      </c>
      <c r="V138" s="439" t="s">
        <v>559</v>
      </c>
      <c r="W138" s="362" t="s">
        <v>560</v>
      </c>
      <c r="X138" s="362" t="s">
        <v>561</v>
      </c>
      <c r="Y138" s="948"/>
      <c r="Z138" s="948"/>
      <c r="AA138" s="948"/>
      <c r="AB138" s="948"/>
      <c r="AC138" s="948"/>
      <c r="AD138" s="923"/>
      <c r="AF138" s="927"/>
      <c r="AG138" s="928"/>
      <c r="AH138" s="928"/>
      <c r="AI138" s="928"/>
      <c r="AJ138" s="928"/>
      <c r="AK138" s="928"/>
      <c r="AL138" s="928"/>
      <c r="AM138" s="929"/>
    </row>
    <row r="139" spans="2:39" s="147" customFormat="1" ht="27" customHeight="1">
      <c r="B139" s="993" t="s">
        <v>770</v>
      </c>
      <c r="C139" s="934"/>
      <c r="D139" s="361">
        <v>1</v>
      </c>
      <c r="E139" s="440" t="s">
        <v>448</v>
      </c>
      <c r="F139" s="441">
        <f>IFERROR(Q139*G139,"-")</f>
        <v>2256.4499999999998</v>
      </c>
      <c r="G139" s="365">
        <v>2.4499999999999997</v>
      </c>
      <c r="H139" s="442">
        <v>144699</v>
      </c>
      <c r="I139" s="442">
        <v>144699</v>
      </c>
      <c r="J139" s="444">
        <f>IFERROR(I139/H139,"-")</f>
        <v>1</v>
      </c>
      <c r="K139" s="443">
        <v>145620</v>
      </c>
      <c r="L139" s="444">
        <f>IFERROR(K139/H139,"-")</f>
        <v>1.0063649368689487</v>
      </c>
      <c r="M139" s="443">
        <v>0</v>
      </c>
      <c r="N139" s="444">
        <f>IFERROR(M139/H139,"-")</f>
        <v>0</v>
      </c>
      <c r="O139" s="445">
        <f>IFERROR(K139+M139,"-")</f>
        <v>145620</v>
      </c>
      <c r="P139" s="444">
        <f>IFERROR(O139/H139,"-")</f>
        <v>1.0063649368689487</v>
      </c>
      <c r="Q139" s="442">
        <v>921</v>
      </c>
      <c r="R139" s="444">
        <f>IFERROR(Q139/H139,"-")</f>
        <v>6.3649368689486455E-3</v>
      </c>
      <c r="S139" s="445">
        <f>IFERROR(O139-H139,"-")</f>
        <v>921</v>
      </c>
      <c r="T139" s="444">
        <f>IFERROR(S139/H139,"-")</f>
        <v>6.3649368689486455E-3</v>
      </c>
      <c r="U139" s="364">
        <f>IFERROR(S139*G139,"-")</f>
        <v>2256.4499999999998</v>
      </c>
      <c r="V139" s="457">
        <f>S139-Q139</f>
        <v>0</v>
      </c>
      <c r="W139" s="458">
        <f>IFERROR(V139/H139,"-")</f>
        <v>0</v>
      </c>
      <c r="X139" s="459">
        <f>IFERROR(V139*G139,"-")</f>
        <v>0</v>
      </c>
      <c r="Y139" s="366" t="s">
        <v>417</v>
      </c>
      <c r="Z139" s="366" t="s">
        <v>337</v>
      </c>
      <c r="AA139" s="367" t="s">
        <v>467</v>
      </c>
      <c r="AB139" s="367" t="s">
        <v>468</v>
      </c>
      <c r="AC139" s="367">
        <v>1</v>
      </c>
      <c r="AD139" s="446" t="s">
        <v>340</v>
      </c>
      <c r="AF139" s="930"/>
      <c r="AG139" s="931"/>
      <c r="AH139" s="931"/>
      <c r="AI139" s="931"/>
      <c r="AJ139" s="931"/>
      <c r="AK139" s="931"/>
      <c r="AL139" s="931"/>
      <c r="AM139" s="932"/>
    </row>
    <row r="140" spans="2:39" s="147" customFormat="1" ht="27" customHeight="1">
      <c r="B140" s="935"/>
      <c r="C140" s="936"/>
      <c r="D140" s="361">
        <v>2</v>
      </c>
      <c r="E140" s="440" t="s">
        <v>335</v>
      </c>
      <c r="F140" s="441">
        <f t="shared" ref="F140:F158" si="78">IFERROR(Q140*G140,"-")</f>
        <v>2209.3500000000004</v>
      </c>
      <c r="G140" s="365">
        <v>15.450000000000001</v>
      </c>
      <c r="H140" s="442">
        <v>62876</v>
      </c>
      <c r="I140" s="442">
        <v>62876</v>
      </c>
      <c r="J140" s="444">
        <f t="shared" ref="J140:J158" si="79">IFERROR(I140/H140,"-")</f>
        <v>1</v>
      </c>
      <c r="K140" s="443">
        <v>63019</v>
      </c>
      <c r="L140" s="444">
        <f t="shared" ref="L140:L158" si="80">IFERROR(K140/H140,"-")</f>
        <v>1.0022743177046887</v>
      </c>
      <c r="M140" s="443">
        <v>0</v>
      </c>
      <c r="N140" s="444">
        <f t="shared" ref="N140:N158" si="81">IFERROR(M140/H140,"-")</f>
        <v>0</v>
      </c>
      <c r="O140" s="445">
        <f t="shared" ref="O140:O158" si="82">IFERROR(K140+M140,"-")</f>
        <v>63019</v>
      </c>
      <c r="P140" s="444">
        <f t="shared" ref="P140:P158" si="83">IFERROR(O140/H140,"-")</f>
        <v>1.0022743177046887</v>
      </c>
      <c r="Q140" s="442">
        <v>143</v>
      </c>
      <c r="R140" s="444">
        <f t="shared" ref="R140:R158" si="84">IFERROR(Q140/H140,"-")</f>
        <v>2.2743177046885936E-3</v>
      </c>
      <c r="S140" s="445">
        <f t="shared" ref="S140:S158" si="85">IFERROR(O140-H140,"-")</f>
        <v>143</v>
      </c>
      <c r="T140" s="444">
        <f t="shared" ref="T140:T158" si="86">IFERROR(S140/H140,"-")</f>
        <v>2.2743177046885936E-3</v>
      </c>
      <c r="U140" s="364">
        <f t="shared" ref="U140:U158" si="87">IFERROR(S140*G140,"-")</f>
        <v>2209.3500000000004</v>
      </c>
      <c r="V140" s="457">
        <f t="shared" ref="V140:V158" si="88">S140-Q140</f>
        <v>0</v>
      </c>
      <c r="W140" s="458">
        <f t="shared" ref="W140:W158" si="89">IFERROR(V140/H140,"-")</f>
        <v>0</v>
      </c>
      <c r="X140" s="459">
        <f t="shared" ref="X140:X158" si="90">IFERROR(V140*G140,"-")</f>
        <v>0</v>
      </c>
      <c r="Y140" s="366" t="s">
        <v>417</v>
      </c>
      <c r="Z140" s="366" t="s">
        <v>216</v>
      </c>
      <c r="AA140" s="367" t="s">
        <v>466</v>
      </c>
      <c r="AB140" s="367" t="s">
        <v>721</v>
      </c>
      <c r="AC140" s="367">
        <v>1</v>
      </c>
      <c r="AD140" s="446" t="s">
        <v>523</v>
      </c>
      <c r="AF140" s="160" t="s">
        <v>244</v>
      </c>
      <c r="AG140" s="160" t="s">
        <v>445</v>
      </c>
      <c r="AH140" s="155" t="s">
        <v>562</v>
      </c>
      <c r="AI140" s="155" t="s">
        <v>337</v>
      </c>
      <c r="AJ140" s="155" t="s">
        <v>428</v>
      </c>
      <c r="AK140" s="155" t="s">
        <v>215</v>
      </c>
      <c r="AL140" s="155" t="s">
        <v>216</v>
      </c>
      <c r="AM140" s="155" t="s">
        <v>384</v>
      </c>
    </row>
    <row r="141" spans="2:39" s="147" customFormat="1" ht="27" customHeight="1">
      <c r="B141" s="935"/>
      <c r="C141" s="936"/>
      <c r="D141" s="361">
        <v>3</v>
      </c>
      <c r="E141" s="440" t="s">
        <v>447</v>
      </c>
      <c r="F141" s="441">
        <f t="shared" si="78"/>
        <v>1881.36</v>
      </c>
      <c r="G141" s="365">
        <v>1.17</v>
      </c>
      <c r="H141" s="442">
        <v>238092</v>
      </c>
      <c r="I141" s="442">
        <v>238092</v>
      </c>
      <c r="J141" s="444">
        <f t="shared" si="79"/>
        <v>1</v>
      </c>
      <c r="K141" s="443">
        <v>239700</v>
      </c>
      <c r="L141" s="444">
        <f t="shared" si="80"/>
        <v>1.0067536918502091</v>
      </c>
      <c r="M141" s="443">
        <v>0</v>
      </c>
      <c r="N141" s="444">
        <f t="shared" si="81"/>
        <v>0</v>
      </c>
      <c r="O141" s="445">
        <f t="shared" si="82"/>
        <v>239700</v>
      </c>
      <c r="P141" s="444">
        <f t="shared" si="83"/>
        <v>1.0067536918502091</v>
      </c>
      <c r="Q141" s="442">
        <v>1608</v>
      </c>
      <c r="R141" s="444">
        <f t="shared" si="84"/>
        <v>6.7536918502091627E-3</v>
      </c>
      <c r="S141" s="445">
        <f t="shared" si="85"/>
        <v>1608</v>
      </c>
      <c r="T141" s="444">
        <f t="shared" si="86"/>
        <v>6.7536918502091627E-3</v>
      </c>
      <c r="U141" s="364">
        <f t="shared" si="87"/>
        <v>1881.36</v>
      </c>
      <c r="V141" s="457">
        <f t="shared" si="88"/>
        <v>0</v>
      </c>
      <c r="W141" s="458">
        <f t="shared" si="89"/>
        <v>0</v>
      </c>
      <c r="X141" s="459">
        <f t="shared" si="90"/>
        <v>0</v>
      </c>
      <c r="Y141" s="366" t="s">
        <v>417</v>
      </c>
      <c r="Z141" s="366" t="s">
        <v>337</v>
      </c>
      <c r="AA141" s="367" t="s">
        <v>469</v>
      </c>
      <c r="AB141" s="367" t="s">
        <v>526</v>
      </c>
      <c r="AC141" s="367">
        <v>1</v>
      </c>
      <c r="AD141" s="446" t="s">
        <v>340</v>
      </c>
      <c r="AF141" s="374">
        <f>SUM(AC139:AC158)</f>
        <v>20</v>
      </c>
      <c r="AG141" s="369">
        <f>SUMIF($Z$139:$Z$158,TRIM(AG140),$AC$139:$AC$158)</f>
        <v>7</v>
      </c>
      <c r="AH141" s="369">
        <f t="shared" ref="AH141:AM141" si="91">SUMIF($Z$139:$Z$158,TRIM(AH140),$AC$139:$AC$158)</f>
        <v>0</v>
      </c>
      <c r="AI141" s="369">
        <f t="shared" si="91"/>
        <v>7</v>
      </c>
      <c r="AJ141" s="369">
        <f t="shared" si="91"/>
        <v>0</v>
      </c>
      <c r="AK141" s="369">
        <f t="shared" si="91"/>
        <v>1</v>
      </c>
      <c r="AL141" s="369">
        <f t="shared" si="91"/>
        <v>5</v>
      </c>
      <c r="AM141" s="369">
        <f t="shared" si="91"/>
        <v>0</v>
      </c>
    </row>
    <row r="142" spans="2:39" s="147" customFormat="1" ht="27" customHeight="1">
      <c r="B142" s="935"/>
      <c r="C142" s="936"/>
      <c r="D142" s="361">
        <v>4</v>
      </c>
      <c r="E142" s="440" t="s">
        <v>336</v>
      </c>
      <c r="F142" s="441">
        <f t="shared" si="78"/>
        <v>1637.9473000000003</v>
      </c>
      <c r="G142" s="365">
        <v>147.43000000000004</v>
      </c>
      <c r="H142" s="442">
        <v>4347.82</v>
      </c>
      <c r="I142" s="442">
        <v>4347.82</v>
      </c>
      <c r="J142" s="444">
        <f t="shared" si="79"/>
        <v>1</v>
      </c>
      <c r="K142" s="443">
        <v>4423.2999999999993</v>
      </c>
      <c r="L142" s="444">
        <f t="shared" si="80"/>
        <v>1.0173604243045939</v>
      </c>
      <c r="M142" s="443">
        <v>75.47999999999999</v>
      </c>
      <c r="N142" s="444">
        <f t="shared" si="81"/>
        <v>1.7360424304594026E-2</v>
      </c>
      <c r="O142" s="445">
        <f t="shared" si="82"/>
        <v>4498.7799999999988</v>
      </c>
      <c r="P142" s="444">
        <f t="shared" si="83"/>
        <v>1.0347208486091879</v>
      </c>
      <c r="Q142" s="442">
        <v>11.11</v>
      </c>
      <c r="R142" s="444">
        <f t="shared" si="84"/>
        <v>2.5553035774250085E-3</v>
      </c>
      <c r="S142" s="445">
        <f t="shared" si="85"/>
        <v>150.95999999999913</v>
      </c>
      <c r="T142" s="444">
        <f t="shared" si="86"/>
        <v>3.4720848609187852E-2</v>
      </c>
      <c r="U142" s="364">
        <f t="shared" si="87"/>
        <v>22256.032799999877</v>
      </c>
      <c r="V142" s="457">
        <f t="shared" si="88"/>
        <v>139.84999999999911</v>
      </c>
      <c r="W142" s="458">
        <f t="shared" si="89"/>
        <v>3.2165545031762846E-2</v>
      </c>
      <c r="X142" s="459">
        <f t="shared" si="90"/>
        <v>20618.085499999874</v>
      </c>
      <c r="Y142" s="366" t="s">
        <v>417</v>
      </c>
      <c r="Z142" s="366" t="s">
        <v>215</v>
      </c>
      <c r="AA142" s="367" t="s">
        <v>675</v>
      </c>
      <c r="AB142" s="367" t="s">
        <v>569</v>
      </c>
      <c r="AC142" s="367">
        <v>1</v>
      </c>
      <c r="AD142" s="446" t="s">
        <v>340</v>
      </c>
      <c r="AF142" s="375" t="s">
        <v>11</v>
      </c>
      <c r="AG142" s="372">
        <f>SUMIF($Z$139:$Z158,TRIM(AG140),$F$139:$F$158)</f>
        <v>7386.9941000000008</v>
      </c>
      <c r="AH142" s="372">
        <f>SUMIF($Z$139:$Z158,TRIM(AH140),$F$139:$F$158)</f>
        <v>0</v>
      </c>
      <c r="AI142" s="372">
        <f>SUMIF($Z$139:$Z158,TRIM(AI140),$F$139:$F$158)</f>
        <v>9438.261599999998</v>
      </c>
      <c r="AJ142" s="372">
        <f>SUMIF($Z$139:$Z158,TRIM(AJ140),$F$139:$F$158)</f>
        <v>0</v>
      </c>
      <c r="AK142" s="372">
        <f>SUMIF($Z$139:$Z158,TRIM(AK140),$F$139:$F$158)</f>
        <v>1637.9473000000003</v>
      </c>
      <c r="AL142" s="372">
        <f>SUMIF($Z$139:$Z158,TRIM(AL140),$F$139:$F$158)</f>
        <v>7115.5838000000003</v>
      </c>
      <c r="AM142" s="372">
        <f>SUMIF($Z$139:$Z158,TRIM(AM140),$F$139:$F$158)</f>
        <v>0</v>
      </c>
    </row>
    <row r="143" spans="2:39" s="147" customFormat="1" ht="27" customHeight="1">
      <c r="B143" s="935"/>
      <c r="C143" s="936"/>
      <c r="D143" s="361">
        <v>5</v>
      </c>
      <c r="E143" s="440" t="s">
        <v>534</v>
      </c>
      <c r="F143" s="441">
        <f t="shared" si="78"/>
        <v>1515.3332999999998</v>
      </c>
      <c r="G143" s="365">
        <v>39.389999999999993</v>
      </c>
      <c r="H143" s="442">
        <v>32379.059999999998</v>
      </c>
      <c r="I143" s="442">
        <v>32379.059999999998</v>
      </c>
      <c r="J143" s="444">
        <f t="shared" si="79"/>
        <v>1</v>
      </c>
      <c r="K143" s="443">
        <v>32557.809999999998</v>
      </c>
      <c r="L143" s="444">
        <f t="shared" si="80"/>
        <v>1.0055205432152756</v>
      </c>
      <c r="M143" s="443">
        <v>178.75</v>
      </c>
      <c r="N143" s="444">
        <f t="shared" si="81"/>
        <v>5.5205432152755519E-3</v>
      </c>
      <c r="O143" s="445">
        <f t="shared" si="82"/>
        <v>32736.559999999998</v>
      </c>
      <c r="P143" s="444">
        <f t="shared" si="83"/>
        <v>1.011041086430551</v>
      </c>
      <c r="Q143" s="442">
        <v>38.47</v>
      </c>
      <c r="R143" s="444">
        <f t="shared" si="84"/>
        <v>1.1881135524008418E-3</v>
      </c>
      <c r="S143" s="445">
        <f t="shared" si="85"/>
        <v>357.5</v>
      </c>
      <c r="T143" s="444">
        <f t="shared" si="86"/>
        <v>1.1041086430551104E-2</v>
      </c>
      <c r="U143" s="364">
        <f t="shared" si="87"/>
        <v>14081.924999999997</v>
      </c>
      <c r="V143" s="457">
        <f t="shared" si="88"/>
        <v>319.02999999999997</v>
      </c>
      <c r="W143" s="458">
        <f t="shared" si="89"/>
        <v>9.8529728781502606E-3</v>
      </c>
      <c r="X143" s="459">
        <f t="shared" si="90"/>
        <v>12566.591699999997</v>
      </c>
      <c r="Y143" s="366" t="s">
        <v>417</v>
      </c>
      <c r="Z143" s="366" t="s">
        <v>216</v>
      </c>
      <c r="AA143" s="367" t="s">
        <v>722</v>
      </c>
      <c r="AB143" s="367" t="s">
        <v>723</v>
      </c>
      <c r="AC143" s="367">
        <v>1</v>
      </c>
      <c r="AD143" s="446" t="s">
        <v>340</v>
      </c>
      <c r="AF143" s="361" t="s">
        <v>563</v>
      </c>
      <c r="AG143" s="447">
        <f>AG141/$AF141</f>
        <v>0.35</v>
      </c>
      <c r="AH143" s="447">
        <f t="shared" ref="AH143:AM143" si="92">AH141/$AF141</f>
        <v>0</v>
      </c>
      <c r="AI143" s="447">
        <f t="shared" si="92"/>
        <v>0.35</v>
      </c>
      <c r="AJ143" s="447">
        <f t="shared" si="92"/>
        <v>0</v>
      </c>
      <c r="AK143" s="447">
        <f t="shared" si="92"/>
        <v>0.05</v>
      </c>
      <c r="AL143" s="447">
        <f t="shared" si="92"/>
        <v>0.25</v>
      </c>
      <c r="AM143" s="447">
        <f t="shared" si="92"/>
        <v>0</v>
      </c>
    </row>
    <row r="144" spans="2:39" s="147" customFormat="1" ht="27" customHeight="1">
      <c r="B144" s="935"/>
      <c r="C144" s="936"/>
      <c r="D144" s="361">
        <v>6</v>
      </c>
      <c r="E144" s="440" t="s">
        <v>771</v>
      </c>
      <c r="F144" s="441">
        <f t="shared" si="78"/>
        <v>1356.1470000000002</v>
      </c>
      <c r="G144" s="365">
        <v>52.26</v>
      </c>
      <c r="H144" s="442">
        <v>6370.9800000000005</v>
      </c>
      <c r="I144" s="442">
        <v>6370.9800000000005</v>
      </c>
      <c r="J144" s="444">
        <f t="shared" si="79"/>
        <v>1</v>
      </c>
      <c r="K144" s="443">
        <v>6492.48</v>
      </c>
      <c r="L144" s="444">
        <f t="shared" si="80"/>
        <v>1.0190708493826695</v>
      </c>
      <c r="M144" s="443">
        <v>121.5</v>
      </c>
      <c r="N144" s="444">
        <f t="shared" si="81"/>
        <v>1.9070849382669539E-2</v>
      </c>
      <c r="O144" s="445">
        <f t="shared" si="82"/>
        <v>6613.98</v>
      </c>
      <c r="P144" s="444">
        <f t="shared" si="83"/>
        <v>1.0381416987653389</v>
      </c>
      <c r="Q144" s="442">
        <v>25.950000000000003</v>
      </c>
      <c r="R144" s="444">
        <f t="shared" si="84"/>
        <v>4.0731567200022606E-3</v>
      </c>
      <c r="S144" s="445">
        <f t="shared" si="85"/>
        <v>242.99999999999909</v>
      </c>
      <c r="T144" s="444">
        <f t="shared" si="86"/>
        <v>3.814169876533894E-2</v>
      </c>
      <c r="U144" s="364">
        <f t="shared" si="87"/>
        <v>12699.179999999951</v>
      </c>
      <c r="V144" s="457">
        <f t="shared" si="88"/>
        <v>217.0499999999991</v>
      </c>
      <c r="W144" s="458">
        <f t="shared" si="89"/>
        <v>3.4068542045336679E-2</v>
      </c>
      <c r="X144" s="459">
        <f t="shared" si="90"/>
        <v>11343.032999999952</v>
      </c>
      <c r="Y144" s="366" t="s">
        <v>417</v>
      </c>
      <c r="Z144" s="366" t="s">
        <v>216</v>
      </c>
      <c r="AA144" s="367" t="s">
        <v>722</v>
      </c>
      <c r="AB144" s="367" t="s">
        <v>723</v>
      </c>
      <c r="AC144" s="367">
        <v>1</v>
      </c>
      <c r="AD144" s="446" t="s">
        <v>752</v>
      </c>
    </row>
    <row r="145" spans="2:39" s="147" customFormat="1" ht="27" customHeight="1">
      <c r="B145" s="935"/>
      <c r="C145" s="936"/>
      <c r="D145" s="361">
        <v>7</v>
      </c>
      <c r="E145" s="440" t="s">
        <v>386</v>
      </c>
      <c r="F145" s="441">
        <f t="shared" si="78"/>
        <v>1338.4848</v>
      </c>
      <c r="G145" s="365">
        <v>127.84000000000002</v>
      </c>
      <c r="H145" s="442">
        <v>3938.1100000000006</v>
      </c>
      <c r="I145" s="442">
        <v>3938.1100000000006</v>
      </c>
      <c r="J145" s="444">
        <f t="shared" si="79"/>
        <v>1</v>
      </c>
      <c r="K145" s="443">
        <v>3983.25</v>
      </c>
      <c r="L145" s="444">
        <f t="shared" si="80"/>
        <v>1.0114623512293968</v>
      </c>
      <c r="M145" s="443">
        <v>45.14</v>
      </c>
      <c r="N145" s="444">
        <f t="shared" si="81"/>
        <v>1.1462351229396841E-2</v>
      </c>
      <c r="O145" s="445">
        <f t="shared" si="82"/>
        <v>4028.39</v>
      </c>
      <c r="P145" s="444">
        <f t="shared" si="83"/>
        <v>1.0229247024587935</v>
      </c>
      <c r="Q145" s="442">
        <v>10.469999999999999</v>
      </c>
      <c r="R145" s="444">
        <f t="shared" si="84"/>
        <v>2.6586357415105209E-3</v>
      </c>
      <c r="S145" s="445">
        <f t="shared" si="85"/>
        <v>90.279999999999291</v>
      </c>
      <c r="T145" s="444">
        <f t="shared" si="86"/>
        <v>2.2924702458793501E-2</v>
      </c>
      <c r="U145" s="364">
        <f t="shared" si="87"/>
        <v>11541.395199999912</v>
      </c>
      <c r="V145" s="457">
        <f t="shared" si="88"/>
        <v>79.809999999999292</v>
      </c>
      <c r="W145" s="458">
        <f t="shared" si="89"/>
        <v>2.0266066717282982E-2</v>
      </c>
      <c r="X145" s="459">
        <f t="shared" si="90"/>
        <v>10202.910399999912</v>
      </c>
      <c r="Y145" s="366" t="s">
        <v>417</v>
      </c>
      <c r="Z145" s="366" t="s">
        <v>445</v>
      </c>
      <c r="AA145" s="367" t="s">
        <v>725</v>
      </c>
      <c r="AB145" s="367" t="s">
        <v>571</v>
      </c>
      <c r="AC145" s="367">
        <v>1</v>
      </c>
      <c r="AD145" s="446" t="s">
        <v>340</v>
      </c>
    </row>
    <row r="146" spans="2:39" s="147" customFormat="1" ht="27" customHeight="1">
      <c r="B146" s="935"/>
      <c r="C146" s="936"/>
      <c r="D146" s="361">
        <v>8</v>
      </c>
      <c r="E146" s="440" t="s">
        <v>772</v>
      </c>
      <c r="F146" s="441">
        <f t="shared" si="78"/>
        <v>1194.3822</v>
      </c>
      <c r="G146" s="365">
        <v>24.789999999999996</v>
      </c>
      <c r="H146" s="442">
        <v>10223.720000000001</v>
      </c>
      <c r="I146" s="442">
        <v>10223.720000000001</v>
      </c>
      <c r="J146" s="444">
        <f t="shared" si="79"/>
        <v>1</v>
      </c>
      <c r="K146" s="443">
        <v>10460.550000000001</v>
      </c>
      <c r="L146" s="444">
        <f t="shared" si="80"/>
        <v>1.0231647580332794</v>
      </c>
      <c r="M146" s="443">
        <v>236.82999999999998</v>
      </c>
      <c r="N146" s="444">
        <f t="shared" si="81"/>
        <v>2.3164758033279467E-2</v>
      </c>
      <c r="O146" s="445">
        <f t="shared" si="82"/>
        <v>10697.380000000001</v>
      </c>
      <c r="P146" s="444">
        <f t="shared" si="83"/>
        <v>1.0463295160665589</v>
      </c>
      <c r="Q146" s="442">
        <v>48.180000000000007</v>
      </c>
      <c r="R146" s="444">
        <f t="shared" si="84"/>
        <v>4.7125703755580162E-3</v>
      </c>
      <c r="S146" s="445">
        <f t="shared" si="85"/>
        <v>473.65999999999985</v>
      </c>
      <c r="T146" s="444">
        <f t="shared" si="86"/>
        <v>4.6329516066558926E-2</v>
      </c>
      <c r="U146" s="364">
        <f t="shared" si="87"/>
        <v>11742.031399999994</v>
      </c>
      <c r="V146" s="457">
        <f t="shared" si="88"/>
        <v>425.47999999999985</v>
      </c>
      <c r="W146" s="458">
        <f t="shared" si="89"/>
        <v>4.1616945691000905E-2</v>
      </c>
      <c r="X146" s="459">
        <f t="shared" si="90"/>
        <v>10547.649199999994</v>
      </c>
      <c r="Y146" s="366" t="s">
        <v>417</v>
      </c>
      <c r="Z146" s="366" t="s">
        <v>445</v>
      </c>
      <c r="AA146" s="367" t="s">
        <v>479</v>
      </c>
      <c r="AB146" s="367" t="s">
        <v>726</v>
      </c>
      <c r="AC146" s="367">
        <v>1</v>
      </c>
      <c r="AD146" s="446" t="s">
        <v>751</v>
      </c>
    </row>
    <row r="147" spans="2:39" s="147" customFormat="1" ht="27" customHeight="1">
      <c r="B147" s="935"/>
      <c r="C147" s="936"/>
      <c r="D147" s="361">
        <v>9</v>
      </c>
      <c r="E147" s="440" t="s">
        <v>692</v>
      </c>
      <c r="F147" s="441">
        <f t="shared" si="78"/>
        <v>1170.5077999999999</v>
      </c>
      <c r="G147" s="365">
        <v>625.93999999999994</v>
      </c>
      <c r="H147" s="442">
        <v>1384.34</v>
      </c>
      <c r="I147" s="442">
        <v>1384.34</v>
      </c>
      <c r="J147" s="444">
        <f t="shared" si="79"/>
        <v>1</v>
      </c>
      <c r="K147" s="443">
        <v>1397.37</v>
      </c>
      <c r="L147" s="444">
        <f t="shared" si="80"/>
        <v>1.0094124275828191</v>
      </c>
      <c r="M147" s="443">
        <v>13.03</v>
      </c>
      <c r="N147" s="444">
        <f t="shared" si="81"/>
        <v>9.4124275828192504E-3</v>
      </c>
      <c r="O147" s="445">
        <f t="shared" si="82"/>
        <v>1410.3999999999999</v>
      </c>
      <c r="P147" s="444">
        <f t="shared" si="83"/>
        <v>1.0188248551656385</v>
      </c>
      <c r="Q147" s="442">
        <v>1.87</v>
      </c>
      <c r="R147" s="444">
        <f t="shared" si="84"/>
        <v>1.3508242194836531E-3</v>
      </c>
      <c r="S147" s="445">
        <f t="shared" si="85"/>
        <v>26.059999999999945</v>
      </c>
      <c r="T147" s="444">
        <f t="shared" si="86"/>
        <v>1.8824855165638459E-2</v>
      </c>
      <c r="U147" s="364">
        <f t="shared" si="87"/>
        <v>16311.996399999964</v>
      </c>
      <c r="V147" s="457">
        <f t="shared" si="88"/>
        <v>24.189999999999944</v>
      </c>
      <c r="W147" s="458">
        <f t="shared" si="89"/>
        <v>1.7474030946154809E-2</v>
      </c>
      <c r="X147" s="459">
        <f t="shared" si="90"/>
        <v>15141.488599999964</v>
      </c>
      <c r="Y147" s="366" t="s">
        <v>417</v>
      </c>
      <c r="Z147" s="366" t="s">
        <v>337</v>
      </c>
      <c r="AA147" s="367" t="s">
        <v>586</v>
      </c>
      <c r="AB147" s="380" t="s">
        <v>587</v>
      </c>
      <c r="AC147" s="367">
        <v>1</v>
      </c>
      <c r="AD147" s="446" t="s">
        <v>697</v>
      </c>
      <c r="AH147" s="370"/>
    </row>
    <row r="148" spans="2:39" s="147" customFormat="1" ht="27" customHeight="1">
      <c r="B148" s="935"/>
      <c r="C148" s="936"/>
      <c r="D148" s="361">
        <v>10</v>
      </c>
      <c r="E148" s="440" t="s">
        <v>461</v>
      </c>
      <c r="F148" s="441">
        <f t="shared" si="78"/>
        <v>1170.2138</v>
      </c>
      <c r="G148" s="365">
        <v>407.74000000000007</v>
      </c>
      <c r="H148" s="442">
        <v>1133.27</v>
      </c>
      <c r="I148" s="442">
        <v>1133.27</v>
      </c>
      <c r="J148" s="444">
        <f t="shared" si="79"/>
        <v>1</v>
      </c>
      <c r="K148" s="443">
        <v>1145.3699999999999</v>
      </c>
      <c r="L148" s="444">
        <f t="shared" si="80"/>
        <v>1.0106770672478755</v>
      </c>
      <c r="M148" s="443">
        <v>12.1</v>
      </c>
      <c r="N148" s="444">
        <f t="shared" si="81"/>
        <v>1.0677067247875616E-2</v>
      </c>
      <c r="O148" s="445">
        <f t="shared" si="82"/>
        <v>1157.4699999999998</v>
      </c>
      <c r="P148" s="444">
        <f t="shared" si="83"/>
        <v>1.0213541344957511</v>
      </c>
      <c r="Q148" s="442">
        <v>2.8699999999999997</v>
      </c>
      <c r="R148" s="444">
        <f t="shared" si="84"/>
        <v>2.5324944629258692E-3</v>
      </c>
      <c r="S148" s="445">
        <f t="shared" si="85"/>
        <v>24.199999999999818</v>
      </c>
      <c r="T148" s="444">
        <f t="shared" si="86"/>
        <v>2.1354134495751072E-2</v>
      </c>
      <c r="U148" s="364">
        <f t="shared" si="87"/>
        <v>9867.3079999999281</v>
      </c>
      <c r="V148" s="457">
        <f t="shared" si="88"/>
        <v>21.329999999999817</v>
      </c>
      <c r="W148" s="458">
        <f t="shared" si="89"/>
        <v>1.8821640032825201E-2</v>
      </c>
      <c r="X148" s="459">
        <f t="shared" si="90"/>
        <v>8697.0941999999268</v>
      </c>
      <c r="Y148" s="366" t="s">
        <v>417</v>
      </c>
      <c r="Z148" s="366" t="s">
        <v>337</v>
      </c>
      <c r="AA148" s="367" t="s">
        <v>727</v>
      </c>
      <c r="AB148" s="367" t="s">
        <v>728</v>
      </c>
      <c r="AC148" s="367">
        <v>1</v>
      </c>
      <c r="AD148" s="446" t="s">
        <v>463</v>
      </c>
      <c r="AH148" s="370"/>
    </row>
    <row r="149" spans="2:39" s="147" customFormat="1" ht="27" customHeight="1">
      <c r="B149" s="935"/>
      <c r="C149" s="936"/>
      <c r="D149" s="361">
        <v>11</v>
      </c>
      <c r="E149" s="440" t="s">
        <v>619</v>
      </c>
      <c r="F149" s="441">
        <f t="shared" si="78"/>
        <v>1048.1678999999997</v>
      </c>
      <c r="G149" s="365">
        <v>39.389999999999993</v>
      </c>
      <c r="H149" s="442">
        <v>6360.1100000000006</v>
      </c>
      <c r="I149" s="442">
        <v>6360.1100000000006</v>
      </c>
      <c r="J149" s="444">
        <f t="shared" si="79"/>
        <v>1</v>
      </c>
      <c r="K149" s="443">
        <v>6489.25</v>
      </c>
      <c r="L149" s="444">
        <f t="shared" si="80"/>
        <v>1.0203046802649638</v>
      </c>
      <c r="M149" s="443">
        <v>129.14000000000001</v>
      </c>
      <c r="N149" s="444">
        <f t="shared" si="81"/>
        <v>2.0304680264963973E-2</v>
      </c>
      <c r="O149" s="445">
        <f t="shared" si="82"/>
        <v>6618.39</v>
      </c>
      <c r="P149" s="444">
        <f t="shared" si="83"/>
        <v>1.0406093605299278</v>
      </c>
      <c r="Q149" s="442">
        <v>26.609999999999996</v>
      </c>
      <c r="R149" s="444">
        <f t="shared" si="84"/>
        <v>4.183889901275291E-3</v>
      </c>
      <c r="S149" s="445">
        <f t="shared" si="85"/>
        <v>258.27999999999975</v>
      </c>
      <c r="T149" s="444">
        <f t="shared" si="86"/>
        <v>4.0609360529927897E-2</v>
      </c>
      <c r="U149" s="364">
        <f t="shared" si="87"/>
        <v>10173.649199999989</v>
      </c>
      <c r="V149" s="457">
        <f t="shared" si="88"/>
        <v>231.66999999999976</v>
      </c>
      <c r="W149" s="458">
        <f t="shared" si="89"/>
        <v>3.6425470628652611E-2</v>
      </c>
      <c r="X149" s="459">
        <f t="shared" si="90"/>
        <v>9125.4812999999886</v>
      </c>
      <c r="Y149" s="366" t="s">
        <v>417</v>
      </c>
      <c r="Z149" s="366" t="s">
        <v>216</v>
      </c>
      <c r="AA149" s="367" t="s">
        <v>722</v>
      </c>
      <c r="AB149" s="367" t="s">
        <v>723</v>
      </c>
      <c r="AC149" s="367">
        <v>1</v>
      </c>
      <c r="AD149" s="446" t="s">
        <v>614</v>
      </c>
      <c r="AH149" s="370"/>
    </row>
    <row r="150" spans="2:39" s="147" customFormat="1" ht="26.25" customHeight="1">
      <c r="B150" s="935"/>
      <c r="C150" s="936"/>
      <c r="D150" s="361">
        <v>12</v>
      </c>
      <c r="E150" s="440" t="s">
        <v>581</v>
      </c>
      <c r="F150" s="441">
        <f t="shared" si="78"/>
        <v>1008.1899999999999</v>
      </c>
      <c r="G150" s="365">
        <v>24.59</v>
      </c>
      <c r="H150" s="442">
        <v>12663</v>
      </c>
      <c r="I150" s="442">
        <v>12663</v>
      </c>
      <c r="J150" s="444">
        <f t="shared" si="79"/>
        <v>1</v>
      </c>
      <c r="K150" s="443">
        <v>12710</v>
      </c>
      <c r="L150" s="444">
        <f t="shared" si="80"/>
        <v>1.0037116007265261</v>
      </c>
      <c r="M150" s="443">
        <v>0</v>
      </c>
      <c r="N150" s="444">
        <f t="shared" si="81"/>
        <v>0</v>
      </c>
      <c r="O150" s="445">
        <f t="shared" si="82"/>
        <v>12710</v>
      </c>
      <c r="P150" s="444">
        <f t="shared" si="83"/>
        <v>1.0037116007265261</v>
      </c>
      <c r="Q150" s="442">
        <v>41</v>
      </c>
      <c r="R150" s="444">
        <f t="shared" si="84"/>
        <v>3.2377793571823424E-3</v>
      </c>
      <c r="S150" s="445">
        <f t="shared" si="85"/>
        <v>47</v>
      </c>
      <c r="T150" s="444">
        <f t="shared" si="86"/>
        <v>3.7116007265260995E-3</v>
      </c>
      <c r="U150" s="364">
        <f t="shared" si="87"/>
        <v>1155.73</v>
      </c>
      <c r="V150" s="457">
        <f t="shared" si="88"/>
        <v>6</v>
      </c>
      <c r="W150" s="458">
        <f t="shared" si="89"/>
        <v>4.7382136934375743E-4</v>
      </c>
      <c r="X150" s="459">
        <f t="shared" si="90"/>
        <v>147.54</v>
      </c>
      <c r="Y150" s="366" t="s">
        <v>417</v>
      </c>
      <c r="Z150" s="366" t="s">
        <v>337</v>
      </c>
      <c r="AA150" s="367" t="s">
        <v>585</v>
      </c>
      <c r="AB150" s="367" t="s">
        <v>656</v>
      </c>
      <c r="AC150" s="367">
        <v>1</v>
      </c>
      <c r="AD150" s="446" t="s">
        <v>566</v>
      </c>
      <c r="AH150" s="370"/>
    </row>
    <row r="151" spans="2:39" s="147" customFormat="1" ht="27" customHeight="1">
      <c r="B151" s="935"/>
      <c r="C151" s="936"/>
      <c r="D151" s="361">
        <v>13</v>
      </c>
      <c r="E151" s="440" t="s">
        <v>773</v>
      </c>
      <c r="F151" s="441">
        <f t="shared" si="78"/>
        <v>1006.1415000000001</v>
      </c>
      <c r="G151" s="365">
        <v>122.85000000000001</v>
      </c>
      <c r="H151" s="442">
        <v>1025.47</v>
      </c>
      <c r="I151" s="442">
        <v>1025.47</v>
      </c>
      <c r="J151" s="444">
        <f t="shared" si="79"/>
        <v>1</v>
      </c>
      <c r="K151" s="443">
        <v>1052.31</v>
      </c>
      <c r="L151" s="444">
        <f t="shared" si="80"/>
        <v>1.0261733644085151</v>
      </c>
      <c r="M151" s="443">
        <v>26.840000000000003</v>
      </c>
      <c r="N151" s="444">
        <f t="shared" si="81"/>
        <v>2.6173364408515122E-2</v>
      </c>
      <c r="O151" s="445">
        <f t="shared" si="82"/>
        <v>1079.1499999999999</v>
      </c>
      <c r="P151" s="444">
        <f t="shared" si="83"/>
        <v>1.0523467288170301</v>
      </c>
      <c r="Q151" s="442">
        <v>8.19</v>
      </c>
      <c r="R151" s="444">
        <f t="shared" si="84"/>
        <v>7.9865817625088976E-3</v>
      </c>
      <c r="S151" s="445">
        <f t="shared" si="85"/>
        <v>53.679999999999836</v>
      </c>
      <c r="T151" s="444">
        <f t="shared" si="86"/>
        <v>5.2346728817030078E-2</v>
      </c>
      <c r="U151" s="364">
        <f t="shared" si="87"/>
        <v>6594.5879999999806</v>
      </c>
      <c r="V151" s="457">
        <f t="shared" si="88"/>
        <v>45.489999999999839</v>
      </c>
      <c r="W151" s="458">
        <f t="shared" si="89"/>
        <v>4.4360147054521182E-2</v>
      </c>
      <c r="X151" s="459">
        <f t="shared" si="90"/>
        <v>5588.4464999999809</v>
      </c>
      <c r="Y151" s="366" t="s">
        <v>417</v>
      </c>
      <c r="Z151" s="366" t="s">
        <v>445</v>
      </c>
      <c r="AA151" s="367" t="s">
        <v>786</v>
      </c>
      <c r="AB151" s="367" t="s">
        <v>569</v>
      </c>
      <c r="AC151" s="367">
        <v>1</v>
      </c>
      <c r="AD151" s="446" t="s">
        <v>710</v>
      </c>
    </row>
    <row r="152" spans="2:39" s="147" customFormat="1" ht="27" customHeight="1">
      <c r="B152" s="935"/>
      <c r="C152" s="936"/>
      <c r="D152" s="361">
        <v>14</v>
      </c>
      <c r="E152" s="440" t="s">
        <v>598</v>
      </c>
      <c r="F152" s="441">
        <f t="shared" si="78"/>
        <v>996.6</v>
      </c>
      <c r="G152" s="365">
        <v>6.04</v>
      </c>
      <c r="H152" s="442">
        <v>5944</v>
      </c>
      <c r="I152" s="442">
        <v>5944</v>
      </c>
      <c r="J152" s="444">
        <f t="shared" si="79"/>
        <v>1</v>
      </c>
      <c r="K152" s="443">
        <v>6109</v>
      </c>
      <c r="L152" s="444">
        <f t="shared" si="80"/>
        <v>1.0277590847913862</v>
      </c>
      <c r="M152" s="443">
        <v>0</v>
      </c>
      <c r="N152" s="444">
        <f t="shared" si="81"/>
        <v>0</v>
      </c>
      <c r="O152" s="445">
        <f t="shared" si="82"/>
        <v>6109</v>
      </c>
      <c r="P152" s="444">
        <f t="shared" si="83"/>
        <v>1.0277590847913862</v>
      </c>
      <c r="Q152" s="442">
        <v>165</v>
      </c>
      <c r="R152" s="444">
        <f t="shared" si="84"/>
        <v>2.7759084791386272E-2</v>
      </c>
      <c r="S152" s="445">
        <f t="shared" si="85"/>
        <v>165</v>
      </c>
      <c r="T152" s="444">
        <f t="shared" si="86"/>
        <v>2.7759084791386272E-2</v>
      </c>
      <c r="U152" s="364">
        <f t="shared" si="87"/>
        <v>996.6</v>
      </c>
      <c r="V152" s="457">
        <f t="shared" si="88"/>
        <v>0</v>
      </c>
      <c r="W152" s="458">
        <f t="shared" si="89"/>
        <v>0</v>
      </c>
      <c r="X152" s="459">
        <f t="shared" si="90"/>
        <v>0</v>
      </c>
      <c r="Y152" s="366" t="s">
        <v>417</v>
      </c>
      <c r="Z152" s="366" t="s">
        <v>337</v>
      </c>
      <c r="AA152" s="366" t="s">
        <v>604</v>
      </c>
      <c r="AB152" s="367" t="s">
        <v>455</v>
      </c>
      <c r="AC152" s="367">
        <v>1</v>
      </c>
      <c r="AD152" s="446" t="s">
        <v>508</v>
      </c>
    </row>
    <row r="153" spans="2:39" s="147" customFormat="1" ht="27" customHeight="1">
      <c r="B153" s="935"/>
      <c r="C153" s="936"/>
      <c r="D153" s="361">
        <v>15</v>
      </c>
      <c r="E153" s="440" t="s">
        <v>568</v>
      </c>
      <c r="F153" s="441">
        <f t="shared" si="78"/>
        <v>986.5856</v>
      </c>
      <c r="G153" s="365">
        <v>40.04</v>
      </c>
      <c r="H153" s="442">
        <v>3448.98</v>
      </c>
      <c r="I153" s="442">
        <v>3448.98</v>
      </c>
      <c r="J153" s="444">
        <f t="shared" si="79"/>
        <v>1</v>
      </c>
      <c r="K153" s="443">
        <v>3553.7</v>
      </c>
      <c r="L153" s="444">
        <f t="shared" si="80"/>
        <v>1.0303625999570887</v>
      </c>
      <c r="M153" s="443">
        <v>104.72</v>
      </c>
      <c r="N153" s="444">
        <f t="shared" si="81"/>
        <v>3.0362599957088763E-2</v>
      </c>
      <c r="O153" s="445">
        <f t="shared" si="82"/>
        <v>3658.4199999999996</v>
      </c>
      <c r="P153" s="444">
        <f t="shared" si="83"/>
        <v>1.0607251999141774</v>
      </c>
      <c r="Q153" s="442">
        <v>24.64</v>
      </c>
      <c r="R153" s="444">
        <f t="shared" si="84"/>
        <v>7.1441411663738267E-3</v>
      </c>
      <c r="S153" s="445">
        <f t="shared" si="85"/>
        <v>209.4399999999996</v>
      </c>
      <c r="T153" s="444">
        <f t="shared" si="86"/>
        <v>6.0725199914177408E-2</v>
      </c>
      <c r="U153" s="364">
        <f t="shared" si="87"/>
        <v>8385.9775999999838</v>
      </c>
      <c r="V153" s="457">
        <f t="shared" si="88"/>
        <v>184.79999999999961</v>
      </c>
      <c r="W153" s="458">
        <f t="shared" si="89"/>
        <v>5.3581058747803584E-2</v>
      </c>
      <c r="X153" s="459">
        <f t="shared" si="90"/>
        <v>7399.3919999999844</v>
      </c>
      <c r="Y153" s="366" t="s">
        <v>417</v>
      </c>
      <c r="Z153" s="366" t="s">
        <v>216</v>
      </c>
      <c r="AA153" s="367" t="s">
        <v>722</v>
      </c>
      <c r="AB153" s="367" t="s">
        <v>723</v>
      </c>
      <c r="AC153" s="367">
        <v>1</v>
      </c>
      <c r="AD153" s="446" t="s">
        <v>533</v>
      </c>
    </row>
    <row r="154" spans="2:39" s="147" customFormat="1" ht="27" customHeight="1">
      <c r="B154" s="935"/>
      <c r="C154" s="936"/>
      <c r="D154" s="361">
        <v>16</v>
      </c>
      <c r="E154" s="440" t="s">
        <v>774</v>
      </c>
      <c r="F154" s="441">
        <f t="shared" si="78"/>
        <v>980.5548</v>
      </c>
      <c r="G154" s="365">
        <v>79.98</v>
      </c>
      <c r="H154" s="442">
        <v>635.69999999999993</v>
      </c>
      <c r="I154" s="442">
        <v>635.69999999999993</v>
      </c>
      <c r="J154" s="444">
        <f t="shared" si="79"/>
        <v>1</v>
      </c>
      <c r="K154" s="443">
        <v>650.25</v>
      </c>
      <c r="L154" s="444">
        <f t="shared" si="80"/>
        <v>1.0228881547899953</v>
      </c>
      <c r="M154" s="443">
        <v>12.52</v>
      </c>
      <c r="N154" s="444">
        <f t="shared" si="81"/>
        <v>1.9694824602800063E-2</v>
      </c>
      <c r="O154" s="445">
        <f t="shared" si="82"/>
        <v>662.77</v>
      </c>
      <c r="P154" s="444">
        <f t="shared" si="83"/>
        <v>1.0425829793927954</v>
      </c>
      <c r="Q154" s="442">
        <v>12.26</v>
      </c>
      <c r="R154" s="444">
        <f t="shared" si="84"/>
        <v>1.9285826647789838E-2</v>
      </c>
      <c r="S154" s="445">
        <f t="shared" si="85"/>
        <v>27.07000000000005</v>
      </c>
      <c r="T154" s="444">
        <f t="shared" si="86"/>
        <v>4.2582979392795428E-2</v>
      </c>
      <c r="U154" s="364">
        <f t="shared" si="87"/>
        <v>2165.0586000000039</v>
      </c>
      <c r="V154" s="457">
        <f t="shared" si="88"/>
        <v>14.81000000000005</v>
      </c>
      <c r="W154" s="458">
        <f t="shared" si="89"/>
        <v>2.3297152745005587E-2</v>
      </c>
      <c r="X154" s="459">
        <f t="shared" si="90"/>
        <v>1184.503800000004</v>
      </c>
      <c r="Y154" s="366" t="s">
        <v>417</v>
      </c>
      <c r="Z154" s="366" t="s">
        <v>445</v>
      </c>
      <c r="AA154" s="380" t="s">
        <v>787</v>
      </c>
      <c r="AB154" s="367" t="s">
        <v>788</v>
      </c>
      <c r="AC154" s="367">
        <v>1</v>
      </c>
      <c r="AD154" s="446" t="s">
        <v>580</v>
      </c>
    </row>
    <row r="155" spans="2:39" s="147" customFormat="1" ht="27" customHeight="1">
      <c r="B155" s="935"/>
      <c r="C155" s="936"/>
      <c r="D155" s="361">
        <v>17</v>
      </c>
      <c r="E155" s="440" t="s">
        <v>714</v>
      </c>
      <c r="F155" s="441">
        <f t="shared" si="78"/>
        <v>964.15539999999976</v>
      </c>
      <c r="G155" s="365">
        <v>91.13</v>
      </c>
      <c r="H155" s="442">
        <v>1281.8400000000001</v>
      </c>
      <c r="I155" s="442">
        <v>1281.8400000000001</v>
      </c>
      <c r="J155" s="444">
        <f t="shared" si="79"/>
        <v>1</v>
      </c>
      <c r="K155" s="443">
        <v>1317.8300000000002</v>
      </c>
      <c r="L155" s="444">
        <f t="shared" si="80"/>
        <v>1.0280768270610996</v>
      </c>
      <c r="M155" s="443">
        <v>35.989999999999995</v>
      </c>
      <c r="N155" s="444">
        <f t="shared" si="81"/>
        <v>2.8076827061099662E-2</v>
      </c>
      <c r="O155" s="445">
        <f t="shared" si="82"/>
        <v>1353.8200000000002</v>
      </c>
      <c r="P155" s="444">
        <f t="shared" si="83"/>
        <v>1.0561536541221994</v>
      </c>
      <c r="Q155" s="442">
        <v>10.579999999999998</v>
      </c>
      <c r="R155" s="444">
        <f t="shared" si="84"/>
        <v>8.253760219684202E-3</v>
      </c>
      <c r="S155" s="445">
        <f t="shared" si="85"/>
        <v>71.980000000000018</v>
      </c>
      <c r="T155" s="444">
        <f t="shared" si="86"/>
        <v>5.6153654122199345E-2</v>
      </c>
      <c r="U155" s="364">
        <f t="shared" si="87"/>
        <v>6559.5374000000011</v>
      </c>
      <c r="V155" s="457">
        <f t="shared" si="88"/>
        <v>61.40000000000002</v>
      </c>
      <c r="W155" s="458">
        <f t="shared" si="89"/>
        <v>4.7899893902515145E-2</v>
      </c>
      <c r="X155" s="459">
        <f t="shared" si="90"/>
        <v>5595.3820000000014</v>
      </c>
      <c r="Y155" s="366" t="s">
        <v>417</v>
      </c>
      <c r="Z155" s="366" t="s">
        <v>445</v>
      </c>
      <c r="AA155" s="367" t="s">
        <v>546</v>
      </c>
      <c r="AB155" s="367" t="s">
        <v>454</v>
      </c>
      <c r="AC155" s="367">
        <v>1</v>
      </c>
      <c r="AD155" s="446" t="s">
        <v>710</v>
      </c>
    </row>
    <row r="156" spans="2:39" s="147" customFormat="1" ht="27" customHeight="1">
      <c r="B156" s="935"/>
      <c r="C156" s="936"/>
      <c r="D156" s="361">
        <v>18</v>
      </c>
      <c r="E156" s="440" t="s">
        <v>776</v>
      </c>
      <c r="F156" s="441">
        <f t="shared" si="78"/>
        <v>954.94</v>
      </c>
      <c r="G156" s="365">
        <v>2.66</v>
      </c>
      <c r="H156" s="442">
        <v>19930</v>
      </c>
      <c r="I156" s="442">
        <v>19930</v>
      </c>
      <c r="J156" s="444">
        <f t="shared" si="79"/>
        <v>1</v>
      </c>
      <c r="K156" s="443">
        <v>20289</v>
      </c>
      <c r="L156" s="444">
        <f t="shared" si="80"/>
        <v>1.0180130456598093</v>
      </c>
      <c r="M156" s="443">
        <v>0</v>
      </c>
      <c r="N156" s="444">
        <f t="shared" si="81"/>
        <v>0</v>
      </c>
      <c r="O156" s="445">
        <f t="shared" si="82"/>
        <v>20289</v>
      </c>
      <c r="P156" s="444">
        <f t="shared" si="83"/>
        <v>1.0180130456598093</v>
      </c>
      <c r="Q156" s="442">
        <v>359</v>
      </c>
      <c r="R156" s="444">
        <f t="shared" si="84"/>
        <v>1.8013045659809334E-2</v>
      </c>
      <c r="S156" s="445">
        <f t="shared" si="85"/>
        <v>359</v>
      </c>
      <c r="T156" s="444">
        <f t="shared" si="86"/>
        <v>1.8013045659809334E-2</v>
      </c>
      <c r="U156" s="364">
        <f t="shared" si="87"/>
        <v>954.94</v>
      </c>
      <c r="V156" s="457">
        <f t="shared" si="88"/>
        <v>0</v>
      </c>
      <c r="W156" s="458">
        <f t="shared" si="89"/>
        <v>0</v>
      </c>
      <c r="X156" s="459">
        <f t="shared" si="90"/>
        <v>0</v>
      </c>
      <c r="Y156" s="366" t="s">
        <v>417</v>
      </c>
      <c r="Z156" s="366" t="s">
        <v>337</v>
      </c>
      <c r="AA156" s="380" t="s">
        <v>789</v>
      </c>
      <c r="AB156" s="367" t="s">
        <v>790</v>
      </c>
      <c r="AC156" s="367">
        <v>1</v>
      </c>
      <c r="AD156" s="446" t="s">
        <v>433</v>
      </c>
    </row>
    <row r="157" spans="2:39" s="147" customFormat="1" ht="27" customHeight="1">
      <c r="B157" s="935"/>
      <c r="C157" s="936"/>
      <c r="D157" s="361">
        <v>19</v>
      </c>
      <c r="E157" s="440" t="s">
        <v>618</v>
      </c>
      <c r="F157" s="441">
        <f t="shared" si="78"/>
        <v>952.64</v>
      </c>
      <c r="G157" s="365">
        <v>2.08</v>
      </c>
      <c r="H157" s="442">
        <v>24828</v>
      </c>
      <c r="I157" s="442">
        <v>24828</v>
      </c>
      <c r="J157" s="444">
        <f t="shared" si="79"/>
        <v>1</v>
      </c>
      <c r="K157" s="443">
        <v>25286</v>
      </c>
      <c r="L157" s="444">
        <f t="shared" si="80"/>
        <v>1.0184469147736426</v>
      </c>
      <c r="M157" s="443">
        <v>0</v>
      </c>
      <c r="N157" s="444">
        <f t="shared" si="81"/>
        <v>0</v>
      </c>
      <c r="O157" s="445">
        <f t="shared" si="82"/>
        <v>25286</v>
      </c>
      <c r="P157" s="444">
        <f t="shared" si="83"/>
        <v>1.0184469147736426</v>
      </c>
      <c r="Q157" s="442">
        <v>458</v>
      </c>
      <c r="R157" s="444">
        <f t="shared" si="84"/>
        <v>1.8446914773642662E-2</v>
      </c>
      <c r="S157" s="445">
        <f t="shared" si="85"/>
        <v>458</v>
      </c>
      <c r="T157" s="444">
        <f t="shared" si="86"/>
        <v>1.8446914773642662E-2</v>
      </c>
      <c r="U157" s="364">
        <f t="shared" si="87"/>
        <v>952.64</v>
      </c>
      <c r="V157" s="457">
        <f t="shared" si="88"/>
        <v>0</v>
      </c>
      <c r="W157" s="458">
        <f t="shared" si="89"/>
        <v>0</v>
      </c>
      <c r="X157" s="459">
        <f t="shared" si="90"/>
        <v>0</v>
      </c>
      <c r="Y157" s="366" t="s">
        <v>417</v>
      </c>
      <c r="Z157" s="366" t="s">
        <v>445</v>
      </c>
      <c r="AA157" s="367" t="s">
        <v>623</v>
      </c>
      <c r="AB157" s="367" t="s">
        <v>605</v>
      </c>
      <c r="AC157" s="367">
        <v>1</v>
      </c>
      <c r="AD157" s="446" t="s">
        <v>530</v>
      </c>
    </row>
    <row r="158" spans="2:39" s="147" customFormat="1" ht="27" customHeight="1">
      <c r="B158" s="937"/>
      <c r="C158" s="938"/>
      <c r="D158" s="361">
        <v>20</v>
      </c>
      <c r="E158" s="440" t="s">
        <v>775</v>
      </c>
      <c r="F158" s="441">
        <f t="shared" si="78"/>
        <v>950.63539999999978</v>
      </c>
      <c r="G158" s="365">
        <v>170.05999999999997</v>
      </c>
      <c r="H158" s="442">
        <v>160.23000000000002</v>
      </c>
      <c r="I158" s="442">
        <v>160.23000000000002</v>
      </c>
      <c r="J158" s="444">
        <f t="shared" si="79"/>
        <v>1</v>
      </c>
      <c r="K158" s="443">
        <v>171.47000000000003</v>
      </c>
      <c r="L158" s="444">
        <f t="shared" si="80"/>
        <v>1.070149160581664</v>
      </c>
      <c r="M158" s="443">
        <v>11.24</v>
      </c>
      <c r="N158" s="444">
        <f t="shared" si="81"/>
        <v>7.0149160581663858E-2</v>
      </c>
      <c r="O158" s="445">
        <f t="shared" si="82"/>
        <v>182.71000000000004</v>
      </c>
      <c r="P158" s="444">
        <f t="shared" si="83"/>
        <v>1.1402983211633277</v>
      </c>
      <c r="Q158" s="442">
        <v>5.59</v>
      </c>
      <c r="R158" s="444">
        <f t="shared" si="84"/>
        <v>3.4887349435186912E-2</v>
      </c>
      <c r="S158" s="445">
        <f t="shared" si="85"/>
        <v>22.480000000000018</v>
      </c>
      <c r="T158" s="444">
        <f t="shared" si="86"/>
        <v>0.14029832116332783</v>
      </c>
      <c r="U158" s="364">
        <f t="shared" si="87"/>
        <v>3822.9488000000024</v>
      </c>
      <c r="V158" s="457">
        <f t="shared" si="88"/>
        <v>16.890000000000018</v>
      </c>
      <c r="W158" s="458">
        <f t="shared" si="89"/>
        <v>0.1054109717281409</v>
      </c>
      <c r="X158" s="459">
        <f t="shared" si="90"/>
        <v>2872.3134000000027</v>
      </c>
      <c r="Y158" s="366" t="s">
        <v>417</v>
      </c>
      <c r="Z158" s="366" t="s">
        <v>445</v>
      </c>
      <c r="AA158" s="367" t="s">
        <v>725</v>
      </c>
      <c r="AB158" s="367" t="s">
        <v>455</v>
      </c>
      <c r="AC158" s="367">
        <v>1</v>
      </c>
      <c r="AD158" s="446" t="s">
        <v>710</v>
      </c>
    </row>
    <row r="159" spans="2:39" ht="16.5" customHeight="1">
      <c r="B159" s="949" t="s">
        <v>442</v>
      </c>
      <c r="C159" s="950"/>
      <c r="D159" s="953" t="s">
        <v>549</v>
      </c>
      <c r="E159" s="954" t="s">
        <v>550</v>
      </c>
      <c r="F159" s="955" t="s">
        <v>551</v>
      </c>
      <c r="G159" s="922" t="s">
        <v>552</v>
      </c>
      <c r="H159" s="956" t="s">
        <v>553</v>
      </c>
      <c r="I159" s="939" t="s">
        <v>554</v>
      </c>
      <c r="J159" s="940"/>
      <c r="K159" s="939" t="s">
        <v>555</v>
      </c>
      <c r="L159" s="940"/>
      <c r="M159" s="939" t="s">
        <v>556</v>
      </c>
      <c r="N159" s="940"/>
      <c r="O159" s="939" t="s">
        <v>557</v>
      </c>
      <c r="P159" s="940"/>
      <c r="Q159" s="939" t="s">
        <v>418</v>
      </c>
      <c r="R159" s="940"/>
      <c r="S159" s="941" t="s">
        <v>419</v>
      </c>
      <c r="T159" s="942"/>
      <c r="U159" s="943"/>
      <c r="V159" s="944" t="s">
        <v>718</v>
      </c>
      <c r="W159" s="945"/>
      <c r="X159" s="946"/>
      <c r="Y159" s="947" t="s">
        <v>171</v>
      </c>
      <c r="Z159" s="947" t="s">
        <v>245</v>
      </c>
      <c r="AA159" s="947" t="s">
        <v>558</v>
      </c>
      <c r="AB159" s="947" t="s">
        <v>444</v>
      </c>
      <c r="AC159" s="947" t="s">
        <v>246</v>
      </c>
      <c r="AD159" s="922" t="s">
        <v>172</v>
      </c>
      <c r="AF159" s="924" t="s">
        <v>247</v>
      </c>
      <c r="AG159" s="925"/>
      <c r="AH159" s="925"/>
      <c r="AI159" s="925"/>
      <c r="AJ159" s="925"/>
      <c r="AK159" s="925"/>
      <c r="AL159" s="925"/>
      <c r="AM159" s="926"/>
    </row>
    <row r="160" spans="2:39">
      <c r="B160" s="951"/>
      <c r="C160" s="952"/>
      <c r="D160" s="953"/>
      <c r="E160" s="953"/>
      <c r="F160" s="955"/>
      <c r="G160" s="923"/>
      <c r="H160" s="923"/>
      <c r="I160" s="439" t="s">
        <v>559</v>
      </c>
      <c r="J160" s="362" t="s">
        <v>560</v>
      </c>
      <c r="K160" s="439" t="s">
        <v>559</v>
      </c>
      <c r="L160" s="362" t="s">
        <v>560</v>
      </c>
      <c r="M160" s="439" t="s">
        <v>559</v>
      </c>
      <c r="N160" s="362" t="s">
        <v>560</v>
      </c>
      <c r="O160" s="439" t="s">
        <v>559</v>
      </c>
      <c r="P160" s="362" t="s">
        <v>560</v>
      </c>
      <c r="Q160" s="439" t="s">
        <v>559</v>
      </c>
      <c r="R160" s="362" t="s">
        <v>560</v>
      </c>
      <c r="S160" s="439" t="s">
        <v>559</v>
      </c>
      <c r="T160" s="362" t="s">
        <v>560</v>
      </c>
      <c r="U160" s="362" t="s">
        <v>561</v>
      </c>
      <c r="V160" s="439" t="s">
        <v>559</v>
      </c>
      <c r="W160" s="362" t="s">
        <v>560</v>
      </c>
      <c r="X160" s="362" t="s">
        <v>561</v>
      </c>
      <c r="Y160" s="948"/>
      <c r="Z160" s="948"/>
      <c r="AA160" s="948"/>
      <c r="AB160" s="948"/>
      <c r="AC160" s="948"/>
      <c r="AD160" s="923"/>
      <c r="AF160" s="927"/>
      <c r="AG160" s="928"/>
      <c r="AH160" s="928"/>
      <c r="AI160" s="928"/>
      <c r="AJ160" s="928"/>
      <c r="AK160" s="928"/>
      <c r="AL160" s="928"/>
      <c r="AM160" s="929"/>
    </row>
    <row r="161" spans="2:39" s="147" customFormat="1" ht="27" customHeight="1">
      <c r="B161" s="993" t="s">
        <v>802</v>
      </c>
      <c r="C161" s="934"/>
      <c r="D161" s="361">
        <v>1</v>
      </c>
      <c r="E161" s="440" t="s">
        <v>448</v>
      </c>
      <c r="F161" s="441">
        <f>IFERROR(Q161*G161,"-")</f>
        <v>2741.5499999999997</v>
      </c>
      <c r="G161" s="365">
        <v>2.4499999999999997</v>
      </c>
      <c r="H161" s="442">
        <v>161721</v>
      </c>
      <c r="I161" s="442">
        <v>161721</v>
      </c>
      <c r="J161" s="444">
        <f>IFERROR(I161/H161,"-")</f>
        <v>1</v>
      </c>
      <c r="K161" s="442">
        <v>162840</v>
      </c>
      <c r="L161" s="444">
        <f>IFERROR(K161/H161,"-")</f>
        <v>1.006919324020999</v>
      </c>
      <c r="M161" s="443">
        <v>0</v>
      </c>
      <c r="N161" s="444">
        <f>IFERROR(M161/H161,"-")</f>
        <v>0</v>
      </c>
      <c r="O161" s="445">
        <f>IFERROR(K161+M161,"-")</f>
        <v>162840</v>
      </c>
      <c r="P161" s="444">
        <f>IFERROR(O161/H161,"-")</f>
        <v>1.006919324020999</v>
      </c>
      <c r="Q161" s="442">
        <v>1119</v>
      </c>
      <c r="R161" s="444">
        <f>IFERROR(Q161/H161,"-")</f>
        <v>6.9193240209991279E-3</v>
      </c>
      <c r="S161" s="445">
        <f>IFERROR(O161-H161,"-")</f>
        <v>1119</v>
      </c>
      <c r="T161" s="444">
        <f>IFERROR(S161/H161,"-")</f>
        <v>6.9193240209991279E-3</v>
      </c>
      <c r="U161" s="364">
        <f>IFERROR(S161*G161,"-")</f>
        <v>2741.5499999999997</v>
      </c>
      <c r="V161" s="457">
        <f>S161-Q161</f>
        <v>0</v>
      </c>
      <c r="W161" s="458">
        <f>IFERROR(V161/H161,"-")</f>
        <v>0</v>
      </c>
      <c r="X161" s="459">
        <f>IFERROR(V161*G161,"-")</f>
        <v>0</v>
      </c>
      <c r="Y161" s="366" t="s">
        <v>417</v>
      </c>
      <c r="Z161" s="366" t="s">
        <v>337</v>
      </c>
      <c r="AA161" s="367" t="s">
        <v>467</v>
      </c>
      <c r="AB161" s="367" t="s">
        <v>468</v>
      </c>
      <c r="AC161" s="367">
        <v>1</v>
      </c>
      <c r="AD161" s="446" t="s">
        <v>340</v>
      </c>
      <c r="AF161" s="930"/>
      <c r="AG161" s="931"/>
      <c r="AH161" s="931"/>
      <c r="AI161" s="931"/>
      <c r="AJ161" s="931"/>
      <c r="AK161" s="931"/>
      <c r="AL161" s="931"/>
      <c r="AM161" s="932"/>
    </row>
    <row r="162" spans="2:39" s="147" customFormat="1" ht="27" customHeight="1">
      <c r="B162" s="935"/>
      <c r="C162" s="936"/>
      <c r="D162" s="361">
        <v>2</v>
      </c>
      <c r="E162" s="440" t="s">
        <v>447</v>
      </c>
      <c r="F162" s="441">
        <f t="shared" ref="F162:F180" si="93">IFERROR(Q162*G162,"-")</f>
        <v>2272.14</v>
      </c>
      <c r="G162" s="365">
        <v>1.17</v>
      </c>
      <c r="H162" s="442">
        <v>268518</v>
      </c>
      <c r="I162" s="442">
        <v>268518</v>
      </c>
      <c r="J162" s="444">
        <f t="shared" ref="J162:J180" si="94">IFERROR(I162/H162,"-")</f>
        <v>1</v>
      </c>
      <c r="K162" s="442">
        <v>270460</v>
      </c>
      <c r="L162" s="444">
        <f t="shared" ref="L162:L180" si="95">IFERROR(K162/H162,"-")</f>
        <v>1.0072322898278701</v>
      </c>
      <c r="M162" s="443">
        <v>0</v>
      </c>
      <c r="N162" s="444">
        <f t="shared" ref="N162:N180" si="96">IFERROR(M162/H162,"-")</f>
        <v>0</v>
      </c>
      <c r="O162" s="445">
        <f t="shared" ref="O162:O180" si="97">IFERROR(K162+M162,"-")</f>
        <v>270460</v>
      </c>
      <c r="P162" s="444">
        <f t="shared" ref="P162:P180" si="98">IFERROR(O162/H162,"-")</f>
        <v>1.0072322898278701</v>
      </c>
      <c r="Q162" s="442">
        <v>1942</v>
      </c>
      <c r="R162" s="444">
        <f t="shared" ref="R162:R180" si="99">IFERROR(Q162/H162,"-")</f>
        <v>7.2322898278700124E-3</v>
      </c>
      <c r="S162" s="445">
        <f t="shared" ref="S162:S180" si="100">IFERROR(O162-H162,"-")</f>
        <v>1942</v>
      </c>
      <c r="T162" s="444">
        <f t="shared" ref="T162:T180" si="101">IFERROR(S162/H162,"-")</f>
        <v>7.2322898278700124E-3</v>
      </c>
      <c r="U162" s="364">
        <f t="shared" ref="U162:U180" si="102">IFERROR(S162*G162,"-")</f>
        <v>2272.14</v>
      </c>
      <c r="V162" s="457">
        <f t="shared" ref="V162:V180" si="103">S162-Q162</f>
        <v>0</v>
      </c>
      <c r="W162" s="458">
        <f t="shared" ref="W162:W180" si="104">IFERROR(V162/H162,"-")</f>
        <v>0</v>
      </c>
      <c r="X162" s="459">
        <f t="shared" ref="X162:X180" si="105">IFERROR(V162*G162,"-")</f>
        <v>0</v>
      </c>
      <c r="Y162" s="366" t="s">
        <v>417</v>
      </c>
      <c r="Z162" s="366" t="s">
        <v>337</v>
      </c>
      <c r="AA162" s="367" t="s">
        <v>469</v>
      </c>
      <c r="AB162" s="367" t="s">
        <v>526</v>
      </c>
      <c r="AC162" s="367">
        <v>1</v>
      </c>
      <c r="AD162" s="446" t="s">
        <v>340</v>
      </c>
      <c r="AF162" s="160" t="s">
        <v>244</v>
      </c>
      <c r="AG162" s="160" t="s">
        <v>445</v>
      </c>
      <c r="AH162" s="155" t="s">
        <v>562</v>
      </c>
      <c r="AI162" s="155" t="s">
        <v>337</v>
      </c>
      <c r="AJ162" s="155" t="s">
        <v>428</v>
      </c>
      <c r="AK162" s="155" t="s">
        <v>215</v>
      </c>
      <c r="AL162" s="155" t="s">
        <v>216</v>
      </c>
      <c r="AM162" s="155" t="s">
        <v>384</v>
      </c>
    </row>
    <row r="163" spans="2:39" s="147" customFormat="1" ht="27" customHeight="1">
      <c r="B163" s="935"/>
      <c r="C163" s="936"/>
      <c r="D163" s="361">
        <v>3</v>
      </c>
      <c r="E163" s="440" t="s">
        <v>335</v>
      </c>
      <c r="F163" s="441">
        <f t="shared" si="93"/>
        <v>2101.2000000000003</v>
      </c>
      <c r="G163" s="365">
        <v>15.450000000000001</v>
      </c>
      <c r="H163" s="442">
        <v>67586</v>
      </c>
      <c r="I163" s="442">
        <v>67586</v>
      </c>
      <c r="J163" s="444">
        <f t="shared" si="94"/>
        <v>1</v>
      </c>
      <c r="K163" s="442">
        <v>67745</v>
      </c>
      <c r="L163" s="444">
        <f t="shared" si="95"/>
        <v>1.0023525582221171</v>
      </c>
      <c r="M163" s="443">
        <v>0</v>
      </c>
      <c r="N163" s="444">
        <f t="shared" si="96"/>
        <v>0</v>
      </c>
      <c r="O163" s="445">
        <f t="shared" si="97"/>
        <v>67745</v>
      </c>
      <c r="P163" s="444">
        <f t="shared" si="98"/>
        <v>1.0023525582221171</v>
      </c>
      <c r="Q163" s="442">
        <v>136</v>
      </c>
      <c r="R163" s="444">
        <f t="shared" si="99"/>
        <v>2.0122510579114019E-3</v>
      </c>
      <c r="S163" s="445">
        <f t="shared" si="100"/>
        <v>159</v>
      </c>
      <c r="T163" s="444">
        <f t="shared" si="101"/>
        <v>2.3525582221170065E-3</v>
      </c>
      <c r="U163" s="364">
        <f t="shared" si="102"/>
        <v>2456.5500000000002</v>
      </c>
      <c r="V163" s="457">
        <f t="shared" si="103"/>
        <v>23</v>
      </c>
      <c r="W163" s="458">
        <f t="shared" si="104"/>
        <v>3.4030716420560471E-4</v>
      </c>
      <c r="X163" s="459">
        <f t="shared" si="105"/>
        <v>355.35</v>
      </c>
      <c r="Y163" s="366" t="s">
        <v>417</v>
      </c>
      <c r="Z163" s="366" t="s">
        <v>216</v>
      </c>
      <c r="AA163" s="367" t="s">
        <v>466</v>
      </c>
      <c r="AB163" s="367" t="s">
        <v>721</v>
      </c>
      <c r="AC163" s="367">
        <v>1</v>
      </c>
      <c r="AD163" s="446" t="s">
        <v>523</v>
      </c>
      <c r="AF163" s="374">
        <f>SUM(AC161:AC180)</f>
        <v>20</v>
      </c>
      <c r="AG163" s="369">
        <f>SUMIF($Z$161:$Z$180,TRIM(AG162),$AC$161:$AC$180)</f>
        <v>9</v>
      </c>
      <c r="AH163" s="369">
        <f t="shared" ref="AH163:AM163" si="106">SUMIF($Z$161:$Z$180,TRIM(AH162),$AC$161:$AC$180)</f>
        <v>0</v>
      </c>
      <c r="AI163" s="369">
        <f t="shared" si="106"/>
        <v>6</v>
      </c>
      <c r="AJ163" s="369">
        <f t="shared" si="106"/>
        <v>0</v>
      </c>
      <c r="AK163" s="369">
        <f t="shared" si="106"/>
        <v>2</v>
      </c>
      <c r="AL163" s="369">
        <f t="shared" si="106"/>
        <v>3</v>
      </c>
      <c r="AM163" s="369">
        <f t="shared" si="106"/>
        <v>0</v>
      </c>
    </row>
    <row r="164" spans="2:39" s="147" customFormat="1" ht="27" customHeight="1">
      <c r="B164" s="935"/>
      <c r="C164" s="936"/>
      <c r="D164" s="361">
        <v>4</v>
      </c>
      <c r="E164" s="440" t="s">
        <v>771</v>
      </c>
      <c r="F164" s="441">
        <f t="shared" si="93"/>
        <v>1714.1280000000002</v>
      </c>
      <c r="G164" s="365">
        <v>52.26</v>
      </c>
      <c r="H164" s="442">
        <v>5567.94</v>
      </c>
      <c r="I164" s="442">
        <v>5567.94</v>
      </c>
      <c r="J164" s="444">
        <f t="shared" si="94"/>
        <v>1</v>
      </c>
      <c r="K164" s="442">
        <v>5680.57</v>
      </c>
      <c r="L164" s="444">
        <f t="shared" si="95"/>
        <v>1.0202283070579066</v>
      </c>
      <c r="M164" s="443">
        <v>112.63000000000001</v>
      </c>
      <c r="N164" s="444">
        <f t="shared" si="96"/>
        <v>2.0228307057906517E-2</v>
      </c>
      <c r="O164" s="445">
        <f t="shared" si="97"/>
        <v>5793.2</v>
      </c>
      <c r="P164" s="444">
        <f t="shared" si="98"/>
        <v>1.0404566141158131</v>
      </c>
      <c r="Q164" s="442">
        <v>32.800000000000004</v>
      </c>
      <c r="R164" s="444">
        <f t="shared" si="99"/>
        <v>5.8908680768830135E-3</v>
      </c>
      <c r="S164" s="445">
        <f t="shared" si="100"/>
        <v>225.26000000000022</v>
      </c>
      <c r="T164" s="444">
        <f t="shared" si="101"/>
        <v>4.0456614115813069E-2</v>
      </c>
      <c r="U164" s="364">
        <f t="shared" si="102"/>
        <v>11772.087600000012</v>
      </c>
      <c r="V164" s="457">
        <f t="shared" si="103"/>
        <v>192.46000000000021</v>
      </c>
      <c r="W164" s="458">
        <f t="shared" si="104"/>
        <v>3.4565746038930055E-2</v>
      </c>
      <c r="X164" s="459">
        <f t="shared" si="105"/>
        <v>10057.959600000011</v>
      </c>
      <c r="Y164" s="366" t="s">
        <v>417</v>
      </c>
      <c r="Z164" s="366" t="s">
        <v>216</v>
      </c>
      <c r="AA164" s="367" t="s">
        <v>722</v>
      </c>
      <c r="AB164" s="367" t="s">
        <v>810</v>
      </c>
      <c r="AC164" s="367">
        <v>1</v>
      </c>
      <c r="AD164" s="446" t="s">
        <v>752</v>
      </c>
      <c r="AF164" s="375" t="s">
        <v>11</v>
      </c>
      <c r="AG164" s="372">
        <f>SUMIF($Z$161:$Z180,TRIM(AG162),$F$161:$F$180)</f>
        <v>9777.4308000000037</v>
      </c>
      <c r="AH164" s="372">
        <f>SUMIF($Z$161:$Z180,TRIM(AH162),$F$161:$F$180)</f>
        <v>0</v>
      </c>
      <c r="AI164" s="372">
        <f>SUMIF($Z$161:$Z180,TRIM(AI162),$F$161:$F$180)</f>
        <v>10109.269</v>
      </c>
      <c r="AJ164" s="372">
        <f>SUMIF($Z$161:$Z180,TRIM(AJ162),$F$161:$F$180)</f>
        <v>0</v>
      </c>
      <c r="AK164" s="372">
        <f>SUMIF($Z$161:$Z180,TRIM(AK162),$F$161:$F$180)</f>
        <v>2642.8573000000006</v>
      </c>
      <c r="AL164" s="372">
        <f>SUMIF($Z$161:$Z180,TRIM(AL162),$F$161:$F$180)</f>
        <v>5259.3654000000006</v>
      </c>
      <c r="AM164" s="372">
        <f>SUMIF($Z$161:$Z180,TRIM(AM162),$F$161:$F$180)</f>
        <v>0</v>
      </c>
    </row>
    <row r="165" spans="2:39" s="147" customFormat="1" ht="27" customHeight="1">
      <c r="B165" s="935"/>
      <c r="C165" s="936"/>
      <c r="D165" s="361">
        <v>5</v>
      </c>
      <c r="E165" s="440" t="s">
        <v>692</v>
      </c>
      <c r="F165" s="441">
        <f t="shared" si="93"/>
        <v>1652.4815999999998</v>
      </c>
      <c r="G165" s="365">
        <v>625.94000000000005</v>
      </c>
      <c r="H165" s="442">
        <v>1693.99</v>
      </c>
      <c r="I165" s="442">
        <v>1693.99</v>
      </c>
      <c r="J165" s="444">
        <f t="shared" si="94"/>
        <v>1</v>
      </c>
      <c r="K165" s="442">
        <v>1709.8799999999999</v>
      </c>
      <c r="L165" s="444">
        <f t="shared" si="95"/>
        <v>1.0093802206624596</v>
      </c>
      <c r="M165" s="443">
        <v>15.89</v>
      </c>
      <c r="N165" s="444">
        <f t="shared" si="96"/>
        <v>9.3802206624596374E-3</v>
      </c>
      <c r="O165" s="445">
        <f t="shared" si="97"/>
        <v>1725.77</v>
      </c>
      <c r="P165" s="444">
        <f t="shared" si="98"/>
        <v>1.0187604413249192</v>
      </c>
      <c r="Q165" s="442">
        <v>2.6399999999999997</v>
      </c>
      <c r="R165" s="444">
        <f t="shared" si="99"/>
        <v>1.5584507582689388E-3</v>
      </c>
      <c r="S165" s="445">
        <f t="shared" si="100"/>
        <v>31.779999999999973</v>
      </c>
      <c r="T165" s="444">
        <f t="shared" si="101"/>
        <v>1.8760441324919257E-2</v>
      </c>
      <c r="U165" s="364">
        <f t="shared" si="102"/>
        <v>19892.373199999984</v>
      </c>
      <c r="V165" s="457">
        <f t="shared" si="103"/>
        <v>29.139999999999972</v>
      </c>
      <c r="W165" s="458">
        <f t="shared" si="104"/>
        <v>1.7201990566650317E-2</v>
      </c>
      <c r="X165" s="459">
        <f t="shared" si="105"/>
        <v>18239.891599999984</v>
      </c>
      <c r="Y165" s="366" t="s">
        <v>417</v>
      </c>
      <c r="Z165" s="366" t="s">
        <v>337</v>
      </c>
      <c r="AA165" s="367" t="s">
        <v>727</v>
      </c>
      <c r="AB165" s="367" t="s">
        <v>728</v>
      </c>
      <c r="AC165" s="367">
        <v>1</v>
      </c>
      <c r="AD165" s="446" t="s">
        <v>697</v>
      </c>
      <c r="AF165" s="361" t="s">
        <v>563</v>
      </c>
      <c r="AG165" s="447">
        <f>AG163/$AF163</f>
        <v>0.45</v>
      </c>
      <c r="AH165" s="447">
        <f t="shared" ref="AH165:AM165" si="107">AH163/$AF163</f>
        <v>0</v>
      </c>
      <c r="AI165" s="447">
        <f t="shared" si="107"/>
        <v>0.3</v>
      </c>
      <c r="AJ165" s="447">
        <f t="shared" si="107"/>
        <v>0</v>
      </c>
      <c r="AK165" s="447">
        <f t="shared" si="107"/>
        <v>0.1</v>
      </c>
      <c r="AL165" s="447">
        <f t="shared" si="107"/>
        <v>0.15</v>
      </c>
      <c r="AM165" s="447">
        <f t="shared" si="107"/>
        <v>0</v>
      </c>
    </row>
    <row r="166" spans="2:39" s="147" customFormat="1" ht="27" customHeight="1">
      <c r="B166" s="935"/>
      <c r="C166" s="936"/>
      <c r="D166" s="361">
        <v>6</v>
      </c>
      <c r="E166" s="440" t="s">
        <v>336</v>
      </c>
      <c r="F166" s="441">
        <f t="shared" si="93"/>
        <v>1593.7183000000005</v>
      </c>
      <c r="G166" s="365">
        <v>147.43000000000004</v>
      </c>
      <c r="H166" s="442">
        <v>4892.96</v>
      </c>
      <c r="I166" s="442">
        <v>4892.96</v>
      </c>
      <c r="J166" s="444">
        <f t="shared" si="94"/>
        <v>1</v>
      </c>
      <c r="K166" s="442">
        <v>4976.6400000000003</v>
      </c>
      <c r="L166" s="444">
        <f t="shared" si="95"/>
        <v>1.017102122232759</v>
      </c>
      <c r="M166" s="443">
        <v>83.68</v>
      </c>
      <c r="N166" s="444">
        <f t="shared" si="96"/>
        <v>1.7102122232758903E-2</v>
      </c>
      <c r="O166" s="445">
        <f t="shared" si="97"/>
        <v>5060.3200000000006</v>
      </c>
      <c r="P166" s="444">
        <f t="shared" si="98"/>
        <v>1.034204244465518</v>
      </c>
      <c r="Q166" s="442">
        <v>10.81</v>
      </c>
      <c r="R166" s="444">
        <f t="shared" si="99"/>
        <v>2.2092966220856086E-3</v>
      </c>
      <c r="S166" s="445">
        <f t="shared" si="100"/>
        <v>167.36000000000058</v>
      </c>
      <c r="T166" s="444">
        <f t="shared" si="101"/>
        <v>3.4204244465517925E-2</v>
      </c>
      <c r="U166" s="364">
        <f t="shared" si="102"/>
        <v>24673.884800000091</v>
      </c>
      <c r="V166" s="457">
        <f t="shared" si="103"/>
        <v>156.55000000000058</v>
      </c>
      <c r="W166" s="458">
        <f t="shared" si="104"/>
        <v>3.1994947843432313E-2</v>
      </c>
      <c r="X166" s="459">
        <f t="shared" si="105"/>
        <v>23080.16650000009</v>
      </c>
      <c r="Y166" s="366" t="s">
        <v>417</v>
      </c>
      <c r="Z166" s="366" t="s">
        <v>215</v>
      </c>
      <c r="AA166" s="367" t="s">
        <v>811</v>
      </c>
      <c r="AB166" s="367" t="s">
        <v>721</v>
      </c>
      <c r="AC166" s="367">
        <v>1</v>
      </c>
      <c r="AD166" s="446" t="s">
        <v>340</v>
      </c>
    </row>
    <row r="167" spans="2:39" s="147" customFormat="1" ht="27" customHeight="1">
      <c r="B167" s="935"/>
      <c r="C167" s="936"/>
      <c r="D167" s="361">
        <v>7</v>
      </c>
      <c r="E167" s="440" t="s">
        <v>534</v>
      </c>
      <c r="F167" s="441">
        <f t="shared" si="93"/>
        <v>1444.0373999999997</v>
      </c>
      <c r="G167" s="365">
        <v>39.389999999999993</v>
      </c>
      <c r="H167" s="442">
        <v>30859.499999999996</v>
      </c>
      <c r="I167" s="442">
        <v>30859.499999999996</v>
      </c>
      <c r="J167" s="444">
        <f t="shared" si="94"/>
        <v>1</v>
      </c>
      <c r="K167" s="442">
        <v>31027.140000000007</v>
      </c>
      <c r="L167" s="444">
        <f t="shared" si="95"/>
        <v>1.0054323628056194</v>
      </c>
      <c r="M167" s="443">
        <v>167.64</v>
      </c>
      <c r="N167" s="444">
        <f t="shared" si="96"/>
        <v>5.4323628056190155E-3</v>
      </c>
      <c r="O167" s="445">
        <f t="shared" si="97"/>
        <v>31194.780000000006</v>
      </c>
      <c r="P167" s="444">
        <f t="shared" si="98"/>
        <v>1.0108647256112384</v>
      </c>
      <c r="Q167" s="442">
        <v>36.659999999999997</v>
      </c>
      <c r="R167" s="444">
        <f t="shared" si="99"/>
        <v>1.1879648082438147E-3</v>
      </c>
      <c r="S167" s="445">
        <f t="shared" si="100"/>
        <v>335.28000000000975</v>
      </c>
      <c r="T167" s="444">
        <f t="shared" si="101"/>
        <v>1.0864725611238347E-2</v>
      </c>
      <c r="U167" s="364">
        <f t="shared" si="102"/>
        <v>13206.679200000382</v>
      </c>
      <c r="V167" s="457">
        <f t="shared" si="103"/>
        <v>298.62000000000978</v>
      </c>
      <c r="W167" s="458">
        <f t="shared" si="104"/>
        <v>9.6767608029945332E-3</v>
      </c>
      <c r="X167" s="459">
        <f t="shared" si="105"/>
        <v>11762.641800000383</v>
      </c>
      <c r="Y167" s="366" t="s">
        <v>417</v>
      </c>
      <c r="Z167" s="366" t="s">
        <v>216</v>
      </c>
      <c r="AA167" s="367" t="s">
        <v>722</v>
      </c>
      <c r="AB167" s="367" t="s">
        <v>810</v>
      </c>
      <c r="AC167" s="367">
        <v>1</v>
      </c>
      <c r="AD167" s="446" t="s">
        <v>340</v>
      </c>
    </row>
    <row r="168" spans="2:39" s="147" customFormat="1" ht="27" customHeight="1">
      <c r="B168" s="935"/>
      <c r="C168" s="936"/>
      <c r="D168" s="361">
        <v>8</v>
      </c>
      <c r="E168" s="440" t="s">
        <v>386</v>
      </c>
      <c r="F168" s="441">
        <f t="shared" si="93"/>
        <v>1371.7232000000001</v>
      </c>
      <c r="G168" s="365">
        <v>127.84000000000002</v>
      </c>
      <c r="H168" s="442">
        <v>4503.34</v>
      </c>
      <c r="I168" s="442">
        <v>4503.34</v>
      </c>
      <c r="J168" s="444">
        <f t="shared" si="94"/>
        <v>1</v>
      </c>
      <c r="K168" s="442">
        <v>4558.92</v>
      </c>
      <c r="L168" s="444">
        <f t="shared" si="95"/>
        <v>1.0123419506410798</v>
      </c>
      <c r="M168" s="443">
        <v>55.579999999999991</v>
      </c>
      <c r="N168" s="444">
        <f t="shared" si="96"/>
        <v>1.234195064107973E-2</v>
      </c>
      <c r="O168" s="445">
        <f t="shared" si="97"/>
        <v>4614.5</v>
      </c>
      <c r="P168" s="444">
        <f t="shared" si="98"/>
        <v>1.0246839012821594</v>
      </c>
      <c r="Q168" s="442">
        <v>10.73</v>
      </c>
      <c r="R168" s="444">
        <f t="shared" si="99"/>
        <v>2.3826759693916072E-3</v>
      </c>
      <c r="S168" s="445">
        <f t="shared" si="100"/>
        <v>111.15999999999985</v>
      </c>
      <c r="T168" s="444">
        <f t="shared" si="101"/>
        <v>2.4683901282159432E-2</v>
      </c>
      <c r="U168" s="364">
        <f t="shared" si="102"/>
        <v>14210.694399999984</v>
      </c>
      <c r="V168" s="457">
        <f t="shared" si="103"/>
        <v>100.42999999999985</v>
      </c>
      <c r="W168" s="458">
        <f t="shared" si="104"/>
        <v>2.2301225312767823E-2</v>
      </c>
      <c r="X168" s="459">
        <f t="shared" si="105"/>
        <v>12838.971199999982</v>
      </c>
      <c r="Y168" s="366" t="s">
        <v>417</v>
      </c>
      <c r="Z168" s="366" t="s">
        <v>445</v>
      </c>
      <c r="AA168" s="367" t="s">
        <v>725</v>
      </c>
      <c r="AB168" s="367" t="s">
        <v>812</v>
      </c>
      <c r="AC168" s="367">
        <v>1</v>
      </c>
      <c r="AD168" s="446" t="s">
        <v>340</v>
      </c>
    </row>
    <row r="169" spans="2:39" s="147" customFormat="1" ht="27" customHeight="1">
      <c r="B169" s="935"/>
      <c r="C169" s="936"/>
      <c r="D169" s="361">
        <v>9</v>
      </c>
      <c r="E169" s="440" t="s">
        <v>461</v>
      </c>
      <c r="F169" s="441">
        <f t="shared" si="93"/>
        <v>1341.4646</v>
      </c>
      <c r="G169" s="365">
        <v>407.74</v>
      </c>
      <c r="H169" s="442">
        <v>1287.45</v>
      </c>
      <c r="I169" s="442">
        <v>1287.45</v>
      </c>
      <c r="J169" s="444">
        <f t="shared" si="94"/>
        <v>1</v>
      </c>
      <c r="K169" s="442">
        <v>1301.3799999999999</v>
      </c>
      <c r="L169" s="444">
        <f t="shared" si="95"/>
        <v>1.0108198376635984</v>
      </c>
      <c r="M169" s="443">
        <v>13.929999999999998</v>
      </c>
      <c r="N169" s="444">
        <f t="shared" si="96"/>
        <v>1.0819837663598585E-2</v>
      </c>
      <c r="O169" s="445">
        <f t="shared" si="97"/>
        <v>1315.31</v>
      </c>
      <c r="P169" s="444">
        <f t="shared" si="98"/>
        <v>1.021639675327197</v>
      </c>
      <c r="Q169" s="442">
        <v>3.29</v>
      </c>
      <c r="R169" s="444">
        <f t="shared" si="99"/>
        <v>2.5554390461765505E-3</v>
      </c>
      <c r="S169" s="445">
        <f t="shared" si="100"/>
        <v>27.8599999999999</v>
      </c>
      <c r="T169" s="444">
        <f t="shared" si="101"/>
        <v>2.1639675327197093E-2</v>
      </c>
      <c r="U169" s="364">
        <f t="shared" si="102"/>
        <v>11359.636399999959</v>
      </c>
      <c r="V169" s="457">
        <f t="shared" si="103"/>
        <v>24.569999999999901</v>
      </c>
      <c r="W169" s="458">
        <f t="shared" si="104"/>
        <v>1.9084236281020545E-2</v>
      </c>
      <c r="X169" s="459">
        <f t="shared" si="105"/>
        <v>10018.17179999996</v>
      </c>
      <c r="Y169" s="366" t="s">
        <v>417</v>
      </c>
      <c r="Z169" s="366" t="s">
        <v>337</v>
      </c>
      <c r="AA169" s="367" t="s">
        <v>727</v>
      </c>
      <c r="AB169" s="380" t="s">
        <v>813</v>
      </c>
      <c r="AC169" s="367">
        <v>1</v>
      </c>
      <c r="AD169" s="446" t="s">
        <v>463</v>
      </c>
      <c r="AH169" s="370"/>
    </row>
    <row r="170" spans="2:39" s="147" customFormat="1" ht="27" customHeight="1">
      <c r="B170" s="935"/>
      <c r="C170" s="936"/>
      <c r="D170" s="361">
        <v>10</v>
      </c>
      <c r="E170" s="440" t="s">
        <v>583</v>
      </c>
      <c r="F170" s="441">
        <f t="shared" si="93"/>
        <v>1052.6768000000004</v>
      </c>
      <c r="G170" s="365">
        <v>113.68000000000004</v>
      </c>
      <c r="H170" s="442">
        <v>1387.4</v>
      </c>
      <c r="I170" s="442">
        <v>1387.4</v>
      </c>
      <c r="J170" s="444">
        <f t="shared" si="94"/>
        <v>1</v>
      </c>
      <c r="K170" s="442">
        <v>1422.74</v>
      </c>
      <c r="L170" s="444">
        <f t="shared" si="95"/>
        <v>1.0254721060977368</v>
      </c>
      <c r="M170" s="443">
        <v>35.340000000000003</v>
      </c>
      <c r="N170" s="444">
        <f t="shared" si="96"/>
        <v>2.5472106097736775E-2</v>
      </c>
      <c r="O170" s="445">
        <f t="shared" si="97"/>
        <v>1458.08</v>
      </c>
      <c r="P170" s="444">
        <f t="shared" si="98"/>
        <v>1.0509442121954735</v>
      </c>
      <c r="Q170" s="442">
        <v>9.26</v>
      </c>
      <c r="R170" s="444">
        <f t="shared" si="99"/>
        <v>6.6743549084618704E-3</v>
      </c>
      <c r="S170" s="445">
        <f t="shared" si="100"/>
        <v>70.679999999999836</v>
      </c>
      <c r="T170" s="444">
        <f t="shared" si="101"/>
        <v>5.0944212195473425E-2</v>
      </c>
      <c r="U170" s="364">
        <f t="shared" si="102"/>
        <v>8034.9023999999836</v>
      </c>
      <c r="V170" s="457">
        <f t="shared" si="103"/>
        <v>61.419999999999838</v>
      </c>
      <c r="W170" s="458">
        <f t="shared" si="104"/>
        <v>4.4269857287011556E-2</v>
      </c>
      <c r="X170" s="459">
        <f t="shared" si="105"/>
        <v>6982.2255999999834</v>
      </c>
      <c r="Y170" s="366" t="s">
        <v>417</v>
      </c>
      <c r="Z170" s="366" t="s">
        <v>445</v>
      </c>
      <c r="AA170" s="367" t="s">
        <v>479</v>
      </c>
      <c r="AB170" s="367" t="s">
        <v>726</v>
      </c>
      <c r="AC170" s="367">
        <v>1</v>
      </c>
      <c r="AD170" s="446" t="s">
        <v>566</v>
      </c>
      <c r="AH170" s="370"/>
    </row>
    <row r="171" spans="2:39" s="147" customFormat="1" ht="27" customHeight="1">
      <c r="B171" s="935"/>
      <c r="C171" s="936"/>
      <c r="D171" s="361">
        <v>11</v>
      </c>
      <c r="E171" s="440" t="s">
        <v>806</v>
      </c>
      <c r="F171" s="441">
        <f t="shared" si="93"/>
        <v>1052.4338</v>
      </c>
      <c r="G171" s="365">
        <v>335.17</v>
      </c>
      <c r="H171" s="442">
        <v>203.5</v>
      </c>
      <c r="I171" s="442">
        <v>203.5</v>
      </c>
      <c r="J171" s="444">
        <f t="shared" si="94"/>
        <v>1</v>
      </c>
      <c r="K171" s="442">
        <v>210.9</v>
      </c>
      <c r="L171" s="444">
        <f t="shared" si="95"/>
        <v>1.0363636363636364</v>
      </c>
      <c r="M171" s="443">
        <v>7.4</v>
      </c>
      <c r="N171" s="444">
        <f t="shared" si="96"/>
        <v>3.6363636363636369E-2</v>
      </c>
      <c r="O171" s="445">
        <f t="shared" si="97"/>
        <v>218.3</v>
      </c>
      <c r="P171" s="444">
        <f t="shared" si="98"/>
        <v>1.0727272727272728</v>
      </c>
      <c r="Q171" s="442">
        <v>3.14</v>
      </c>
      <c r="R171" s="444">
        <f t="shared" si="99"/>
        <v>1.5429975429975431E-2</v>
      </c>
      <c r="S171" s="445">
        <f t="shared" si="100"/>
        <v>14.800000000000011</v>
      </c>
      <c r="T171" s="444">
        <f t="shared" si="101"/>
        <v>7.2727272727272779E-2</v>
      </c>
      <c r="U171" s="364">
        <f t="shared" si="102"/>
        <v>4960.5160000000042</v>
      </c>
      <c r="V171" s="457">
        <f t="shared" si="103"/>
        <v>11.660000000000011</v>
      </c>
      <c r="W171" s="458">
        <f t="shared" si="104"/>
        <v>5.729729729729735E-2</v>
      </c>
      <c r="X171" s="459">
        <f t="shared" si="105"/>
        <v>3908.0822000000039</v>
      </c>
      <c r="Y171" s="366" t="s">
        <v>417</v>
      </c>
      <c r="Z171" s="366" t="s">
        <v>337</v>
      </c>
      <c r="AA171" s="367" t="s">
        <v>814</v>
      </c>
      <c r="AB171" s="367" t="s">
        <v>815</v>
      </c>
      <c r="AC171" s="367">
        <v>1</v>
      </c>
      <c r="AD171" s="446" t="s">
        <v>664</v>
      </c>
      <c r="AH171" s="370"/>
    </row>
    <row r="172" spans="2:39" s="147" customFormat="1" ht="26.25" customHeight="1">
      <c r="B172" s="935"/>
      <c r="C172" s="936"/>
      <c r="D172" s="361">
        <v>12</v>
      </c>
      <c r="E172" s="440" t="s">
        <v>635</v>
      </c>
      <c r="F172" s="441">
        <f t="shared" si="93"/>
        <v>1052.1984</v>
      </c>
      <c r="G172" s="365">
        <v>49.82</v>
      </c>
      <c r="H172" s="442">
        <v>3369</v>
      </c>
      <c r="I172" s="442">
        <v>3369</v>
      </c>
      <c r="J172" s="444">
        <f t="shared" si="94"/>
        <v>1</v>
      </c>
      <c r="K172" s="442">
        <v>3455.0400000000009</v>
      </c>
      <c r="L172" s="444">
        <f t="shared" si="95"/>
        <v>1.0255387355298311</v>
      </c>
      <c r="M172" s="443">
        <v>86.039999999999992</v>
      </c>
      <c r="N172" s="444">
        <f t="shared" si="96"/>
        <v>2.5538735529830808E-2</v>
      </c>
      <c r="O172" s="445">
        <f t="shared" si="97"/>
        <v>3541.0800000000008</v>
      </c>
      <c r="P172" s="444">
        <f t="shared" si="98"/>
        <v>1.0510774710596618</v>
      </c>
      <c r="Q172" s="442">
        <v>21.12</v>
      </c>
      <c r="R172" s="444">
        <f t="shared" si="99"/>
        <v>6.2689225289403383E-3</v>
      </c>
      <c r="S172" s="445">
        <f t="shared" si="100"/>
        <v>172.08000000000084</v>
      </c>
      <c r="T172" s="444">
        <f t="shared" si="101"/>
        <v>5.1077471059661872E-2</v>
      </c>
      <c r="U172" s="364">
        <f t="shared" si="102"/>
        <v>8573.0256000000409</v>
      </c>
      <c r="V172" s="457">
        <f t="shared" si="103"/>
        <v>150.96000000000083</v>
      </c>
      <c r="W172" s="458">
        <f t="shared" si="104"/>
        <v>4.4808548530721526E-2</v>
      </c>
      <c r="X172" s="459">
        <f t="shared" si="105"/>
        <v>7520.8272000000416</v>
      </c>
      <c r="Y172" s="366" t="s">
        <v>417</v>
      </c>
      <c r="Z172" s="366" t="s">
        <v>445</v>
      </c>
      <c r="AA172" s="367" t="s">
        <v>479</v>
      </c>
      <c r="AB172" s="367" t="s">
        <v>726</v>
      </c>
      <c r="AC172" s="367">
        <v>1</v>
      </c>
      <c r="AD172" s="446" t="s">
        <v>616</v>
      </c>
      <c r="AH172" s="370"/>
    </row>
    <row r="173" spans="2:39" s="147" customFormat="1" ht="27" customHeight="1">
      <c r="B173" s="935"/>
      <c r="C173" s="936"/>
      <c r="D173" s="361">
        <v>13</v>
      </c>
      <c r="E173" s="440" t="s">
        <v>804</v>
      </c>
      <c r="F173" s="441">
        <f t="shared" ref="F173:F179" si="108">IFERROR(Q173*G173,"-")</f>
        <v>1050.8832</v>
      </c>
      <c r="G173" s="365">
        <v>243.26</v>
      </c>
      <c r="H173" s="442">
        <v>244.5</v>
      </c>
      <c r="I173" s="442">
        <v>244.5</v>
      </c>
      <c r="J173" s="444">
        <f t="shared" ref="J173:J179" si="109">IFERROR(I173/H173,"-")</f>
        <v>1</v>
      </c>
      <c r="K173" s="442">
        <v>250.81</v>
      </c>
      <c r="L173" s="444">
        <f t="shared" ref="L173:L179" si="110">IFERROR(K173/H173,"-")</f>
        <v>1.0258077709611453</v>
      </c>
      <c r="M173" s="443">
        <v>6.3100000000000005</v>
      </c>
      <c r="N173" s="444">
        <f t="shared" ref="N173:N179" si="111">IFERROR(M173/H173,"-")</f>
        <v>2.5807770961145195E-2</v>
      </c>
      <c r="O173" s="445">
        <f t="shared" ref="O173:O179" si="112">IFERROR(K173+M173,"-")</f>
        <v>257.12</v>
      </c>
      <c r="P173" s="444">
        <f t="shared" ref="P173:P179" si="113">IFERROR(O173/H173,"-")</f>
        <v>1.0516155419222903</v>
      </c>
      <c r="Q173" s="442">
        <v>4.32</v>
      </c>
      <c r="R173" s="444">
        <f t="shared" ref="R173:R179" si="114">IFERROR(Q173/H173,"-")</f>
        <v>1.7668711656441721E-2</v>
      </c>
      <c r="S173" s="445">
        <f t="shared" ref="S173:S179" si="115">IFERROR(O173-H173,"-")</f>
        <v>12.620000000000005</v>
      </c>
      <c r="T173" s="444">
        <f t="shared" ref="T173:T179" si="116">IFERROR(S173/H173,"-")</f>
        <v>5.1615541922290405E-2</v>
      </c>
      <c r="U173" s="364">
        <f t="shared" ref="U173:U179" si="117">IFERROR(S173*G173,"-")</f>
        <v>3069.9412000000011</v>
      </c>
      <c r="V173" s="457">
        <f t="shared" ref="V173:V179" si="118">S173-Q173</f>
        <v>8.3000000000000043</v>
      </c>
      <c r="W173" s="458">
        <f t="shared" ref="W173:W179" si="119">IFERROR(V173/H173,"-")</f>
        <v>3.3946830265848688E-2</v>
      </c>
      <c r="X173" s="459">
        <f t="shared" ref="X173:X179" si="120">IFERROR(V173*G173,"-")</f>
        <v>2019.0580000000009</v>
      </c>
      <c r="Y173" s="366" t="s">
        <v>417</v>
      </c>
      <c r="Z173" s="366" t="s">
        <v>445</v>
      </c>
      <c r="AA173" s="366" t="s">
        <v>725</v>
      </c>
      <c r="AB173" s="367" t="s">
        <v>454</v>
      </c>
      <c r="AC173" s="367">
        <v>1</v>
      </c>
      <c r="AD173" s="446" t="s">
        <v>710</v>
      </c>
    </row>
    <row r="174" spans="2:39" s="147" customFormat="1" ht="27" customHeight="1">
      <c r="B174" s="935"/>
      <c r="C174" s="936"/>
      <c r="D174" s="361">
        <v>14</v>
      </c>
      <c r="E174" s="440" t="s">
        <v>807</v>
      </c>
      <c r="F174" s="441">
        <f t="shared" si="108"/>
        <v>1050.43</v>
      </c>
      <c r="G174" s="365">
        <v>1.67</v>
      </c>
      <c r="H174" s="442">
        <v>17805</v>
      </c>
      <c r="I174" s="442">
        <v>17805</v>
      </c>
      <c r="J174" s="444">
        <f t="shared" si="109"/>
        <v>1</v>
      </c>
      <c r="K174" s="442">
        <v>18434</v>
      </c>
      <c r="L174" s="444">
        <f t="shared" si="110"/>
        <v>1.0353271552934569</v>
      </c>
      <c r="M174" s="443">
        <v>0</v>
      </c>
      <c r="N174" s="444">
        <f t="shared" si="111"/>
        <v>0</v>
      </c>
      <c r="O174" s="445">
        <f t="shared" si="112"/>
        <v>18434</v>
      </c>
      <c r="P174" s="444">
        <f t="shared" si="113"/>
        <v>1.0353271552934569</v>
      </c>
      <c r="Q174" s="442">
        <v>629</v>
      </c>
      <c r="R174" s="444">
        <f t="shared" si="114"/>
        <v>3.5327155293456897E-2</v>
      </c>
      <c r="S174" s="445">
        <f t="shared" si="115"/>
        <v>629</v>
      </c>
      <c r="T174" s="444">
        <f t="shared" si="116"/>
        <v>3.5327155293456897E-2</v>
      </c>
      <c r="U174" s="364">
        <f t="shared" si="117"/>
        <v>1050.43</v>
      </c>
      <c r="V174" s="457">
        <f t="shared" si="118"/>
        <v>0</v>
      </c>
      <c r="W174" s="458">
        <f t="shared" si="119"/>
        <v>0</v>
      </c>
      <c r="X174" s="459">
        <f>IFERROR(V174*G174,"-")</f>
        <v>0</v>
      </c>
      <c r="Y174" s="366" t="s">
        <v>417</v>
      </c>
      <c r="Z174" s="366" t="s">
        <v>445</v>
      </c>
      <c r="AA174" s="367" t="s">
        <v>816</v>
      </c>
      <c r="AB174" s="367" t="s">
        <v>454</v>
      </c>
      <c r="AC174" s="367">
        <v>1</v>
      </c>
      <c r="AD174" s="446" t="s">
        <v>507</v>
      </c>
    </row>
    <row r="175" spans="2:39" s="147" customFormat="1" ht="27" customHeight="1">
      <c r="B175" s="935"/>
      <c r="C175" s="936"/>
      <c r="D175" s="361">
        <v>15</v>
      </c>
      <c r="E175" s="440" t="s">
        <v>668</v>
      </c>
      <c r="F175" s="441">
        <f t="shared" si="108"/>
        <v>1050.3744000000002</v>
      </c>
      <c r="G175" s="365">
        <v>108.96000000000001</v>
      </c>
      <c r="H175" s="442">
        <v>530.2399999999999</v>
      </c>
      <c r="I175" s="442">
        <v>530.2399999999999</v>
      </c>
      <c r="J175" s="444">
        <f t="shared" si="109"/>
        <v>1</v>
      </c>
      <c r="K175" s="442">
        <v>546.78</v>
      </c>
      <c r="L175" s="444">
        <f t="shared" si="110"/>
        <v>1.0311934218467111</v>
      </c>
      <c r="M175" s="443">
        <v>16.54</v>
      </c>
      <c r="N175" s="444">
        <f t="shared" si="111"/>
        <v>3.1193421846710929E-2</v>
      </c>
      <c r="O175" s="445">
        <f t="shared" si="112"/>
        <v>563.31999999999994</v>
      </c>
      <c r="P175" s="444">
        <f t="shared" si="113"/>
        <v>1.0623868436934218</v>
      </c>
      <c r="Q175" s="442">
        <v>9.64</v>
      </c>
      <c r="R175" s="444">
        <f t="shared" si="114"/>
        <v>1.81804465902233E-2</v>
      </c>
      <c r="S175" s="445">
        <f t="shared" si="115"/>
        <v>33.080000000000041</v>
      </c>
      <c r="T175" s="444">
        <f t="shared" si="116"/>
        <v>6.2386843693421935E-2</v>
      </c>
      <c r="U175" s="364">
        <f t="shared" si="117"/>
        <v>3604.3968000000045</v>
      </c>
      <c r="V175" s="457">
        <f t="shared" si="118"/>
        <v>23.44000000000004</v>
      </c>
      <c r="W175" s="458">
        <f t="shared" si="119"/>
        <v>4.4206397103198639E-2</v>
      </c>
      <c r="X175" s="459">
        <f t="shared" si="120"/>
        <v>2554.0224000000044</v>
      </c>
      <c r="Y175" s="366" t="s">
        <v>417</v>
      </c>
      <c r="Z175" s="366" t="s">
        <v>445</v>
      </c>
      <c r="AA175" s="380" t="s">
        <v>725</v>
      </c>
      <c r="AB175" s="367" t="s">
        <v>454</v>
      </c>
      <c r="AC175" s="367">
        <v>1</v>
      </c>
      <c r="AD175" s="446" t="s">
        <v>650</v>
      </c>
    </row>
    <row r="176" spans="2:39" s="147" customFormat="1" ht="27" customHeight="1">
      <c r="B176" s="935"/>
      <c r="C176" s="936"/>
      <c r="D176" s="361">
        <v>16</v>
      </c>
      <c r="E176" s="440" t="s">
        <v>715</v>
      </c>
      <c r="F176" s="441">
        <f t="shared" si="108"/>
        <v>1049.8499999999999</v>
      </c>
      <c r="G176" s="365">
        <v>139.97999999999999</v>
      </c>
      <c r="H176" s="442">
        <v>510.00000000000006</v>
      </c>
      <c r="I176" s="442">
        <v>510.00000000000006</v>
      </c>
      <c r="J176" s="444">
        <f t="shared" si="109"/>
        <v>1</v>
      </c>
      <c r="K176" s="442">
        <v>522.99</v>
      </c>
      <c r="L176" s="444">
        <f t="shared" si="110"/>
        <v>1.0254705882352939</v>
      </c>
      <c r="M176" s="443">
        <v>12.990000000000002</v>
      </c>
      <c r="N176" s="444">
        <f t="shared" si="111"/>
        <v>2.547058823529412E-2</v>
      </c>
      <c r="O176" s="445">
        <f t="shared" si="112"/>
        <v>535.98</v>
      </c>
      <c r="P176" s="444">
        <f t="shared" si="113"/>
        <v>1.050941176470588</v>
      </c>
      <c r="Q176" s="442">
        <v>7.5</v>
      </c>
      <c r="R176" s="444">
        <f t="shared" si="114"/>
        <v>1.4705882352941175E-2</v>
      </c>
      <c r="S176" s="445">
        <f t="shared" si="115"/>
        <v>25.979999999999961</v>
      </c>
      <c r="T176" s="444">
        <f t="shared" si="116"/>
        <v>5.0941176470588156E-2</v>
      </c>
      <c r="U176" s="364">
        <f t="shared" si="117"/>
        <v>3636.6803999999943</v>
      </c>
      <c r="V176" s="457">
        <f t="shared" si="118"/>
        <v>18.479999999999961</v>
      </c>
      <c r="W176" s="458">
        <f t="shared" si="119"/>
        <v>3.6235294117646977E-2</v>
      </c>
      <c r="X176" s="459">
        <f t="shared" si="120"/>
        <v>2586.8303999999944</v>
      </c>
      <c r="Y176" s="366" t="s">
        <v>417</v>
      </c>
      <c r="Z176" s="366" t="s">
        <v>445</v>
      </c>
      <c r="AA176" s="367" t="s">
        <v>725</v>
      </c>
      <c r="AB176" s="367" t="s">
        <v>454</v>
      </c>
      <c r="AC176" s="367">
        <v>1</v>
      </c>
      <c r="AD176" s="446" t="s">
        <v>508</v>
      </c>
    </row>
    <row r="177" spans="2:39" s="147" customFormat="1" ht="27" customHeight="1">
      <c r="B177" s="935"/>
      <c r="C177" s="936"/>
      <c r="D177" s="361">
        <v>17</v>
      </c>
      <c r="E177" s="440" t="s">
        <v>805</v>
      </c>
      <c r="F177" s="441">
        <f t="shared" si="108"/>
        <v>1049.6902000000002</v>
      </c>
      <c r="G177" s="365">
        <v>98.470000000000013</v>
      </c>
      <c r="H177" s="442">
        <v>446.25</v>
      </c>
      <c r="I177" s="442">
        <v>446.25</v>
      </c>
      <c r="J177" s="444">
        <f t="shared" si="109"/>
        <v>1</v>
      </c>
      <c r="K177" s="442">
        <v>462</v>
      </c>
      <c r="L177" s="444">
        <f t="shared" si="110"/>
        <v>1.0352941176470589</v>
      </c>
      <c r="M177" s="443">
        <v>15.750000000000002</v>
      </c>
      <c r="N177" s="444">
        <f t="shared" si="111"/>
        <v>3.529411764705883E-2</v>
      </c>
      <c r="O177" s="445">
        <f t="shared" si="112"/>
        <v>477.75</v>
      </c>
      <c r="P177" s="444">
        <f t="shared" si="113"/>
        <v>1.0705882352941176</v>
      </c>
      <c r="Q177" s="442">
        <v>10.66</v>
      </c>
      <c r="R177" s="444">
        <f t="shared" si="114"/>
        <v>2.3887955182072828E-2</v>
      </c>
      <c r="S177" s="445">
        <f t="shared" si="115"/>
        <v>31.5</v>
      </c>
      <c r="T177" s="444">
        <f t="shared" si="116"/>
        <v>7.0588235294117646E-2</v>
      </c>
      <c r="U177" s="364">
        <f t="shared" si="117"/>
        <v>3101.8050000000003</v>
      </c>
      <c r="V177" s="457">
        <f t="shared" si="118"/>
        <v>20.84</v>
      </c>
      <c r="W177" s="458">
        <f t="shared" si="119"/>
        <v>4.6700280112044815E-2</v>
      </c>
      <c r="X177" s="459">
        <f t="shared" si="120"/>
        <v>2052.1148000000003</v>
      </c>
      <c r="Y177" s="366" t="s">
        <v>417</v>
      </c>
      <c r="Z177" s="366" t="s">
        <v>445</v>
      </c>
      <c r="AA177" s="380" t="s">
        <v>725</v>
      </c>
      <c r="AB177" s="367" t="s">
        <v>454</v>
      </c>
      <c r="AC177" s="367">
        <v>1</v>
      </c>
      <c r="AD177" s="446" t="s">
        <v>508</v>
      </c>
    </row>
    <row r="178" spans="2:39" s="147" customFormat="1" ht="27" customHeight="1">
      <c r="B178" s="935"/>
      <c r="C178" s="936"/>
      <c r="D178" s="361">
        <v>18</v>
      </c>
      <c r="E178" s="440" t="s">
        <v>462</v>
      </c>
      <c r="F178" s="441">
        <f t="shared" si="108"/>
        <v>1049.6046000000001</v>
      </c>
      <c r="G178" s="365">
        <v>160.49</v>
      </c>
      <c r="H178" s="442">
        <v>798.96</v>
      </c>
      <c r="I178" s="442">
        <v>798.96</v>
      </c>
      <c r="J178" s="444">
        <f t="shared" si="109"/>
        <v>1</v>
      </c>
      <c r="K178" s="442">
        <v>818.07</v>
      </c>
      <c r="L178" s="444">
        <f t="shared" si="110"/>
        <v>1.0239185941724243</v>
      </c>
      <c r="M178" s="443">
        <v>19.11</v>
      </c>
      <c r="N178" s="444">
        <f t="shared" si="111"/>
        <v>2.3918594172424149E-2</v>
      </c>
      <c r="O178" s="445">
        <f t="shared" si="112"/>
        <v>837.18000000000006</v>
      </c>
      <c r="P178" s="444">
        <f t="shared" si="113"/>
        <v>1.0478371883448483</v>
      </c>
      <c r="Q178" s="442">
        <v>6.54</v>
      </c>
      <c r="R178" s="444">
        <f t="shared" si="114"/>
        <v>8.1856413337338535E-3</v>
      </c>
      <c r="S178" s="445">
        <f t="shared" si="115"/>
        <v>38.220000000000027</v>
      </c>
      <c r="T178" s="444">
        <f t="shared" si="116"/>
        <v>4.7837188344848333E-2</v>
      </c>
      <c r="U178" s="364">
        <f t="shared" si="117"/>
        <v>6133.9278000000049</v>
      </c>
      <c r="V178" s="457">
        <f t="shared" si="118"/>
        <v>31.680000000000028</v>
      </c>
      <c r="W178" s="458">
        <f t="shared" si="119"/>
        <v>3.965154701111448E-2</v>
      </c>
      <c r="X178" s="459">
        <f t="shared" si="120"/>
        <v>5084.3232000000044</v>
      </c>
      <c r="Y178" s="366" t="s">
        <v>417</v>
      </c>
      <c r="Z178" s="366" t="s">
        <v>445</v>
      </c>
      <c r="AA178" s="367" t="s">
        <v>725</v>
      </c>
      <c r="AB178" s="367" t="s">
        <v>454</v>
      </c>
      <c r="AC178" s="367">
        <v>1</v>
      </c>
      <c r="AD178" s="446" t="s">
        <v>433</v>
      </c>
    </row>
    <row r="179" spans="2:39" s="147" customFormat="1" ht="27" customHeight="1">
      <c r="B179" s="935"/>
      <c r="C179" s="936"/>
      <c r="D179" s="361">
        <v>19</v>
      </c>
      <c r="E179" s="440" t="s">
        <v>808</v>
      </c>
      <c r="F179" s="441">
        <f t="shared" si="108"/>
        <v>1049.1990000000001</v>
      </c>
      <c r="G179" s="365">
        <v>368.13999999999993</v>
      </c>
      <c r="H179" s="442">
        <v>502.19</v>
      </c>
      <c r="I179" s="442">
        <v>502.19</v>
      </c>
      <c r="J179" s="444">
        <f t="shared" si="109"/>
        <v>1</v>
      </c>
      <c r="K179" s="442">
        <v>513.5</v>
      </c>
      <c r="L179" s="444">
        <f t="shared" si="110"/>
        <v>1.0225213564587108</v>
      </c>
      <c r="M179" s="443">
        <v>11.31</v>
      </c>
      <c r="N179" s="444">
        <f t="shared" si="111"/>
        <v>2.2521356458710846E-2</v>
      </c>
      <c r="O179" s="445">
        <f t="shared" si="112"/>
        <v>524.80999999999995</v>
      </c>
      <c r="P179" s="444">
        <f t="shared" si="113"/>
        <v>1.0450427129174216</v>
      </c>
      <c r="Q179" s="442">
        <v>2.8500000000000005</v>
      </c>
      <c r="R179" s="444">
        <f t="shared" si="114"/>
        <v>5.6751428742109573E-3</v>
      </c>
      <c r="S179" s="445">
        <f t="shared" si="115"/>
        <v>22.619999999999948</v>
      </c>
      <c r="T179" s="444">
        <f t="shared" si="116"/>
        <v>4.5042712917421589E-2</v>
      </c>
      <c r="U179" s="364">
        <f t="shared" si="117"/>
        <v>8327.3267999999789</v>
      </c>
      <c r="V179" s="457">
        <f t="shared" si="118"/>
        <v>19.769999999999946</v>
      </c>
      <c r="W179" s="458">
        <f t="shared" si="119"/>
        <v>3.9367570043210627E-2</v>
      </c>
      <c r="X179" s="459">
        <f t="shared" si="120"/>
        <v>7278.1277999999784</v>
      </c>
      <c r="Y179" s="366" t="s">
        <v>417</v>
      </c>
      <c r="Z179" s="366" t="s">
        <v>337</v>
      </c>
      <c r="AA179" s="367" t="s">
        <v>816</v>
      </c>
      <c r="AB179" s="367" t="s">
        <v>454</v>
      </c>
      <c r="AC179" s="367">
        <v>1</v>
      </c>
      <c r="AD179" s="446" t="s">
        <v>433</v>
      </c>
    </row>
    <row r="180" spans="2:39" s="147" customFormat="1" ht="27" customHeight="1">
      <c r="B180" s="937"/>
      <c r="C180" s="938"/>
      <c r="D180" s="361">
        <v>20</v>
      </c>
      <c r="E180" s="440" t="s">
        <v>773</v>
      </c>
      <c r="F180" s="441">
        <f t="shared" si="93"/>
        <v>1049.1389999999999</v>
      </c>
      <c r="G180" s="365">
        <v>122.85000000000001</v>
      </c>
      <c r="H180" s="442">
        <v>1043.1899999999998</v>
      </c>
      <c r="I180" s="442">
        <v>1043.1899999999998</v>
      </c>
      <c r="J180" s="444">
        <f t="shared" si="94"/>
        <v>1</v>
      </c>
      <c r="K180" s="442">
        <v>1071.6300000000001</v>
      </c>
      <c r="L180" s="444">
        <f t="shared" si="95"/>
        <v>1.0272625312742647</v>
      </c>
      <c r="M180" s="443">
        <v>28.439999999999998</v>
      </c>
      <c r="N180" s="444">
        <f t="shared" si="96"/>
        <v>2.7262531274264517E-2</v>
      </c>
      <c r="O180" s="445">
        <f t="shared" si="97"/>
        <v>1100.0700000000002</v>
      </c>
      <c r="P180" s="444">
        <f t="shared" si="98"/>
        <v>1.0545250625485294</v>
      </c>
      <c r="Q180" s="442">
        <v>8.5399999999999991</v>
      </c>
      <c r="R180" s="444">
        <f t="shared" si="99"/>
        <v>8.1864281674479244E-3</v>
      </c>
      <c r="S180" s="445">
        <f t="shared" si="100"/>
        <v>56.880000000000337</v>
      </c>
      <c r="T180" s="444">
        <f t="shared" si="101"/>
        <v>5.452506254852936E-2</v>
      </c>
      <c r="U180" s="364">
        <f t="shared" si="102"/>
        <v>6987.7080000000415</v>
      </c>
      <c r="V180" s="457">
        <f t="shared" si="103"/>
        <v>48.340000000000337</v>
      </c>
      <c r="W180" s="458">
        <f t="shared" si="104"/>
        <v>4.6338634381081441E-2</v>
      </c>
      <c r="X180" s="459">
        <f t="shared" si="105"/>
        <v>5938.5690000000423</v>
      </c>
      <c r="Y180" s="366" t="s">
        <v>417</v>
      </c>
      <c r="Z180" s="366" t="s">
        <v>215</v>
      </c>
      <c r="AA180" s="367" t="s">
        <v>817</v>
      </c>
      <c r="AB180" s="367" t="s">
        <v>721</v>
      </c>
      <c r="AC180" s="367">
        <v>1</v>
      </c>
      <c r="AD180" s="446" t="s">
        <v>710</v>
      </c>
    </row>
    <row r="181" spans="2:39" ht="16.5" customHeight="1">
      <c r="B181" s="949" t="s">
        <v>442</v>
      </c>
      <c r="C181" s="950"/>
      <c r="D181" s="953" t="s">
        <v>549</v>
      </c>
      <c r="E181" s="954" t="s">
        <v>550</v>
      </c>
      <c r="F181" s="955" t="s">
        <v>551</v>
      </c>
      <c r="G181" s="922" t="s">
        <v>552</v>
      </c>
      <c r="H181" s="956" t="s">
        <v>553</v>
      </c>
      <c r="I181" s="939" t="s">
        <v>554</v>
      </c>
      <c r="J181" s="940"/>
      <c r="K181" s="939" t="s">
        <v>555</v>
      </c>
      <c r="L181" s="940"/>
      <c r="M181" s="939" t="s">
        <v>556</v>
      </c>
      <c r="N181" s="940"/>
      <c r="O181" s="939" t="s">
        <v>557</v>
      </c>
      <c r="P181" s="940"/>
      <c r="Q181" s="939" t="s">
        <v>418</v>
      </c>
      <c r="R181" s="940"/>
      <c r="S181" s="941" t="s">
        <v>419</v>
      </c>
      <c r="T181" s="942"/>
      <c r="U181" s="943"/>
      <c r="V181" s="944" t="s">
        <v>718</v>
      </c>
      <c r="W181" s="945"/>
      <c r="X181" s="946"/>
      <c r="Y181" s="947" t="s">
        <v>171</v>
      </c>
      <c r="Z181" s="947" t="s">
        <v>245</v>
      </c>
      <c r="AA181" s="947" t="s">
        <v>558</v>
      </c>
      <c r="AB181" s="947" t="s">
        <v>444</v>
      </c>
      <c r="AC181" s="947" t="s">
        <v>246</v>
      </c>
      <c r="AD181" s="922" t="s">
        <v>172</v>
      </c>
      <c r="AF181" s="924" t="s">
        <v>247</v>
      </c>
      <c r="AG181" s="925"/>
      <c r="AH181" s="925"/>
      <c r="AI181" s="925"/>
      <c r="AJ181" s="925"/>
      <c r="AK181" s="925"/>
      <c r="AL181" s="925"/>
      <c r="AM181" s="926"/>
    </row>
    <row r="182" spans="2:39" ht="16.5" customHeight="1">
      <c r="B182" s="951"/>
      <c r="C182" s="952"/>
      <c r="D182" s="953"/>
      <c r="E182" s="953"/>
      <c r="F182" s="955"/>
      <c r="G182" s="923"/>
      <c r="H182" s="923"/>
      <c r="I182" s="439" t="s">
        <v>559</v>
      </c>
      <c r="J182" s="362" t="s">
        <v>560</v>
      </c>
      <c r="K182" s="439" t="s">
        <v>559</v>
      </c>
      <c r="L182" s="362" t="s">
        <v>560</v>
      </c>
      <c r="M182" s="439" t="s">
        <v>559</v>
      </c>
      <c r="N182" s="362" t="s">
        <v>560</v>
      </c>
      <c r="O182" s="439" t="s">
        <v>559</v>
      </c>
      <c r="P182" s="362" t="s">
        <v>560</v>
      </c>
      <c r="Q182" s="439" t="s">
        <v>559</v>
      </c>
      <c r="R182" s="362" t="s">
        <v>560</v>
      </c>
      <c r="S182" s="439" t="s">
        <v>559</v>
      </c>
      <c r="T182" s="362" t="s">
        <v>560</v>
      </c>
      <c r="U182" s="362" t="s">
        <v>561</v>
      </c>
      <c r="V182" s="439" t="s">
        <v>559</v>
      </c>
      <c r="W182" s="362" t="s">
        <v>560</v>
      </c>
      <c r="X182" s="362" t="s">
        <v>561</v>
      </c>
      <c r="Y182" s="948"/>
      <c r="Z182" s="948"/>
      <c r="AA182" s="948"/>
      <c r="AB182" s="948"/>
      <c r="AC182" s="948"/>
      <c r="AD182" s="923"/>
      <c r="AF182" s="927"/>
      <c r="AG182" s="928"/>
      <c r="AH182" s="928"/>
      <c r="AI182" s="928"/>
      <c r="AJ182" s="928"/>
      <c r="AK182" s="928"/>
      <c r="AL182" s="928"/>
      <c r="AM182" s="929"/>
    </row>
    <row r="183" spans="2:39" s="147" customFormat="1" ht="27" customHeight="1">
      <c r="B183" s="993" t="s">
        <v>803</v>
      </c>
      <c r="C183" s="934"/>
      <c r="D183" s="361">
        <v>1</v>
      </c>
      <c r="E183" s="440" t="s">
        <v>335</v>
      </c>
      <c r="F183" s="441">
        <f>IFERROR(Q183*G183,"-")</f>
        <v>1931.2500000000002</v>
      </c>
      <c r="G183" s="365">
        <v>15.450000000000001</v>
      </c>
      <c r="H183" s="442">
        <v>61502</v>
      </c>
      <c r="I183" s="442">
        <v>61502</v>
      </c>
      <c r="J183" s="444">
        <f>IFERROR(I183/H183,"-")</f>
        <v>1</v>
      </c>
      <c r="K183" s="443">
        <v>61627</v>
      </c>
      <c r="L183" s="444">
        <f>IFERROR(K183/H183,"-")</f>
        <v>1.0020324542291308</v>
      </c>
      <c r="M183" s="443">
        <v>0</v>
      </c>
      <c r="N183" s="444">
        <f>IFERROR(M183/H183,"-")</f>
        <v>0</v>
      </c>
      <c r="O183" s="445">
        <f>IFERROR(K183+M183,"-")</f>
        <v>61627</v>
      </c>
      <c r="P183" s="444">
        <f>IFERROR(O183/H183,"-")</f>
        <v>1.0020324542291308</v>
      </c>
      <c r="Q183" s="442">
        <v>125</v>
      </c>
      <c r="R183" s="444">
        <f>IFERROR(Q183/H183,"-")</f>
        <v>2.0324542291307599E-3</v>
      </c>
      <c r="S183" s="445">
        <f>IFERROR(O183-H183,"-")</f>
        <v>125</v>
      </c>
      <c r="T183" s="444">
        <f>IFERROR(S183/H183,"-")</f>
        <v>2.0324542291307599E-3</v>
      </c>
      <c r="U183" s="364">
        <f>IFERROR(S183*G183,"-")</f>
        <v>1931.2500000000002</v>
      </c>
      <c r="V183" s="457">
        <f>S183-Q183</f>
        <v>0</v>
      </c>
      <c r="W183" s="458">
        <f>IFERROR(V183/H183,"-")</f>
        <v>0</v>
      </c>
      <c r="X183" s="459">
        <f>IFERROR(V183*G183,"-")</f>
        <v>0</v>
      </c>
      <c r="Y183" s="366" t="s">
        <v>417</v>
      </c>
      <c r="Z183" s="366" t="s">
        <v>216</v>
      </c>
      <c r="AA183" s="367" t="s">
        <v>466</v>
      </c>
      <c r="AB183" s="367" t="s">
        <v>721</v>
      </c>
      <c r="AC183" s="367">
        <v>1</v>
      </c>
      <c r="AD183" s="446" t="s">
        <v>523</v>
      </c>
      <c r="AF183" s="930"/>
      <c r="AG183" s="931"/>
      <c r="AH183" s="931"/>
      <c r="AI183" s="931"/>
      <c r="AJ183" s="931"/>
      <c r="AK183" s="931"/>
      <c r="AL183" s="931"/>
      <c r="AM183" s="932"/>
    </row>
    <row r="184" spans="2:39" s="147" customFormat="1" ht="27" customHeight="1">
      <c r="B184" s="935"/>
      <c r="C184" s="936"/>
      <c r="D184" s="361">
        <v>2</v>
      </c>
      <c r="E184" s="440" t="s">
        <v>448</v>
      </c>
      <c r="F184" s="441">
        <f t="shared" ref="F184:F202" si="121">IFERROR(Q184*G184,"-")</f>
        <v>1859.5499999999997</v>
      </c>
      <c r="G184" s="365">
        <v>2.4499999999999997</v>
      </c>
      <c r="H184" s="442">
        <v>131121</v>
      </c>
      <c r="I184" s="442">
        <v>131121</v>
      </c>
      <c r="J184" s="444">
        <f t="shared" ref="J184:J202" si="122">IFERROR(I184/H184,"-")</f>
        <v>1</v>
      </c>
      <c r="K184" s="443">
        <v>131880</v>
      </c>
      <c r="L184" s="444">
        <f t="shared" ref="L184:L202" si="123">IFERROR(K184/H184,"-")</f>
        <v>1.0057885464570893</v>
      </c>
      <c r="M184" s="443">
        <v>0</v>
      </c>
      <c r="N184" s="444">
        <f t="shared" ref="N184:N202" si="124">IFERROR(M184/H184,"-")</f>
        <v>0</v>
      </c>
      <c r="O184" s="445">
        <f t="shared" ref="O184:O202" si="125">IFERROR(K184+M184,"-")</f>
        <v>131880</v>
      </c>
      <c r="P184" s="444">
        <f t="shared" ref="P184:P202" si="126">IFERROR(O184/H184,"-")</f>
        <v>1.0057885464570893</v>
      </c>
      <c r="Q184" s="442">
        <v>759</v>
      </c>
      <c r="R184" s="444">
        <f t="shared" ref="R184:R202" si="127">IFERROR(Q184/H184,"-")</f>
        <v>5.788546457089253E-3</v>
      </c>
      <c r="S184" s="445">
        <f t="shared" ref="S184:S202" si="128">IFERROR(O184-H184,"-")</f>
        <v>759</v>
      </c>
      <c r="T184" s="444">
        <f t="shared" ref="T184:T202" si="129">IFERROR(S184/H184,"-")</f>
        <v>5.788546457089253E-3</v>
      </c>
      <c r="U184" s="364">
        <f t="shared" ref="U184:U202" si="130">IFERROR(S184*G184,"-")</f>
        <v>1859.5499999999997</v>
      </c>
      <c r="V184" s="457">
        <f t="shared" ref="V184:V202" si="131">S184-Q184</f>
        <v>0</v>
      </c>
      <c r="W184" s="458">
        <f t="shared" ref="W184:W202" si="132">IFERROR(V184/H184,"-")</f>
        <v>0</v>
      </c>
      <c r="X184" s="459">
        <f t="shared" ref="X184:X202" si="133">IFERROR(V184*G184,"-")</f>
        <v>0</v>
      </c>
      <c r="Y184" s="366" t="s">
        <v>417</v>
      </c>
      <c r="Z184" s="366" t="s">
        <v>337</v>
      </c>
      <c r="AA184" s="367" t="s">
        <v>467</v>
      </c>
      <c r="AB184" s="367" t="s">
        <v>468</v>
      </c>
      <c r="AC184" s="367">
        <v>1</v>
      </c>
      <c r="AD184" s="446" t="s">
        <v>340</v>
      </c>
      <c r="AF184" s="160" t="s">
        <v>244</v>
      </c>
      <c r="AG184" s="160" t="s">
        <v>445</v>
      </c>
      <c r="AH184" s="155" t="s">
        <v>562</v>
      </c>
      <c r="AI184" s="155" t="s">
        <v>337</v>
      </c>
      <c r="AJ184" s="155" t="s">
        <v>428</v>
      </c>
      <c r="AK184" s="155" t="s">
        <v>215</v>
      </c>
      <c r="AL184" s="155" t="s">
        <v>216</v>
      </c>
      <c r="AM184" s="155" t="s">
        <v>384</v>
      </c>
    </row>
    <row r="185" spans="2:39" s="147" customFormat="1" ht="27" customHeight="1">
      <c r="B185" s="935"/>
      <c r="C185" s="936"/>
      <c r="D185" s="361">
        <v>3</v>
      </c>
      <c r="E185" s="440" t="s">
        <v>447</v>
      </c>
      <c r="F185" s="441">
        <f t="shared" si="121"/>
        <v>1701.1799999999998</v>
      </c>
      <c r="G185" s="365">
        <v>1.17</v>
      </c>
      <c r="H185" s="442">
        <v>223014</v>
      </c>
      <c r="I185" s="442">
        <v>223014</v>
      </c>
      <c r="J185" s="444">
        <f t="shared" si="122"/>
        <v>1</v>
      </c>
      <c r="K185" s="443">
        <v>224468</v>
      </c>
      <c r="L185" s="444">
        <f t="shared" si="123"/>
        <v>1.0065197700592787</v>
      </c>
      <c r="M185" s="443">
        <v>0</v>
      </c>
      <c r="N185" s="444">
        <f t="shared" si="124"/>
        <v>0</v>
      </c>
      <c r="O185" s="445">
        <f t="shared" si="125"/>
        <v>224468</v>
      </c>
      <c r="P185" s="444">
        <f t="shared" si="126"/>
        <v>1.0065197700592787</v>
      </c>
      <c r="Q185" s="442">
        <v>1454</v>
      </c>
      <c r="R185" s="444">
        <f t="shared" si="127"/>
        <v>6.5197700592787896E-3</v>
      </c>
      <c r="S185" s="445">
        <f t="shared" si="128"/>
        <v>1454</v>
      </c>
      <c r="T185" s="444">
        <f t="shared" si="129"/>
        <v>6.5197700592787896E-3</v>
      </c>
      <c r="U185" s="364">
        <f t="shared" si="130"/>
        <v>1701.1799999999998</v>
      </c>
      <c r="V185" s="457">
        <f t="shared" si="131"/>
        <v>0</v>
      </c>
      <c r="W185" s="458">
        <f t="shared" si="132"/>
        <v>0</v>
      </c>
      <c r="X185" s="459">
        <f t="shared" si="133"/>
        <v>0</v>
      </c>
      <c r="Y185" s="366" t="s">
        <v>417</v>
      </c>
      <c r="Z185" s="366" t="s">
        <v>337</v>
      </c>
      <c r="AA185" s="367" t="s">
        <v>469</v>
      </c>
      <c r="AB185" s="367" t="s">
        <v>526</v>
      </c>
      <c r="AC185" s="367">
        <v>1</v>
      </c>
      <c r="AD185" s="446" t="s">
        <v>340</v>
      </c>
      <c r="AF185" s="374">
        <f>SUM(AC183:AC202)</f>
        <v>20</v>
      </c>
      <c r="AG185" s="369">
        <f>SUMIF($Z$183:$Z$202,TRIM(AG184),$AC$183:$AC$202)</f>
        <v>11</v>
      </c>
      <c r="AH185" s="369">
        <f t="shared" ref="AH185:AM185" si="134">SUMIF($Z$183:$Z$202,TRIM(AH184),$AC$183:$AC$202)</f>
        <v>0</v>
      </c>
      <c r="AI185" s="369">
        <f t="shared" si="134"/>
        <v>4</v>
      </c>
      <c r="AJ185" s="369">
        <f t="shared" si="134"/>
        <v>0</v>
      </c>
      <c r="AK185" s="369">
        <f t="shared" si="134"/>
        <v>1</v>
      </c>
      <c r="AL185" s="369">
        <f t="shared" si="134"/>
        <v>4</v>
      </c>
      <c r="AM185" s="369">
        <f t="shared" si="134"/>
        <v>0</v>
      </c>
    </row>
    <row r="186" spans="2:39" s="147" customFormat="1" ht="27" customHeight="1">
      <c r="B186" s="935"/>
      <c r="C186" s="936"/>
      <c r="D186" s="361">
        <v>4</v>
      </c>
      <c r="E186" s="440" t="s">
        <v>336</v>
      </c>
      <c r="F186" s="441">
        <f t="shared" si="121"/>
        <v>1424.1738000000003</v>
      </c>
      <c r="G186" s="365">
        <v>147.43000000000004</v>
      </c>
      <c r="H186" s="442">
        <v>4055.03</v>
      </c>
      <c r="I186" s="442">
        <v>4055.03</v>
      </c>
      <c r="J186" s="444">
        <f t="shared" si="122"/>
        <v>1</v>
      </c>
      <c r="K186" s="443">
        <v>4126.59</v>
      </c>
      <c r="L186" s="444">
        <f t="shared" si="123"/>
        <v>1.0176472183929588</v>
      </c>
      <c r="M186" s="443">
        <v>71.559999999999988</v>
      </c>
      <c r="N186" s="444">
        <f t="shared" si="124"/>
        <v>1.7647218392958866E-2</v>
      </c>
      <c r="O186" s="445">
        <f t="shared" si="125"/>
        <v>4198.1500000000005</v>
      </c>
      <c r="P186" s="444">
        <f t="shared" si="126"/>
        <v>1.0352944367859178</v>
      </c>
      <c r="Q186" s="442">
        <v>9.66</v>
      </c>
      <c r="R186" s="444">
        <f t="shared" si="127"/>
        <v>2.3822265186694055E-3</v>
      </c>
      <c r="S186" s="445">
        <f t="shared" si="128"/>
        <v>143.12000000000035</v>
      </c>
      <c r="T186" s="444">
        <f t="shared" si="129"/>
        <v>3.5294436785917822E-2</v>
      </c>
      <c r="U186" s="364">
        <f t="shared" si="130"/>
        <v>21100.181600000054</v>
      </c>
      <c r="V186" s="457">
        <f t="shared" si="131"/>
        <v>133.46000000000035</v>
      </c>
      <c r="W186" s="458">
        <f t="shared" si="132"/>
        <v>3.2912210267248415E-2</v>
      </c>
      <c r="X186" s="459">
        <f t="shared" si="133"/>
        <v>19676.007800000058</v>
      </c>
      <c r="Y186" s="366" t="s">
        <v>417</v>
      </c>
      <c r="Z186" s="366" t="s">
        <v>215</v>
      </c>
      <c r="AA186" s="367" t="s">
        <v>811</v>
      </c>
      <c r="AB186" s="367" t="s">
        <v>857</v>
      </c>
      <c r="AC186" s="367">
        <v>1</v>
      </c>
      <c r="AD186" s="446" t="s">
        <v>340</v>
      </c>
      <c r="AF186" s="375" t="s">
        <v>11</v>
      </c>
      <c r="AG186" s="372">
        <f>SUMIF($Z$183:$Z202,TRIM(AG184),$F$183:$F$202)</f>
        <v>10570.677299999999</v>
      </c>
      <c r="AH186" s="372">
        <f>SUMIF($Z$183:$Z202,TRIM(AH184),$F$183:$F$202)</f>
        <v>0</v>
      </c>
      <c r="AI186" s="372">
        <f>SUMIF($Z$183:$Z202,TRIM(AI184),$F$183:$F$202)</f>
        <v>5691.6737999999996</v>
      </c>
      <c r="AJ186" s="372">
        <f>SUMIF($Z$183:$Z202,TRIM(AJ184),$F$183:$F$202)</f>
        <v>0</v>
      </c>
      <c r="AK186" s="372">
        <f>SUMIF($Z$183:$Z202,TRIM(AK184),$F$183:$F$202)</f>
        <v>1424.1738000000003</v>
      </c>
      <c r="AL186" s="372">
        <f>SUMIF($Z$183:$Z202,TRIM(AL184),$F$183:$F$202)</f>
        <v>5544.3657000000003</v>
      </c>
      <c r="AM186" s="372">
        <f>SUMIF($Z$183:$Z202,TRIM(AM184),$F$183:$F$202)</f>
        <v>0</v>
      </c>
    </row>
    <row r="187" spans="2:39" s="147" customFormat="1" ht="27" customHeight="1">
      <c r="B187" s="935"/>
      <c r="C187" s="936"/>
      <c r="D187" s="361">
        <v>5</v>
      </c>
      <c r="E187" s="440" t="s">
        <v>771</v>
      </c>
      <c r="F187" s="441">
        <f t="shared" si="121"/>
        <v>1304.9322</v>
      </c>
      <c r="G187" s="365">
        <v>52.26</v>
      </c>
      <c r="H187" s="442">
        <v>4794.2999999999993</v>
      </c>
      <c r="I187" s="442">
        <v>4794.2999999999993</v>
      </c>
      <c r="J187" s="444">
        <f t="shared" si="122"/>
        <v>1</v>
      </c>
      <c r="K187" s="443">
        <v>4884.6799999999994</v>
      </c>
      <c r="L187" s="444">
        <f t="shared" si="123"/>
        <v>1.0188515528857185</v>
      </c>
      <c r="M187" s="443">
        <v>90.38</v>
      </c>
      <c r="N187" s="444">
        <f t="shared" si="124"/>
        <v>1.8851552885718461E-2</v>
      </c>
      <c r="O187" s="445">
        <f t="shared" si="125"/>
        <v>4975.0599999999995</v>
      </c>
      <c r="P187" s="444">
        <f t="shared" si="126"/>
        <v>1.037703105771437</v>
      </c>
      <c r="Q187" s="442">
        <v>24.97</v>
      </c>
      <c r="R187" s="444">
        <f t="shared" si="127"/>
        <v>5.2082681517635534E-3</v>
      </c>
      <c r="S187" s="445">
        <f t="shared" si="128"/>
        <v>180.76000000000022</v>
      </c>
      <c r="T187" s="444">
        <f t="shared" si="129"/>
        <v>3.7703105771436964E-2</v>
      </c>
      <c r="U187" s="364">
        <f t="shared" si="130"/>
        <v>9446.517600000012</v>
      </c>
      <c r="V187" s="457">
        <f t="shared" si="131"/>
        <v>155.79000000000022</v>
      </c>
      <c r="W187" s="458">
        <f t="shared" si="132"/>
        <v>3.2494837619673415E-2</v>
      </c>
      <c r="X187" s="459">
        <f t="shared" si="133"/>
        <v>8141.5854000000108</v>
      </c>
      <c r="Y187" s="366" t="s">
        <v>417</v>
      </c>
      <c r="Z187" s="366" t="s">
        <v>216</v>
      </c>
      <c r="AA187" s="367" t="s">
        <v>722</v>
      </c>
      <c r="AB187" s="367" t="s">
        <v>810</v>
      </c>
      <c r="AC187" s="367">
        <v>1</v>
      </c>
      <c r="AD187" s="446" t="s">
        <v>752</v>
      </c>
      <c r="AF187" s="361" t="s">
        <v>563</v>
      </c>
      <c r="AG187" s="447">
        <f>AG185/$AF185</f>
        <v>0.55000000000000004</v>
      </c>
      <c r="AH187" s="447">
        <f t="shared" ref="AH187:AM187" si="135">AH185/$AF185</f>
        <v>0</v>
      </c>
      <c r="AI187" s="447">
        <f t="shared" si="135"/>
        <v>0.2</v>
      </c>
      <c r="AJ187" s="447">
        <f t="shared" si="135"/>
        <v>0</v>
      </c>
      <c r="AK187" s="447">
        <f t="shared" si="135"/>
        <v>0.05</v>
      </c>
      <c r="AL187" s="447">
        <f t="shared" si="135"/>
        <v>0.2</v>
      </c>
      <c r="AM187" s="447">
        <f t="shared" si="135"/>
        <v>0</v>
      </c>
    </row>
    <row r="188" spans="2:39" s="147" customFormat="1" ht="27" customHeight="1">
      <c r="B188" s="935"/>
      <c r="C188" s="936"/>
      <c r="D188" s="361">
        <v>6</v>
      </c>
      <c r="E188" s="440" t="s">
        <v>544</v>
      </c>
      <c r="F188" s="441">
        <f t="shared" si="121"/>
        <v>1241.1083999999998</v>
      </c>
      <c r="G188" s="365">
        <v>62.43</v>
      </c>
      <c r="H188" s="442">
        <v>5022.08</v>
      </c>
      <c r="I188" s="442">
        <v>5022.08</v>
      </c>
      <c r="J188" s="444">
        <f t="shared" si="122"/>
        <v>1</v>
      </c>
      <c r="K188" s="443">
        <v>5113.38</v>
      </c>
      <c r="L188" s="444">
        <f t="shared" si="123"/>
        <v>1.018179718363706</v>
      </c>
      <c r="M188" s="443">
        <v>91.300000000000011</v>
      </c>
      <c r="N188" s="444">
        <f t="shared" si="124"/>
        <v>1.8179718363705879E-2</v>
      </c>
      <c r="O188" s="445">
        <f t="shared" si="125"/>
        <v>5204.68</v>
      </c>
      <c r="P188" s="444">
        <f t="shared" si="126"/>
        <v>1.0363594367274118</v>
      </c>
      <c r="Q188" s="442">
        <v>19.88</v>
      </c>
      <c r="R188" s="444">
        <f t="shared" si="127"/>
        <v>3.9585191793041928E-3</v>
      </c>
      <c r="S188" s="445">
        <f t="shared" si="128"/>
        <v>182.60000000000036</v>
      </c>
      <c r="T188" s="444">
        <f t="shared" si="129"/>
        <v>3.635943672741182E-2</v>
      </c>
      <c r="U188" s="364">
        <f t="shared" si="130"/>
        <v>11399.718000000023</v>
      </c>
      <c r="V188" s="457">
        <f t="shared" si="131"/>
        <v>162.72000000000037</v>
      </c>
      <c r="W188" s="458">
        <f t="shared" si="132"/>
        <v>3.240091754810763E-2</v>
      </c>
      <c r="X188" s="459">
        <f t="shared" si="133"/>
        <v>10158.609600000023</v>
      </c>
      <c r="Y188" s="366" t="s">
        <v>417</v>
      </c>
      <c r="Z188" s="366" t="s">
        <v>216</v>
      </c>
      <c r="AA188" s="367" t="s">
        <v>722</v>
      </c>
      <c r="AB188" s="367" t="s">
        <v>810</v>
      </c>
      <c r="AC188" s="367">
        <v>1</v>
      </c>
      <c r="AD188" s="446" t="s">
        <v>850</v>
      </c>
    </row>
    <row r="189" spans="2:39" s="147" customFormat="1" ht="27" customHeight="1">
      <c r="B189" s="935"/>
      <c r="C189" s="936"/>
      <c r="D189" s="361">
        <v>7</v>
      </c>
      <c r="E189" s="440" t="s">
        <v>386</v>
      </c>
      <c r="F189" s="441">
        <f t="shared" si="121"/>
        <v>1158.2304000000001</v>
      </c>
      <c r="G189" s="365">
        <v>127.84000000000002</v>
      </c>
      <c r="H189" s="442">
        <v>3773.9700000000003</v>
      </c>
      <c r="I189" s="442">
        <v>3773.9700000000003</v>
      </c>
      <c r="J189" s="444">
        <f t="shared" si="122"/>
        <v>1</v>
      </c>
      <c r="K189" s="443">
        <v>3819.9900000000007</v>
      </c>
      <c r="L189" s="444">
        <f t="shared" si="123"/>
        <v>1.0121940555966265</v>
      </c>
      <c r="M189" s="443">
        <v>46.02</v>
      </c>
      <c r="N189" s="444">
        <f t="shared" si="124"/>
        <v>1.2194055596626365E-2</v>
      </c>
      <c r="O189" s="445">
        <f t="shared" si="125"/>
        <v>3866.0100000000007</v>
      </c>
      <c r="P189" s="444">
        <f t="shared" si="126"/>
        <v>1.0243881111932529</v>
      </c>
      <c r="Q189" s="442">
        <v>9.06</v>
      </c>
      <c r="R189" s="444">
        <f t="shared" si="127"/>
        <v>2.4006550131559076E-3</v>
      </c>
      <c r="S189" s="445">
        <f t="shared" si="128"/>
        <v>92.040000000000418</v>
      </c>
      <c r="T189" s="444">
        <f t="shared" si="129"/>
        <v>2.4388111193252838E-2</v>
      </c>
      <c r="U189" s="364">
        <f t="shared" si="130"/>
        <v>11766.393600000056</v>
      </c>
      <c r="V189" s="457">
        <f t="shared" si="131"/>
        <v>82.980000000000416</v>
      </c>
      <c r="W189" s="458">
        <f t="shared" si="132"/>
        <v>2.1987456180096929E-2</v>
      </c>
      <c r="X189" s="459">
        <f t="shared" si="133"/>
        <v>10608.163200000055</v>
      </c>
      <c r="Y189" s="366" t="s">
        <v>417</v>
      </c>
      <c r="Z189" s="366" t="s">
        <v>445</v>
      </c>
      <c r="AA189" s="367" t="s">
        <v>725</v>
      </c>
      <c r="AB189" s="367" t="s">
        <v>812</v>
      </c>
      <c r="AC189" s="367">
        <v>1</v>
      </c>
      <c r="AD189" s="446" t="s">
        <v>340</v>
      </c>
    </row>
    <row r="190" spans="2:39" s="147" customFormat="1" ht="27" customHeight="1">
      <c r="B190" s="935"/>
      <c r="C190" s="936"/>
      <c r="D190" s="361">
        <v>8</v>
      </c>
      <c r="E190" s="440" t="s">
        <v>461</v>
      </c>
      <c r="F190" s="441">
        <f t="shared" si="121"/>
        <v>1129.4398000000001</v>
      </c>
      <c r="G190" s="365">
        <v>407.74000000000007</v>
      </c>
      <c r="H190" s="442">
        <v>1104.33</v>
      </c>
      <c r="I190" s="442">
        <v>1104.33</v>
      </c>
      <c r="J190" s="444">
        <f t="shared" si="122"/>
        <v>1</v>
      </c>
      <c r="K190" s="443">
        <v>1116.9499999999998</v>
      </c>
      <c r="L190" s="444">
        <f t="shared" si="123"/>
        <v>1.0114277435186945</v>
      </c>
      <c r="M190" s="443">
        <v>12.620000000000001</v>
      </c>
      <c r="N190" s="444">
        <f t="shared" si="124"/>
        <v>1.1427743518694595E-2</v>
      </c>
      <c r="O190" s="445">
        <f t="shared" si="125"/>
        <v>1129.5699999999997</v>
      </c>
      <c r="P190" s="444">
        <f t="shared" si="126"/>
        <v>1.0228554870373889</v>
      </c>
      <c r="Q190" s="442">
        <v>2.7699999999999996</v>
      </c>
      <c r="R190" s="444">
        <f t="shared" si="127"/>
        <v>2.5083082049749618E-3</v>
      </c>
      <c r="S190" s="445">
        <f t="shared" si="128"/>
        <v>25.239999999999782</v>
      </c>
      <c r="T190" s="444">
        <f t="shared" si="129"/>
        <v>2.2855487037388988E-2</v>
      </c>
      <c r="U190" s="364">
        <f t="shared" si="130"/>
        <v>10291.357599999912</v>
      </c>
      <c r="V190" s="457">
        <f t="shared" si="131"/>
        <v>22.469999999999782</v>
      </c>
      <c r="W190" s="458">
        <f t="shared" si="132"/>
        <v>2.0347178832414027E-2</v>
      </c>
      <c r="X190" s="459">
        <f t="shared" si="133"/>
        <v>9161.9177999999119</v>
      </c>
      <c r="Y190" s="366" t="s">
        <v>417</v>
      </c>
      <c r="Z190" s="366" t="s">
        <v>337</v>
      </c>
      <c r="AA190" s="367" t="s">
        <v>727</v>
      </c>
      <c r="AB190" s="380" t="s">
        <v>813</v>
      </c>
      <c r="AC190" s="367">
        <v>1</v>
      </c>
      <c r="AD190" s="446" t="s">
        <v>463</v>
      </c>
    </row>
    <row r="191" spans="2:39" s="147" customFormat="1" ht="27" customHeight="1">
      <c r="B191" s="935"/>
      <c r="C191" s="936"/>
      <c r="D191" s="361">
        <v>9</v>
      </c>
      <c r="E191" s="440" t="s">
        <v>534</v>
      </c>
      <c r="F191" s="441">
        <f t="shared" si="121"/>
        <v>1067.0750999999998</v>
      </c>
      <c r="G191" s="365">
        <v>39.389999999999993</v>
      </c>
      <c r="H191" s="442">
        <v>23965.500000000004</v>
      </c>
      <c r="I191" s="442">
        <v>23965.500000000004</v>
      </c>
      <c r="J191" s="444">
        <f t="shared" si="122"/>
        <v>1</v>
      </c>
      <c r="K191" s="443">
        <v>24103.62</v>
      </c>
      <c r="L191" s="444">
        <f t="shared" si="123"/>
        <v>1.0057632847217874</v>
      </c>
      <c r="M191" s="443">
        <v>138.12</v>
      </c>
      <c r="N191" s="444">
        <f t="shared" si="124"/>
        <v>5.7632847217875685E-3</v>
      </c>
      <c r="O191" s="445">
        <f t="shared" si="125"/>
        <v>24241.739999999998</v>
      </c>
      <c r="P191" s="444">
        <f t="shared" si="126"/>
        <v>1.0115265694435749</v>
      </c>
      <c r="Q191" s="442">
        <v>27.09</v>
      </c>
      <c r="R191" s="444">
        <f t="shared" si="127"/>
        <v>1.1303749139387868E-3</v>
      </c>
      <c r="S191" s="445">
        <f t="shared" si="128"/>
        <v>276.23999999999432</v>
      </c>
      <c r="T191" s="444">
        <f t="shared" si="129"/>
        <v>1.1526569443574901E-2</v>
      </c>
      <c r="U191" s="364">
        <f t="shared" si="130"/>
        <v>10881.093599999775</v>
      </c>
      <c r="V191" s="457">
        <f t="shared" si="131"/>
        <v>249.14999999999432</v>
      </c>
      <c r="W191" s="458">
        <f t="shared" si="132"/>
        <v>1.0396194529636114E-2</v>
      </c>
      <c r="X191" s="459">
        <f t="shared" si="133"/>
        <v>9814.0184999997746</v>
      </c>
      <c r="Y191" s="366" t="s">
        <v>417</v>
      </c>
      <c r="Z191" s="366" t="s">
        <v>216</v>
      </c>
      <c r="AA191" s="367" t="s">
        <v>722</v>
      </c>
      <c r="AB191" s="367" t="s">
        <v>810</v>
      </c>
      <c r="AC191" s="367">
        <v>1</v>
      </c>
      <c r="AD191" s="446" t="s">
        <v>340</v>
      </c>
      <c r="AH191" s="370"/>
    </row>
    <row r="192" spans="2:39" s="147" customFormat="1" ht="27" customHeight="1">
      <c r="B192" s="935"/>
      <c r="C192" s="936"/>
      <c r="D192" s="361">
        <v>10</v>
      </c>
      <c r="E192" s="440" t="s">
        <v>692</v>
      </c>
      <c r="F192" s="441">
        <f t="shared" si="121"/>
        <v>1001.5039999999998</v>
      </c>
      <c r="G192" s="365">
        <v>625.93999999999994</v>
      </c>
      <c r="H192" s="442">
        <v>1322.0500000000002</v>
      </c>
      <c r="I192" s="442">
        <v>1322.0500000000002</v>
      </c>
      <c r="J192" s="444">
        <f t="shared" si="122"/>
        <v>1</v>
      </c>
      <c r="K192" s="443">
        <v>1333.31</v>
      </c>
      <c r="L192" s="444">
        <f t="shared" si="123"/>
        <v>1.0085170757535644</v>
      </c>
      <c r="M192" s="443">
        <v>11.259999999999998</v>
      </c>
      <c r="N192" s="444">
        <f t="shared" si="124"/>
        <v>8.5170757535645378E-3</v>
      </c>
      <c r="O192" s="445">
        <f t="shared" si="125"/>
        <v>1344.57</v>
      </c>
      <c r="P192" s="444">
        <f t="shared" si="126"/>
        <v>1.0170341515071288</v>
      </c>
      <c r="Q192" s="442">
        <v>1.5999999999999999</v>
      </c>
      <c r="R192" s="444">
        <f t="shared" si="127"/>
        <v>1.2102416701335046E-3</v>
      </c>
      <c r="S192" s="445">
        <f t="shared" si="128"/>
        <v>22.519999999999754</v>
      </c>
      <c r="T192" s="444">
        <f t="shared" si="129"/>
        <v>1.7034151507128892E-2</v>
      </c>
      <c r="U192" s="364">
        <f t="shared" si="130"/>
        <v>14096.168799999845</v>
      </c>
      <c r="V192" s="457">
        <f t="shared" si="131"/>
        <v>20.919999999999753</v>
      </c>
      <c r="W192" s="458">
        <f t="shared" si="132"/>
        <v>1.5823909836995387E-2</v>
      </c>
      <c r="X192" s="459">
        <f t="shared" si="133"/>
        <v>13094.664799999844</v>
      </c>
      <c r="Y192" s="366" t="s">
        <v>417</v>
      </c>
      <c r="Z192" s="366" t="s">
        <v>337</v>
      </c>
      <c r="AA192" s="367" t="s">
        <v>727</v>
      </c>
      <c r="AB192" s="367" t="s">
        <v>728</v>
      </c>
      <c r="AC192" s="367">
        <v>1</v>
      </c>
      <c r="AD192" s="446" t="s">
        <v>697</v>
      </c>
      <c r="AH192" s="370"/>
    </row>
    <row r="193" spans="2:39" s="147" customFormat="1" ht="27" customHeight="1">
      <c r="B193" s="935"/>
      <c r="C193" s="936"/>
      <c r="D193" s="361">
        <v>11</v>
      </c>
      <c r="E193" s="440" t="s">
        <v>714</v>
      </c>
      <c r="F193" s="441">
        <f t="shared" si="121"/>
        <v>955.9536999999998</v>
      </c>
      <c r="G193" s="365">
        <v>91.13</v>
      </c>
      <c r="H193" s="442">
        <v>996.95999999999981</v>
      </c>
      <c r="I193" s="442">
        <v>996.95999999999981</v>
      </c>
      <c r="J193" s="444">
        <f t="shared" si="122"/>
        <v>1</v>
      </c>
      <c r="K193" s="443">
        <v>1025.8599999999999</v>
      </c>
      <c r="L193" s="444">
        <f t="shared" si="123"/>
        <v>1.0289881238966458</v>
      </c>
      <c r="M193" s="443">
        <v>28.9</v>
      </c>
      <c r="N193" s="444">
        <f t="shared" si="124"/>
        <v>2.8988123896645807E-2</v>
      </c>
      <c r="O193" s="445">
        <f t="shared" si="125"/>
        <v>1054.76</v>
      </c>
      <c r="P193" s="444">
        <f t="shared" si="126"/>
        <v>1.0579762477932917</v>
      </c>
      <c r="Q193" s="442">
        <v>10.489999999999998</v>
      </c>
      <c r="R193" s="444">
        <f t="shared" si="127"/>
        <v>1.052198683999358E-2</v>
      </c>
      <c r="S193" s="445">
        <f t="shared" si="128"/>
        <v>57.800000000000182</v>
      </c>
      <c r="T193" s="444">
        <f t="shared" si="129"/>
        <v>5.7976247793291802E-2</v>
      </c>
      <c r="U193" s="364">
        <f t="shared" si="130"/>
        <v>5267.3140000000167</v>
      </c>
      <c r="V193" s="457">
        <f t="shared" si="131"/>
        <v>47.310000000000187</v>
      </c>
      <c r="W193" s="458">
        <f t="shared" si="132"/>
        <v>4.7454260953298223E-2</v>
      </c>
      <c r="X193" s="459">
        <f t="shared" si="133"/>
        <v>4311.3603000000167</v>
      </c>
      <c r="Y193" s="366" t="s">
        <v>417</v>
      </c>
      <c r="Z193" s="366" t="s">
        <v>445</v>
      </c>
      <c r="AA193" s="367" t="s">
        <v>546</v>
      </c>
      <c r="AB193" s="367" t="s">
        <v>454</v>
      </c>
      <c r="AC193" s="367">
        <v>1</v>
      </c>
      <c r="AD193" s="446" t="s">
        <v>710</v>
      </c>
      <c r="AH193" s="370"/>
    </row>
    <row r="194" spans="2:39" s="147" customFormat="1" ht="26.25" customHeight="1">
      <c r="B194" s="935"/>
      <c r="C194" s="936"/>
      <c r="D194" s="361">
        <v>12</v>
      </c>
      <c r="E194" s="440" t="s">
        <v>809</v>
      </c>
      <c r="F194" s="441">
        <f t="shared" si="121"/>
        <v>945.86340000000018</v>
      </c>
      <c r="G194" s="365">
        <v>70.220000000000013</v>
      </c>
      <c r="H194" s="442">
        <v>1745.38</v>
      </c>
      <c r="I194" s="442">
        <v>1745.38</v>
      </c>
      <c r="J194" s="444">
        <f t="shared" si="122"/>
        <v>1</v>
      </c>
      <c r="K194" s="443">
        <v>1790.7599999999998</v>
      </c>
      <c r="L194" s="444">
        <f t="shared" si="123"/>
        <v>1.026000068752936</v>
      </c>
      <c r="M194" s="443">
        <v>45.379999999999995</v>
      </c>
      <c r="N194" s="444">
        <f t="shared" si="124"/>
        <v>2.6000068752936319E-2</v>
      </c>
      <c r="O194" s="445">
        <f t="shared" si="125"/>
        <v>1836.1399999999999</v>
      </c>
      <c r="P194" s="444">
        <f t="shared" si="126"/>
        <v>1.0520001375058725</v>
      </c>
      <c r="Q194" s="442">
        <v>13.47</v>
      </c>
      <c r="R194" s="444">
        <f t="shared" si="127"/>
        <v>7.7175171022929104E-3</v>
      </c>
      <c r="S194" s="445">
        <f t="shared" si="128"/>
        <v>90.759999999999764</v>
      </c>
      <c r="T194" s="444">
        <f t="shared" si="129"/>
        <v>5.2000137505872505E-2</v>
      </c>
      <c r="U194" s="364">
        <f t="shared" si="130"/>
        <v>6373.1671999999844</v>
      </c>
      <c r="V194" s="457">
        <f t="shared" si="131"/>
        <v>77.289999999999765</v>
      </c>
      <c r="W194" s="458">
        <f t="shared" si="132"/>
        <v>4.4282620403579602E-2</v>
      </c>
      <c r="X194" s="459">
        <f t="shared" si="133"/>
        <v>5427.3037999999842</v>
      </c>
      <c r="Y194" s="366" t="s">
        <v>417</v>
      </c>
      <c r="Z194" s="366" t="s">
        <v>445</v>
      </c>
      <c r="AA194" s="367" t="s">
        <v>479</v>
      </c>
      <c r="AB194" s="367" t="s">
        <v>726</v>
      </c>
      <c r="AC194" s="367">
        <v>1</v>
      </c>
      <c r="AD194" s="446" t="s">
        <v>343</v>
      </c>
      <c r="AH194" s="370"/>
    </row>
    <row r="195" spans="2:39" s="147" customFormat="1" ht="27" customHeight="1">
      <c r="B195" s="935"/>
      <c r="C195" s="936"/>
      <c r="D195" s="361">
        <v>13</v>
      </c>
      <c r="E195" s="440" t="s">
        <v>775</v>
      </c>
      <c r="F195" s="441">
        <f t="shared" si="121"/>
        <v>940.43179999999995</v>
      </c>
      <c r="G195" s="365">
        <v>170.05999999999997</v>
      </c>
      <c r="H195" s="442">
        <v>124.61999999999998</v>
      </c>
      <c r="I195" s="442">
        <v>124.61999999999998</v>
      </c>
      <c r="J195" s="444">
        <f t="shared" si="122"/>
        <v>1</v>
      </c>
      <c r="K195" s="443">
        <v>135.37</v>
      </c>
      <c r="L195" s="444">
        <f t="shared" si="123"/>
        <v>1.0862622372010915</v>
      </c>
      <c r="M195" s="443">
        <v>10.75</v>
      </c>
      <c r="N195" s="444">
        <f t="shared" si="124"/>
        <v>8.626223720109133E-2</v>
      </c>
      <c r="O195" s="445">
        <f t="shared" si="125"/>
        <v>146.12</v>
      </c>
      <c r="P195" s="444">
        <f t="shared" si="126"/>
        <v>1.172524474402183</v>
      </c>
      <c r="Q195" s="442">
        <v>5.53</v>
      </c>
      <c r="R195" s="444">
        <f t="shared" si="127"/>
        <v>4.4374899695073029E-2</v>
      </c>
      <c r="S195" s="445">
        <f t="shared" si="128"/>
        <v>21.500000000000028</v>
      </c>
      <c r="T195" s="444">
        <f t="shared" si="129"/>
        <v>0.17252447440218291</v>
      </c>
      <c r="U195" s="364">
        <f t="shared" si="130"/>
        <v>3656.2900000000041</v>
      </c>
      <c r="V195" s="457">
        <f t="shared" si="131"/>
        <v>15.970000000000027</v>
      </c>
      <c r="W195" s="458">
        <f t="shared" si="132"/>
        <v>0.12814957470710986</v>
      </c>
      <c r="X195" s="459">
        <f t="shared" si="133"/>
        <v>2715.8582000000042</v>
      </c>
      <c r="Y195" s="366" t="s">
        <v>417</v>
      </c>
      <c r="Z195" s="366" t="s">
        <v>445</v>
      </c>
      <c r="AA195" s="367" t="s">
        <v>858</v>
      </c>
      <c r="AB195" s="367" t="s">
        <v>455</v>
      </c>
      <c r="AC195" s="367">
        <v>1</v>
      </c>
      <c r="AD195" s="446" t="s">
        <v>710</v>
      </c>
    </row>
    <row r="196" spans="2:39" s="147" customFormat="1" ht="27" customHeight="1">
      <c r="B196" s="935"/>
      <c r="C196" s="936"/>
      <c r="D196" s="361">
        <v>14</v>
      </c>
      <c r="E196" s="440" t="s">
        <v>476</v>
      </c>
      <c r="F196" s="441">
        <f t="shared" si="121"/>
        <v>939.74429999999995</v>
      </c>
      <c r="G196" s="365">
        <v>421.40999999999997</v>
      </c>
      <c r="H196" s="442">
        <v>175.75</v>
      </c>
      <c r="I196" s="442">
        <v>175.75</v>
      </c>
      <c r="J196" s="444">
        <f t="shared" si="122"/>
        <v>1</v>
      </c>
      <c r="K196" s="443">
        <v>181.05</v>
      </c>
      <c r="L196" s="444">
        <f t="shared" si="123"/>
        <v>1.0301564722617356</v>
      </c>
      <c r="M196" s="443">
        <v>5.3000000000000007</v>
      </c>
      <c r="N196" s="444">
        <f t="shared" si="124"/>
        <v>3.0156472261735425E-2</v>
      </c>
      <c r="O196" s="445">
        <f t="shared" si="125"/>
        <v>186.35000000000002</v>
      </c>
      <c r="P196" s="444">
        <f t="shared" si="126"/>
        <v>1.0603129445234709</v>
      </c>
      <c r="Q196" s="442">
        <v>2.23</v>
      </c>
      <c r="R196" s="444">
        <f t="shared" si="127"/>
        <v>1.2688477951635847E-2</v>
      </c>
      <c r="S196" s="445">
        <f t="shared" si="128"/>
        <v>10.600000000000023</v>
      </c>
      <c r="T196" s="444">
        <f t="shared" si="129"/>
        <v>6.0312944523470968E-2</v>
      </c>
      <c r="U196" s="364">
        <f t="shared" si="130"/>
        <v>4466.946000000009</v>
      </c>
      <c r="V196" s="457">
        <f t="shared" si="131"/>
        <v>8.3700000000000223</v>
      </c>
      <c r="W196" s="458">
        <f t="shared" si="132"/>
        <v>4.7624466571835118E-2</v>
      </c>
      <c r="X196" s="459">
        <f t="shared" si="133"/>
        <v>3527.2017000000092</v>
      </c>
      <c r="Y196" s="366" t="s">
        <v>417</v>
      </c>
      <c r="Z196" s="366" t="s">
        <v>445</v>
      </c>
      <c r="AA196" s="367" t="s">
        <v>859</v>
      </c>
      <c r="AB196" s="367" t="s">
        <v>455</v>
      </c>
      <c r="AC196" s="367">
        <v>1</v>
      </c>
      <c r="AD196" s="446" t="s">
        <v>440</v>
      </c>
    </row>
    <row r="197" spans="2:39" s="147" customFormat="1" ht="27" customHeight="1">
      <c r="B197" s="935"/>
      <c r="C197" s="936"/>
      <c r="D197" s="361">
        <v>15</v>
      </c>
      <c r="E197" s="440" t="s">
        <v>715</v>
      </c>
      <c r="F197" s="441">
        <f t="shared" si="121"/>
        <v>939.26580000000001</v>
      </c>
      <c r="G197" s="365">
        <v>139.97999999999999</v>
      </c>
      <c r="H197" s="442">
        <v>406.96000000000004</v>
      </c>
      <c r="I197" s="442">
        <v>406.96000000000004</v>
      </c>
      <c r="J197" s="444">
        <f t="shared" si="122"/>
        <v>1</v>
      </c>
      <c r="K197" s="443">
        <v>417.3</v>
      </c>
      <c r="L197" s="444">
        <f t="shared" si="123"/>
        <v>1.0254079024965599</v>
      </c>
      <c r="M197" s="443">
        <v>10.34</v>
      </c>
      <c r="N197" s="444">
        <f t="shared" si="124"/>
        <v>2.5407902496559855E-2</v>
      </c>
      <c r="O197" s="445">
        <f t="shared" si="125"/>
        <v>427.64</v>
      </c>
      <c r="P197" s="444">
        <f t="shared" si="126"/>
        <v>1.0508158049931196</v>
      </c>
      <c r="Q197" s="442">
        <v>6.7100000000000009</v>
      </c>
      <c r="R197" s="444">
        <f t="shared" si="127"/>
        <v>1.6488106939256932E-2</v>
      </c>
      <c r="S197" s="445">
        <f t="shared" si="128"/>
        <v>20.67999999999995</v>
      </c>
      <c r="T197" s="444">
        <f t="shared" si="129"/>
        <v>5.0815804993119593E-2</v>
      </c>
      <c r="U197" s="364">
        <f t="shared" si="130"/>
        <v>2894.7863999999927</v>
      </c>
      <c r="V197" s="457">
        <f t="shared" si="131"/>
        <v>13.969999999999949</v>
      </c>
      <c r="W197" s="458">
        <f t="shared" si="132"/>
        <v>3.4327698053862661E-2</v>
      </c>
      <c r="X197" s="459">
        <f t="shared" si="133"/>
        <v>1955.5205999999928</v>
      </c>
      <c r="Y197" s="366" t="s">
        <v>417</v>
      </c>
      <c r="Z197" s="366" t="s">
        <v>445</v>
      </c>
      <c r="AA197" s="367" t="s">
        <v>860</v>
      </c>
      <c r="AB197" s="367" t="s">
        <v>812</v>
      </c>
      <c r="AC197" s="367">
        <v>1</v>
      </c>
      <c r="AD197" s="446" t="s">
        <v>508</v>
      </c>
    </row>
    <row r="198" spans="2:39" s="147" customFormat="1" ht="27" customHeight="1">
      <c r="B198" s="935"/>
      <c r="C198" s="936"/>
      <c r="D198" s="361">
        <v>16</v>
      </c>
      <c r="E198" s="440" t="s">
        <v>669</v>
      </c>
      <c r="F198" s="441">
        <f t="shared" si="121"/>
        <v>938.37930000000006</v>
      </c>
      <c r="G198" s="365">
        <v>99.51</v>
      </c>
      <c r="H198" s="442">
        <v>1275</v>
      </c>
      <c r="I198" s="442">
        <v>1275</v>
      </c>
      <c r="J198" s="444">
        <f t="shared" si="122"/>
        <v>1</v>
      </c>
      <c r="K198" s="443">
        <v>1303.6599999999999</v>
      </c>
      <c r="L198" s="444">
        <f t="shared" si="123"/>
        <v>1.022478431372549</v>
      </c>
      <c r="M198" s="443">
        <v>28.659999999999997</v>
      </c>
      <c r="N198" s="444">
        <f t="shared" si="124"/>
        <v>2.2478431372549016E-2</v>
      </c>
      <c r="O198" s="445">
        <f t="shared" si="125"/>
        <v>1332.32</v>
      </c>
      <c r="P198" s="444">
        <f t="shared" si="126"/>
        <v>1.044956862745098</v>
      </c>
      <c r="Q198" s="442">
        <v>9.43</v>
      </c>
      <c r="R198" s="444">
        <f t="shared" si="127"/>
        <v>7.3960784313725492E-3</v>
      </c>
      <c r="S198" s="445">
        <f t="shared" si="128"/>
        <v>57.319999999999936</v>
      </c>
      <c r="T198" s="444">
        <f t="shared" si="129"/>
        <v>4.495686274509799E-2</v>
      </c>
      <c r="U198" s="364">
        <f t="shared" si="130"/>
        <v>5703.9131999999936</v>
      </c>
      <c r="V198" s="457">
        <f t="shared" si="131"/>
        <v>47.889999999999937</v>
      </c>
      <c r="W198" s="458">
        <f t="shared" si="132"/>
        <v>3.7560784313725441E-2</v>
      </c>
      <c r="X198" s="459">
        <f t="shared" si="133"/>
        <v>4765.533899999994</v>
      </c>
      <c r="Y198" s="366" t="s">
        <v>417</v>
      </c>
      <c r="Z198" s="366" t="s">
        <v>445</v>
      </c>
      <c r="AA198" s="367" t="s">
        <v>479</v>
      </c>
      <c r="AB198" s="367" t="s">
        <v>726</v>
      </c>
      <c r="AC198" s="367">
        <v>1</v>
      </c>
      <c r="AD198" s="446" t="s">
        <v>349</v>
      </c>
    </row>
    <row r="199" spans="2:39" s="147" customFormat="1" ht="27" customHeight="1">
      <c r="B199" s="935"/>
      <c r="C199" s="936"/>
      <c r="D199" s="361">
        <v>17</v>
      </c>
      <c r="E199" s="440" t="s">
        <v>654</v>
      </c>
      <c r="F199" s="441">
        <f t="shared" si="121"/>
        <v>938.35040000000026</v>
      </c>
      <c r="G199" s="365">
        <v>51.220000000000013</v>
      </c>
      <c r="H199" s="442">
        <v>1383.5300000000002</v>
      </c>
      <c r="I199" s="442">
        <v>1383.5300000000002</v>
      </c>
      <c r="J199" s="444">
        <f t="shared" si="122"/>
        <v>1</v>
      </c>
      <c r="K199" s="443">
        <v>1431.01</v>
      </c>
      <c r="L199" s="444">
        <f t="shared" si="123"/>
        <v>1.0343180126198925</v>
      </c>
      <c r="M199" s="443">
        <v>47.48</v>
      </c>
      <c r="N199" s="444">
        <f t="shared" si="124"/>
        <v>3.4318012619892584E-2</v>
      </c>
      <c r="O199" s="445">
        <f t="shared" si="125"/>
        <v>1478.49</v>
      </c>
      <c r="P199" s="444">
        <f t="shared" si="126"/>
        <v>1.0686360252397851</v>
      </c>
      <c r="Q199" s="442">
        <v>18.32</v>
      </c>
      <c r="R199" s="444">
        <f t="shared" si="127"/>
        <v>1.3241490968753837E-2</v>
      </c>
      <c r="S199" s="445">
        <f t="shared" si="128"/>
        <v>94.959999999999809</v>
      </c>
      <c r="T199" s="444">
        <f t="shared" si="129"/>
        <v>6.8636025239785042E-2</v>
      </c>
      <c r="U199" s="364">
        <f t="shared" si="130"/>
        <v>4863.8511999999919</v>
      </c>
      <c r="V199" s="457">
        <f t="shared" si="131"/>
        <v>76.639999999999816</v>
      </c>
      <c r="W199" s="458">
        <f t="shared" si="132"/>
        <v>5.5394534271031207E-2</v>
      </c>
      <c r="X199" s="459">
        <f t="shared" si="133"/>
        <v>3925.5007999999916</v>
      </c>
      <c r="Y199" s="366" t="s">
        <v>417</v>
      </c>
      <c r="Z199" s="366" t="s">
        <v>445</v>
      </c>
      <c r="AA199" s="367" t="s">
        <v>479</v>
      </c>
      <c r="AB199" s="367" t="s">
        <v>726</v>
      </c>
      <c r="AC199" s="367">
        <v>1</v>
      </c>
      <c r="AD199" s="446" t="s">
        <v>697</v>
      </c>
    </row>
    <row r="200" spans="2:39" s="147" customFormat="1" ht="27" customHeight="1">
      <c r="B200" s="935"/>
      <c r="C200" s="936"/>
      <c r="D200" s="361">
        <v>18</v>
      </c>
      <c r="E200" s="440" t="s">
        <v>474</v>
      </c>
      <c r="F200" s="441">
        <f t="shared" si="121"/>
        <v>938.25900000000001</v>
      </c>
      <c r="G200" s="365">
        <v>84.3</v>
      </c>
      <c r="H200" s="442">
        <v>1174.3899999999999</v>
      </c>
      <c r="I200" s="442">
        <v>1174.3899999999999</v>
      </c>
      <c r="J200" s="444">
        <f t="shared" si="122"/>
        <v>1</v>
      </c>
      <c r="K200" s="443">
        <v>1204.4299999999998</v>
      </c>
      <c r="L200" s="444">
        <f t="shared" si="123"/>
        <v>1.0255792368804231</v>
      </c>
      <c r="M200" s="443">
        <v>30.04</v>
      </c>
      <c r="N200" s="444">
        <f t="shared" si="124"/>
        <v>2.5579236880423031E-2</v>
      </c>
      <c r="O200" s="445">
        <f t="shared" si="125"/>
        <v>1234.4699999999998</v>
      </c>
      <c r="P200" s="444">
        <f t="shared" si="126"/>
        <v>1.0511584737608459</v>
      </c>
      <c r="Q200" s="442">
        <v>11.13</v>
      </c>
      <c r="R200" s="444">
        <f t="shared" si="127"/>
        <v>9.4772605352566024E-3</v>
      </c>
      <c r="S200" s="445">
        <f t="shared" si="128"/>
        <v>60.079999999999927</v>
      </c>
      <c r="T200" s="444">
        <f t="shared" si="129"/>
        <v>5.1158473760846E-2</v>
      </c>
      <c r="U200" s="364">
        <f t="shared" si="130"/>
        <v>5064.7439999999933</v>
      </c>
      <c r="V200" s="457">
        <f t="shared" si="131"/>
        <v>48.949999999999925</v>
      </c>
      <c r="W200" s="458">
        <f t="shared" si="132"/>
        <v>4.1681213225589396E-2</v>
      </c>
      <c r="X200" s="459">
        <f t="shared" si="133"/>
        <v>4126.4849999999933</v>
      </c>
      <c r="Y200" s="366" t="s">
        <v>417</v>
      </c>
      <c r="Z200" s="366" t="s">
        <v>445</v>
      </c>
      <c r="AA200" s="367" t="s">
        <v>479</v>
      </c>
      <c r="AB200" s="367" t="s">
        <v>726</v>
      </c>
      <c r="AC200" s="367">
        <v>1</v>
      </c>
      <c r="AD200" s="446" t="s">
        <v>473</v>
      </c>
    </row>
    <row r="201" spans="2:39" s="147" customFormat="1" ht="27" customHeight="1">
      <c r="B201" s="935"/>
      <c r="C201" s="936"/>
      <c r="D201" s="361">
        <v>19</v>
      </c>
      <c r="E201" s="440" t="s">
        <v>668</v>
      </c>
      <c r="F201" s="441">
        <f t="shared" si="121"/>
        <v>938.14560000000006</v>
      </c>
      <c r="G201" s="365">
        <v>108.96000000000001</v>
      </c>
      <c r="H201" s="442">
        <v>405.02</v>
      </c>
      <c r="I201" s="442">
        <v>405.02</v>
      </c>
      <c r="J201" s="444">
        <f t="shared" si="122"/>
        <v>1</v>
      </c>
      <c r="K201" s="443">
        <v>418.78999999999996</v>
      </c>
      <c r="L201" s="444">
        <f t="shared" si="123"/>
        <v>1.0339983210705643</v>
      </c>
      <c r="M201" s="443">
        <v>13.77</v>
      </c>
      <c r="N201" s="444">
        <f t="shared" si="124"/>
        <v>3.399832107056442E-2</v>
      </c>
      <c r="O201" s="445">
        <f t="shared" si="125"/>
        <v>432.55999999999995</v>
      </c>
      <c r="P201" s="444">
        <f t="shared" si="126"/>
        <v>1.0679966421411287</v>
      </c>
      <c r="Q201" s="442">
        <v>8.61</v>
      </c>
      <c r="R201" s="444">
        <f t="shared" si="127"/>
        <v>2.1258209471137227E-2</v>
      </c>
      <c r="S201" s="445">
        <f t="shared" si="128"/>
        <v>27.539999999999964</v>
      </c>
      <c r="T201" s="444">
        <f t="shared" si="129"/>
        <v>6.7996642141128744E-2</v>
      </c>
      <c r="U201" s="364">
        <f t="shared" si="130"/>
        <v>3000.7583999999961</v>
      </c>
      <c r="V201" s="457">
        <f t="shared" si="131"/>
        <v>18.929999999999964</v>
      </c>
      <c r="W201" s="458">
        <f t="shared" si="132"/>
        <v>4.6738432669991517E-2</v>
      </c>
      <c r="X201" s="459">
        <f t="shared" si="133"/>
        <v>2062.6127999999962</v>
      </c>
      <c r="Y201" s="366" t="s">
        <v>417</v>
      </c>
      <c r="Z201" s="366" t="s">
        <v>445</v>
      </c>
      <c r="AA201" s="367" t="s">
        <v>858</v>
      </c>
      <c r="AB201" s="367" t="s">
        <v>455</v>
      </c>
      <c r="AC201" s="367">
        <v>1</v>
      </c>
      <c r="AD201" s="446" t="s">
        <v>650</v>
      </c>
    </row>
    <row r="202" spans="2:39" s="147" customFormat="1" ht="27" customHeight="1">
      <c r="B202" s="937"/>
      <c r="C202" s="938"/>
      <c r="D202" s="361">
        <v>20</v>
      </c>
      <c r="E202" s="440" t="s">
        <v>772</v>
      </c>
      <c r="F202" s="441">
        <f t="shared" si="121"/>
        <v>938.05359999999996</v>
      </c>
      <c r="G202" s="365">
        <v>24.789999999999996</v>
      </c>
      <c r="H202" s="442">
        <v>5819.84</v>
      </c>
      <c r="I202" s="442">
        <v>5819.84</v>
      </c>
      <c r="J202" s="444">
        <f t="shared" si="122"/>
        <v>1</v>
      </c>
      <c r="K202" s="443">
        <v>5968.0299999999988</v>
      </c>
      <c r="L202" s="444">
        <f t="shared" si="123"/>
        <v>1.0254628993236925</v>
      </c>
      <c r="M202" s="443">
        <v>148.19</v>
      </c>
      <c r="N202" s="444">
        <f t="shared" si="124"/>
        <v>2.5462899323692747E-2</v>
      </c>
      <c r="O202" s="445">
        <f t="shared" si="125"/>
        <v>6116.2199999999984</v>
      </c>
      <c r="P202" s="444">
        <f t="shared" si="126"/>
        <v>1.0509257986473852</v>
      </c>
      <c r="Q202" s="442">
        <v>37.840000000000003</v>
      </c>
      <c r="R202" s="444">
        <f t="shared" si="127"/>
        <v>6.501896959366581E-3</v>
      </c>
      <c r="S202" s="445">
        <f t="shared" si="128"/>
        <v>296.37999999999829</v>
      </c>
      <c r="T202" s="444">
        <f t="shared" si="129"/>
        <v>5.0925798647385202E-2</v>
      </c>
      <c r="U202" s="364">
        <f t="shared" si="130"/>
        <v>7347.2601999999561</v>
      </c>
      <c r="V202" s="457">
        <f t="shared" si="131"/>
        <v>258.53999999999826</v>
      </c>
      <c r="W202" s="458">
        <f t="shared" si="132"/>
        <v>4.4423901688018616E-2</v>
      </c>
      <c r="X202" s="459">
        <f t="shared" si="133"/>
        <v>6409.2065999999559</v>
      </c>
      <c r="Y202" s="366" t="s">
        <v>417</v>
      </c>
      <c r="Z202" s="366" t="s">
        <v>445</v>
      </c>
      <c r="AA202" s="367" t="s">
        <v>479</v>
      </c>
      <c r="AB202" s="367" t="s">
        <v>726</v>
      </c>
      <c r="AC202" s="367">
        <v>1</v>
      </c>
      <c r="AD202" s="446" t="s">
        <v>751</v>
      </c>
    </row>
    <row r="203" spans="2:39" ht="16.5" customHeight="1">
      <c r="B203" s="949" t="s">
        <v>442</v>
      </c>
      <c r="C203" s="950"/>
      <c r="D203" s="953" t="s">
        <v>549</v>
      </c>
      <c r="E203" s="954" t="s">
        <v>550</v>
      </c>
      <c r="F203" s="955" t="s">
        <v>551</v>
      </c>
      <c r="G203" s="922" t="s">
        <v>552</v>
      </c>
      <c r="H203" s="956" t="s">
        <v>553</v>
      </c>
      <c r="I203" s="939" t="s">
        <v>554</v>
      </c>
      <c r="J203" s="940"/>
      <c r="K203" s="939" t="s">
        <v>555</v>
      </c>
      <c r="L203" s="940"/>
      <c r="M203" s="939" t="s">
        <v>556</v>
      </c>
      <c r="N203" s="940"/>
      <c r="O203" s="939" t="s">
        <v>557</v>
      </c>
      <c r="P203" s="940"/>
      <c r="Q203" s="939" t="s">
        <v>418</v>
      </c>
      <c r="R203" s="940"/>
      <c r="S203" s="941" t="s">
        <v>419</v>
      </c>
      <c r="T203" s="942"/>
      <c r="U203" s="943"/>
      <c r="V203" s="944" t="s">
        <v>718</v>
      </c>
      <c r="W203" s="945"/>
      <c r="X203" s="946"/>
      <c r="Y203" s="947" t="s">
        <v>171</v>
      </c>
      <c r="Z203" s="947" t="s">
        <v>245</v>
      </c>
      <c r="AA203" s="947" t="s">
        <v>558</v>
      </c>
      <c r="AB203" s="947" t="s">
        <v>444</v>
      </c>
      <c r="AC203" s="947" t="s">
        <v>246</v>
      </c>
      <c r="AD203" s="922" t="s">
        <v>172</v>
      </c>
      <c r="AF203" s="924" t="s">
        <v>247</v>
      </c>
      <c r="AG203" s="925"/>
      <c r="AH203" s="925"/>
      <c r="AI203" s="925"/>
      <c r="AJ203" s="925"/>
      <c r="AK203" s="925"/>
      <c r="AL203" s="925"/>
      <c r="AM203" s="926"/>
    </row>
    <row r="204" spans="2:39" ht="16.5" customHeight="1">
      <c r="B204" s="951"/>
      <c r="C204" s="952"/>
      <c r="D204" s="953"/>
      <c r="E204" s="953"/>
      <c r="F204" s="955"/>
      <c r="G204" s="923"/>
      <c r="H204" s="923"/>
      <c r="I204" s="439" t="s">
        <v>559</v>
      </c>
      <c r="J204" s="362" t="s">
        <v>560</v>
      </c>
      <c r="K204" s="439" t="s">
        <v>559</v>
      </c>
      <c r="L204" s="362" t="s">
        <v>560</v>
      </c>
      <c r="M204" s="439" t="s">
        <v>559</v>
      </c>
      <c r="N204" s="362" t="s">
        <v>560</v>
      </c>
      <c r="O204" s="439" t="s">
        <v>559</v>
      </c>
      <c r="P204" s="362" t="s">
        <v>560</v>
      </c>
      <c r="Q204" s="439" t="s">
        <v>559</v>
      </c>
      <c r="R204" s="362" t="s">
        <v>560</v>
      </c>
      <c r="S204" s="439" t="s">
        <v>559</v>
      </c>
      <c r="T204" s="362" t="s">
        <v>560</v>
      </c>
      <c r="U204" s="362" t="s">
        <v>561</v>
      </c>
      <c r="V204" s="439" t="s">
        <v>559</v>
      </c>
      <c r="W204" s="362" t="s">
        <v>560</v>
      </c>
      <c r="X204" s="362" t="s">
        <v>561</v>
      </c>
      <c r="Y204" s="948"/>
      <c r="Z204" s="948"/>
      <c r="AA204" s="948"/>
      <c r="AB204" s="948"/>
      <c r="AC204" s="948"/>
      <c r="AD204" s="923"/>
      <c r="AF204" s="927"/>
      <c r="AG204" s="928"/>
      <c r="AH204" s="928"/>
      <c r="AI204" s="928"/>
      <c r="AJ204" s="928"/>
      <c r="AK204" s="928"/>
      <c r="AL204" s="928"/>
      <c r="AM204" s="929"/>
    </row>
    <row r="205" spans="2:39" s="147" customFormat="1" ht="27" customHeight="1">
      <c r="B205" s="933" t="s">
        <v>853</v>
      </c>
      <c r="C205" s="934"/>
      <c r="D205" s="361">
        <v>1</v>
      </c>
      <c r="E205" s="440" t="s">
        <v>335</v>
      </c>
      <c r="F205" s="441">
        <f>IFERROR(Q205*G205,"-")</f>
        <v>2070.3000000000002</v>
      </c>
      <c r="G205" s="365">
        <v>15.450000000000001</v>
      </c>
      <c r="H205" s="442">
        <v>58120</v>
      </c>
      <c r="I205" s="442">
        <v>58120</v>
      </c>
      <c r="J205" s="444">
        <f>IFERROR(I205/H205,"-")</f>
        <v>1</v>
      </c>
      <c r="K205" s="443">
        <v>58254</v>
      </c>
      <c r="L205" s="444">
        <f>IFERROR(K205/H205,"-")</f>
        <v>1.0023055746730902</v>
      </c>
      <c r="M205" s="443">
        <v>0</v>
      </c>
      <c r="N205" s="444">
        <f>IFERROR(M205/H205,"-")</f>
        <v>0</v>
      </c>
      <c r="O205" s="445">
        <f>IFERROR(K205+M205,"-")</f>
        <v>58254</v>
      </c>
      <c r="P205" s="444">
        <f>IFERROR(O205/H205,"-")</f>
        <v>1.0023055746730902</v>
      </c>
      <c r="Q205" s="442">
        <v>134</v>
      </c>
      <c r="R205" s="444">
        <f>IFERROR(Q205/H205,"-")</f>
        <v>2.3055746730901582E-3</v>
      </c>
      <c r="S205" s="445">
        <f>IFERROR(O205-H205,"-")</f>
        <v>134</v>
      </c>
      <c r="T205" s="444">
        <f>IFERROR(S205/H205,"-")</f>
        <v>2.3055746730901582E-3</v>
      </c>
      <c r="U205" s="364">
        <f>IFERROR(S205*G205,"-")</f>
        <v>2070.3000000000002</v>
      </c>
      <c r="V205" s="457">
        <f>S205-Q205</f>
        <v>0</v>
      </c>
      <c r="W205" s="458">
        <f>IFERROR(V205/H205,"-")</f>
        <v>0</v>
      </c>
      <c r="X205" s="459">
        <f>IFERROR(V205*G205,"-")</f>
        <v>0</v>
      </c>
      <c r="Y205" s="366" t="s">
        <v>417</v>
      </c>
      <c r="Z205" s="366" t="s">
        <v>216</v>
      </c>
      <c r="AA205" s="367"/>
      <c r="AB205" s="367"/>
      <c r="AC205" s="367">
        <v>1</v>
      </c>
      <c r="AD205" s="446" t="s">
        <v>523</v>
      </c>
      <c r="AF205" s="930"/>
      <c r="AG205" s="931"/>
      <c r="AH205" s="931"/>
      <c r="AI205" s="931"/>
      <c r="AJ205" s="931"/>
      <c r="AK205" s="931"/>
      <c r="AL205" s="931"/>
      <c r="AM205" s="932"/>
    </row>
    <row r="206" spans="2:39" s="147" customFormat="1" ht="27" customHeight="1">
      <c r="B206" s="935"/>
      <c r="C206" s="936"/>
      <c r="D206" s="361">
        <v>2</v>
      </c>
      <c r="E206" s="440" t="s">
        <v>448</v>
      </c>
      <c r="F206" s="441">
        <f t="shared" ref="F206:F224" si="136">IFERROR(Q206*G206,"-")</f>
        <v>1849.7499999999998</v>
      </c>
      <c r="G206" s="365">
        <v>2.4499999999999997</v>
      </c>
      <c r="H206" s="442">
        <v>132325</v>
      </c>
      <c r="I206" s="442">
        <v>132325</v>
      </c>
      <c r="J206" s="444">
        <f t="shared" ref="J206:J224" si="137">IFERROR(I206/H206,"-")</f>
        <v>1</v>
      </c>
      <c r="K206" s="443">
        <v>133080</v>
      </c>
      <c r="L206" s="444">
        <f t="shared" ref="L206:L224" si="138">IFERROR(K206/H206,"-")</f>
        <v>1.0057056489703382</v>
      </c>
      <c r="M206" s="443">
        <v>0</v>
      </c>
      <c r="N206" s="444">
        <f t="shared" ref="N206:N224" si="139">IFERROR(M206/H206,"-")</f>
        <v>0</v>
      </c>
      <c r="O206" s="445">
        <f t="shared" ref="O206:O224" si="140">IFERROR(K206+M206,"-")</f>
        <v>133080</v>
      </c>
      <c r="P206" s="444">
        <f t="shared" ref="P206:P224" si="141">IFERROR(O206/H206,"-")</f>
        <v>1.0057056489703382</v>
      </c>
      <c r="Q206" s="442">
        <v>755</v>
      </c>
      <c r="R206" s="444">
        <f t="shared" ref="R206:R224" si="142">IFERROR(Q206/H206,"-")</f>
        <v>5.7056489703381829E-3</v>
      </c>
      <c r="S206" s="445">
        <f t="shared" ref="S206:S224" si="143">IFERROR(O206-H206,"-")</f>
        <v>755</v>
      </c>
      <c r="T206" s="444">
        <f t="shared" ref="T206:T224" si="144">IFERROR(S206/H206,"-")</f>
        <v>5.7056489703381829E-3</v>
      </c>
      <c r="U206" s="364">
        <f t="shared" ref="U206:U224" si="145">IFERROR(S206*G206,"-")</f>
        <v>1849.7499999999998</v>
      </c>
      <c r="V206" s="457">
        <f t="shared" ref="V206:V224" si="146">S206-Q206</f>
        <v>0</v>
      </c>
      <c r="W206" s="458">
        <f t="shared" ref="W206:W224" si="147">IFERROR(V206/H206,"-")</f>
        <v>0</v>
      </c>
      <c r="X206" s="459">
        <f t="shared" ref="X206:X224" si="148">IFERROR(V206*G206,"-")</f>
        <v>0</v>
      </c>
      <c r="Y206" s="366" t="s">
        <v>417</v>
      </c>
      <c r="Z206" s="366" t="s">
        <v>337</v>
      </c>
      <c r="AA206" s="367"/>
      <c r="AB206" s="367"/>
      <c r="AC206" s="367">
        <v>1</v>
      </c>
      <c r="AD206" s="446" t="s">
        <v>340</v>
      </c>
      <c r="AF206" s="160" t="s">
        <v>244</v>
      </c>
      <c r="AG206" s="160" t="s">
        <v>445</v>
      </c>
      <c r="AH206" s="155" t="s">
        <v>562</v>
      </c>
      <c r="AI206" s="155" t="s">
        <v>337</v>
      </c>
      <c r="AJ206" s="155" t="s">
        <v>428</v>
      </c>
      <c r="AK206" s="155" t="s">
        <v>215</v>
      </c>
      <c r="AL206" s="155" t="s">
        <v>216</v>
      </c>
      <c r="AM206" s="155" t="s">
        <v>384</v>
      </c>
    </row>
    <row r="207" spans="2:39" s="147" customFormat="1" ht="27" customHeight="1">
      <c r="B207" s="935"/>
      <c r="C207" s="936"/>
      <c r="D207" s="361">
        <v>3</v>
      </c>
      <c r="E207" s="440" t="s">
        <v>447</v>
      </c>
      <c r="F207" s="441">
        <f t="shared" si="136"/>
        <v>1787.76</v>
      </c>
      <c r="G207" s="365">
        <v>1.17</v>
      </c>
      <c r="H207" s="442">
        <v>215744</v>
      </c>
      <c r="I207" s="442">
        <v>215744</v>
      </c>
      <c r="J207" s="444">
        <f t="shared" si="137"/>
        <v>1</v>
      </c>
      <c r="K207" s="443">
        <v>217272</v>
      </c>
      <c r="L207" s="444">
        <f t="shared" si="138"/>
        <v>1.007082468110353</v>
      </c>
      <c r="M207" s="443">
        <v>0</v>
      </c>
      <c r="N207" s="444">
        <f t="shared" si="139"/>
        <v>0</v>
      </c>
      <c r="O207" s="445">
        <f t="shared" si="140"/>
        <v>217272</v>
      </c>
      <c r="P207" s="444">
        <f t="shared" si="141"/>
        <v>1.007082468110353</v>
      </c>
      <c r="Q207" s="442">
        <v>1528</v>
      </c>
      <c r="R207" s="444">
        <f t="shared" si="142"/>
        <v>7.0824681103530112E-3</v>
      </c>
      <c r="S207" s="445">
        <f t="shared" si="143"/>
        <v>1528</v>
      </c>
      <c r="T207" s="444">
        <f t="shared" si="144"/>
        <v>7.0824681103530112E-3</v>
      </c>
      <c r="U207" s="364">
        <f t="shared" si="145"/>
        <v>1787.76</v>
      </c>
      <c r="V207" s="457">
        <f t="shared" si="146"/>
        <v>0</v>
      </c>
      <c r="W207" s="458">
        <f t="shared" si="147"/>
        <v>0</v>
      </c>
      <c r="X207" s="459">
        <f t="shared" si="148"/>
        <v>0</v>
      </c>
      <c r="Y207" s="366" t="s">
        <v>417</v>
      </c>
      <c r="Z207" s="366" t="s">
        <v>337</v>
      </c>
      <c r="AA207" s="367"/>
      <c r="AB207" s="367"/>
      <c r="AC207" s="367">
        <v>1</v>
      </c>
      <c r="AD207" s="446" t="s">
        <v>340</v>
      </c>
      <c r="AF207" s="374">
        <f>SUM(AC205:AC224)</f>
        <v>20</v>
      </c>
      <c r="AG207" s="369">
        <f>SUMIF($Z$205:$Z$224,TRIM(AG206),$AC$205:$AC$224)</f>
        <v>8</v>
      </c>
      <c r="AH207" s="369">
        <f t="shared" ref="AH207:AM207" si="149">SUMIF($Z$205:$Z$224,TRIM(AH206),$AC$205:$AC$224)</f>
        <v>0</v>
      </c>
      <c r="AI207" s="369">
        <f t="shared" si="149"/>
        <v>6</v>
      </c>
      <c r="AJ207" s="369">
        <f t="shared" si="149"/>
        <v>0</v>
      </c>
      <c r="AK207" s="369">
        <f t="shared" si="149"/>
        <v>1</v>
      </c>
      <c r="AL207" s="369">
        <f t="shared" si="149"/>
        <v>5</v>
      </c>
      <c r="AM207" s="369">
        <f t="shared" si="149"/>
        <v>0</v>
      </c>
    </row>
    <row r="208" spans="2:39" s="147" customFormat="1" ht="27" customHeight="1">
      <c r="B208" s="935"/>
      <c r="C208" s="936"/>
      <c r="D208" s="361">
        <v>4</v>
      </c>
      <c r="E208" s="440" t="s">
        <v>336</v>
      </c>
      <c r="F208" s="441">
        <f t="shared" si="136"/>
        <v>1509.6832000000004</v>
      </c>
      <c r="G208" s="365">
        <v>147.43000000000004</v>
      </c>
      <c r="H208" s="442">
        <v>3953.68</v>
      </c>
      <c r="I208" s="442">
        <v>3953.68</v>
      </c>
      <c r="J208" s="444">
        <f t="shared" si="137"/>
        <v>1</v>
      </c>
      <c r="K208" s="443">
        <v>4019.2300000000005</v>
      </c>
      <c r="L208" s="444">
        <f t="shared" si="138"/>
        <v>1.0165794904999901</v>
      </c>
      <c r="M208" s="443">
        <v>65.55</v>
      </c>
      <c r="N208" s="444">
        <f t="shared" si="139"/>
        <v>1.6579490499989882E-2</v>
      </c>
      <c r="O208" s="445">
        <f t="shared" si="140"/>
        <v>4084.7800000000007</v>
      </c>
      <c r="P208" s="444">
        <f t="shared" si="141"/>
        <v>1.0331589809999799</v>
      </c>
      <c r="Q208" s="442">
        <v>10.24</v>
      </c>
      <c r="R208" s="444">
        <f t="shared" si="142"/>
        <v>2.5899921086177942E-3</v>
      </c>
      <c r="S208" s="445">
        <f t="shared" si="143"/>
        <v>131.10000000000082</v>
      </c>
      <c r="T208" s="444">
        <f t="shared" si="144"/>
        <v>3.3158980999979971E-2</v>
      </c>
      <c r="U208" s="364">
        <f t="shared" si="145"/>
        <v>19328.073000000124</v>
      </c>
      <c r="V208" s="457">
        <f t="shared" si="146"/>
        <v>120.86000000000082</v>
      </c>
      <c r="W208" s="458">
        <f t="shared" si="147"/>
        <v>3.056898889136218E-2</v>
      </c>
      <c r="X208" s="459">
        <f t="shared" si="148"/>
        <v>17818.389800000125</v>
      </c>
      <c r="Y208" s="366" t="s">
        <v>417</v>
      </c>
      <c r="Z208" s="366" t="s">
        <v>215</v>
      </c>
      <c r="AA208" s="367"/>
      <c r="AB208" s="367"/>
      <c r="AC208" s="367">
        <v>1</v>
      </c>
      <c r="AD208" s="446" t="s">
        <v>340</v>
      </c>
      <c r="AF208" s="375" t="s">
        <v>11</v>
      </c>
      <c r="AG208" s="372">
        <f>SUMIF($Z$205:$Z224,TRIM(AG206),$F$205:$F$224)</f>
        <v>7367.6618000000008</v>
      </c>
      <c r="AH208" s="372">
        <f>SUMIF($Z$205:$Z224,TRIM(AH206),$F$205:$F$224)</f>
        <v>0</v>
      </c>
      <c r="AI208" s="372">
        <f>SUMIF($Z$205:$Z224,TRIM(AI206),$F$205:$F$224)</f>
        <v>8116.3483999999989</v>
      </c>
      <c r="AJ208" s="372">
        <f>SUMIF($Z$205:$Z224,TRIM(AJ206),$F$205:$F$224)</f>
        <v>0</v>
      </c>
      <c r="AK208" s="372">
        <f>SUMIF($Z$205:$Z224,TRIM(AK206),$F$205:$F$224)</f>
        <v>1509.6832000000004</v>
      </c>
      <c r="AL208" s="372">
        <f>SUMIF($Z$205:$Z224,TRIM(AL206),$F$205:$F$224)</f>
        <v>6083.7018000000007</v>
      </c>
      <c r="AM208" s="372">
        <f>SUMIF($Z$205:$Z224,TRIM(AM206),$F$205:$F$224)</f>
        <v>0</v>
      </c>
    </row>
    <row r="209" spans="2:39" s="147" customFormat="1" ht="27" customHeight="1">
      <c r="B209" s="935"/>
      <c r="C209" s="936"/>
      <c r="D209" s="361">
        <v>5</v>
      </c>
      <c r="E209" s="440" t="s">
        <v>692</v>
      </c>
      <c r="F209" s="441">
        <f t="shared" si="136"/>
        <v>1445.9213999999999</v>
      </c>
      <c r="G209" s="365">
        <v>625.93999999999994</v>
      </c>
      <c r="H209" s="442">
        <v>1254.52</v>
      </c>
      <c r="I209" s="442">
        <v>1254.52</v>
      </c>
      <c r="J209" s="444">
        <f t="shared" si="137"/>
        <v>1</v>
      </c>
      <c r="K209" s="443">
        <v>1265.46</v>
      </c>
      <c r="L209" s="444">
        <f t="shared" si="138"/>
        <v>1.0087204667920799</v>
      </c>
      <c r="M209" s="443">
        <v>10.940000000000001</v>
      </c>
      <c r="N209" s="444">
        <f t="shared" si="139"/>
        <v>8.7204667920798406E-3</v>
      </c>
      <c r="O209" s="445">
        <f t="shared" si="140"/>
        <v>1276.4000000000001</v>
      </c>
      <c r="P209" s="444">
        <f t="shared" si="141"/>
        <v>1.0174409335841597</v>
      </c>
      <c r="Q209" s="442">
        <v>2.31</v>
      </c>
      <c r="R209" s="444">
        <f t="shared" si="142"/>
        <v>1.841341708382489E-3</v>
      </c>
      <c r="S209" s="445">
        <f t="shared" si="143"/>
        <v>21.880000000000109</v>
      </c>
      <c r="T209" s="444">
        <f t="shared" si="144"/>
        <v>1.7440933584159764E-2</v>
      </c>
      <c r="U209" s="364">
        <f t="shared" si="145"/>
        <v>13695.567200000067</v>
      </c>
      <c r="V209" s="457">
        <f t="shared" si="146"/>
        <v>19.57000000000011</v>
      </c>
      <c r="W209" s="458">
        <f t="shared" si="147"/>
        <v>1.5599591875777278E-2</v>
      </c>
      <c r="X209" s="459">
        <f t="shared" si="148"/>
        <v>12249.645800000068</v>
      </c>
      <c r="Y209" s="366" t="s">
        <v>417</v>
      </c>
      <c r="Z209" s="366" t="s">
        <v>337</v>
      </c>
      <c r="AA209" s="367"/>
      <c r="AB209" s="367"/>
      <c r="AC209" s="367">
        <v>1</v>
      </c>
      <c r="AD209" s="446" t="s">
        <v>697</v>
      </c>
      <c r="AF209" s="361" t="s">
        <v>563</v>
      </c>
      <c r="AG209" s="447">
        <f>AG207/$AF207</f>
        <v>0.4</v>
      </c>
      <c r="AH209" s="447">
        <f t="shared" ref="AH209:AM209" si="150">AH207/$AF207</f>
        <v>0</v>
      </c>
      <c r="AI209" s="447">
        <f t="shared" si="150"/>
        <v>0.3</v>
      </c>
      <c r="AJ209" s="447">
        <f t="shared" si="150"/>
        <v>0</v>
      </c>
      <c r="AK209" s="447">
        <f t="shared" si="150"/>
        <v>0.05</v>
      </c>
      <c r="AL209" s="447">
        <f t="shared" si="150"/>
        <v>0.25</v>
      </c>
      <c r="AM209" s="447">
        <f t="shared" si="150"/>
        <v>0</v>
      </c>
    </row>
    <row r="210" spans="2:39" s="147" customFormat="1" ht="27" customHeight="1">
      <c r="B210" s="935"/>
      <c r="C210" s="936"/>
      <c r="D210" s="361">
        <v>6</v>
      </c>
      <c r="E210" s="440" t="s">
        <v>461</v>
      </c>
      <c r="F210" s="441">
        <f t="shared" si="136"/>
        <v>1215.0652000000002</v>
      </c>
      <c r="G210" s="365">
        <v>407.74000000000007</v>
      </c>
      <c r="H210" s="442">
        <v>1055.45</v>
      </c>
      <c r="I210" s="442">
        <v>1055.45</v>
      </c>
      <c r="J210" s="444">
        <f t="shared" si="137"/>
        <v>1</v>
      </c>
      <c r="K210" s="443">
        <v>1068.0899999999999</v>
      </c>
      <c r="L210" s="444">
        <f t="shared" si="138"/>
        <v>1.0119759344355488</v>
      </c>
      <c r="M210" s="443">
        <v>12.64</v>
      </c>
      <c r="N210" s="444">
        <f t="shared" si="139"/>
        <v>1.1975934435548818E-2</v>
      </c>
      <c r="O210" s="445">
        <f t="shared" si="140"/>
        <v>1080.73</v>
      </c>
      <c r="P210" s="444">
        <f t="shared" si="141"/>
        <v>1.0239518688710976</v>
      </c>
      <c r="Q210" s="442">
        <v>2.98</v>
      </c>
      <c r="R210" s="444">
        <f t="shared" si="142"/>
        <v>2.8234402387607182E-3</v>
      </c>
      <c r="S210" s="445">
        <f t="shared" si="143"/>
        <v>25.279999999999973</v>
      </c>
      <c r="T210" s="444">
        <f t="shared" si="144"/>
        <v>2.3951868871097608E-2</v>
      </c>
      <c r="U210" s="364">
        <f t="shared" si="145"/>
        <v>10307.667199999991</v>
      </c>
      <c r="V210" s="457">
        <f t="shared" si="146"/>
        <v>22.299999999999972</v>
      </c>
      <c r="W210" s="458">
        <f t="shared" si="147"/>
        <v>2.1128428632336892E-2</v>
      </c>
      <c r="X210" s="459">
        <f t="shared" si="148"/>
        <v>9092.6019999999899</v>
      </c>
      <c r="Y210" s="366" t="s">
        <v>417</v>
      </c>
      <c r="Z210" s="366" t="s">
        <v>337</v>
      </c>
      <c r="AA210" s="367"/>
      <c r="AB210" s="367"/>
      <c r="AC210" s="367">
        <v>1</v>
      </c>
      <c r="AD210" s="446" t="s">
        <v>463</v>
      </c>
    </row>
    <row r="211" spans="2:39" s="147" customFormat="1" ht="27" customHeight="1">
      <c r="B211" s="935"/>
      <c r="C211" s="936"/>
      <c r="D211" s="361">
        <v>7</v>
      </c>
      <c r="E211" s="440" t="s">
        <v>386</v>
      </c>
      <c r="F211" s="441">
        <f t="shared" si="136"/>
        <v>1185.0768</v>
      </c>
      <c r="G211" s="365">
        <v>127.84000000000002</v>
      </c>
      <c r="H211" s="442">
        <v>3677.04</v>
      </c>
      <c r="I211" s="442">
        <v>3677.04</v>
      </c>
      <c r="J211" s="444">
        <f t="shared" si="137"/>
        <v>1</v>
      </c>
      <c r="K211" s="443">
        <v>3726.94</v>
      </c>
      <c r="L211" s="444">
        <f t="shared" si="138"/>
        <v>1.0135706981702675</v>
      </c>
      <c r="M211" s="443">
        <v>49.9</v>
      </c>
      <c r="N211" s="444">
        <f t="shared" si="139"/>
        <v>1.357069817026739E-2</v>
      </c>
      <c r="O211" s="445">
        <f t="shared" si="140"/>
        <v>3776.84</v>
      </c>
      <c r="P211" s="444">
        <f t="shared" si="141"/>
        <v>1.0271413963405349</v>
      </c>
      <c r="Q211" s="442">
        <v>9.27</v>
      </c>
      <c r="R211" s="444">
        <f t="shared" si="142"/>
        <v>2.5210495398472685E-3</v>
      </c>
      <c r="S211" s="445">
        <f t="shared" si="143"/>
        <v>99.800000000000182</v>
      </c>
      <c r="T211" s="444">
        <f t="shared" si="144"/>
        <v>2.7141396340534828E-2</v>
      </c>
      <c r="U211" s="364">
        <f t="shared" si="145"/>
        <v>12758.432000000024</v>
      </c>
      <c r="V211" s="457">
        <f t="shared" si="146"/>
        <v>90.530000000000186</v>
      </c>
      <c r="W211" s="458">
        <f t="shared" si="147"/>
        <v>2.4620346800687559E-2</v>
      </c>
      <c r="X211" s="459">
        <f t="shared" si="148"/>
        <v>11573.355200000025</v>
      </c>
      <c r="Y211" s="366" t="s">
        <v>417</v>
      </c>
      <c r="Z211" s="366" t="s">
        <v>445</v>
      </c>
      <c r="AA211" s="367"/>
      <c r="AB211" s="367"/>
      <c r="AC211" s="367">
        <v>1</v>
      </c>
      <c r="AD211" s="446" t="s">
        <v>340</v>
      </c>
    </row>
    <row r="212" spans="2:39" s="147" customFormat="1" ht="27" customHeight="1">
      <c r="B212" s="935"/>
      <c r="C212" s="936"/>
      <c r="D212" s="361">
        <v>8</v>
      </c>
      <c r="E212" s="440" t="s">
        <v>534</v>
      </c>
      <c r="F212" s="441">
        <f t="shared" si="136"/>
        <v>1139.1587999999999</v>
      </c>
      <c r="G212" s="365">
        <v>39.389999999999993</v>
      </c>
      <c r="H212" s="442">
        <v>25178.400000000001</v>
      </c>
      <c r="I212" s="442">
        <v>25178.400000000001</v>
      </c>
      <c r="J212" s="444">
        <f t="shared" si="137"/>
        <v>1</v>
      </c>
      <c r="K212" s="443">
        <v>25317.43</v>
      </c>
      <c r="L212" s="444">
        <f t="shared" si="138"/>
        <v>1.0055217964604581</v>
      </c>
      <c r="M212" s="443">
        <v>139.03</v>
      </c>
      <c r="N212" s="444">
        <f t="shared" si="139"/>
        <v>5.5217964604581705E-3</v>
      </c>
      <c r="O212" s="445">
        <f t="shared" si="140"/>
        <v>25456.46</v>
      </c>
      <c r="P212" s="444">
        <f t="shared" si="141"/>
        <v>1.0110435929209163</v>
      </c>
      <c r="Q212" s="442">
        <v>28.92</v>
      </c>
      <c r="R212" s="444">
        <f t="shared" si="142"/>
        <v>1.1486035649604424E-3</v>
      </c>
      <c r="S212" s="445">
        <f t="shared" si="143"/>
        <v>278.05999999999767</v>
      </c>
      <c r="T212" s="444">
        <f t="shared" si="144"/>
        <v>1.1043592920916247E-2</v>
      </c>
      <c r="U212" s="364">
        <f t="shared" si="145"/>
        <v>10952.783399999906</v>
      </c>
      <c r="V212" s="457">
        <f t="shared" si="146"/>
        <v>249.13999999999766</v>
      </c>
      <c r="W212" s="458">
        <f t="shared" si="147"/>
        <v>9.8949893559558046E-3</v>
      </c>
      <c r="X212" s="459">
        <f t="shared" si="148"/>
        <v>9813.6245999999064</v>
      </c>
      <c r="Y212" s="366" t="s">
        <v>417</v>
      </c>
      <c r="Z212" s="366" t="s">
        <v>216</v>
      </c>
      <c r="AA212" s="367"/>
      <c r="AB212" s="367"/>
      <c r="AC212" s="367">
        <v>1</v>
      </c>
      <c r="AD212" s="446" t="s">
        <v>340</v>
      </c>
    </row>
    <row r="213" spans="2:39" s="147" customFormat="1" ht="27" customHeight="1">
      <c r="B213" s="935"/>
      <c r="C213" s="936"/>
      <c r="D213" s="361">
        <v>9</v>
      </c>
      <c r="E213" s="440" t="s">
        <v>713</v>
      </c>
      <c r="F213" s="441">
        <f t="shared" si="136"/>
        <v>1024.056</v>
      </c>
      <c r="G213" s="365">
        <v>426.69</v>
      </c>
      <c r="H213" s="442">
        <v>905.77</v>
      </c>
      <c r="I213" s="442">
        <v>905.77</v>
      </c>
      <c r="J213" s="444">
        <f t="shared" si="137"/>
        <v>1</v>
      </c>
      <c r="K213" s="443">
        <v>915.59</v>
      </c>
      <c r="L213" s="444">
        <f t="shared" si="138"/>
        <v>1.0108416043808031</v>
      </c>
      <c r="M213" s="443">
        <v>9.82</v>
      </c>
      <c r="N213" s="444">
        <f t="shared" si="139"/>
        <v>1.0841604380803074E-2</v>
      </c>
      <c r="O213" s="445">
        <f t="shared" si="140"/>
        <v>925.41000000000008</v>
      </c>
      <c r="P213" s="444">
        <f t="shared" si="141"/>
        <v>1.0216832087616063</v>
      </c>
      <c r="Q213" s="442">
        <v>2.4</v>
      </c>
      <c r="R213" s="444">
        <f t="shared" si="142"/>
        <v>2.6496792784040098E-3</v>
      </c>
      <c r="S213" s="445">
        <f t="shared" si="143"/>
        <v>19.6400000000001</v>
      </c>
      <c r="T213" s="444">
        <f t="shared" si="144"/>
        <v>2.168320876160626E-2</v>
      </c>
      <c r="U213" s="364">
        <f t="shared" si="145"/>
        <v>8380.1916000000419</v>
      </c>
      <c r="V213" s="457">
        <f t="shared" si="146"/>
        <v>17.240000000000101</v>
      </c>
      <c r="W213" s="458">
        <f t="shared" si="147"/>
        <v>1.9033529483202249E-2</v>
      </c>
      <c r="X213" s="459">
        <f t="shared" si="148"/>
        <v>7356.1356000000433</v>
      </c>
      <c r="Y213" s="366" t="s">
        <v>417</v>
      </c>
      <c r="Z213" s="366" t="s">
        <v>445</v>
      </c>
      <c r="AA213" s="367"/>
      <c r="AB213" s="380"/>
      <c r="AC213" s="367">
        <v>1</v>
      </c>
      <c r="AD213" s="446" t="s">
        <v>358</v>
      </c>
      <c r="AH213" s="370"/>
    </row>
    <row r="214" spans="2:39" s="147" customFormat="1" ht="27" customHeight="1">
      <c r="B214" s="935"/>
      <c r="C214" s="936"/>
      <c r="D214" s="361">
        <v>10</v>
      </c>
      <c r="E214" s="440" t="s">
        <v>544</v>
      </c>
      <c r="F214" s="441">
        <f t="shared" si="136"/>
        <v>1013.2389000000001</v>
      </c>
      <c r="G214" s="365">
        <v>62.43</v>
      </c>
      <c r="H214" s="442">
        <v>3651.6099999999997</v>
      </c>
      <c r="I214" s="442">
        <v>3651.6099999999997</v>
      </c>
      <c r="J214" s="444">
        <f t="shared" si="137"/>
        <v>1</v>
      </c>
      <c r="K214" s="443">
        <v>3711.8100000000004</v>
      </c>
      <c r="L214" s="444">
        <f t="shared" si="138"/>
        <v>1.0164858788315294</v>
      </c>
      <c r="M214" s="443">
        <v>60.2</v>
      </c>
      <c r="N214" s="444">
        <f t="shared" si="139"/>
        <v>1.6485878831529108E-2</v>
      </c>
      <c r="O214" s="445">
        <f t="shared" si="140"/>
        <v>3772.01</v>
      </c>
      <c r="P214" s="444">
        <f t="shared" si="141"/>
        <v>1.0329717576630584</v>
      </c>
      <c r="Q214" s="442">
        <v>16.23</v>
      </c>
      <c r="R214" s="444">
        <f t="shared" si="142"/>
        <v>4.4446148411248741E-3</v>
      </c>
      <c r="S214" s="445">
        <f t="shared" si="143"/>
        <v>120.40000000000055</v>
      </c>
      <c r="T214" s="444">
        <f t="shared" si="144"/>
        <v>3.2971757663058363E-2</v>
      </c>
      <c r="U214" s="364">
        <f t="shared" si="145"/>
        <v>7516.5720000000338</v>
      </c>
      <c r="V214" s="457">
        <f t="shared" si="146"/>
        <v>104.17000000000054</v>
      </c>
      <c r="W214" s="458">
        <f t="shared" si="147"/>
        <v>2.8527142821933488E-2</v>
      </c>
      <c r="X214" s="459">
        <f t="shared" si="148"/>
        <v>6503.3331000000335</v>
      </c>
      <c r="Y214" s="366" t="s">
        <v>417</v>
      </c>
      <c r="Z214" s="366" t="s">
        <v>216</v>
      </c>
      <c r="AA214" s="367"/>
      <c r="AB214" s="367"/>
      <c r="AC214" s="367">
        <v>1</v>
      </c>
      <c r="AD214" s="446" t="s">
        <v>850</v>
      </c>
      <c r="AH214" s="370"/>
    </row>
    <row r="215" spans="2:39" s="147" customFormat="1" ht="27" customHeight="1">
      <c r="B215" s="935"/>
      <c r="C215" s="936"/>
      <c r="D215" s="361">
        <v>11</v>
      </c>
      <c r="E215" s="440" t="s">
        <v>631</v>
      </c>
      <c r="F215" s="441">
        <f t="shared" si="136"/>
        <v>958.99649999999997</v>
      </c>
      <c r="G215" s="365">
        <v>43.889999999999993</v>
      </c>
      <c r="H215" s="442">
        <v>2434.73</v>
      </c>
      <c r="I215" s="442">
        <v>2434.73</v>
      </c>
      <c r="J215" s="444">
        <f t="shared" si="137"/>
        <v>1</v>
      </c>
      <c r="K215" s="443">
        <v>2482.9199999999996</v>
      </c>
      <c r="L215" s="444">
        <f t="shared" si="138"/>
        <v>1.0197927490933285</v>
      </c>
      <c r="M215" s="443">
        <v>48.190000000000005</v>
      </c>
      <c r="N215" s="444">
        <f t="shared" si="139"/>
        <v>1.9792749093328624E-2</v>
      </c>
      <c r="O215" s="445">
        <f t="shared" si="140"/>
        <v>2531.1099999999997</v>
      </c>
      <c r="P215" s="444">
        <f t="shared" si="141"/>
        <v>1.039585498186657</v>
      </c>
      <c r="Q215" s="442">
        <v>21.85</v>
      </c>
      <c r="R215" s="444">
        <f t="shared" si="142"/>
        <v>8.9743010518620134E-3</v>
      </c>
      <c r="S215" s="445">
        <f t="shared" si="143"/>
        <v>96.379999999999654</v>
      </c>
      <c r="T215" s="444">
        <f t="shared" si="144"/>
        <v>3.9585498186657103E-2</v>
      </c>
      <c r="U215" s="364">
        <f t="shared" si="145"/>
        <v>4230.1181999999844</v>
      </c>
      <c r="V215" s="457">
        <f t="shared" si="146"/>
        <v>74.52999999999966</v>
      </c>
      <c r="W215" s="458">
        <f t="shared" si="147"/>
        <v>3.0611197134795095E-2</v>
      </c>
      <c r="X215" s="459">
        <f t="shared" si="148"/>
        <v>3271.1216999999847</v>
      </c>
      <c r="Y215" s="366" t="s">
        <v>417</v>
      </c>
      <c r="Z215" s="366" t="s">
        <v>216</v>
      </c>
      <c r="AA215" s="367"/>
      <c r="AB215" s="367"/>
      <c r="AC215" s="367">
        <v>1</v>
      </c>
      <c r="AD215" s="446" t="s">
        <v>630</v>
      </c>
      <c r="AH215" s="370"/>
    </row>
    <row r="216" spans="2:39" s="147" customFormat="1" ht="26.25" customHeight="1">
      <c r="B216" s="935"/>
      <c r="C216" s="936"/>
      <c r="D216" s="361">
        <v>12</v>
      </c>
      <c r="E216" s="440" t="s">
        <v>582</v>
      </c>
      <c r="F216" s="441">
        <f t="shared" si="136"/>
        <v>945.36000000000013</v>
      </c>
      <c r="G216" s="365">
        <v>24.240000000000002</v>
      </c>
      <c r="H216" s="442">
        <v>20325</v>
      </c>
      <c r="I216" s="442">
        <v>20325</v>
      </c>
      <c r="J216" s="444">
        <f t="shared" si="137"/>
        <v>1</v>
      </c>
      <c r="K216" s="443">
        <v>20374</v>
      </c>
      <c r="L216" s="444">
        <f t="shared" si="138"/>
        <v>1.002410824108241</v>
      </c>
      <c r="M216" s="443">
        <v>0</v>
      </c>
      <c r="N216" s="444">
        <f t="shared" si="139"/>
        <v>0</v>
      </c>
      <c r="O216" s="445">
        <f t="shared" si="140"/>
        <v>20374</v>
      </c>
      <c r="P216" s="444">
        <f t="shared" si="141"/>
        <v>1.002410824108241</v>
      </c>
      <c r="Q216" s="442">
        <v>39</v>
      </c>
      <c r="R216" s="444">
        <f t="shared" si="142"/>
        <v>1.918819188191882E-3</v>
      </c>
      <c r="S216" s="445">
        <f t="shared" si="143"/>
        <v>49</v>
      </c>
      <c r="T216" s="444">
        <f t="shared" si="144"/>
        <v>2.4108241082410825E-3</v>
      </c>
      <c r="U216" s="364">
        <f t="shared" si="145"/>
        <v>1187.76</v>
      </c>
      <c r="V216" s="457">
        <f t="shared" si="146"/>
        <v>10</v>
      </c>
      <c r="W216" s="458">
        <f t="shared" si="147"/>
        <v>4.9200492004920044E-4</v>
      </c>
      <c r="X216" s="459">
        <f t="shared" si="148"/>
        <v>242.40000000000003</v>
      </c>
      <c r="Y216" s="366" t="s">
        <v>417</v>
      </c>
      <c r="Z216" s="366" t="s">
        <v>337</v>
      </c>
      <c r="AA216" s="367"/>
      <c r="AB216" s="367"/>
      <c r="AC216" s="367">
        <v>1</v>
      </c>
      <c r="AD216" s="446" t="s">
        <v>580</v>
      </c>
      <c r="AH216" s="370"/>
    </row>
    <row r="217" spans="2:39" s="147" customFormat="1" ht="27" customHeight="1">
      <c r="B217" s="935"/>
      <c r="C217" s="936"/>
      <c r="D217" s="361">
        <v>13</v>
      </c>
      <c r="E217" s="440" t="s">
        <v>771</v>
      </c>
      <c r="F217" s="441">
        <f t="shared" si="136"/>
        <v>902.00759999999991</v>
      </c>
      <c r="G217" s="365">
        <v>52.26</v>
      </c>
      <c r="H217" s="442">
        <v>4942.3499999999995</v>
      </c>
      <c r="I217" s="442">
        <v>4942.3499999999995</v>
      </c>
      <c r="J217" s="444">
        <f t="shared" si="137"/>
        <v>1</v>
      </c>
      <c r="K217" s="443">
        <v>5024.34</v>
      </c>
      <c r="L217" s="444">
        <f t="shared" si="138"/>
        <v>1.0165892743330602</v>
      </c>
      <c r="M217" s="443">
        <v>81.990000000000009</v>
      </c>
      <c r="N217" s="444">
        <f t="shared" si="139"/>
        <v>1.6589274333060188E-2</v>
      </c>
      <c r="O217" s="445">
        <f t="shared" si="140"/>
        <v>5106.33</v>
      </c>
      <c r="P217" s="444">
        <f t="shared" si="141"/>
        <v>1.0331785486661205</v>
      </c>
      <c r="Q217" s="442">
        <v>17.259999999999998</v>
      </c>
      <c r="R217" s="444">
        <f t="shared" si="142"/>
        <v>3.4922658249618098E-3</v>
      </c>
      <c r="S217" s="445">
        <f t="shared" si="143"/>
        <v>163.98000000000047</v>
      </c>
      <c r="T217" s="444">
        <f t="shared" si="144"/>
        <v>3.3178548666120466E-2</v>
      </c>
      <c r="U217" s="364">
        <f t="shared" si="145"/>
        <v>8569.5948000000244</v>
      </c>
      <c r="V217" s="457">
        <f t="shared" si="146"/>
        <v>146.72000000000048</v>
      </c>
      <c r="W217" s="458">
        <f t="shared" si="147"/>
        <v>2.9686282841158658E-2</v>
      </c>
      <c r="X217" s="459">
        <f t="shared" si="148"/>
        <v>7667.5872000000245</v>
      </c>
      <c r="Y217" s="366" t="s">
        <v>417</v>
      </c>
      <c r="Z217" s="366" t="s">
        <v>216</v>
      </c>
      <c r="AA217" s="367"/>
      <c r="AB217" s="367"/>
      <c r="AC217" s="367">
        <v>1</v>
      </c>
      <c r="AD217" s="446" t="s">
        <v>752</v>
      </c>
    </row>
    <row r="218" spans="2:39" s="147" customFormat="1" ht="27" customHeight="1">
      <c r="B218" s="935"/>
      <c r="C218" s="936"/>
      <c r="D218" s="361">
        <v>14</v>
      </c>
      <c r="E218" s="440" t="s">
        <v>634</v>
      </c>
      <c r="F218" s="441">
        <f t="shared" si="136"/>
        <v>878.78139999999996</v>
      </c>
      <c r="G218" s="365">
        <v>212.78</v>
      </c>
      <c r="H218" s="442">
        <v>352.86</v>
      </c>
      <c r="I218" s="442">
        <v>352.86</v>
      </c>
      <c r="J218" s="444">
        <f t="shared" si="137"/>
        <v>1</v>
      </c>
      <c r="K218" s="443">
        <v>363.28</v>
      </c>
      <c r="L218" s="444">
        <f t="shared" si="138"/>
        <v>1.0295301252621436</v>
      </c>
      <c r="M218" s="443">
        <v>10.42</v>
      </c>
      <c r="N218" s="444">
        <f t="shared" si="139"/>
        <v>2.9530125262143624E-2</v>
      </c>
      <c r="O218" s="445">
        <f t="shared" si="140"/>
        <v>373.7</v>
      </c>
      <c r="P218" s="444">
        <f t="shared" si="141"/>
        <v>1.0590602505242872</v>
      </c>
      <c r="Q218" s="442">
        <v>4.13</v>
      </c>
      <c r="R218" s="444">
        <f t="shared" si="142"/>
        <v>1.1704358669160572E-2</v>
      </c>
      <c r="S218" s="445">
        <f t="shared" si="143"/>
        <v>20.839999999999975</v>
      </c>
      <c r="T218" s="444">
        <f t="shared" si="144"/>
        <v>5.9060250524287178E-2</v>
      </c>
      <c r="U218" s="364">
        <f t="shared" si="145"/>
        <v>4434.335199999995</v>
      </c>
      <c r="V218" s="457">
        <f t="shared" si="146"/>
        <v>16.709999999999976</v>
      </c>
      <c r="W218" s="458">
        <f t="shared" si="147"/>
        <v>4.7355891855126613E-2</v>
      </c>
      <c r="X218" s="459">
        <f t="shared" si="148"/>
        <v>3555.5537999999951</v>
      </c>
      <c r="Y218" s="366" t="s">
        <v>417</v>
      </c>
      <c r="Z218" s="366" t="s">
        <v>445</v>
      </c>
      <c r="AA218" s="366"/>
      <c r="AB218" s="367"/>
      <c r="AC218" s="367">
        <v>1</v>
      </c>
      <c r="AD218" s="446" t="s">
        <v>630</v>
      </c>
      <c r="AF218" s="957" t="s">
        <v>247</v>
      </c>
      <c r="AG218" s="958"/>
      <c r="AH218" s="958"/>
      <c r="AI218" s="958"/>
      <c r="AJ218" s="958"/>
      <c r="AK218" s="958"/>
      <c r="AL218" s="958"/>
      <c r="AM218" s="959"/>
    </row>
    <row r="219" spans="2:39" s="147" customFormat="1" ht="27" customHeight="1">
      <c r="B219" s="935"/>
      <c r="C219" s="936"/>
      <c r="D219" s="361">
        <v>15</v>
      </c>
      <c r="E219" s="440" t="s">
        <v>714</v>
      </c>
      <c r="F219" s="441">
        <f t="shared" si="136"/>
        <v>877.58190000000002</v>
      </c>
      <c r="G219" s="365">
        <v>91.13</v>
      </c>
      <c r="H219" s="442">
        <v>898.31999999999994</v>
      </c>
      <c r="I219" s="442">
        <v>898.31999999999994</v>
      </c>
      <c r="J219" s="444">
        <f t="shared" si="137"/>
        <v>1</v>
      </c>
      <c r="K219" s="443">
        <v>924.31999999999994</v>
      </c>
      <c r="L219" s="444">
        <f t="shared" si="138"/>
        <v>1.0289429156647965</v>
      </c>
      <c r="M219" s="443">
        <v>25.999999999999996</v>
      </c>
      <c r="N219" s="444">
        <f t="shared" si="139"/>
        <v>2.8942915664796506E-2</v>
      </c>
      <c r="O219" s="445">
        <f t="shared" si="140"/>
        <v>950.31999999999994</v>
      </c>
      <c r="P219" s="444">
        <f t="shared" si="141"/>
        <v>1.0578858313295931</v>
      </c>
      <c r="Q219" s="442">
        <v>9.6300000000000008</v>
      </c>
      <c r="R219" s="444">
        <f t="shared" si="142"/>
        <v>1.0720010686615017E-2</v>
      </c>
      <c r="S219" s="445">
        <f t="shared" si="143"/>
        <v>52</v>
      </c>
      <c r="T219" s="444">
        <f t="shared" si="144"/>
        <v>5.7885831329593025E-2</v>
      </c>
      <c r="U219" s="364">
        <f t="shared" si="145"/>
        <v>4738.76</v>
      </c>
      <c r="V219" s="457">
        <f t="shared" si="146"/>
        <v>42.37</v>
      </c>
      <c r="W219" s="458">
        <f t="shared" si="147"/>
        <v>4.7165820642978001E-2</v>
      </c>
      <c r="X219" s="459">
        <f t="shared" si="148"/>
        <v>3861.1780999999996</v>
      </c>
      <c r="Y219" s="366" t="s">
        <v>417</v>
      </c>
      <c r="Z219" s="366" t="s">
        <v>445</v>
      </c>
      <c r="AA219" s="367"/>
      <c r="AB219" s="367"/>
      <c r="AC219" s="367">
        <v>1</v>
      </c>
      <c r="AD219" s="446" t="s">
        <v>710</v>
      </c>
      <c r="AF219" s="960"/>
      <c r="AG219" s="961"/>
      <c r="AH219" s="961"/>
      <c r="AI219" s="961"/>
      <c r="AJ219" s="961"/>
      <c r="AK219" s="961"/>
      <c r="AL219" s="961"/>
      <c r="AM219" s="962"/>
    </row>
    <row r="220" spans="2:39" s="147" customFormat="1" ht="27" customHeight="1">
      <c r="B220" s="935"/>
      <c r="C220" s="936"/>
      <c r="D220" s="361">
        <v>16</v>
      </c>
      <c r="E220" s="440" t="s">
        <v>432</v>
      </c>
      <c r="F220" s="441">
        <f t="shared" si="136"/>
        <v>872.4917999999999</v>
      </c>
      <c r="G220" s="365">
        <v>368.13999999999993</v>
      </c>
      <c r="H220" s="442">
        <v>395.5</v>
      </c>
      <c r="I220" s="442">
        <v>395.5</v>
      </c>
      <c r="J220" s="444">
        <f t="shared" si="137"/>
        <v>1</v>
      </c>
      <c r="K220" s="443">
        <v>405.42</v>
      </c>
      <c r="L220" s="444">
        <f t="shared" si="138"/>
        <v>1.0250821744627054</v>
      </c>
      <c r="M220" s="443">
        <v>9.9200000000000017</v>
      </c>
      <c r="N220" s="444">
        <f t="shared" si="139"/>
        <v>2.5082174462705442E-2</v>
      </c>
      <c r="O220" s="445">
        <f t="shared" si="140"/>
        <v>415.34000000000003</v>
      </c>
      <c r="P220" s="444">
        <f t="shared" si="141"/>
        <v>1.0501643489254109</v>
      </c>
      <c r="Q220" s="442">
        <v>2.37</v>
      </c>
      <c r="R220" s="444">
        <f t="shared" si="142"/>
        <v>5.992414664981037E-3</v>
      </c>
      <c r="S220" s="445">
        <f t="shared" si="143"/>
        <v>19.840000000000032</v>
      </c>
      <c r="T220" s="444">
        <f t="shared" si="144"/>
        <v>5.0164348925410954E-2</v>
      </c>
      <c r="U220" s="364">
        <f t="shared" si="145"/>
        <v>7303.8976000000102</v>
      </c>
      <c r="V220" s="457">
        <f t="shared" si="146"/>
        <v>17.470000000000031</v>
      </c>
      <c r="W220" s="458">
        <f t="shared" si="147"/>
        <v>4.4171934260429917E-2</v>
      </c>
      <c r="X220" s="459">
        <f t="shared" si="148"/>
        <v>6431.4058000000105</v>
      </c>
      <c r="Y220" s="366" t="s">
        <v>417</v>
      </c>
      <c r="Z220" s="366" t="s">
        <v>337</v>
      </c>
      <c r="AA220" s="380"/>
      <c r="AB220" s="367"/>
      <c r="AC220" s="367">
        <v>1</v>
      </c>
      <c r="AD220" s="446" t="s">
        <v>433</v>
      </c>
      <c r="AF220" s="963"/>
      <c r="AG220" s="964"/>
      <c r="AH220" s="964"/>
      <c r="AI220" s="964"/>
      <c r="AJ220" s="964"/>
      <c r="AK220" s="964"/>
      <c r="AL220" s="964"/>
      <c r="AM220" s="965"/>
    </row>
    <row r="221" spans="2:39" s="147" customFormat="1" ht="27" customHeight="1">
      <c r="B221" s="935"/>
      <c r="C221" s="936"/>
      <c r="D221" s="361">
        <v>17</v>
      </c>
      <c r="E221" s="440" t="s">
        <v>669</v>
      </c>
      <c r="F221" s="441">
        <f t="shared" si="136"/>
        <v>850.81050000000016</v>
      </c>
      <c r="G221" s="365">
        <v>99.51</v>
      </c>
      <c r="H221" s="442">
        <v>1213.92</v>
      </c>
      <c r="I221" s="442">
        <v>1213.92</v>
      </c>
      <c r="J221" s="444">
        <f t="shared" si="137"/>
        <v>1</v>
      </c>
      <c r="K221" s="443">
        <v>1245.04</v>
      </c>
      <c r="L221" s="444">
        <f t="shared" si="138"/>
        <v>1.0256359562409383</v>
      </c>
      <c r="M221" s="443">
        <v>31.119999999999997</v>
      </c>
      <c r="N221" s="444">
        <f t="shared" si="139"/>
        <v>2.5635956240938444E-2</v>
      </c>
      <c r="O221" s="445">
        <f t="shared" si="140"/>
        <v>1276.1599999999999</v>
      </c>
      <c r="P221" s="444">
        <f t="shared" si="141"/>
        <v>1.0512719124818768</v>
      </c>
      <c r="Q221" s="442">
        <v>8.5500000000000007</v>
      </c>
      <c r="R221" s="444">
        <f t="shared" si="142"/>
        <v>7.0432977461447211E-3</v>
      </c>
      <c r="S221" s="445">
        <f t="shared" si="143"/>
        <v>62.239999999999782</v>
      </c>
      <c r="T221" s="444">
        <f t="shared" si="144"/>
        <v>5.1271912481876715E-2</v>
      </c>
      <c r="U221" s="364">
        <f t="shared" si="145"/>
        <v>6193.5023999999785</v>
      </c>
      <c r="V221" s="457">
        <f t="shared" si="146"/>
        <v>53.689999999999785</v>
      </c>
      <c r="W221" s="458">
        <f t="shared" si="147"/>
        <v>4.4228614735731996E-2</v>
      </c>
      <c r="X221" s="459">
        <f t="shared" si="148"/>
        <v>5342.6918999999789</v>
      </c>
      <c r="Y221" s="366" t="s">
        <v>417</v>
      </c>
      <c r="Z221" s="366" t="s">
        <v>445</v>
      </c>
      <c r="AA221" s="367"/>
      <c r="AB221" s="367"/>
      <c r="AC221" s="367">
        <v>1</v>
      </c>
      <c r="AD221" s="446" t="s">
        <v>349</v>
      </c>
      <c r="AF221" s="160" t="s">
        <v>244</v>
      </c>
      <c r="AG221" s="160" t="s">
        <v>445</v>
      </c>
      <c r="AH221" s="155" t="s">
        <v>383</v>
      </c>
      <c r="AI221" s="155" t="s">
        <v>337</v>
      </c>
      <c r="AJ221" s="155" t="s">
        <v>428</v>
      </c>
      <c r="AK221" s="155" t="s">
        <v>215</v>
      </c>
      <c r="AL221" s="155" t="s">
        <v>216</v>
      </c>
      <c r="AM221" s="155" t="s">
        <v>384</v>
      </c>
    </row>
    <row r="222" spans="2:39" s="147" customFormat="1" ht="27" customHeight="1">
      <c r="B222" s="935"/>
      <c r="C222" s="936"/>
      <c r="D222" s="361">
        <v>18</v>
      </c>
      <c r="E222" s="440" t="s">
        <v>462</v>
      </c>
      <c r="F222" s="441">
        <f t="shared" si="136"/>
        <v>850.59699999999998</v>
      </c>
      <c r="G222" s="365">
        <v>160.49</v>
      </c>
      <c r="H222" s="442">
        <v>629.20000000000005</v>
      </c>
      <c r="I222" s="442">
        <v>629.20000000000005</v>
      </c>
      <c r="J222" s="444">
        <f t="shared" si="137"/>
        <v>1</v>
      </c>
      <c r="K222" s="443">
        <v>644.80999999999995</v>
      </c>
      <c r="L222" s="444">
        <f t="shared" si="138"/>
        <v>1.0248092816274632</v>
      </c>
      <c r="M222" s="443">
        <v>15.61</v>
      </c>
      <c r="N222" s="444">
        <f t="shared" si="139"/>
        <v>2.4809281627463441E-2</v>
      </c>
      <c r="O222" s="445">
        <f t="shared" si="140"/>
        <v>660.42</v>
      </c>
      <c r="P222" s="444">
        <f t="shared" si="141"/>
        <v>1.0496185632549266</v>
      </c>
      <c r="Q222" s="442">
        <v>5.3</v>
      </c>
      <c r="R222" s="444">
        <f t="shared" si="142"/>
        <v>8.4233947870311493E-3</v>
      </c>
      <c r="S222" s="445">
        <f t="shared" si="143"/>
        <v>31.219999999999914</v>
      </c>
      <c r="T222" s="444">
        <f t="shared" si="144"/>
        <v>4.9618563254926751E-2</v>
      </c>
      <c r="U222" s="364">
        <f t="shared" si="145"/>
        <v>5010.4977999999865</v>
      </c>
      <c r="V222" s="457">
        <f t="shared" si="146"/>
        <v>25.919999999999913</v>
      </c>
      <c r="W222" s="458">
        <f t="shared" si="147"/>
        <v>4.1195168467895601E-2</v>
      </c>
      <c r="X222" s="459">
        <f t="shared" si="148"/>
        <v>4159.9007999999867</v>
      </c>
      <c r="Y222" s="366" t="s">
        <v>417</v>
      </c>
      <c r="Z222" s="366" t="s">
        <v>445</v>
      </c>
      <c r="AA222" s="380"/>
      <c r="AB222" s="367"/>
      <c r="AC222" s="367">
        <v>1</v>
      </c>
      <c r="AD222" s="446" t="s">
        <v>433</v>
      </c>
      <c r="AE222" s="453" t="s">
        <v>610</v>
      </c>
      <c r="AF222" s="374">
        <f>AF119+AF141+AF163+AF185+AF207</f>
        <v>100</v>
      </c>
      <c r="AG222" s="374">
        <f>AG119+AG141+AG163+AG185+AG207</f>
        <v>46</v>
      </c>
      <c r="AH222" s="374">
        <f t="shared" ref="AH222:AM222" si="151">AH119+AH141+AH163+AH185+AH207</f>
        <v>0</v>
      </c>
      <c r="AI222" s="374">
        <f t="shared" si="151"/>
        <v>27</v>
      </c>
      <c r="AJ222" s="374">
        <f t="shared" si="151"/>
        <v>0</v>
      </c>
      <c r="AK222" s="374">
        <f t="shared" si="151"/>
        <v>5</v>
      </c>
      <c r="AL222" s="374">
        <f t="shared" si="151"/>
        <v>22</v>
      </c>
      <c r="AM222" s="374">
        <f t="shared" si="151"/>
        <v>0</v>
      </c>
    </row>
    <row r="223" spans="2:39" s="147" customFormat="1" ht="27" customHeight="1">
      <c r="B223" s="935"/>
      <c r="C223" s="936"/>
      <c r="D223" s="361">
        <v>19</v>
      </c>
      <c r="E223" s="440" t="s">
        <v>545</v>
      </c>
      <c r="F223" s="441">
        <f t="shared" si="136"/>
        <v>850.43179999999995</v>
      </c>
      <c r="G223" s="365">
        <v>66.13</v>
      </c>
      <c r="H223" s="442">
        <v>1930.46</v>
      </c>
      <c r="I223" s="442">
        <v>1930.46</v>
      </c>
      <c r="J223" s="444">
        <f t="shared" si="137"/>
        <v>1</v>
      </c>
      <c r="K223" s="443">
        <v>1979.69</v>
      </c>
      <c r="L223" s="444">
        <f t="shared" si="138"/>
        <v>1.0255016938967914</v>
      </c>
      <c r="M223" s="443">
        <v>49.230000000000004</v>
      </c>
      <c r="N223" s="444">
        <f t="shared" si="139"/>
        <v>2.5501693896791439E-2</v>
      </c>
      <c r="O223" s="445">
        <f t="shared" si="140"/>
        <v>2028.92</v>
      </c>
      <c r="P223" s="444">
        <f t="shared" si="141"/>
        <v>1.0510033877935829</v>
      </c>
      <c r="Q223" s="442">
        <v>12.86</v>
      </c>
      <c r="R223" s="444">
        <f t="shared" si="142"/>
        <v>6.6616246904882773E-3</v>
      </c>
      <c r="S223" s="445">
        <f t="shared" si="143"/>
        <v>98.460000000000036</v>
      </c>
      <c r="T223" s="444">
        <f t="shared" si="144"/>
        <v>5.1003387793582891E-2</v>
      </c>
      <c r="U223" s="364">
        <f t="shared" si="145"/>
        <v>6511.1598000000022</v>
      </c>
      <c r="V223" s="457">
        <f t="shared" si="146"/>
        <v>85.600000000000037</v>
      </c>
      <c r="W223" s="458">
        <f t="shared" si="147"/>
        <v>4.4341763103094615E-2</v>
      </c>
      <c r="X223" s="459">
        <f t="shared" si="148"/>
        <v>5660.7280000000019</v>
      </c>
      <c r="Y223" s="366" t="s">
        <v>417</v>
      </c>
      <c r="Z223" s="366" t="s">
        <v>445</v>
      </c>
      <c r="AA223" s="367"/>
      <c r="AB223" s="367"/>
      <c r="AC223" s="367">
        <v>1</v>
      </c>
      <c r="AD223" s="446" t="s">
        <v>341</v>
      </c>
      <c r="AF223" s="375"/>
      <c r="AG223" s="374">
        <f>AG120+AG142+AG164+AG186+AG208</f>
        <v>46772.150100000013</v>
      </c>
      <c r="AH223" s="374">
        <f t="shared" ref="AH223:AM223" si="152">AH120+AH142+AH164+AH186+AH208</f>
        <v>0</v>
      </c>
      <c r="AI223" s="374">
        <f t="shared" si="152"/>
        <v>39577.550199999998</v>
      </c>
      <c r="AJ223" s="374">
        <f t="shared" si="152"/>
        <v>0</v>
      </c>
      <c r="AK223" s="374">
        <f t="shared" si="152"/>
        <v>7214.6616000000022</v>
      </c>
      <c r="AL223" s="374">
        <f t="shared" si="152"/>
        <v>31210.470500000003</v>
      </c>
      <c r="AM223" s="374">
        <f t="shared" si="152"/>
        <v>0</v>
      </c>
    </row>
    <row r="224" spans="2:39" s="147" customFormat="1" ht="27" customHeight="1">
      <c r="B224" s="937"/>
      <c r="C224" s="938"/>
      <c r="D224" s="361">
        <v>20</v>
      </c>
      <c r="E224" s="440" t="s">
        <v>583</v>
      </c>
      <c r="F224" s="441">
        <f t="shared" si="136"/>
        <v>850.32640000000026</v>
      </c>
      <c r="G224" s="365">
        <v>113.68000000000004</v>
      </c>
      <c r="H224" s="442">
        <v>1045.5999999999999</v>
      </c>
      <c r="I224" s="442">
        <v>1045.5999999999999</v>
      </c>
      <c r="J224" s="444">
        <f t="shared" si="137"/>
        <v>1</v>
      </c>
      <c r="K224" s="443">
        <v>1072.1500000000001</v>
      </c>
      <c r="L224" s="444">
        <f t="shared" si="138"/>
        <v>1.025392119357307</v>
      </c>
      <c r="M224" s="443">
        <v>26.550000000000004</v>
      </c>
      <c r="N224" s="444">
        <f t="shared" si="139"/>
        <v>2.5392119357306817E-2</v>
      </c>
      <c r="O224" s="445">
        <f t="shared" si="140"/>
        <v>1098.7</v>
      </c>
      <c r="P224" s="444">
        <f t="shared" si="141"/>
        <v>1.0507842387146138</v>
      </c>
      <c r="Q224" s="442">
        <v>7.4799999999999995</v>
      </c>
      <c r="R224" s="444">
        <f t="shared" si="142"/>
        <v>7.1537872991583778E-3</v>
      </c>
      <c r="S224" s="445">
        <f t="shared" si="143"/>
        <v>53.100000000000136</v>
      </c>
      <c r="T224" s="444">
        <f t="shared" si="144"/>
        <v>5.0784238714613752E-2</v>
      </c>
      <c r="U224" s="364">
        <f t="shared" si="145"/>
        <v>6036.4080000000176</v>
      </c>
      <c r="V224" s="457">
        <f t="shared" si="146"/>
        <v>45.62000000000014</v>
      </c>
      <c r="W224" s="458">
        <f t="shared" si="147"/>
        <v>4.3630451415455379E-2</v>
      </c>
      <c r="X224" s="459">
        <f t="shared" si="148"/>
        <v>5186.0816000000177</v>
      </c>
      <c r="Y224" s="366" t="s">
        <v>417</v>
      </c>
      <c r="Z224" s="366" t="s">
        <v>445</v>
      </c>
      <c r="AA224" s="367"/>
      <c r="AB224" s="367"/>
      <c r="AC224" s="367">
        <v>1</v>
      </c>
      <c r="AD224" s="446" t="s">
        <v>566</v>
      </c>
      <c r="AF224" s="361"/>
      <c r="AG224" s="447">
        <f>AG222/$AF222</f>
        <v>0.46</v>
      </c>
      <c r="AH224" s="447">
        <f t="shared" ref="AH224:AM224" si="153">AH222/$AF222</f>
        <v>0</v>
      </c>
      <c r="AI224" s="447">
        <f t="shared" si="153"/>
        <v>0.27</v>
      </c>
      <c r="AJ224" s="447">
        <f t="shared" si="153"/>
        <v>0</v>
      </c>
      <c r="AK224" s="447">
        <f t="shared" si="153"/>
        <v>0.05</v>
      </c>
      <c r="AL224" s="447">
        <f t="shared" si="153"/>
        <v>0.22</v>
      </c>
      <c r="AM224" s="447">
        <f t="shared" si="153"/>
        <v>0</v>
      </c>
    </row>
  </sheetData>
  <mergeCells count="208">
    <mergeCell ref="AD159:AD160"/>
    <mergeCell ref="AF159:AM161"/>
    <mergeCell ref="B161:C180"/>
    <mergeCell ref="B181:C182"/>
    <mergeCell ref="D181:D182"/>
    <mergeCell ref="E181:E182"/>
    <mergeCell ref="F181:F182"/>
    <mergeCell ref="G181:G182"/>
    <mergeCell ref="H181:H182"/>
    <mergeCell ref="I181:J181"/>
    <mergeCell ref="K181:L181"/>
    <mergeCell ref="M181:N181"/>
    <mergeCell ref="O181:P181"/>
    <mergeCell ref="Q181:R181"/>
    <mergeCell ref="S181:U181"/>
    <mergeCell ref="V181:X181"/>
    <mergeCell ref="Y181:Y182"/>
    <mergeCell ref="Z181:Z182"/>
    <mergeCell ref="AA181:AA182"/>
    <mergeCell ref="AB181:AB182"/>
    <mergeCell ref="AC181:AC182"/>
    <mergeCell ref="AD181:AD182"/>
    <mergeCell ref="AF181:AM183"/>
    <mergeCell ref="B183:C202"/>
    <mergeCell ref="O159:P159"/>
    <mergeCell ref="Q159:R159"/>
    <mergeCell ref="S159:U159"/>
    <mergeCell ref="V159:X159"/>
    <mergeCell ref="Y159:Y160"/>
    <mergeCell ref="Z159:Z160"/>
    <mergeCell ref="AA159:AA160"/>
    <mergeCell ref="AB159:AB160"/>
    <mergeCell ref="AC159:AC160"/>
    <mergeCell ref="B159:C160"/>
    <mergeCell ref="D159:D160"/>
    <mergeCell ref="E159:E160"/>
    <mergeCell ref="F159:F160"/>
    <mergeCell ref="G159:G160"/>
    <mergeCell ref="H159:H160"/>
    <mergeCell ref="I159:J159"/>
    <mergeCell ref="K159:L159"/>
    <mergeCell ref="M159:N159"/>
    <mergeCell ref="B2:AD2"/>
    <mergeCell ref="AF3:AM5"/>
    <mergeCell ref="AF27:AM29"/>
    <mergeCell ref="B137:C138"/>
    <mergeCell ref="D137:D138"/>
    <mergeCell ref="E137:E138"/>
    <mergeCell ref="F137:F138"/>
    <mergeCell ref="G137:G138"/>
    <mergeCell ref="H137:H138"/>
    <mergeCell ref="I137:J137"/>
    <mergeCell ref="K137:L137"/>
    <mergeCell ref="M137:N137"/>
    <mergeCell ref="O137:P137"/>
    <mergeCell ref="Q137:R137"/>
    <mergeCell ref="S137:U137"/>
    <mergeCell ref="V137:X137"/>
    <mergeCell ref="Y137:Y138"/>
    <mergeCell ref="Z137:Z138"/>
    <mergeCell ref="AA137:AA138"/>
    <mergeCell ref="AB137:AB138"/>
    <mergeCell ref="AC137:AC138"/>
    <mergeCell ref="AD137:AD138"/>
    <mergeCell ref="AF137:AM139"/>
    <mergeCell ref="B139:C158"/>
    <mergeCell ref="G49:G50"/>
    <mergeCell ref="B73:C92"/>
    <mergeCell ref="K27:L27"/>
    <mergeCell ref="M27:N27"/>
    <mergeCell ref="V115:X115"/>
    <mergeCell ref="AF49:AM51"/>
    <mergeCell ref="AC49:AC50"/>
    <mergeCell ref="AD49:AD50"/>
    <mergeCell ref="AF71:AM73"/>
    <mergeCell ref="Y71:Y72"/>
    <mergeCell ref="Z71:Z72"/>
    <mergeCell ref="AA71:AA72"/>
    <mergeCell ref="AB71:AB72"/>
    <mergeCell ref="AC71:AC72"/>
    <mergeCell ref="AD71:AD72"/>
    <mergeCell ref="Y49:Y50"/>
    <mergeCell ref="Z49:Z50"/>
    <mergeCell ref="AA49:AA50"/>
    <mergeCell ref="AB49:AB50"/>
    <mergeCell ref="AF108:AM110"/>
    <mergeCell ref="Y93:Y94"/>
    <mergeCell ref="AF93:AM95"/>
    <mergeCell ref="AC93:AC94"/>
    <mergeCell ref="AF115:AM117"/>
    <mergeCell ref="AD3:AD6"/>
    <mergeCell ref="AC3:AC6"/>
    <mergeCell ref="B93:C94"/>
    <mergeCell ref="D93:D94"/>
    <mergeCell ref="E93:E94"/>
    <mergeCell ref="F93:F94"/>
    <mergeCell ref="H71:H72"/>
    <mergeCell ref="I71:J71"/>
    <mergeCell ref="I27:J27"/>
    <mergeCell ref="F27:F28"/>
    <mergeCell ref="G27:G28"/>
    <mergeCell ref="H27:H28"/>
    <mergeCell ref="G93:G94"/>
    <mergeCell ref="H93:H94"/>
    <mergeCell ref="I93:J93"/>
    <mergeCell ref="Z93:Z94"/>
    <mergeCell ref="AA93:AA94"/>
    <mergeCell ref="AB93:AB94"/>
    <mergeCell ref="H49:H50"/>
    <mergeCell ref="I49:J49"/>
    <mergeCell ref="K49:L49"/>
    <mergeCell ref="M49:N49"/>
    <mergeCell ref="B27:C28"/>
    <mergeCell ref="D27:D28"/>
    <mergeCell ref="AD115:AD116"/>
    <mergeCell ref="AD93:AD94"/>
    <mergeCell ref="Z27:Z28"/>
    <mergeCell ref="Y27:Y28"/>
    <mergeCell ref="AD27:AD28"/>
    <mergeCell ref="AC27:AC28"/>
    <mergeCell ref="AB27:AB28"/>
    <mergeCell ref="AA27:AA28"/>
    <mergeCell ref="B117:C136"/>
    <mergeCell ref="O115:P115"/>
    <mergeCell ref="Q115:R115"/>
    <mergeCell ref="S115:U115"/>
    <mergeCell ref="Y115:Y116"/>
    <mergeCell ref="Z115:Z116"/>
    <mergeCell ref="AA115:AA116"/>
    <mergeCell ref="AB115:AB116"/>
    <mergeCell ref="AC115:AC116"/>
    <mergeCell ref="B115:C116"/>
    <mergeCell ref="D115:D116"/>
    <mergeCell ref="E115:E116"/>
    <mergeCell ref="F115:F116"/>
    <mergeCell ref="G115:G116"/>
    <mergeCell ref="H115:H116"/>
    <mergeCell ref="I115:J115"/>
    <mergeCell ref="K115:L115"/>
    <mergeCell ref="M115:N115"/>
    <mergeCell ref="B95:C114"/>
    <mergeCell ref="S71:U71"/>
    <mergeCell ref="Q71:R71"/>
    <mergeCell ref="O71:P71"/>
    <mergeCell ref="M71:N71"/>
    <mergeCell ref="K71:L71"/>
    <mergeCell ref="S49:U49"/>
    <mergeCell ref="Q49:R49"/>
    <mergeCell ref="O49:P49"/>
    <mergeCell ref="K93:L93"/>
    <mergeCell ref="M93:N93"/>
    <mergeCell ref="O93:P93"/>
    <mergeCell ref="Q93:R93"/>
    <mergeCell ref="S93:U93"/>
    <mergeCell ref="B51:C70"/>
    <mergeCell ref="B71:C72"/>
    <mergeCell ref="D71:D72"/>
    <mergeCell ref="E71:E72"/>
    <mergeCell ref="F71:F72"/>
    <mergeCell ref="G71:G72"/>
    <mergeCell ref="B49:C50"/>
    <mergeCell ref="D49:D50"/>
    <mergeCell ref="E49:E50"/>
    <mergeCell ref="F49:F50"/>
    <mergeCell ref="AB3:AB6"/>
    <mergeCell ref="AA3:AA6"/>
    <mergeCell ref="G3:U3"/>
    <mergeCell ref="D3:F3"/>
    <mergeCell ref="B29:C48"/>
    <mergeCell ref="B3:C6"/>
    <mergeCell ref="B7:C26"/>
    <mergeCell ref="F5:F6"/>
    <mergeCell ref="E5:E6"/>
    <mergeCell ref="Q4:U4"/>
    <mergeCell ref="G4:P4"/>
    <mergeCell ref="G5:P5"/>
    <mergeCell ref="E4:F4"/>
    <mergeCell ref="D4:D6"/>
    <mergeCell ref="Z3:Z6"/>
    <mergeCell ref="Y3:Y6"/>
    <mergeCell ref="S27:U27"/>
    <mergeCell ref="Q27:R27"/>
    <mergeCell ref="O27:P27"/>
    <mergeCell ref="S5:U5"/>
    <mergeCell ref="Q5:R5"/>
    <mergeCell ref="E27:E28"/>
    <mergeCell ref="AD203:AD204"/>
    <mergeCell ref="AF203:AM205"/>
    <mergeCell ref="B205:C224"/>
    <mergeCell ref="O203:P203"/>
    <mergeCell ref="Q203:R203"/>
    <mergeCell ref="S203:U203"/>
    <mergeCell ref="V203:X203"/>
    <mergeCell ref="Y203:Y204"/>
    <mergeCell ref="Z203:Z204"/>
    <mergeCell ref="AA203:AA204"/>
    <mergeCell ref="AB203:AB204"/>
    <mergeCell ref="AC203:AC204"/>
    <mergeCell ref="B203:C204"/>
    <mergeCell ref="D203:D204"/>
    <mergeCell ref="E203:E204"/>
    <mergeCell ref="F203:F204"/>
    <mergeCell ref="G203:G204"/>
    <mergeCell ref="H203:H204"/>
    <mergeCell ref="I203:J203"/>
    <mergeCell ref="K203:L203"/>
    <mergeCell ref="M203:N203"/>
    <mergeCell ref="AF218:AM220"/>
  </mergeCells>
  <phoneticPr fontId="13" type="noConversion"/>
  <dataValidations count="1">
    <dataValidation type="list" allowBlank="1" showInputMessage="1" showErrorMessage="1" sqref="Y3:Y26 Y1:Z2 Z3:Z6 Y29:Y48 Y95:Y114 Y73:Y92 Y93:Z93 Y71:Z71 Y27:Z27 Y49:Z49 Y51:Y70 Y115:Z115 Y117:Y136 Y139:Y158 Y137:Z137 Y159:Z159 Y203:Z203 Y161:Y180 Y181:Z181 Y225:Z1048576 Y183:Y202 Y205:Y224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224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4" sqref="A4"/>
      <selection pane="bottomRight" activeCell="Q117" sqref="Q117:U224"/>
    </sheetView>
  </sheetViews>
  <sheetFormatPr defaultColWidth="8.85546875" defaultRowHeight="14.25"/>
  <cols>
    <col min="1" max="1" width="8.85546875" style="145"/>
    <col min="2" max="2" width="12.42578125" style="145" customWidth="1"/>
    <col min="3" max="3" width="8.85546875" style="145"/>
    <col min="4" max="4" width="11.5703125" style="145" customWidth="1"/>
    <col min="5" max="5" width="39.28515625" style="145" bestFit="1" customWidth="1"/>
    <col min="6" max="6" width="11.42578125" style="145" bestFit="1" customWidth="1"/>
    <col min="7" max="8" width="15.85546875" style="145" bestFit="1" customWidth="1"/>
    <col min="9" max="9" width="16.85546875" style="145" customWidth="1"/>
    <col min="10" max="10" width="14" style="145" customWidth="1"/>
    <col min="11" max="11" width="15.42578125" style="145" bestFit="1" customWidth="1"/>
    <col min="12" max="12" width="12.28515625" style="145" bestFit="1" customWidth="1"/>
    <col min="13" max="13" width="19.140625" style="145" bestFit="1" customWidth="1"/>
    <col min="14" max="14" width="15.28515625" style="145" bestFit="1" customWidth="1"/>
    <col min="15" max="15" width="19.140625" style="145" bestFit="1" customWidth="1"/>
    <col min="16" max="16" width="12.5703125" style="145" bestFit="1" customWidth="1"/>
    <col min="17" max="17" width="9.140625" style="145" bestFit="1" customWidth="1"/>
    <col min="18" max="18" width="12.28515625" style="145" bestFit="1" customWidth="1"/>
    <col min="19" max="19" width="12.5703125" style="145" bestFit="1" customWidth="1"/>
    <col min="20" max="20" width="12.42578125" style="145" bestFit="1" customWidth="1"/>
    <col min="21" max="21" width="11.42578125" style="145" bestFit="1" customWidth="1"/>
    <col min="22" max="24" width="11.42578125" style="145" customWidth="1"/>
    <col min="25" max="25" width="12.42578125" style="145" bestFit="1" customWidth="1"/>
    <col min="26" max="26" width="15.28515625" style="145" bestFit="1" customWidth="1"/>
    <col min="27" max="27" width="66.85546875" style="145" bestFit="1" customWidth="1"/>
    <col min="28" max="28" width="113.42578125" style="145" bestFit="1" customWidth="1"/>
    <col min="29" max="29" width="11.42578125" style="145" bestFit="1" customWidth="1"/>
    <col min="30" max="30" width="37.7109375" style="145" bestFit="1" customWidth="1"/>
    <col min="31" max="31" width="19.42578125" style="145" bestFit="1" customWidth="1"/>
    <col min="32" max="32" width="21.5703125" style="145" customWidth="1"/>
    <col min="33" max="33" width="19.42578125" style="145" bestFit="1" customWidth="1"/>
    <col min="34" max="39" width="14.42578125" style="145" customWidth="1"/>
    <col min="40" max="16384" width="8.85546875" style="145"/>
  </cols>
  <sheetData>
    <row r="2" spans="2:39" ht="41.1" customHeight="1">
      <c r="B2" s="991" t="s">
        <v>449</v>
      </c>
      <c r="C2" s="992"/>
      <c r="D2" s="992"/>
      <c r="E2" s="992"/>
      <c r="F2" s="992"/>
      <c r="G2" s="992"/>
      <c r="H2" s="992"/>
      <c r="I2" s="992"/>
      <c r="J2" s="992"/>
      <c r="K2" s="992"/>
      <c r="L2" s="992"/>
      <c r="M2" s="992"/>
      <c r="N2" s="992"/>
      <c r="O2" s="992"/>
      <c r="P2" s="992"/>
      <c r="Q2" s="992"/>
      <c r="R2" s="992"/>
      <c r="S2" s="992"/>
      <c r="T2" s="992"/>
      <c r="U2" s="992"/>
      <c r="V2" s="992"/>
      <c r="W2" s="992"/>
      <c r="X2" s="992"/>
      <c r="Y2" s="992"/>
      <c r="Z2" s="992"/>
      <c r="AA2" s="992"/>
      <c r="AB2" s="992"/>
      <c r="AD2" s="146"/>
      <c r="AE2" s="146"/>
      <c r="AF2" s="146"/>
      <c r="AG2" s="146"/>
    </row>
    <row r="3" spans="2:39" ht="17.100000000000001" hidden="1" customHeight="1">
      <c r="B3" s="974" t="s">
        <v>442</v>
      </c>
      <c r="C3" s="988"/>
      <c r="D3" s="996" t="s">
        <v>170</v>
      </c>
      <c r="E3" s="996"/>
      <c r="F3" s="996"/>
      <c r="G3" s="971" t="s">
        <v>184</v>
      </c>
      <c r="H3" s="972"/>
      <c r="I3" s="972"/>
      <c r="J3" s="972"/>
      <c r="K3" s="972"/>
      <c r="L3" s="972"/>
      <c r="M3" s="972"/>
      <c r="N3" s="972"/>
      <c r="O3" s="972"/>
      <c r="P3" s="972"/>
      <c r="Q3" s="972"/>
      <c r="R3" s="972"/>
      <c r="S3" s="972"/>
      <c r="T3" s="972"/>
      <c r="U3" s="973"/>
      <c r="Y3" s="947" t="s">
        <v>171</v>
      </c>
      <c r="Z3" s="947" t="s">
        <v>245</v>
      </c>
      <c r="AA3" s="968" t="s">
        <v>443</v>
      </c>
      <c r="AB3" s="968" t="s">
        <v>444</v>
      </c>
      <c r="AC3" s="947" t="s">
        <v>246</v>
      </c>
      <c r="AD3" s="922" t="s">
        <v>172</v>
      </c>
      <c r="AF3" s="957" t="s">
        <v>247</v>
      </c>
      <c r="AG3" s="958"/>
      <c r="AH3" s="958"/>
      <c r="AI3" s="958"/>
      <c r="AJ3" s="958"/>
      <c r="AK3" s="958"/>
      <c r="AL3" s="958"/>
      <c r="AM3" s="959"/>
    </row>
    <row r="4" spans="2:39" ht="17.100000000000001" hidden="1" customHeight="1">
      <c r="B4" s="949"/>
      <c r="C4" s="950"/>
      <c r="D4" s="953" t="s">
        <v>169</v>
      </c>
      <c r="E4" s="996" t="s">
        <v>173</v>
      </c>
      <c r="F4" s="996"/>
      <c r="G4" s="971" t="s">
        <v>185</v>
      </c>
      <c r="H4" s="972"/>
      <c r="I4" s="972"/>
      <c r="J4" s="972"/>
      <c r="K4" s="972"/>
      <c r="L4" s="972"/>
      <c r="M4" s="972"/>
      <c r="N4" s="972"/>
      <c r="O4" s="972"/>
      <c r="P4" s="973"/>
      <c r="Q4" s="971" t="s">
        <v>174</v>
      </c>
      <c r="R4" s="972"/>
      <c r="S4" s="972"/>
      <c r="T4" s="972"/>
      <c r="U4" s="973"/>
      <c r="Y4" s="986"/>
      <c r="Z4" s="986"/>
      <c r="AA4" s="969"/>
      <c r="AB4" s="969"/>
      <c r="AC4" s="986"/>
      <c r="AD4" s="989"/>
      <c r="AF4" s="960"/>
      <c r="AG4" s="961"/>
      <c r="AH4" s="961"/>
      <c r="AI4" s="961"/>
      <c r="AJ4" s="961"/>
      <c r="AK4" s="961"/>
      <c r="AL4" s="961"/>
      <c r="AM4" s="962"/>
    </row>
    <row r="5" spans="2:39" ht="17.100000000000001" hidden="1" customHeight="1">
      <c r="B5" s="949"/>
      <c r="C5" s="950"/>
      <c r="D5" s="953"/>
      <c r="E5" s="953" t="s">
        <v>175</v>
      </c>
      <c r="F5" s="995" t="s">
        <v>567</v>
      </c>
      <c r="G5" s="982" t="s">
        <v>186</v>
      </c>
      <c r="H5" s="983"/>
      <c r="I5" s="983"/>
      <c r="J5" s="983"/>
      <c r="K5" s="983"/>
      <c r="L5" s="983"/>
      <c r="M5" s="983"/>
      <c r="N5" s="983"/>
      <c r="O5" s="983"/>
      <c r="P5" s="984"/>
      <c r="Q5" s="982" t="s">
        <v>168</v>
      </c>
      <c r="R5" s="984"/>
      <c r="S5" s="982" t="s">
        <v>176</v>
      </c>
      <c r="T5" s="983"/>
      <c r="U5" s="984"/>
      <c r="Y5" s="986"/>
      <c r="Z5" s="986"/>
      <c r="AA5" s="969"/>
      <c r="AB5" s="969"/>
      <c r="AC5" s="986"/>
      <c r="AD5" s="989"/>
      <c r="AF5" s="963"/>
      <c r="AG5" s="964"/>
      <c r="AH5" s="964"/>
      <c r="AI5" s="964"/>
      <c r="AJ5" s="964"/>
      <c r="AK5" s="964"/>
      <c r="AL5" s="964"/>
      <c r="AM5" s="965"/>
    </row>
    <row r="6" spans="2:39" ht="38.450000000000003" hidden="1" customHeight="1">
      <c r="B6" s="951"/>
      <c r="C6" s="952"/>
      <c r="D6" s="953"/>
      <c r="E6" s="953"/>
      <c r="F6" s="955"/>
      <c r="G6" s="362" t="s">
        <v>177</v>
      </c>
      <c r="H6" s="362" t="s">
        <v>252</v>
      </c>
      <c r="I6" s="439" t="s">
        <v>559</v>
      </c>
      <c r="J6" s="362" t="s">
        <v>560</v>
      </c>
      <c r="K6" s="362" t="s">
        <v>253</v>
      </c>
      <c r="L6" s="362" t="s">
        <v>178</v>
      </c>
      <c r="M6" s="362" t="s">
        <v>250</v>
      </c>
      <c r="N6" s="362" t="s">
        <v>179</v>
      </c>
      <c r="O6" s="362" t="s">
        <v>187</v>
      </c>
      <c r="P6" s="362" t="s">
        <v>180</v>
      </c>
      <c r="Q6" s="363" t="s">
        <v>181</v>
      </c>
      <c r="R6" s="363" t="s">
        <v>182</v>
      </c>
      <c r="S6" s="363" t="s">
        <v>181</v>
      </c>
      <c r="T6" s="363" t="s">
        <v>182</v>
      </c>
      <c r="U6" s="362" t="s">
        <v>183</v>
      </c>
      <c r="Y6" s="948"/>
      <c r="Z6" s="948"/>
      <c r="AA6" s="970"/>
      <c r="AB6" s="970"/>
      <c r="AC6" s="948"/>
      <c r="AD6" s="923"/>
      <c r="AF6" s="160" t="s">
        <v>244</v>
      </c>
      <c r="AG6" s="160" t="s">
        <v>445</v>
      </c>
      <c r="AH6" s="155" t="s">
        <v>383</v>
      </c>
      <c r="AI6" s="155" t="s">
        <v>337</v>
      </c>
      <c r="AJ6" s="155" t="s">
        <v>428</v>
      </c>
      <c r="AK6" s="155" t="s">
        <v>215</v>
      </c>
      <c r="AL6" s="155" t="s">
        <v>216</v>
      </c>
      <c r="AM6" s="155" t="s">
        <v>384</v>
      </c>
    </row>
    <row r="7" spans="2:39" s="147" customFormat="1" ht="27" hidden="1" customHeight="1">
      <c r="B7" s="933" t="s">
        <v>564</v>
      </c>
      <c r="C7" s="934"/>
      <c r="D7" s="361">
        <v>1</v>
      </c>
      <c r="E7" s="440" t="s">
        <v>336</v>
      </c>
      <c r="F7" s="364">
        <v>16380.947300000002</v>
      </c>
      <c r="G7" s="365">
        <v>147.43000000000004</v>
      </c>
      <c r="H7" s="442">
        <v>5035.0899999999992</v>
      </c>
      <c r="I7" s="442">
        <v>5035.0899999999992</v>
      </c>
      <c r="J7" s="444">
        <f>IFERROR(I7/H7,"-")</f>
        <v>1</v>
      </c>
      <c r="K7" s="443">
        <v>5035.0899999999992</v>
      </c>
      <c r="L7" s="444">
        <f>IFERROR(K7/H7,"-")</f>
        <v>1</v>
      </c>
      <c r="M7" s="443">
        <v>111.11000000000001</v>
      </c>
      <c r="N7" s="444">
        <f>IFERROR(M7/H7,"-")</f>
        <v>2.2067132861577455E-2</v>
      </c>
      <c r="O7" s="445">
        <f>IFERROR(K7+M7,"-")</f>
        <v>5146.1999999999989</v>
      </c>
      <c r="P7" s="444">
        <f>IFERROR(O7/H7,"-")</f>
        <v>1.0220671328615774</v>
      </c>
      <c r="Q7" s="442">
        <v>9.8000000000000007</v>
      </c>
      <c r="R7" s="444">
        <f>IFERROR(Q7/H7,"-")</f>
        <v>1.9463405817969496E-3</v>
      </c>
      <c r="S7" s="452">
        <f>IFERROR(Q7*G7,"-")</f>
        <v>1444.8140000000005</v>
      </c>
      <c r="T7" s="445">
        <f>IFERROR(O7-H7,"-")</f>
        <v>111.10999999999967</v>
      </c>
      <c r="U7" s="444">
        <f>IFERROR(T7/H7,"-")</f>
        <v>2.2067132861577389E-2</v>
      </c>
      <c r="Y7" s="366" t="s">
        <v>174</v>
      </c>
      <c r="Z7" s="366" t="s">
        <v>215</v>
      </c>
      <c r="AA7" s="367" t="s">
        <v>478</v>
      </c>
      <c r="AB7" s="367" t="s">
        <v>524</v>
      </c>
      <c r="AC7" s="367">
        <v>1</v>
      </c>
      <c r="AD7" s="446" t="s">
        <v>340</v>
      </c>
      <c r="AE7" s="368" t="s">
        <v>446</v>
      </c>
      <c r="AF7" s="374">
        <f>SUM(AC7:AC26)</f>
        <v>20</v>
      </c>
      <c r="AG7" s="369">
        <f t="shared" ref="AG7:AM7" si="0">SUMIF($Z$7:$Z$26,TRIM(AG6),$AC$7:$AC$26)</f>
        <v>0</v>
      </c>
      <c r="AH7" s="369">
        <f t="shared" si="0"/>
        <v>0</v>
      </c>
      <c r="AI7" s="369">
        <f t="shared" si="0"/>
        <v>0</v>
      </c>
      <c r="AJ7" s="369">
        <f t="shared" si="0"/>
        <v>12</v>
      </c>
      <c r="AK7" s="369">
        <f t="shared" si="0"/>
        <v>1</v>
      </c>
      <c r="AL7" s="369">
        <f t="shared" si="0"/>
        <v>7</v>
      </c>
      <c r="AM7" s="369">
        <f t="shared" si="0"/>
        <v>0</v>
      </c>
    </row>
    <row r="8" spans="2:39" s="147" customFormat="1" ht="27" hidden="1" customHeight="1">
      <c r="B8" s="935"/>
      <c r="C8" s="936"/>
      <c r="D8" s="361">
        <v>2</v>
      </c>
      <c r="E8" s="440" t="s">
        <v>534</v>
      </c>
      <c r="F8" s="364">
        <v>13027.84859999999</v>
      </c>
      <c r="G8" s="365">
        <v>39.389999999999993</v>
      </c>
      <c r="H8" s="442">
        <v>38623.35</v>
      </c>
      <c r="I8" s="442">
        <v>38623.35</v>
      </c>
      <c r="J8" s="444">
        <f t="shared" ref="J8:J26" si="1">IFERROR(I8/H8,"-")</f>
        <v>1</v>
      </c>
      <c r="K8" s="443">
        <v>38623.35</v>
      </c>
      <c r="L8" s="444">
        <f t="shared" ref="L8:L26" si="2">IFERROR(K8/H8,"-")</f>
        <v>1</v>
      </c>
      <c r="M8" s="443">
        <v>330.74</v>
      </c>
      <c r="N8" s="444">
        <f t="shared" ref="N8:N26" si="3">IFERROR(M8/H8,"-")</f>
        <v>8.5632137036274689E-3</v>
      </c>
      <c r="O8" s="445">
        <f t="shared" ref="O8:O26" si="4">IFERROR(K8+M8,"-")</f>
        <v>38954.089999999997</v>
      </c>
      <c r="P8" s="444">
        <f t="shared" ref="P8:P26" si="5">IFERROR(O8/H8,"-")</f>
        <v>1.0085632137036273</v>
      </c>
      <c r="Q8" s="442">
        <v>38.200000000000003</v>
      </c>
      <c r="R8" s="444">
        <f t="shared" ref="R8:R26" si="6">IFERROR(Q8/H8,"-")</f>
        <v>9.8903901396435066E-4</v>
      </c>
      <c r="S8" s="452">
        <f t="shared" ref="S8:S26" si="7">IFERROR(Q8*G8,"-")</f>
        <v>1504.6979999999999</v>
      </c>
      <c r="T8" s="445">
        <f t="shared" ref="T8:T26" si="8">IFERROR(O8-H8,"-")</f>
        <v>330.73999999999796</v>
      </c>
      <c r="U8" s="444">
        <f t="shared" ref="U8:U26" si="9">IFERROR(T8/H8,"-")</f>
        <v>8.5632137036274168E-3</v>
      </c>
      <c r="Y8" s="366" t="s">
        <v>174</v>
      </c>
      <c r="Z8" s="366" t="s">
        <v>216</v>
      </c>
      <c r="AA8" s="367" t="s">
        <v>592</v>
      </c>
      <c r="AB8" s="367" t="s">
        <v>573</v>
      </c>
      <c r="AC8" s="367">
        <v>1</v>
      </c>
      <c r="AD8" s="446" t="s">
        <v>340</v>
      </c>
      <c r="AF8" s="375"/>
      <c r="AG8" s="372">
        <f t="shared" ref="AG8:AM8" si="10">SUMIF($Z$7:$Z$26,TRIM(AG6),$F$7:$F$26)</f>
        <v>0</v>
      </c>
      <c r="AH8" s="372">
        <f t="shared" si="10"/>
        <v>0</v>
      </c>
      <c r="AI8" s="372">
        <f t="shared" si="10"/>
        <v>0</v>
      </c>
      <c r="AJ8" s="372">
        <f t="shared" si="10"/>
        <v>69778.58560000002</v>
      </c>
      <c r="AK8" s="372">
        <f t="shared" si="10"/>
        <v>16380.947300000002</v>
      </c>
      <c r="AL8" s="372">
        <f t="shared" si="10"/>
        <v>53400.977999999974</v>
      </c>
      <c r="AM8" s="372">
        <f t="shared" si="10"/>
        <v>0</v>
      </c>
    </row>
    <row r="9" spans="2:39" s="147" customFormat="1" ht="27" hidden="1" customHeight="1">
      <c r="B9" s="935"/>
      <c r="C9" s="936"/>
      <c r="D9" s="361">
        <v>3</v>
      </c>
      <c r="E9" s="440" t="s">
        <v>386</v>
      </c>
      <c r="F9" s="364">
        <v>11716.536000000006</v>
      </c>
      <c r="G9" s="365">
        <v>127.84000000000002</v>
      </c>
      <c r="H9" s="442">
        <v>4439.49</v>
      </c>
      <c r="I9" s="442">
        <v>4439.49</v>
      </c>
      <c r="J9" s="444">
        <f t="shared" si="1"/>
        <v>1</v>
      </c>
      <c r="K9" s="443">
        <v>4439.49</v>
      </c>
      <c r="L9" s="444">
        <f t="shared" si="2"/>
        <v>1</v>
      </c>
      <c r="M9" s="443">
        <v>91.65</v>
      </c>
      <c r="N9" s="444">
        <f t="shared" si="3"/>
        <v>2.0644263192393722E-2</v>
      </c>
      <c r="O9" s="445">
        <f t="shared" si="4"/>
        <v>4531.1399999999994</v>
      </c>
      <c r="P9" s="444">
        <f t="shared" si="5"/>
        <v>1.0206442631923935</v>
      </c>
      <c r="Q9" s="442">
        <v>19.840000000000003</v>
      </c>
      <c r="R9" s="444">
        <f t="shared" si="6"/>
        <v>4.4689817974587183E-3</v>
      </c>
      <c r="S9" s="452">
        <f t="shared" si="7"/>
        <v>2536.3456000000006</v>
      </c>
      <c r="T9" s="445">
        <f t="shared" si="8"/>
        <v>91.649999999999636</v>
      </c>
      <c r="U9" s="444">
        <f t="shared" si="9"/>
        <v>2.0644263192393639E-2</v>
      </c>
      <c r="Y9" s="366" t="s">
        <v>174</v>
      </c>
      <c r="Z9" s="366" t="s">
        <v>428</v>
      </c>
      <c r="AA9" s="367" t="s">
        <v>570</v>
      </c>
      <c r="AB9" s="367" t="s">
        <v>606</v>
      </c>
      <c r="AC9" s="367">
        <v>1</v>
      </c>
      <c r="AD9" s="446" t="s">
        <v>340</v>
      </c>
      <c r="AF9" s="361"/>
      <c r="AG9" s="373">
        <f t="shared" ref="AG9:AM9" si="11">AG7/$AF7</f>
        <v>0</v>
      </c>
      <c r="AH9" s="373">
        <f t="shared" si="11"/>
        <v>0</v>
      </c>
      <c r="AI9" s="373">
        <f t="shared" si="11"/>
        <v>0</v>
      </c>
      <c r="AJ9" s="373">
        <f t="shared" si="11"/>
        <v>0.6</v>
      </c>
      <c r="AK9" s="373">
        <f t="shared" si="11"/>
        <v>0.05</v>
      </c>
      <c r="AL9" s="373">
        <f t="shared" si="11"/>
        <v>0.35</v>
      </c>
      <c r="AM9" s="373">
        <f t="shared" si="11"/>
        <v>0</v>
      </c>
    </row>
    <row r="10" spans="2:39" s="147" customFormat="1" ht="27" hidden="1" customHeight="1">
      <c r="B10" s="935"/>
      <c r="C10" s="936"/>
      <c r="D10" s="361">
        <v>4</v>
      </c>
      <c r="E10" s="440" t="s">
        <v>459</v>
      </c>
      <c r="F10" s="364">
        <v>10025.658999999998</v>
      </c>
      <c r="G10" s="365">
        <v>605.77999999999986</v>
      </c>
      <c r="H10" s="442">
        <v>1046.28</v>
      </c>
      <c r="I10" s="442">
        <v>1046.28</v>
      </c>
      <c r="J10" s="444">
        <f t="shared" si="1"/>
        <v>1</v>
      </c>
      <c r="K10" s="443">
        <v>1046.28</v>
      </c>
      <c r="L10" s="444">
        <f t="shared" si="2"/>
        <v>1</v>
      </c>
      <c r="M10" s="443">
        <v>16.549999999999997</v>
      </c>
      <c r="N10" s="444">
        <f t="shared" si="3"/>
        <v>1.5817945483044691E-2</v>
      </c>
      <c r="O10" s="445">
        <f t="shared" si="4"/>
        <v>1062.83</v>
      </c>
      <c r="P10" s="444">
        <f t="shared" si="5"/>
        <v>1.0158179454830447</v>
      </c>
      <c r="Q10" s="442">
        <v>2.56</v>
      </c>
      <c r="R10" s="444">
        <f t="shared" si="6"/>
        <v>2.4467637726038921E-3</v>
      </c>
      <c r="S10" s="452">
        <f t="shared" si="7"/>
        <v>1550.7967999999996</v>
      </c>
      <c r="T10" s="445">
        <f t="shared" si="8"/>
        <v>16.549999999999955</v>
      </c>
      <c r="U10" s="444">
        <f t="shared" si="9"/>
        <v>1.5817945483044649E-2</v>
      </c>
      <c r="Y10" s="366" t="s">
        <v>174</v>
      </c>
      <c r="Z10" s="366" t="s">
        <v>216</v>
      </c>
      <c r="AA10" s="367" t="s">
        <v>608</v>
      </c>
      <c r="AB10" s="367" t="s">
        <v>609</v>
      </c>
      <c r="AC10" s="367">
        <v>1</v>
      </c>
      <c r="AD10" s="446" t="s">
        <v>342</v>
      </c>
    </row>
    <row r="11" spans="2:39" s="147" customFormat="1" ht="27" hidden="1" customHeight="1">
      <c r="B11" s="935"/>
      <c r="C11" s="936"/>
      <c r="D11" s="361">
        <v>5</v>
      </c>
      <c r="E11" s="440" t="s">
        <v>544</v>
      </c>
      <c r="F11" s="364">
        <v>6610.7126999999964</v>
      </c>
      <c r="G11" s="365">
        <v>62.43</v>
      </c>
      <c r="H11" s="442">
        <v>3169.77</v>
      </c>
      <c r="I11" s="442">
        <v>3169.77</v>
      </c>
      <c r="J11" s="444">
        <f t="shared" si="1"/>
        <v>1</v>
      </c>
      <c r="K11" s="443">
        <v>3169.77</v>
      </c>
      <c r="L11" s="444">
        <f t="shared" si="2"/>
        <v>1</v>
      </c>
      <c r="M11" s="443">
        <v>105.89</v>
      </c>
      <c r="N11" s="444">
        <f t="shared" si="3"/>
        <v>3.3406209283323399E-2</v>
      </c>
      <c r="O11" s="445">
        <f t="shared" si="4"/>
        <v>3275.66</v>
      </c>
      <c r="P11" s="444">
        <f t="shared" si="5"/>
        <v>1.0334062092833234</v>
      </c>
      <c r="Q11" s="442">
        <v>16.09</v>
      </c>
      <c r="R11" s="444">
        <f t="shared" si="6"/>
        <v>5.0760780750653831E-3</v>
      </c>
      <c r="S11" s="452">
        <f t="shared" si="7"/>
        <v>1004.4987</v>
      </c>
      <c r="T11" s="445">
        <f t="shared" si="8"/>
        <v>105.88999999999987</v>
      </c>
      <c r="U11" s="444">
        <f t="shared" si="9"/>
        <v>3.3406209283323357E-2</v>
      </c>
      <c r="Y11" s="366" t="s">
        <v>174</v>
      </c>
      <c r="Z11" s="366" t="s">
        <v>216</v>
      </c>
      <c r="AA11" s="367" t="s">
        <v>592</v>
      </c>
      <c r="AB11" s="367" t="s">
        <v>573</v>
      </c>
      <c r="AC11" s="367">
        <v>1</v>
      </c>
      <c r="AD11" s="446" t="s">
        <v>543</v>
      </c>
    </row>
    <row r="12" spans="2:39" s="147" customFormat="1" ht="27" hidden="1" customHeight="1">
      <c r="B12" s="935"/>
      <c r="C12" s="936"/>
      <c r="D12" s="361">
        <v>6</v>
      </c>
      <c r="E12" s="440" t="s">
        <v>461</v>
      </c>
      <c r="F12" s="364">
        <v>6425.9823999999962</v>
      </c>
      <c r="G12" s="365">
        <v>407.74000000000007</v>
      </c>
      <c r="H12" s="442">
        <v>1204.5999999999999</v>
      </c>
      <c r="I12" s="442">
        <v>1204.5999999999999</v>
      </c>
      <c r="J12" s="444">
        <f t="shared" si="1"/>
        <v>1</v>
      </c>
      <c r="K12" s="443">
        <v>1204.5999999999999</v>
      </c>
      <c r="L12" s="444">
        <f t="shared" si="2"/>
        <v>1</v>
      </c>
      <c r="M12" s="443">
        <v>15.76</v>
      </c>
      <c r="N12" s="444">
        <f t="shared" si="3"/>
        <v>1.3083181138967294E-2</v>
      </c>
      <c r="O12" s="445">
        <f t="shared" si="4"/>
        <v>1220.3599999999999</v>
      </c>
      <c r="P12" s="444">
        <f t="shared" si="5"/>
        <v>1.0130831811389673</v>
      </c>
      <c r="Q12" s="442">
        <v>6.65</v>
      </c>
      <c r="R12" s="444">
        <f t="shared" si="6"/>
        <v>5.5205047318611991E-3</v>
      </c>
      <c r="S12" s="452">
        <f t="shared" si="7"/>
        <v>2711.4710000000005</v>
      </c>
      <c r="T12" s="445">
        <f t="shared" si="8"/>
        <v>15.759999999999991</v>
      </c>
      <c r="U12" s="444">
        <f t="shared" si="9"/>
        <v>1.3083181138967285E-2</v>
      </c>
      <c r="Y12" s="366" t="s">
        <v>174</v>
      </c>
      <c r="Z12" s="366" t="s">
        <v>216</v>
      </c>
      <c r="AA12" s="367" t="s">
        <v>480</v>
      </c>
      <c r="AB12" s="367" t="s">
        <v>481</v>
      </c>
      <c r="AC12" s="367">
        <v>1</v>
      </c>
      <c r="AD12" s="446" t="s">
        <v>463</v>
      </c>
    </row>
    <row r="13" spans="2:39" s="147" customFormat="1" ht="27" hidden="1" customHeight="1">
      <c r="B13" s="935"/>
      <c r="C13" s="936"/>
      <c r="D13" s="361">
        <v>7</v>
      </c>
      <c r="E13" s="440" t="s">
        <v>583</v>
      </c>
      <c r="F13" s="364">
        <v>6424.0567999999957</v>
      </c>
      <c r="G13" s="365">
        <v>113.68000000000004</v>
      </c>
      <c r="H13" s="442">
        <v>1680.3000000000002</v>
      </c>
      <c r="I13" s="442">
        <v>1680.3000000000002</v>
      </c>
      <c r="J13" s="444">
        <f t="shared" si="1"/>
        <v>1</v>
      </c>
      <c r="K13" s="443">
        <v>1680.3000000000002</v>
      </c>
      <c r="L13" s="444">
        <f t="shared" si="2"/>
        <v>1</v>
      </c>
      <c r="M13" s="443">
        <v>56.510000000000005</v>
      </c>
      <c r="N13" s="444">
        <f t="shared" si="3"/>
        <v>3.3630899244182583E-2</v>
      </c>
      <c r="O13" s="445">
        <f t="shared" si="4"/>
        <v>1736.8100000000002</v>
      </c>
      <c r="P13" s="444">
        <f t="shared" si="5"/>
        <v>1.0336308992441825</v>
      </c>
      <c r="Q13" s="442">
        <v>7.330000000000001</v>
      </c>
      <c r="R13" s="444">
        <f t="shared" si="6"/>
        <v>4.3623162530500503E-3</v>
      </c>
      <c r="S13" s="452">
        <f t="shared" si="7"/>
        <v>833.27440000000036</v>
      </c>
      <c r="T13" s="445">
        <f t="shared" si="8"/>
        <v>56.509999999999991</v>
      </c>
      <c r="U13" s="444">
        <f t="shared" si="9"/>
        <v>3.3630899244182576E-2</v>
      </c>
      <c r="Y13" s="366" t="s">
        <v>174</v>
      </c>
      <c r="Z13" s="366" t="s">
        <v>428</v>
      </c>
      <c r="AA13" s="367" t="s">
        <v>479</v>
      </c>
      <c r="AB13" s="367" t="s">
        <v>477</v>
      </c>
      <c r="AC13" s="367">
        <v>1</v>
      </c>
      <c r="AD13" s="446" t="s">
        <v>566</v>
      </c>
      <c r="AH13" s="370"/>
    </row>
    <row r="14" spans="2:39" s="147" customFormat="1" ht="27" hidden="1" customHeight="1">
      <c r="B14" s="935"/>
      <c r="C14" s="936"/>
      <c r="D14" s="361">
        <v>8</v>
      </c>
      <c r="E14" s="440" t="s">
        <v>464</v>
      </c>
      <c r="F14" s="364">
        <v>6088.7199999999957</v>
      </c>
      <c r="G14" s="365">
        <v>629</v>
      </c>
      <c r="H14" s="442">
        <v>292.01</v>
      </c>
      <c r="I14" s="442">
        <v>292.01</v>
      </c>
      <c r="J14" s="444">
        <f t="shared" si="1"/>
        <v>1</v>
      </c>
      <c r="K14" s="443">
        <v>292.01</v>
      </c>
      <c r="L14" s="444">
        <f t="shared" si="2"/>
        <v>1</v>
      </c>
      <c r="M14" s="443">
        <v>9.68</v>
      </c>
      <c r="N14" s="444">
        <f t="shared" si="3"/>
        <v>3.3149549672956406E-2</v>
      </c>
      <c r="O14" s="445">
        <f t="shared" si="4"/>
        <v>301.69</v>
      </c>
      <c r="P14" s="444">
        <f t="shared" si="5"/>
        <v>1.0331495496729564</v>
      </c>
      <c r="Q14" s="442">
        <v>1.45</v>
      </c>
      <c r="R14" s="444">
        <f t="shared" si="6"/>
        <v>4.9655833704325197E-3</v>
      </c>
      <c r="S14" s="452">
        <f t="shared" si="7"/>
        <v>912.05</v>
      </c>
      <c r="T14" s="445">
        <f t="shared" si="8"/>
        <v>9.6800000000000068</v>
      </c>
      <c r="U14" s="444">
        <f t="shared" si="9"/>
        <v>3.3149549672956427E-2</v>
      </c>
      <c r="Y14" s="366" t="s">
        <v>174</v>
      </c>
      <c r="Z14" s="366" t="s">
        <v>428</v>
      </c>
      <c r="AA14" s="367" t="s">
        <v>482</v>
      </c>
      <c r="AB14" s="367" t="s">
        <v>547</v>
      </c>
      <c r="AC14" s="367">
        <v>1</v>
      </c>
      <c r="AD14" s="446" t="s">
        <v>458</v>
      </c>
      <c r="AH14" s="370"/>
    </row>
    <row r="15" spans="2:39" s="147" customFormat="1" ht="27" hidden="1" customHeight="1">
      <c r="B15" s="935"/>
      <c r="C15" s="936"/>
      <c r="D15" s="361">
        <v>9</v>
      </c>
      <c r="E15" s="440" t="s">
        <v>601</v>
      </c>
      <c r="F15" s="364">
        <v>6083.0315000000028</v>
      </c>
      <c r="G15" s="365">
        <v>46.149999999999991</v>
      </c>
      <c r="H15" s="442">
        <v>4197.4199999999992</v>
      </c>
      <c r="I15" s="442">
        <v>4197.4199999999992</v>
      </c>
      <c r="J15" s="444">
        <f t="shared" si="1"/>
        <v>1</v>
      </c>
      <c r="K15" s="443">
        <v>4197.4199999999992</v>
      </c>
      <c r="L15" s="444">
        <f t="shared" si="2"/>
        <v>1</v>
      </c>
      <c r="M15" s="443">
        <v>131.81</v>
      </c>
      <c r="N15" s="444">
        <f t="shared" si="3"/>
        <v>3.1402623516350529E-2</v>
      </c>
      <c r="O15" s="445">
        <f t="shared" si="4"/>
        <v>4329.2299999999996</v>
      </c>
      <c r="P15" s="444">
        <f t="shared" si="5"/>
        <v>1.0314026235163507</v>
      </c>
      <c r="Q15" s="442">
        <v>19.11</v>
      </c>
      <c r="R15" s="444">
        <f t="shared" si="6"/>
        <v>4.5527967179839054E-3</v>
      </c>
      <c r="S15" s="452">
        <f t="shared" si="7"/>
        <v>881.92649999999981</v>
      </c>
      <c r="T15" s="445">
        <f t="shared" si="8"/>
        <v>131.8100000000004</v>
      </c>
      <c r="U15" s="444">
        <f t="shared" si="9"/>
        <v>3.140262351635062E-2</v>
      </c>
      <c r="Y15" s="366" t="s">
        <v>174</v>
      </c>
      <c r="Z15" s="366" t="s">
        <v>216</v>
      </c>
      <c r="AA15" s="367" t="s">
        <v>592</v>
      </c>
      <c r="AB15" s="367" t="s">
        <v>573</v>
      </c>
      <c r="AC15" s="367">
        <v>1</v>
      </c>
      <c r="AD15" s="446" t="s">
        <v>597</v>
      </c>
      <c r="AH15" s="370"/>
    </row>
    <row r="16" spans="2:39" s="147" customFormat="1" ht="27" hidden="1" customHeight="1">
      <c r="B16" s="935"/>
      <c r="C16" s="936"/>
      <c r="D16" s="361">
        <v>10</v>
      </c>
      <c r="E16" s="440" t="s">
        <v>619</v>
      </c>
      <c r="F16" s="364">
        <v>5839.9613999999956</v>
      </c>
      <c r="G16" s="365">
        <v>39.389999999999993</v>
      </c>
      <c r="H16" s="442">
        <v>6391.77</v>
      </c>
      <c r="I16" s="442">
        <v>6391.77</v>
      </c>
      <c r="J16" s="444">
        <f t="shared" si="1"/>
        <v>1</v>
      </c>
      <c r="K16" s="443">
        <v>6395.77</v>
      </c>
      <c r="L16" s="444">
        <f t="shared" si="2"/>
        <v>1.0006258047457903</v>
      </c>
      <c r="M16" s="443">
        <v>144.26000000000002</v>
      </c>
      <c r="N16" s="444">
        <f t="shared" si="3"/>
        <v>2.2569648156926799E-2</v>
      </c>
      <c r="O16" s="445">
        <f t="shared" si="4"/>
        <v>6540.0300000000007</v>
      </c>
      <c r="P16" s="444">
        <f t="shared" si="5"/>
        <v>1.0231954529027172</v>
      </c>
      <c r="Q16" s="442">
        <v>21.798999999999999</v>
      </c>
      <c r="R16" s="444">
        <f t="shared" si="6"/>
        <v>3.4104794133706308E-3</v>
      </c>
      <c r="S16" s="452">
        <f t="shared" si="7"/>
        <v>858.66260999999986</v>
      </c>
      <c r="T16" s="445">
        <f t="shared" si="8"/>
        <v>148.26000000000022</v>
      </c>
      <c r="U16" s="444">
        <f t="shared" si="9"/>
        <v>2.3195452902717122E-2</v>
      </c>
      <c r="Y16" s="366" t="s">
        <v>174</v>
      </c>
      <c r="Z16" s="366" t="s">
        <v>216</v>
      </c>
      <c r="AA16" s="367" t="s">
        <v>592</v>
      </c>
      <c r="AB16" s="367" t="s">
        <v>573</v>
      </c>
      <c r="AC16" s="367">
        <v>1</v>
      </c>
      <c r="AD16" s="446" t="s">
        <v>614</v>
      </c>
      <c r="AH16" s="370"/>
    </row>
    <row r="17" spans="2:39" s="147" customFormat="1" ht="27" hidden="1" customHeight="1">
      <c r="B17" s="935"/>
      <c r="C17" s="936"/>
      <c r="D17" s="361">
        <v>11</v>
      </c>
      <c r="E17" s="440" t="s">
        <v>357</v>
      </c>
      <c r="F17" s="364">
        <v>5835.0499999999984</v>
      </c>
      <c r="G17" s="365">
        <v>152.75</v>
      </c>
      <c r="H17" s="442">
        <v>1234</v>
      </c>
      <c r="I17" s="442">
        <v>1234</v>
      </c>
      <c r="J17" s="444">
        <f t="shared" si="1"/>
        <v>1</v>
      </c>
      <c r="K17" s="443">
        <v>1234</v>
      </c>
      <c r="L17" s="444">
        <f t="shared" si="2"/>
        <v>1</v>
      </c>
      <c r="M17" s="443">
        <v>38.200000000000003</v>
      </c>
      <c r="N17" s="444">
        <f t="shared" si="3"/>
        <v>3.0956239870340359E-2</v>
      </c>
      <c r="O17" s="445">
        <f t="shared" si="4"/>
        <v>1272.2</v>
      </c>
      <c r="P17" s="444">
        <f t="shared" si="5"/>
        <v>1.0309562398703405</v>
      </c>
      <c r="Q17" s="442">
        <v>6.04</v>
      </c>
      <c r="R17" s="444">
        <f t="shared" si="6"/>
        <v>4.8946515397082658E-3</v>
      </c>
      <c r="S17" s="452">
        <f t="shared" si="7"/>
        <v>922.61</v>
      </c>
      <c r="T17" s="445">
        <f t="shared" si="8"/>
        <v>38.200000000000045</v>
      </c>
      <c r="U17" s="444">
        <f t="shared" si="9"/>
        <v>3.0956239870340393E-2</v>
      </c>
      <c r="Y17" s="366" t="s">
        <v>174</v>
      </c>
      <c r="Z17" s="366" t="s">
        <v>428</v>
      </c>
      <c r="AA17" s="367" t="s">
        <v>607</v>
      </c>
      <c r="AB17" s="367" t="s">
        <v>525</v>
      </c>
      <c r="AC17" s="367">
        <v>1</v>
      </c>
      <c r="AD17" s="446" t="s">
        <v>358</v>
      </c>
      <c r="AH17" s="370"/>
    </row>
    <row r="18" spans="2:39" s="147" customFormat="1" ht="27" hidden="1" customHeight="1">
      <c r="B18" s="935"/>
      <c r="C18" s="936"/>
      <c r="D18" s="361">
        <v>12</v>
      </c>
      <c r="E18" s="440" t="s">
        <v>535</v>
      </c>
      <c r="F18" s="364">
        <v>5456.6400000000031</v>
      </c>
      <c r="G18" s="365">
        <v>896</v>
      </c>
      <c r="H18" s="442">
        <v>294.53999999999996</v>
      </c>
      <c r="I18" s="442">
        <v>294.53999999999996</v>
      </c>
      <c r="J18" s="444">
        <f t="shared" si="1"/>
        <v>1</v>
      </c>
      <c r="K18" s="443">
        <v>294.53999999999996</v>
      </c>
      <c r="L18" s="444">
        <f t="shared" si="2"/>
        <v>1</v>
      </c>
      <c r="M18" s="443">
        <v>6.09</v>
      </c>
      <c r="N18" s="444">
        <f t="shared" si="3"/>
        <v>2.0676308820533715E-2</v>
      </c>
      <c r="O18" s="445">
        <f t="shared" si="4"/>
        <v>300.62999999999994</v>
      </c>
      <c r="P18" s="444">
        <f t="shared" si="5"/>
        <v>1.0206763088205337</v>
      </c>
      <c r="Q18" s="442">
        <v>0.88</v>
      </c>
      <c r="R18" s="444">
        <f t="shared" si="6"/>
        <v>2.9877096489441166E-3</v>
      </c>
      <c r="S18" s="452">
        <f t="shared" si="7"/>
        <v>788.48</v>
      </c>
      <c r="T18" s="445">
        <f t="shared" si="8"/>
        <v>6.089999999999975</v>
      </c>
      <c r="U18" s="444">
        <f t="shared" si="9"/>
        <v>2.0676308820533632E-2</v>
      </c>
      <c r="Y18" s="366" t="s">
        <v>174</v>
      </c>
      <c r="Z18" s="366" t="s">
        <v>428</v>
      </c>
      <c r="AA18" s="367" t="s">
        <v>593</v>
      </c>
      <c r="AB18" s="367" t="s">
        <v>525</v>
      </c>
      <c r="AC18" s="367">
        <v>1</v>
      </c>
      <c r="AD18" s="446" t="s">
        <v>536</v>
      </c>
    </row>
    <row r="19" spans="2:39" s="147" customFormat="1" ht="27" hidden="1" customHeight="1">
      <c r="B19" s="935"/>
      <c r="C19" s="936"/>
      <c r="D19" s="361">
        <v>13</v>
      </c>
      <c r="E19" s="440" t="s">
        <v>600</v>
      </c>
      <c r="F19" s="364">
        <v>5426.8845000000001</v>
      </c>
      <c r="G19" s="365">
        <v>413.94999999999993</v>
      </c>
      <c r="H19" s="442">
        <v>545.73</v>
      </c>
      <c r="I19" s="442">
        <v>545.73</v>
      </c>
      <c r="J19" s="444">
        <f t="shared" si="1"/>
        <v>1</v>
      </c>
      <c r="K19" s="443">
        <v>546.43000000000006</v>
      </c>
      <c r="L19" s="444">
        <f t="shared" si="2"/>
        <v>1.0012826855771171</v>
      </c>
      <c r="M19" s="443">
        <v>12.41</v>
      </c>
      <c r="N19" s="444">
        <f t="shared" si="3"/>
        <v>2.2740182874315135E-2</v>
      </c>
      <c r="O19" s="445">
        <f t="shared" si="4"/>
        <v>558.84</v>
      </c>
      <c r="P19" s="444">
        <f t="shared" si="5"/>
        <v>1.0240228684514321</v>
      </c>
      <c r="Q19" s="442">
        <v>2.4900000000000002</v>
      </c>
      <c r="R19" s="444">
        <f t="shared" si="6"/>
        <v>4.5626958386015062E-3</v>
      </c>
      <c r="S19" s="452">
        <f t="shared" si="7"/>
        <v>1030.7355</v>
      </c>
      <c r="T19" s="445">
        <f t="shared" si="8"/>
        <v>13.110000000000014</v>
      </c>
      <c r="U19" s="444">
        <f t="shared" si="9"/>
        <v>2.4022868451432051E-2</v>
      </c>
      <c r="Y19" s="366" t="s">
        <v>174</v>
      </c>
      <c r="Z19" s="366" t="s">
        <v>428</v>
      </c>
      <c r="AA19" s="367" t="s">
        <v>607</v>
      </c>
      <c r="AB19" s="367" t="s">
        <v>525</v>
      </c>
      <c r="AC19" s="367">
        <v>1</v>
      </c>
      <c r="AD19" s="446" t="s">
        <v>597</v>
      </c>
    </row>
    <row r="20" spans="2:39" s="147" customFormat="1" ht="27" hidden="1" customHeight="1">
      <c r="B20" s="935"/>
      <c r="C20" s="936"/>
      <c r="D20" s="361">
        <v>14</v>
      </c>
      <c r="E20" s="440" t="s">
        <v>568</v>
      </c>
      <c r="F20" s="364">
        <v>5387.7824000000001</v>
      </c>
      <c r="G20" s="365">
        <v>40.04</v>
      </c>
      <c r="H20" s="442">
        <v>3995.9500000000007</v>
      </c>
      <c r="I20" s="442">
        <v>3995.9500000000007</v>
      </c>
      <c r="J20" s="444">
        <f t="shared" si="1"/>
        <v>1</v>
      </c>
      <c r="K20" s="443">
        <v>3995.9500000000007</v>
      </c>
      <c r="L20" s="444">
        <f t="shared" si="2"/>
        <v>1</v>
      </c>
      <c r="M20" s="443">
        <v>134.56000000000003</v>
      </c>
      <c r="N20" s="444">
        <f t="shared" si="3"/>
        <v>3.3674095021208973E-2</v>
      </c>
      <c r="O20" s="445">
        <f t="shared" si="4"/>
        <v>4130.5100000000011</v>
      </c>
      <c r="P20" s="444">
        <f t="shared" si="5"/>
        <v>1.0336740950212091</v>
      </c>
      <c r="Q20" s="442">
        <v>21.759999999999998</v>
      </c>
      <c r="R20" s="444">
        <f t="shared" si="6"/>
        <v>5.4455135825022824E-3</v>
      </c>
      <c r="S20" s="452">
        <f t="shared" si="7"/>
        <v>871.27039999999988</v>
      </c>
      <c r="T20" s="445">
        <f t="shared" si="8"/>
        <v>134.5600000000004</v>
      </c>
      <c r="U20" s="444">
        <f t="shared" si="9"/>
        <v>3.367409502120907E-2</v>
      </c>
      <c r="Y20" s="366" t="s">
        <v>174</v>
      </c>
      <c r="Z20" s="366" t="s">
        <v>216</v>
      </c>
      <c r="AA20" s="367" t="s">
        <v>592</v>
      </c>
      <c r="AB20" s="367" t="s">
        <v>573</v>
      </c>
      <c r="AC20" s="367">
        <v>1</v>
      </c>
      <c r="AD20" s="446" t="s">
        <v>533</v>
      </c>
    </row>
    <row r="21" spans="2:39" s="147" customFormat="1" ht="27" hidden="1" customHeight="1">
      <c r="B21" s="935"/>
      <c r="C21" s="936"/>
      <c r="D21" s="361">
        <v>15</v>
      </c>
      <c r="E21" s="440" t="s">
        <v>599</v>
      </c>
      <c r="F21" s="364">
        <v>5249.1824000000051</v>
      </c>
      <c r="G21" s="365">
        <v>153.44000000000003</v>
      </c>
      <c r="H21" s="442">
        <v>2546.5</v>
      </c>
      <c r="I21" s="442">
        <v>2546.5</v>
      </c>
      <c r="J21" s="444">
        <f t="shared" si="1"/>
        <v>1</v>
      </c>
      <c r="K21" s="443">
        <v>2546.5</v>
      </c>
      <c r="L21" s="444">
        <f t="shared" si="2"/>
        <v>1</v>
      </c>
      <c r="M21" s="443">
        <v>34.21</v>
      </c>
      <c r="N21" s="444">
        <f t="shared" si="3"/>
        <v>1.3434125269978402E-2</v>
      </c>
      <c r="O21" s="445">
        <f t="shared" si="4"/>
        <v>2580.71</v>
      </c>
      <c r="P21" s="444">
        <f t="shared" si="5"/>
        <v>1.0134341252699783</v>
      </c>
      <c r="Q21" s="442">
        <v>6.81</v>
      </c>
      <c r="R21" s="444">
        <f t="shared" si="6"/>
        <v>2.6742587865698016E-3</v>
      </c>
      <c r="S21" s="452">
        <f t="shared" si="7"/>
        <v>1044.9264000000001</v>
      </c>
      <c r="T21" s="445">
        <f t="shared" si="8"/>
        <v>34.210000000000036</v>
      </c>
      <c r="U21" s="444">
        <f t="shared" si="9"/>
        <v>1.3434125269978416E-2</v>
      </c>
      <c r="Y21" s="366" t="s">
        <v>174</v>
      </c>
      <c r="Z21" s="366" t="s">
        <v>428</v>
      </c>
      <c r="AA21" s="367" t="s">
        <v>607</v>
      </c>
      <c r="AB21" s="367" t="s">
        <v>525</v>
      </c>
      <c r="AC21" s="367">
        <v>1</v>
      </c>
      <c r="AD21" s="446" t="s">
        <v>465</v>
      </c>
    </row>
    <row r="22" spans="2:39" s="147" customFormat="1" ht="27" hidden="1" customHeight="1">
      <c r="B22" s="935"/>
      <c r="C22" s="936"/>
      <c r="D22" s="361">
        <v>16</v>
      </c>
      <c r="E22" s="440" t="s">
        <v>545</v>
      </c>
      <c r="F22" s="364">
        <v>5240.1412</v>
      </c>
      <c r="G22" s="365">
        <v>66.13</v>
      </c>
      <c r="H22" s="442">
        <v>1826.8600000000001</v>
      </c>
      <c r="I22" s="442">
        <v>1826.8600000000001</v>
      </c>
      <c r="J22" s="444">
        <f t="shared" si="1"/>
        <v>1</v>
      </c>
      <c r="K22" s="443">
        <v>1826.8600000000001</v>
      </c>
      <c r="L22" s="444">
        <f t="shared" si="2"/>
        <v>1</v>
      </c>
      <c r="M22" s="443">
        <v>79.240000000000009</v>
      </c>
      <c r="N22" s="444">
        <f t="shared" si="3"/>
        <v>4.3374971262165683E-2</v>
      </c>
      <c r="O22" s="445">
        <f t="shared" si="4"/>
        <v>1906.1000000000001</v>
      </c>
      <c r="P22" s="444">
        <f t="shared" si="5"/>
        <v>1.0433749712621656</v>
      </c>
      <c r="Q22" s="442">
        <v>12.89</v>
      </c>
      <c r="R22" s="444">
        <f t="shared" si="6"/>
        <v>7.0558225589262445E-3</v>
      </c>
      <c r="S22" s="452">
        <f t="shared" si="7"/>
        <v>852.41570000000002</v>
      </c>
      <c r="T22" s="445">
        <f t="shared" si="8"/>
        <v>79.240000000000009</v>
      </c>
      <c r="U22" s="444">
        <f t="shared" si="9"/>
        <v>4.3374971262165683E-2</v>
      </c>
      <c r="Y22" s="366" t="s">
        <v>174</v>
      </c>
      <c r="Z22" s="366" t="s">
        <v>428</v>
      </c>
      <c r="AA22" s="367" t="s">
        <v>479</v>
      </c>
      <c r="AB22" s="367" t="s">
        <v>477</v>
      </c>
      <c r="AC22" s="367">
        <v>1</v>
      </c>
      <c r="AD22" s="446" t="s">
        <v>341</v>
      </c>
    </row>
    <row r="23" spans="2:39" s="147" customFormat="1" ht="27" hidden="1" customHeight="1">
      <c r="B23" s="935"/>
      <c r="C23" s="936"/>
      <c r="D23" s="361">
        <v>17</v>
      </c>
      <c r="E23" s="440" t="s">
        <v>420</v>
      </c>
      <c r="F23" s="364">
        <v>4690.3177000000069</v>
      </c>
      <c r="G23" s="365">
        <v>157.87000000000003</v>
      </c>
      <c r="H23" s="442">
        <v>1903.27</v>
      </c>
      <c r="I23" s="442">
        <v>1903.27</v>
      </c>
      <c r="J23" s="444">
        <f t="shared" si="1"/>
        <v>1</v>
      </c>
      <c r="K23" s="443">
        <v>1903.27</v>
      </c>
      <c r="L23" s="444">
        <f t="shared" si="2"/>
        <v>1</v>
      </c>
      <c r="M23" s="443">
        <v>29.71</v>
      </c>
      <c r="N23" s="444">
        <f t="shared" si="3"/>
        <v>1.5609976514104673E-2</v>
      </c>
      <c r="O23" s="445">
        <f t="shared" si="4"/>
        <v>1932.98</v>
      </c>
      <c r="P23" s="444">
        <f t="shared" si="5"/>
        <v>1.0156099765141047</v>
      </c>
      <c r="Q23" s="442">
        <v>6.4799999999999986</v>
      </c>
      <c r="R23" s="444">
        <f t="shared" si="6"/>
        <v>3.4046667051968447E-3</v>
      </c>
      <c r="S23" s="452">
        <f t="shared" si="7"/>
        <v>1022.9976</v>
      </c>
      <c r="T23" s="445">
        <f t="shared" si="8"/>
        <v>29.710000000000036</v>
      </c>
      <c r="U23" s="444">
        <f t="shared" si="9"/>
        <v>1.5609976514104692E-2</v>
      </c>
      <c r="Y23" s="366" t="s">
        <v>174</v>
      </c>
      <c r="Z23" s="366" t="s">
        <v>428</v>
      </c>
      <c r="AA23" s="367" t="s">
        <v>541</v>
      </c>
      <c r="AB23" s="367" t="s">
        <v>542</v>
      </c>
      <c r="AC23" s="367">
        <v>1</v>
      </c>
      <c r="AD23" s="446" t="s">
        <v>340</v>
      </c>
    </row>
    <row r="24" spans="2:39" s="147" customFormat="1" ht="27" hidden="1" customHeight="1">
      <c r="B24" s="935"/>
      <c r="C24" s="936"/>
      <c r="D24" s="361">
        <v>18</v>
      </c>
      <c r="E24" s="440" t="s">
        <v>432</v>
      </c>
      <c r="F24" s="364">
        <v>4656.9709999999986</v>
      </c>
      <c r="G24" s="365">
        <v>368.13999999999993</v>
      </c>
      <c r="H24" s="442">
        <v>439.56</v>
      </c>
      <c r="I24" s="442">
        <v>439.56</v>
      </c>
      <c r="J24" s="444">
        <f t="shared" si="1"/>
        <v>1</v>
      </c>
      <c r="K24" s="443">
        <v>439.56</v>
      </c>
      <c r="L24" s="444">
        <f t="shared" si="2"/>
        <v>1</v>
      </c>
      <c r="M24" s="443">
        <v>12.649999999999999</v>
      </c>
      <c r="N24" s="444">
        <f t="shared" si="3"/>
        <v>2.8778778778778775E-2</v>
      </c>
      <c r="O24" s="445">
        <f t="shared" si="4"/>
        <v>452.21</v>
      </c>
      <c r="P24" s="444">
        <f t="shared" si="5"/>
        <v>1.0287787787787788</v>
      </c>
      <c r="Q24" s="442">
        <v>2.63</v>
      </c>
      <c r="R24" s="444">
        <f t="shared" si="6"/>
        <v>5.9832559832559834E-3</v>
      </c>
      <c r="S24" s="452">
        <f t="shared" si="7"/>
        <v>968.20819999999981</v>
      </c>
      <c r="T24" s="445">
        <f t="shared" si="8"/>
        <v>12.649999999999977</v>
      </c>
      <c r="U24" s="444">
        <f t="shared" si="9"/>
        <v>2.8778778778778727E-2</v>
      </c>
      <c r="Y24" s="366" t="s">
        <v>174</v>
      </c>
      <c r="Z24" s="366" t="s">
        <v>428</v>
      </c>
      <c r="AA24" s="367" t="s">
        <v>591</v>
      </c>
      <c r="AB24" s="367" t="s">
        <v>481</v>
      </c>
      <c r="AC24" s="367">
        <v>1</v>
      </c>
      <c r="AD24" s="446" t="s">
        <v>433</v>
      </c>
    </row>
    <row r="25" spans="2:39" s="147" customFormat="1" ht="27" hidden="1" customHeight="1">
      <c r="B25" s="935"/>
      <c r="C25" s="936"/>
      <c r="D25" s="361">
        <v>19</v>
      </c>
      <c r="E25" s="440" t="s">
        <v>620</v>
      </c>
      <c r="F25" s="364">
        <v>4565.8496000000032</v>
      </c>
      <c r="G25" s="365">
        <v>95.439999999999984</v>
      </c>
      <c r="H25" s="442">
        <v>2225.1</v>
      </c>
      <c r="I25" s="442">
        <v>2225.1</v>
      </c>
      <c r="J25" s="444">
        <f t="shared" si="1"/>
        <v>1</v>
      </c>
      <c r="K25" s="443">
        <v>2225.1</v>
      </c>
      <c r="L25" s="444">
        <f t="shared" si="2"/>
        <v>1</v>
      </c>
      <c r="M25" s="443">
        <v>47.839999999999996</v>
      </c>
      <c r="N25" s="444">
        <f t="shared" si="3"/>
        <v>2.1500157296301288E-2</v>
      </c>
      <c r="O25" s="445">
        <f t="shared" si="4"/>
        <v>2272.94</v>
      </c>
      <c r="P25" s="444">
        <f t="shared" si="5"/>
        <v>1.0215001572963014</v>
      </c>
      <c r="Q25" s="442">
        <v>8.4</v>
      </c>
      <c r="R25" s="444">
        <f t="shared" si="6"/>
        <v>3.7751112309559122E-3</v>
      </c>
      <c r="S25" s="452">
        <f t="shared" si="7"/>
        <v>801.69599999999991</v>
      </c>
      <c r="T25" s="445">
        <f t="shared" si="8"/>
        <v>47.840000000000146</v>
      </c>
      <c r="U25" s="444">
        <f t="shared" si="9"/>
        <v>2.1500157296301357E-2</v>
      </c>
      <c r="V25" s="145"/>
      <c r="W25" s="145"/>
      <c r="X25" s="145"/>
      <c r="Y25" s="366" t="s">
        <v>174</v>
      </c>
      <c r="Z25" s="366" t="s">
        <v>428</v>
      </c>
      <c r="AA25" s="367" t="s">
        <v>607</v>
      </c>
      <c r="AB25" s="367" t="s">
        <v>525</v>
      </c>
      <c r="AC25" s="367">
        <v>1</v>
      </c>
      <c r="AD25" s="446" t="s">
        <v>340</v>
      </c>
      <c r="AG25" s="371"/>
      <c r="AH25" s="370"/>
    </row>
    <row r="26" spans="2:39" s="147" customFormat="1" ht="27" hidden="1" customHeight="1">
      <c r="B26" s="937"/>
      <c r="C26" s="938"/>
      <c r="D26" s="361">
        <v>20</v>
      </c>
      <c r="E26" s="440" t="s">
        <v>470</v>
      </c>
      <c r="F26" s="364">
        <v>4428.2364000000061</v>
      </c>
      <c r="G26" s="365">
        <v>266.27999999999997</v>
      </c>
      <c r="H26" s="442">
        <v>1367.73</v>
      </c>
      <c r="I26" s="442">
        <v>1367.73</v>
      </c>
      <c r="J26" s="444">
        <f t="shared" si="1"/>
        <v>1</v>
      </c>
      <c r="K26" s="443">
        <v>1372.3700000000001</v>
      </c>
      <c r="L26" s="444">
        <f t="shared" si="2"/>
        <v>1.0033924824343987</v>
      </c>
      <c r="M26" s="443">
        <v>11.99</v>
      </c>
      <c r="N26" s="444">
        <f t="shared" si="3"/>
        <v>8.7663500837153532E-3</v>
      </c>
      <c r="O26" s="445">
        <f t="shared" si="4"/>
        <v>1384.3600000000001</v>
      </c>
      <c r="P26" s="444">
        <f t="shared" si="5"/>
        <v>1.0121588325181141</v>
      </c>
      <c r="Q26" s="442">
        <v>2.5300000000000002</v>
      </c>
      <c r="R26" s="444">
        <f t="shared" si="6"/>
        <v>1.8497802928940654E-3</v>
      </c>
      <c r="S26" s="452">
        <f t="shared" si="7"/>
        <v>673.6884</v>
      </c>
      <c r="T26" s="445">
        <f t="shared" si="8"/>
        <v>16.630000000000109</v>
      </c>
      <c r="U26" s="444">
        <f t="shared" si="9"/>
        <v>1.2158832518114036E-2</v>
      </c>
      <c r="V26" s="145"/>
      <c r="W26" s="145"/>
      <c r="X26" s="145"/>
      <c r="Y26" s="366" t="s">
        <v>174</v>
      </c>
      <c r="Z26" s="366" t="s">
        <v>428</v>
      </c>
      <c r="AA26" s="367" t="s">
        <v>480</v>
      </c>
      <c r="AB26" s="367" t="s">
        <v>574</v>
      </c>
      <c r="AC26" s="367">
        <v>1</v>
      </c>
      <c r="AD26" s="446" t="s">
        <v>471</v>
      </c>
      <c r="AG26" s="371"/>
      <c r="AH26" s="370"/>
    </row>
    <row r="27" spans="2:39" ht="17.100000000000001" hidden="1" customHeight="1">
      <c r="B27" s="949" t="s">
        <v>442</v>
      </c>
      <c r="C27" s="950"/>
      <c r="D27" s="953" t="s">
        <v>549</v>
      </c>
      <c r="E27" s="954" t="s">
        <v>550</v>
      </c>
      <c r="F27" s="995" t="s">
        <v>567</v>
      </c>
      <c r="G27" s="922" t="s">
        <v>552</v>
      </c>
      <c r="H27" s="956" t="s">
        <v>553</v>
      </c>
      <c r="I27" s="939" t="s">
        <v>554</v>
      </c>
      <c r="J27" s="940"/>
      <c r="K27" s="939" t="s">
        <v>555</v>
      </c>
      <c r="L27" s="940"/>
      <c r="M27" s="939" t="s">
        <v>556</v>
      </c>
      <c r="N27" s="940"/>
      <c r="O27" s="939" t="s">
        <v>557</v>
      </c>
      <c r="P27" s="940"/>
      <c r="Q27" s="939" t="s">
        <v>418</v>
      </c>
      <c r="R27" s="994"/>
      <c r="S27" s="940"/>
      <c r="T27" s="941" t="s">
        <v>419</v>
      </c>
      <c r="U27" s="943"/>
      <c r="Y27" s="947" t="s">
        <v>171</v>
      </c>
      <c r="Z27" s="947" t="s">
        <v>245</v>
      </c>
      <c r="AA27" s="947" t="s">
        <v>558</v>
      </c>
      <c r="AB27" s="947" t="s">
        <v>444</v>
      </c>
      <c r="AC27" s="947" t="s">
        <v>246</v>
      </c>
      <c r="AD27" s="922" t="s">
        <v>172</v>
      </c>
      <c r="AF27" s="924" t="s">
        <v>247</v>
      </c>
      <c r="AG27" s="925"/>
      <c r="AH27" s="925"/>
      <c r="AI27" s="925"/>
      <c r="AJ27" s="925"/>
      <c r="AK27" s="925"/>
      <c r="AL27" s="925"/>
      <c r="AM27" s="926"/>
    </row>
    <row r="28" spans="2:39" ht="16.5" hidden="1" customHeight="1">
      <c r="B28" s="951"/>
      <c r="C28" s="952"/>
      <c r="D28" s="953"/>
      <c r="E28" s="953"/>
      <c r="F28" s="955"/>
      <c r="G28" s="923"/>
      <c r="H28" s="923"/>
      <c r="I28" s="439" t="s">
        <v>559</v>
      </c>
      <c r="J28" s="362" t="s">
        <v>560</v>
      </c>
      <c r="K28" s="439" t="s">
        <v>559</v>
      </c>
      <c r="L28" s="362" t="s">
        <v>560</v>
      </c>
      <c r="M28" s="439" t="s">
        <v>559</v>
      </c>
      <c r="N28" s="362" t="s">
        <v>560</v>
      </c>
      <c r="O28" s="439" t="s">
        <v>559</v>
      </c>
      <c r="P28" s="362" t="s">
        <v>560</v>
      </c>
      <c r="Q28" s="439" t="s">
        <v>559</v>
      </c>
      <c r="R28" s="362" t="s">
        <v>560</v>
      </c>
      <c r="S28" s="362" t="s">
        <v>561</v>
      </c>
      <c r="T28" s="439" t="s">
        <v>559</v>
      </c>
      <c r="U28" s="362" t="s">
        <v>560</v>
      </c>
      <c r="Y28" s="948"/>
      <c r="Z28" s="948"/>
      <c r="AA28" s="948"/>
      <c r="AB28" s="948"/>
      <c r="AC28" s="948"/>
      <c r="AD28" s="923"/>
      <c r="AF28" s="927"/>
      <c r="AG28" s="928"/>
      <c r="AH28" s="928"/>
      <c r="AI28" s="928"/>
      <c r="AJ28" s="928"/>
      <c r="AK28" s="928"/>
      <c r="AL28" s="928"/>
      <c r="AM28" s="929"/>
    </row>
    <row r="29" spans="2:39" s="147" customFormat="1" ht="27" hidden="1" customHeight="1">
      <c r="B29" s="933" t="s">
        <v>625</v>
      </c>
      <c r="C29" s="934"/>
      <c r="D29" s="361">
        <v>1</v>
      </c>
      <c r="E29" s="440" t="s">
        <v>336</v>
      </c>
      <c r="F29" s="364">
        <f>IFERROR(T29*G29,"-")</f>
        <v>12264.701699999943</v>
      </c>
      <c r="G29" s="365">
        <v>147.43000000000004</v>
      </c>
      <c r="H29" s="442">
        <v>4841.42</v>
      </c>
      <c r="I29" s="442">
        <v>4841.42</v>
      </c>
      <c r="J29" s="444">
        <f>IFERROR(I29/H29,"-")</f>
        <v>1</v>
      </c>
      <c r="K29" s="443">
        <v>4841.42</v>
      </c>
      <c r="L29" s="444">
        <f>IFERROR(K29/H29,"-")</f>
        <v>1</v>
      </c>
      <c r="M29" s="443">
        <v>83.190000000000012</v>
      </c>
      <c r="N29" s="444">
        <f>IFERROR(M29/H29,"-")</f>
        <v>1.7182975242800668E-2</v>
      </c>
      <c r="O29" s="445">
        <f>IFERROR(K29+M29,"-")</f>
        <v>4924.6099999999997</v>
      </c>
      <c r="P29" s="444">
        <f>IFERROR(O29/H29,"-")</f>
        <v>1.0171829752428005</v>
      </c>
      <c r="Q29" s="442">
        <v>10.220000000000001</v>
      </c>
      <c r="R29" s="444">
        <f>IFERROR(Q29/H29,"-")</f>
        <v>2.1109509193583701E-3</v>
      </c>
      <c r="S29" s="452">
        <f>IFERROR(Q29*G29,"-")</f>
        <v>1506.7346000000005</v>
      </c>
      <c r="T29" s="445">
        <f>IFERROR(O29-H29,"-")</f>
        <v>83.1899999999996</v>
      </c>
      <c r="U29" s="444">
        <f>IFERROR(T29/H29,"-")</f>
        <v>1.7182975242800581E-2</v>
      </c>
      <c r="V29" s="145"/>
      <c r="W29" s="145"/>
      <c r="X29" s="145"/>
      <c r="Y29" s="366" t="s">
        <v>174</v>
      </c>
      <c r="Z29" s="366" t="s">
        <v>215</v>
      </c>
      <c r="AA29" s="367" t="s">
        <v>478</v>
      </c>
      <c r="AB29" s="367" t="s">
        <v>524</v>
      </c>
      <c r="AC29" s="367">
        <v>1</v>
      </c>
      <c r="AD29" s="446" t="s">
        <v>340</v>
      </c>
      <c r="AF29" s="930"/>
      <c r="AG29" s="931"/>
      <c r="AH29" s="931"/>
      <c r="AI29" s="931"/>
      <c r="AJ29" s="931"/>
      <c r="AK29" s="931"/>
      <c r="AL29" s="931"/>
      <c r="AM29" s="932"/>
    </row>
    <row r="30" spans="2:39" s="147" customFormat="1" ht="27" hidden="1" customHeight="1">
      <c r="B30" s="935"/>
      <c r="C30" s="936"/>
      <c r="D30" s="361">
        <v>2</v>
      </c>
      <c r="E30" s="440" t="s">
        <v>534</v>
      </c>
      <c r="F30" s="364">
        <f t="shared" ref="F30:F48" si="12">IFERROR(T30*G30,"-")</f>
        <v>9400.4235000000554</v>
      </c>
      <c r="G30" s="365">
        <v>39.389999999999993</v>
      </c>
      <c r="H30" s="442">
        <v>35576.85</v>
      </c>
      <c r="I30" s="442">
        <v>35576.85</v>
      </c>
      <c r="J30" s="444">
        <f t="shared" ref="J30:J48" si="13">IFERROR(I30/H30,"-")</f>
        <v>1</v>
      </c>
      <c r="K30" s="443">
        <v>35576.85</v>
      </c>
      <c r="L30" s="444">
        <f t="shared" ref="L30:L48" si="14">IFERROR(K30/H30,"-")</f>
        <v>1</v>
      </c>
      <c r="M30" s="443">
        <v>238.64999999999998</v>
      </c>
      <c r="N30" s="444">
        <f t="shared" ref="N30:N48" si="15">IFERROR(M30/H30,"-")</f>
        <v>6.7080137786228958E-3</v>
      </c>
      <c r="O30" s="445">
        <f t="shared" ref="O30:O48" si="16">IFERROR(K30+M30,"-")</f>
        <v>35815.5</v>
      </c>
      <c r="P30" s="444">
        <f t="shared" ref="P30:P48" si="17">IFERROR(O30/H30,"-")</f>
        <v>1.0067080137786228</v>
      </c>
      <c r="Q30" s="442">
        <v>37.22</v>
      </c>
      <c r="R30" s="444">
        <f t="shared" ref="R30:R48" si="18">IFERROR(Q30/H30,"-")</f>
        <v>1.0461859327062402E-3</v>
      </c>
      <c r="S30" s="452">
        <f t="shared" ref="S30:S48" si="19">IFERROR(Q30*G30,"-")</f>
        <v>1466.0957999999996</v>
      </c>
      <c r="T30" s="445">
        <f t="shared" ref="T30:T48" si="20">IFERROR(O30-H30,"-")</f>
        <v>238.65000000000146</v>
      </c>
      <c r="U30" s="444">
        <f t="shared" ref="U30:U48" si="21">IFERROR(T30/H30,"-")</f>
        <v>6.7080137786229375E-3</v>
      </c>
      <c r="V30" s="145"/>
      <c r="W30" s="145"/>
      <c r="X30" s="145"/>
      <c r="Y30" s="366" t="s">
        <v>174</v>
      </c>
      <c r="Z30" s="366" t="s">
        <v>216</v>
      </c>
      <c r="AA30" s="367" t="s">
        <v>592</v>
      </c>
      <c r="AB30" s="367" t="s">
        <v>573</v>
      </c>
      <c r="AC30" s="367">
        <v>1</v>
      </c>
      <c r="AD30" s="446" t="s">
        <v>340</v>
      </c>
      <c r="AF30" s="160" t="s">
        <v>244</v>
      </c>
      <c r="AG30" s="160" t="s">
        <v>445</v>
      </c>
      <c r="AH30" s="155" t="s">
        <v>562</v>
      </c>
      <c r="AI30" s="155" t="s">
        <v>337</v>
      </c>
      <c r="AJ30" s="155" t="s">
        <v>428</v>
      </c>
      <c r="AK30" s="155" t="s">
        <v>215</v>
      </c>
      <c r="AL30" s="155" t="s">
        <v>216</v>
      </c>
      <c r="AM30" s="155" t="s">
        <v>384</v>
      </c>
    </row>
    <row r="31" spans="2:39" s="147" customFormat="1" ht="27" hidden="1" customHeight="1">
      <c r="B31" s="935"/>
      <c r="C31" s="936"/>
      <c r="D31" s="361">
        <v>3</v>
      </c>
      <c r="E31" s="440" t="s">
        <v>631</v>
      </c>
      <c r="F31" s="364">
        <f t="shared" si="12"/>
        <v>7987.1021999999793</v>
      </c>
      <c r="G31" s="365">
        <v>43.889999999999993</v>
      </c>
      <c r="H31" s="442">
        <v>6266.0999999999985</v>
      </c>
      <c r="I31" s="442">
        <v>6266.0999999999985</v>
      </c>
      <c r="J31" s="444">
        <f t="shared" si="13"/>
        <v>1</v>
      </c>
      <c r="K31" s="443">
        <v>6266.0999999999985</v>
      </c>
      <c r="L31" s="444">
        <f t="shared" si="14"/>
        <v>1</v>
      </c>
      <c r="M31" s="443">
        <v>181.98</v>
      </c>
      <c r="N31" s="444">
        <f t="shared" si="15"/>
        <v>2.9041987839325902E-2</v>
      </c>
      <c r="O31" s="445">
        <f t="shared" si="16"/>
        <v>6448.0799999999981</v>
      </c>
      <c r="P31" s="444">
        <f t="shared" si="17"/>
        <v>1.0290419878393258</v>
      </c>
      <c r="Q31" s="442">
        <v>32.89</v>
      </c>
      <c r="R31" s="444">
        <f t="shared" si="18"/>
        <v>5.2488788879845533E-3</v>
      </c>
      <c r="S31" s="452">
        <f t="shared" si="19"/>
        <v>1443.5420999999999</v>
      </c>
      <c r="T31" s="445">
        <f t="shared" si="20"/>
        <v>181.97999999999956</v>
      </c>
      <c r="U31" s="444">
        <f t="shared" si="21"/>
        <v>2.9041987839325833E-2</v>
      </c>
      <c r="V31" s="145"/>
      <c r="W31" s="145"/>
      <c r="X31" s="145"/>
      <c r="Y31" s="366" t="s">
        <v>174</v>
      </c>
      <c r="Z31" s="366" t="s">
        <v>216</v>
      </c>
      <c r="AA31" s="367" t="s">
        <v>592</v>
      </c>
      <c r="AB31" s="367" t="s">
        <v>573</v>
      </c>
      <c r="AC31" s="367">
        <v>1</v>
      </c>
      <c r="AD31" s="446" t="s">
        <v>630</v>
      </c>
      <c r="AF31" s="374">
        <f>SUM(AC29:AC48)</f>
        <v>20</v>
      </c>
      <c r="AG31" s="369">
        <f>SUMIF($Z$29:$Z$48,TRIM(AG30),$AC$29:$AC$48)</f>
        <v>0</v>
      </c>
      <c r="AH31" s="369">
        <f t="shared" ref="AH31:AM31" si="22">SUMIF($Z$29:$Z$48,TRIM(AH30),$AC$29:$AC$48)</f>
        <v>0</v>
      </c>
      <c r="AI31" s="369">
        <f t="shared" si="22"/>
        <v>0</v>
      </c>
      <c r="AJ31" s="369">
        <f t="shared" si="22"/>
        <v>12</v>
      </c>
      <c r="AK31" s="369">
        <f t="shared" si="22"/>
        <v>1</v>
      </c>
      <c r="AL31" s="369">
        <f t="shared" si="22"/>
        <v>7</v>
      </c>
      <c r="AM31" s="369">
        <f t="shared" si="22"/>
        <v>0</v>
      </c>
    </row>
    <row r="32" spans="2:39" s="147" customFormat="1" ht="27" hidden="1" customHeight="1">
      <c r="B32" s="935"/>
      <c r="C32" s="936"/>
      <c r="D32" s="361">
        <v>4</v>
      </c>
      <c r="E32" s="440" t="s">
        <v>461</v>
      </c>
      <c r="F32" s="364">
        <f t="shared" si="12"/>
        <v>7885.691600000061</v>
      </c>
      <c r="G32" s="365">
        <v>407.74000000000007</v>
      </c>
      <c r="H32" s="442">
        <v>1125.69</v>
      </c>
      <c r="I32" s="442">
        <v>1125.69</v>
      </c>
      <c r="J32" s="444">
        <f t="shared" si="13"/>
        <v>1</v>
      </c>
      <c r="K32" s="443">
        <v>1126.3900000000001</v>
      </c>
      <c r="L32" s="444">
        <f t="shared" si="14"/>
        <v>1.0006218408265153</v>
      </c>
      <c r="M32" s="443">
        <v>18.64</v>
      </c>
      <c r="N32" s="444">
        <f t="shared" si="15"/>
        <v>1.6558732866064369E-2</v>
      </c>
      <c r="O32" s="445">
        <f t="shared" si="16"/>
        <v>1145.0300000000002</v>
      </c>
      <c r="P32" s="444">
        <f t="shared" si="17"/>
        <v>1.0171805736925799</v>
      </c>
      <c r="Q32" s="442">
        <v>2.31</v>
      </c>
      <c r="R32" s="444">
        <f t="shared" si="18"/>
        <v>2.0520747275004662E-3</v>
      </c>
      <c r="S32" s="452">
        <f t="shared" si="19"/>
        <v>941.87940000000015</v>
      </c>
      <c r="T32" s="445">
        <f t="shared" si="20"/>
        <v>19.340000000000146</v>
      </c>
      <c r="U32" s="444">
        <f t="shared" si="21"/>
        <v>1.718057369257979E-2</v>
      </c>
      <c r="V32" s="145"/>
      <c r="W32" s="145"/>
      <c r="X32" s="145"/>
      <c r="Y32" s="366" t="s">
        <v>174</v>
      </c>
      <c r="Z32" s="366" t="s">
        <v>216</v>
      </c>
      <c r="AA32" s="367" t="s">
        <v>480</v>
      </c>
      <c r="AB32" s="367" t="s">
        <v>481</v>
      </c>
      <c r="AC32" s="367">
        <v>1</v>
      </c>
      <c r="AD32" s="446" t="s">
        <v>463</v>
      </c>
      <c r="AF32" s="375"/>
      <c r="AG32" s="372">
        <f t="shared" ref="AG32:AM32" si="23">SUMIF($Z$29:$Z$48,TRIM(AG30),$F$29:$F$48)</f>
        <v>0</v>
      </c>
      <c r="AH32" s="372">
        <f t="shared" si="23"/>
        <v>0</v>
      </c>
      <c r="AI32" s="372">
        <f t="shared" si="23"/>
        <v>0</v>
      </c>
      <c r="AJ32" s="372">
        <f t="shared" si="23"/>
        <v>63700.014900000075</v>
      </c>
      <c r="AK32" s="372">
        <f t="shared" si="23"/>
        <v>12264.701699999943</v>
      </c>
      <c r="AL32" s="372">
        <f t="shared" si="23"/>
        <v>44969.139500000027</v>
      </c>
      <c r="AM32" s="372">
        <f t="shared" si="23"/>
        <v>0</v>
      </c>
    </row>
    <row r="33" spans="2:39" s="147" customFormat="1" ht="27" hidden="1" customHeight="1">
      <c r="B33" s="935"/>
      <c r="C33" s="936"/>
      <c r="D33" s="361">
        <v>5</v>
      </c>
      <c r="E33" s="440" t="s">
        <v>632</v>
      </c>
      <c r="F33" s="364">
        <f t="shared" si="12"/>
        <v>6758.8521000000665</v>
      </c>
      <c r="G33" s="365">
        <v>193.82999999999998</v>
      </c>
      <c r="H33" s="442">
        <v>2481.16</v>
      </c>
      <c r="I33" s="442">
        <v>2481.16</v>
      </c>
      <c r="J33" s="444">
        <f t="shared" si="13"/>
        <v>1</v>
      </c>
      <c r="K33" s="443">
        <v>2487.63</v>
      </c>
      <c r="L33" s="444">
        <f t="shared" si="14"/>
        <v>1.0026076512598947</v>
      </c>
      <c r="M33" s="443">
        <v>28.400000000000002</v>
      </c>
      <c r="N33" s="444">
        <f t="shared" si="15"/>
        <v>1.1446259007883411E-2</v>
      </c>
      <c r="O33" s="445">
        <f t="shared" si="16"/>
        <v>2516.0300000000002</v>
      </c>
      <c r="P33" s="444">
        <f t="shared" si="17"/>
        <v>1.0140539102677781</v>
      </c>
      <c r="Q33" s="442">
        <v>2.37</v>
      </c>
      <c r="R33" s="444">
        <f t="shared" si="18"/>
        <v>9.5519837495365079E-4</v>
      </c>
      <c r="S33" s="452">
        <f t="shared" si="19"/>
        <v>459.37709999999998</v>
      </c>
      <c r="T33" s="445">
        <f t="shared" si="20"/>
        <v>34.870000000000346</v>
      </c>
      <c r="U33" s="444">
        <f t="shared" si="21"/>
        <v>1.4053910267778115E-2</v>
      </c>
      <c r="V33" s="145"/>
      <c r="W33" s="145"/>
      <c r="X33" s="145"/>
      <c r="Y33" s="366" t="s">
        <v>174</v>
      </c>
      <c r="Z33" s="366" t="s">
        <v>428</v>
      </c>
      <c r="AA33" s="367" t="s">
        <v>592</v>
      </c>
      <c r="AB33" s="367" t="s">
        <v>573</v>
      </c>
      <c r="AC33" s="367">
        <v>1</v>
      </c>
      <c r="AD33" s="446" t="s">
        <v>636</v>
      </c>
      <c r="AF33" s="361"/>
      <c r="AG33" s="373">
        <f t="shared" ref="AG33:AM33" si="24">AG31/$AF31</f>
        <v>0</v>
      </c>
      <c r="AH33" s="373">
        <f t="shared" si="24"/>
        <v>0</v>
      </c>
      <c r="AI33" s="373">
        <f t="shared" si="24"/>
        <v>0</v>
      </c>
      <c r="AJ33" s="373">
        <f t="shared" si="24"/>
        <v>0.6</v>
      </c>
      <c r="AK33" s="373">
        <f t="shared" si="24"/>
        <v>0.05</v>
      </c>
      <c r="AL33" s="373">
        <f t="shared" si="24"/>
        <v>0.35</v>
      </c>
      <c r="AM33" s="373">
        <f t="shared" si="24"/>
        <v>0</v>
      </c>
    </row>
    <row r="34" spans="2:39" s="147" customFormat="1" ht="27" hidden="1" customHeight="1">
      <c r="B34" s="935"/>
      <c r="C34" s="936"/>
      <c r="D34" s="361">
        <v>6</v>
      </c>
      <c r="E34" s="440" t="s">
        <v>600</v>
      </c>
      <c r="F34" s="364">
        <f t="shared" si="12"/>
        <v>6118.1809999999878</v>
      </c>
      <c r="G34" s="365">
        <v>413.94999999999993</v>
      </c>
      <c r="H34" s="442">
        <v>827.88999999999987</v>
      </c>
      <c r="I34" s="442">
        <v>827.88999999999987</v>
      </c>
      <c r="J34" s="444">
        <f t="shared" si="13"/>
        <v>1</v>
      </c>
      <c r="K34" s="443">
        <v>827.88999999999987</v>
      </c>
      <c r="L34" s="444">
        <f t="shared" si="14"/>
        <v>1</v>
      </c>
      <c r="M34" s="443">
        <v>14.780000000000001</v>
      </c>
      <c r="N34" s="444">
        <f t="shared" si="15"/>
        <v>1.7852613269878852E-2</v>
      </c>
      <c r="O34" s="445">
        <f t="shared" si="16"/>
        <v>842.66999999999985</v>
      </c>
      <c r="P34" s="444">
        <f t="shared" si="17"/>
        <v>1.0178526132698789</v>
      </c>
      <c r="Q34" s="442">
        <v>3.6700000000000004</v>
      </c>
      <c r="R34" s="444">
        <f t="shared" si="18"/>
        <v>4.4329560690429901E-3</v>
      </c>
      <c r="S34" s="452">
        <f t="shared" si="19"/>
        <v>1519.1965</v>
      </c>
      <c r="T34" s="445">
        <f t="shared" si="20"/>
        <v>14.779999999999973</v>
      </c>
      <c r="U34" s="444">
        <f t="shared" si="21"/>
        <v>1.7852613269878817E-2</v>
      </c>
      <c r="V34" s="145"/>
      <c r="W34" s="145"/>
      <c r="X34" s="145"/>
      <c r="Y34" s="366" t="s">
        <v>174</v>
      </c>
      <c r="Z34" s="366" t="s">
        <v>428</v>
      </c>
      <c r="AA34" s="367" t="s">
        <v>592</v>
      </c>
      <c r="AB34" s="367" t="s">
        <v>573</v>
      </c>
      <c r="AC34" s="367">
        <v>1</v>
      </c>
      <c r="AD34" s="446" t="s">
        <v>340</v>
      </c>
    </row>
    <row r="35" spans="2:39" s="147" customFormat="1" ht="27" hidden="1" customHeight="1">
      <c r="B35" s="935"/>
      <c r="C35" s="936"/>
      <c r="D35" s="361">
        <v>7</v>
      </c>
      <c r="E35" s="440" t="s">
        <v>633</v>
      </c>
      <c r="F35" s="364">
        <f t="shared" si="12"/>
        <v>5900.5999999999995</v>
      </c>
      <c r="G35" s="365">
        <v>144.79999999999998</v>
      </c>
      <c r="H35" s="442">
        <v>2957.66</v>
      </c>
      <c r="I35" s="442">
        <v>2957.66</v>
      </c>
      <c r="J35" s="444">
        <f t="shared" si="13"/>
        <v>1</v>
      </c>
      <c r="K35" s="443">
        <v>2957.66</v>
      </c>
      <c r="L35" s="444">
        <f t="shared" si="14"/>
        <v>1</v>
      </c>
      <c r="M35" s="443">
        <v>40.75</v>
      </c>
      <c r="N35" s="444">
        <f t="shared" si="15"/>
        <v>1.3777783788535532E-2</v>
      </c>
      <c r="O35" s="445">
        <f t="shared" si="16"/>
        <v>2998.41</v>
      </c>
      <c r="P35" s="444">
        <f t="shared" si="17"/>
        <v>1.0137777837885356</v>
      </c>
      <c r="Q35" s="442">
        <v>7.4899999999999993</v>
      </c>
      <c r="R35" s="444">
        <f t="shared" si="18"/>
        <v>2.5324073761013774E-3</v>
      </c>
      <c r="S35" s="452">
        <f t="shared" si="19"/>
        <v>1084.5519999999997</v>
      </c>
      <c r="T35" s="445">
        <f t="shared" si="20"/>
        <v>40.75</v>
      </c>
      <c r="U35" s="444">
        <f t="shared" si="21"/>
        <v>1.3777783788535532E-2</v>
      </c>
      <c r="V35" s="145"/>
      <c r="W35" s="145"/>
      <c r="X35" s="145"/>
      <c r="Y35" s="366" t="s">
        <v>174</v>
      </c>
      <c r="Z35" s="366" t="s">
        <v>428</v>
      </c>
      <c r="AA35" s="367" t="s">
        <v>607</v>
      </c>
      <c r="AB35" s="367" t="s">
        <v>525</v>
      </c>
      <c r="AC35" s="367">
        <v>1</v>
      </c>
      <c r="AD35" s="446" t="s">
        <v>340</v>
      </c>
    </row>
    <row r="36" spans="2:39" s="147" customFormat="1" ht="27" hidden="1" customHeight="1">
      <c r="B36" s="935"/>
      <c r="C36" s="936"/>
      <c r="D36" s="361">
        <v>8</v>
      </c>
      <c r="E36" s="440" t="s">
        <v>583</v>
      </c>
      <c r="F36" s="364">
        <f t="shared" si="12"/>
        <v>5677.1792000000078</v>
      </c>
      <c r="G36" s="365">
        <v>113.68000000000004</v>
      </c>
      <c r="H36" s="442">
        <v>1662.5</v>
      </c>
      <c r="I36" s="442">
        <v>1662.5</v>
      </c>
      <c r="J36" s="444">
        <f t="shared" si="13"/>
        <v>1</v>
      </c>
      <c r="K36" s="443">
        <v>1662.5</v>
      </c>
      <c r="L36" s="444">
        <f t="shared" si="14"/>
        <v>1</v>
      </c>
      <c r="M36" s="443">
        <v>49.94</v>
      </c>
      <c r="N36" s="444">
        <f t="shared" si="15"/>
        <v>3.00390977443609E-2</v>
      </c>
      <c r="O36" s="445">
        <f t="shared" si="16"/>
        <v>1712.44</v>
      </c>
      <c r="P36" s="444">
        <f t="shared" si="17"/>
        <v>1.030039097744361</v>
      </c>
      <c r="Q36" s="442">
        <v>10.01</v>
      </c>
      <c r="R36" s="444">
        <f t="shared" si="18"/>
        <v>6.021052631578947E-3</v>
      </c>
      <c r="S36" s="452">
        <f t="shared" si="19"/>
        <v>1137.9368000000004</v>
      </c>
      <c r="T36" s="445">
        <f t="shared" si="20"/>
        <v>49.940000000000055</v>
      </c>
      <c r="U36" s="444">
        <f t="shared" si="21"/>
        <v>3.0039097744360935E-2</v>
      </c>
      <c r="V36" s="145"/>
      <c r="W36" s="145"/>
      <c r="X36" s="145"/>
      <c r="Y36" s="366" t="s">
        <v>174</v>
      </c>
      <c r="Z36" s="366" t="s">
        <v>428</v>
      </c>
      <c r="AA36" s="367" t="s">
        <v>479</v>
      </c>
      <c r="AB36" s="367" t="s">
        <v>477</v>
      </c>
      <c r="AC36" s="367">
        <v>1</v>
      </c>
      <c r="AD36" s="446" t="s">
        <v>566</v>
      </c>
    </row>
    <row r="37" spans="2:39" s="147" customFormat="1" ht="27" hidden="1" customHeight="1">
      <c r="B37" s="935"/>
      <c r="C37" s="936"/>
      <c r="D37" s="361">
        <v>9</v>
      </c>
      <c r="E37" s="440" t="s">
        <v>634</v>
      </c>
      <c r="F37" s="364">
        <f t="shared" si="12"/>
        <v>5449.2958000000026</v>
      </c>
      <c r="G37" s="365">
        <v>212.78</v>
      </c>
      <c r="H37" s="442">
        <v>908.13</v>
      </c>
      <c r="I37" s="442">
        <v>908.13</v>
      </c>
      <c r="J37" s="444">
        <f t="shared" si="13"/>
        <v>1</v>
      </c>
      <c r="K37" s="443">
        <v>908.13</v>
      </c>
      <c r="L37" s="444">
        <f t="shared" si="14"/>
        <v>1</v>
      </c>
      <c r="M37" s="443">
        <v>25.61</v>
      </c>
      <c r="N37" s="444">
        <f t="shared" si="15"/>
        <v>2.8200808254324822E-2</v>
      </c>
      <c r="O37" s="445">
        <f t="shared" si="16"/>
        <v>933.74</v>
      </c>
      <c r="P37" s="444">
        <f t="shared" si="17"/>
        <v>1.0282008082543248</v>
      </c>
      <c r="Q37" s="442">
        <v>7.45</v>
      </c>
      <c r="R37" s="444">
        <f t="shared" si="18"/>
        <v>8.2036712805435355E-3</v>
      </c>
      <c r="S37" s="452">
        <f t="shared" si="19"/>
        <v>1585.211</v>
      </c>
      <c r="T37" s="445">
        <f t="shared" si="20"/>
        <v>25.610000000000014</v>
      </c>
      <c r="U37" s="444">
        <f t="shared" si="21"/>
        <v>2.8200808254324836E-2</v>
      </c>
      <c r="V37" s="145"/>
      <c r="W37" s="145"/>
      <c r="X37" s="145"/>
      <c r="Y37" s="366" t="s">
        <v>174</v>
      </c>
      <c r="Z37" s="366" t="s">
        <v>428</v>
      </c>
      <c r="AA37" s="367" t="s">
        <v>541</v>
      </c>
      <c r="AB37" s="367" t="s">
        <v>542</v>
      </c>
      <c r="AC37" s="367">
        <v>1</v>
      </c>
      <c r="AD37" s="446" t="s">
        <v>630</v>
      </c>
    </row>
    <row r="38" spans="2:39" s="147" customFormat="1" ht="27" hidden="1" customHeight="1">
      <c r="B38" s="935"/>
      <c r="C38" s="936"/>
      <c r="D38" s="361">
        <v>10</v>
      </c>
      <c r="E38" s="440" t="s">
        <v>635</v>
      </c>
      <c r="F38" s="364">
        <f t="shared" si="12"/>
        <v>5348.1769999999951</v>
      </c>
      <c r="G38" s="365">
        <v>49.82</v>
      </c>
      <c r="H38" s="442">
        <v>3275.25</v>
      </c>
      <c r="I38" s="442">
        <v>3275.25</v>
      </c>
      <c r="J38" s="444">
        <f t="shared" si="13"/>
        <v>1</v>
      </c>
      <c r="K38" s="443">
        <v>3275.25</v>
      </c>
      <c r="L38" s="444">
        <f t="shared" si="14"/>
        <v>1</v>
      </c>
      <c r="M38" s="443">
        <v>107.35</v>
      </c>
      <c r="N38" s="444">
        <f t="shared" si="15"/>
        <v>3.2776123960003054E-2</v>
      </c>
      <c r="O38" s="445">
        <f t="shared" si="16"/>
        <v>3382.6</v>
      </c>
      <c r="P38" s="444">
        <f t="shared" si="17"/>
        <v>1.0327761239600031</v>
      </c>
      <c r="Q38" s="442">
        <v>21.630000000000003</v>
      </c>
      <c r="R38" s="444">
        <f t="shared" si="18"/>
        <v>6.6040760247309373E-3</v>
      </c>
      <c r="S38" s="452">
        <f t="shared" si="19"/>
        <v>1077.6066000000001</v>
      </c>
      <c r="T38" s="445">
        <f t="shared" si="20"/>
        <v>107.34999999999991</v>
      </c>
      <c r="U38" s="444">
        <f t="shared" si="21"/>
        <v>3.2776123960003026E-2</v>
      </c>
      <c r="V38" s="145"/>
      <c r="W38" s="145"/>
      <c r="X38" s="145"/>
      <c r="Y38" s="366" t="s">
        <v>174</v>
      </c>
      <c r="Z38" s="366" t="s">
        <v>428</v>
      </c>
      <c r="AA38" s="367" t="s">
        <v>541</v>
      </c>
      <c r="AB38" s="367" t="s">
        <v>542</v>
      </c>
      <c r="AC38" s="367">
        <v>1</v>
      </c>
      <c r="AD38" s="446" t="s">
        <v>616</v>
      </c>
    </row>
    <row r="39" spans="2:39" s="147" customFormat="1" ht="27" hidden="1" customHeight="1">
      <c r="B39" s="935"/>
      <c r="C39" s="936"/>
      <c r="D39" s="361">
        <v>11</v>
      </c>
      <c r="E39" s="440" t="s">
        <v>619</v>
      </c>
      <c r="F39" s="364">
        <f t="shared" si="12"/>
        <v>5212.478699999996</v>
      </c>
      <c r="G39" s="365">
        <v>39.389999999999993</v>
      </c>
      <c r="H39" s="442">
        <v>5051.83</v>
      </c>
      <c r="I39" s="442">
        <v>5051.83</v>
      </c>
      <c r="J39" s="444">
        <f t="shared" si="13"/>
        <v>1</v>
      </c>
      <c r="K39" s="443">
        <v>5051.83</v>
      </c>
      <c r="L39" s="444">
        <f t="shared" si="14"/>
        <v>1</v>
      </c>
      <c r="M39" s="443">
        <v>132.33000000000001</v>
      </c>
      <c r="N39" s="444">
        <f t="shared" si="15"/>
        <v>2.6194468143227307E-2</v>
      </c>
      <c r="O39" s="445">
        <f t="shared" si="16"/>
        <v>5184.16</v>
      </c>
      <c r="P39" s="444">
        <f t="shared" si="17"/>
        <v>1.0261944681432273</v>
      </c>
      <c r="Q39" s="442">
        <v>29.68</v>
      </c>
      <c r="R39" s="444">
        <f t="shared" si="18"/>
        <v>5.8750987266000636E-3</v>
      </c>
      <c r="S39" s="452">
        <f t="shared" si="19"/>
        <v>1169.0951999999997</v>
      </c>
      <c r="T39" s="445">
        <f t="shared" si="20"/>
        <v>132.32999999999993</v>
      </c>
      <c r="U39" s="444">
        <f t="shared" si="21"/>
        <v>2.6194468143227293E-2</v>
      </c>
      <c r="V39" s="145"/>
      <c r="W39" s="145"/>
      <c r="X39" s="145"/>
      <c r="Y39" s="366" t="s">
        <v>174</v>
      </c>
      <c r="Z39" s="366" t="s">
        <v>216</v>
      </c>
      <c r="AA39" s="367" t="s">
        <v>592</v>
      </c>
      <c r="AB39" s="367" t="s">
        <v>573</v>
      </c>
      <c r="AC39" s="367">
        <v>1</v>
      </c>
      <c r="AD39" s="446" t="s">
        <v>614</v>
      </c>
      <c r="AH39" s="370"/>
    </row>
    <row r="40" spans="2:39" s="147" customFormat="1" ht="27" hidden="1" customHeight="1">
      <c r="B40" s="935"/>
      <c r="C40" s="936"/>
      <c r="D40" s="361">
        <v>12</v>
      </c>
      <c r="E40" s="440" t="s">
        <v>386</v>
      </c>
      <c r="F40" s="364">
        <f t="shared" si="12"/>
        <v>5062.4640000000472</v>
      </c>
      <c r="G40" s="365">
        <v>127.84000000000002</v>
      </c>
      <c r="H40" s="442">
        <v>4280.3500000000004</v>
      </c>
      <c r="I40" s="442">
        <v>4280.3500000000004</v>
      </c>
      <c r="J40" s="444">
        <f t="shared" si="13"/>
        <v>1</v>
      </c>
      <c r="K40" s="443">
        <v>4280.3500000000004</v>
      </c>
      <c r="L40" s="444">
        <f t="shared" si="14"/>
        <v>1</v>
      </c>
      <c r="M40" s="443">
        <v>39.599999999999994</v>
      </c>
      <c r="N40" s="444">
        <f t="shared" si="15"/>
        <v>9.251579894167531E-3</v>
      </c>
      <c r="O40" s="445">
        <f t="shared" si="16"/>
        <v>4319.9500000000007</v>
      </c>
      <c r="P40" s="444">
        <f t="shared" si="17"/>
        <v>1.0092515798941677</v>
      </c>
      <c r="Q40" s="442">
        <v>13.71</v>
      </c>
      <c r="R40" s="444">
        <f t="shared" si="18"/>
        <v>3.2030090997231535E-3</v>
      </c>
      <c r="S40" s="452">
        <f t="shared" si="19"/>
        <v>1752.6864000000003</v>
      </c>
      <c r="T40" s="445">
        <f t="shared" si="20"/>
        <v>39.600000000000364</v>
      </c>
      <c r="U40" s="444">
        <f t="shared" si="21"/>
        <v>9.2515798941676178E-3</v>
      </c>
      <c r="V40" s="145"/>
      <c r="W40" s="145"/>
      <c r="X40" s="145"/>
      <c r="Y40" s="366" t="s">
        <v>174</v>
      </c>
      <c r="Z40" s="366" t="s">
        <v>428</v>
      </c>
      <c r="AA40" s="367" t="s">
        <v>607</v>
      </c>
      <c r="AB40" s="367" t="s">
        <v>525</v>
      </c>
      <c r="AC40" s="367">
        <v>1</v>
      </c>
      <c r="AD40" s="446" t="s">
        <v>340</v>
      </c>
    </row>
    <row r="41" spans="2:39" s="147" customFormat="1" ht="27" hidden="1" customHeight="1">
      <c r="B41" s="935"/>
      <c r="C41" s="936"/>
      <c r="D41" s="361">
        <v>13</v>
      </c>
      <c r="E41" s="440" t="s">
        <v>470</v>
      </c>
      <c r="F41" s="364">
        <f t="shared" si="12"/>
        <v>5016.7151999999778</v>
      </c>
      <c r="G41" s="365">
        <v>266.27999999999997</v>
      </c>
      <c r="H41" s="442">
        <v>1314.67</v>
      </c>
      <c r="I41" s="442">
        <v>1314.67</v>
      </c>
      <c r="J41" s="444">
        <f t="shared" si="13"/>
        <v>1</v>
      </c>
      <c r="K41" s="443">
        <v>1319.17</v>
      </c>
      <c r="L41" s="444">
        <f t="shared" si="14"/>
        <v>1.0034229122137115</v>
      </c>
      <c r="M41" s="443">
        <v>14.34</v>
      </c>
      <c r="N41" s="444">
        <f t="shared" si="15"/>
        <v>1.0907680254360409E-2</v>
      </c>
      <c r="O41" s="445">
        <f t="shared" si="16"/>
        <v>1333.51</v>
      </c>
      <c r="P41" s="444">
        <f t="shared" si="17"/>
        <v>1.0143305924680717</v>
      </c>
      <c r="Q41" s="442">
        <v>1.19</v>
      </c>
      <c r="R41" s="444">
        <f t="shared" si="18"/>
        <v>9.0517011873702136E-4</v>
      </c>
      <c r="S41" s="452">
        <f t="shared" si="19"/>
        <v>316.87319999999994</v>
      </c>
      <c r="T41" s="445">
        <f t="shared" si="20"/>
        <v>18.839999999999918</v>
      </c>
      <c r="U41" s="444">
        <f t="shared" si="21"/>
        <v>1.4330592468071772E-2</v>
      </c>
      <c r="V41" s="145"/>
      <c r="W41" s="145"/>
      <c r="X41" s="145"/>
      <c r="Y41" s="366" t="s">
        <v>174</v>
      </c>
      <c r="Z41" s="366" t="s">
        <v>428</v>
      </c>
      <c r="AA41" s="367" t="s">
        <v>607</v>
      </c>
      <c r="AB41" s="367" t="s">
        <v>525</v>
      </c>
      <c r="AC41" s="367">
        <v>1</v>
      </c>
      <c r="AD41" s="446" t="s">
        <v>471</v>
      </c>
    </row>
    <row r="42" spans="2:39" s="147" customFormat="1" ht="27" hidden="1" customHeight="1">
      <c r="B42" s="935"/>
      <c r="C42" s="936"/>
      <c r="D42" s="361">
        <v>14</v>
      </c>
      <c r="E42" s="440" t="s">
        <v>568</v>
      </c>
      <c r="F42" s="364">
        <f t="shared" si="12"/>
        <v>5011.006000000004</v>
      </c>
      <c r="G42" s="365">
        <v>40.04</v>
      </c>
      <c r="H42" s="442">
        <v>3778.71</v>
      </c>
      <c r="I42" s="442">
        <v>3778.71</v>
      </c>
      <c r="J42" s="444">
        <f t="shared" si="13"/>
        <v>1</v>
      </c>
      <c r="K42" s="443">
        <v>3778.71</v>
      </c>
      <c r="L42" s="444">
        <f t="shared" si="14"/>
        <v>1</v>
      </c>
      <c r="M42" s="443">
        <v>125.15</v>
      </c>
      <c r="N42" s="444">
        <f t="shared" si="15"/>
        <v>3.3119768386565787E-2</v>
      </c>
      <c r="O42" s="445">
        <f t="shared" si="16"/>
        <v>3903.86</v>
      </c>
      <c r="P42" s="444">
        <f t="shared" si="17"/>
        <v>1.0331197683865658</v>
      </c>
      <c r="Q42" s="442">
        <v>21.74</v>
      </c>
      <c r="R42" s="444">
        <f t="shared" si="18"/>
        <v>5.7532861743822619E-3</v>
      </c>
      <c r="S42" s="452">
        <f t="shared" si="19"/>
        <v>870.4695999999999</v>
      </c>
      <c r="T42" s="445">
        <f t="shared" si="20"/>
        <v>125.15000000000009</v>
      </c>
      <c r="U42" s="444">
        <f t="shared" si="21"/>
        <v>3.3119768386565808E-2</v>
      </c>
      <c r="V42" s="145"/>
      <c r="W42" s="145"/>
      <c r="X42" s="145"/>
      <c r="Y42" s="366" t="s">
        <v>174</v>
      </c>
      <c r="Z42" s="366" t="s">
        <v>216</v>
      </c>
      <c r="AA42" s="367" t="s">
        <v>607</v>
      </c>
      <c r="AB42" s="367" t="s">
        <v>642</v>
      </c>
      <c r="AC42" s="367">
        <v>1</v>
      </c>
      <c r="AD42" s="446" t="s">
        <v>533</v>
      </c>
    </row>
    <row r="43" spans="2:39" s="147" customFormat="1" ht="27" hidden="1" customHeight="1">
      <c r="B43" s="935"/>
      <c r="C43" s="936"/>
      <c r="D43" s="361">
        <v>15</v>
      </c>
      <c r="E43" s="440" t="s">
        <v>599</v>
      </c>
      <c r="F43" s="364">
        <f t="shared" si="12"/>
        <v>5006.747200000018</v>
      </c>
      <c r="G43" s="365">
        <v>153.44000000000003</v>
      </c>
      <c r="H43" s="442">
        <v>2031.73</v>
      </c>
      <c r="I43" s="442">
        <v>2031.73</v>
      </c>
      <c r="J43" s="444">
        <f t="shared" si="13"/>
        <v>1</v>
      </c>
      <c r="K43" s="443">
        <v>2031.73</v>
      </c>
      <c r="L43" s="444">
        <f t="shared" si="14"/>
        <v>1</v>
      </c>
      <c r="M43" s="443">
        <v>32.630000000000003</v>
      </c>
      <c r="N43" s="444">
        <f t="shared" si="15"/>
        <v>1.6060204850053897E-2</v>
      </c>
      <c r="O43" s="445">
        <f t="shared" si="16"/>
        <v>2064.36</v>
      </c>
      <c r="P43" s="444">
        <f t="shared" si="17"/>
        <v>1.016060204850054</v>
      </c>
      <c r="Q43" s="442">
        <v>6.98</v>
      </c>
      <c r="R43" s="444">
        <f t="shared" si="18"/>
        <v>3.4354958582095063E-3</v>
      </c>
      <c r="S43" s="452">
        <f t="shared" si="19"/>
        <v>1071.0112000000001</v>
      </c>
      <c r="T43" s="445">
        <f t="shared" si="20"/>
        <v>32.630000000000109</v>
      </c>
      <c r="U43" s="444">
        <f t="shared" si="21"/>
        <v>1.6060204850053949E-2</v>
      </c>
      <c r="V43" s="145"/>
      <c r="W43" s="145"/>
      <c r="X43" s="145"/>
      <c r="Y43" s="366" t="s">
        <v>174</v>
      </c>
      <c r="Z43" s="366" t="s">
        <v>428</v>
      </c>
      <c r="AA43" s="367" t="s">
        <v>607</v>
      </c>
      <c r="AB43" s="367" t="s">
        <v>642</v>
      </c>
      <c r="AC43" s="367">
        <v>1</v>
      </c>
      <c r="AD43" s="446" t="s">
        <v>465</v>
      </c>
    </row>
    <row r="44" spans="2:39" s="147" customFormat="1" ht="27" hidden="1" customHeight="1">
      <c r="B44" s="935"/>
      <c r="C44" s="936"/>
      <c r="D44" s="361">
        <v>16</v>
      </c>
      <c r="E44" s="440" t="s">
        <v>459</v>
      </c>
      <c r="F44" s="364">
        <f t="shared" si="12"/>
        <v>4906.8179999999438</v>
      </c>
      <c r="G44" s="365">
        <v>605.77999999999986</v>
      </c>
      <c r="H44" s="442">
        <v>1043.78</v>
      </c>
      <c r="I44" s="442">
        <v>1043.78</v>
      </c>
      <c r="J44" s="444">
        <f t="shared" si="13"/>
        <v>1</v>
      </c>
      <c r="K44" s="443">
        <v>1044.8799999999999</v>
      </c>
      <c r="L44" s="444">
        <f t="shared" si="14"/>
        <v>1.0010538619249265</v>
      </c>
      <c r="M44" s="443">
        <v>7.0000000000000009</v>
      </c>
      <c r="N44" s="444">
        <f t="shared" si="15"/>
        <v>6.7063940677154201E-3</v>
      </c>
      <c r="O44" s="445">
        <f t="shared" si="16"/>
        <v>1051.8799999999999</v>
      </c>
      <c r="P44" s="444">
        <f t="shared" si="17"/>
        <v>1.007760255992642</v>
      </c>
      <c r="Q44" s="442">
        <v>2.7199999999999998</v>
      </c>
      <c r="R44" s="444">
        <f t="shared" si="18"/>
        <v>2.6059131234551342E-3</v>
      </c>
      <c r="S44" s="452">
        <f t="shared" si="19"/>
        <v>1647.7215999999994</v>
      </c>
      <c r="T44" s="445">
        <f t="shared" si="20"/>
        <v>8.0999999999999091</v>
      </c>
      <c r="U44" s="444">
        <f t="shared" si="21"/>
        <v>7.7602559926420404E-3</v>
      </c>
      <c r="V44" s="145"/>
      <c r="W44" s="145"/>
      <c r="X44" s="145"/>
      <c r="Y44" s="366" t="s">
        <v>174</v>
      </c>
      <c r="Z44" s="367" t="s">
        <v>216</v>
      </c>
      <c r="AA44" s="367" t="s">
        <v>482</v>
      </c>
      <c r="AB44" s="367" t="s">
        <v>547</v>
      </c>
      <c r="AC44" s="367">
        <v>1</v>
      </c>
      <c r="AD44" s="446" t="s">
        <v>342</v>
      </c>
    </row>
    <row r="45" spans="2:39" s="147" customFormat="1" ht="27" hidden="1" customHeight="1">
      <c r="B45" s="935"/>
      <c r="C45" s="936"/>
      <c r="D45" s="361">
        <v>17</v>
      </c>
      <c r="E45" s="440" t="s">
        <v>601</v>
      </c>
      <c r="F45" s="364">
        <f t="shared" si="12"/>
        <v>4565.6194999999916</v>
      </c>
      <c r="G45" s="365">
        <v>46.149999999999991</v>
      </c>
      <c r="H45" s="442">
        <v>3553.92</v>
      </c>
      <c r="I45" s="442">
        <v>3553.92</v>
      </c>
      <c r="J45" s="444">
        <f t="shared" si="13"/>
        <v>1</v>
      </c>
      <c r="K45" s="443">
        <v>3553.92</v>
      </c>
      <c r="L45" s="444">
        <f t="shared" si="14"/>
        <v>1</v>
      </c>
      <c r="M45" s="443">
        <v>98.929999999999993</v>
      </c>
      <c r="N45" s="444">
        <f t="shared" si="15"/>
        <v>2.7836867459031151E-2</v>
      </c>
      <c r="O45" s="445">
        <f t="shared" si="16"/>
        <v>3652.85</v>
      </c>
      <c r="P45" s="444">
        <f t="shared" si="17"/>
        <v>1.027836867459031</v>
      </c>
      <c r="Q45" s="442">
        <v>23.389999999999997</v>
      </c>
      <c r="R45" s="444">
        <f t="shared" si="18"/>
        <v>6.5814649738879872E-3</v>
      </c>
      <c r="S45" s="452">
        <f t="shared" si="19"/>
        <v>1079.4484999999997</v>
      </c>
      <c r="T45" s="445">
        <f t="shared" si="20"/>
        <v>98.929999999999836</v>
      </c>
      <c r="U45" s="444">
        <f t="shared" si="21"/>
        <v>2.7836867459031106E-2</v>
      </c>
      <c r="V45" s="145"/>
      <c r="W45" s="145"/>
      <c r="X45" s="145"/>
      <c r="Y45" s="366" t="s">
        <v>174</v>
      </c>
      <c r="Z45" s="367" t="s">
        <v>216</v>
      </c>
      <c r="AA45" s="367" t="s">
        <v>592</v>
      </c>
      <c r="AB45" s="367" t="s">
        <v>573</v>
      </c>
      <c r="AC45" s="367">
        <v>1</v>
      </c>
      <c r="AD45" s="446" t="s">
        <v>597</v>
      </c>
    </row>
    <row r="46" spans="2:39" s="147" customFormat="1" ht="27" hidden="1" customHeight="1">
      <c r="B46" s="935"/>
      <c r="C46" s="936"/>
      <c r="D46" s="361">
        <v>18</v>
      </c>
      <c r="E46" s="440" t="s">
        <v>545</v>
      </c>
      <c r="F46" s="364">
        <f t="shared" si="12"/>
        <v>4532.5501999999969</v>
      </c>
      <c r="G46" s="365">
        <v>66.13</v>
      </c>
      <c r="H46" s="442">
        <v>1915.3400000000001</v>
      </c>
      <c r="I46" s="442">
        <v>1915.3400000000001</v>
      </c>
      <c r="J46" s="444">
        <f t="shared" si="13"/>
        <v>1</v>
      </c>
      <c r="K46" s="443">
        <v>1921.8000000000002</v>
      </c>
      <c r="L46" s="444">
        <f t="shared" si="14"/>
        <v>1.0033727693255505</v>
      </c>
      <c r="M46" s="443">
        <v>62.08</v>
      </c>
      <c r="N46" s="444">
        <f t="shared" si="15"/>
        <v>3.2411999958231956E-2</v>
      </c>
      <c r="O46" s="445">
        <f t="shared" si="16"/>
        <v>1983.88</v>
      </c>
      <c r="P46" s="444">
        <f t="shared" si="17"/>
        <v>1.0357847692837825</v>
      </c>
      <c r="Q46" s="442">
        <v>14.2</v>
      </c>
      <c r="R46" s="444">
        <f t="shared" si="18"/>
        <v>7.4138273100337266E-3</v>
      </c>
      <c r="S46" s="452">
        <f t="shared" si="19"/>
        <v>939.04599999999994</v>
      </c>
      <c r="T46" s="445">
        <f t="shared" si="20"/>
        <v>68.539999999999964</v>
      </c>
      <c r="U46" s="444">
        <f t="shared" si="21"/>
        <v>3.5784769283782492E-2</v>
      </c>
      <c r="V46" s="145"/>
      <c r="W46" s="145"/>
      <c r="X46" s="145"/>
      <c r="Y46" s="366" t="s">
        <v>174</v>
      </c>
      <c r="Z46" s="366" t="s">
        <v>428</v>
      </c>
      <c r="AA46" s="367" t="s">
        <v>479</v>
      </c>
      <c r="AB46" s="367" t="s">
        <v>477</v>
      </c>
      <c r="AC46" s="367">
        <v>1</v>
      </c>
      <c r="AD46" s="446" t="s">
        <v>341</v>
      </c>
    </row>
    <row r="47" spans="2:39" s="147" customFormat="1" ht="27" hidden="1" customHeight="1">
      <c r="B47" s="935"/>
      <c r="C47" s="936"/>
      <c r="D47" s="361">
        <v>19</v>
      </c>
      <c r="E47" s="440" t="s">
        <v>464</v>
      </c>
      <c r="F47" s="364">
        <f t="shared" si="12"/>
        <v>4509.9299999999921</v>
      </c>
      <c r="G47" s="365">
        <v>629</v>
      </c>
      <c r="H47" s="442">
        <v>191.45</v>
      </c>
      <c r="I47" s="442">
        <v>191.45</v>
      </c>
      <c r="J47" s="444">
        <f t="shared" si="13"/>
        <v>1</v>
      </c>
      <c r="K47" s="443">
        <v>191.45</v>
      </c>
      <c r="L47" s="444">
        <f t="shared" si="14"/>
        <v>1</v>
      </c>
      <c r="M47" s="443">
        <v>7.17</v>
      </c>
      <c r="N47" s="444">
        <f t="shared" si="15"/>
        <v>3.7451031600940196E-2</v>
      </c>
      <c r="O47" s="445">
        <f t="shared" si="16"/>
        <v>198.61999999999998</v>
      </c>
      <c r="P47" s="444">
        <f t="shared" si="17"/>
        <v>1.0374510316009402</v>
      </c>
      <c r="Q47" s="442">
        <v>1.68</v>
      </c>
      <c r="R47" s="444">
        <f t="shared" si="18"/>
        <v>8.7751371115173671E-3</v>
      </c>
      <c r="S47" s="452">
        <f t="shared" si="19"/>
        <v>1056.72</v>
      </c>
      <c r="T47" s="445">
        <f t="shared" si="20"/>
        <v>7.1699999999999875</v>
      </c>
      <c r="U47" s="444">
        <f t="shared" si="21"/>
        <v>3.7451031600940127E-2</v>
      </c>
      <c r="V47" s="145"/>
      <c r="W47" s="145"/>
      <c r="X47" s="145"/>
      <c r="Y47" s="366" t="s">
        <v>174</v>
      </c>
      <c r="Z47" s="366" t="s">
        <v>428</v>
      </c>
      <c r="AA47" s="367" t="s">
        <v>482</v>
      </c>
      <c r="AB47" s="367" t="s">
        <v>547</v>
      </c>
      <c r="AC47" s="367">
        <v>1</v>
      </c>
      <c r="AD47" s="446" t="s">
        <v>458</v>
      </c>
    </row>
    <row r="48" spans="2:39" s="147" customFormat="1" ht="27" hidden="1" customHeight="1">
      <c r="B48" s="937"/>
      <c r="C48" s="938"/>
      <c r="D48" s="361">
        <v>20</v>
      </c>
      <c r="E48" s="440" t="s">
        <v>420</v>
      </c>
      <c r="F48" s="364">
        <f t="shared" si="12"/>
        <v>4319.3231999999853</v>
      </c>
      <c r="G48" s="365">
        <v>157.87000000000003</v>
      </c>
      <c r="H48" s="442">
        <v>1811.05</v>
      </c>
      <c r="I48" s="442">
        <v>1811.05</v>
      </c>
      <c r="J48" s="444">
        <f t="shared" si="13"/>
        <v>1</v>
      </c>
      <c r="K48" s="443">
        <v>1812.0199999999998</v>
      </c>
      <c r="L48" s="444">
        <f t="shared" si="14"/>
        <v>1.0005356008945085</v>
      </c>
      <c r="M48" s="443">
        <v>26.39</v>
      </c>
      <c r="N48" s="444">
        <f t="shared" si="15"/>
        <v>1.4571657325860689E-2</v>
      </c>
      <c r="O48" s="445">
        <f t="shared" si="16"/>
        <v>1838.4099999999999</v>
      </c>
      <c r="P48" s="444">
        <f t="shared" si="17"/>
        <v>1.0151072582203693</v>
      </c>
      <c r="Q48" s="442">
        <v>6.08</v>
      </c>
      <c r="R48" s="444">
        <f t="shared" si="18"/>
        <v>3.357168493415422E-3</v>
      </c>
      <c r="S48" s="452">
        <f t="shared" si="19"/>
        <v>959.84960000000024</v>
      </c>
      <c r="T48" s="445">
        <f t="shared" si="20"/>
        <v>27.3599999999999</v>
      </c>
      <c r="U48" s="444">
        <f t="shared" si="21"/>
        <v>1.5107258220369344E-2</v>
      </c>
      <c r="V48" s="145"/>
      <c r="W48" s="145"/>
      <c r="X48" s="145"/>
      <c r="Y48" s="366" t="s">
        <v>174</v>
      </c>
      <c r="Z48" s="366" t="s">
        <v>428</v>
      </c>
      <c r="AA48" s="367" t="s">
        <v>541</v>
      </c>
      <c r="AB48" s="367" t="s">
        <v>542</v>
      </c>
      <c r="AC48" s="367">
        <v>1</v>
      </c>
      <c r="AD48" s="446" t="s">
        <v>340</v>
      </c>
    </row>
    <row r="49" spans="2:39" ht="17.100000000000001" hidden="1" customHeight="1">
      <c r="B49" s="949" t="s">
        <v>442</v>
      </c>
      <c r="C49" s="950"/>
      <c r="D49" s="953" t="s">
        <v>549</v>
      </c>
      <c r="E49" s="954" t="s">
        <v>550</v>
      </c>
      <c r="F49" s="995" t="s">
        <v>567</v>
      </c>
      <c r="G49" s="922" t="s">
        <v>552</v>
      </c>
      <c r="H49" s="956" t="s">
        <v>553</v>
      </c>
      <c r="I49" s="939" t="s">
        <v>554</v>
      </c>
      <c r="J49" s="940"/>
      <c r="K49" s="939" t="s">
        <v>555</v>
      </c>
      <c r="L49" s="940"/>
      <c r="M49" s="939" t="s">
        <v>556</v>
      </c>
      <c r="N49" s="940"/>
      <c r="O49" s="939" t="s">
        <v>557</v>
      </c>
      <c r="P49" s="940"/>
      <c r="Q49" s="939" t="s">
        <v>418</v>
      </c>
      <c r="R49" s="994"/>
      <c r="S49" s="940"/>
      <c r="T49" s="941" t="s">
        <v>419</v>
      </c>
      <c r="U49" s="943"/>
      <c r="Y49" s="947" t="s">
        <v>171</v>
      </c>
      <c r="Z49" s="947" t="s">
        <v>245</v>
      </c>
      <c r="AA49" s="947" t="s">
        <v>558</v>
      </c>
      <c r="AB49" s="947" t="s">
        <v>444</v>
      </c>
      <c r="AC49" s="947" t="s">
        <v>246</v>
      </c>
      <c r="AD49" s="922" t="s">
        <v>172</v>
      </c>
      <c r="AF49" s="924" t="s">
        <v>247</v>
      </c>
      <c r="AG49" s="925"/>
      <c r="AH49" s="925"/>
      <c r="AI49" s="925"/>
      <c r="AJ49" s="925"/>
      <c r="AK49" s="925"/>
      <c r="AL49" s="925"/>
      <c r="AM49" s="926"/>
    </row>
    <row r="50" spans="2:39" ht="16.5" hidden="1" customHeight="1">
      <c r="B50" s="951"/>
      <c r="C50" s="952"/>
      <c r="D50" s="953"/>
      <c r="E50" s="953"/>
      <c r="F50" s="955"/>
      <c r="G50" s="923"/>
      <c r="H50" s="923"/>
      <c r="I50" s="439" t="s">
        <v>559</v>
      </c>
      <c r="J50" s="362" t="s">
        <v>560</v>
      </c>
      <c r="K50" s="439" t="s">
        <v>559</v>
      </c>
      <c r="L50" s="362" t="s">
        <v>560</v>
      </c>
      <c r="M50" s="439" t="s">
        <v>559</v>
      </c>
      <c r="N50" s="362" t="s">
        <v>560</v>
      </c>
      <c r="O50" s="439" t="s">
        <v>559</v>
      </c>
      <c r="P50" s="362" t="s">
        <v>560</v>
      </c>
      <c r="Q50" s="439" t="s">
        <v>559</v>
      </c>
      <c r="R50" s="362" t="s">
        <v>560</v>
      </c>
      <c r="S50" s="362" t="s">
        <v>561</v>
      </c>
      <c r="T50" s="439" t="s">
        <v>559</v>
      </c>
      <c r="U50" s="362" t="s">
        <v>560</v>
      </c>
      <c r="Y50" s="948"/>
      <c r="Z50" s="948"/>
      <c r="AA50" s="948"/>
      <c r="AB50" s="948"/>
      <c r="AC50" s="948"/>
      <c r="AD50" s="923"/>
      <c r="AF50" s="927"/>
      <c r="AG50" s="928"/>
      <c r="AH50" s="928"/>
      <c r="AI50" s="928"/>
      <c r="AJ50" s="928"/>
      <c r="AK50" s="928"/>
      <c r="AL50" s="928"/>
      <c r="AM50" s="929"/>
    </row>
    <row r="51" spans="2:39" s="147" customFormat="1" ht="27" hidden="1" customHeight="1">
      <c r="B51" s="933" t="s">
        <v>626</v>
      </c>
      <c r="C51" s="934"/>
      <c r="D51" s="361">
        <v>1</v>
      </c>
      <c r="E51" s="440" t="s">
        <v>336</v>
      </c>
      <c r="F51" s="364">
        <f>IFERROR(T51*G51,"-")</f>
        <v>10418.878100000013</v>
      </c>
      <c r="G51" s="365">
        <v>147.43000000000004</v>
      </c>
      <c r="H51" s="442">
        <v>4946.46</v>
      </c>
      <c r="I51" s="442">
        <v>4946.46</v>
      </c>
      <c r="J51" s="444">
        <f>IFERROR(I51/H51,"-")</f>
        <v>1</v>
      </c>
      <c r="K51" s="443">
        <v>4946.46</v>
      </c>
      <c r="L51" s="444">
        <f>IFERROR(K51/H51,"-")</f>
        <v>1</v>
      </c>
      <c r="M51" s="443">
        <v>70.67</v>
      </c>
      <c r="N51" s="444">
        <f>IFERROR(M51/H51,"-")</f>
        <v>1.428698503576295E-2</v>
      </c>
      <c r="O51" s="445">
        <f>IFERROR(K51+M51,"-")</f>
        <v>5017.13</v>
      </c>
      <c r="P51" s="444">
        <f>IFERROR(O51/H51,"-")</f>
        <v>1.014286985035763</v>
      </c>
      <c r="Q51" s="442">
        <v>12.290000000000001</v>
      </c>
      <c r="R51" s="444">
        <f>IFERROR(Q51/H51,"-")</f>
        <v>2.4846051519672656E-3</v>
      </c>
      <c r="S51" s="452">
        <f>IFERROR(Q51*G51,"-")</f>
        <v>1811.9147000000005</v>
      </c>
      <c r="T51" s="445">
        <f>IFERROR(O51-H51,"-")</f>
        <v>70.670000000000073</v>
      </c>
      <c r="U51" s="444">
        <f>IFERROR(T51/H51,"-")</f>
        <v>1.4286985035762964E-2</v>
      </c>
      <c r="V51" s="145"/>
      <c r="W51" s="145"/>
      <c r="X51" s="145"/>
      <c r="Y51" s="366" t="s">
        <v>174</v>
      </c>
      <c r="Z51" s="366" t="s">
        <v>215</v>
      </c>
      <c r="AA51" s="367" t="s">
        <v>478</v>
      </c>
      <c r="AB51" s="367" t="s">
        <v>524</v>
      </c>
      <c r="AC51" s="367">
        <v>1</v>
      </c>
      <c r="AD51" s="446" t="s">
        <v>340</v>
      </c>
      <c r="AF51" s="930"/>
      <c r="AG51" s="931"/>
      <c r="AH51" s="931"/>
      <c r="AI51" s="931"/>
      <c r="AJ51" s="931"/>
      <c r="AK51" s="931"/>
      <c r="AL51" s="931"/>
      <c r="AM51" s="932"/>
    </row>
    <row r="52" spans="2:39" s="147" customFormat="1" ht="27" hidden="1" customHeight="1">
      <c r="B52" s="935"/>
      <c r="C52" s="936"/>
      <c r="D52" s="361">
        <v>2</v>
      </c>
      <c r="E52" s="440" t="s">
        <v>651</v>
      </c>
      <c r="F52" s="364">
        <f t="shared" ref="F52:F70" si="25">IFERROR(T52*G52,"-")</f>
        <v>8323.1990000000296</v>
      </c>
      <c r="G52" s="365">
        <v>655.37</v>
      </c>
      <c r="H52" s="442">
        <v>884.7600000000001</v>
      </c>
      <c r="I52" s="442">
        <v>884.7600000000001</v>
      </c>
      <c r="J52" s="444">
        <f t="shared" ref="J52:J70" si="26">IFERROR(I52/H52,"-")</f>
        <v>1</v>
      </c>
      <c r="K52" s="443">
        <v>884.7600000000001</v>
      </c>
      <c r="L52" s="444">
        <f t="shared" ref="L52:L70" si="27">IFERROR(K52/H52,"-")</f>
        <v>1</v>
      </c>
      <c r="M52" s="443">
        <v>12.7</v>
      </c>
      <c r="N52" s="444">
        <f t="shared" ref="N52:N70" si="28">IFERROR(M52/H52,"-")</f>
        <v>1.4354175143541748E-2</v>
      </c>
      <c r="O52" s="445">
        <f t="shared" ref="O52:O70" si="29">IFERROR(K52+M52,"-")</f>
        <v>897.46000000000015</v>
      </c>
      <c r="P52" s="444">
        <f t="shared" ref="P52:P70" si="30">IFERROR(O52/H52,"-")</f>
        <v>1.0143541751435419</v>
      </c>
      <c r="Q52" s="442">
        <v>3.3499999999999996</v>
      </c>
      <c r="R52" s="444">
        <f t="shared" ref="R52:R70" si="31">IFERROR(Q52/H52,"-")</f>
        <v>3.7863375378633744E-3</v>
      </c>
      <c r="S52" s="452">
        <f t="shared" ref="S52:S70" si="32">IFERROR(Q52*G52,"-")</f>
        <v>2195.4894999999997</v>
      </c>
      <c r="T52" s="445">
        <f t="shared" ref="T52:T70" si="33">IFERROR(O52-H52,"-")</f>
        <v>12.700000000000045</v>
      </c>
      <c r="U52" s="444">
        <f t="shared" ref="U52:U70" si="34">IFERROR(T52/H52,"-")</f>
        <v>1.4354175143541802E-2</v>
      </c>
      <c r="V52" s="145"/>
      <c r="W52" s="145"/>
      <c r="X52" s="145"/>
      <c r="Y52" s="366" t="s">
        <v>174</v>
      </c>
      <c r="Z52" s="366" t="s">
        <v>428</v>
      </c>
      <c r="AA52" s="367" t="s">
        <v>659</v>
      </c>
      <c r="AB52" s="367" t="s">
        <v>573</v>
      </c>
      <c r="AC52" s="367">
        <v>1</v>
      </c>
      <c r="AD52" s="446" t="s">
        <v>650</v>
      </c>
      <c r="AF52" s="160" t="s">
        <v>244</v>
      </c>
      <c r="AG52" s="160" t="s">
        <v>445</v>
      </c>
      <c r="AH52" s="155" t="s">
        <v>562</v>
      </c>
      <c r="AI52" s="155" t="s">
        <v>337</v>
      </c>
      <c r="AJ52" s="155" t="s">
        <v>428</v>
      </c>
      <c r="AK52" s="155" t="s">
        <v>215</v>
      </c>
      <c r="AL52" s="155" t="s">
        <v>216</v>
      </c>
      <c r="AM52" s="155" t="s">
        <v>384</v>
      </c>
    </row>
    <row r="53" spans="2:39" s="147" customFormat="1" ht="27" hidden="1" customHeight="1">
      <c r="B53" s="935"/>
      <c r="C53" s="936"/>
      <c r="D53" s="361">
        <v>3</v>
      </c>
      <c r="E53" s="440" t="s">
        <v>652</v>
      </c>
      <c r="F53" s="364">
        <f t="shared" si="25"/>
        <v>7860.2237999999907</v>
      </c>
      <c r="G53" s="365">
        <v>31.59</v>
      </c>
      <c r="H53" s="442">
        <v>9400.57</v>
      </c>
      <c r="I53" s="442">
        <v>9400.57</v>
      </c>
      <c r="J53" s="444">
        <f t="shared" si="26"/>
        <v>1</v>
      </c>
      <c r="K53" s="443">
        <v>9400.57</v>
      </c>
      <c r="L53" s="444">
        <f t="shared" si="27"/>
        <v>1</v>
      </c>
      <c r="M53" s="443">
        <v>248.82</v>
      </c>
      <c r="N53" s="444">
        <f t="shared" si="28"/>
        <v>2.6468607754636154E-2</v>
      </c>
      <c r="O53" s="445">
        <f t="shared" si="29"/>
        <v>9649.39</v>
      </c>
      <c r="P53" s="444">
        <f t="shared" si="30"/>
        <v>1.0264686077546361</v>
      </c>
      <c r="Q53" s="442">
        <v>43.639999999999993</v>
      </c>
      <c r="R53" s="444">
        <f t="shared" si="31"/>
        <v>4.6422716920356951E-3</v>
      </c>
      <c r="S53" s="452">
        <f t="shared" si="32"/>
        <v>1378.5875999999998</v>
      </c>
      <c r="T53" s="445">
        <f t="shared" si="33"/>
        <v>248.81999999999971</v>
      </c>
      <c r="U53" s="444">
        <f t="shared" si="34"/>
        <v>2.6468607754636126E-2</v>
      </c>
      <c r="V53" s="145"/>
      <c r="W53" s="145"/>
      <c r="X53" s="145"/>
      <c r="Y53" s="366" t="s">
        <v>174</v>
      </c>
      <c r="Z53" s="366" t="s">
        <v>216</v>
      </c>
      <c r="AA53" s="367" t="s">
        <v>479</v>
      </c>
      <c r="AB53" s="367" t="s">
        <v>477</v>
      </c>
      <c r="AC53" s="367">
        <v>1</v>
      </c>
      <c r="AD53" s="446" t="s">
        <v>650</v>
      </c>
      <c r="AF53" s="374">
        <f>SUM(AC51:AC70)</f>
        <v>20</v>
      </c>
      <c r="AG53" s="369">
        <f>SUMIF($Z$51:$Z$70,TRIM(AG52),$AC$51:$AC$70)</f>
        <v>0</v>
      </c>
      <c r="AH53" s="369">
        <f t="shared" ref="AH53:AM53" si="35">SUMIF($Z$51:$Z$70,TRIM(AH52),$AC$51:$AC$70)</f>
        <v>0</v>
      </c>
      <c r="AI53" s="369">
        <f t="shared" si="35"/>
        <v>0</v>
      </c>
      <c r="AJ53" s="369">
        <f t="shared" si="35"/>
        <v>12</v>
      </c>
      <c r="AK53" s="369">
        <f t="shared" si="35"/>
        <v>1</v>
      </c>
      <c r="AL53" s="369">
        <f t="shared" si="35"/>
        <v>7</v>
      </c>
      <c r="AM53" s="369">
        <f t="shared" si="35"/>
        <v>0</v>
      </c>
    </row>
    <row r="54" spans="2:39" s="147" customFormat="1" ht="27" hidden="1" customHeight="1">
      <c r="B54" s="935"/>
      <c r="C54" s="936"/>
      <c r="D54" s="361">
        <v>4</v>
      </c>
      <c r="E54" s="440" t="s">
        <v>459</v>
      </c>
      <c r="F54" s="364">
        <f t="shared" si="25"/>
        <v>6487.903800000021</v>
      </c>
      <c r="G54" s="365">
        <v>605.77999999999986</v>
      </c>
      <c r="H54" s="442">
        <v>1086.77</v>
      </c>
      <c r="I54" s="442">
        <v>1086.77</v>
      </c>
      <c r="J54" s="444">
        <f t="shared" si="26"/>
        <v>1</v>
      </c>
      <c r="K54" s="443">
        <v>1086.77</v>
      </c>
      <c r="L54" s="444">
        <f t="shared" si="27"/>
        <v>1</v>
      </c>
      <c r="M54" s="443">
        <v>10.709999999999999</v>
      </c>
      <c r="N54" s="444">
        <f t="shared" si="28"/>
        <v>9.8548910993126407E-3</v>
      </c>
      <c r="O54" s="445">
        <f t="shared" si="29"/>
        <v>1097.48</v>
      </c>
      <c r="P54" s="444">
        <f t="shared" si="30"/>
        <v>1.0098548910993126</v>
      </c>
      <c r="Q54" s="442">
        <v>2.6399999999999997</v>
      </c>
      <c r="R54" s="444">
        <f t="shared" si="31"/>
        <v>2.4292168536120796E-3</v>
      </c>
      <c r="S54" s="452">
        <f t="shared" si="32"/>
        <v>1599.2591999999995</v>
      </c>
      <c r="T54" s="445">
        <f t="shared" si="33"/>
        <v>10.710000000000036</v>
      </c>
      <c r="U54" s="444">
        <f t="shared" si="34"/>
        <v>9.8548910993126754E-3</v>
      </c>
      <c r="V54" s="145"/>
      <c r="W54" s="145"/>
      <c r="X54" s="145"/>
      <c r="Y54" s="366" t="s">
        <v>174</v>
      </c>
      <c r="Z54" s="366" t="s">
        <v>216</v>
      </c>
      <c r="AA54" s="367" t="s">
        <v>482</v>
      </c>
      <c r="AB54" s="367" t="s">
        <v>547</v>
      </c>
      <c r="AC54" s="367">
        <v>1</v>
      </c>
      <c r="AD54" s="446" t="s">
        <v>342</v>
      </c>
      <c r="AF54" s="375"/>
      <c r="AG54" s="372">
        <f t="shared" ref="AG54:AM54" si="36">SUMIF($Z$51:$Z$70,TRIM(AG52),$F$51:$F$70)</f>
        <v>0</v>
      </c>
      <c r="AH54" s="372">
        <f t="shared" si="36"/>
        <v>0</v>
      </c>
      <c r="AI54" s="372">
        <f t="shared" si="36"/>
        <v>0</v>
      </c>
      <c r="AJ54" s="372">
        <f t="shared" si="36"/>
        <v>60915.576099999984</v>
      </c>
      <c r="AK54" s="372">
        <f t="shared" si="36"/>
        <v>10418.878100000013</v>
      </c>
      <c r="AL54" s="372">
        <f t="shared" si="36"/>
        <v>40453.998099999946</v>
      </c>
      <c r="AM54" s="372">
        <f t="shared" si="36"/>
        <v>0</v>
      </c>
    </row>
    <row r="55" spans="2:39" s="147" customFormat="1" ht="27" hidden="1" customHeight="1">
      <c r="B55" s="935"/>
      <c r="C55" s="936"/>
      <c r="D55" s="361">
        <v>5</v>
      </c>
      <c r="E55" s="440" t="s">
        <v>653</v>
      </c>
      <c r="F55" s="364">
        <f t="shared" si="25"/>
        <v>6375.0424000000121</v>
      </c>
      <c r="G55" s="365">
        <v>40.420000000000009</v>
      </c>
      <c r="H55" s="442">
        <v>5161.1000000000004</v>
      </c>
      <c r="I55" s="442">
        <v>5161.1000000000004</v>
      </c>
      <c r="J55" s="444">
        <f t="shared" si="26"/>
        <v>1</v>
      </c>
      <c r="K55" s="443">
        <v>5161.1000000000004</v>
      </c>
      <c r="L55" s="444">
        <f t="shared" si="27"/>
        <v>1</v>
      </c>
      <c r="M55" s="443">
        <v>157.72</v>
      </c>
      <c r="N55" s="444">
        <f t="shared" si="28"/>
        <v>3.0559376877022339E-2</v>
      </c>
      <c r="O55" s="445">
        <f t="shared" si="29"/>
        <v>5318.8200000000006</v>
      </c>
      <c r="P55" s="444">
        <f t="shared" si="30"/>
        <v>1.0305593768770225</v>
      </c>
      <c r="Q55" s="442">
        <v>29.93</v>
      </c>
      <c r="R55" s="444">
        <f t="shared" si="31"/>
        <v>5.7991513437057989E-3</v>
      </c>
      <c r="S55" s="452">
        <f t="shared" si="32"/>
        <v>1209.7706000000003</v>
      </c>
      <c r="T55" s="445">
        <f t="shared" si="33"/>
        <v>157.72000000000025</v>
      </c>
      <c r="U55" s="444">
        <f t="shared" si="34"/>
        <v>3.0559376877022388E-2</v>
      </c>
      <c r="V55" s="145"/>
      <c r="W55" s="145"/>
      <c r="X55" s="145"/>
      <c r="Y55" s="366" t="s">
        <v>174</v>
      </c>
      <c r="Z55" s="366" t="s">
        <v>216</v>
      </c>
      <c r="AA55" s="367" t="s">
        <v>607</v>
      </c>
      <c r="AB55" s="367" t="s">
        <v>642</v>
      </c>
      <c r="AC55" s="367">
        <v>1</v>
      </c>
      <c r="AD55" s="446" t="s">
        <v>650</v>
      </c>
      <c r="AF55" s="361"/>
      <c r="AG55" s="373">
        <f t="shared" ref="AG55:AM55" si="37">AG53/$AF53</f>
        <v>0</v>
      </c>
      <c r="AH55" s="373">
        <f t="shared" si="37"/>
        <v>0</v>
      </c>
      <c r="AI55" s="373">
        <f t="shared" si="37"/>
        <v>0</v>
      </c>
      <c r="AJ55" s="373">
        <f t="shared" si="37"/>
        <v>0.6</v>
      </c>
      <c r="AK55" s="373">
        <f t="shared" si="37"/>
        <v>0.05</v>
      </c>
      <c r="AL55" s="373">
        <f t="shared" si="37"/>
        <v>0.35</v>
      </c>
      <c r="AM55" s="373">
        <f t="shared" si="37"/>
        <v>0</v>
      </c>
    </row>
    <row r="56" spans="2:39" s="147" customFormat="1" ht="27" hidden="1" customHeight="1">
      <c r="B56" s="935"/>
      <c r="C56" s="936"/>
      <c r="D56" s="361">
        <v>6</v>
      </c>
      <c r="E56" s="440" t="s">
        <v>534</v>
      </c>
      <c r="F56" s="364">
        <f t="shared" si="25"/>
        <v>5776.5434999999134</v>
      </c>
      <c r="G56" s="365">
        <v>39.389999999999993</v>
      </c>
      <c r="H56" s="442">
        <v>25259.64</v>
      </c>
      <c r="I56" s="442">
        <v>25259.64</v>
      </c>
      <c r="J56" s="444">
        <f t="shared" si="26"/>
        <v>1</v>
      </c>
      <c r="K56" s="443">
        <v>25270.079999999998</v>
      </c>
      <c r="L56" s="444">
        <f t="shared" si="27"/>
        <v>1.0004133075530768</v>
      </c>
      <c r="M56" s="443">
        <v>136.21</v>
      </c>
      <c r="N56" s="444">
        <f t="shared" si="28"/>
        <v>5.3923967245772314E-3</v>
      </c>
      <c r="O56" s="445">
        <f t="shared" si="29"/>
        <v>25406.289999999997</v>
      </c>
      <c r="P56" s="444">
        <f t="shared" si="30"/>
        <v>1.0058057042776538</v>
      </c>
      <c r="Q56" s="442">
        <v>36</v>
      </c>
      <c r="R56" s="444">
        <f t="shared" si="31"/>
        <v>1.4251984588853999E-3</v>
      </c>
      <c r="S56" s="452">
        <f t="shared" si="32"/>
        <v>1418.0399999999997</v>
      </c>
      <c r="T56" s="445">
        <f t="shared" si="33"/>
        <v>146.64999999999782</v>
      </c>
      <c r="U56" s="444">
        <f t="shared" si="34"/>
        <v>5.8057042776539104E-3</v>
      </c>
      <c r="V56" s="145"/>
      <c r="W56" s="145"/>
      <c r="X56" s="145"/>
      <c r="Y56" s="366" t="s">
        <v>174</v>
      </c>
      <c r="Z56" s="366" t="s">
        <v>216</v>
      </c>
      <c r="AA56" s="367" t="s">
        <v>607</v>
      </c>
      <c r="AB56" s="367" t="s">
        <v>642</v>
      </c>
      <c r="AC56" s="367">
        <v>1</v>
      </c>
      <c r="AD56" s="446" t="s">
        <v>340</v>
      </c>
    </row>
    <row r="57" spans="2:39" s="147" customFormat="1" ht="27" hidden="1" customHeight="1">
      <c r="B57" s="935"/>
      <c r="C57" s="936"/>
      <c r="D57" s="361">
        <v>7</v>
      </c>
      <c r="E57" s="440" t="s">
        <v>635</v>
      </c>
      <c r="F57" s="364">
        <f t="shared" si="25"/>
        <v>5340.2058000000025</v>
      </c>
      <c r="G57" s="365">
        <v>49.82</v>
      </c>
      <c r="H57" s="442">
        <v>3465.25</v>
      </c>
      <c r="I57" s="442">
        <v>3465.25</v>
      </c>
      <c r="J57" s="444">
        <f t="shared" si="26"/>
        <v>1</v>
      </c>
      <c r="K57" s="443">
        <v>3474</v>
      </c>
      <c r="L57" s="444">
        <f t="shared" si="27"/>
        <v>1.0025250703412452</v>
      </c>
      <c r="M57" s="443">
        <v>98.440000000000012</v>
      </c>
      <c r="N57" s="444">
        <f t="shared" si="28"/>
        <v>2.8407762787677659E-2</v>
      </c>
      <c r="O57" s="445">
        <f t="shared" si="29"/>
        <v>3572.44</v>
      </c>
      <c r="P57" s="444">
        <f t="shared" si="30"/>
        <v>1.0309328331289229</v>
      </c>
      <c r="Q57" s="442">
        <v>20.89</v>
      </c>
      <c r="R57" s="444">
        <f t="shared" si="31"/>
        <v>6.0284250775557323E-3</v>
      </c>
      <c r="S57" s="452">
        <f t="shared" si="32"/>
        <v>1040.7398000000001</v>
      </c>
      <c r="T57" s="445">
        <f t="shared" si="33"/>
        <v>107.19000000000005</v>
      </c>
      <c r="U57" s="444">
        <f t="shared" si="34"/>
        <v>3.0932833128922893E-2</v>
      </c>
      <c r="V57" s="145"/>
      <c r="W57" s="145"/>
      <c r="X57" s="145"/>
      <c r="Y57" s="366" t="s">
        <v>174</v>
      </c>
      <c r="Z57" s="366" t="s">
        <v>428</v>
      </c>
      <c r="AA57" s="367" t="s">
        <v>479</v>
      </c>
      <c r="AB57" s="367" t="s">
        <v>477</v>
      </c>
      <c r="AC57" s="367">
        <v>1</v>
      </c>
      <c r="AD57" s="446" t="s">
        <v>616</v>
      </c>
    </row>
    <row r="58" spans="2:39" s="147" customFormat="1" ht="27" hidden="1" customHeight="1">
      <c r="B58" s="935"/>
      <c r="C58" s="936"/>
      <c r="D58" s="361">
        <v>8</v>
      </c>
      <c r="E58" s="440" t="s">
        <v>600</v>
      </c>
      <c r="F58" s="364">
        <f t="shared" si="25"/>
        <v>5141.2589999999818</v>
      </c>
      <c r="G58" s="365">
        <v>413.94999999999993</v>
      </c>
      <c r="H58" s="442">
        <v>544.71</v>
      </c>
      <c r="I58" s="442">
        <v>544.71</v>
      </c>
      <c r="J58" s="444">
        <f t="shared" si="26"/>
        <v>1</v>
      </c>
      <c r="K58" s="443">
        <v>544.71</v>
      </c>
      <c r="L58" s="444">
        <f t="shared" si="27"/>
        <v>1</v>
      </c>
      <c r="M58" s="443">
        <v>12.419999999999998</v>
      </c>
      <c r="N58" s="444">
        <f t="shared" si="28"/>
        <v>2.2801123533623392E-2</v>
      </c>
      <c r="O58" s="445">
        <f t="shared" si="29"/>
        <v>557.13</v>
      </c>
      <c r="P58" s="444">
        <f t="shared" si="30"/>
        <v>1.0228011235336234</v>
      </c>
      <c r="Q58" s="442">
        <v>2.2300000000000004</v>
      </c>
      <c r="R58" s="444">
        <f t="shared" si="31"/>
        <v>4.093921536230288E-3</v>
      </c>
      <c r="S58" s="452">
        <f t="shared" si="32"/>
        <v>923.10850000000005</v>
      </c>
      <c r="T58" s="445">
        <f t="shared" si="33"/>
        <v>12.419999999999959</v>
      </c>
      <c r="U58" s="444">
        <f t="shared" si="34"/>
        <v>2.2801123533623319E-2</v>
      </c>
      <c r="V58" s="145"/>
      <c r="W58" s="145"/>
      <c r="X58" s="145"/>
      <c r="Y58" s="366" t="s">
        <v>174</v>
      </c>
      <c r="Z58" s="366" t="s">
        <v>428</v>
      </c>
      <c r="AA58" s="367" t="s">
        <v>607</v>
      </c>
      <c r="AB58" s="367" t="s">
        <v>642</v>
      </c>
      <c r="AC58" s="367">
        <v>1</v>
      </c>
      <c r="AD58" s="446" t="s">
        <v>340</v>
      </c>
    </row>
    <row r="59" spans="2:39" s="147" customFormat="1" ht="27" hidden="1" customHeight="1">
      <c r="B59" s="935"/>
      <c r="C59" s="936"/>
      <c r="D59" s="361">
        <v>9</v>
      </c>
      <c r="E59" s="440" t="s">
        <v>386</v>
      </c>
      <c r="F59" s="364">
        <f t="shared" si="25"/>
        <v>5026.6687999999631</v>
      </c>
      <c r="G59" s="365">
        <v>127.84000000000002</v>
      </c>
      <c r="H59" s="442">
        <v>4364.0199999999995</v>
      </c>
      <c r="I59" s="442">
        <v>4364.0199999999995</v>
      </c>
      <c r="J59" s="444">
        <f t="shared" si="26"/>
        <v>1</v>
      </c>
      <c r="K59" s="443">
        <v>4364.0199999999995</v>
      </c>
      <c r="L59" s="444">
        <f t="shared" si="27"/>
        <v>1</v>
      </c>
      <c r="M59" s="443">
        <v>39.319999999999993</v>
      </c>
      <c r="N59" s="444">
        <f t="shared" si="28"/>
        <v>9.0100412005444507E-3</v>
      </c>
      <c r="O59" s="445">
        <f t="shared" si="29"/>
        <v>4403.3399999999992</v>
      </c>
      <c r="P59" s="444">
        <f t="shared" si="30"/>
        <v>1.0090100412005445</v>
      </c>
      <c r="Q59" s="442">
        <v>9.2200000000000006</v>
      </c>
      <c r="R59" s="444">
        <f t="shared" si="31"/>
        <v>2.1127309224064053E-3</v>
      </c>
      <c r="S59" s="452">
        <f t="shared" si="32"/>
        <v>1178.6848000000002</v>
      </c>
      <c r="T59" s="445">
        <f t="shared" si="33"/>
        <v>39.319999999999709</v>
      </c>
      <c r="U59" s="444">
        <f t="shared" si="34"/>
        <v>9.0100412005443865E-3</v>
      </c>
      <c r="V59" s="145"/>
      <c r="W59" s="145"/>
      <c r="X59" s="145"/>
      <c r="Y59" s="366" t="s">
        <v>174</v>
      </c>
      <c r="Z59" s="366" t="s">
        <v>428</v>
      </c>
      <c r="AA59" s="367" t="s">
        <v>607</v>
      </c>
      <c r="AB59" s="367" t="s">
        <v>525</v>
      </c>
      <c r="AC59" s="367">
        <v>1</v>
      </c>
      <c r="AD59" s="446" t="s">
        <v>340</v>
      </c>
    </row>
    <row r="60" spans="2:39" s="147" customFormat="1" ht="27" hidden="1" customHeight="1">
      <c r="B60" s="935"/>
      <c r="C60" s="936"/>
      <c r="D60" s="361">
        <v>10</v>
      </c>
      <c r="E60" s="440" t="s">
        <v>461</v>
      </c>
      <c r="F60" s="364">
        <f t="shared" si="25"/>
        <v>5015.201999999982</v>
      </c>
      <c r="G60" s="365">
        <v>407.74000000000007</v>
      </c>
      <c r="H60" s="442">
        <v>1171.4499999999998</v>
      </c>
      <c r="I60" s="442">
        <v>1171.4499999999998</v>
      </c>
      <c r="J60" s="444">
        <f t="shared" si="26"/>
        <v>1</v>
      </c>
      <c r="K60" s="443">
        <v>1171.4499999999998</v>
      </c>
      <c r="L60" s="444">
        <f t="shared" si="27"/>
        <v>1</v>
      </c>
      <c r="M60" s="443">
        <v>12.299999999999999</v>
      </c>
      <c r="N60" s="444">
        <f t="shared" si="28"/>
        <v>1.0499807930342739E-2</v>
      </c>
      <c r="O60" s="445">
        <f t="shared" si="29"/>
        <v>1183.7499999999998</v>
      </c>
      <c r="P60" s="444">
        <f t="shared" si="30"/>
        <v>1.0104998079303427</v>
      </c>
      <c r="Q60" s="442">
        <v>1.8000000000000003</v>
      </c>
      <c r="R60" s="444">
        <f t="shared" si="31"/>
        <v>1.5365572580989376E-3</v>
      </c>
      <c r="S60" s="452">
        <f t="shared" si="32"/>
        <v>733.93200000000024</v>
      </c>
      <c r="T60" s="445">
        <f t="shared" si="33"/>
        <v>12.299999999999955</v>
      </c>
      <c r="U60" s="444">
        <f t="shared" si="34"/>
        <v>1.04998079303427E-2</v>
      </c>
      <c r="V60" s="145"/>
      <c r="W60" s="145"/>
      <c r="X60" s="145"/>
      <c r="Y60" s="366" t="s">
        <v>174</v>
      </c>
      <c r="Z60" s="366" t="s">
        <v>216</v>
      </c>
      <c r="AA60" s="367" t="s">
        <v>480</v>
      </c>
      <c r="AB60" s="367" t="s">
        <v>481</v>
      </c>
      <c r="AC60" s="367">
        <v>1</v>
      </c>
      <c r="AD60" s="446" t="s">
        <v>463</v>
      </c>
    </row>
    <row r="61" spans="2:39" s="147" customFormat="1" ht="27" hidden="1" customHeight="1">
      <c r="B61" s="935"/>
      <c r="C61" s="936"/>
      <c r="D61" s="361">
        <v>11</v>
      </c>
      <c r="E61" s="440" t="s">
        <v>545</v>
      </c>
      <c r="F61" s="364">
        <f t="shared" si="25"/>
        <v>4887.007000000006</v>
      </c>
      <c r="G61" s="365">
        <v>66.13</v>
      </c>
      <c r="H61" s="442">
        <v>2087.12</v>
      </c>
      <c r="I61" s="442">
        <v>2087.12</v>
      </c>
      <c r="J61" s="444">
        <f t="shared" si="26"/>
        <v>1</v>
      </c>
      <c r="K61" s="443">
        <v>2087.12</v>
      </c>
      <c r="L61" s="444">
        <f t="shared" si="27"/>
        <v>1</v>
      </c>
      <c r="M61" s="443">
        <v>73.900000000000006</v>
      </c>
      <c r="N61" s="444">
        <f t="shared" si="28"/>
        <v>3.5407643067959682E-2</v>
      </c>
      <c r="O61" s="445">
        <f t="shared" si="29"/>
        <v>2161.02</v>
      </c>
      <c r="P61" s="444">
        <f t="shared" si="30"/>
        <v>1.0354076430679597</v>
      </c>
      <c r="Q61" s="442">
        <v>14.52</v>
      </c>
      <c r="R61" s="444">
        <f t="shared" si="31"/>
        <v>6.9569550385219824E-3</v>
      </c>
      <c r="S61" s="452">
        <f t="shared" si="32"/>
        <v>960.20759999999996</v>
      </c>
      <c r="T61" s="445">
        <f t="shared" si="33"/>
        <v>73.900000000000091</v>
      </c>
      <c r="U61" s="444">
        <f t="shared" si="34"/>
        <v>3.5407643067959724E-2</v>
      </c>
      <c r="V61" s="145"/>
      <c r="W61" s="145"/>
      <c r="X61" s="145"/>
      <c r="Y61" s="366" t="s">
        <v>174</v>
      </c>
      <c r="Z61" s="366" t="s">
        <v>428</v>
      </c>
      <c r="AA61" s="367" t="s">
        <v>479</v>
      </c>
      <c r="AB61" s="367" t="s">
        <v>477</v>
      </c>
      <c r="AC61" s="367">
        <v>1</v>
      </c>
      <c r="AD61" s="446" t="s">
        <v>341</v>
      </c>
      <c r="AH61" s="370"/>
    </row>
    <row r="62" spans="2:39" s="147" customFormat="1" ht="27" hidden="1" customHeight="1">
      <c r="B62" s="935"/>
      <c r="C62" s="936"/>
      <c r="D62" s="361">
        <v>12</v>
      </c>
      <c r="E62" s="440" t="s">
        <v>357</v>
      </c>
      <c r="F62" s="364">
        <f t="shared" si="25"/>
        <v>4768.8550000000041</v>
      </c>
      <c r="G62" s="365">
        <v>152.75</v>
      </c>
      <c r="H62" s="442">
        <v>1200.21</v>
      </c>
      <c r="I62" s="442">
        <v>1200.21</v>
      </c>
      <c r="J62" s="444">
        <f t="shared" si="26"/>
        <v>1</v>
      </c>
      <c r="K62" s="443">
        <v>1200.21</v>
      </c>
      <c r="L62" s="444">
        <f t="shared" si="27"/>
        <v>1</v>
      </c>
      <c r="M62" s="443">
        <v>31.220000000000002</v>
      </c>
      <c r="N62" s="444">
        <f t="shared" si="28"/>
        <v>2.6012114546621008E-2</v>
      </c>
      <c r="O62" s="445">
        <f t="shared" si="29"/>
        <v>1231.43</v>
      </c>
      <c r="P62" s="444">
        <f t="shared" si="30"/>
        <v>1.026012114546621</v>
      </c>
      <c r="Q62" s="442">
        <v>6.7</v>
      </c>
      <c r="R62" s="444">
        <f t="shared" si="31"/>
        <v>5.5823564209596657E-3</v>
      </c>
      <c r="S62" s="452">
        <f t="shared" si="32"/>
        <v>1023.4250000000001</v>
      </c>
      <c r="T62" s="445">
        <f t="shared" si="33"/>
        <v>31.220000000000027</v>
      </c>
      <c r="U62" s="444">
        <f t="shared" si="34"/>
        <v>2.6012114546621029E-2</v>
      </c>
      <c r="V62" s="145"/>
      <c r="W62" s="145"/>
      <c r="X62" s="145"/>
      <c r="Y62" s="366" t="s">
        <v>174</v>
      </c>
      <c r="Z62" s="366" t="s">
        <v>428</v>
      </c>
      <c r="AA62" s="367" t="s">
        <v>607</v>
      </c>
      <c r="AB62" s="367" t="s">
        <v>525</v>
      </c>
      <c r="AC62" s="367">
        <v>1</v>
      </c>
      <c r="AD62" s="446" t="s">
        <v>358</v>
      </c>
    </row>
    <row r="63" spans="2:39" s="147" customFormat="1" ht="27" hidden="1" customHeight="1">
      <c r="B63" s="935"/>
      <c r="C63" s="936"/>
      <c r="D63" s="361">
        <v>13</v>
      </c>
      <c r="E63" s="440" t="s">
        <v>464</v>
      </c>
      <c r="F63" s="364">
        <f t="shared" si="25"/>
        <v>4742.6599999999953</v>
      </c>
      <c r="G63" s="365">
        <v>629</v>
      </c>
      <c r="H63" s="442">
        <v>252.04999999999998</v>
      </c>
      <c r="I63" s="442">
        <v>252.04999999999998</v>
      </c>
      <c r="J63" s="444">
        <f t="shared" si="26"/>
        <v>1</v>
      </c>
      <c r="K63" s="443">
        <v>252.04999999999998</v>
      </c>
      <c r="L63" s="444">
        <f t="shared" si="27"/>
        <v>1</v>
      </c>
      <c r="M63" s="443">
        <v>7.5400000000000009</v>
      </c>
      <c r="N63" s="444">
        <f t="shared" si="28"/>
        <v>2.9914699464391993E-2</v>
      </c>
      <c r="O63" s="445">
        <f t="shared" si="29"/>
        <v>259.58999999999997</v>
      </c>
      <c r="P63" s="444">
        <f t="shared" si="30"/>
        <v>1.029914699464392</v>
      </c>
      <c r="Q63" s="442">
        <v>1.63</v>
      </c>
      <c r="R63" s="444">
        <f t="shared" si="31"/>
        <v>6.4669708391192227E-3</v>
      </c>
      <c r="S63" s="452">
        <f t="shared" si="32"/>
        <v>1025.27</v>
      </c>
      <c r="T63" s="445">
        <f t="shared" si="33"/>
        <v>7.539999999999992</v>
      </c>
      <c r="U63" s="444">
        <f t="shared" si="34"/>
        <v>2.9914699464391955E-2</v>
      </c>
      <c r="V63" s="145"/>
      <c r="W63" s="145"/>
      <c r="X63" s="145"/>
      <c r="Y63" s="366" t="s">
        <v>174</v>
      </c>
      <c r="Z63" s="366" t="s">
        <v>428</v>
      </c>
      <c r="AA63" s="367" t="s">
        <v>482</v>
      </c>
      <c r="AB63" s="367" t="s">
        <v>547</v>
      </c>
      <c r="AC63" s="367">
        <v>1</v>
      </c>
      <c r="AD63" s="446" t="s">
        <v>458</v>
      </c>
    </row>
    <row r="64" spans="2:39" s="147" customFormat="1" ht="27" hidden="1" customHeight="1">
      <c r="B64" s="935"/>
      <c r="C64" s="936"/>
      <c r="D64" s="361">
        <v>14</v>
      </c>
      <c r="E64" s="440" t="s">
        <v>599</v>
      </c>
      <c r="F64" s="364">
        <f t="shared" si="25"/>
        <v>4725.9519999999939</v>
      </c>
      <c r="G64" s="365">
        <v>153.44000000000003</v>
      </c>
      <c r="H64" s="442">
        <v>2006.9699999999998</v>
      </c>
      <c r="I64" s="442">
        <v>2006.9699999999998</v>
      </c>
      <c r="J64" s="444">
        <f t="shared" si="26"/>
        <v>1</v>
      </c>
      <c r="K64" s="443">
        <v>2006.9699999999998</v>
      </c>
      <c r="L64" s="444">
        <f t="shared" si="27"/>
        <v>1</v>
      </c>
      <c r="M64" s="443">
        <v>30.799999999999997</v>
      </c>
      <c r="N64" s="444">
        <f t="shared" si="28"/>
        <v>1.534651738690663E-2</v>
      </c>
      <c r="O64" s="445">
        <f t="shared" si="29"/>
        <v>2037.7699999999998</v>
      </c>
      <c r="P64" s="444">
        <f t="shared" si="30"/>
        <v>1.0153465173869065</v>
      </c>
      <c r="Q64" s="442">
        <v>6.5200000000000005</v>
      </c>
      <c r="R64" s="444">
        <f t="shared" si="31"/>
        <v>3.2486783559295858E-3</v>
      </c>
      <c r="S64" s="452">
        <f t="shared" si="32"/>
        <v>1000.4288000000003</v>
      </c>
      <c r="T64" s="445">
        <f t="shared" si="33"/>
        <v>30.799999999999955</v>
      </c>
      <c r="U64" s="444">
        <f t="shared" si="34"/>
        <v>1.534651738690661E-2</v>
      </c>
      <c r="V64" s="145"/>
      <c r="W64" s="145"/>
      <c r="X64" s="145"/>
      <c r="Y64" s="366" t="s">
        <v>174</v>
      </c>
      <c r="Z64" s="366" t="s">
        <v>428</v>
      </c>
      <c r="AA64" s="367" t="s">
        <v>607</v>
      </c>
      <c r="AB64" s="367" t="s">
        <v>573</v>
      </c>
      <c r="AC64" s="367">
        <v>1</v>
      </c>
      <c r="AD64" s="446" t="s">
        <v>465</v>
      </c>
    </row>
    <row r="65" spans="2:39" s="147" customFormat="1" ht="27" hidden="1" customHeight="1">
      <c r="B65" s="935"/>
      <c r="C65" s="936"/>
      <c r="D65" s="361">
        <v>15</v>
      </c>
      <c r="E65" s="440" t="s">
        <v>583</v>
      </c>
      <c r="F65" s="364">
        <f t="shared" si="25"/>
        <v>4685.889600000005</v>
      </c>
      <c r="G65" s="365">
        <v>113.68000000000004</v>
      </c>
      <c r="H65" s="442">
        <v>1586.1000000000001</v>
      </c>
      <c r="I65" s="442">
        <v>1586.1000000000001</v>
      </c>
      <c r="J65" s="444">
        <f t="shared" si="26"/>
        <v>1</v>
      </c>
      <c r="K65" s="443">
        <v>1586.1000000000001</v>
      </c>
      <c r="L65" s="444">
        <f t="shared" si="27"/>
        <v>1</v>
      </c>
      <c r="M65" s="443">
        <v>41.22</v>
      </c>
      <c r="N65" s="444">
        <f t="shared" si="28"/>
        <v>2.5988273122753921E-2</v>
      </c>
      <c r="O65" s="445">
        <f t="shared" si="29"/>
        <v>1627.3200000000002</v>
      </c>
      <c r="P65" s="444">
        <f t="shared" si="30"/>
        <v>1.0259882731227539</v>
      </c>
      <c r="Q65" s="442">
        <v>7.88</v>
      </c>
      <c r="R65" s="444">
        <f t="shared" si="31"/>
        <v>4.9681608977996342E-3</v>
      </c>
      <c r="S65" s="452">
        <f t="shared" si="32"/>
        <v>895.79840000000024</v>
      </c>
      <c r="T65" s="445">
        <f t="shared" si="33"/>
        <v>41.220000000000027</v>
      </c>
      <c r="U65" s="444">
        <f t="shared" si="34"/>
        <v>2.5988273122753938E-2</v>
      </c>
      <c r="V65" s="145"/>
      <c r="W65" s="145"/>
      <c r="X65" s="145"/>
      <c r="Y65" s="366" t="s">
        <v>174</v>
      </c>
      <c r="Z65" s="366" t="s">
        <v>428</v>
      </c>
      <c r="AA65" s="367" t="s">
        <v>479</v>
      </c>
      <c r="AB65" s="367" t="s">
        <v>477</v>
      </c>
      <c r="AC65" s="367">
        <v>1</v>
      </c>
      <c r="AD65" s="446" t="s">
        <v>566</v>
      </c>
    </row>
    <row r="66" spans="2:39" s="147" customFormat="1" ht="27" hidden="1" customHeight="1">
      <c r="B66" s="935"/>
      <c r="C66" s="936"/>
      <c r="D66" s="361">
        <v>16</v>
      </c>
      <c r="E66" s="440" t="s">
        <v>432</v>
      </c>
      <c r="F66" s="364">
        <f t="shared" si="25"/>
        <v>4528.122000000003</v>
      </c>
      <c r="G66" s="365">
        <v>368.13999999999993</v>
      </c>
      <c r="H66" s="442">
        <v>463.78000000000003</v>
      </c>
      <c r="I66" s="442">
        <v>463.78000000000003</v>
      </c>
      <c r="J66" s="444">
        <f t="shared" si="26"/>
        <v>1</v>
      </c>
      <c r="K66" s="443">
        <v>463.78000000000003</v>
      </c>
      <c r="L66" s="444">
        <f t="shared" si="27"/>
        <v>1</v>
      </c>
      <c r="M66" s="443">
        <v>12.3</v>
      </c>
      <c r="N66" s="444">
        <f t="shared" si="28"/>
        <v>2.6521195394368018E-2</v>
      </c>
      <c r="O66" s="445">
        <f t="shared" si="29"/>
        <v>476.08000000000004</v>
      </c>
      <c r="P66" s="444">
        <f t="shared" si="30"/>
        <v>1.026521195394368</v>
      </c>
      <c r="Q66" s="442">
        <v>2.62</v>
      </c>
      <c r="R66" s="444">
        <f t="shared" si="31"/>
        <v>5.6492302384751388E-3</v>
      </c>
      <c r="S66" s="452">
        <f t="shared" si="32"/>
        <v>964.52679999999987</v>
      </c>
      <c r="T66" s="445">
        <f t="shared" si="33"/>
        <v>12.300000000000011</v>
      </c>
      <c r="U66" s="444">
        <f t="shared" si="34"/>
        <v>2.6521195394368043E-2</v>
      </c>
      <c r="V66" s="145"/>
      <c r="W66" s="145"/>
      <c r="X66" s="145"/>
      <c r="Y66" s="366" t="s">
        <v>174</v>
      </c>
      <c r="Z66" s="366" t="s">
        <v>428</v>
      </c>
      <c r="AA66" s="367" t="s">
        <v>660</v>
      </c>
      <c r="AB66" s="367" t="s">
        <v>574</v>
      </c>
      <c r="AC66" s="367">
        <v>1</v>
      </c>
      <c r="AD66" s="446" t="s">
        <v>433</v>
      </c>
    </row>
    <row r="67" spans="2:39" s="147" customFormat="1" ht="27" hidden="1" customHeight="1">
      <c r="B67" s="935"/>
      <c r="C67" s="936"/>
      <c r="D67" s="361">
        <v>17</v>
      </c>
      <c r="E67" s="440" t="s">
        <v>619</v>
      </c>
      <c r="F67" s="364">
        <f t="shared" si="25"/>
        <v>4483.369800000024</v>
      </c>
      <c r="G67" s="365">
        <v>39.389999999999993</v>
      </c>
      <c r="H67" s="442">
        <v>5930.2000000000007</v>
      </c>
      <c r="I67" s="442">
        <v>5930.2000000000007</v>
      </c>
      <c r="J67" s="444">
        <f t="shared" si="26"/>
        <v>1</v>
      </c>
      <c r="K67" s="443">
        <v>5934.8000000000011</v>
      </c>
      <c r="L67" s="444">
        <f t="shared" si="27"/>
        <v>1.000775690533203</v>
      </c>
      <c r="M67" s="443">
        <v>109.22</v>
      </c>
      <c r="N67" s="444">
        <f t="shared" si="28"/>
        <v>1.8417591312266026E-2</v>
      </c>
      <c r="O67" s="445">
        <f t="shared" si="29"/>
        <v>6044.0200000000013</v>
      </c>
      <c r="P67" s="444">
        <f t="shared" si="30"/>
        <v>1.019193281845469</v>
      </c>
      <c r="Q67" s="442">
        <v>19.830000000000002</v>
      </c>
      <c r="R67" s="444">
        <f t="shared" si="31"/>
        <v>3.3439007116117499E-3</v>
      </c>
      <c r="S67" s="452">
        <f t="shared" si="32"/>
        <v>781.10369999999989</v>
      </c>
      <c r="T67" s="445">
        <f t="shared" si="33"/>
        <v>113.82000000000062</v>
      </c>
      <c r="U67" s="444">
        <f t="shared" si="34"/>
        <v>1.9193281845469059E-2</v>
      </c>
      <c r="V67" s="145"/>
      <c r="W67" s="145"/>
      <c r="X67" s="145"/>
      <c r="Y67" s="366" t="s">
        <v>174</v>
      </c>
      <c r="Z67" s="366" t="s">
        <v>216</v>
      </c>
      <c r="AA67" s="367" t="s">
        <v>607</v>
      </c>
      <c r="AB67" s="367" t="s">
        <v>525</v>
      </c>
      <c r="AC67" s="367">
        <v>1</v>
      </c>
      <c r="AD67" s="446" t="s">
        <v>614</v>
      </c>
    </row>
    <row r="68" spans="2:39" s="147" customFormat="1" ht="27" hidden="1" customHeight="1">
      <c r="B68" s="935"/>
      <c r="C68" s="936"/>
      <c r="D68" s="361">
        <v>18</v>
      </c>
      <c r="E68" s="440" t="s">
        <v>631</v>
      </c>
      <c r="F68" s="364">
        <f t="shared" si="25"/>
        <v>4455.7127999999984</v>
      </c>
      <c r="G68" s="365">
        <v>43.889999999999993</v>
      </c>
      <c r="H68" s="442">
        <v>3631.4</v>
      </c>
      <c r="I68" s="442">
        <v>3631.4</v>
      </c>
      <c r="J68" s="444">
        <f t="shared" si="26"/>
        <v>1</v>
      </c>
      <c r="K68" s="443">
        <v>3640.3</v>
      </c>
      <c r="L68" s="444">
        <f t="shared" si="27"/>
        <v>1.0024508454039764</v>
      </c>
      <c r="M68" s="443">
        <v>92.62</v>
      </c>
      <c r="N68" s="444">
        <f t="shared" si="28"/>
        <v>2.5505314754640084E-2</v>
      </c>
      <c r="O68" s="445">
        <f t="shared" si="29"/>
        <v>3732.92</v>
      </c>
      <c r="P68" s="444">
        <f t="shared" si="30"/>
        <v>1.0279561601586165</v>
      </c>
      <c r="Q68" s="442">
        <v>33.130000000000003</v>
      </c>
      <c r="R68" s="444">
        <f t="shared" si="31"/>
        <v>9.1232031723302316E-3</v>
      </c>
      <c r="S68" s="452">
        <f t="shared" si="32"/>
        <v>1454.0756999999999</v>
      </c>
      <c r="T68" s="445">
        <f t="shared" si="33"/>
        <v>101.51999999999998</v>
      </c>
      <c r="U68" s="444">
        <f t="shared" si="34"/>
        <v>2.7956160158616506E-2</v>
      </c>
      <c r="V68" s="145"/>
      <c r="W68" s="145"/>
      <c r="X68" s="145"/>
      <c r="Y68" s="366" t="s">
        <v>174</v>
      </c>
      <c r="Z68" s="366" t="s">
        <v>216</v>
      </c>
      <c r="AA68" s="367" t="s">
        <v>607</v>
      </c>
      <c r="AB68" s="367" t="s">
        <v>525</v>
      </c>
      <c r="AC68" s="367">
        <v>1</v>
      </c>
      <c r="AD68" s="446" t="s">
        <v>630</v>
      </c>
    </row>
    <row r="69" spans="2:39" s="147" customFormat="1" ht="27" hidden="1" customHeight="1">
      <c r="B69" s="935"/>
      <c r="C69" s="936"/>
      <c r="D69" s="361">
        <v>19</v>
      </c>
      <c r="E69" s="440" t="s">
        <v>483</v>
      </c>
      <c r="F69" s="364">
        <f t="shared" si="25"/>
        <v>4409.0689999999904</v>
      </c>
      <c r="G69" s="365">
        <v>370.50999999999993</v>
      </c>
      <c r="H69" s="442">
        <v>430.84000000000003</v>
      </c>
      <c r="I69" s="442">
        <v>430.84000000000003</v>
      </c>
      <c r="J69" s="444">
        <f t="shared" si="26"/>
        <v>1</v>
      </c>
      <c r="K69" s="443">
        <v>430.84000000000003</v>
      </c>
      <c r="L69" s="444">
        <f t="shared" si="27"/>
        <v>1</v>
      </c>
      <c r="M69" s="443">
        <v>11.900000000000002</v>
      </c>
      <c r="N69" s="444">
        <f t="shared" si="28"/>
        <v>2.7620462352613503E-2</v>
      </c>
      <c r="O69" s="445">
        <f t="shared" si="29"/>
        <v>442.74</v>
      </c>
      <c r="P69" s="444">
        <f t="shared" si="30"/>
        <v>1.0276204623526135</v>
      </c>
      <c r="Q69" s="442">
        <v>2.9600000000000004</v>
      </c>
      <c r="R69" s="444">
        <f t="shared" si="31"/>
        <v>6.8702998793055432E-3</v>
      </c>
      <c r="S69" s="452">
        <f t="shared" si="32"/>
        <v>1096.7095999999999</v>
      </c>
      <c r="T69" s="445">
        <f t="shared" si="33"/>
        <v>11.899999999999977</v>
      </c>
      <c r="U69" s="444">
        <f t="shared" si="34"/>
        <v>2.7620462352613444E-2</v>
      </c>
      <c r="V69" s="145"/>
      <c r="W69" s="145"/>
      <c r="X69" s="145"/>
      <c r="Y69" s="366" t="s">
        <v>174</v>
      </c>
      <c r="Z69" s="366" t="s">
        <v>428</v>
      </c>
      <c r="AA69" s="367" t="s">
        <v>660</v>
      </c>
      <c r="AB69" s="367" t="s">
        <v>574</v>
      </c>
      <c r="AC69" s="367">
        <v>1</v>
      </c>
      <c r="AD69" s="446" t="s">
        <v>353</v>
      </c>
    </row>
    <row r="70" spans="2:39" s="147" customFormat="1" ht="27" hidden="1" customHeight="1">
      <c r="B70" s="937"/>
      <c r="C70" s="938"/>
      <c r="D70" s="361">
        <v>20</v>
      </c>
      <c r="E70" s="440" t="s">
        <v>420</v>
      </c>
      <c r="F70" s="364">
        <f t="shared" si="25"/>
        <v>4336.6889000000056</v>
      </c>
      <c r="G70" s="365">
        <v>157.87000000000003</v>
      </c>
      <c r="H70" s="442">
        <v>1809.74</v>
      </c>
      <c r="I70" s="442">
        <v>1809.74</v>
      </c>
      <c r="J70" s="444">
        <f t="shared" si="26"/>
        <v>1</v>
      </c>
      <c r="K70" s="443">
        <v>1809.74</v>
      </c>
      <c r="L70" s="444">
        <f t="shared" si="27"/>
        <v>1</v>
      </c>
      <c r="M70" s="443">
        <v>27.47</v>
      </c>
      <c r="N70" s="444">
        <f t="shared" si="28"/>
        <v>1.5178975985500678E-2</v>
      </c>
      <c r="O70" s="445">
        <f t="shared" si="29"/>
        <v>1837.21</v>
      </c>
      <c r="P70" s="444">
        <f t="shared" si="30"/>
        <v>1.0151789759855008</v>
      </c>
      <c r="Q70" s="442">
        <v>5.57</v>
      </c>
      <c r="R70" s="444">
        <f t="shared" si="31"/>
        <v>3.0777901798048342E-3</v>
      </c>
      <c r="S70" s="452">
        <f t="shared" si="32"/>
        <v>879.33590000000027</v>
      </c>
      <c r="T70" s="445">
        <f t="shared" si="33"/>
        <v>27.470000000000027</v>
      </c>
      <c r="U70" s="444">
        <f t="shared" si="34"/>
        <v>1.5178975985500694E-2</v>
      </c>
      <c r="V70" s="145"/>
      <c r="W70" s="145"/>
      <c r="X70" s="145"/>
      <c r="Y70" s="366" t="s">
        <v>174</v>
      </c>
      <c r="Z70" s="366" t="s">
        <v>428</v>
      </c>
      <c r="AA70" s="367" t="s">
        <v>541</v>
      </c>
      <c r="AB70" s="367" t="s">
        <v>542</v>
      </c>
      <c r="AC70" s="367">
        <v>1</v>
      </c>
      <c r="AD70" s="446" t="s">
        <v>340</v>
      </c>
    </row>
    <row r="71" spans="2:39" ht="17.100000000000001" hidden="1" customHeight="1">
      <c r="B71" s="949" t="s">
        <v>442</v>
      </c>
      <c r="C71" s="950"/>
      <c r="D71" s="953" t="s">
        <v>549</v>
      </c>
      <c r="E71" s="954" t="s">
        <v>550</v>
      </c>
      <c r="F71" s="995" t="s">
        <v>567</v>
      </c>
      <c r="G71" s="922" t="s">
        <v>552</v>
      </c>
      <c r="H71" s="956" t="s">
        <v>553</v>
      </c>
      <c r="I71" s="939" t="s">
        <v>554</v>
      </c>
      <c r="J71" s="940"/>
      <c r="K71" s="939" t="s">
        <v>555</v>
      </c>
      <c r="L71" s="940"/>
      <c r="M71" s="939" t="s">
        <v>556</v>
      </c>
      <c r="N71" s="940"/>
      <c r="O71" s="939" t="s">
        <v>557</v>
      </c>
      <c r="P71" s="940"/>
      <c r="Q71" s="939" t="s">
        <v>418</v>
      </c>
      <c r="R71" s="994"/>
      <c r="S71" s="940"/>
      <c r="T71" s="941" t="s">
        <v>419</v>
      </c>
      <c r="U71" s="943"/>
      <c r="Y71" s="947" t="s">
        <v>171</v>
      </c>
      <c r="Z71" s="947" t="s">
        <v>245</v>
      </c>
      <c r="AA71" s="947" t="s">
        <v>558</v>
      </c>
      <c r="AB71" s="947" t="s">
        <v>444</v>
      </c>
      <c r="AC71" s="947" t="s">
        <v>246</v>
      </c>
      <c r="AD71" s="922" t="s">
        <v>172</v>
      </c>
      <c r="AF71" s="924" t="s">
        <v>247</v>
      </c>
      <c r="AG71" s="925"/>
      <c r="AH71" s="925"/>
      <c r="AI71" s="925"/>
      <c r="AJ71" s="925"/>
      <c r="AK71" s="925"/>
      <c r="AL71" s="925"/>
      <c r="AM71" s="926"/>
    </row>
    <row r="72" spans="2:39" ht="16.5" hidden="1" customHeight="1">
      <c r="B72" s="951"/>
      <c r="C72" s="952"/>
      <c r="D72" s="953"/>
      <c r="E72" s="953"/>
      <c r="F72" s="955"/>
      <c r="G72" s="923"/>
      <c r="H72" s="923"/>
      <c r="I72" s="439" t="s">
        <v>559</v>
      </c>
      <c r="J72" s="362" t="s">
        <v>560</v>
      </c>
      <c r="K72" s="439" t="s">
        <v>559</v>
      </c>
      <c r="L72" s="362" t="s">
        <v>560</v>
      </c>
      <c r="M72" s="439" t="s">
        <v>559</v>
      </c>
      <c r="N72" s="362" t="s">
        <v>560</v>
      </c>
      <c r="O72" s="439" t="s">
        <v>559</v>
      </c>
      <c r="P72" s="362" t="s">
        <v>560</v>
      </c>
      <c r="Q72" s="439" t="s">
        <v>559</v>
      </c>
      <c r="R72" s="362" t="s">
        <v>560</v>
      </c>
      <c r="S72" s="362" t="s">
        <v>561</v>
      </c>
      <c r="T72" s="439" t="s">
        <v>559</v>
      </c>
      <c r="U72" s="362" t="s">
        <v>560</v>
      </c>
      <c r="Y72" s="948"/>
      <c r="Z72" s="948"/>
      <c r="AA72" s="948"/>
      <c r="AB72" s="948"/>
      <c r="AC72" s="948"/>
      <c r="AD72" s="923"/>
      <c r="AF72" s="927"/>
      <c r="AG72" s="928"/>
      <c r="AH72" s="928"/>
      <c r="AI72" s="928"/>
      <c r="AJ72" s="928"/>
      <c r="AK72" s="928"/>
      <c r="AL72" s="928"/>
      <c r="AM72" s="929"/>
    </row>
    <row r="73" spans="2:39" s="147" customFormat="1" ht="27" hidden="1" customHeight="1">
      <c r="B73" s="933" t="s">
        <v>627</v>
      </c>
      <c r="C73" s="934"/>
      <c r="D73" s="361">
        <v>1</v>
      </c>
      <c r="E73" s="440" t="s">
        <v>336</v>
      </c>
      <c r="F73" s="364">
        <f>IFERROR(T73*G73,"-")</f>
        <v>9627.1790000000292</v>
      </c>
      <c r="G73" s="365">
        <v>147.43000000000004</v>
      </c>
      <c r="H73" s="442">
        <v>4104.16</v>
      </c>
      <c r="I73" s="442">
        <v>4104.16</v>
      </c>
      <c r="J73" s="444">
        <f>IFERROR(I73/H73,"-")</f>
        <v>1</v>
      </c>
      <c r="K73" s="443">
        <v>4104.16</v>
      </c>
      <c r="L73" s="444">
        <f>IFERROR(K73/H73,"-")</f>
        <v>1</v>
      </c>
      <c r="M73" s="443">
        <v>65.3</v>
      </c>
      <c r="N73" s="444">
        <f>IFERROR(M73/H73,"-")</f>
        <v>1.5910685743245879E-2</v>
      </c>
      <c r="O73" s="445">
        <f>IFERROR(K73+M73,"-")</f>
        <v>4169.46</v>
      </c>
      <c r="P73" s="444">
        <f>IFERROR(O73/H73,"-")</f>
        <v>1.0159106857432458</v>
      </c>
      <c r="Q73" s="442">
        <v>9.59</v>
      </c>
      <c r="R73" s="444">
        <f>IFERROR(Q73/H73,"-")</f>
        <v>2.3366535417722505E-3</v>
      </c>
      <c r="S73" s="452">
        <f>IFERROR(Q73*G73,"-")</f>
        <v>1413.8537000000003</v>
      </c>
      <c r="T73" s="445">
        <f>IFERROR(O73-H73,"-")</f>
        <v>65.300000000000182</v>
      </c>
      <c r="U73" s="444">
        <f>IFERROR(T73/H73,"-")</f>
        <v>1.5910685743245924E-2</v>
      </c>
      <c r="V73" s="145"/>
      <c r="W73" s="145"/>
      <c r="X73" s="145"/>
      <c r="Y73" s="366" t="s">
        <v>174</v>
      </c>
      <c r="Z73" s="366" t="s">
        <v>215</v>
      </c>
      <c r="AA73" s="367" t="s">
        <v>478</v>
      </c>
      <c r="AB73" s="367" t="s">
        <v>524</v>
      </c>
      <c r="AC73" s="367">
        <v>1</v>
      </c>
      <c r="AD73" s="446" t="s">
        <v>340</v>
      </c>
      <c r="AF73" s="930"/>
      <c r="AG73" s="931"/>
      <c r="AH73" s="931"/>
      <c r="AI73" s="931"/>
      <c r="AJ73" s="931"/>
      <c r="AK73" s="931"/>
      <c r="AL73" s="931"/>
      <c r="AM73" s="932"/>
    </row>
    <row r="74" spans="2:39" s="147" customFormat="1" ht="27" hidden="1" customHeight="1">
      <c r="B74" s="935"/>
      <c r="C74" s="936"/>
      <c r="D74" s="361">
        <v>2</v>
      </c>
      <c r="E74" s="440" t="s">
        <v>534</v>
      </c>
      <c r="F74" s="364">
        <f t="shared" ref="F74:F92" si="38">IFERROR(T74*G74,"-")</f>
        <v>6189.7445999999763</v>
      </c>
      <c r="G74" s="365">
        <v>39.389999999999993</v>
      </c>
      <c r="H74" s="442">
        <v>29156.94</v>
      </c>
      <c r="I74" s="442">
        <v>29156.94</v>
      </c>
      <c r="J74" s="444">
        <f t="shared" ref="J74:J92" si="39">IFERROR(I74/H74,"-")</f>
        <v>1</v>
      </c>
      <c r="K74" s="443">
        <v>29156.94</v>
      </c>
      <c r="L74" s="444">
        <f t="shared" ref="L74:L92" si="40">IFERROR(K74/H74,"-")</f>
        <v>1</v>
      </c>
      <c r="M74" s="443">
        <v>157.14000000000001</v>
      </c>
      <c r="N74" s="444">
        <f t="shared" ref="N74:N92" si="41">IFERROR(M74/H74,"-")</f>
        <v>5.3894544489236536E-3</v>
      </c>
      <c r="O74" s="445">
        <f t="shared" ref="O74:O92" si="42">IFERROR(K74+M74,"-")</f>
        <v>29314.079999999998</v>
      </c>
      <c r="P74" s="444">
        <f t="shared" ref="P74:P92" si="43">IFERROR(O74/H74,"-")</f>
        <v>1.0053894544489237</v>
      </c>
      <c r="Q74" s="442">
        <v>38.880000000000003</v>
      </c>
      <c r="R74" s="444">
        <f t="shared" ref="R74:R92" si="44">IFERROR(Q74/H74,"-")</f>
        <v>1.3334732657130689E-3</v>
      </c>
      <c r="S74" s="452">
        <f t="shared" ref="S74:S92" si="45">IFERROR(Q74*G74,"-")</f>
        <v>1531.4831999999999</v>
      </c>
      <c r="T74" s="445">
        <f t="shared" ref="T74:T92" si="46">IFERROR(O74-H74,"-")</f>
        <v>157.13999999999942</v>
      </c>
      <c r="U74" s="444">
        <f t="shared" ref="U74:U92" si="47">IFERROR(T74/H74,"-")</f>
        <v>5.3894544489236328E-3</v>
      </c>
      <c r="V74" s="145"/>
      <c r="W74" s="145"/>
      <c r="X74" s="145"/>
      <c r="Y74" s="366" t="s">
        <v>174</v>
      </c>
      <c r="Z74" s="366" t="s">
        <v>216</v>
      </c>
      <c r="AA74" s="367" t="s">
        <v>682</v>
      </c>
      <c r="AB74" s="367" t="s">
        <v>683</v>
      </c>
      <c r="AC74" s="367">
        <v>1</v>
      </c>
      <c r="AD74" s="446" t="s">
        <v>340</v>
      </c>
      <c r="AF74" s="160" t="s">
        <v>244</v>
      </c>
      <c r="AG74" s="160" t="s">
        <v>445</v>
      </c>
      <c r="AH74" s="155" t="s">
        <v>562</v>
      </c>
      <c r="AI74" s="155" t="s">
        <v>337</v>
      </c>
      <c r="AJ74" s="155" t="s">
        <v>428</v>
      </c>
      <c r="AK74" s="155" t="s">
        <v>215</v>
      </c>
      <c r="AL74" s="155" t="s">
        <v>216</v>
      </c>
      <c r="AM74" s="155" t="s">
        <v>384</v>
      </c>
    </row>
    <row r="75" spans="2:39" s="147" customFormat="1" ht="27" hidden="1" customHeight="1">
      <c r="B75" s="935"/>
      <c r="C75" s="936"/>
      <c r="D75" s="361">
        <v>3</v>
      </c>
      <c r="E75" s="440" t="s">
        <v>633</v>
      </c>
      <c r="F75" s="364">
        <f t="shared" si="38"/>
        <v>5900.5999999999995</v>
      </c>
      <c r="G75" s="365">
        <v>144.79999999999998</v>
      </c>
      <c r="H75" s="442">
        <v>2378.71</v>
      </c>
      <c r="I75" s="442">
        <v>2378.71</v>
      </c>
      <c r="J75" s="444">
        <f t="shared" si="39"/>
        <v>1</v>
      </c>
      <c r="K75" s="443">
        <v>2378.71</v>
      </c>
      <c r="L75" s="444">
        <f t="shared" si="40"/>
        <v>1</v>
      </c>
      <c r="M75" s="443">
        <v>40.75</v>
      </c>
      <c r="N75" s="444">
        <f t="shared" si="41"/>
        <v>1.7131134102097354E-2</v>
      </c>
      <c r="O75" s="445">
        <f t="shared" si="42"/>
        <v>2419.46</v>
      </c>
      <c r="P75" s="444">
        <f t="shared" si="43"/>
        <v>1.0171311341020974</v>
      </c>
      <c r="Q75" s="442">
        <v>5.8800000000000008</v>
      </c>
      <c r="R75" s="444">
        <f t="shared" si="44"/>
        <v>2.4719280618486494E-3</v>
      </c>
      <c r="S75" s="452">
        <f t="shared" si="45"/>
        <v>851.42399999999998</v>
      </c>
      <c r="T75" s="445">
        <f t="shared" si="46"/>
        <v>40.75</v>
      </c>
      <c r="U75" s="444">
        <f t="shared" si="47"/>
        <v>1.7131134102097354E-2</v>
      </c>
      <c r="V75" s="145"/>
      <c r="W75" s="145"/>
      <c r="X75" s="145"/>
      <c r="Y75" s="366" t="s">
        <v>174</v>
      </c>
      <c r="Z75" s="366" t="s">
        <v>428</v>
      </c>
      <c r="AA75" s="367" t="s">
        <v>607</v>
      </c>
      <c r="AB75" s="367" t="s">
        <v>573</v>
      </c>
      <c r="AC75" s="367">
        <v>1</v>
      </c>
      <c r="AD75" s="446" t="s">
        <v>340</v>
      </c>
      <c r="AF75" s="374">
        <f>SUM(AC73:AC92)</f>
        <v>20</v>
      </c>
      <c r="AG75" s="369">
        <f>SUMIF($Z$73:$Z$92,TRIM(AG74),$AC$73:$AC$92)</f>
        <v>0</v>
      </c>
      <c r="AH75" s="369">
        <f t="shared" ref="AH75:AM75" si="48">SUMIF($Z$73:$Z$92,TRIM(AH74),$AC$73:$AC$92)</f>
        <v>0</v>
      </c>
      <c r="AI75" s="369">
        <f t="shared" si="48"/>
        <v>0</v>
      </c>
      <c r="AJ75" s="369">
        <f t="shared" si="48"/>
        <v>10</v>
      </c>
      <c r="AK75" s="369">
        <f t="shared" si="48"/>
        <v>1</v>
      </c>
      <c r="AL75" s="369">
        <f t="shared" si="48"/>
        <v>9</v>
      </c>
      <c r="AM75" s="369">
        <f t="shared" si="48"/>
        <v>0</v>
      </c>
    </row>
    <row r="76" spans="2:39" s="147" customFormat="1" ht="27" hidden="1" customHeight="1">
      <c r="B76" s="935"/>
      <c r="C76" s="936"/>
      <c r="D76" s="361">
        <v>4</v>
      </c>
      <c r="E76" s="440" t="s">
        <v>386</v>
      </c>
      <c r="F76" s="364">
        <f t="shared" si="38"/>
        <v>5254.2239999999892</v>
      </c>
      <c r="G76" s="365">
        <v>127.84000000000002</v>
      </c>
      <c r="H76" s="442">
        <v>3665.4800000000005</v>
      </c>
      <c r="I76" s="442">
        <v>3665.4800000000005</v>
      </c>
      <c r="J76" s="444">
        <f t="shared" si="39"/>
        <v>1</v>
      </c>
      <c r="K76" s="443">
        <v>3665.4800000000005</v>
      </c>
      <c r="L76" s="444">
        <f t="shared" si="40"/>
        <v>1</v>
      </c>
      <c r="M76" s="443">
        <v>41.1</v>
      </c>
      <c r="N76" s="444">
        <f t="shared" si="41"/>
        <v>1.1212719752938223E-2</v>
      </c>
      <c r="O76" s="445">
        <f t="shared" si="42"/>
        <v>3706.5800000000004</v>
      </c>
      <c r="P76" s="444">
        <f t="shared" si="43"/>
        <v>1.0112127197529381</v>
      </c>
      <c r="Q76" s="442">
        <v>9.5299999999999994</v>
      </c>
      <c r="R76" s="444">
        <f t="shared" si="44"/>
        <v>2.5999323417396896E-3</v>
      </c>
      <c r="S76" s="452">
        <f t="shared" si="45"/>
        <v>1218.3152</v>
      </c>
      <c r="T76" s="445">
        <f t="shared" si="46"/>
        <v>41.099999999999909</v>
      </c>
      <c r="U76" s="444">
        <f t="shared" si="47"/>
        <v>1.1212719752938197E-2</v>
      </c>
      <c r="V76" s="145"/>
      <c r="W76" s="145"/>
      <c r="X76" s="145"/>
      <c r="Y76" s="366" t="s">
        <v>174</v>
      </c>
      <c r="Z76" s="366" t="s">
        <v>428</v>
      </c>
      <c r="AA76" s="367" t="s">
        <v>607</v>
      </c>
      <c r="AB76" s="367" t="s">
        <v>525</v>
      </c>
      <c r="AC76" s="367">
        <v>1</v>
      </c>
      <c r="AD76" s="446" t="s">
        <v>340</v>
      </c>
      <c r="AF76" s="375"/>
      <c r="AG76" s="372">
        <f t="shared" ref="AG76:AM76" si="49">SUMIF($Z$73:$Z$92,TRIM(AG74),$F$73:$F$92)</f>
        <v>0</v>
      </c>
      <c r="AH76" s="372">
        <f t="shared" si="49"/>
        <v>0</v>
      </c>
      <c r="AI76" s="372">
        <f t="shared" si="49"/>
        <v>0</v>
      </c>
      <c r="AJ76" s="372">
        <f t="shared" si="49"/>
        <v>42291.047799999898</v>
      </c>
      <c r="AK76" s="372">
        <f t="shared" si="49"/>
        <v>9627.1790000000292</v>
      </c>
      <c r="AL76" s="372">
        <f t="shared" si="49"/>
        <v>39366.486830000023</v>
      </c>
      <c r="AM76" s="372">
        <f t="shared" si="49"/>
        <v>0</v>
      </c>
    </row>
    <row r="77" spans="2:39" s="147" customFormat="1" ht="27" hidden="1" customHeight="1">
      <c r="B77" s="935"/>
      <c r="C77" s="936"/>
      <c r="D77" s="361">
        <v>5</v>
      </c>
      <c r="E77" s="440" t="s">
        <v>652</v>
      </c>
      <c r="F77" s="364">
        <f t="shared" si="38"/>
        <v>5136.7551299999986</v>
      </c>
      <c r="G77" s="365">
        <v>31.59</v>
      </c>
      <c r="H77" s="442">
        <v>5557.7400000000007</v>
      </c>
      <c r="I77" s="442">
        <v>5557.7400000000007</v>
      </c>
      <c r="J77" s="444">
        <f t="shared" si="39"/>
        <v>1</v>
      </c>
      <c r="K77" s="443">
        <v>5557.7400000000007</v>
      </c>
      <c r="L77" s="444">
        <f t="shared" si="40"/>
        <v>1</v>
      </c>
      <c r="M77" s="443">
        <v>162.607</v>
      </c>
      <c r="N77" s="444">
        <f t="shared" si="41"/>
        <v>2.9257755850399619E-2</v>
      </c>
      <c r="O77" s="445">
        <f t="shared" si="42"/>
        <v>5720.3470000000007</v>
      </c>
      <c r="P77" s="444">
        <f t="shared" si="43"/>
        <v>1.0292577558503997</v>
      </c>
      <c r="Q77" s="442">
        <v>28.46</v>
      </c>
      <c r="R77" s="444">
        <f t="shared" si="44"/>
        <v>5.120786506745547E-3</v>
      </c>
      <c r="S77" s="452">
        <f t="shared" si="45"/>
        <v>899.05140000000006</v>
      </c>
      <c r="T77" s="445">
        <f t="shared" si="46"/>
        <v>162.60699999999997</v>
      </c>
      <c r="U77" s="444">
        <f t="shared" si="47"/>
        <v>2.9257755850399615E-2</v>
      </c>
      <c r="V77" s="145"/>
      <c r="W77" s="145"/>
      <c r="X77" s="145"/>
      <c r="Y77" s="366" t="s">
        <v>174</v>
      </c>
      <c r="Z77" s="366" t="s">
        <v>216</v>
      </c>
      <c r="AA77" s="367" t="s">
        <v>479</v>
      </c>
      <c r="AB77" s="367" t="s">
        <v>477</v>
      </c>
      <c r="AC77" s="367">
        <v>1</v>
      </c>
      <c r="AD77" s="446" t="s">
        <v>650</v>
      </c>
      <c r="AF77" s="361"/>
      <c r="AG77" s="373">
        <f t="shared" ref="AG77:AM77" si="50">AG75/$AF75</f>
        <v>0</v>
      </c>
      <c r="AH77" s="373">
        <f t="shared" si="50"/>
        <v>0</v>
      </c>
      <c r="AI77" s="373">
        <f t="shared" si="50"/>
        <v>0</v>
      </c>
      <c r="AJ77" s="373">
        <f t="shared" si="50"/>
        <v>0.5</v>
      </c>
      <c r="AK77" s="373">
        <f t="shared" si="50"/>
        <v>0.05</v>
      </c>
      <c r="AL77" s="373">
        <f t="shared" si="50"/>
        <v>0.45</v>
      </c>
      <c r="AM77" s="373">
        <f t="shared" si="50"/>
        <v>0</v>
      </c>
    </row>
    <row r="78" spans="2:39" s="147" customFormat="1" ht="27" hidden="1" customHeight="1">
      <c r="B78" s="935"/>
      <c r="C78" s="936"/>
      <c r="D78" s="361">
        <v>6</v>
      </c>
      <c r="E78" s="440" t="s">
        <v>461</v>
      </c>
      <c r="F78" s="364">
        <f t="shared" si="38"/>
        <v>4729.7840000000097</v>
      </c>
      <c r="G78" s="365">
        <v>407.74000000000007</v>
      </c>
      <c r="H78" s="442">
        <v>965.51</v>
      </c>
      <c r="I78" s="442">
        <v>965.51</v>
      </c>
      <c r="J78" s="444">
        <f t="shared" si="39"/>
        <v>1</v>
      </c>
      <c r="K78" s="443">
        <v>965.51</v>
      </c>
      <c r="L78" s="444">
        <f t="shared" si="40"/>
        <v>1</v>
      </c>
      <c r="M78" s="443">
        <v>11.6</v>
      </c>
      <c r="N78" s="444">
        <f t="shared" si="41"/>
        <v>1.201437582210438E-2</v>
      </c>
      <c r="O78" s="445">
        <f t="shared" si="42"/>
        <v>977.11</v>
      </c>
      <c r="P78" s="444">
        <f t="shared" si="43"/>
        <v>1.0120143758221043</v>
      </c>
      <c r="Q78" s="442">
        <v>2.84</v>
      </c>
      <c r="R78" s="444">
        <f t="shared" si="44"/>
        <v>2.9414506323083137E-3</v>
      </c>
      <c r="S78" s="452">
        <f t="shared" si="45"/>
        <v>1157.9816000000001</v>
      </c>
      <c r="T78" s="445">
        <f t="shared" si="46"/>
        <v>11.600000000000023</v>
      </c>
      <c r="U78" s="444">
        <f t="shared" si="47"/>
        <v>1.2014375822104404E-2</v>
      </c>
      <c r="V78" s="145"/>
      <c r="W78" s="145"/>
      <c r="X78" s="145"/>
      <c r="Y78" s="366" t="s">
        <v>174</v>
      </c>
      <c r="Z78" s="366" t="s">
        <v>216</v>
      </c>
      <c r="AA78" s="367" t="s">
        <v>480</v>
      </c>
      <c r="AB78" s="367" t="s">
        <v>481</v>
      </c>
      <c r="AC78" s="367">
        <v>1</v>
      </c>
      <c r="AD78" s="446" t="s">
        <v>463</v>
      </c>
    </row>
    <row r="79" spans="2:39" s="147" customFormat="1" ht="27" hidden="1" customHeight="1">
      <c r="B79" s="935"/>
      <c r="C79" s="936"/>
      <c r="D79" s="361">
        <v>7</v>
      </c>
      <c r="E79" s="440" t="s">
        <v>619</v>
      </c>
      <c r="F79" s="364">
        <f t="shared" si="38"/>
        <v>4576.7240999999831</v>
      </c>
      <c r="G79" s="365">
        <v>39.389999999999993</v>
      </c>
      <c r="H79" s="442">
        <v>5900.0300000000007</v>
      </c>
      <c r="I79" s="442">
        <v>5900.0300000000007</v>
      </c>
      <c r="J79" s="444">
        <f t="shared" si="39"/>
        <v>1</v>
      </c>
      <c r="K79" s="443">
        <v>5900.0300000000007</v>
      </c>
      <c r="L79" s="444">
        <f t="shared" si="40"/>
        <v>1</v>
      </c>
      <c r="M79" s="443">
        <v>116.19</v>
      </c>
      <c r="N79" s="444">
        <f t="shared" si="41"/>
        <v>1.9693120204473533E-2</v>
      </c>
      <c r="O79" s="445">
        <f t="shared" si="42"/>
        <v>6016.22</v>
      </c>
      <c r="P79" s="444">
        <f t="shared" si="43"/>
        <v>1.0196931202044734</v>
      </c>
      <c r="Q79" s="442">
        <v>29.81</v>
      </c>
      <c r="R79" s="444">
        <f t="shared" si="44"/>
        <v>5.0525166821185647E-3</v>
      </c>
      <c r="S79" s="452">
        <f t="shared" si="45"/>
        <v>1174.2158999999997</v>
      </c>
      <c r="T79" s="445">
        <f t="shared" si="46"/>
        <v>116.1899999999996</v>
      </c>
      <c r="U79" s="444">
        <f t="shared" si="47"/>
        <v>1.9693120204473467E-2</v>
      </c>
      <c r="V79" s="145"/>
      <c r="W79" s="145"/>
      <c r="X79" s="145"/>
      <c r="Y79" s="366" t="s">
        <v>174</v>
      </c>
      <c r="Z79" s="366" t="s">
        <v>216</v>
      </c>
      <c r="AA79" s="367" t="s">
        <v>682</v>
      </c>
      <c r="AB79" s="367" t="s">
        <v>683</v>
      </c>
      <c r="AC79" s="367">
        <v>1</v>
      </c>
      <c r="AD79" s="446" t="s">
        <v>614</v>
      </c>
    </row>
    <row r="80" spans="2:39" s="147" customFormat="1" ht="27" hidden="1" customHeight="1">
      <c r="B80" s="935"/>
      <c r="C80" s="936"/>
      <c r="D80" s="361">
        <v>8</v>
      </c>
      <c r="E80" s="440" t="s">
        <v>635</v>
      </c>
      <c r="F80" s="364">
        <f t="shared" si="38"/>
        <v>4428.4997999999932</v>
      </c>
      <c r="G80" s="365">
        <v>49.82</v>
      </c>
      <c r="H80" s="442">
        <v>3093.75</v>
      </c>
      <c r="I80" s="442">
        <v>3093.75</v>
      </c>
      <c r="J80" s="444">
        <f t="shared" si="39"/>
        <v>1</v>
      </c>
      <c r="K80" s="443">
        <v>3093.75</v>
      </c>
      <c r="L80" s="444">
        <f t="shared" si="40"/>
        <v>1</v>
      </c>
      <c r="M80" s="443">
        <v>88.89</v>
      </c>
      <c r="N80" s="444">
        <f t="shared" si="41"/>
        <v>2.8732121212121212E-2</v>
      </c>
      <c r="O80" s="445">
        <f t="shared" si="42"/>
        <v>3182.64</v>
      </c>
      <c r="P80" s="444">
        <f t="shared" si="43"/>
        <v>1.0287321212121212</v>
      </c>
      <c r="Q80" s="442">
        <v>18.049999999999997</v>
      </c>
      <c r="R80" s="444">
        <f t="shared" si="44"/>
        <v>5.8343434343434333E-3</v>
      </c>
      <c r="S80" s="452">
        <f t="shared" si="45"/>
        <v>899.25099999999986</v>
      </c>
      <c r="T80" s="445">
        <f t="shared" si="46"/>
        <v>88.889999999999873</v>
      </c>
      <c r="U80" s="444">
        <f t="shared" si="47"/>
        <v>2.8732121212121171E-2</v>
      </c>
      <c r="V80" s="145"/>
      <c r="W80" s="145"/>
      <c r="X80" s="145"/>
      <c r="Y80" s="366" t="s">
        <v>174</v>
      </c>
      <c r="Z80" s="366" t="s">
        <v>428</v>
      </c>
      <c r="AA80" s="367" t="s">
        <v>479</v>
      </c>
      <c r="AB80" s="367" t="s">
        <v>477</v>
      </c>
      <c r="AC80" s="367">
        <v>1</v>
      </c>
      <c r="AD80" s="446" t="s">
        <v>616</v>
      </c>
    </row>
    <row r="81" spans="2:39" s="147" customFormat="1" ht="27" hidden="1" customHeight="1">
      <c r="B81" s="935"/>
      <c r="C81" s="936"/>
      <c r="D81" s="361">
        <v>9</v>
      </c>
      <c r="E81" s="440" t="s">
        <v>464</v>
      </c>
      <c r="F81" s="364">
        <f t="shared" si="38"/>
        <v>4170.2699999999968</v>
      </c>
      <c r="G81" s="365">
        <v>629</v>
      </c>
      <c r="H81" s="442">
        <v>259.95</v>
      </c>
      <c r="I81" s="442">
        <v>259.95</v>
      </c>
      <c r="J81" s="444">
        <f t="shared" si="39"/>
        <v>1</v>
      </c>
      <c r="K81" s="443">
        <v>259.95</v>
      </c>
      <c r="L81" s="444">
        <f t="shared" si="40"/>
        <v>1</v>
      </c>
      <c r="M81" s="443">
        <v>6.63</v>
      </c>
      <c r="N81" s="444">
        <f t="shared" si="41"/>
        <v>2.5504904789382575E-2</v>
      </c>
      <c r="O81" s="445">
        <f t="shared" si="42"/>
        <v>266.58</v>
      </c>
      <c r="P81" s="444">
        <f t="shared" si="43"/>
        <v>1.0255049047893825</v>
      </c>
      <c r="Q81" s="442">
        <v>1.3199999999999998</v>
      </c>
      <c r="R81" s="444">
        <f t="shared" si="44"/>
        <v>5.0778995960761679E-3</v>
      </c>
      <c r="S81" s="452">
        <f t="shared" si="45"/>
        <v>830.27999999999986</v>
      </c>
      <c r="T81" s="445">
        <f t="shared" si="46"/>
        <v>6.6299999999999955</v>
      </c>
      <c r="U81" s="444">
        <f t="shared" si="47"/>
        <v>2.5504904789382558E-2</v>
      </c>
      <c r="V81" s="145"/>
      <c r="W81" s="145"/>
      <c r="X81" s="145"/>
      <c r="Y81" s="366" t="s">
        <v>174</v>
      </c>
      <c r="Z81" s="366" t="s">
        <v>428</v>
      </c>
      <c r="AA81" s="367" t="s">
        <v>482</v>
      </c>
      <c r="AB81" s="367" t="s">
        <v>547</v>
      </c>
      <c r="AC81" s="367">
        <v>1</v>
      </c>
      <c r="AD81" s="446" t="s">
        <v>458</v>
      </c>
    </row>
    <row r="82" spans="2:39" s="147" customFormat="1" ht="27" hidden="1" customHeight="1">
      <c r="B82" s="935"/>
      <c r="C82" s="936"/>
      <c r="D82" s="361">
        <v>10</v>
      </c>
      <c r="E82" s="440" t="s">
        <v>583</v>
      </c>
      <c r="F82" s="364">
        <f t="shared" si="38"/>
        <v>4159.5511999999917</v>
      </c>
      <c r="G82" s="365">
        <v>113.68000000000004</v>
      </c>
      <c r="H82" s="442">
        <v>1240.8</v>
      </c>
      <c r="I82" s="442">
        <v>1240.8</v>
      </c>
      <c r="J82" s="444">
        <f t="shared" si="39"/>
        <v>1</v>
      </c>
      <c r="K82" s="443">
        <v>1240.8</v>
      </c>
      <c r="L82" s="444">
        <f t="shared" si="40"/>
        <v>1</v>
      </c>
      <c r="M82" s="443">
        <v>36.589999999999996</v>
      </c>
      <c r="N82" s="444">
        <f t="shared" si="41"/>
        <v>2.948903932946486E-2</v>
      </c>
      <c r="O82" s="445">
        <f t="shared" si="42"/>
        <v>1277.3899999999999</v>
      </c>
      <c r="P82" s="444">
        <f t="shared" si="43"/>
        <v>1.0294890393294649</v>
      </c>
      <c r="Q82" s="442">
        <v>8.11</v>
      </c>
      <c r="R82" s="444">
        <f t="shared" si="44"/>
        <v>6.5361057382333975E-3</v>
      </c>
      <c r="S82" s="452">
        <f t="shared" si="45"/>
        <v>921.94480000000021</v>
      </c>
      <c r="T82" s="445">
        <f t="shared" si="46"/>
        <v>36.589999999999918</v>
      </c>
      <c r="U82" s="444">
        <f t="shared" si="47"/>
        <v>2.9489039329464797E-2</v>
      </c>
      <c r="V82" s="145"/>
      <c r="W82" s="145"/>
      <c r="X82" s="145"/>
      <c r="Y82" s="366" t="s">
        <v>174</v>
      </c>
      <c r="Z82" s="366" t="s">
        <v>428</v>
      </c>
      <c r="AA82" s="367" t="s">
        <v>479</v>
      </c>
      <c r="AB82" s="367" t="s">
        <v>477</v>
      </c>
      <c r="AC82" s="367">
        <v>1</v>
      </c>
      <c r="AD82" s="446" t="s">
        <v>566</v>
      </c>
    </row>
    <row r="83" spans="2:39" s="147" customFormat="1" ht="27" hidden="1" customHeight="1">
      <c r="B83" s="935"/>
      <c r="C83" s="936"/>
      <c r="D83" s="361">
        <v>11</v>
      </c>
      <c r="E83" s="440" t="s">
        <v>653</v>
      </c>
      <c r="F83" s="364">
        <f t="shared" si="38"/>
        <v>4060.5932000000025</v>
      </c>
      <c r="G83" s="365">
        <v>40.420000000000009</v>
      </c>
      <c r="H83" s="442">
        <v>3051.3</v>
      </c>
      <c r="I83" s="442">
        <v>3051.3</v>
      </c>
      <c r="J83" s="444">
        <f t="shared" si="39"/>
        <v>1</v>
      </c>
      <c r="K83" s="443">
        <v>3051.3</v>
      </c>
      <c r="L83" s="444">
        <f t="shared" si="40"/>
        <v>1</v>
      </c>
      <c r="M83" s="443">
        <v>100.46000000000001</v>
      </c>
      <c r="N83" s="444">
        <f t="shared" si="41"/>
        <v>3.2923671877560387E-2</v>
      </c>
      <c r="O83" s="445">
        <f t="shared" si="42"/>
        <v>3151.76</v>
      </c>
      <c r="P83" s="444">
        <f t="shared" si="43"/>
        <v>1.0329236718775603</v>
      </c>
      <c r="Q83" s="442">
        <v>21.44</v>
      </c>
      <c r="R83" s="444">
        <f t="shared" si="44"/>
        <v>7.0265132894176251E-3</v>
      </c>
      <c r="S83" s="452">
        <f t="shared" si="45"/>
        <v>866.6048000000003</v>
      </c>
      <c r="T83" s="445">
        <f t="shared" si="46"/>
        <v>100.46000000000004</v>
      </c>
      <c r="U83" s="444">
        <f t="shared" si="47"/>
        <v>3.2923671877560394E-2</v>
      </c>
      <c r="V83" s="145"/>
      <c r="W83" s="145"/>
      <c r="X83" s="145"/>
      <c r="Y83" s="366" t="s">
        <v>174</v>
      </c>
      <c r="Z83" s="366" t="s">
        <v>216</v>
      </c>
      <c r="AA83" s="367" t="s">
        <v>682</v>
      </c>
      <c r="AB83" s="367" t="s">
        <v>683</v>
      </c>
      <c r="AC83" s="367">
        <v>1</v>
      </c>
      <c r="AD83" s="446" t="s">
        <v>650</v>
      </c>
      <c r="AH83" s="370"/>
    </row>
    <row r="84" spans="2:39" s="147" customFormat="1" ht="27" hidden="1" customHeight="1">
      <c r="B84" s="935"/>
      <c r="C84" s="936"/>
      <c r="D84" s="361">
        <v>12</v>
      </c>
      <c r="E84" s="440" t="s">
        <v>545</v>
      </c>
      <c r="F84" s="364">
        <f t="shared" si="38"/>
        <v>3992.2680999999925</v>
      </c>
      <c r="G84" s="365">
        <v>66.13</v>
      </c>
      <c r="H84" s="442">
        <v>1744.54</v>
      </c>
      <c r="I84" s="442">
        <v>1744.54</v>
      </c>
      <c r="J84" s="444">
        <f t="shared" si="39"/>
        <v>1</v>
      </c>
      <c r="K84" s="443">
        <v>1744.54</v>
      </c>
      <c r="L84" s="444">
        <f t="shared" si="40"/>
        <v>1</v>
      </c>
      <c r="M84" s="443">
        <v>60.36999999999999</v>
      </c>
      <c r="N84" s="444">
        <f t="shared" si="41"/>
        <v>3.4605110802847734E-2</v>
      </c>
      <c r="O84" s="445">
        <f t="shared" si="42"/>
        <v>1804.9099999999999</v>
      </c>
      <c r="P84" s="444">
        <f t="shared" si="43"/>
        <v>1.0346051108028478</v>
      </c>
      <c r="Q84" s="442">
        <v>12.989999999999998</v>
      </c>
      <c r="R84" s="444">
        <f t="shared" si="44"/>
        <v>7.4460889403510375E-3</v>
      </c>
      <c r="S84" s="452">
        <f t="shared" si="45"/>
        <v>859.02869999999984</v>
      </c>
      <c r="T84" s="445">
        <f t="shared" si="46"/>
        <v>60.369999999999891</v>
      </c>
      <c r="U84" s="444">
        <f t="shared" si="47"/>
        <v>3.4605110802847679E-2</v>
      </c>
      <c r="V84" s="145"/>
      <c r="W84" s="145"/>
      <c r="X84" s="145"/>
      <c r="Y84" s="366" t="s">
        <v>174</v>
      </c>
      <c r="Z84" s="366" t="s">
        <v>428</v>
      </c>
      <c r="AA84" s="367" t="s">
        <v>479</v>
      </c>
      <c r="AB84" s="367" t="s">
        <v>477</v>
      </c>
      <c r="AC84" s="367">
        <v>1</v>
      </c>
      <c r="AD84" s="446" t="s">
        <v>341</v>
      </c>
    </row>
    <row r="85" spans="2:39" s="147" customFormat="1" ht="27" hidden="1" customHeight="1">
      <c r="B85" s="935"/>
      <c r="C85" s="936"/>
      <c r="D85" s="361">
        <v>13</v>
      </c>
      <c r="E85" s="440" t="s">
        <v>568</v>
      </c>
      <c r="F85" s="364">
        <f t="shared" si="38"/>
        <v>3841.437600000002</v>
      </c>
      <c r="G85" s="365">
        <v>40.04</v>
      </c>
      <c r="H85" s="442">
        <v>2859.09</v>
      </c>
      <c r="I85" s="442">
        <v>2859.09</v>
      </c>
      <c r="J85" s="444">
        <f t="shared" si="39"/>
        <v>1</v>
      </c>
      <c r="K85" s="443">
        <v>2859.09</v>
      </c>
      <c r="L85" s="444">
        <f t="shared" si="40"/>
        <v>1</v>
      </c>
      <c r="M85" s="443">
        <v>95.940000000000012</v>
      </c>
      <c r="N85" s="444">
        <f t="shared" si="41"/>
        <v>3.3556131496385214E-2</v>
      </c>
      <c r="O85" s="445">
        <f t="shared" si="42"/>
        <v>2955.03</v>
      </c>
      <c r="P85" s="444">
        <f t="shared" si="43"/>
        <v>1.0335561314963853</v>
      </c>
      <c r="Q85" s="442">
        <v>23.96</v>
      </c>
      <c r="R85" s="444">
        <f t="shared" si="44"/>
        <v>8.3802888331602019E-3</v>
      </c>
      <c r="S85" s="452">
        <f t="shared" si="45"/>
        <v>959.35839999999996</v>
      </c>
      <c r="T85" s="445">
        <f t="shared" si="46"/>
        <v>95.940000000000055</v>
      </c>
      <c r="U85" s="444">
        <f t="shared" si="47"/>
        <v>3.3556131496385228E-2</v>
      </c>
      <c r="V85" s="145"/>
      <c r="W85" s="145"/>
      <c r="X85" s="145"/>
      <c r="Y85" s="366" t="s">
        <v>174</v>
      </c>
      <c r="Z85" s="366" t="s">
        <v>216</v>
      </c>
      <c r="AA85" s="367" t="s">
        <v>682</v>
      </c>
      <c r="AB85" s="367" t="s">
        <v>683</v>
      </c>
      <c r="AC85" s="367">
        <v>1</v>
      </c>
      <c r="AD85" s="446" t="s">
        <v>533</v>
      </c>
    </row>
    <row r="86" spans="2:39" s="147" customFormat="1" ht="27" hidden="1" customHeight="1">
      <c r="B86" s="935"/>
      <c r="C86" s="936"/>
      <c r="D86" s="361">
        <v>14</v>
      </c>
      <c r="E86" s="440" t="s">
        <v>651</v>
      </c>
      <c r="F86" s="364">
        <f t="shared" si="38"/>
        <v>3768.3774999999255</v>
      </c>
      <c r="G86" s="365">
        <v>655.37</v>
      </c>
      <c r="H86" s="442">
        <v>523.09</v>
      </c>
      <c r="I86" s="442">
        <v>523.09</v>
      </c>
      <c r="J86" s="444">
        <f t="shared" si="39"/>
        <v>1</v>
      </c>
      <c r="K86" s="443">
        <v>523.57999999999993</v>
      </c>
      <c r="L86" s="444">
        <f t="shared" si="40"/>
        <v>1.00093674128735</v>
      </c>
      <c r="M86" s="443">
        <v>5.26</v>
      </c>
      <c r="N86" s="444">
        <f t="shared" si="41"/>
        <v>1.0055630962167121E-2</v>
      </c>
      <c r="O86" s="445">
        <f t="shared" si="42"/>
        <v>528.83999999999992</v>
      </c>
      <c r="P86" s="444">
        <f t="shared" si="43"/>
        <v>1.0109923722495171</v>
      </c>
      <c r="Q86" s="442">
        <v>1.29</v>
      </c>
      <c r="R86" s="444">
        <f t="shared" si="44"/>
        <v>2.4661148177177921E-3</v>
      </c>
      <c r="S86" s="452">
        <f t="shared" si="45"/>
        <v>845.42730000000006</v>
      </c>
      <c r="T86" s="445">
        <f t="shared" si="46"/>
        <v>5.7499999999998863</v>
      </c>
      <c r="U86" s="444">
        <f t="shared" si="47"/>
        <v>1.0992372249517074E-2</v>
      </c>
      <c r="V86" s="145"/>
      <c r="W86" s="145"/>
      <c r="X86" s="145"/>
      <c r="Y86" s="366" t="s">
        <v>174</v>
      </c>
      <c r="Z86" s="366" t="s">
        <v>428</v>
      </c>
      <c r="AA86" s="367" t="s">
        <v>659</v>
      </c>
      <c r="AB86" s="367" t="s">
        <v>684</v>
      </c>
      <c r="AC86" s="367">
        <v>1</v>
      </c>
      <c r="AD86" s="446" t="s">
        <v>650</v>
      </c>
    </row>
    <row r="87" spans="2:39" s="147" customFormat="1" ht="27" hidden="1" customHeight="1">
      <c r="B87" s="935"/>
      <c r="C87" s="936"/>
      <c r="D87" s="361">
        <v>15</v>
      </c>
      <c r="E87" s="440" t="s">
        <v>631</v>
      </c>
      <c r="F87" s="364">
        <f t="shared" si="38"/>
        <v>3734.600100000006</v>
      </c>
      <c r="G87" s="365">
        <v>43.889999999999993</v>
      </c>
      <c r="H87" s="442">
        <v>3143.3</v>
      </c>
      <c r="I87" s="442">
        <v>3143.3</v>
      </c>
      <c r="J87" s="444">
        <f t="shared" si="39"/>
        <v>1</v>
      </c>
      <c r="K87" s="443">
        <v>3143.3</v>
      </c>
      <c r="L87" s="444">
        <f t="shared" si="40"/>
        <v>1</v>
      </c>
      <c r="M87" s="443">
        <v>85.09</v>
      </c>
      <c r="N87" s="444">
        <f t="shared" si="41"/>
        <v>2.7070276461044124E-2</v>
      </c>
      <c r="O87" s="445">
        <f t="shared" si="42"/>
        <v>3228.3900000000003</v>
      </c>
      <c r="P87" s="444">
        <f t="shared" si="43"/>
        <v>1.0270702764610442</v>
      </c>
      <c r="Q87" s="442">
        <v>18.78</v>
      </c>
      <c r="R87" s="444">
        <f t="shared" si="44"/>
        <v>5.9746126682149337E-3</v>
      </c>
      <c r="S87" s="452">
        <f t="shared" si="45"/>
        <v>824.25419999999997</v>
      </c>
      <c r="T87" s="445">
        <f t="shared" si="46"/>
        <v>85.090000000000146</v>
      </c>
      <c r="U87" s="444">
        <f t="shared" si="47"/>
        <v>2.7070276461044169E-2</v>
      </c>
      <c r="V87" s="145"/>
      <c r="W87" s="145"/>
      <c r="X87" s="145"/>
      <c r="Y87" s="366" t="s">
        <v>174</v>
      </c>
      <c r="Z87" s="366" t="s">
        <v>216</v>
      </c>
      <c r="AA87" s="367" t="s">
        <v>682</v>
      </c>
      <c r="AB87" s="367" t="s">
        <v>683</v>
      </c>
      <c r="AC87" s="367">
        <v>1</v>
      </c>
      <c r="AD87" s="446" t="s">
        <v>630</v>
      </c>
    </row>
    <row r="88" spans="2:39" s="147" customFormat="1" ht="27" hidden="1" customHeight="1">
      <c r="B88" s="935"/>
      <c r="C88" s="936"/>
      <c r="D88" s="361">
        <v>16</v>
      </c>
      <c r="E88" s="440" t="s">
        <v>459</v>
      </c>
      <c r="F88" s="364">
        <f t="shared" si="38"/>
        <v>3586.2176000000431</v>
      </c>
      <c r="G88" s="365">
        <v>605.77999999999986</v>
      </c>
      <c r="H88" s="442">
        <v>796.18999999999994</v>
      </c>
      <c r="I88" s="442">
        <v>796.18999999999994</v>
      </c>
      <c r="J88" s="444">
        <f t="shared" si="39"/>
        <v>1</v>
      </c>
      <c r="K88" s="443">
        <v>796.89</v>
      </c>
      <c r="L88" s="444">
        <f t="shared" si="40"/>
        <v>1.0008791871287004</v>
      </c>
      <c r="M88" s="443">
        <v>5.2200000000000006</v>
      </c>
      <c r="N88" s="444">
        <f t="shared" si="41"/>
        <v>6.556224016880394E-3</v>
      </c>
      <c r="O88" s="445">
        <f t="shared" si="42"/>
        <v>802.11</v>
      </c>
      <c r="P88" s="444">
        <f t="shared" si="43"/>
        <v>1.007435411145581</v>
      </c>
      <c r="Q88" s="442">
        <v>1.44</v>
      </c>
      <c r="R88" s="444">
        <f t="shared" si="44"/>
        <v>1.8086135218980395E-3</v>
      </c>
      <c r="S88" s="452">
        <f t="shared" si="45"/>
        <v>872.32319999999982</v>
      </c>
      <c r="T88" s="445">
        <f t="shared" si="46"/>
        <v>5.9200000000000728</v>
      </c>
      <c r="U88" s="444">
        <f t="shared" si="47"/>
        <v>7.4354111455809209E-3</v>
      </c>
      <c r="V88" s="145"/>
      <c r="W88" s="145"/>
      <c r="X88" s="145"/>
      <c r="Y88" s="366" t="s">
        <v>174</v>
      </c>
      <c r="Z88" s="366" t="s">
        <v>216</v>
      </c>
      <c r="AA88" s="367" t="s">
        <v>482</v>
      </c>
      <c r="AB88" s="367" t="s">
        <v>547</v>
      </c>
      <c r="AC88" s="367">
        <v>1</v>
      </c>
      <c r="AD88" s="446" t="s">
        <v>342</v>
      </c>
    </row>
    <row r="89" spans="2:39" s="147" customFormat="1" ht="27" hidden="1" customHeight="1">
      <c r="B89" s="935"/>
      <c r="C89" s="936"/>
      <c r="D89" s="361">
        <v>17</v>
      </c>
      <c r="E89" s="440" t="s">
        <v>669</v>
      </c>
      <c r="F89" s="364">
        <f t="shared" si="38"/>
        <v>3580.3698000000022</v>
      </c>
      <c r="G89" s="365">
        <v>99.51</v>
      </c>
      <c r="H89" s="442">
        <v>1100.2800000000002</v>
      </c>
      <c r="I89" s="442">
        <v>1100.2800000000002</v>
      </c>
      <c r="J89" s="444">
        <f t="shared" si="39"/>
        <v>1</v>
      </c>
      <c r="K89" s="443">
        <v>1100.2800000000002</v>
      </c>
      <c r="L89" s="444">
        <f t="shared" si="40"/>
        <v>1</v>
      </c>
      <c r="M89" s="443">
        <v>35.980000000000004</v>
      </c>
      <c r="N89" s="444">
        <f t="shared" si="41"/>
        <v>3.2700767077471188E-2</v>
      </c>
      <c r="O89" s="445">
        <f t="shared" si="42"/>
        <v>1136.2600000000002</v>
      </c>
      <c r="P89" s="444">
        <f t="shared" si="43"/>
        <v>1.0327007670774713</v>
      </c>
      <c r="Q89" s="442">
        <v>8.98</v>
      </c>
      <c r="R89" s="444">
        <f t="shared" si="44"/>
        <v>8.1615588759224918E-3</v>
      </c>
      <c r="S89" s="452">
        <f t="shared" si="45"/>
        <v>893.59980000000007</v>
      </c>
      <c r="T89" s="445">
        <f t="shared" si="46"/>
        <v>35.980000000000018</v>
      </c>
      <c r="U89" s="444">
        <f t="shared" si="47"/>
        <v>3.2700767077471202E-2</v>
      </c>
      <c r="V89" s="145"/>
      <c r="W89" s="145"/>
      <c r="X89" s="145"/>
      <c r="Y89" s="366" t="s">
        <v>174</v>
      </c>
      <c r="Z89" s="366" t="s">
        <v>428</v>
      </c>
      <c r="AA89" s="367" t="s">
        <v>479</v>
      </c>
      <c r="AB89" s="367" t="s">
        <v>477</v>
      </c>
      <c r="AC89" s="367">
        <v>1</v>
      </c>
      <c r="AD89" s="446" t="s">
        <v>349</v>
      </c>
    </row>
    <row r="90" spans="2:39" s="147" customFormat="1" ht="27" hidden="1" customHeight="1">
      <c r="B90" s="935"/>
      <c r="C90" s="936"/>
      <c r="D90" s="361">
        <v>18</v>
      </c>
      <c r="E90" s="440" t="s">
        <v>599</v>
      </c>
      <c r="F90" s="364">
        <f t="shared" si="38"/>
        <v>3550.6016000000159</v>
      </c>
      <c r="G90" s="365">
        <v>153.44000000000003</v>
      </c>
      <c r="H90" s="442">
        <v>1392.6200000000001</v>
      </c>
      <c r="I90" s="442">
        <v>1392.6200000000001</v>
      </c>
      <c r="J90" s="444">
        <f t="shared" si="39"/>
        <v>1</v>
      </c>
      <c r="K90" s="443">
        <v>1395.1200000000001</v>
      </c>
      <c r="L90" s="444">
        <f t="shared" si="40"/>
        <v>1.0017951774353377</v>
      </c>
      <c r="M90" s="443">
        <v>20.64</v>
      </c>
      <c r="N90" s="444">
        <f t="shared" si="41"/>
        <v>1.4820984906148122E-2</v>
      </c>
      <c r="O90" s="445">
        <f t="shared" si="42"/>
        <v>1415.7600000000002</v>
      </c>
      <c r="P90" s="444">
        <f t="shared" si="43"/>
        <v>1.016616162341486</v>
      </c>
      <c r="Q90" s="442">
        <v>6.08</v>
      </c>
      <c r="R90" s="444">
        <f t="shared" si="44"/>
        <v>4.3658715227413072E-3</v>
      </c>
      <c r="S90" s="452">
        <f t="shared" si="45"/>
        <v>932.91520000000014</v>
      </c>
      <c r="T90" s="445">
        <f t="shared" si="46"/>
        <v>23.1400000000001</v>
      </c>
      <c r="U90" s="444">
        <f t="shared" si="47"/>
        <v>1.6616162341485902E-2</v>
      </c>
      <c r="V90" s="145"/>
      <c r="W90" s="145"/>
      <c r="X90" s="145"/>
      <c r="Y90" s="366" t="s">
        <v>174</v>
      </c>
      <c r="Z90" s="366" t="s">
        <v>428</v>
      </c>
      <c r="AA90" s="367" t="s">
        <v>607</v>
      </c>
      <c r="AB90" s="367" t="s">
        <v>525</v>
      </c>
      <c r="AC90" s="367">
        <v>1</v>
      </c>
      <c r="AD90" s="446" t="s">
        <v>465</v>
      </c>
    </row>
    <row r="91" spans="2:39" s="147" customFormat="1" ht="27" hidden="1" customHeight="1">
      <c r="B91" s="935"/>
      <c r="C91" s="936"/>
      <c r="D91" s="361">
        <v>19</v>
      </c>
      <c r="E91" s="440" t="s">
        <v>601</v>
      </c>
      <c r="F91" s="364">
        <f t="shared" si="38"/>
        <v>3510.630500000007</v>
      </c>
      <c r="G91" s="365">
        <v>46.149999999999991</v>
      </c>
      <c r="H91" s="442">
        <v>2326.14</v>
      </c>
      <c r="I91" s="442">
        <v>2326.14</v>
      </c>
      <c r="J91" s="444">
        <f t="shared" si="39"/>
        <v>1</v>
      </c>
      <c r="K91" s="443">
        <v>2326.14</v>
      </c>
      <c r="L91" s="444">
        <f t="shared" si="40"/>
        <v>1</v>
      </c>
      <c r="M91" s="443">
        <v>76.069999999999993</v>
      </c>
      <c r="N91" s="444">
        <f t="shared" si="41"/>
        <v>3.2702244920770028E-2</v>
      </c>
      <c r="O91" s="445">
        <f t="shared" si="42"/>
        <v>2402.21</v>
      </c>
      <c r="P91" s="444">
        <f t="shared" si="43"/>
        <v>1.0327022449207701</v>
      </c>
      <c r="Q91" s="442">
        <v>24.669999999999998</v>
      </c>
      <c r="R91" s="444">
        <f t="shared" si="44"/>
        <v>1.0605552546278384E-2</v>
      </c>
      <c r="S91" s="452">
        <f t="shared" si="45"/>
        <v>1138.5204999999996</v>
      </c>
      <c r="T91" s="445">
        <f t="shared" si="46"/>
        <v>76.070000000000164</v>
      </c>
      <c r="U91" s="444">
        <f t="shared" si="47"/>
        <v>3.2702244920770104E-2</v>
      </c>
      <c r="V91" s="145"/>
      <c r="W91" s="145"/>
      <c r="X91" s="145"/>
      <c r="Y91" s="366" t="s">
        <v>174</v>
      </c>
      <c r="Z91" s="366" t="s">
        <v>216</v>
      </c>
      <c r="AA91" s="367" t="s">
        <v>682</v>
      </c>
      <c r="AB91" s="367" t="s">
        <v>683</v>
      </c>
      <c r="AC91" s="367">
        <v>1</v>
      </c>
      <c r="AD91" s="446" t="s">
        <v>597</v>
      </c>
    </row>
    <row r="92" spans="2:39" s="147" customFormat="1" ht="27" hidden="1" customHeight="1">
      <c r="B92" s="937"/>
      <c r="C92" s="938"/>
      <c r="D92" s="361">
        <v>20</v>
      </c>
      <c r="E92" s="440" t="s">
        <v>432</v>
      </c>
      <c r="F92" s="364">
        <f t="shared" si="38"/>
        <v>3486.2857999999883</v>
      </c>
      <c r="G92" s="365">
        <v>368.13999999999993</v>
      </c>
      <c r="H92" s="442">
        <v>377.51000000000005</v>
      </c>
      <c r="I92" s="442">
        <v>377.51000000000005</v>
      </c>
      <c r="J92" s="444">
        <f t="shared" si="39"/>
        <v>1</v>
      </c>
      <c r="K92" s="443">
        <v>377.51000000000005</v>
      </c>
      <c r="L92" s="444">
        <f t="shared" si="40"/>
        <v>1</v>
      </c>
      <c r="M92" s="443">
        <v>9.4699999999999989</v>
      </c>
      <c r="N92" s="444">
        <f t="shared" si="41"/>
        <v>2.5085428200577461E-2</v>
      </c>
      <c r="O92" s="445">
        <f t="shared" si="42"/>
        <v>386.98</v>
      </c>
      <c r="P92" s="444">
        <f t="shared" si="43"/>
        <v>1.0250854282005775</v>
      </c>
      <c r="Q92" s="442">
        <v>2.4500000000000002</v>
      </c>
      <c r="R92" s="444">
        <f t="shared" si="44"/>
        <v>6.4898943074355644E-3</v>
      </c>
      <c r="S92" s="452">
        <f t="shared" si="45"/>
        <v>901.94299999999987</v>
      </c>
      <c r="T92" s="445">
        <f t="shared" si="46"/>
        <v>9.4699999999999704</v>
      </c>
      <c r="U92" s="444">
        <f t="shared" si="47"/>
        <v>2.5085428200577388E-2</v>
      </c>
      <c r="V92" s="145"/>
      <c r="W92" s="145"/>
      <c r="X92" s="145"/>
      <c r="Y92" s="366" t="s">
        <v>174</v>
      </c>
      <c r="Z92" s="366" t="s">
        <v>428</v>
      </c>
      <c r="AA92" s="367" t="s">
        <v>660</v>
      </c>
      <c r="AB92" s="367" t="s">
        <v>574</v>
      </c>
      <c r="AC92" s="367">
        <v>1</v>
      </c>
      <c r="AD92" s="446" t="s">
        <v>433</v>
      </c>
    </row>
    <row r="93" spans="2:39" ht="17.100000000000001" hidden="1" customHeight="1">
      <c r="B93" s="949" t="s">
        <v>442</v>
      </c>
      <c r="C93" s="950"/>
      <c r="D93" s="953" t="s">
        <v>549</v>
      </c>
      <c r="E93" s="954" t="s">
        <v>550</v>
      </c>
      <c r="F93" s="995" t="s">
        <v>567</v>
      </c>
      <c r="G93" s="922" t="s">
        <v>552</v>
      </c>
      <c r="H93" s="956" t="s">
        <v>553</v>
      </c>
      <c r="I93" s="939" t="s">
        <v>554</v>
      </c>
      <c r="J93" s="940"/>
      <c r="K93" s="939" t="s">
        <v>555</v>
      </c>
      <c r="L93" s="940"/>
      <c r="M93" s="939" t="s">
        <v>556</v>
      </c>
      <c r="N93" s="940"/>
      <c r="O93" s="939" t="s">
        <v>557</v>
      </c>
      <c r="P93" s="940"/>
      <c r="Q93" s="939" t="s">
        <v>418</v>
      </c>
      <c r="R93" s="994"/>
      <c r="S93" s="940"/>
      <c r="T93" s="941" t="s">
        <v>419</v>
      </c>
      <c r="U93" s="943"/>
      <c r="Y93" s="947" t="s">
        <v>171</v>
      </c>
      <c r="Z93" s="947" t="s">
        <v>245</v>
      </c>
      <c r="AA93" s="947" t="s">
        <v>558</v>
      </c>
      <c r="AB93" s="947" t="s">
        <v>444</v>
      </c>
      <c r="AC93" s="947" t="s">
        <v>246</v>
      </c>
      <c r="AD93" s="922" t="s">
        <v>172</v>
      </c>
      <c r="AF93" s="924" t="s">
        <v>247</v>
      </c>
      <c r="AG93" s="925"/>
      <c r="AH93" s="925"/>
      <c r="AI93" s="925"/>
      <c r="AJ93" s="925"/>
      <c r="AK93" s="925"/>
      <c r="AL93" s="925"/>
      <c r="AM93" s="926"/>
    </row>
    <row r="94" spans="2:39" ht="16.5" hidden="1" customHeight="1">
      <c r="B94" s="951"/>
      <c r="C94" s="952"/>
      <c r="D94" s="953"/>
      <c r="E94" s="953"/>
      <c r="F94" s="955"/>
      <c r="G94" s="923"/>
      <c r="H94" s="923"/>
      <c r="I94" s="439" t="s">
        <v>559</v>
      </c>
      <c r="J94" s="362" t="s">
        <v>560</v>
      </c>
      <c r="K94" s="439" t="s">
        <v>559</v>
      </c>
      <c r="L94" s="362" t="s">
        <v>560</v>
      </c>
      <c r="M94" s="439" t="s">
        <v>559</v>
      </c>
      <c r="N94" s="362" t="s">
        <v>560</v>
      </c>
      <c r="O94" s="439" t="s">
        <v>559</v>
      </c>
      <c r="P94" s="362" t="s">
        <v>560</v>
      </c>
      <c r="Q94" s="439" t="s">
        <v>559</v>
      </c>
      <c r="R94" s="362" t="s">
        <v>560</v>
      </c>
      <c r="S94" s="362" t="s">
        <v>561</v>
      </c>
      <c r="T94" s="439" t="s">
        <v>559</v>
      </c>
      <c r="U94" s="362" t="s">
        <v>560</v>
      </c>
      <c r="Y94" s="948"/>
      <c r="Z94" s="948"/>
      <c r="AA94" s="948"/>
      <c r="AB94" s="948"/>
      <c r="AC94" s="948"/>
      <c r="AD94" s="923"/>
      <c r="AF94" s="927"/>
      <c r="AG94" s="928"/>
      <c r="AH94" s="928"/>
      <c r="AI94" s="928"/>
      <c r="AJ94" s="928"/>
      <c r="AK94" s="928"/>
      <c r="AL94" s="928"/>
      <c r="AM94" s="929"/>
    </row>
    <row r="95" spans="2:39" s="147" customFormat="1" ht="27" hidden="1" customHeight="1">
      <c r="B95" s="933" t="s">
        <v>628</v>
      </c>
      <c r="C95" s="934"/>
      <c r="D95" s="361">
        <v>1</v>
      </c>
      <c r="E95" s="440" t="s">
        <v>336</v>
      </c>
      <c r="F95" s="364">
        <f>IFERROR(T95*G95,"-")</f>
        <v>12479.94949999995</v>
      </c>
      <c r="G95" s="365">
        <v>147.43000000000004</v>
      </c>
      <c r="H95" s="442">
        <v>4611.7699999999995</v>
      </c>
      <c r="I95" s="442">
        <v>4611.7699999999995</v>
      </c>
      <c r="J95" s="444">
        <f>IFERROR(I95/H95,"-")</f>
        <v>1</v>
      </c>
      <c r="K95" s="443">
        <v>4611.7699999999995</v>
      </c>
      <c r="L95" s="444">
        <f>IFERROR(K95/H95,"-")</f>
        <v>1</v>
      </c>
      <c r="M95" s="443">
        <v>84.65</v>
      </c>
      <c r="N95" s="444">
        <f>IFERROR(M95/H95,"-")</f>
        <v>1.8355208520806549E-2</v>
      </c>
      <c r="O95" s="445">
        <f>IFERROR(K95+M95,"-")</f>
        <v>4696.4199999999992</v>
      </c>
      <c r="P95" s="444">
        <f>IFERROR(O95/H95,"-")</f>
        <v>1.0183552085208065</v>
      </c>
      <c r="Q95" s="442">
        <v>9.3000000000000007</v>
      </c>
      <c r="R95" s="444">
        <f>IFERROR(Q95/H95,"-")</f>
        <v>2.0165793177023142E-3</v>
      </c>
      <c r="S95" s="452">
        <f>IFERROR(Q95*G95,"-")</f>
        <v>1371.0990000000004</v>
      </c>
      <c r="T95" s="445">
        <f>IFERROR(O95-H95,"-")</f>
        <v>84.649999999999636</v>
      </c>
      <c r="U95" s="444">
        <f>IFERROR(T95/H95,"-")</f>
        <v>1.8355208520806469E-2</v>
      </c>
      <c r="V95" s="145"/>
      <c r="W95" s="145"/>
      <c r="X95" s="145"/>
      <c r="Y95" s="366" t="s">
        <v>174</v>
      </c>
      <c r="Z95" s="366" t="s">
        <v>215</v>
      </c>
      <c r="AA95" s="367" t="s">
        <v>478</v>
      </c>
      <c r="AB95" s="367" t="s">
        <v>524</v>
      </c>
      <c r="AC95" s="367">
        <v>1</v>
      </c>
      <c r="AD95" s="446" t="s">
        <v>340</v>
      </c>
      <c r="AF95" s="930"/>
      <c r="AG95" s="931"/>
      <c r="AH95" s="931"/>
      <c r="AI95" s="931"/>
      <c r="AJ95" s="931"/>
      <c r="AK95" s="931"/>
      <c r="AL95" s="931"/>
      <c r="AM95" s="932"/>
    </row>
    <row r="96" spans="2:39" s="147" customFormat="1" ht="27" hidden="1" customHeight="1">
      <c r="B96" s="935"/>
      <c r="C96" s="936"/>
      <c r="D96" s="361">
        <v>2</v>
      </c>
      <c r="E96" s="440" t="s">
        <v>633</v>
      </c>
      <c r="F96" s="364">
        <f t="shared" ref="F96:F114" si="51">IFERROR(T96*G96,"-")</f>
        <v>8205.8160000000098</v>
      </c>
      <c r="G96" s="365">
        <v>144.79999999999998</v>
      </c>
      <c r="H96" s="442">
        <v>2814.75</v>
      </c>
      <c r="I96" s="442">
        <v>2814.75</v>
      </c>
      <c r="J96" s="444">
        <f t="shared" ref="J96:J114" si="52">IFERROR(I96/H96,"-")</f>
        <v>1</v>
      </c>
      <c r="K96" s="443">
        <v>2825.75</v>
      </c>
      <c r="L96" s="444">
        <f t="shared" ref="L96:L114" si="53">IFERROR(K96/H96,"-")</f>
        <v>1.0039079847233325</v>
      </c>
      <c r="M96" s="443">
        <v>45.67</v>
      </c>
      <c r="N96" s="444">
        <f t="shared" ref="N96:N114" si="54">IFERROR(M96/H96,"-")</f>
        <v>1.6225242028599342E-2</v>
      </c>
      <c r="O96" s="445">
        <f t="shared" ref="O96:O114" si="55">IFERROR(K96+M96,"-")</f>
        <v>2871.42</v>
      </c>
      <c r="P96" s="444">
        <f t="shared" ref="P96:P114" si="56">IFERROR(O96/H96,"-")</f>
        <v>1.0201332267519319</v>
      </c>
      <c r="Q96" s="442">
        <v>8.98</v>
      </c>
      <c r="R96" s="444">
        <f t="shared" ref="R96:R114" si="57">IFERROR(Q96/H96,"-")</f>
        <v>3.1903366195932146E-3</v>
      </c>
      <c r="S96" s="452">
        <f t="shared" ref="S96:S114" si="58">IFERROR(Q96*G96,"-")</f>
        <v>1300.3039999999999</v>
      </c>
      <c r="T96" s="445">
        <f t="shared" ref="T96:T114" si="59">IFERROR(O96-H96,"-")</f>
        <v>56.670000000000073</v>
      </c>
      <c r="U96" s="444">
        <f t="shared" ref="U96:U114" si="60">IFERROR(T96/H96,"-")</f>
        <v>2.0133226751931813E-2</v>
      </c>
      <c r="V96" s="145"/>
      <c r="W96" s="145"/>
      <c r="X96" s="145"/>
      <c r="Y96" s="366" t="s">
        <v>174</v>
      </c>
      <c r="Z96" s="366" t="s">
        <v>428</v>
      </c>
      <c r="AA96" s="367" t="s">
        <v>607</v>
      </c>
      <c r="AB96" s="367" t="s">
        <v>573</v>
      </c>
      <c r="AC96" s="367">
        <v>1</v>
      </c>
      <c r="AD96" s="446" t="s">
        <v>340</v>
      </c>
      <c r="AF96" s="160" t="s">
        <v>244</v>
      </c>
      <c r="AG96" s="160" t="s">
        <v>445</v>
      </c>
      <c r="AH96" s="155" t="s">
        <v>562</v>
      </c>
      <c r="AI96" s="155" t="s">
        <v>337</v>
      </c>
      <c r="AJ96" s="155" t="s">
        <v>428</v>
      </c>
      <c r="AK96" s="155" t="s">
        <v>215</v>
      </c>
      <c r="AL96" s="155" t="s">
        <v>216</v>
      </c>
      <c r="AM96" s="155" t="s">
        <v>384</v>
      </c>
    </row>
    <row r="97" spans="2:39" s="147" customFormat="1" ht="27" hidden="1" customHeight="1">
      <c r="B97" s="935"/>
      <c r="C97" s="936"/>
      <c r="D97" s="361">
        <v>3</v>
      </c>
      <c r="E97" s="440" t="s">
        <v>534</v>
      </c>
      <c r="F97" s="364">
        <f t="shared" si="51"/>
        <v>7618.4199000001363</v>
      </c>
      <c r="G97" s="365">
        <v>39.389999999999993</v>
      </c>
      <c r="H97" s="442">
        <v>34928.070000000007</v>
      </c>
      <c r="I97" s="442">
        <v>34928.070000000007</v>
      </c>
      <c r="J97" s="444">
        <f t="shared" si="52"/>
        <v>1</v>
      </c>
      <c r="K97" s="443">
        <v>34928.070000000007</v>
      </c>
      <c r="L97" s="444">
        <f t="shared" si="53"/>
        <v>1</v>
      </c>
      <c r="M97" s="443">
        <v>193.41000000000003</v>
      </c>
      <c r="N97" s="444">
        <f t="shared" si="54"/>
        <v>5.5373801071745441E-3</v>
      </c>
      <c r="O97" s="445">
        <f t="shared" si="55"/>
        <v>35121.48000000001</v>
      </c>
      <c r="P97" s="444">
        <f t="shared" si="56"/>
        <v>1.0055373801071747</v>
      </c>
      <c r="Q97" s="442">
        <v>35.849999999999994</v>
      </c>
      <c r="R97" s="444">
        <f t="shared" si="57"/>
        <v>1.0263951028499424E-3</v>
      </c>
      <c r="S97" s="452">
        <f t="shared" si="58"/>
        <v>1412.1314999999995</v>
      </c>
      <c r="T97" s="445">
        <f t="shared" si="59"/>
        <v>193.41000000000349</v>
      </c>
      <c r="U97" s="444">
        <f t="shared" si="60"/>
        <v>5.5373801071746439E-3</v>
      </c>
      <c r="V97" s="145"/>
      <c r="W97" s="145"/>
      <c r="X97" s="145"/>
      <c r="Y97" s="366" t="s">
        <v>174</v>
      </c>
      <c r="Z97" s="366" t="s">
        <v>216</v>
      </c>
      <c r="AA97" s="367" t="s">
        <v>682</v>
      </c>
      <c r="AB97" s="367" t="s">
        <v>701</v>
      </c>
      <c r="AC97" s="367">
        <v>1</v>
      </c>
      <c r="AD97" s="446" t="s">
        <v>340</v>
      </c>
      <c r="AF97" s="374">
        <f>SUM(AC95:AC114)</f>
        <v>20</v>
      </c>
      <c r="AG97" s="369">
        <f>SUMIF($Z$95:$Z$114,TRIM(AG96),$AC$95:$AC$114)</f>
        <v>0</v>
      </c>
      <c r="AH97" s="369">
        <f t="shared" ref="AH97:AM97" si="61">SUMIF($Z$95:$Z$114,TRIM(AH96),$AC$95:$AC$114)</f>
        <v>0</v>
      </c>
      <c r="AI97" s="369">
        <f t="shared" si="61"/>
        <v>0</v>
      </c>
      <c r="AJ97" s="369">
        <f t="shared" si="61"/>
        <v>12</v>
      </c>
      <c r="AK97" s="369">
        <f t="shared" si="61"/>
        <v>1</v>
      </c>
      <c r="AL97" s="369">
        <f t="shared" si="61"/>
        <v>7</v>
      </c>
      <c r="AM97" s="369">
        <f t="shared" si="61"/>
        <v>0</v>
      </c>
    </row>
    <row r="98" spans="2:39" s="147" customFormat="1" ht="27" hidden="1" customHeight="1">
      <c r="B98" s="935"/>
      <c r="C98" s="936"/>
      <c r="D98" s="361">
        <v>4</v>
      </c>
      <c r="E98" s="440" t="s">
        <v>692</v>
      </c>
      <c r="F98" s="364">
        <f t="shared" si="51"/>
        <v>6516.0354000000507</v>
      </c>
      <c r="G98" s="365">
        <v>625.93999999999994</v>
      </c>
      <c r="H98" s="442">
        <v>1716.9</v>
      </c>
      <c r="I98" s="442">
        <v>1716.9</v>
      </c>
      <c r="J98" s="444">
        <f t="shared" si="52"/>
        <v>1</v>
      </c>
      <c r="K98" s="443">
        <v>1716.9</v>
      </c>
      <c r="L98" s="444">
        <f t="shared" si="53"/>
        <v>1</v>
      </c>
      <c r="M98" s="443">
        <v>10.41</v>
      </c>
      <c r="N98" s="444">
        <f t="shared" si="54"/>
        <v>6.06325353835401E-3</v>
      </c>
      <c r="O98" s="445">
        <f t="shared" si="55"/>
        <v>1727.3100000000002</v>
      </c>
      <c r="P98" s="444">
        <f t="shared" si="56"/>
        <v>1.006063253538354</v>
      </c>
      <c r="Q98" s="442">
        <v>1.75</v>
      </c>
      <c r="R98" s="444">
        <f t="shared" si="57"/>
        <v>1.0192789329605684E-3</v>
      </c>
      <c r="S98" s="452">
        <f t="shared" si="58"/>
        <v>1095.395</v>
      </c>
      <c r="T98" s="445">
        <f t="shared" si="59"/>
        <v>10.410000000000082</v>
      </c>
      <c r="U98" s="444">
        <f t="shared" si="60"/>
        <v>6.0632535383540577E-3</v>
      </c>
      <c r="V98" s="145"/>
      <c r="W98" s="145"/>
      <c r="X98" s="145"/>
      <c r="Y98" s="366" t="s">
        <v>174</v>
      </c>
      <c r="Z98" s="366" t="s">
        <v>216</v>
      </c>
      <c r="AA98" s="367" t="s">
        <v>482</v>
      </c>
      <c r="AB98" s="367" t="s">
        <v>547</v>
      </c>
      <c r="AC98" s="367">
        <v>1</v>
      </c>
      <c r="AD98" s="446" t="s">
        <v>697</v>
      </c>
      <c r="AF98" s="375"/>
      <c r="AG98" s="372">
        <f t="shared" ref="AG98:AM98" si="62">SUMIF($Z$95:$Z$114,TRIM(AG96),$F$95:$F$114)</f>
        <v>0</v>
      </c>
      <c r="AH98" s="372">
        <f t="shared" si="62"/>
        <v>0</v>
      </c>
      <c r="AI98" s="372">
        <f t="shared" si="62"/>
        <v>0</v>
      </c>
      <c r="AJ98" s="372">
        <f t="shared" si="62"/>
        <v>52765.907799999972</v>
      </c>
      <c r="AK98" s="372">
        <f t="shared" si="62"/>
        <v>12479.94949999995</v>
      </c>
      <c r="AL98" s="372">
        <f t="shared" si="62"/>
        <v>36114.031800000201</v>
      </c>
      <c r="AM98" s="372">
        <f t="shared" si="62"/>
        <v>0</v>
      </c>
    </row>
    <row r="99" spans="2:39" s="147" customFormat="1" ht="27" hidden="1" customHeight="1">
      <c r="B99" s="935"/>
      <c r="C99" s="936"/>
      <c r="D99" s="361">
        <v>5</v>
      </c>
      <c r="E99" s="440" t="s">
        <v>652</v>
      </c>
      <c r="F99" s="364">
        <f t="shared" si="51"/>
        <v>5168.1240000000116</v>
      </c>
      <c r="G99" s="365">
        <v>31.59</v>
      </c>
      <c r="H99" s="442">
        <v>5645.1799999999994</v>
      </c>
      <c r="I99" s="442">
        <v>5645.1799999999994</v>
      </c>
      <c r="J99" s="444">
        <f t="shared" si="52"/>
        <v>1</v>
      </c>
      <c r="K99" s="443">
        <v>5645.1799999999994</v>
      </c>
      <c r="L99" s="444">
        <f t="shared" si="53"/>
        <v>1</v>
      </c>
      <c r="M99" s="443">
        <v>163.6</v>
      </c>
      <c r="N99" s="444">
        <f t="shared" si="54"/>
        <v>2.8980475378995889E-2</v>
      </c>
      <c r="O99" s="445">
        <f t="shared" si="55"/>
        <v>5808.78</v>
      </c>
      <c r="P99" s="444">
        <f t="shared" si="56"/>
        <v>1.028980475378996</v>
      </c>
      <c r="Q99" s="442">
        <v>31.52</v>
      </c>
      <c r="R99" s="444">
        <f t="shared" si="57"/>
        <v>5.5835243517478629E-3</v>
      </c>
      <c r="S99" s="452">
        <f t="shared" si="58"/>
        <v>995.71680000000003</v>
      </c>
      <c r="T99" s="445">
        <f t="shared" si="59"/>
        <v>163.60000000000036</v>
      </c>
      <c r="U99" s="444">
        <f t="shared" si="60"/>
        <v>2.8980475378995955E-2</v>
      </c>
      <c r="V99" s="145"/>
      <c r="W99" s="145"/>
      <c r="X99" s="145"/>
      <c r="Y99" s="366" t="s">
        <v>174</v>
      </c>
      <c r="Z99" s="366" t="s">
        <v>216</v>
      </c>
      <c r="AA99" s="367" t="s">
        <v>479</v>
      </c>
      <c r="AB99" s="367" t="s">
        <v>477</v>
      </c>
      <c r="AC99" s="367">
        <v>1</v>
      </c>
      <c r="AD99" s="446" t="s">
        <v>650</v>
      </c>
      <c r="AF99" s="361"/>
      <c r="AG99" s="373">
        <f t="shared" ref="AG99:AM99" si="63">AG97/$AF97</f>
        <v>0</v>
      </c>
      <c r="AH99" s="373">
        <f t="shared" si="63"/>
        <v>0</v>
      </c>
      <c r="AI99" s="373">
        <f t="shared" si="63"/>
        <v>0</v>
      </c>
      <c r="AJ99" s="373">
        <f t="shared" si="63"/>
        <v>0.6</v>
      </c>
      <c r="AK99" s="373">
        <f t="shared" si="63"/>
        <v>0.05</v>
      </c>
      <c r="AL99" s="373">
        <f t="shared" si="63"/>
        <v>0.35</v>
      </c>
      <c r="AM99" s="373">
        <f t="shared" si="63"/>
        <v>0</v>
      </c>
    </row>
    <row r="100" spans="2:39" s="147" customFormat="1" ht="27" hidden="1" customHeight="1">
      <c r="B100" s="935"/>
      <c r="C100" s="936"/>
      <c r="D100" s="361">
        <v>6</v>
      </c>
      <c r="E100" s="440" t="s">
        <v>386</v>
      </c>
      <c r="F100" s="364">
        <f t="shared" si="51"/>
        <v>5136.6111999999794</v>
      </c>
      <c r="G100" s="365">
        <v>127.84000000000002</v>
      </c>
      <c r="H100" s="442">
        <v>4089.3399999999997</v>
      </c>
      <c r="I100" s="442">
        <v>4089.3399999999997</v>
      </c>
      <c r="J100" s="444">
        <f t="shared" si="52"/>
        <v>1</v>
      </c>
      <c r="K100" s="443">
        <v>4089.3399999999997</v>
      </c>
      <c r="L100" s="444">
        <f t="shared" si="53"/>
        <v>1</v>
      </c>
      <c r="M100" s="443">
        <v>40.179999999999993</v>
      </c>
      <c r="N100" s="444">
        <f t="shared" si="54"/>
        <v>9.8255464206938037E-3</v>
      </c>
      <c r="O100" s="445">
        <f t="shared" si="55"/>
        <v>4129.5199999999995</v>
      </c>
      <c r="P100" s="444">
        <f t="shared" si="56"/>
        <v>1.0098255464206938</v>
      </c>
      <c r="Q100" s="442">
        <v>9.36</v>
      </c>
      <c r="R100" s="444">
        <f t="shared" si="57"/>
        <v>2.2888779118390742E-3</v>
      </c>
      <c r="S100" s="452">
        <f t="shared" si="58"/>
        <v>1196.5824</v>
      </c>
      <c r="T100" s="445">
        <f t="shared" si="59"/>
        <v>40.179999999999836</v>
      </c>
      <c r="U100" s="444">
        <f t="shared" si="60"/>
        <v>9.8255464206937638E-3</v>
      </c>
      <c r="V100" s="145"/>
      <c r="W100" s="145"/>
      <c r="X100" s="145"/>
      <c r="Y100" s="366" t="s">
        <v>174</v>
      </c>
      <c r="Z100" s="366" t="s">
        <v>428</v>
      </c>
      <c r="AA100" s="367" t="s">
        <v>702</v>
      </c>
      <c r="AB100" s="367" t="s">
        <v>703</v>
      </c>
      <c r="AC100" s="367">
        <v>1</v>
      </c>
      <c r="AD100" s="446" t="s">
        <v>340</v>
      </c>
    </row>
    <row r="101" spans="2:39" s="147" customFormat="1" ht="27" hidden="1" customHeight="1">
      <c r="B101" s="935"/>
      <c r="C101" s="936"/>
      <c r="D101" s="361">
        <v>7</v>
      </c>
      <c r="E101" s="440" t="s">
        <v>461</v>
      </c>
      <c r="F101" s="364">
        <f t="shared" si="51"/>
        <v>4746.093600000042</v>
      </c>
      <c r="G101" s="365">
        <v>407.74000000000007</v>
      </c>
      <c r="H101" s="442">
        <v>1119.06</v>
      </c>
      <c r="I101" s="442">
        <v>1119.06</v>
      </c>
      <c r="J101" s="444">
        <f t="shared" si="52"/>
        <v>1</v>
      </c>
      <c r="K101" s="443">
        <v>1119.06</v>
      </c>
      <c r="L101" s="444">
        <f t="shared" si="53"/>
        <v>1</v>
      </c>
      <c r="M101" s="443">
        <v>11.64</v>
      </c>
      <c r="N101" s="444">
        <f t="shared" si="54"/>
        <v>1.0401587046270979E-2</v>
      </c>
      <c r="O101" s="445">
        <f t="shared" si="55"/>
        <v>1130.7</v>
      </c>
      <c r="P101" s="444">
        <f t="shared" si="56"/>
        <v>1.010401587046271</v>
      </c>
      <c r="Q101" s="442">
        <v>2.67</v>
      </c>
      <c r="R101" s="444">
        <f t="shared" si="57"/>
        <v>2.3859310492734976E-3</v>
      </c>
      <c r="S101" s="452">
        <f t="shared" si="58"/>
        <v>1088.6658000000002</v>
      </c>
      <c r="T101" s="445">
        <f t="shared" si="59"/>
        <v>11.6400000000001</v>
      </c>
      <c r="U101" s="444">
        <f t="shared" si="60"/>
        <v>1.0401587046271067E-2</v>
      </c>
      <c r="V101" s="145"/>
      <c r="W101" s="145"/>
      <c r="X101" s="145"/>
      <c r="Y101" s="366" t="s">
        <v>174</v>
      </c>
      <c r="Z101" s="366" t="s">
        <v>216</v>
      </c>
      <c r="AA101" s="367" t="s">
        <v>480</v>
      </c>
      <c r="AB101" s="367" t="s">
        <v>481</v>
      </c>
      <c r="AC101" s="367">
        <v>1</v>
      </c>
      <c r="AD101" s="446" t="s">
        <v>463</v>
      </c>
    </row>
    <row r="102" spans="2:39" s="147" customFormat="1" ht="27" hidden="1" customHeight="1">
      <c r="B102" s="935"/>
      <c r="C102" s="936"/>
      <c r="D102" s="361">
        <v>8</v>
      </c>
      <c r="E102" s="440" t="s">
        <v>635</v>
      </c>
      <c r="F102" s="364">
        <f t="shared" si="51"/>
        <v>4664.6466000000055</v>
      </c>
      <c r="G102" s="365">
        <v>49.82</v>
      </c>
      <c r="H102" s="442">
        <v>3175.25</v>
      </c>
      <c r="I102" s="442">
        <v>3175.25</v>
      </c>
      <c r="J102" s="444">
        <f t="shared" si="52"/>
        <v>1</v>
      </c>
      <c r="K102" s="443">
        <v>3175.25</v>
      </c>
      <c r="L102" s="444">
        <f t="shared" si="53"/>
        <v>1</v>
      </c>
      <c r="M102" s="443">
        <v>93.63</v>
      </c>
      <c r="N102" s="444">
        <f t="shared" si="54"/>
        <v>2.9487441933706005E-2</v>
      </c>
      <c r="O102" s="445">
        <f t="shared" si="55"/>
        <v>3268.88</v>
      </c>
      <c r="P102" s="444">
        <f t="shared" si="56"/>
        <v>1.0294874419337061</v>
      </c>
      <c r="Q102" s="442">
        <v>19.990000000000002</v>
      </c>
      <c r="R102" s="444">
        <f t="shared" si="57"/>
        <v>6.2955672781670738E-3</v>
      </c>
      <c r="S102" s="452">
        <f t="shared" si="58"/>
        <v>995.90180000000009</v>
      </c>
      <c r="T102" s="445">
        <f t="shared" si="59"/>
        <v>93.630000000000109</v>
      </c>
      <c r="U102" s="444">
        <f t="shared" si="60"/>
        <v>2.9487441933706043E-2</v>
      </c>
      <c r="V102" s="145"/>
      <c r="W102" s="145"/>
      <c r="X102" s="145"/>
      <c r="Y102" s="366" t="s">
        <v>174</v>
      </c>
      <c r="Z102" s="366" t="s">
        <v>428</v>
      </c>
      <c r="AA102" s="367" t="s">
        <v>479</v>
      </c>
      <c r="AB102" s="367" t="s">
        <v>477</v>
      </c>
      <c r="AC102" s="367">
        <v>1</v>
      </c>
      <c r="AD102" s="446" t="s">
        <v>616</v>
      </c>
    </row>
    <row r="103" spans="2:39" s="147" customFormat="1" ht="27" hidden="1" customHeight="1">
      <c r="B103" s="935"/>
      <c r="C103" s="936"/>
      <c r="D103" s="361">
        <v>9</v>
      </c>
      <c r="E103" s="440" t="s">
        <v>619</v>
      </c>
      <c r="F103" s="364">
        <f t="shared" si="51"/>
        <v>4363.6241999999538</v>
      </c>
      <c r="G103" s="365">
        <v>39.389999999999993</v>
      </c>
      <c r="H103" s="442">
        <v>7006.3500000000013</v>
      </c>
      <c r="I103" s="442">
        <v>7006.3500000000013</v>
      </c>
      <c r="J103" s="444">
        <f t="shared" si="52"/>
        <v>1</v>
      </c>
      <c r="K103" s="443">
        <v>7015.13</v>
      </c>
      <c r="L103" s="444">
        <f t="shared" si="53"/>
        <v>1.0012531489291856</v>
      </c>
      <c r="M103" s="443">
        <v>102.00000000000001</v>
      </c>
      <c r="N103" s="444">
        <f t="shared" si="54"/>
        <v>1.455822218416151E-2</v>
      </c>
      <c r="O103" s="445">
        <f t="shared" si="55"/>
        <v>7117.13</v>
      </c>
      <c r="P103" s="444">
        <f t="shared" si="56"/>
        <v>1.015811371113347</v>
      </c>
      <c r="Q103" s="442">
        <v>31.970000000000002</v>
      </c>
      <c r="R103" s="444">
        <f t="shared" si="57"/>
        <v>4.5630035610553276E-3</v>
      </c>
      <c r="S103" s="452">
        <f t="shared" si="58"/>
        <v>1259.2982999999999</v>
      </c>
      <c r="T103" s="445">
        <f t="shared" si="59"/>
        <v>110.77999999999884</v>
      </c>
      <c r="U103" s="444">
        <f t="shared" si="60"/>
        <v>1.581137111334701E-2</v>
      </c>
      <c r="V103" s="145"/>
      <c r="W103" s="145"/>
      <c r="X103" s="145"/>
      <c r="Y103" s="366" t="s">
        <v>174</v>
      </c>
      <c r="Z103" s="366" t="s">
        <v>216</v>
      </c>
      <c r="AA103" s="367" t="s">
        <v>682</v>
      </c>
      <c r="AB103" s="367" t="s">
        <v>683</v>
      </c>
      <c r="AC103" s="367">
        <v>1</v>
      </c>
      <c r="AD103" s="446" t="s">
        <v>614</v>
      </c>
      <c r="AH103" s="370"/>
    </row>
    <row r="104" spans="2:39" s="147" customFormat="1" ht="27" hidden="1" customHeight="1">
      <c r="B104" s="935"/>
      <c r="C104" s="936"/>
      <c r="D104" s="361">
        <v>10</v>
      </c>
      <c r="E104" s="440" t="s">
        <v>695</v>
      </c>
      <c r="F104" s="364">
        <f t="shared" si="51"/>
        <v>4259.2104000000018</v>
      </c>
      <c r="G104" s="365">
        <v>351.42</v>
      </c>
      <c r="H104" s="442">
        <v>483.08999999999992</v>
      </c>
      <c r="I104" s="442">
        <v>483.08999999999992</v>
      </c>
      <c r="J104" s="444">
        <f t="shared" si="52"/>
        <v>1</v>
      </c>
      <c r="K104" s="443">
        <v>483.08999999999992</v>
      </c>
      <c r="L104" s="444">
        <f t="shared" si="53"/>
        <v>1</v>
      </c>
      <c r="M104" s="443">
        <v>12.119999999999997</v>
      </c>
      <c r="N104" s="444">
        <f t="shared" si="54"/>
        <v>2.508849282742346E-2</v>
      </c>
      <c r="O104" s="445">
        <f t="shared" si="55"/>
        <v>495.20999999999992</v>
      </c>
      <c r="P104" s="444">
        <f t="shared" si="56"/>
        <v>1.0250884928274235</v>
      </c>
      <c r="Q104" s="442">
        <v>1.5399999999999998</v>
      </c>
      <c r="R104" s="444">
        <f t="shared" si="57"/>
        <v>3.1878117949036412E-3</v>
      </c>
      <c r="S104" s="452">
        <f t="shared" si="58"/>
        <v>541.18679999999995</v>
      </c>
      <c r="T104" s="445">
        <f t="shared" si="59"/>
        <v>12.120000000000005</v>
      </c>
      <c r="U104" s="444">
        <f t="shared" si="60"/>
        <v>2.5088492827423474E-2</v>
      </c>
      <c r="V104" s="145"/>
      <c r="W104" s="145"/>
      <c r="X104" s="145"/>
      <c r="Y104" s="366" t="s">
        <v>174</v>
      </c>
      <c r="Z104" s="366" t="s">
        <v>428</v>
      </c>
      <c r="AA104" s="367" t="s">
        <v>704</v>
      </c>
      <c r="AB104" s="367" t="s">
        <v>684</v>
      </c>
      <c r="AC104" s="367">
        <v>1</v>
      </c>
      <c r="AD104" s="446" t="s">
        <v>664</v>
      </c>
      <c r="AH104" s="370"/>
    </row>
    <row r="105" spans="2:39" s="147" customFormat="1" ht="27" hidden="1" customHeight="1">
      <c r="B105" s="935"/>
      <c r="C105" s="936"/>
      <c r="D105" s="361">
        <v>11</v>
      </c>
      <c r="E105" s="440" t="s">
        <v>696</v>
      </c>
      <c r="F105" s="364">
        <f t="shared" si="51"/>
        <v>4127.3453999999929</v>
      </c>
      <c r="G105" s="365">
        <v>98.060000000000016</v>
      </c>
      <c r="H105" s="442">
        <v>1507.1899999999998</v>
      </c>
      <c r="I105" s="442">
        <v>1507.1899999999998</v>
      </c>
      <c r="J105" s="444">
        <f t="shared" si="52"/>
        <v>1</v>
      </c>
      <c r="K105" s="443">
        <v>1507.1899999999998</v>
      </c>
      <c r="L105" s="444">
        <f t="shared" si="53"/>
        <v>1</v>
      </c>
      <c r="M105" s="443">
        <v>42.089999999999996</v>
      </c>
      <c r="N105" s="444">
        <f t="shared" si="54"/>
        <v>2.7926140698916527E-2</v>
      </c>
      <c r="O105" s="445">
        <f t="shared" si="55"/>
        <v>1549.2799999999997</v>
      </c>
      <c r="P105" s="444">
        <f t="shared" si="56"/>
        <v>1.0279261406989164</v>
      </c>
      <c r="Q105" s="442">
        <v>8.7899999999999991</v>
      </c>
      <c r="R105" s="444">
        <f t="shared" si="57"/>
        <v>5.8320450639932587E-3</v>
      </c>
      <c r="S105" s="452">
        <f t="shared" si="58"/>
        <v>861.94740000000002</v>
      </c>
      <c r="T105" s="445">
        <f t="shared" si="59"/>
        <v>42.089999999999918</v>
      </c>
      <c r="U105" s="444">
        <f t="shared" si="60"/>
        <v>2.7926140698916475E-2</v>
      </c>
      <c r="V105" s="145"/>
      <c r="W105" s="145"/>
      <c r="X105" s="145"/>
      <c r="Y105" s="366" t="s">
        <v>174</v>
      </c>
      <c r="Z105" s="366" t="s">
        <v>428</v>
      </c>
      <c r="AA105" s="367" t="s">
        <v>479</v>
      </c>
      <c r="AB105" s="367" t="s">
        <v>477</v>
      </c>
      <c r="AC105" s="367">
        <v>1</v>
      </c>
      <c r="AD105" s="446" t="s">
        <v>664</v>
      </c>
      <c r="AH105" s="370"/>
    </row>
    <row r="106" spans="2:39" s="147" customFormat="1" ht="27" hidden="1" customHeight="1">
      <c r="B106" s="935"/>
      <c r="C106" s="936"/>
      <c r="D106" s="361">
        <v>12</v>
      </c>
      <c r="E106" s="440" t="s">
        <v>653</v>
      </c>
      <c r="F106" s="364">
        <f t="shared" si="51"/>
        <v>3978.5405999999944</v>
      </c>
      <c r="G106" s="365">
        <v>40.420000000000009</v>
      </c>
      <c r="H106" s="442">
        <v>3099.3199999999997</v>
      </c>
      <c r="I106" s="442">
        <v>3099.3199999999997</v>
      </c>
      <c r="J106" s="444">
        <f t="shared" si="52"/>
        <v>1</v>
      </c>
      <c r="K106" s="443">
        <v>3099.3199999999997</v>
      </c>
      <c r="L106" s="444">
        <f t="shared" si="53"/>
        <v>1</v>
      </c>
      <c r="M106" s="443">
        <v>98.43</v>
      </c>
      <c r="N106" s="444">
        <f t="shared" si="54"/>
        <v>3.1758579301266091E-2</v>
      </c>
      <c r="O106" s="445">
        <f t="shared" si="55"/>
        <v>3197.7499999999995</v>
      </c>
      <c r="P106" s="444">
        <f t="shared" si="56"/>
        <v>1.031758579301266</v>
      </c>
      <c r="Q106" s="442">
        <v>25.94</v>
      </c>
      <c r="R106" s="444">
        <f t="shared" si="57"/>
        <v>8.3695778428816651E-3</v>
      </c>
      <c r="S106" s="452">
        <f t="shared" si="58"/>
        <v>1048.4948000000002</v>
      </c>
      <c r="T106" s="445">
        <f t="shared" si="59"/>
        <v>98.429999999999836</v>
      </c>
      <c r="U106" s="444">
        <f t="shared" si="60"/>
        <v>3.1758579301266035E-2</v>
      </c>
      <c r="V106" s="145"/>
      <c r="W106" s="145"/>
      <c r="X106" s="145"/>
      <c r="Y106" s="366" t="s">
        <v>174</v>
      </c>
      <c r="Z106" s="366" t="s">
        <v>428</v>
      </c>
      <c r="AA106" s="367" t="s">
        <v>682</v>
      </c>
      <c r="AB106" s="367" t="s">
        <v>683</v>
      </c>
      <c r="AC106" s="367">
        <v>1</v>
      </c>
      <c r="AD106" s="446" t="s">
        <v>650</v>
      </c>
      <c r="AH106" s="370"/>
    </row>
    <row r="107" spans="2:39" s="147" customFormat="1" ht="27" hidden="1" customHeight="1">
      <c r="B107" s="935"/>
      <c r="C107" s="936"/>
      <c r="D107" s="361">
        <v>13</v>
      </c>
      <c r="E107" s="440" t="s">
        <v>583</v>
      </c>
      <c r="F107" s="364">
        <f t="shared" si="51"/>
        <v>3877.62479999999</v>
      </c>
      <c r="G107" s="365">
        <v>113.68000000000004</v>
      </c>
      <c r="H107" s="442">
        <v>1279.5999999999999</v>
      </c>
      <c r="I107" s="442">
        <v>1279.5999999999999</v>
      </c>
      <c r="J107" s="444">
        <f t="shared" si="52"/>
        <v>1</v>
      </c>
      <c r="K107" s="443">
        <v>1279.5999999999999</v>
      </c>
      <c r="L107" s="444">
        <f t="shared" si="53"/>
        <v>1</v>
      </c>
      <c r="M107" s="443">
        <v>34.11</v>
      </c>
      <c r="N107" s="444">
        <f t="shared" si="54"/>
        <v>2.6656767739918725E-2</v>
      </c>
      <c r="O107" s="445">
        <f t="shared" si="55"/>
        <v>1313.7099999999998</v>
      </c>
      <c r="P107" s="444">
        <f t="shared" si="56"/>
        <v>1.0266567677399185</v>
      </c>
      <c r="Q107" s="442">
        <v>8.75</v>
      </c>
      <c r="R107" s="444">
        <f t="shared" si="57"/>
        <v>6.8380743982494538E-3</v>
      </c>
      <c r="S107" s="452">
        <f t="shared" si="58"/>
        <v>994.70000000000027</v>
      </c>
      <c r="T107" s="445">
        <f t="shared" si="59"/>
        <v>34.1099999999999</v>
      </c>
      <c r="U107" s="444">
        <f t="shared" si="60"/>
        <v>2.6656767739918649E-2</v>
      </c>
      <c r="V107" s="145"/>
      <c r="W107" s="145"/>
      <c r="X107" s="145"/>
      <c r="Y107" s="366" t="s">
        <v>174</v>
      </c>
      <c r="Z107" s="366" t="s">
        <v>428</v>
      </c>
      <c r="AA107" s="367" t="s">
        <v>479</v>
      </c>
      <c r="AB107" s="367" t="s">
        <v>477</v>
      </c>
      <c r="AC107" s="367">
        <v>1</v>
      </c>
      <c r="AD107" s="446" t="s">
        <v>566</v>
      </c>
      <c r="AH107" s="370"/>
    </row>
    <row r="108" spans="2:39" s="147" customFormat="1" ht="27" hidden="1" customHeight="1">
      <c r="B108" s="935"/>
      <c r="C108" s="936"/>
      <c r="D108" s="361">
        <v>14</v>
      </c>
      <c r="E108" s="440" t="s">
        <v>631</v>
      </c>
      <c r="F108" s="364">
        <f t="shared" si="51"/>
        <v>3869.7813000000028</v>
      </c>
      <c r="G108" s="365">
        <v>43.889999999999993</v>
      </c>
      <c r="H108" s="442">
        <v>3500.59</v>
      </c>
      <c r="I108" s="442">
        <v>3500.59</v>
      </c>
      <c r="J108" s="444">
        <f t="shared" si="52"/>
        <v>1</v>
      </c>
      <c r="K108" s="443">
        <v>3500.59</v>
      </c>
      <c r="L108" s="444">
        <f t="shared" si="53"/>
        <v>1</v>
      </c>
      <c r="M108" s="443">
        <v>88.17</v>
      </c>
      <c r="N108" s="444">
        <f t="shared" si="54"/>
        <v>2.5187182732053739E-2</v>
      </c>
      <c r="O108" s="445">
        <f t="shared" si="55"/>
        <v>3588.76</v>
      </c>
      <c r="P108" s="444">
        <f t="shared" si="56"/>
        <v>1.0251871827320538</v>
      </c>
      <c r="Q108" s="442">
        <v>22.84</v>
      </c>
      <c r="R108" s="444">
        <f t="shared" si="57"/>
        <v>6.5246144221402678E-3</v>
      </c>
      <c r="S108" s="452">
        <f t="shared" si="58"/>
        <v>1002.4475999999999</v>
      </c>
      <c r="T108" s="445">
        <f t="shared" si="59"/>
        <v>88.170000000000073</v>
      </c>
      <c r="U108" s="444">
        <f t="shared" si="60"/>
        <v>2.518718273205376E-2</v>
      </c>
      <c r="V108" s="145"/>
      <c r="W108" s="145"/>
      <c r="X108" s="145"/>
      <c r="Y108" s="366" t="s">
        <v>174</v>
      </c>
      <c r="Z108" s="366" t="s">
        <v>216</v>
      </c>
      <c r="AA108" s="367" t="s">
        <v>682</v>
      </c>
      <c r="AB108" s="367" t="s">
        <v>683</v>
      </c>
      <c r="AC108" s="367">
        <v>1</v>
      </c>
      <c r="AD108" s="446" t="s">
        <v>630</v>
      </c>
      <c r="AF108" s="957" t="s">
        <v>247</v>
      </c>
      <c r="AG108" s="958"/>
      <c r="AH108" s="958"/>
      <c r="AI108" s="958"/>
      <c r="AJ108" s="958"/>
      <c r="AK108" s="958"/>
      <c r="AL108" s="958"/>
      <c r="AM108" s="959"/>
    </row>
    <row r="109" spans="2:39" s="147" customFormat="1" ht="27" hidden="1" customHeight="1">
      <c r="B109" s="935"/>
      <c r="C109" s="936"/>
      <c r="D109" s="361">
        <v>15</v>
      </c>
      <c r="E109" s="440" t="s">
        <v>544</v>
      </c>
      <c r="F109" s="364">
        <f t="shared" si="51"/>
        <v>3831.9534000000067</v>
      </c>
      <c r="G109" s="365">
        <v>62.43</v>
      </c>
      <c r="H109" s="442">
        <v>2296.34</v>
      </c>
      <c r="I109" s="442">
        <v>2296.34</v>
      </c>
      <c r="J109" s="444">
        <f t="shared" si="52"/>
        <v>1</v>
      </c>
      <c r="K109" s="443">
        <v>2296.34</v>
      </c>
      <c r="L109" s="444">
        <f t="shared" si="53"/>
        <v>1</v>
      </c>
      <c r="M109" s="443">
        <v>61.379999999999995</v>
      </c>
      <c r="N109" s="444">
        <f t="shared" si="54"/>
        <v>2.6729491277424071E-2</v>
      </c>
      <c r="O109" s="445">
        <f t="shared" si="55"/>
        <v>2357.7200000000003</v>
      </c>
      <c r="P109" s="444">
        <f t="shared" si="56"/>
        <v>1.0267294912774241</v>
      </c>
      <c r="Q109" s="442">
        <v>25.980000000000004</v>
      </c>
      <c r="R109" s="444">
        <f t="shared" si="57"/>
        <v>1.1313655643328079E-2</v>
      </c>
      <c r="S109" s="452">
        <f t="shared" si="58"/>
        <v>1621.9314000000002</v>
      </c>
      <c r="T109" s="445">
        <f t="shared" si="59"/>
        <v>61.380000000000109</v>
      </c>
      <c r="U109" s="444">
        <f t="shared" si="60"/>
        <v>2.6729491277424119E-2</v>
      </c>
      <c r="V109" s="145"/>
      <c r="W109" s="145"/>
      <c r="X109" s="145"/>
      <c r="Y109" s="366" t="s">
        <v>174</v>
      </c>
      <c r="Z109" s="366" t="s">
        <v>216</v>
      </c>
      <c r="AA109" s="367" t="s">
        <v>682</v>
      </c>
      <c r="AB109" s="367" t="s">
        <v>683</v>
      </c>
      <c r="AC109" s="367">
        <v>1</v>
      </c>
      <c r="AD109" s="446" t="s">
        <v>543</v>
      </c>
      <c r="AF109" s="960"/>
      <c r="AG109" s="961"/>
      <c r="AH109" s="961"/>
      <c r="AI109" s="961"/>
      <c r="AJ109" s="961"/>
      <c r="AK109" s="961"/>
      <c r="AL109" s="961"/>
      <c r="AM109" s="962"/>
    </row>
    <row r="110" spans="2:39" s="147" customFormat="1" ht="27" hidden="1" customHeight="1">
      <c r="B110" s="935"/>
      <c r="C110" s="936"/>
      <c r="D110" s="361">
        <v>16</v>
      </c>
      <c r="E110" s="440" t="s">
        <v>432</v>
      </c>
      <c r="F110" s="364">
        <f t="shared" si="51"/>
        <v>3813.9304000000043</v>
      </c>
      <c r="G110" s="365">
        <v>368.13999999999993</v>
      </c>
      <c r="H110" s="442">
        <v>416.59000000000003</v>
      </c>
      <c r="I110" s="442">
        <v>416.59000000000003</v>
      </c>
      <c r="J110" s="444">
        <f t="shared" si="52"/>
        <v>1</v>
      </c>
      <c r="K110" s="443">
        <v>416.59000000000003</v>
      </c>
      <c r="L110" s="444">
        <f t="shared" si="53"/>
        <v>1</v>
      </c>
      <c r="M110" s="443">
        <v>10.36</v>
      </c>
      <c r="N110" s="444">
        <f t="shared" si="54"/>
        <v>2.4868575817950499E-2</v>
      </c>
      <c r="O110" s="445">
        <f t="shared" si="55"/>
        <v>426.95000000000005</v>
      </c>
      <c r="P110" s="444">
        <f t="shared" si="56"/>
        <v>1.0248685758179505</v>
      </c>
      <c r="Q110" s="442">
        <v>2.75</v>
      </c>
      <c r="R110" s="444">
        <f t="shared" si="57"/>
        <v>6.6012146234907219E-3</v>
      </c>
      <c r="S110" s="452">
        <f t="shared" si="58"/>
        <v>1012.3849999999998</v>
      </c>
      <c r="T110" s="445">
        <f t="shared" si="59"/>
        <v>10.360000000000014</v>
      </c>
      <c r="U110" s="444">
        <f t="shared" si="60"/>
        <v>2.4868575817950534E-2</v>
      </c>
      <c r="V110" s="145"/>
      <c r="W110" s="145"/>
      <c r="X110" s="145"/>
      <c r="Y110" s="366" t="s">
        <v>174</v>
      </c>
      <c r="Z110" s="366" t="s">
        <v>428</v>
      </c>
      <c r="AA110" s="367" t="s">
        <v>704</v>
      </c>
      <c r="AB110" s="367" t="s">
        <v>684</v>
      </c>
      <c r="AC110" s="367">
        <v>1</v>
      </c>
      <c r="AD110" s="446" t="s">
        <v>433</v>
      </c>
      <c r="AF110" s="963"/>
      <c r="AG110" s="964"/>
      <c r="AH110" s="964"/>
      <c r="AI110" s="964"/>
      <c r="AJ110" s="964"/>
      <c r="AK110" s="964"/>
      <c r="AL110" s="964"/>
      <c r="AM110" s="965"/>
    </row>
    <row r="111" spans="2:39" s="147" customFormat="1" ht="27" hidden="1" customHeight="1">
      <c r="B111" s="935"/>
      <c r="C111" s="936"/>
      <c r="D111" s="361">
        <v>17</v>
      </c>
      <c r="E111" s="440" t="s">
        <v>545</v>
      </c>
      <c r="F111" s="364">
        <f t="shared" si="51"/>
        <v>3768.7487000000006</v>
      </c>
      <c r="G111" s="365">
        <v>66.13</v>
      </c>
      <c r="H111" s="442">
        <v>1931.02</v>
      </c>
      <c r="I111" s="442">
        <v>1931.02</v>
      </c>
      <c r="J111" s="444">
        <f t="shared" si="52"/>
        <v>1</v>
      </c>
      <c r="K111" s="443">
        <v>1931.02</v>
      </c>
      <c r="L111" s="444">
        <f t="shared" si="53"/>
        <v>1</v>
      </c>
      <c r="M111" s="443">
        <v>56.99</v>
      </c>
      <c r="N111" s="444">
        <f t="shared" si="54"/>
        <v>2.9512899918177959E-2</v>
      </c>
      <c r="O111" s="445">
        <f t="shared" si="55"/>
        <v>1988.01</v>
      </c>
      <c r="P111" s="444">
        <f t="shared" si="56"/>
        <v>1.029512899918178</v>
      </c>
      <c r="Q111" s="442">
        <v>15.62</v>
      </c>
      <c r="R111" s="444">
        <f t="shared" si="57"/>
        <v>8.0889892388478629E-3</v>
      </c>
      <c r="S111" s="452">
        <f t="shared" si="58"/>
        <v>1032.9505999999999</v>
      </c>
      <c r="T111" s="445">
        <f t="shared" si="59"/>
        <v>56.990000000000009</v>
      </c>
      <c r="U111" s="444">
        <f t="shared" si="60"/>
        <v>2.9512899918177963E-2</v>
      </c>
      <c r="V111" s="145"/>
      <c r="W111" s="145"/>
      <c r="X111" s="145"/>
      <c r="Y111" s="366" t="s">
        <v>174</v>
      </c>
      <c r="Z111" s="366" t="s">
        <v>428</v>
      </c>
      <c r="AA111" s="367" t="s">
        <v>479</v>
      </c>
      <c r="AB111" s="367" t="s">
        <v>477</v>
      </c>
      <c r="AC111" s="367">
        <v>1</v>
      </c>
      <c r="AD111" s="446" t="s">
        <v>341</v>
      </c>
      <c r="AF111" s="160" t="s">
        <v>244</v>
      </c>
      <c r="AG111" s="160" t="s">
        <v>445</v>
      </c>
      <c r="AH111" s="155" t="s">
        <v>383</v>
      </c>
      <c r="AI111" s="155" t="s">
        <v>337</v>
      </c>
      <c r="AJ111" s="155" t="s">
        <v>428</v>
      </c>
      <c r="AK111" s="155" t="s">
        <v>215</v>
      </c>
      <c r="AL111" s="155" t="s">
        <v>216</v>
      </c>
      <c r="AM111" s="155" t="s">
        <v>384</v>
      </c>
    </row>
    <row r="112" spans="2:39" s="147" customFormat="1" ht="27" hidden="1" customHeight="1">
      <c r="B112" s="935"/>
      <c r="C112" s="936"/>
      <c r="D112" s="361">
        <v>18</v>
      </c>
      <c r="E112" s="440" t="s">
        <v>470</v>
      </c>
      <c r="F112" s="364">
        <f t="shared" si="51"/>
        <v>3727.9199999999996</v>
      </c>
      <c r="G112" s="365">
        <v>266.27999999999997</v>
      </c>
      <c r="H112" s="442">
        <v>1257.02</v>
      </c>
      <c r="I112" s="442">
        <v>1257.02</v>
      </c>
      <c r="J112" s="444">
        <f t="shared" si="52"/>
        <v>1</v>
      </c>
      <c r="K112" s="443">
        <v>1257.02</v>
      </c>
      <c r="L112" s="444">
        <f t="shared" si="53"/>
        <v>1</v>
      </c>
      <c r="M112" s="443">
        <v>14</v>
      </c>
      <c r="N112" s="444">
        <f t="shared" si="54"/>
        <v>1.1137452069179488E-2</v>
      </c>
      <c r="O112" s="445">
        <f t="shared" si="55"/>
        <v>1271.02</v>
      </c>
      <c r="P112" s="444">
        <f t="shared" si="56"/>
        <v>1.0111374520691796</v>
      </c>
      <c r="Q112" s="442">
        <v>3.2700000000000005</v>
      </c>
      <c r="R112" s="444">
        <f t="shared" si="57"/>
        <v>2.6013905904440663E-3</v>
      </c>
      <c r="S112" s="452">
        <f t="shared" si="58"/>
        <v>870.73560000000009</v>
      </c>
      <c r="T112" s="445">
        <f t="shared" si="59"/>
        <v>14</v>
      </c>
      <c r="U112" s="444">
        <f t="shared" si="60"/>
        <v>1.1137452069179488E-2</v>
      </c>
      <c r="V112" s="145"/>
      <c r="W112" s="145"/>
      <c r="X112" s="145"/>
      <c r="Y112" s="366" t="s">
        <v>174</v>
      </c>
      <c r="Z112" s="366" t="s">
        <v>428</v>
      </c>
      <c r="AA112" s="367" t="s">
        <v>659</v>
      </c>
      <c r="AB112" s="367" t="s">
        <v>684</v>
      </c>
      <c r="AC112" s="367">
        <v>1</v>
      </c>
      <c r="AD112" s="446" t="s">
        <v>471</v>
      </c>
      <c r="AE112" s="453" t="s">
        <v>610</v>
      </c>
      <c r="AF112" s="374">
        <f>AF31+AF53+AF7+AF75+AF97</f>
        <v>100</v>
      </c>
      <c r="AG112" s="374">
        <f>AG31+AG53+AG7+AG75+AG97</f>
        <v>0</v>
      </c>
      <c r="AH112" s="374">
        <f t="shared" ref="AH112:AM113" si="64">AH31+AH53+AH7+AH75+AH97</f>
        <v>0</v>
      </c>
      <c r="AI112" s="374">
        <f t="shared" si="64"/>
        <v>0</v>
      </c>
      <c r="AJ112" s="374">
        <f t="shared" si="64"/>
        <v>58</v>
      </c>
      <c r="AK112" s="374">
        <f t="shared" si="64"/>
        <v>5</v>
      </c>
      <c r="AL112" s="374">
        <f t="shared" si="64"/>
        <v>37</v>
      </c>
      <c r="AM112" s="374">
        <f t="shared" si="64"/>
        <v>0</v>
      </c>
    </row>
    <row r="113" spans="2:39" s="147" customFormat="1" ht="27" hidden="1" customHeight="1">
      <c r="B113" s="935"/>
      <c r="C113" s="936"/>
      <c r="D113" s="361">
        <v>19</v>
      </c>
      <c r="E113" s="440" t="s">
        <v>483</v>
      </c>
      <c r="F113" s="364">
        <f t="shared" si="51"/>
        <v>3627.2929000000067</v>
      </c>
      <c r="G113" s="365">
        <v>370.50999999999993</v>
      </c>
      <c r="H113" s="442">
        <v>386.56</v>
      </c>
      <c r="I113" s="442">
        <v>386.56</v>
      </c>
      <c r="J113" s="444">
        <f t="shared" si="52"/>
        <v>1</v>
      </c>
      <c r="K113" s="443">
        <v>386.56</v>
      </c>
      <c r="L113" s="444">
        <f t="shared" si="53"/>
        <v>1</v>
      </c>
      <c r="M113" s="443">
        <v>9.7899999999999991</v>
      </c>
      <c r="N113" s="444">
        <f t="shared" si="54"/>
        <v>2.5325951986754965E-2</v>
      </c>
      <c r="O113" s="445">
        <f t="shared" si="55"/>
        <v>396.35</v>
      </c>
      <c r="P113" s="444">
        <f t="shared" si="56"/>
        <v>1.025325951986755</v>
      </c>
      <c r="Q113" s="442">
        <v>2.68</v>
      </c>
      <c r="R113" s="444">
        <f t="shared" si="57"/>
        <v>6.9329470198675504E-3</v>
      </c>
      <c r="S113" s="452">
        <f t="shared" si="58"/>
        <v>992.96679999999992</v>
      </c>
      <c r="T113" s="445">
        <f t="shared" si="59"/>
        <v>9.7900000000000205</v>
      </c>
      <c r="U113" s="444">
        <f t="shared" si="60"/>
        <v>2.5325951986755021E-2</v>
      </c>
      <c r="V113" s="145"/>
      <c r="W113" s="145"/>
      <c r="X113" s="145"/>
      <c r="Y113" s="366" t="s">
        <v>174</v>
      </c>
      <c r="Z113" s="366" t="s">
        <v>428</v>
      </c>
      <c r="AA113" s="367" t="s">
        <v>704</v>
      </c>
      <c r="AB113" s="367" t="s">
        <v>684</v>
      </c>
      <c r="AC113" s="367">
        <v>1</v>
      </c>
      <c r="AD113" s="446" t="s">
        <v>353</v>
      </c>
      <c r="AF113" s="375"/>
      <c r="AG113" s="374">
        <f>AG32+AG54+AG8+AG76+AG98</f>
        <v>0</v>
      </c>
      <c r="AH113" s="374">
        <f t="shared" si="64"/>
        <v>0</v>
      </c>
      <c r="AI113" s="374">
        <f t="shared" si="64"/>
        <v>0</v>
      </c>
      <c r="AJ113" s="374">
        <f t="shared" si="64"/>
        <v>289451.13219999993</v>
      </c>
      <c r="AK113" s="374">
        <f t="shared" si="64"/>
        <v>61171.655599999933</v>
      </c>
      <c r="AL113" s="374">
        <f t="shared" si="64"/>
        <v>214304.63423000017</v>
      </c>
      <c r="AM113" s="374">
        <f t="shared" si="64"/>
        <v>0</v>
      </c>
    </row>
    <row r="114" spans="2:39" s="147" customFormat="1" ht="27" hidden="1" customHeight="1">
      <c r="B114" s="937"/>
      <c r="C114" s="938"/>
      <c r="D114" s="361">
        <v>20</v>
      </c>
      <c r="E114" s="440" t="s">
        <v>599</v>
      </c>
      <c r="F114" s="364">
        <f t="shared" si="51"/>
        <v>3578.220799999991</v>
      </c>
      <c r="G114" s="365">
        <v>153.44000000000003</v>
      </c>
      <c r="H114" s="442">
        <v>1698.1799999999998</v>
      </c>
      <c r="I114" s="442">
        <v>1698.1799999999998</v>
      </c>
      <c r="J114" s="444">
        <f t="shared" si="52"/>
        <v>1</v>
      </c>
      <c r="K114" s="443">
        <v>1698.1799999999998</v>
      </c>
      <c r="L114" s="444">
        <f t="shared" si="53"/>
        <v>1</v>
      </c>
      <c r="M114" s="443">
        <v>23.320000000000004</v>
      </c>
      <c r="N114" s="444">
        <f t="shared" si="54"/>
        <v>1.3732348749838065E-2</v>
      </c>
      <c r="O114" s="445">
        <f t="shared" si="55"/>
        <v>1721.4999999999998</v>
      </c>
      <c r="P114" s="444">
        <f t="shared" si="56"/>
        <v>1.013732348749838</v>
      </c>
      <c r="Q114" s="442">
        <v>5.62</v>
      </c>
      <c r="R114" s="444">
        <f t="shared" si="57"/>
        <v>3.3094253848237527E-3</v>
      </c>
      <c r="S114" s="452">
        <f t="shared" si="58"/>
        <v>862.33280000000013</v>
      </c>
      <c r="T114" s="445">
        <f t="shared" si="59"/>
        <v>23.319999999999936</v>
      </c>
      <c r="U114" s="444">
        <f t="shared" si="60"/>
        <v>1.3732348749838025E-2</v>
      </c>
      <c r="V114" s="145"/>
      <c r="W114" s="145"/>
      <c r="X114" s="145"/>
      <c r="Y114" s="366" t="s">
        <v>174</v>
      </c>
      <c r="Z114" s="366" t="s">
        <v>428</v>
      </c>
      <c r="AA114" s="367" t="s">
        <v>607</v>
      </c>
      <c r="AB114" s="367" t="s">
        <v>705</v>
      </c>
      <c r="AC114" s="367">
        <v>1</v>
      </c>
      <c r="AD114" s="446" t="s">
        <v>465</v>
      </c>
      <c r="AF114" s="361"/>
      <c r="AG114" s="373">
        <f>AG112/$AF112</f>
        <v>0</v>
      </c>
      <c r="AH114" s="373">
        <f t="shared" ref="AH114:AM114" si="65">AH112/$AF112</f>
        <v>0</v>
      </c>
      <c r="AI114" s="373">
        <f t="shared" si="65"/>
        <v>0</v>
      </c>
      <c r="AJ114" s="373">
        <f t="shared" si="65"/>
        <v>0.57999999999999996</v>
      </c>
      <c r="AK114" s="373">
        <f t="shared" si="65"/>
        <v>0.05</v>
      </c>
      <c r="AL114" s="373">
        <f t="shared" si="65"/>
        <v>0.37</v>
      </c>
      <c r="AM114" s="373">
        <f t="shared" si="65"/>
        <v>0</v>
      </c>
    </row>
    <row r="115" spans="2:39" ht="17.100000000000001" customHeight="1">
      <c r="B115" s="949" t="s">
        <v>442</v>
      </c>
      <c r="C115" s="950"/>
      <c r="D115" s="953" t="s">
        <v>549</v>
      </c>
      <c r="E115" s="954" t="s">
        <v>550</v>
      </c>
      <c r="F115" s="995" t="s">
        <v>567</v>
      </c>
      <c r="G115" s="922" t="s">
        <v>552</v>
      </c>
      <c r="H115" s="956" t="s">
        <v>553</v>
      </c>
      <c r="I115" s="939" t="s">
        <v>554</v>
      </c>
      <c r="J115" s="940"/>
      <c r="K115" s="939" t="s">
        <v>555</v>
      </c>
      <c r="L115" s="940"/>
      <c r="M115" s="939" t="s">
        <v>556</v>
      </c>
      <c r="N115" s="940"/>
      <c r="O115" s="939" t="s">
        <v>557</v>
      </c>
      <c r="P115" s="940"/>
      <c r="Q115" s="939" t="s">
        <v>418</v>
      </c>
      <c r="R115" s="994"/>
      <c r="S115" s="940"/>
      <c r="T115" s="941" t="s">
        <v>719</v>
      </c>
      <c r="U115" s="942"/>
      <c r="V115" s="944" t="s">
        <v>718</v>
      </c>
      <c r="W115" s="945"/>
      <c r="X115" s="946"/>
      <c r="Y115" s="947" t="s">
        <v>171</v>
      </c>
      <c r="Z115" s="947" t="s">
        <v>245</v>
      </c>
      <c r="AA115" s="947" t="s">
        <v>558</v>
      </c>
      <c r="AB115" s="947" t="s">
        <v>444</v>
      </c>
      <c r="AC115" s="947" t="s">
        <v>246</v>
      </c>
      <c r="AD115" s="922" t="s">
        <v>172</v>
      </c>
      <c r="AF115" s="924" t="s">
        <v>247</v>
      </c>
      <c r="AG115" s="925"/>
      <c r="AH115" s="925"/>
      <c r="AI115" s="925"/>
      <c r="AJ115" s="925"/>
      <c r="AK115" s="925"/>
      <c r="AL115" s="925"/>
      <c r="AM115" s="926"/>
    </row>
    <row r="116" spans="2:39" ht="16.5" customHeight="1">
      <c r="B116" s="951"/>
      <c r="C116" s="952"/>
      <c r="D116" s="953"/>
      <c r="E116" s="953"/>
      <c r="F116" s="955"/>
      <c r="G116" s="923"/>
      <c r="H116" s="923"/>
      <c r="I116" s="439" t="s">
        <v>559</v>
      </c>
      <c r="J116" s="362" t="s">
        <v>560</v>
      </c>
      <c r="K116" s="439" t="s">
        <v>559</v>
      </c>
      <c r="L116" s="362" t="s">
        <v>560</v>
      </c>
      <c r="M116" s="439" t="s">
        <v>559</v>
      </c>
      <c r="N116" s="362" t="s">
        <v>560</v>
      </c>
      <c r="O116" s="439" t="s">
        <v>559</v>
      </c>
      <c r="P116" s="362" t="s">
        <v>560</v>
      </c>
      <c r="Q116" s="439" t="s">
        <v>559</v>
      </c>
      <c r="R116" s="362" t="s">
        <v>560</v>
      </c>
      <c r="S116" s="362" t="s">
        <v>561</v>
      </c>
      <c r="T116" s="439" t="s">
        <v>559</v>
      </c>
      <c r="U116" s="362" t="s">
        <v>560</v>
      </c>
      <c r="V116" s="439" t="s">
        <v>559</v>
      </c>
      <c r="W116" s="362" t="s">
        <v>560</v>
      </c>
      <c r="X116" s="362" t="s">
        <v>561</v>
      </c>
      <c r="Y116" s="948"/>
      <c r="Z116" s="948"/>
      <c r="AA116" s="948"/>
      <c r="AB116" s="948"/>
      <c r="AC116" s="948"/>
      <c r="AD116" s="923"/>
      <c r="AF116" s="927"/>
      <c r="AG116" s="928"/>
      <c r="AH116" s="928"/>
      <c r="AI116" s="928"/>
      <c r="AJ116" s="928"/>
      <c r="AK116" s="928"/>
      <c r="AL116" s="928"/>
      <c r="AM116" s="929"/>
    </row>
    <row r="117" spans="2:39" s="147" customFormat="1" ht="27" customHeight="1">
      <c r="B117" s="933" t="s">
        <v>712</v>
      </c>
      <c r="C117" s="934"/>
      <c r="D117" s="361">
        <v>1</v>
      </c>
      <c r="E117" s="440" t="s">
        <v>336</v>
      </c>
      <c r="F117" s="364">
        <f>IFERROR(T117*G117,"-")</f>
        <v>9270.3984000000182</v>
      </c>
      <c r="G117" s="365">
        <v>147.43000000000004</v>
      </c>
      <c r="H117" s="442">
        <v>4268.05</v>
      </c>
      <c r="I117" s="442">
        <v>4268.05</v>
      </c>
      <c r="J117" s="444">
        <f>IFERROR(I117/H117,"-")</f>
        <v>1</v>
      </c>
      <c r="K117" s="443">
        <v>4268.05</v>
      </c>
      <c r="L117" s="444">
        <f>IFERROR(K117/H117,"-")</f>
        <v>1</v>
      </c>
      <c r="M117" s="443">
        <v>62.88000000000001</v>
      </c>
      <c r="N117" s="444">
        <f>IFERROR(M117/H117,"-")</f>
        <v>1.4732723374843314E-2</v>
      </c>
      <c r="O117" s="445">
        <f>IFERROR(K117+M117,"-")</f>
        <v>4330.93</v>
      </c>
      <c r="P117" s="444">
        <f>IFERROR(O117/H117,"-")</f>
        <v>1.0147327233748433</v>
      </c>
      <c r="Q117" s="442">
        <v>6.74</v>
      </c>
      <c r="R117" s="444">
        <f>IFERROR(Q117/H117,"-")</f>
        <v>1.5791755016928105E-3</v>
      </c>
      <c r="S117" s="452">
        <f>IFERROR(Q117*G117,"-")</f>
        <v>993.67820000000029</v>
      </c>
      <c r="T117" s="445">
        <f>IFERROR(O117-H117,"-")</f>
        <v>62.880000000000109</v>
      </c>
      <c r="U117" s="444">
        <f>IFERROR(T117/H117,"-")</f>
        <v>1.4732723374843338E-2</v>
      </c>
      <c r="V117" s="457">
        <f>T117-Q117</f>
        <v>56.140000000000107</v>
      </c>
      <c r="W117" s="458">
        <f>IFERROR(V117/H117,"-")</f>
        <v>1.3153547873150527E-2</v>
      </c>
      <c r="X117" s="459">
        <f>IFERROR(V117*G117,"-")</f>
        <v>8276.7202000000179</v>
      </c>
      <c r="Y117" s="366" t="s">
        <v>174</v>
      </c>
      <c r="Z117" s="366" t="s">
        <v>215</v>
      </c>
      <c r="AA117" s="367" t="s">
        <v>478</v>
      </c>
      <c r="AB117" s="367" t="s">
        <v>524</v>
      </c>
      <c r="AC117" s="367">
        <v>1</v>
      </c>
      <c r="AD117" s="446" t="s">
        <v>340</v>
      </c>
      <c r="AF117" s="930"/>
      <c r="AG117" s="931"/>
      <c r="AH117" s="931"/>
      <c r="AI117" s="931"/>
      <c r="AJ117" s="931"/>
      <c r="AK117" s="931"/>
      <c r="AL117" s="931"/>
      <c r="AM117" s="932"/>
    </row>
    <row r="118" spans="2:39" s="147" customFormat="1" ht="27" customHeight="1">
      <c r="B118" s="935"/>
      <c r="C118" s="936"/>
      <c r="D118" s="361">
        <v>2</v>
      </c>
      <c r="E118" s="440" t="s">
        <v>534</v>
      </c>
      <c r="F118" s="364">
        <f t="shared" ref="F118:F136" si="66">IFERROR(T118*G118,"-")</f>
        <v>7055.1429000000217</v>
      </c>
      <c r="G118" s="365">
        <v>39.389999999999993</v>
      </c>
      <c r="H118" s="442">
        <v>34169.370000000003</v>
      </c>
      <c r="I118" s="442">
        <v>34169.370000000003</v>
      </c>
      <c r="J118" s="444">
        <f t="shared" ref="J118:J136" si="67">IFERROR(I118/H118,"-")</f>
        <v>1</v>
      </c>
      <c r="K118" s="443">
        <v>34169.370000000003</v>
      </c>
      <c r="L118" s="444">
        <f t="shared" ref="L118:L136" si="68">IFERROR(K118/H118,"-")</f>
        <v>1</v>
      </c>
      <c r="M118" s="443">
        <v>179.10999999999999</v>
      </c>
      <c r="N118" s="444">
        <f t="shared" ref="N118:N136" si="69">IFERROR(M118/H118,"-")</f>
        <v>5.2418291586880288E-3</v>
      </c>
      <c r="O118" s="445">
        <f t="shared" ref="O118:O136" si="70">IFERROR(K118+M118,"-")</f>
        <v>34348.480000000003</v>
      </c>
      <c r="P118" s="444">
        <f t="shared" ref="P118:P136" si="71">IFERROR(O118/H118,"-")</f>
        <v>1.005241829158688</v>
      </c>
      <c r="Q118" s="442">
        <v>38.01</v>
      </c>
      <c r="R118" s="444">
        <f t="shared" ref="R118:R136" si="72">IFERROR(Q118/H118,"-")</f>
        <v>1.1123997896361564E-3</v>
      </c>
      <c r="S118" s="452">
        <f t="shared" ref="S118:S136" si="73">IFERROR(Q118*G118,"-")</f>
        <v>1497.2138999999997</v>
      </c>
      <c r="T118" s="445">
        <f t="shared" ref="T118:T136" si="74">IFERROR(O118-H118,"-")</f>
        <v>179.11000000000058</v>
      </c>
      <c r="U118" s="444">
        <f t="shared" ref="U118:U136" si="75">IFERROR(T118/H118,"-")</f>
        <v>5.2418291586880461E-3</v>
      </c>
      <c r="V118" s="457">
        <f t="shared" ref="V118:V136" si="76">T118-Q118</f>
        <v>141.10000000000059</v>
      </c>
      <c r="W118" s="458">
        <f t="shared" ref="W118:W136" si="77">IFERROR(V118/H118,"-")</f>
        <v>4.1294293690518902E-3</v>
      </c>
      <c r="X118" s="459">
        <f t="shared" ref="X118:X136" si="78">IFERROR(V118*G118,"-")</f>
        <v>5557.9290000000219</v>
      </c>
      <c r="Y118" s="366" t="s">
        <v>174</v>
      </c>
      <c r="Z118" s="366" t="s">
        <v>216</v>
      </c>
      <c r="AA118" s="367" t="s">
        <v>732</v>
      </c>
      <c r="AB118" s="367" t="s">
        <v>733</v>
      </c>
      <c r="AC118" s="367">
        <v>1</v>
      </c>
      <c r="AD118" s="446" t="s">
        <v>340</v>
      </c>
      <c r="AF118" s="160" t="s">
        <v>244</v>
      </c>
      <c r="AG118" s="160" t="s">
        <v>445</v>
      </c>
      <c r="AH118" s="155" t="s">
        <v>562</v>
      </c>
      <c r="AI118" s="155" t="s">
        <v>337</v>
      </c>
      <c r="AJ118" s="155" t="s">
        <v>428</v>
      </c>
      <c r="AK118" s="155" t="s">
        <v>215</v>
      </c>
      <c r="AL118" s="155" t="s">
        <v>216</v>
      </c>
      <c r="AM118" s="155" t="s">
        <v>384</v>
      </c>
    </row>
    <row r="119" spans="2:39" s="147" customFormat="1" ht="27" customHeight="1">
      <c r="B119" s="935"/>
      <c r="C119" s="936"/>
      <c r="D119" s="361">
        <v>3</v>
      </c>
      <c r="E119" s="440" t="s">
        <v>633</v>
      </c>
      <c r="F119" s="364">
        <f t="shared" si="66"/>
        <v>7024.2480000000305</v>
      </c>
      <c r="G119" s="365">
        <v>144.79999999999998</v>
      </c>
      <c r="H119" s="442">
        <v>2683.3800000000006</v>
      </c>
      <c r="I119" s="442">
        <v>2683.3800000000006</v>
      </c>
      <c r="J119" s="444">
        <f t="shared" si="67"/>
        <v>1</v>
      </c>
      <c r="K119" s="443">
        <v>2683.3800000000006</v>
      </c>
      <c r="L119" s="444">
        <f t="shared" si="68"/>
        <v>1</v>
      </c>
      <c r="M119" s="443">
        <v>48.510000000000005</v>
      </c>
      <c r="N119" s="444">
        <f t="shared" si="69"/>
        <v>1.8077946470496164E-2</v>
      </c>
      <c r="O119" s="445">
        <f t="shared" si="70"/>
        <v>2731.8900000000008</v>
      </c>
      <c r="P119" s="444">
        <f t="shared" si="71"/>
        <v>1.0180779464704963</v>
      </c>
      <c r="Q119" s="442">
        <v>7.4500000000000011</v>
      </c>
      <c r="R119" s="444">
        <f t="shared" si="72"/>
        <v>2.7763492311934945E-3</v>
      </c>
      <c r="S119" s="452">
        <f t="shared" si="73"/>
        <v>1078.76</v>
      </c>
      <c r="T119" s="445">
        <f t="shared" si="74"/>
        <v>48.510000000000218</v>
      </c>
      <c r="U119" s="444">
        <f t="shared" si="75"/>
        <v>1.8077946470496244E-2</v>
      </c>
      <c r="V119" s="457">
        <f t="shared" si="76"/>
        <v>41.060000000000215</v>
      </c>
      <c r="W119" s="458">
        <f t="shared" si="77"/>
        <v>1.5301597239302748E-2</v>
      </c>
      <c r="X119" s="459">
        <f t="shared" si="78"/>
        <v>5945.4880000000303</v>
      </c>
      <c r="Y119" s="366" t="s">
        <v>174</v>
      </c>
      <c r="Z119" s="366" t="s">
        <v>428</v>
      </c>
      <c r="AA119" s="367" t="s">
        <v>482</v>
      </c>
      <c r="AB119" s="367" t="s">
        <v>525</v>
      </c>
      <c r="AC119" s="367">
        <v>1</v>
      </c>
      <c r="AD119" s="446" t="s">
        <v>340</v>
      </c>
      <c r="AF119" s="374">
        <f>SUM(AC117:AC136)</f>
        <v>20</v>
      </c>
      <c r="AG119" s="369">
        <f>SUMIF($Z$117:$Z$136,TRIM(AG118),$AC$117:$AC$136)</f>
        <v>0</v>
      </c>
      <c r="AH119" s="369">
        <f t="shared" ref="AH119:AM119" si="79">SUMIF($Z$117:$Z$136,TRIM(AH118),$AC$117:$AC$136)</f>
        <v>0</v>
      </c>
      <c r="AI119" s="369">
        <f t="shared" si="79"/>
        <v>0</v>
      </c>
      <c r="AJ119" s="369">
        <f t="shared" si="79"/>
        <v>12</v>
      </c>
      <c r="AK119" s="369">
        <f t="shared" si="79"/>
        <v>1</v>
      </c>
      <c r="AL119" s="369">
        <f t="shared" si="79"/>
        <v>7</v>
      </c>
      <c r="AM119" s="369">
        <f t="shared" si="79"/>
        <v>0</v>
      </c>
    </row>
    <row r="120" spans="2:39" s="147" customFormat="1" ht="27" customHeight="1">
      <c r="B120" s="935"/>
      <c r="C120" s="936"/>
      <c r="D120" s="361">
        <v>4</v>
      </c>
      <c r="E120" s="440" t="s">
        <v>386</v>
      </c>
      <c r="F120" s="364">
        <f t="shared" si="66"/>
        <v>6308.9039999999895</v>
      </c>
      <c r="G120" s="365">
        <v>127.84000000000002</v>
      </c>
      <c r="H120" s="442">
        <v>3963.8499999999995</v>
      </c>
      <c r="I120" s="442">
        <v>3963.8499999999995</v>
      </c>
      <c r="J120" s="444">
        <f t="shared" si="67"/>
        <v>1</v>
      </c>
      <c r="K120" s="443">
        <v>3963.8499999999995</v>
      </c>
      <c r="L120" s="444">
        <f t="shared" si="68"/>
        <v>1</v>
      </c>
      <c r="M120" s="443">
        <v>49.35</v>
      </c>
      <c r="N120" s="444">
        <f t="shared" si="69"/>
        <v>1.2450017028898674E-2</v>
      </c>
      <c r="O120" s="445">
        <f t="shared" si="70"/>
        <v>4013.1999999999994</v>
      </c>
      <c r="P120" s="444">
        <f t="shared" si="71"/>
        <v>1.0124500170288986</v>
      </c>
      <c r="Q120" s="442">
        <v>8.5</v>
      </c>
      <c r="R120" s="444">
        <f t="shared" si="72"/>
        <v>2.1443798327383731E-3</v>
      </c>
      <c r="S120" s="452">
        <f t="shared" si="73"/>
        <v>1086.6400000000001</v>
      </c>
      <c r="T120" s="445">
        <f t="shared" si="74"/>
        <v>49.349999999999909</v>
      </c>
      <c r="U120" s="444">
        <f t="shared" si="75"/>
        <v>1.245001702889865E-2</v>
      </c>
      <c r="V120" s="457">
        <f t="shared" si="76"/>
        <v>40.849999999999909</v>
      </c>
      <c r="W120" s="458">
        <f t="shared" si="77"/>
        <v>1.0305637196160277E-2</v>
      </c>
      <c r="X120" s="459">
        <f t="shared" si="78"/>
        <v>5222.2639999999892</v>
      </c>
      <c r="Y120" s="366" t="s">
        <v>174</v>
      </c>
      <c r="Z120" s="366" t="s">
        <v>428</v>
      </c>
      <c r="AA120" s="367" t="s">
        <v>734</v>
      </c>
      <c r="AB120" s="367" t="s">
        <v>735</v>
      </c>
      <c r="AC120" s="367">
        <v>1</v>
      </c>
      <c r="AD120" s="446" t="s">
        <v>340</v>
      </c>
      <c r="AF120" s="375" t="s">
        <v>11</v>
      </c>
      <c r="AG120" s="372">
        <f t="shared" ref="AG120:AM120" si="80">SUMIF($Z$117:$Z$136,TRIM(AG118),$F$117:$F$136)</f>
        <v>0</v>
      </c>
      <c r="AH120" s="372">
        <f t="shared" si="80"/>
        <v>0</v>
      </c>
      <c r="AI120" s="372">
        <f t="shared" si="80"/>
        <v>0</v>
      </c>
      <c r="AJ120" s="372">
        <f t="shared" si="80"/>
        <v>57234.067640000016</v>
      </c>
      <c r="AK120" s="372">
        <f t="shared" si="80"/>
        <v>9270.3984000000182</v>
      </c>
      <c r="AL120" s="372">
        <f t="shared" si="80"/>
        <v>34878.453199999967</v>
      </c>
      <c r="AM120" s="372">
        <f t="shared" si="80"/>
        <v>0</v>
      </c>
    </row>
    <row r="121" spans="2:39" s="147" customFormat="1" ht="27" customHeight="1">
      <c r="B121" s="935"/>
      <c r="C121" s="936"/>
      <c r="D121" s="361">
        <v>5</v>
      </c>
      <c r="E121" s="440" t="s">
        <v>692</v>
      </c>
      <c r="F121" s="364">
        <f t="shared" si="66"/>
        <v>6284.4375999999766</v>
      </c>
      <c r="G121" s="365">
        <v>625.93999999999994</v>
      </c>
      <c r="H121" s="442">
        <v>1394.8700000000001</v>
      </c>
      <c r="I121" s="442">
        <v>1394.8700000000001</v>
      </c>
      <c r="J121" s="444">
        <f t="shared" si="67"/>
        <v>1</v>
      </c>
      <c r="K121" s="443">
        <v>1394.8700000000001</v>
      </c>
      <c r="L121" s="444">
        <f t="shared" si="68"/>
        <v>1</v>
      </c>
      <c r="M121" s="443">
        <v>10.039999999999999</v>
      </c>
      <c r="N121" s="444">
        <f t="shared" si="69"/>
        <v>7.197803379526406E-3</v>
      </c>
      <c r="O121" s="445">
        <f t="shared" si="70"/>
        <v>1404.91</v>
      </c>
      <c r="P121" s="444">
        <f t="shared" si="71"/>
        <v>1.0071978033795264</v>
      </c>
      <c r="Q121" s="442">
        <v>1.51</v>
      </c>
      <c r="R121" s="444">
        <f t="shared" si="72"/>
        <v>1.0825381576777763E-3</v>
      </c>
      <c r="S121" s="452">
        <f t="shared" si="73"/>
        <v>945.16939999999988</v>
      </c>
      <c r="T121" s="445">
        <f t="shared" si="74"/>
        <v>10.039999999999964</v>
      </c>
      <c r="U121" s="444">
        <f t="shared" si="75"/>
        <v>7.1978033795263808E-3</v>
      </c>
      <c r="V121" s="457">
        <f t="shared" si="76"/>
        <v>8.5299999999999638</v>
      </c>
      <c r="W121" s="458">
        <f t="shared" si="77"/>
        <v>6.1152652218486045E-3</v>
      </c>
      <c r="X121" s="459">
        <f t="shared" si="78"/>
        <v>5339.2681999999768</v>
      </c>
      <c r="Y121" s="366" t="s">
        <v>174</v>
      </c>
      <c r="Z121" s="366" t="s">
        <v>216</v>
      </c>
      <c r="AA121" s="367" t="s">
        <v>482</v>
      </c>
      <c r="AB121" s="367" t="s">
        <v>736</v>
      </c>
      <c r="AC121" s="367">
        <v>1</v>
      </c>
      <c r="AD121" s="446" t="s">
        <v>697</v>
      </c>
      <c r="AF121" s="361" t="s">
        <v>563</v>
      </c>
      <c r="AG121" s="373">
        <f t="shared" ref="AG121:AM121" si="81">AG119/$AF119</f>
        <v>0</v>
      </c>
      <c r="AH121" s="373">
        <f t="shared" si="81"/>
        <v>0</v>
      </c>
      <c r="AI121" s="373">
        <f t="shared" si="81"/>
        <v>0</v>
      </c>
      <c r="AJ121" s="373">
        <f t="shared" si="81"/>
        <v>0.6</v>
      </c>
      <c r="AK121" s="373">
        <f t="shared" si="81"/>
        <v>0.05</v>
      </c>
      <c r="AL121" s="373">
        <f t="shared" si="81"/>
        <v>0.35</v>
      </c>
      <c r="AM121" s="373">
        <f t="shared" si="81"/>
        <v>0</v>
      </c>
    </row>
    <row r="122" spans="2:39" s="147" customFormat="1" ht="27" customHeight="1">
      <c r="B122" s="935"/>
      <c r="C122" s="936"/>
      <c r="D122" s="361">
        <v>6</v>
      </c>
      <c r="E122" s="440" t="s">
        <v>716</v>
      </c>
      <c r="F122" s="364">
        <f t="shared" si="66"/>
        <v>5978.4000000000124</v>
      </c>
      <c r="G122" s="365">
        <v>705</v>
      </c>
      <c r="H122" s="442">
        <v>285.52</v>
      </c>
      <c r="I122" s="442">
        <v>285.52</v>
      </c>
      <c r="J122" s="444">
        <f t="shared" si="67"/>
        <v>1</v>
      </c>
      <c r="K122" s="443">
        <v>285.52</v>
      </c>
      <c r="L122" s="444">
        <f t="shared" si="68"/>
        <v>1</v>
      </c>
      <c r="M122" s="443">
        <v>8.48</v>
      </c>
      <c r="N122" s="444">
        <f t="shared" si="69"/>
        <v>2.9700196133370695E-2</v>
      </c>
      <c r="O122" s="445">
        <f t="shared" si="70"/>
        <v>294</v>
      </c>
      <c r="P122" s="444">
        <f t="shared" si="71"/>
        <v>1.0297001961333707</v>
      </c>
      <c r="Q122" s="442">
        <v>1.37</v>
      </c>
      <c r="R122" s="444">
        <f t="shared" si="72"/>
        <v>4.7982628187167283E-3</v>
      </c>
      <c r="S122" s="452">
        <f t="shared" si="73"/>
        <v>965.85</v>
      </c>
      <c r="T122" s="445">
        <f t="shared" si="74"/>
        <v>8.4800000000000182</v>
      </c>
      <c r="U122" s="444">
        <f t="shared" si="75"/>
        <v>2.9700196133370757E-2</v>
      </c>
      <c r="V122" s="457">
        <f t="shared" si="76"/>
        <v>7.1100000000000181</v>
      </c>
      <c r="W122" s="458">
        <f t="shared" si="77"/>
        <v>2.490193331465403E-2</v>
      </c>
      <c r="X122" s="459">
        <f t="shared" si="78"/>
        <v>5012.5500000000129</v>
      </c>
      <c r="Y122" s="366" t="s">
        <v>174</v>
      </c>
      <c r="Z122" s="366" t="s">
        <v>428</v>
      </c>
      <c r="AA122" s="367" t="s">
        <v>482</v>
      </c>
      <c r="AB122" s="367" t="s">
        <v>736</v>
      </c>
      <c r="AC122" s="367">
        <v>1</v>
      </c>
      <c r="AD122" s="446" t="s">
        <v>710</v>
      </c>
    </row>
    <row r="123" spans="2:39" s="147" customFormat="1" ht="27" customHeight="1">
      <c r="B123" s="935"/>
      <c r="C123" s="936"/>
      <c r="D123" s="361">
        <v>7</v>
      </c>
      <c r="E123" s="440" t="s">
        <v>714</v>
      </c>
      <c r="F123" s="364">
        <f t="shared" si="66"/>
        <v>5136.0867999999909</v>
      </c>
      <c r="G123" s="365">
        <v>91.13</v>
      </c>
      <c r="H123" s="442">
        <v>1903.5200000000002</v>
      </c>
      <c r="I123" s="442">
        <v>1903.5200000000002</v>
      </c>
      <c r="J123" s="444">
        <f t="shared" si="67"/>
        <v>1</v>
      </c>
      <c r="K123" s="443">
        <v>1903.5200000000002</v>
      </c>
      <c r="L123" s="444">
        <f t="shared" si="68"/>
        <v>1</v>
      </c>
      <c r="M123" s="443">
        <v>56.36</v>
      </c>
      <c r="N123" s="444">
        <f t="shared" si="69"/>
        <v>2.960830461460872E-2</v>
      </c>
      <c r="O123" s="445">
        <f t="shared" si="70"/>
        <v>1959.88</v>
      </c>
      <c r="P123" s="444">
        <f t="shared" si="71"/>
        <v>1.0296083046146087</v>
      </c>
      <c r="Q123" s="442">
        <v>12.909999999999998</v>
      </c>
      <c r="R123" s="444">
        <f t="shared" si="72"/>
        <v>6.7821719761284342E-3</v>
      </c>
      <c r="S123" s="452">
        <f t="shared" si="73"/>
        <v>1176.4882999999998</v>
      </c>
      <c r="T123" s="445">
        <f t="shared" si="74"/>
        <v>56.3599999999999</v>
      </c>
      <c r="U123" s="444">
        <f t="shared" si="75"/>
        <v>2.9608304614608668E-2</v>
      </c>
      <c r="V123" s="457">
        <f t="shared" si="76"/>
        <v>43.449999999999903</v>
      </c>
      <c r="W123" s="458">
        <f t="shared" si="77"/>
        <v>2.2826132638480236E-2</v>
      </c>
      <c r="X123" s="459">
        <f t="shared" si="78"/>
        <v>3959.598499999991</v>
      </c>
      <c r="Y123" s="366" t="s">
        <v>174</v>
      </c>
      <c r="Z123" s="366" t="s">
        <v>428</v>
      </c>
      <c r="AA123" s="367" t="s">
        <v>737</v>
      </c>
      <c r="AB123" s="367" t="s">
        <v>738</v>
      </c>
      <c r="AC123" s="367">
        <v>1</v>
      </c>
      <c r="AD123" s="446" t="s">
        <v>710</v>
      </c>
    </row>
    <row r="124" spans="2:39" s="147" customFormat="1" ht="27" customHeight="1">
      <c r="B124" s="935"/>
      <c r="C124" s="936"/>
      <c r="D124" s="361">
        <v>8</v>
      </c>
      <c r="E124" s="440" t="s">
        <v>619</v>
      </c>
      <c r="F124" s="364">
        <f t="shared" si="66"/>
        <v>4779.5826000000052</v>
      </c>
      <c r="G124" s="365">
        <v>39.389999999999993</v>
      </c>
      <c r="H124" s="442">
        <v>6291.2999999999993</v>
      </c>
      <c r="I124" s="442">
        <v>6291.2999999999993</v>
      </c>
      <c r="J124" s="444">
        <f t="shared" si="67"/>
        <v>1</v>
      </c>
      <c r="K124" s="443">
        <v>6291.2999999999993</v>
      </c>
      <c r="L124" s="444">
        <f t="shared" si="68"/>
        <v>1</v>
      </c>
      <c r="M124" s="443">
        <v>121.34</v>
      </c>
      <c r="N124" s="444">
        <f t="shared" si="69"/>
        <v>1.9286951822357862E-2</v>
      </c>
      <c r="O124" s="445">
        <f t="shared" si="70"/>
        <v>6412.6399999999994</v>
      </c>
      <c r="P124" s="444">
        <f t="shared" si="71"/>
        <v>1.019286951822358</v>
      </c>
      <c r="Q124" s="442">
        <v>38.270000000000003</v>
      </c>
      <c r="R124" s="444">
        <f t="shared" si="72"/>
        <v>6.0830035127875017E-3</v>
      </c>
      <c r="S124" s="452">
        <f t="shared" si="73"/>
        <v>1507.4552999999999</v>
      </c>
      <c r="T124" s="445">
        <f t="shared" si="74"/>
        <v>121.34000000000015</v>
      </c>
      <c r="U124" s="444">
        <f t="shared" si="75"/>
        <v>1.9286951822357883E-2</v>
      </c>
      <c r="V124" s="457">
        <f t="shared" si="76"/>
        <v>83.070000000000135</v>
      </c>
      <c r="W124" s="458">
        <f t="shared" si="77"/>
        <v>1.3203948309570382E-2</v>
      </c>
      <c r="X124" s="459">
        <f t="shared" si="78"/>
        <v>3272.1273000000047</v>
      </c>
      <c r="Y124" s="366" t="s">
        <v>174</v>
      </c>
      <c r="Z124" s="366" t="s">
        <v>216</v>
      </c>
      <c r="AA124" s="367" t="s">
        <v>732</v>
      </c>
      <c r="AB124" s="367" t="s">
        <v>733</v>
      </c>
      <c r="AC124" s="367">
        <v>1</v>
      </c>
      <c r="AD124" s="446" t="s">
        <v>614</v>
      </c>
    </row>
    <row r="125" spans="2:39" s="147" customFormat="1" ht="27" customHeight="1">
      <c r="B125" s="935"/>
      <c r="C125" s="936"/>
      <c r="D125" s="361">
        <v>9</v>
      </c>
      <c r="E125" s="440" t="s">
        <v>620</v>
      </c>
      <c r="F125" s="364">
        <f t="shared" si="66"/>
        <v>4616.4327999999887</v>
      </c>
      <c r="G125" s="365">
        <v>95.439999999999984</v>
      </c>
      <c r="H125" s="442">
        <v>1968.5900000000001</v>
      </c>
      <c r="I125" s="442">
        <v>1968.5900000000001</v>
      </c>
      <c r="J125" s="444">
        <f t="shared" si="67"/>
        <v>1</v>
      </c>
      <c r="K125" s="443">
        <v>1968.5900000000001</v>
      </c>
      <c r="L125" s="444">
        <f t="shared" si="68"/>
        <v>1</v>
      </c>
      <c r="M125" s="443">
        <v>48.370000000000005</v>
      </c>
      <c r="N125" s="444">
        <f t="shared" si="69"/>
        <v>2.4570885760874534E-2</v>
      </c>
      <c r="O125" s="445">
        <f t="shared" si="70"/>
        <v>2016.96</v>
      </c>
      <c r="P125" s="444">
        <f t="shared" si="71"/>
        <v>1.0245708857608744</v>
      </c>
      <c r="Q125" s="442">
        <v>10.59</v>
      </c>
      <c r="R125" s="444">
        <f t="shared" si="72"/>
        <v>5.3794848089241537E-3</v>
      </c>
      <c r="S125" s="452">
        <f t="shared" si="73"/>
        <v>1010.7095999999998</v>
      </c>
      <c r="T125" s="445">
        <f t="shared" si="74"/>
        <v>48.369999999999891</v>
      </c>
      <c r="U125" s="444">
        <f t="shared" si="75"/>
        <v>2.4570885760874479E-2</v>
      </c>
      <c r="V125" s="457">
        <f t="shared" si="76"/>
        <v>37.779999999999887</v>
      </c>
      <c r="W125" s="458">
        <f t="shared" si="77"/>
        <v>1.9191400951950321E-2</v>
      </c>
      <c r="X125" s="459">
        <f t="shared" si="78"/>
        <v>3605.7231999999885</v>
      </c>
      <c r="Y125" s="366" t="s">
        <v>174</v>
      </c>
      <c r="Z125" s="366" t="s">
        <v>428</v>
      </c>
      <c r="AA125" s="367" t="s">
        <v>482</v>
      </c>
      <c r="AB125" s="367" t="s">
        <v>736</v>
      </c>
      <c r="AC125" s="367">
        <v>1</v>
      </c>
      <c r="AD125" s="446" t="s">
        <v>340</v>
      </c>
      <c r="AH125" s="370"/>
    </row>
    <row r="126" spans="2:39" s="147" customFormat="1" ht="27" customHeight="1">
      <c r="B126" s="935"/>
      <c r="C126" s="936"/>
      <c r="D126" s="361">
        <v>10</v>
      </c>
      <c r="E126" s="440" t="s">
        <v>652</v>
      </c>
      <c r="F126" s="364">
        <f t="shared" si="66"/>
        <v>4258.0160999999989</v>
      </c>
      <c r="G126" s="365">
        <v>31.59</v>
      </c>
      <c r="H126" s="442">
        <v>4718.01</v>
      </c>
      <c r="I126" s="442">
        <v>4718.01</v>
      </c>
      <c r="J126" s="444">
        <f t="shared" si="67"/>
        <v>1</v>
      </c>
      <c r="K126" s="443">
        <v>4718.01</v>
      </c>
      <c r="L126" s="444">
        <f t="shared" si="68"/>
        <v>1</v>
      </c>
      <c r="M126" s="443">
        <v>134.79000000000002</v>
      </c>
      <c r="N126" s="444">
        <f t="shared" si="69"/>
        <v>2.8569248475522523E-2</v>
      </c>
      <c r="O126" s="445">
        <f t="shared" si="70"/>
        <v>4852.8</v>
      </c>
      <c r="P126" s="444">
        <f t="shared" si="71"/>
        <v>1.0285692484755224</v>
      </c>
      <c r="Q126" s="442">
        <v>31.68</v>
      </c>
      <c r="R126" s="444">
        <f t="shared" si="72"/>
        <v>6.7146953906413931E-3</v>
      </c>
      <c r="S126" s="452">
        <f t="shared" si="73"/>
        <v>1000.7712</v>
      </c>
      <c r="T126" s="445">
        <f t="shared" si="74"/>
        <v>134.78999999999996</v>
      </c>
      <c r="U126" s="444">
        <f t="shared" si="75"/>
        <v>2.8569248475522509E-2</v>
      </c>
      <c r="V126" s="457">
        <f t="shared" si="76"/>
        <v>103.10999999999996</v>
      </c>
      <c r="W126" s="458">
        <f t="shared" si="77"/>
        <v>2.1854553084881115E-2</v>
      </c>
      <c r="X126" s="459">
        <f t="shared" si="78"/>
        <v>3257.2448999999988</v>
      </c>
      <c r="Y126" s="366" t="s">
        <v>174</v>
      </c>
      <c r="Z126" s="366" t="s">
        <v>216</v>
      </c>
      <c r="AA126" s="367" t="s">
        <v>479</v>
      </c>
      <c r="AB126" s="367" t="s">
        <v>477</v>
      </c>
      <c r="AC126" s="367">
        <v>1</v>
      </c>
      <c r="AD126" s="446" t="s">
        <v>650</v>
      </c>
      <c r="AH126" s="370"/>
    </row>
    <row r="127" spans="2:39" s="147" customFormat="1" ht="27" customHeight="1">
      <c r="B127" s="935"/>
      <c r="C127" s="936"/>
      <c r="D127" s="361">
        <v>11</v>
      </c>
      <c r="E127" s="440" t="s">
        <v>461</v>
      </c>
      <c r="F127" s="364">
        <f t="shared" si="66"/>
        <v>4224.1863999999596</v>
      </c>
      <c r="G127" s="365">
        <v>407.74000000000007</v>
      </c>
      <c r="H127" s="442">
        <v>1081.02</v>
      </c>
      <c r="I127" s="442">
        <v>1081.02</v>
      </c>
      <c r="J127" s="444">
        <f t="shared" si="67"/>
        <v>1</v>
      </c>
      <c r="K127" s="443">
        <v>1081.02</v>
      </c>
      <c r="L127" s="444">
        <f t="shared" si="68"/>
        <v>1</v>
      </c>
      <c r="M127" s="443">
        <v>10.36</v>
      </c>
      <c r="N127" s="444">
        <f t="shared" si="69"/>
        <v>9.5835414700930592E-3</v>
      </c>
      <c r="O127" s="445">
        <f t="shared" si="70"/>
        <v>1091.3799999999999</v>
      </c>
      <c r="P127" s="444">
        <f t="shared" si="71"/>
        <v>1.0095835414700929</v>
      </c>
      <c r="Q127" s="442">
        <v>2.5100000000000002</v>
      </c>
      <c r="R127" s="444">
        <f t="shared" si="72"/>
        <v>2.3218811862870253E-3</v>
      </c>
      <c r="S127" s="452">
        <f t="shared" si="73"/>
        <v>1023.4274000000003</v>
      </c>
      <c r="T127" s="445">
        <f t="shared" si="74"/>
        <v>10.3599999999999</v>
      </c>
      <c r="U127" s="444">
        <f t="shared" si="75"/>
        <v>9.5835414700929673E-3</v>
      </c>
      <c r="V127" s="457">
        <f t="shared" si="76"/>
        <v>7.8499999999999002</v>
      </c>
      <c r="W127" s="458">
        <f t="shared" si="77"/>
        <v>7.2616602838059428E-3</v>
      </c>
      <c r="X127" s="459">
        <f t="shared" si="78"/>
        <v>3200.75899999996</v>
      </c>
      <c r="Y127" s="366" t="s">
        <v>174</v>
      </c>
      <c r="Z127" s="366" t="s">
        <v>216</v>
      </c>
      <c r="AA127" s="367" t="s">
        <v>480</v>
      </c>
      <c r="AB127" s="367" t="s">
        <v>481</v>
      </c>
      <c r="AC127" s="367">
        <v>1</v>
      </c>
      <c r="AD127" s="446" t="s">
        <v>463</v>
      </c>
      <c r="AH127" s="370"/>
    </row>
    <row r="128" spans="2:39" s="147" customFormat="1" ht="27" customHeight="1">
      <c r="B128" s="935"/>
      <c r="C128" s="936"/>
      <c r="D128" s="361">
        <v>12</v>
      </c>
      <c r="E128" s="440" t="s">
        <v>695</v>
      </c>
      <c r="F128" s="364">
        <f t="shared" si="66"/>
        <v>4221.2570400000004</v>
      </c>
      <c r="G128" s="365">
        <v>351.42</v>
      </c>
      <c r="H128" s="442">
        <v>451.01</v>
      </c>
      <c r="I128" s="442">
        <v>451.01</v>
      </c>
      <c r="J128" s="444">
        <f t="shared" si="67"/>
        <v>1</v>
      </c>
      <c r="K128" s="443">
        <v>451.01</v>
      </c>
      <c r="L128" s="444">
        <f t="shared" si="68"/>
        <v>1</v>
      </c>
      <c r="M128" s="443">
        <v>12.012</v>
      </c>
      <c r="N128" s="444">
        <f t="shared" si="69"/>
        <v>2.6633555796988981E-2</v>
      </c>
      <c r="O128" s="445">
        <f t="shared" si="70"/>
        <v>463.02199999999999</v>
      </c>
      <c r="P128" s="444">
        <f t="shared" si="71"/>
        <v>1.026633555796989</v>
      </c>
      <c r="Q128" s="442">
        <v>2.68</v>
      </c>
      <c r="R128" s="444">
        <f t="shared" si="72"/>
        <v>5.9422185760847884E-3</v>
      </c>
      <c r="S128" s="452">
        <f t="shared" si="73"/>
        <v>941.80560000000014</v>
      </c>
      <c r="T128" s="445">
        <f t="shared" si="74"/>
        <v>12.012</v>
      </c>
      <c r="U128" s="444">
        <f t="shared" si="75"/>
        <v>2.6633555796988981E-2</v>
      </c>
      <c r="V128" s="457">
        <f t="shared" si="76"/>
        <v>9.3320000000000007</v>
      </c>
      <c r="W128" s="458">
        <f t="shared" si="77"/>
        <v>2.0691337220904195E-2</v>
      </c>
      <c r="X128" s="459">
        <f t="shared" si="78"/>
        <v>3279.4514400000003</v>
      </c>
      <c r="Y128" s="366" t="s">
        <v>174</v>
      </c>
      <c r="Z128" s="366" t="s">
        <v>428</v>
      </c>
      <c r="AA128" s="367" t="s">
        <v>739</v>
      </c>
      <c r="AB128" s="367" t="s">
        <v>740</v>
      </c>
      <c r="AC128" s="367">
        <v>1</v>
      </c>
      <c r="AD128" s="446" t="s">
        <v>664</v>
      </c>
      <c r="AH128" s="370"/>
    </row>
    <row r="129" spans="2:39" s="147" customFormat="1" ht="27" customHeight="1">
      <c r="B129" s="935"/>
      <c r="C129" s="936"/>
      <c r="D129" s="361">
        <v>13</v>
      </c>
      <c r="E129" s="440" t="s">
        <v>631</v>
      </c>
      <c r="F129" s="364">
        <f t="shared" si="66"/>
        <v>4165.1610000000037</v>
      </c>
      <c r="G129" s="365">
        <v>43.889999999999993</v>
      </c>
      <c r="H129" s="442">
        <v>3197.54</v>
      </c>
      <c r="I129" s="442">
        <v>3197.54</v>
      </c>
      <c r="J129" s="444">
        <f t="shared" si="67"/>
        <v>1</v>
      </c>
      <c r="K129" s="443">
        <v>3197.54</v>
      </c>
      <c r="L129" s="444">
        <f t="shared" si="68"/>
        <v>1</v>
      </c>
      <c r="M129" s="443">
        <v>94.9</v>
      </c>
      <c r="N129" s="444">
        <f t="shared" si="69"/>
        <v>2.9679065781819777E-2</v>
      </c>
      <c r="O129" s="445">
        <f t="shared" si="70"/>
        <v>3292.44</v>
      </c>
      <c r="P129" s="444">
        <f t="shared" si="71"/>
        <v>1.0296790657818198</v>
      </c>
      <c r="Q129" s="442">
        <v>22.82</v>
      </c>
      <c r="R129" s="444">
        <f t="shared" si="72"/>
        <v>7.136736366081425E-3</v>
      </c>
      <c r="S129" s="452">
        <f t="shared" si="73"/>
        <v>1001.5697999999999</v>
      </c>
      <c r="T129" s="445">
        <f t="shared" si="74"/>
        <v>94.900000000000091</v>
      </c>
      <c r="U129" s="444">
        <f t="shared" si="75"/>
        <v>2.9679065781819804E-2</v>
      </c>
      <c r="V129" s="457">
        <f t="shared" si="76"/>
        <v>72.080000000000098</v>
      </c>
      <c r="W129" s="458">
        <f t="shared" si="77"/>
        <v>2.2542329415738381E-2</v>
      </c>
      <c r="X129" s="459">
        <f t="shared" si="78"/>
        <v>3163.5912000000039</v>
      </c>
      <c r="Y129" s="366" t="s">
        <v>174</v>
      </c>
      <c r="Z129" s="366" t="s">
        <v>216</v>
      </c>
      <c r="AA129" s="367" t="s">
        <v>732</v>
      </c>
      <c r="AB129" s="367" t="s">
        <v>733</v>
      </c>
      <c r="AC129" s="367">
        <v>1</v>
      </c>
      <c r="AD129" s="446" t="s">
        <v>630</v>
      </c>
    </row>
    <row r="130" spans="2:39" s="147" customFormat="1" ht="27" customHeight="1">
      <c r="B130" s="935"/>
      <c r="C130" s="936"/>
      <c r="D130" s="361">
        <v>14</v>
      </c>
      <c r="E130" s="440" t="s">
        <v>653</v>
      </c>
      <c r="F130" s="364">
        <f t="shared" si="66"/>
        <v>4111.9266000000016</v>
      </c>
      <c r="G130" s="365">
        <v>40.420000000000009</v>
      </c>
      <c r="H130" s="442">
        <v>2590.2800000000002</v>
      </c>
      <c r="I130" s="442">
        <v>2590.2800000000002</v>
      </c>
      <c r="J130" s="444">
        <f t="shared" si="67"/>
        <v>1</v>
      </c>
      <c r="K130" s="443">
        <v>2590.2800000000002</v>
      </c>
      <c r="L130" s="444">
        <f t="shared" si="68"/>
        <v>1</v>
      </c>
      <c r="M130" s="443">
        <v>101.73</v>
      </c>
      <c r="N130" s="444">
        <f t="shared" si="69"/>
        <v>3.9273746467563347E-2</v>
      </c>
      <c r="O130" s="445">
        <f t="shared" si="70"/>
        <v>2692.01</v>
      </c>
      <c r="P130" s="444">
        <f t="shared" si="71"/>
        <v>1.0392737464675634</v>
      </c>
      <c r="Q130" s="442">
        <v>25.98</v>
      </c>
      <c r="R130" s="444">
        <f t="shared" si="72"/>
        <v>1.0029803727782324E-2</v>
      </c>
      <c r="S130" s="452">
        <f t="shared" si="73"/>
        <v>1050.1116000000002</v>
      </c>
      <c r="T130" s="445">
        <f t="shared" si="74"/>
        <v>101.73000000000002</v>
      </c>
      <c r="U130" s="444">
        <f t="shared" si="75"/>
        <v>3.9273746467563354E-2</v>
      </c>
      <c r="V130" s="457">
        <f t="shared" si="76"/>
        <v>75.750000000000014</v>
      </c>
      <c r="W130" s="458">
        <f t="shared" si="77"/>
        <v>2.924394273978103E-2</v>
      </c>
      <c r="X130" s="459">
        <f t="shared" si="78"/>
        <v>3061.8150000000014</v>
      </c>
      <c r="Y130" s="366" t="s">
        <v>174</v>
      </c>
      <c r="Z130" s="366" t="s">
        <v>216</v>
      </c>
      <c r="AA130" s="367" t="s">
        <v>732</v>
      </c>
      <c r="AB130" s="367" t="s">
        <v>733</v>
      </c>
      <c r="AC130" s="367">
        <v>1</v>
      </c>
      <c r="AD130" s="446" t="s">
        <v>650</v>
      </c>
    </row>
    <row r="131" spans="2:39" s="147" customFormat="1" ht="27" customHeight="1">
      <c r="B131" s="935"/>
      <c r="C131" s="936"/>
      <c r="D131" s="361">
        <v>15</v>
      </c>
      <c r="E131" s="440" t="s">
        <v>432</v>
      </c>
      <c r="F131" s="364">
        <f t="shared" si="66"/>
        <v>4049.5399999999991</v>
      </c>
      <c r="G131" s="365">
        <v>368.13999999999993</v>
      </c>
      <c r="H131" s="442">
        <v>398.59</v>
      </c>
      <c r="I131" s="442">
        <v>398.59</v>
      </c>
      <c r="J131" s="444">
        <f t="shared" si="67"/>
        <v>1</v>
      </c>
      <c r="K131" s="443">
        <v>398.59</v>
      </c>
      <c r="L131" s="444">
        <f t="shared" si="68"/>
        <v>1</v>
      </c>
      <c r="M131" s="443">
        <v>11</v>
      </c>
      <c r="N131" s="444">
        <f t="shared" si="69"/>
        <v>2.759728041345744E-2</v>
      </c>
      <c r="O131" s="445">
        <f t="shared" si="70"/>
        <v>409.59</v>
      </c>
      <c r="P131" s="444">
        <f t="shared" si="71"/>
        <v>1.0275972804134574</v>
      </c>
      <c r="Q131" s="442">
        <v>2.7</v>
      </c>
      <c r="R131" s="444">
        <f t="shared" si="72"/>
        <v>6.7738779196668264E-3</v>
      </c>
      <c r="S131" s="452">
        <f t="shared" si="73"/>
        <v>993.97799999999984</v>
      </c>
      <c r="T131" s="445">
        <f t="shared" si="74"/>
        <v>11</v>
      </c>
      <c r="U131" s="444">
        <f t="shared" si="75"/>
        <v>2.759728041345744E-2</v>
      </c>
      <c r="V131" s="457">
        <f t="shared" si="76"/>
        <v>8.3000000000000007</v>
      </c>
      <c r="W131" s="458">
        <f t="shared" si="77"/>
        <v>2.0823402493790614E-2</v>
      </c>
      <c r="X131" s="459">
        <f t="shared" si="78"/>
        <v>3055.5619999999999</v>
      </c>
      <c r="Y131" s="366" t="s">
        <v>174</v>
      </c>
      <c r="Z131" s="366" t="s">
        <v>428</v>
      </c>
      <c r="AA131" s="367" t="s">
        <v>739</v>
      </c>
      <c r="AB131" s="367" t="s">
        <v>740</v>
      </c>
      <c r="AC131" s="367">
        <v>1</v>
      </c>
      <c r="AD131" s="446" t="s">
        <v>433</v>
      </c>
    </row>
    <row r="132" spans="2:39" s="147" customFormat="1" ht="27" customHeight="1">
      <c r="B132" s="935"/>
      <c r="C132" s="936"/>
      <c r="D132" s="361">
        <v>16</v>
      </c>
      <c r="E132" s="440" t="s">
        <v>635</v>
      </c>
      <c r="F132" s="364">
        <f t="shared" si="66"/>
        <v>4046.8786000000009</v>
      </c>
      <c r="G132" s="365">
        <v>49.82</v>
      </c>
      <c r="H132" s="442">
        <v>2935.75</v>
      </c>
      <c r="I132" s="442">
        <v>2935.75</v>
      </c>
      <c r="J132" s="444">
        <f t="shared" si="67"/>
        <v>1</v>
      </c>
      <c r="K132" s="443">
        <v>2935.75</v>
      </c>
      <c r="L132" s="444">
        <f t="shared" si="68"/>
        <v>1</v>
      </c>
      <c r="M132" s="443">
        <v>81.23</v>
      </c>
      <c r="N132" s="444">
        <f t="shared" si="69"/>
        <v>2.7669249765817937E-2</v>
      </c>
      <c r="O132" s="445">
        <f t="shared" si="70"/>
        <v>3016.98</v>
      </c>
      <c r="P132" s="444">
        <f t="shared" si="71"/>
        <v>1.027669249765818</v>
      </c>
      <c r="Q132" s="442">
        <v>21.09</v>
      </c>
      <c r="R132" s="444">
        <f t="shared" si="72"/>
        <v>7.1838542110193304E-3</v>
      </c>
      <c r="S132" s="452">
        <f t="shared" si="73"/>
        <v>1050.7038</v>
      </c>
      <c r="T132" s="445">
        <f t="shared" si="74"/>
        <v>81.230000000000018</v>
      </c>
      <c r="U132" s="444">
        <f t="shared" si="75"/>
        <v>2.766924976581794E-2</v>
      </c>
      <c r="V132" s="457">
        <f t="shared" si="76"/>
        <v>60.140000000000015</v>
      </c>
      <c r="W132" s="458">
        <f t="shared" si="77"/>
        <v>2.048539555479861E-2</v>
      </c>
      <c r="X132" s="459">
        <f t="shared" si="78"/>
        <v>2996.1748000000007</v>
      </c>
      <c r="Y132" s="366" t="s">
        <v>174</v>
      </c>
      <c r="Z132" s="366" t="s">
        <v>428</v>
      </c>
      <c r="AA132" s="367" t="s">
        <v>479</v>
      </c>
      <c r="AB132" s="367" t="s">
        <v>477</v>
      </c>
      <c r="AC132" s="367">
        <v>1</v>
      </c>
      <c r="AD132" s="446" t="s">
        <v>616</v>
      </c>
    </row>
    <row r="133" spans="2:39" s="147" customFormat="1" ht="27" customHeight="1">
      <c r="B133" s="935"/>
      <c r="C133" s="936"/>
      <c r="D133" s="361">
        <v>17</v>
      </c>
      <c r="E133" s="440" t="s">
        <v>696</v>
      </c>
      <c r="F133" s="364">
        <f t="shared" si="66"/>
        <v>4010.6540000000095</v>
      </c>
      <c r="G133" s="365">
        <v>98.060000000000016</v>
      </c>
      <c r="H133" s="442">
        <v>1407.1200000000001</v>
      </c>
      <c r="I133" s="442">
        <v>1407.1200000000001</v>
      </c>
      <c r="J133" s="444">
        <f t="shared" si="67"/>
        <v>1</v>
      </c>
      <c r="K133" s="443">
        <v>1407.1200000000001</v>
      </c>
      <c r="L133" s="444">
        <f t="shared" si="68"/>
        <v>1</v>
      </c>
      <c r="M133" s="443">
        <v>40.9</v>
      </c>
      <c r="N133" s="444">
        <f t="shared" si="69"/>
        <v>2.9066461993291257E-2</v>
      </c>
      <c r="O133" s="445">
        <f t="shared" si="70"/>
        <v>1448.0200000000002</v>
      </c>
      <c r="P133" s="444">
        <f t="shared" si="71"/>
        <v>1.0290664619932912</v>
      </c>
      <c r="Q133" s="442">
        <v>10.220000000000001</v>
      </c>
      <c r="R133" s="444">
        <f t="shared" si="72"/>
        <v>7.2630621411109214E-3</v>
      </c>
      <c r="S133" s="452">
        <f t="shared" si="73"/>
        <v>1002.1732000000002</v>
      </c>
      <c r="T133" s="445">
        <f t="shared" si="74"/>
        <v>40.900000000000091</v>
      </c>
      <c r="U133" s="444">
        <f t="shared" si="75"/>
        <v>2.9066461993291322E-2</v>
      </c>
      <c r="V133" s="457">
        <f t="shared" si="76"/>
        <v>30.680000000000092</v>
      </c>
      <c r="W133" s="458">
        <f t="shared" si="77"/>
        <v>2.1803399852180404E-2</v>
      </c>
      <c r="X133" s="459">
        <f t="shared" si="78"/>
        <v>3008.4808000000094</v>
      </c>
      <c r="Y133" s="366" t="s">
        <v>174</v>
      </c>
      <c r="Z133" s="366" t="s">
        <v>428</v>
      </c>
      <c r="AA133" s="367" t="s">
        <v>479</v>
      </c>
      <c r="AB133" s="367" t="s">
        <v>477</v>
      </c>
      <c r="AC133" s="367">
        <v>1</v>
      </c>
      <c r="AD133" s="446" t="s">
        <v>664</v>
      </c>
    </row>
    <row r="134" spans="2:39" s="147" customFormat="1" ht="27" customHeight="1">
      <c r="B134" s="935"/>
      <c r="C134" s="936"/>
      <c r="D134" s="361">
        <v>18</v>
      </c>
      <c r="E134" s="440" t="s">
        <v>583</v>
      </c>
      <c r="F134" s="364">
        <f t="shared" si="66"/>
        <v>4003.8096000000041</v>
      </c>
      <c r="G134" s="365">
        <v>113.68000000000004</v>
      </c>
      <c r="H134" s="442">
        <v>1243</v>
      </c>
      <c r="I134" s="442">
        <v>1243</v>
      </c>
      <c r="J134" s="444">
        <f t="shared" si="67"/>
        <v>1</v>
      </c>
      <c r="K134" s="443">
        <v>1243</v>
      </c>
      <c r="L134" s="444">
        <f t="shared" si="68"/>
        <v>1</v>
      </c>
      <c r="M134" s="443">
        <v>35.220000000000006</v>
      </c>
      <c r="N134" s="444">
        <f t="shared" si="69"/>
        <v>2.8334674175382144E-2</v>
      </c>
      <c r="O134" s="445">
        <f t="shared" si="70"/>
        <v>1278.22</v>
      </c>
      <c r="P134" s="444">
        <f t="shared" si="71"/>
        <v>1.0283346741753823</v>
      </c>
      <c r="Q134" s="442">
        <v>8.81</v>
      </c>
      <c r="R134" s="444">
        <f t="shared" si="72"/>
        <v>7.0876910699919551E-3</v>
      </c>
      <c r="S134" s="452">
        <f t="shared" si="73"/>
        <v>1001.5208000000003</v>
      </c>
      <c r="T134" s="445">
        <f t="shared" si="74"/>
        <v>35.220000000000027</v>
      </c>
      <c r="U134" s="444">
        <f t="shared" si="75"/>
        <v>2.8334674175382161E-2</v>
      </c>
      <c r="V134" s="457">
        <f t="shared" si="76"/>
        <v>26.410000000000025</v>
      </c>
      <c r="W134" s="458">
        <f t="shared" si="77"/>
        <v>2.1246983105390204E-2</v>
      </c>
      <c r="X134" s="459">
        <f t="shared" si="78"/>
        <v>3002.2888000000039</v>
      </c>
      <c r="Y134" s="366" t="s">
        <v>174</v>
      </c>
      <c r="Z134" s="366" t="s">
        <v>428</v>
      </c>
      <c r="AA134" s="367" t="s">
        <v>479</v>
      </c>
      <c r="AB134" s="367" t="s">
        <v>477</v>
      </c>
      <c r="AC134" s="367">
        <v>1</v>
      </c>
      <c r="AD134" s="446" t="s">
        <v>566</v>
      </c>
    </row>
    <row r="135" spans="2:39" s="147" customFormat="1" ht="27" customHeight="1">
      <c r="B135" s="935"/>
      <c r="C135" s="936"/>
      <c r="D135" s="361">
        <v>19</v>
      </c>
      <c r="E135" s="440" t="s">
        <v>545</v>
      </c>
      <c r="F135" s="364">
        <f t="shared" si="66"/>
        <v>3925.4767999999931</v>
      </c>
      <c r="G135" s="365">
        <v>66.13</v>
      </c>
      <c r="H135" s="442">
        <v>1969.3800000000003</v>
      </c>
      <c r="I135" s="442">
        <v>1969.3800000000003</v>
      </c>
      <c r="J135" s="444">
        <f t="shared" si="67"/>
        <v>1</v>
      </c>
      <c r="K135" s="443">
        <v>1969.3800000000003</v>
      </c>
      <c r="L135" s="444">
        <f t="shared" si="68"/>
        <v>1</v>
      </c>
      <c r="M135" s="443">
        <v>59.36</v>
      </c>
      <c r="N135" s="444">
        <f t="shared" si="69"/>
        <v>3.0141465842041651E-2</v>
      </c>
      <c r="O135" s="445">
        <f t="shared" si="70"/>
        <v>2028.7400000000002</v>
      </c>
      <c r="P135" s="444">
        <f t="shared" si="71"/>
        <v>1.0301414658420416</v>
      </c>
      <c r="Q135" s="442">
        <v>15.13</v>
      </c>
      <c r="R135" s="444">
        <f t="shared" si="72"/>
        <v>7.682620926382922E-3</v>
      </c>
      <c r="S135" s="452">
        <f t="shared" si="73"/>
        <v>1000.5468999999999</v>
      </c>
      <c r="T135" s="445">
        <f t="shared" si="74"/>
        <v>59.3599999999999</v>
      </c>
      <c r="U135" s="444">
        <f t="shared" si="75"/>
        <v>3.0141465842041602E-2</v>
      </c>
      <c r="V135" s="457">
        <f t="shared" si="76"/>
        <v>44.229999999999897</v>
      </c>
      <c r="W135" s="458">
        <f t="shared" si="77"/>
        <v>2.2458844915658679E-2</v>
      </c>
      <c r="X135" s="459">
        <f t="shared" si="78"/>
        <v>2924.9298999999928</v>
      </c>
      <c r="Y135" s="366" t="s">
        <v>174</v>
      </c>
      <c r="Z135" s="366" t="s">
        <v>428</v>
      </c>
      <c r="AA135" s="367" t="s">
        <v>479</v>
      </c>
      <c r="AB135" s="367" t="s">
        <v>477</v>
      </c>
      <c r="AC135" s="367">
        <v>1</v>
      </c>
      <c r="AD135" s="446" t="s">
        <v>341</v>
      </c>
    </row>
    <row r="136" spans="2:39" s="147" customFormat="1" ht="27" customHeight="1">
      <c r="B136" s="937"/>
      <c r="C136" s="938"/>
      <c r="D136" s="361">
        <v>20</v>
      </c>
      <c r="E136" s="440" t="s">
        <v>464</v>
      </c>
      <c r="F136" s="364">
        <f t="shared" si="66"/>
        <v>3912.3799999999992</v>
      </c>
      <c r="G136" s="365">
        <v>629</v>
      </c>
      <c r="H136" s="442">
        <v>250.79999999999998</v>
      </c>
      <c r="I136" s="442">
        <v>250.79999999999998</v>
      </c>
      <c r="J136" s="444">
        <f t="shared" si="67"/>
        <v>1</v>
      </c>
      <c r="K136" s="443">
        <v>250.79999999999998</v>
      </c>
      <c r="L136" s="444">
        <f t="shared" si="68"/>
        <v>1</v>
      </c>
      <c r="M136" s="443">
        <v>6.22</v>
      </c>
      <c r="N136" s="444">
        <f t="shared" si="69"/>
        <v>2.4800637958532695E-2</v>
      </c>
      <c r="O136" s="445">
        <f t="shared" si="70"/>
        <v>257.02</v>
      </c>
      <c r="P136" s="444">
        <f t="shared" si="71"/>
        <v>1.0248006379585326</v>
      </c>
      <c r="Q136" s="442">
        <v>1.57</v>
      </c>
      <c r="R136" s="444">
        <f t="shared" si="72"/>
        <v>6.2599681020733657E-3</v>
      </c>
      <c r="S136" s="452">
        <f t="shared" si="73"/>
        <v>987.53000000000009</v>
      </c>
      <c r="T136" s="445">
        <f t="shared" si="74"/>
        <v>6.2199999999999989</v>
      </c>
      <c r="U136" s="444">
        <f t="shared" si="75"/>
        <v>2.4800637958532691E-2</v>
      </c>
      <c r="V136" s="457">
        <f t="shared" si="76"/>
        <v>4.6499999999999986</v>
      </c>
      <c r="W136" s="458">
        <f t="shared" si="77"/>
        <v>1.8540669856459326E-2</v>
      </c>
      <c r="X136" s="459">
        <f t="shared" si="78"/>
        <v>2924.849999999999</v>
      </c>
      <c r="Y136" s="366" t="s">
        <v>174</v>
      </c>
      <c r="Z136" s="366" t="s">
        <v>428</v>
      </c>
      <c r="AA136" s="367" t="s">
        <v>482</v>
      </c>
      <c r="AB136" s="367" t="s">
        <v>736</v>
      </c>
      <c r="AC136" s="367">
        <v>1</v>
      </c>
      <c r="AD136" s="446" t="s">
        <v>458</v>
      </c>
    </row>
    <row r="137" spans="2:39" ht="17.100000000000001" customHeight="1">
      <c r="B137" s="949" t="s">
        <v>442</v>
      </c>
      <c r="C137" s="950"/>
      <c r="D137" s="953" t="s">
        <v>549</v>
      </c>
      <c r="E137" s="954" t="s">
        <v>550</v>
      </c>
      <c r="F137" s="995" t="s">
        <v>567</v>
      </c>
      <c r="G137" s="922" t="s">
        <v>552</v>
      </c>
      <c r="H137" s="956" t="s">
        <v>553</v>
      </c>
      <c r="I137" s="939" t="s">
        <v>554</v>
      </c>
      <c r="J137" s="940"/>
      <c r="K137" s="939" t="s">
        <v>555</v>
      </c>
      <c r="L137" s="940"/>
      <c r="M137" s="939" t="s">
        <v>556</v>
      </c>
      <c r="N137" s="940"/>
      <c r="O137" s="939" t="s">
        <v>557</v>
      </c>
      <c r="P137" s="940"/>
      <c r="Q137" s="939" t="s">
        <v>418</v>
      </c>
      <c r="R137" s="994"/>
      <c r="S137" s="940"/>
      <c r="T137" s="941" t="s">
        <v>719</v>
      </c>
      <c r="U137" s="942"/>
      <c r="V137" s="944" t="s">
        <v>718</v>
      </c>
      <c r="W137" s="945"/>
      <c r="X137" s="946"/>
      <c r="Y137" s="947" t="s">
        <v>171</v>
      </c>
      <c r="Z137" s="947" t="s">
        <v>245</v>
      </c>
      <c r="AA137" s="947" t="s">
        <v>558</v>
      </c>
      <c r="AB137" s="947" t="s">
        <v>444</v>
      </c>
      <c r="AC137" s="947" t="s">
        <v>246</v>
      </c>
      <c r="AD137" s="922" t="s">
        <v>172</v>
      </c>
      <c r="AF137" s="924" t="s">
        <v>247</v>
      </c>
      <c r="AG137" s="925"/>
      <c r="AH137" s="925"/>
      <c r="AI137" s="925"/>
      <c r="AJ137" s="925"/>
      <c r="AK137" s="925"/>
      <c r="AL137" s="925"/>
      <c r="AM137" s="926"/>
    </row>
    <row r="138" spans="2:39" ht="16.5" customHeight="1">
      <c r="B138" s="951"/>
      <c r="C138" s="952"/>
      <c r="D138" s="953"/>
      <c r="E138" s="953"/>
      <c r="F138" s="955"/>
      <c r="G138" s="923"/>
      <c r="H138" s="923"/>
      <c r="I138" s="439" t="s">
        <v>559</v>
      </c>
      <c r="J138" s="362" t="s">
        <v>560</v>
      </c>
      <c r="K138" s="439" t="s">
        <v>559</v>
      </c>
      <c r="L138" s="362" t="s">
        <v>560</v>
      </c>
      <c r="M138" s="439" t="s">
        <v>559</v>
      </c>
      <c r="N138" s="362" t="s">
        <v>560</v>
      </c>
      <c r="O138" s="439" t="s">
        <v>559</v>
      </c>
      <c r="P138" s="362" t="s">
        <v>560</v>
      </c>
      <c r="Q138" s="439" t="s">
        <v>559</v>
      </c>
      <c r="R138" s="362" t="s">
        <v>560</v>
      </c>
      <c r="S138" s="362" t="s">
        <v>561</v>
      </c>
      <c r="T138" s="439" t="s">
        <v>559</v>
      </c>
      <c r="U138" s="362" t="s">
        <v>560</v>
      </c>
      <c r="V138" s="439" t="s">
        <v>559</v>
      </c>
      <c r="W138" s="362" t="s">
        <v>560</v>
      </c>
      <c r="X138" s="362" t="s">
        <v>561</v>
      </c>
      <c r="Y138" s="948"/>
      <c r="Z138" s="948"/>
      <c r="AA138" s="948"/>
      <c r="AB138" s="948"/>
      <c r="AC138" s="948"/>
      <c r="AD138" s="923"/>
      <c r="AF138" s="927"/>
      <c r="AG138" s="928"/>
      <c r="AH138" s="928"/>
      <c r="AI138" s="928"/>
      <c r="AJ138" s="928"/>
      <c r="AK138" s="928"/>
      <c r="AL138" s="928"/>
      <c r="AM138" s="929"/>
    </row>
    <row r="139" spans="2:39" s="147" customFormat="1" ht="27" customHeight="1">
      <c r="B139" s="993" t="s">
        <v>770</v>
      </c>
      <c r="C139" s="934"/>
      <c r="D139" s="361">
        <v>1</v>
      </c>
      <c r="E139" s="440" t="s">
        <v>336</v>
      </c>
      <c r="F139" s="364">
        <f>IFERROR(T139*G139,"-")</f>
        <v>11128.016399999939</v>
      </c>
      <c r="G139" s="365">
        <v>147.43000000000004</v>
      </c>
      <c r="H139" s="442">
        <v>4347.82</v>
      </c>
      <c r="I139" s="442">
        <v>4347.82</v>
      </c>
      <c r="J139" s="444">
        <f>IFERROR(I139/H139,"-")</f>
        <v>1</v>
      </c>
      <c r="K139" s="443">
        <v>4347.82</v>
      </c>
      <c r="L139" s="444">
        <f>IFERROR(K139/H139,"-")</f>
        <v>1</v>
      </c>
      <c r="M139" s="443">
        <v>75.47999999999999</v>
      </c>
      <c r="N139" s="444">
        <f>IFERROR(M139/H139,"-")</f>
        <v>1.7360424304594026E-2</v>
      </c>
      <c r="O139" s="445">
        <f>IFERROR(K139+M139,"-")</f>
        <v>4423.2999999999993</v>
      </c>
      <c r="P139" s="444">
        <f>IFERROR(O139/H139,"-")</f>
        <v>1.0173604243045939</v>
      </c>
      <c r="Q139" s="442">
        <v>11.11</v>
      </c>
      <c r="R139" s="444">
        <f>IFERROR(Q139/H139,"-")</f>
        <v>2.5553035774250085E-3</v>
      </c>
      <c r="S139" s="452">
        <f>IFERROR(Q139*G139,"-")</f>
        <v>1637.9473000000003</v>
      </c>
      <c r="T139" s="445">
        <f>IFERROR(O139-H139,"-")</f>
        <v>75.479999999999563</v>
      </c>
      <c r="U139" s="444">
        <f>IFERROR(T139/H139,"-")</f>
        <v>1.7360424304593926E-2</v>
      </c>
      <c r="V139" s="457">
        <f>T139-Q139</f>
        <v>64.369999999999564</v>
      </c>
      <c r="W139" s="458">
        <f>IFERROR(V139/H139,"-")</f>
        <v>1.4805120727168919E-2</v>
      </c>
      <c r="X139" s="459">
        <f>IFERROR(V139*G139,"-")</f>
        <v>9490.0690999999388</v>
      </c>
      <c r="Y139" s="366" t="s">
        <v>174</v>
      </c>
      <c r="Z139" s="366" t="s">
        <v>215</v>
      </c>
      <c r="AA139" s="367" t="s">
        <v>478</v>
      </c>
      <c r="AB139" s="367" t="s">
        <v>524</v>
      </c>
      <c r="AC139" s="367">
        <v>1</v>
      </c>
      <c r="AD139" s="446" t="s">
        <v>340</v>
      </c>
      <c r="AF139" s="930"/>
      <c r="AG139" s="931"/>
      <c r="AH139" s="931"/>
      <c r="AI139" s="931"/>
      <c r="AJ139" s="931"/>
      <c r="AK139" s="931"/>
      <c r="AL139" s="931"/>
      <c r="AM139" s="932"/>
    </row>
    <row r="140" spans="2:39" s="147" customFormat="1" ht="27" customHeight="1">
      <c r="B140" s="935"/>
      <c r="C140" s="936"/>
      <c r="D140" s="361">
        <v>2</v>
      </c>
      <c r="E140" s="440" t="s">
        <v>692</v>
      </c>
      <c r="F140" s="364">
        <f t="shared" ref="F140:F158" si="82">IFERROR(T140*G140,"-")</f>
        <v>8155.9981999999818</v>
      </c>
      <c r="G140" s="365">
        <v>625.93999999999994</v>
      </c>
      <c r="H140" s="442">
        <v>1384.34</v>
      </c>
      <c r="I140" s="442">
        <v>1384.34</v>
      </c>
      <c r="J140" s="444">
        <f t="shared" ref="J140:J158" si="83">IFERROR(I140/H140,"-")</f>
        <v>1</v>
      </c>
      <c r="K140" s="443">
        <v>1384.34</v>
      </c>
      <c r="L140" s="444">
        <f t="shared" ref="L140:L158" si="84">IFERROR(K140/H140,"-")</f>
        <v>1</v>
      </c>
      <c r="M140" s="443">
        <v>13.03</v>
      </c>
      <c r="N140" s="444">
        <f t="shared" ref="N140:N158" si="85">IFERROR(M140/H140,"-")</f>
        <v>9.4124275828192504E-3</v>
      </c>
      <c r="O140" s="445">
        <f t="shared" ref="O140:O158" si="86">IFERROR(K140+M140,"-")</f>
        <v>1397.37</v>
      </c>
      <c r="P140" s="444">
        <f t="shared" ref="P140:P158" si="87">IFERROR(O140/H140,"-")</f>
        <v>1.0094124275828191</v>
      </c>
      <c r="Q140" s="442">
        <v>1.87</v>
      </c>
      <c r="R140" s="444">
        <f t="shared" ref="R140:R158" si="88">IFERROR(Q140/H140,"-")</f>
        <v>1.3508242194836531E-3</v>
      </c>
      <c r="S140" s="452">
        <f t="shared" ref="S140:S158" si="89">IFERROR(Q140*G140,"-")</f>
        <v>1170.5077999999999</v>
      </c>
      <c r="T140" s="445">
        <f t="shared" ref="T140:T158" si="90">IFERROR(O140-H140,"-")</f>
        <v>13.029999999999973</v>
      </c>
      <c r="U140" s="444">
        <f t="shared" ref="U140:U158" si="91">IFERROR(T140/H140,"-")</f>
        <v>9.4124275828192296E-3</v>
      </c>
      <c r="V140" s="457">
        <f t="shared" ref="V140:V158" si="92">T140-Q140</f>
        <v>11.159999999999972</v>
      </c>
      <c r="W140" s="458">
        <f t="shared" ref="W140:W158" si="93">IFERROR(V140/H140,"-")</f>
        <v>8.0616033633355774E-3</v>
      </c>
      <c r="X140" s="459">
        <f t="shared" ref="X140:X158" si="94">IFERROR(V140*G140,"-")</f>
        <v>6985.4903999999815</v>
      </c>
      <c r="Y140" s="366" t="s">
        <v>174</v>
      </c>
      <c r="Z140" s="366" t="s">
        <v>216</v>
      </c>
      <c r="AA140" s="367" t="s">
        <v>482</v>
      </c>
      <c r="AB140" s="367" t="s">
        <v>736</v>
      </c>
      <c r="AC140" s="367">
        <v>1</v>
      </c>
      <c r="AD140" s="446" t="s">
        <v>697</v>
      </c>
      <c r="AF140" s="160" t="s">
        <v>244</v>
      </c>
      <c r="AG140" s="160" t="s">
        <v>445</v>
      </c>
      <c r="AH140" s="155" t="s">
        <v>562</v>
      </c>
      <c r="AI140" s="155" t="s">
        <v>337</v>
      </c>
      <c r="AJ140" s="155" t="s">
        <v>428</v>
      </c>
      <c r="AK140" s="155" t="s">
        <v>215</v>
      </c>
      <c r="AL140" s="155" t="s">
        <v>216</v>
      </c>
      <c r="AM140" s="155" t="s">
        <v>384</v>
      </c>
    </row>
    <row r="141" spans="2:39" s="147" customFormat="1" ht="27" customHeight="1">
      <c r="B141" s="935"/>
      <c r="C141" s="936"/>
      <c r="D141" s="361">
        <v>3</v>
      </c>
      <c r="E141" s="440" t="s">
        <v>534</v>
      </c>
      <c r="F141" s="364">
        <f t="shared" si="82"/>
        <v>7040.9624999999987</v>
      </c>
      <c r="G141" s="365">
        <v>39.389999999999993</v>
      </c>
      <c r="H141" s="442">
        <v>32379.059999999998</v>
      </c>
      <c r="I141" s="442">
        <v>32379.059999999998</v>
      </c>
      <c r="J141" s="444">
        <f t="shared" si="83"/>
        <v>1</v>
      </c>
      <c r="K141" s="443">
        <v>32379.059999999998</v>
      </c>
      <c r="L141" s="444">
        <f t="shared" si="84"/>
        <v>1</v>
      </c>
      <c r="M141" s="443">
        <v>178.75</v>
      </c>
      <c r="N141" s="444">
        <f t="shared" si="85"/>
        <v>5.5205432152755519E-3</v>
      </c>
      <c r="O141" s="445">
        <f t="shared" si="86"/>
        <v>32557.809999999998</v>
      </c>
      <c r="P141" s="444">
        <f t="shared" si="87"/>
        <v>1.0055205432152756</v>
      </c>
      <c r="Q141" s="442">
        <v>38.47</v>
      </c>
      <c r="R141" s="444">
        <f t="shared" si="88"/>
        <v>1.1881135524008418E-3</v>
      </c>
      <c r="S141" s="452">
        <f t="shared" si="89"/>
        <v>1515.3332999999998</v>
      </c>
      <c r="T141" s="445">
        <f t="shared" si="90"/>
        <v>178.75</v>
      </c>
      <c r="U141" s="444">
        <f t="shared" si="91"/>
        <v>5.5205432152755519E-3</v>
      </c>
      <c r="V141" s="457">
        <f t="shared" si="92"/>
        <v>140.28</v>
      </c>
      <c r="W141" s="458">
        <f t="shared" si="93"/>
        <v>4.3324296628747105E-3</v>
      </c>
      <c r="X141" s="459">
        <f t="shared" si="94"/>
        <v>5525.6291999999994</v>
      </c>
      <c r="Y141" s="366" t="s">
        <v>174</v>
      </c>
      <c r="Z141" s="366" t="s">
        <v>216</v>
      </c>
      <c r="AA141" s="367" t="s">
        <v>732</v>
      </c>
      <c r="AB141" s="367" t="s">
        <v>733</v>
      </c>
      <c r="AC141" s="367">
        <v>1</v>
      </c>
      <c r="AD141" s="446" t="s">
        <v>340</v>
      </c>
      <c r="AF141" s="374">
        <f>SUM(AC139:AC158)</f>
        <v>20</v>
      </c>
      <c r="AG141" s="369">
        <f>SUMIF($Z$139:$Z$158,TRIM(AG140),$AC$139:$AC$158)</f>
        <v>0</v>
      </c>
      <c r="AH141" s="369">
        <f t="shared" ref="AH141:AM141" si="95">SUMIF($Z$139:$Z$158,TRIM(AH140),$AC$139:$AC$158)</f>
        <v>0</v>
      </c>
      <c r="AI141" s="369">
        <f t="shared" si="95"/>
        <v>0</v>
      </c>
      <c r="AJ141" s="369">
        <f t="shared" si="95"/>
        <v>12</v>
      </c>
      <c r="AK141" s="369">
        <f t="shared" si="95"/>
        <v>1</v>
      </c>
      <c r="AL141" s="369">
        <f t="shared" si="95"/>
        <v>7</v>
      </c>
      <c r="AM141" s="369">
        <f t="shared" si="95"/>
        <v>0</v>
      </c>
    </row>
    <row r="142" spans="2:39" s="147" customFormat="1" ht="27" customHeight="1">
      <c r="B142" s="935"/>
      <c r="C142" s="936"/>
      <c r="D142" s="361">
        <v>4</v>
      </c>
      <c r="E142" s="440" t="s">
        <v>777</v>
      </c>
      <c r="F142" s="364">
        <f t="shared" si="82"/>
        <v>6474.0000000000236</v>
      </c>
      <c r="G142" s="365">
        <v>650</v>
      </c>
      <c r="H142" s="442">
        <v>707.8</v>
      </c>
      <c r="I142" s="442">
        <v>707.8</v>
      </c>
      <c r="J142" s="444">
        <f t="shared" si="83"/>
        <v>1</v>
      </c>
      <c r="K142" s="443">
        <v>707.8</v>
      </c>
      <c r="L142" s="444">
        <f t="shared" si="84"/>
        <v>1</v>
      </c>
      <c r="M142" s="443">
        <v>9.9600000000000009</v>
      </c>
      <c r="N142" s="444">
        <f t="shared" si="85"/>
        <v>1.4071771686917211E-2</v>
      </c>
      <c r="O142" s="445">
        <f t="shared" si="86"/>
        <v>717.76</v>
      </c>
      <c r="P142" s="444">
        <f t="shared" si="87"/>
        <v>1.0140717716869172</v>
      </c>
      <c r="Q142" s="442">
        <v>1.1599999999999999</v>
      </c>
      <c r="R142" s="444">
        <f t="shared" si="88"/>
        <v>1.6388810398417632E-3</v>
      </c>
      <c r="S142" s="452">
        <f t="shared" si="89"/>
        <v>754</v>
      </c>
      <c r="T142" s="445">
        <f t="shared" si="90"/>
        <v>9.9600000000000364</v>
      </c>
      <c r="U142" s="444">
        <f t="shared" si="91"/>
        <v>1.4071771686917261E-2</v>
      </c>
      <c r="V142" s="457">
        <f t="shared" si="92"/>
        <v>8.8000000000000362</v>
      </c>
      <c r="W142" s="458">
        <f t="shared" si="93"/>
        <v>1.2432890647075498E-2</v>
      </c>
      <c r="X142" s="459">
        <f t="shared" si="94"/>
        <v>5720.0000000000236</v>
      </c>
      <c r="Y142" s="366" t="s">
        <v>174</v>
      </c>
      <c r="Z142" s="366" t="s">
        <v>428</v>
      </c>
      <c r="AA142" s="367" t="s">
        <v>732</v>
      </c>
      <c r="AB142" s="367" t="s">
        <v>525</v>
      </c>
      <c r="AC142" s="367">
        <v>1</v>
      </c>
      <c r="AD142" s="446" t="s">
        <v>751</v>
      </c>
      <c r="AF142" s="375" t="s">
        <v>11</v>
      </c>
      <c r="AG142" s="372">
        <f>SUMIF($Z$139:$Z$158,TRIM(AG140),$F$139:$F$158)</f>
        <v>0</v>
      </c>
      <c r="AH142" s="372">
        <f t="shared" ref="AH142:AM142" si="96">SUMIF($Z$139:$Z$158,TRIM(AH140),$F$139:$F$158)</f>
        <v>0</v>
      </c>
      <c r="AI142" s="372">
        <f t="shared" si="96"/>
        <v>0</v>
      </c>
      <c r="AJ142" s="372">
        <f t="shared" si="96"/>
        <v>59297.47359999999</v>
      </c>
      <c r="AK142" s="372">
        <f t="shared" si="96"/>
        <v>11128.016399999939</v>
      </c>
      <c r="AL142" s="372">
        <f t="shared" si="96"/>
        <v>39880.301799999957</v>
      </c>
      <c r="AM142" s="372">
        <f t="shared" si="96"/>
        <v>0</v>
      </c>
    </row>
    <row r="143" spans="2:39" s="147" customFormat="1" ht="27" customHeight="1">
      <c r="B143" s="935"/>
      <c r="C143" s="936"/>
      <c r="D143" s="361">
        <v>5</v>
      </c>
      <c r="E143" s="440" t="s">
        <v>771</v>
      </c>
      <c r="F143" s="364">
        <f t="shared" si="82"/>
        <v>6349.59</v>
      </c>
      <c r="G143" s="365">
        <v>52.26</v>
      </c>
      <c r="H143" s="442">
        <v>6370.9800000000005</v>
      </c>
      <c r="I143" s="442">
        <v>6370.9800000000005</v>
      </c>
      <c r="J143" s="444">
        <f t="shared" si="83"/>
        <v>1</v>
      </c>
      <c r="K143" s="443">
        <v>6370.9800000000005</v>
      </c>
      <c r="L143" s="444">
        <f t="shared" si="84"/>
        <v>1</v>
      </c>
      <c r="M143" s="443">
        <v>121.5</v>
      </c>
      <c r="N143" s="444">
        <f t="shared" si="85"/>
        <v>1.9070849382669539E-2</v>
      </c>
      <c r="O143" s="445">
        <f t="shared" si="86"/>
        <v>6492.4800000000005</v>
      </c>
      <c r="P143" s="444">
        <f t="shared" si="87"/>
        <v>1.0190708493826695</v>
      </c>
      <c r="Q143" s="442">
        <v>25.950000000000003</v>
      </c>
      <c r="R143" s="444">
        <f t="shared" si="88"/>
        <v>4.0731567200022606E-3</v>
      </c>
      <c r="S143" s="452">
        <f t="shared" si="89"/>
        <v>1356.1470000000002</v>
      </c>
      <c r="T143" s="445">
        <f t="shared" si="90"/>
        <v>121.5</v>
      </c>
      <c r="U143" s="444">
        <f t="shared" si="91"/>
        <v>1.9070849382669539E-2</v>
      </c>
      <c r="V143" s="457">
        <f t="shared" si="92"/>
        <v>95.55</v>
      </c>
      <c r="W143" s="458">
        <f t="shared" si="93"/>
        <v>1.499769266266728E-2</v>
      </c>
      <c r="X143" s="459">
        <f t="shared" si="94"/>
        <v>4993.4429999999993</v>
      </c>
      <c r="Y143" s="366" t="s">
        <v>174</v>
      </c>
      <c r="Z143" s="366" t="s">
        <v>216</v>
      </c>
      <c r="AA143" s="367" t="s">
        <v>732</v>
      </c>
      <c r="AB143" s="367" t="s">
        <v>733</v>
      </c>
      <c r="AC143" s="367">
        <v>1</v>
      </c>
      <c r="AD143" s="446" t="s">
        <v>752</v>
      </c>
      <c r="AF143" s="361" t="s">
        <v>563</v>
      </c>
      <c r="AG143" s="373">
        <f t="shared" ref="AG143:AM143" si="97">AG141/$AF141</f>
        <v>0</v>
      </c>
      <c r="AH143" s="373">
        <f t="shared" si="97"/>
        <v>0</v>
      </c>
      <c r="AI143" s="373">
        <f t="shared" si="97"/>
        <v>0</v>
      </c>
      <c r="AJ143" s="373">
        <f t="shared" si="97"/>
        <v>0.6</v>
      </c>
      <c r="AK143" s="373">
        <f t="shared" si="97"/>
        <v>0.05</v>
      </c>
      <c r="AL143" s="373">
        <f t="shared" si="97"/>
        <v>0.35</v>
      </c>
      <c r="AM143" s="373">
        <f t="shared" si="97"/>
        <v>0</v>
      </c>
    </row>
    <row r="144" spans="2:39" s="147" customFormat="1" ht="27" customHeight="1">
      <c r="B144" s="935"/>
      <c r="C144" s="936"/>
      <c r="D144" s="361">
        <v>6</v>
      </c>
      <c r="E144" s="440" t="s">
        <v>633</v>
      </c>
      <c r="F144" s="364">
        <f t="shared" si="82"/>
        <v>6113.4559999999701</v>
      </c>
      <c r="G144" s="365">
        <v>144.79999999999998</v>
      </c>
      <c r="H144" s="442">
        <v>2473.84</v>
      </c>
      <c r="I144" s="442">
        <v>2473.84</v>
      </c>
      <c r="J144" s="444">
        <f t="shared" si="83"/>
        <v>1</v>
      </c>
      <c r="K144" s="443">
        <v>2473.84</v>
      </c>
      <c r="L144" s="444">
        <f t="shared" si="84"/>
        <v>1</v>
      </c>
      <c r="M144" s="443">
        <v>42.22</v>
      </c>
      <c r="N144" s="444">
        <f t="shared" si="85"/>
        <v>1.7066584742748116E-2</v>
      </c>
      <c r="O144" s="445">
        <f t="shared" si="86"/>
        <v>2516.06</v>
      </c>
      <c r="P144" s="444">
        <f t="shared" si="87"/>
        <v>1.017066584742748</v>
      </c>
      <c r="Q144" s="442">
        <v>4.1500000000000004</v>
      </c>
      <c r="R144" s="444">
        <f t="shared" si="88"/>
        <v>1.6775539242634932E-3</v>
      </c>
      <c r="S144" s="452">
        <f t="shared" si="89"/>
        <v>600.91999999999996</v>
      </c>
      <c r="T144" s="445">
        <f t="shared" si="90"/>
        <v>42.2199999999998</v>
      </c>
      <c r="U144" s="444">
        <f t="shared" si="91"/>
        <v>1.7066584742748036E-2</v>
      </c>
      <c r="V144" s="457">
        <f t="shared" si="92"/>
        <v>38.069999999999801</v>
      </c>
      <c r="W144" s="458">
        <f t="shared" si="93"/>
        <v>1.5389030818484542E-2</v>
      </c>
      <c r="X144" s="459">
        <f t="shared" si="94"/>
        <v>5512.535999999971</v>
      </c>
      <c r="Y144" s="366" t="s">
        <v>174</v>
      </c>
      <c r="Z144" s="366" t="s">
        <v>428</v>
      </c>
      <c r="AA144" s="367" t="s">
        <v>482</v>
      </c>
      <c r="AB144" s="367" t="s">
        <v>525</v>
      </c>
      <c r="AC144" s="367">
        <v>1</v>
      </c>
      <c r="AD144" s="446" t="s">
        <v>340</v>
      </c>
    </row>
    <row r="145" spans="2:39" s="147" customFormat="1" ht="27" customHeight="1">
      <c r="B145" s="935"/>
      <c r="C145" s="936"/>
      <c r="D145" s="361">
        <v>7</v>
      </c>
      <c r="E145" s="440" t="s">
        <v>778</v>
      </c>
      <c r="F145" s="364">
        <f t="shared" si="82"/>
        <v>5962.6493999999893</v>
      </c>
      <c r="G145" s="365">
        <v>321.61000000000007</v>
      </c>
      <c r="H145" s="442">
        <v>677.35</v>
      </c>
      <c r="I145" s="442">
        <v>677.35</v>
      </c>
      <c r="J145" s="444">
        <f t="shared" si="83"/>
        <v>1</v>
      </c>
      <c r="K145" s="443">
        <v>677.35</v>
      </c>
      <c r="L145" s="444">
        <f t="shared" si="84"/>
        <v>1</v>
      </c>
      <c r="M145" s="443">
        <v>18.54</v>
      </c>
      <c r="N145" s="444">
        <f t="shared" si="85"/>
        <v>2.7371373735882481E-2</v>
      </c>
      <c r="O145" s="445">
        <f t="shared" si="86"/>
        <v>695.89</v>
      </c>
      <c r="P145" s="444">
        <f t="shared" si="87"/>
        <v>1.0273713737358825</v>
      </c>
      <c r="Q145" s="442">
        <v>2.89</v>
      </c>
      <c r="R145" s="444">
        <f t="shared" si="88"/>
        <v>4.2666272975566549E-3</v>
      </c>
      <c r="S145" s="452">
        <f t="shared" si="89"/>
        <v>929.45290000000023</v>
      </c>
      <c r="T145" s="445">
        <f t="shared" si="90"/>
        <v>18.539999999999964</v>
      </c>
      <c r="U145" s="444">
        <f t="shared" si="91"/>
        <v>2.7371373735882429E-2</v>
      </c>
      <c r="V145" s="457">
        <f t="shared" si="92"/>
        <v>15.649999999999963</v>
      </c>
      <c r="W145" s="458">
        <f t="shared" si="93"/>
        <v>2.3104746438325774E-2</v>
      </c>
      <c r="X145" s="459">
        <f t="shared" si="94"/>
        <v>5033.1964999999891</v>
      </c>
      <c r="Y145" s="366" t="s">
        <v>174</v>
      </c>
      <c r="Z145" s="366" t="s">
        <v>428</v>
      </c>
      <c r="AA145" s="367" t="s">
        <v>482</v>
      </c>
      <c r="AB145" s="367" t="s">
        <v>525</v>
      </c>
      <c r="AC145" s="367">
        <v>1</v>
      </c>
      <c r="AD145" s="446" t="s">
        <v>750</v>
      </c>
    </row>
    <row r="146" spans="2:39" s="147" customFormat="1" ht="27" customHeight="1">
      <c r="B146" s="935"/>
      <c r="C146" s="936"/>
      <c r="D146" s="361">
        <v>8</v>
      </c>
      <c r="E146" s="440" t="s">
        <v>772</v>
      </c>
      <c r="F146" s="364">
        <f t="shared" si="82"/>
        <v>5871.0156999999972</v>
      </c>
      <c r="G146" s="365">
        <v>24.789999999999996</v>
      </c>
      <c r="H146" s="442">
        <v>10223.720000000001</v>
      </c>
      <c r="I146" s="442">
        <v>10223.720000000001</v>
      </c>
      <c r="J146" s="444">
        <f t="shared" si="83"/>
        <v>1</v>
      </c>
      <c r="K146" s="443">
        <v>10223.720000000001</v>
      </c>
      <c r="L146" s="444">
        <f t="shared" si="84"/>
        <v>1</v>
      </c>
      <c r="M146" s="443">
        <v>236.82999999999998</v>
      </c>
      <c r="N146" s="444">
        <f t="shared" si="85"/>
        <v>2.3164758033279467E-2</v>
      </c>
      <c r="O146" s="445">
        <f t="shared" si="86"/>
        <v>10460.550000000001</v>
      </c>
      <c r="P146" s="444">
        <f t="shared" si="87"/>
        <v>1.0231647580332794</v>
      </c>
      <c r="Q146" s="442">
        <v>48.180000000000007</v>
      </c>
      <c r="R146" s="444">
        <f t="shared" si="88"/>
        <v>4.7125703755580162E-3</v>
      </c>
      <c r="S146" s="452">
        <f t="shared" si="89"/>
        <v>1194.3822</v>
      </c>
      <c r="T146" s="445">
        <f t="shared" si="90"/>
        <v>236.82999999999993</v>
      </c>
      <c r="U146" s="444">
        <f t="shared" si="91"/>
        <v>2.3164758033279463E-2</v>
      </c>
      <c r="V146" s="457">
        <f t="shared" si="92"/>
        <v>188.64999999999992</v>
      </c>
      <c r="W146" s="458">
        <f t="shared" si="93"/>
        <v>1.8452187657721445E-2</v>
      </c>
      <c r="X146" s="459">
        <f t="shared" si="94"/>
        <v>4676.6334999999972</v>
      </c>
      <c r="Y146" s="366" t="s">
        <v>174</v>
      </c>
      <c r="Z146" s="366" t="s">
        <v>428</v>
      </c>
      <c r="AA146" s="367" t="s">
        <v>479</v>
      </c>
      <c r="AB146" s="367" t="s">
        <v>784</v>
      </c>
      <c r="AC146" s="367">
        <v>1</v>
      </c>
      <c r="AD146" s="446" t="s">
        <v>751</v>
      </c>
    </row>
    <row r="147" spans="2:39" s="147" customFormat="1" ht="27" customHeight="1">
      <c r="B147" s="935"/>
      <c r="C147" s="936"/>
      <c r="D147" s="361">
        <v>9</v>
      </c>
      <c r="E147" s="440" t="s">
        <v>386</v>
      </c>
      <c r="F147" s="364">
        <f t="shared" si="82"/>
        <v>5770.697599999985</v>
      </c>
      <c r="G147" s="365">
        <v>127.84000000000002</v>
      </c>
      <c r="H147" s="442">
        <v>3938.1100000000006</v>
      </c>
      <c r="I147" s="442">
        <v>3938.1100000000006</v>
      </c>
      <c r="J147" s="444">
        <f t="shared" si="83"/>
        <v>1</v>
      </c>
      <c r="K147" s="443">
        <v>3938.1100000000006</v>
      </c>
      <c r="L147" s="444">
        <f t="shared" si="84"/>
        <v>1</v>
      </c>
      <c r="M147" s="443">
        <v>45.14</v>
      </c>
      <c r="N147" s="444">
        <f t="shared" si="85"/>
        <v>1.1462351229396841E-2</v>
      </c>
      <c r="O147" s="445">
        <f t="shared" si="86"/>
        <v>3983.2500000000005</v>
      </c>
      <c r="P147" s="444">
        <f t="shared" si="87"/>
        <v>1.0114623512293968</v>
      </c>
      <c r="Q147" s="442">
        <v>10.469999999999999</v>
      </c>
      <c r="R147" s="444">
        <f t="shared" si="88"/>
        <v>2.6586357415105209E-3</v>
      </c>
      <c r="S147" s="452">
        <f t="shared" si="89"/>
        <v>1338.4848</v>
      </c>
      <c r="T147" s="445">
        <f t="shared" si="90"/>
        <v>45.139999999999873</v>
      </c>
      <c r="U147" s="444">
        <f t="shared" si="91"/>
        <v>1.1462351229396808E-2</v>
      </c>
      <c r="V147" s="457">
        <f t="shared" si="92"/>
        <v>34.669999999999874</v>
      </c>
      <c r="W147" s="458">
        <f t="shared" si="93"/>
        <v>8.8037154878862871E-3</v>
      </c>
      <c r="X147" s="459">
        <f t="shared" si="94"/>
        <v>4432.2127999999848</v>
      </c>
      <c r="Y147" s="366" t="s">
        <v>174</v>
      </c>
      <c r="Z147" s="366" t="s">
        <v>428</v>
      </c>
      <c r="AA147" s="367" t="s">
        <v>734</v>
      </c>
      <c r="AB147" s="367" t="s">
        <v>735</v>
      </c>
      <c r="AC147" s="367">
        <v>1</v>
      </c>
      <c r="AD147" s="446" t="s">
        <v>340</v>
      </c>
      <c r="AH147" s="370"/>
    </row>
    <row r="148" spans="2:39" s="147" customFormat="1" ht="27" customHeight="1">
      <c r="B148" s="935"/>
      <c r="C148" s="936"/>
      <c r="D148" s="361">
        <v>10</v>
      </c>
      <c r="E148" s="440" t="s">
        <v>619</v>
      </c>
      <c r="F148" s="364">
        <f t="shared" si="82"/>
        <v>5086.8246000000117</v>
      </c>
      <c r="G148" s="365">
        <v>39.389999999999993</v>
      </c>
      <c r="H148" s="442">
        <v>6360.1100000000006</v>
      </c>
      <c r="I148" s="442">
        <v>6360.1100000000006</v>
      </c>
      <c r="J148" s="444">
        <f t="shared" si="83"/>
        <v>1</v>
      </c>
      <c r="K148" s="443">
        <v>6360.1100000000006</v>
      </c>
      <c r="L148" s="444">
        <f t="shared" si="84"/>
        <v>1</v>
      </c>
      <c r="M148" s="443">
        <v>129.14000000000001</v>
      </c>
      <c r="N148" s="444">
        <f t="shared" si="85"/>
        <v>2.0304680264963973E-2</v>
      </c>
      <c r="O148" s="445">
        <f t="shared" si="86"/>
        <v>6489.2500000000009</v>
      </c>
      <c r="P148" s="444">
        <f t="shared" si="87"/>
        <v>1.020304680264964</v>
      </c>
      <c r="Q148" s="442">
        <v>26.609999999999996</v>
      </c>
      <c r="R148" s="444">
        <f t="shared" si="88"/>
        <v>4.183889901275291E-3</v>
      </c>
      <c r="S148" s="452">
        <f t="shared" si="89"/>
        <v>1048.1678999999997</v>
      </c>
      <c r="T148" s="445">
        <f t="shared" si="90"/>
        <v>129.14000000000033</v>
      </c>
      <c r="U148" s="444">
        <f t="shared" si="91"/>
        <v>2.0304680264964022E-2</v>
      </c>
      <c r="V148" s="457">
        <f t="shared" si="92"/>
        <v>102.53000000000033</v>
      </c>
      <c r="W148" s="458">
        <f t="shared" si="93"/>
        <v>1.6120790363688728E-2</v>
      </c>
      <c r="X148" s="459">
        <f t="shared" si="94"/>
        <v>4038.6567000000123</v>
      </c>
      <c r="Y148" s="366" t="s">
        <v>174</v>
      </c>
      <c r="Z148" s="366" t="s">
        <v>216</v>
      </c>
      <c r="AA148" s="367" t="s">
        <v>732</v>
      </c>
      <c r="AB148" s="367" t="s">
        <v>733</v>
      </c>
      <c r="AC148" s="367">
        <v>1</v>
      </c>
      <c r="AD148" s="446" t="s">
        <v>614</v>
      </c>
      <c r="AH148" s="370"/>
    </row>
    <row r="149" spans="2:39" s="147" customFormat="1" ht="27" customHeight="1">
      <c r="B149" s="935"/>
      <c r="C149" s="936"/>
      <c r="D149" s="361">
        <v>11</v>
      </c>
      <c r="E149" s="440" t="s">
        <v>461</v>
      </c>
      <c r="F149" s="364">
        <f t="shared" si="82"/>
        <v>4933.6539999999641</v>
      </c>
      <c r="G149" s="365">
        <v>407.74000000000007</v>
      </c>
      <c r="H149" s="442">
        <v>1133.27</v>
      </c>
      <c r="I149" s="442">
        <v>1133.27</v>
      </c>
      <c r="J149" s="444">
        <f t="shared" si="83"/>
        <v>1</v>
      </c>
      <c r="K149" s="443">
        <v>1133.27</v>
      </c>
      <c r="L149" s="444">
        <f t="shared" si="84"/>
        <v>1</v>
      </c>
      <c r="M149" s="443">
        <v>12.1</v>
      </c>
      <c r="N149" s="444">
        <f t="shared" si="85"/>
        <v>1.0677067247875616E-2</v>
      </c>
      <c r="O149" s="445">
        <f t="shared" si="86"/>
        <v>1145.3699999999999</v>
      </c>
      <c r="P149" s="444">
        <f t="shared" si="87"/>
        <v>1.0106770672478755</v>
      </c>
      <c r="Q149" s="442">
        <v>2.8699999999999997</v>
      </c>
      <c r="R149" s="444">
        <f t="shared" si="88"/>
        <v>2.5324944629258692E-3</v>
      </c>
      <c r="S149" s="452">
        <f t="shared" si="89"/>
        <v>1170.2138</v>
      </c>
      <c r="T149" s="445">
        <f t="shared" si="90"/>
        <v>12.099999999999909</v>
      </c>
      <c r="U149" s="444">
        <f t="shared" si="91"/>
        <v>1.0677067247875536E-2</v>
      </c>
      <c r="V149" s="457">
        <f t="shared" si="92"/>
        <v>9.2299999999999098</v>
      </c>
      <c r="W149" s="458">
        <f t="shared" si="93"/>
        <v>8.144572784949667E-3</v>
      </c>
      <c r="X149" s="459">
        <f t="shared" si="94"/>
        <v>3763.4401999999636</v>
      </c>
      <c r="Y149" s="366" t="s">
        <v>174</v>
      </c>
      <c r="Z149" s="366" t="s">
        <v>216</v>
      </c>
      <c r="AA149" s="367" t="s">
        <v>480</v>
      </c>
      <c r="AB149" s="367" t="s">
        <v>481</v>
      </c>
      <c r="AC149" s="367">
        <v>1</v>
      </c>
      <c r="AD149" s="446" t="s">
        <v>463</v>
      </c>
      <c r="AH149" s="370"/>
    </row>
    <row r="150" spans="2:39" s="147" customFormat="1" ht="27" customHeight="1">
      <c r="B150" s="935"/>
      <c r="C150" s="936"/>
      <c r="D150" s="361">
        <v>12</v>
      </c>
      <c r="E150" s="440" t="s">
        <v>651</v>
      </c>
      <c r="F150" s="364">
        <f t="shared" si="82"/>
        <v>4869.3991000000042</v>
      </c>
      <c r="G150" s="365">
        <v>655.37</v>
      </c>
      <c r="H150" s="442">
        <v>416.78999999999996</v>
      </c>
      <c r="I150" s="442">
        <v>416.78999999999996</v>
      </c>
      <c r="J150" s="444">
        <f t="shared" si="83"/>
        <v>1</v>
      </c>
      <c r="K150" s="443">
        <v>416.78999999999996</v>
      </c>
      <c r="L150" s="444">
        <f t="shared" si="84"/>
        <v>1</v>
      </c>
      <c r="M150" s="443">
        <v>7.43</v>
      </c>
      <c r="N150" s="444">
        <f t="shared" si="85"/>
        <v>1.7826723289906189E-2</v>
      </c>
      <c r="O150" s="445">
        <f t="shared" si="86"/>
        <v>424.21999999999997</v>
      </c>
      <c r="P150" s="444">
        <f t="shared" si="87"/>
        <v>1.0178267232899063</v>
      </c>
      <c r="Q150" s="442">
        <v>1.45</v>
      </c>
      <c r="R150" s="444">
        <f t="shared" si="88"/>
        <v>3.4789702248134552E-3</v>
      </c>
      <c r="S150" s="452">
        <f t="shared" si="89"/>
        <v>950.28649999999993</v>
      </c>
      <c r="T150" s="445">
        <f t="shared" si="90"/>
        <v>7.4300000000000068</v>
      </c>
      <c r="U150" s="444">
        <f t="shared" si="91"/>
        <v>1.7826723289906206E-2</v>
      </c>
      <c r="V150" s="457">
        <f t="shared" si="92"/>
        <v>5.9800000000000066</v>
      </c>
      <c r="W150" s="458">
        <f t="shared" si="93"/>
        <v>1.434775306509275E-2</v>
      </c>
      <c r="X150" s="459">
        <f t="shared" si="94"/>
        <v>3919.1126000000045</v>
      </c>
      <c r="Y150" s="366" t="s">
        <v>174</v>
      </c>
      <c r="Z150" s="366" t="s">
        <v>428</v>
      </c>
      <c r="AA150" s="367" t="s">
        <v>659</v>
      </c>
      <c r="AB150" s="367" t="s">
        <v>684</v>
      </c>
      <c r="AC150" s="367">
        <v>1</v>
      </c>
      <c r="AD150" s="446" t="s">
        <v>650</v>
      </c>
      <c r="AH150" s="370"/>
    </row>
    <row r="151" spans="2:39" s="147" customFormat="1" ht="27" customHeight="1">
      <c r="B151" s="935"/>
      <c r="C151" s="936"/>
      <c r="D151" s="361">
        <v>13</v>
      </c>
      <c r="E151" s="440" t="s">
        <v>568</v>
      </c>
      <c r="F151" s="364">
        <f t="shared" si="82"/>
        <v>4192.9887999999919</v>
      </c>
      <c r="G151" s="365">
        <v>40.04</v>
      </c>
      <c r="H151" s="442">
        <v>3448.98</v>
      </c>
      <c r="I151" s="442">
        <v>3448.98</v>
      </c>
      <c r="J151" s="444">
        <f t="shared" si="83"/>
        <v>1</v>
      </c>
      <c r="K151" s="443">
        <v>3448.98</v>
      </c>
      <c r="L151" s="444">
        <f t="shared" si="84"/>
        <v>1</v>
      </c>
      <c r="M151" s="443">
        <v>104.72</v>
      </c>
      <c r="N151" s="444">
        <f t="shared" si="85"/>
        <v>3.0362599957088763E-2</v>
      </c>
      <c r="O151" s="445">
        <f t="shared" si="86"/>
        <v>3553.7</v>
      </c>
      <c r="P151" s="444">
        <f t="shared" si="87"/>
        <v>1.0303625999570887</v>
      </c>
      <c r="Q151" s="442">
        <v>24.64</v>
      </c>
      <c r="R151" s="444">
        <f t="shared" si="88"/>
        <v>7.1441411663738267E-3</v>
      </c>
      <c r="S151" s="452">
        <f t="shared" si="89"/>
        <v>986.5856</v>
      </c>
      <c r="T151" s="445">
        <f t="shared" si="90"/>
        <v>104.7199999999998</v>
      </c>
      <c r="U151" s="444">
        <f t="shared" si="91"/>
        <v>3.0362599957088704E-2</v>
      </c>
      <c r="V151" s="457">
        <f t="shared" si="92"/>
        <v>80.079999999999799</v>
      </c>
      <c r="W151" s="458">
        <f t="shared" si="93"/>
        <v>2.3218458790714876E-2</v>
      </c>
      <c r="X151" s="459">
        <f t="shared" si="94"/>
        <v>3206.403199999992</v>
      </c>
      <c r="Y151" s="366" t="s">
        <v>174</v>
      </c>
      <c r="Z151" s="366" t="s">
        <v>216</v>
      </c>
      <c r="AA151" s="367" t="s">
        <v>732</v>
      </c>
      <c r="AB151" s="367" t="s">
        <v>733</v>
      </c>
      <c r="AC151" s="367">
        <v>1</v>
      </c>
      <c r="AD151" s="446" t="s">
        <v>533</v>
      </c>
    </row>
    <row r="152" spans="2:39" s="147" customFormat="1" ht="27" customHeight="1">
      <c r="B152" s="935"/>
      <c r="C152" s="936"/>
      <c r="D152" s="361">
        <v>14</v>
      </c>
      <c r="E152" s="440" t="s">
        <v>545</v>
      </c>
      <c r="F152" s="364">
        <f t="shared" si="82"/>
        <v>4174.1255999999921</v>
      </c>
      <c r="G152" s="365">
        <v>66.13</v>
      </c>
      <c r="H152" s="442">
        <v>2206.8200000000002</v>
      </c>
      <c r="I152" s="442">
        <v>2206.8200000000002</v>
      </c>
      <c r="J152" s="444">
        <f t="shared" si="83"/>
        <v>1</v>
      </c>
      <c r="K152" s="443">
        <v>2206.8200000000002</v>
      </c>
      <c r="L152" s="444">
        <f t="shared" si="84"/>
        <v>1</v>
      </c>
      <c r="M152" s="443">
        <v>63.12</v>
      </c>
      <c r="N152" s="444">
        <f t="shared" si="85"/>
        <v>2.8602242140274237E-2</v>
      </c>
      <c r="O152" s="445">
        <f t="shared" si="86"/>
        <v>2269.94</v>
      </c>
      <c r="P152" s="444">
        <f t="shared" si="87"/>
        <v>1.0286022421402743</v>
      </c>
      <c r="Q152" s="442">
        <v>14.32</v>
      </c>
      <c r="R152" s="444">
        <f t="shared" si="88"/>
        <v>6.4889750863233063E-3</v>
      </c>
      <c r="S152" s="452">
        <f t="shared" si="89"/>
        <v>946.98159999999996</v>
      </c>
      <c r="T152" s="445">
        <f t="shared" si="90"/>
        <v>63.119999999999891</v>
      </c>
      <c r="U152" s="444">
        <f t="shared" si="91"/>
        <v>2.8602242140274188E-2</v>
      </c>
      <c r="V152" s="457">
        <f t="shared" si="92"/>
        <v>48.799999999999891</v>
      </c>
      <c r="W152" s="458">
        <f t="shared" si="93"/>
        <v>2.2113267053950884E-2</v>
      </c>
      <c r="X152" s="459">
        <f t="shared" si="94"/>
        <v>3227.1439999999925</v>
      </c>
      <c r="Y152" s="366" t="s">
        <v>174</v>
      </c>
      <c r="Z152" s="366" t="s">
        <v>428</v>
      </c>
      <c r="AA152" s="367" t="s">
        <v>479</v>
      </c>
      <c r="AB152" s="367" t="s">
        <v>785</v>
      </c>
      <c r="AC152" s="367">
        <v>1</v>
      </c>
      <c r="AD152" s="446" t="s">
        <v>341</v>
      </c>
    </row>
    <row r="153" spans="2:39" s="147" customFormat="1" ht="27" customHeight="1">
      <c r="B153" s="935"/>
      <c r="C153" s="936"/>
      <c r="D153" s="361">
        <v>15</v>
      </c>
      <c r="E153" s="440" t="s">
        <v>635</v>
      </c>
      <c r="F153" s="364">
        <f t="shared" si="82"/>
        <v>4165.4502000000066</v>
      </c>
      <c r="G153" s="365">
        <v>49.82</v>
      </c>
      <c r="H153" s="442">
        <v>3160.5</v>
      </c>
      <c r="I153" s="442">
        <v>3160.5</v>
      </c>
      <c r="J153" s="444">
        <f t="shared" si="83"/>
        <v>1</v>
      </c>
      <c r="K153" s="443">
        <v>3160.5</v>
      </c>
      <c r="L153" s="444">
        <f t="shared" si="84"/>
        <v>1</v>
      </c>
      <c r="M153" s="443">
        <v>83.61</v>
      </c>
      <c r="N153" s="444">
        <f t="shared" si="85"/>
        <v>2.6454674893213098E-2</v>
      </c>
      <c r="O153" s="445">
        <f t="shared" si="86"/>
        <v>3244.11</v>
      </c>
      <c r="P153" s="444">
        <f t="shared" si="87"/>
        <v>1.0264546748932131</v>
      </c>
      <c r="Q153" s="442">
        <v>19.010000000000002</v>
      </c>
      <c r="R153" s="444">
        <f t="shared" si="88"/>
        <v>6.0148710647049521E-3</v>
      </c>
      <c r="S153" s="452">
        <f t="shared" si="89"/>
        <v>947.07820000000004</v>
      </c>
      <c r="T153" s="445">
        <f t="shared" si="90"/>
        <v>83.610000000000127</v>
      </c>
      <c r="U153" s="444">
        <f t="shared" si="91"/>
        <v>2.645467489321314E-2</v>
      </c>
      <c r="V153" s="457">
        <f t="shared" si="92"/>
        <v>64.600000000000122</v>
      </c>
      <c r="W153" s="458">
        <f t="shared" si="93"/>
        <v>2.0439803828508185E-2</v>
      </c>
      <c r="X153" s="459">
        <f t="shared" si="94"/>
        <v>3218.3720000000062</v>
      </c>
      <c r="Y153" s="366" t="s">
        <v>174</v>
      </c>
      <c r="Z153" s="366" t="s">
        <v>428</v>
      </c>
      <c r="AA153" s="367" t="s">
        <v>482</v>
      </c>
      <c r="AB153" s="367" t="s">
        <v>785</v>
      </c>
      <c r="AC153" s="367">
        <v>1</v>
      </c>
      <c r="AD153" s="446" t="s">
        <v>616</v>
      </c>
    </row>
    <row r="154" spans="2:39" s="147" customFormat="1" ht="27" customHeight="1">
      <c r="B154" s="935"/>
      <c r="C154" s="936"/>
      <c r="D154" s="361">
        <v>16</v>
      </c>
      <c r="E154" s="440" t="s">
        <v>652</v>
      </c>
      <c r="F154" s="364">
        <f t="shared" si="82"/>
        <v>4120.283700000009</v>
      </c>
      <c r="G154" s="365">
        <v>31.59</v>
      </c>
      <c r="H154" s="442">
        <v>4428.34</v>
      </c>
      <c r="I154" s="442">
        <v>4428.34</v>
      </c>
      <c r="J154" s="444">
        <f t="shared" si="83"/>
        <v>1</v>
      </c>
      <c r="K154" s="443">
        <v>4428.34</v>
      </c>
      <c r="L154" s="444">
        <f t="shared" si="84"/>
        <v>1</v>
      </c>
      <c r="M154" s="443">
        <v>130.43</v>
      </c>
      <c r="N154" s="444">
        <f t="shared" si="85"/>
        <v>2.9453474665450261E-2</v>
      </c>
      <c r="O154" s="445">
        <f t="shared" si="86"/>
        <v>4558.7700000000004</v>
      </c>
      <c r="P154" s="444">
        <f t="shared" si="87"/>
        <v>1.0294534746654502</v>
      </c>
      <c r="Q154" s="442">
        <v>29.930000000000003</v>
      </c>
      <c r="R154" s="444">
        <f t="shared" si="88"/>
        <v>6.7587402954606022E-3</v>
      </c>
      <c r="S154" s="452">
        <f t="shared" si="89"/>
        <v>945.48870000000011</v>
      </c>
      <c r="T154" s="445">
        <f t="shared" si="90"/>
        <v>130.43000000000029</v>
      </c>
      <c r="U154" s="444">
        <f t="shared" si="91"/>
        <v>2.9453474665450324E-2</v>
      </c>
      <c r="V154" s="457">
        <f t="shared" si="92"/>
        <v>100.50000000000028</v>
      </c>
      <c r="W154" s="458">
        <f t="shared" si="93"/>
        <v>2.2694734369989721E-2</v>
      </c>
      <c r="X154" s="459">
        <f t="shared" si="94"/>
        <v>3174.7950000000092</v>
      </c>
      <c r="Y154" s="366" t="s">
        <v>174</v>
      </c>
      <c r="Z154" s="366" t="s">
        <v>216</v>
      </c>
      <c r="AA154" s="367" t="s">
        <v>482</v>
      </c>
      <c r="AB154" s="367" t="s">
        <v>784</v>
      </c>
      <c r="AC154" s="367">
        <v>1</v>
      </c>
      <c r="AD154" s="446" t="s">
        <v>650</v>
      </c>
    </row>
    <row r="155" spans="2:39" s="147" customFormat="1" ht="27" customHeight="1">
      <c r="B155" s="935"/>
      <c r="C155" s="936"/>
      <c r="D155" s="361">
        <v>17</v>
      </c>
      <c r="E155" s="440" t="s">
        <v>696</v>
      </c>
      <c r="F155" s="364">
        <f t="shared" si="82"/>
        <v>4085.1796000000086</v>
      </c>
      <c r="G155" s="365">
        <v>98.060000000000016</v>
      </c>
      <c r="H155" s="442">
        <v>1275.3200000000002</v>
      </c>
      <c r="I155" s="442">
        <v>1275.3200000000002</v>
      </c>
      <c r="J155" s="444">
        <f t="shared" si="83"/>
        <v>1</v>
      </c>
      <c r="K155" s="443">
        <v>1275.3200000000002</v>
      </c>
      <c r="L155" s="444">
        <f t="shared" si="84"/>
        <v>1</v>
      </c>
      <c r="M155" s="443">
        <v>41.66</v>
      </c>
      <c r="N155" s="444">
        <f t="shared" si="85"/>
        <v>3.2666311200326183E-2</v>
      </c>
      <c r="O155" s="445">
        <f t="shared" si="86"/>
        <v>1316.9800000000002</v>
      </c>
      <c r="P155" s="444">
        <f t="shared" si="87"/>
        <v>1.0326663112003263</v>
      </c>
      <c r="Q155" s="442">
        <v>9.66</v>
      </c>
      <c r="R155" s="444">
        <f t="shared" si="88"/>
        <v>7.5745695198067928E-3</v>
      </c>
      <c r="S155" s="452">
        <f t="shared" si="89"/>
        <v>947.25960000000021</v>
      </c>
      <c r="T155" s="445">
        <f t="shared" si="90"/>
        <v>41.660000000000082</v>
      </c>
      <c r="U155" s="444">
        <f t="shared" si="91"/>
        <v>3.2666311200326252E-2</v>
      </c>
      <c r="V155" s="457">
        <f t="shared" si="92"/>
        <v>32.000000000000085</v>
      </c>
      <c r="W155" s="458">
        <f t="shared" si="93"/>
        <v>2.5091741680519461E-2</v>
      </c>
      <c r="X155" s="459">
        <f t="shared" si="94"/>
        <v>3137.9200000000087</v>
      </c>
      <c r="Y155" s="366" t="s">
        <v>174</v>
      </c>
      <c r="Z155" s="366" t="s">
        <v>428</v>
      </c>
      <c r="AA155" s="367" t="s">
        <v>482</v>
      </c>
      <c r="AB155" s="367" t="s">
        <v>785</v>
      </c>
      <c r="AC155" s="367">
        <v>1</v>
      </c>
      <c r="AD155" s="446" t="s">
        <v>664</v>
      </c>
    </row>
    <row r="156" spans="2:39" s="147" customFormat="1" ht="27" customHeight="1">
      <c r="B156" s="935"/>
      <c r="C156" s="936"/>
      <c r="D156" s="361">
        <v>18</v>
      </c>
      <c r="E156" s="440" t="s">
        <v>583</v>
      </c>
      <c r="F156" s="364">
        <f t="shared" si="82"/>
        <v>3994.7152000000128</v>
      </c>
      <c r="G156" s="365">
        <v>113.68000000000004</v>
      </c>
      <c r="H156" s="442">
        <v>1266.3</v>
      </c>
      <c r="I156" s="442">
        <v>1266.3</v>
      </c>
      <c r="J156" s="444">
        <f t="shared" si="83"/>
        <v>1</v>
      </c>
      <c r="K156" s="443">
        <v>1266.3</v>
      </c>
      <c r="L156" s="444">
        <f t="shared" si="84"/>
        <v>1</v>
      </c>
      <c r="M156" s="443">
        <v>35.14</v>
      </c>
      <c r="N156" s="444">
        <f t="shared" si="85"/>
        <v>2.7750138197899392E-2</v>
      </c>
      <c r="O156" s="445">
        <f t="shared" si="86"/>
        <v>1301.44</v>
      </c>
      <c r="P156" s="444">
        <f t="shared" si="87"/>
        <v>1.0277501381978995</v>
      </c>
      <c r="Q156" s="442">
        <v>8.34</v>
      </c>
      <c r="R156" s="444">
        <f t="shared" si="88"/>
        <v>6.5861170338782282E-3</v>
      </c>
      <c r="S156" s="452">
        <f t="shared" si="89"/>
        <v>948.0912000000003</v>
      </c>
      <c r="T156" s="445">
        <f t="shared" si="90"/>
        <v>35.1400000000001</v>
      </c>
      <c r="U156" s="444">
        <f t="shared" si="91"/>
        <v>2.7750138197899472E-2</v>
      </c>
      <c r="V156" s="457">
        <f t="shared" si="92"/>
        <v>26.8000000000001</v>
      </c>
      <c r="W156" s="458">
        <f t="shared" si="93"/>
        <v>2.1164021164021243E-2</v>
      </c>
      <c r="X156" s="459">
        <f t="shared" si="94"/>
        <v>3046.6240000000125</v>
      </c>
      <c r="Y156" s="366" t="s">
        <v>174</v>
      </c>
      <c r="Z156" s="366" t="s">
        <v>428</v>
      </c>
      <c r="AA156" s="367" t="s">
        <v>482</v>
      </c>
      <c r="AB156" s="367" t="s">
        <v>785</v>
      </c>
      <c r="AC156" s="367">
        <v>1</v>
      </c>
      <c r="AD156" s="446" t="s">
        <v>566</v>
      </c>
    </row>
    <row r="157" spans="2:39" s="147" customFormat="1" ht="27" customHeight="1">
      <c r="B157" s="935"/>
      <c r="C157" s="936"/>
      <c r="D157" s="361">
        <v>19</v>
      </c>
      <c r="E157" s="440" t="s">
        <v>464</v>
      </c>
      <c r="F157" s="364">
        <f t="shared" si="82"/>
        <v>3943.8300000000063</v>
      </c>
      <c r="G157" s="365">
        <v>629</v>
      </c>
      <c r="H157" s="442">
        <v>239.56</v>
      </c>
      <c r="I157" s="442">
        <v>239.56</v>
      </c>
      <c r="J157" s="444">
        <f t="shared" si="83"/>
        <v>1</v>
      </c>
      <c r="K157" s="443">
        <v>239.56</v>
      </c>
      <c r="L157" s="444">
        <f t="shared" si="84"/>
        <v>1</v>
      </c>
      <c r="M157" s="443">
        <v>6.27</v>
      </c>
      <c r="N157" s="444">
        <f t="shared" si="85"/>
        <v>2.6172983803640006E-2</v>
      </c>
      <c r="O157" s="445">
        <f t="shared" si="86"/>
        <v>245.83</v>
      </c>
      <c r="P157" s="444">
        <f t="shared" si="87"/>
        <v>1.02617298380364</v>
      </c>
      <c r="Q157" s="442">
        <v>1.51</v>
      </c>
      <c r="R157" s="444">
        <f t="shared" si="88"/>
        <v>6.3032225747203206E-3</v>
      </c>
      <c r="S157" s="452">
        <f t="shared" si="89"/>
        <v>949.79</v>
      </c>
      <c r="T157" s="445">
        <f t="shared" si="90"/>
        <v>6.2700000000000102</v>
      </c>
      <c r="U157" s="444">
        <f t="shared" si="91"/>
        <v>2.6172983803640051E-2</v>
      </c>
      <c r="V157" s="457">
        <f t="shared" si="92"/>
        <v>4.7600000000000104</v>
      </c>
      <c r="W157" s="458">
        <f t="shared" si="93"/>
        <v>1.986976122891973E-2</v>
      </c>
      <c r="X157" s="459">
        <f t="shared" si="94"/>
        <v>2994.0400000000068</v>
      </c>
      <c r="Y157" s="366" t="s">
        <v>174</v>
      </c>
      <c r="Z157" s="366" t="s">
        <v>428</v>
      </c>
      <c r="AA157" s="367" t="s">
        <v>482</v>
      </c>
      <c r="AB157" s="367" t="s">
        <v>547</v>
      </c>
      <c r="AC157" s="367">
        <v>1</v>
      </c>
      <c r="AD157" s="446" t="s">
        <v>458</v>
      </c>
    </row>
    <row r="158" spans="2:39" s="147" customFormat="1" ht="27" customHeight="1">
      <c r="B158" s="937"/>
      <c r="C158" s="938"/>
      <c r="D158" s="361">
        <v>20</v>
      </c>
      <c r="E158" s="440" t="s">
        <v>620</v>
      </c>
      <c r="F158" s="364">
        <f t="shared" si="82"/>
        <v>3872.9551999999926</v>
      </c>
      <c r="G158" s="365">
        <v>95.439999999999984</v>
      </c>
      <c r="H158" s="442">
        <v>1818.62</v>
      </c>
      <c r="I158" s="442">
        <v>1818.62</v>
      </c>
      <c r="J158" s="444">
        <f t="shared" si="83"/>
        <v>1</v>
      </c>
      <c r="K158" s="443">
        <v>1818.62</v>
      </c>
      <c r="L158" s="444">
        <f t="shared" si="84"/>
        <v>1</v>
      </c>
      <c r="M158" s="443">
        <v>40.58</v>
      </c>
      <c r="N158" s="444">
        <f t="shared" si="85"/>
        <v>2.2313622416997504E-2</v>
      </c>
      <c r="O158" s="445">
        <f t="shared" si="86"/>
        <v>1859.1999999999998</v>
      </c>
      <c r="P158" s="444">
        <f t="shared" si="87"/>
        <v>1.0223136224169975</v>
      </c>
      <c r="Q158" s="442">
        <v>9.91</v>
      </c>
      <c r="R158" s="444">
        <f t="shared" si="88"/>
        <v>5.449186745994216E-3</v>
      </c>
      <c r="S158" s="452">
        <f t="shared" si="89"/>
        <v>945.81039999999985</v>
      </c>
      <c r="T158" s="445">
        <f t="shared" si="90"/>
        <v>40.579999999999927</v>
      </c>
      <c r="U158" s="444">
        <f t="shared" si="91"/>
        <v>2.2313622416997466E-2</v>
      </c>
      <c r="V158" s="457">
        <f t="shared" si="92"/>
        <v>30.669999999999927</v>
      </c>
      <c r="W158" s="458">
        <f t="shared" si="93"/>
        <v>1.686443567100325E-2</v>
      </c>
      <c r="X158" s="459">
        <f t="shared" si="94"/>
        <v>2927.1447999999928</v>
      </c>
      <c r="Y158" s="366" t="s">
        <v>174</v>
      </c>
      <c r="Z158" s="366" t="s">
        <v>428</v>
      </c>
      <c r="AA158" s="367" t="s">
        <v>607</v>
      </c>
      <c r="AB158" s="367" t="s">
        <v>525</v>
      </c>
      <c r="AC158" s="367">
        <v>1</v>
      </c>
      <c r="AD158" s="446" t="s">
        <v>340</v>
      </c>
    </row>
    <row r="159" spans="2:39" ht="17.100000000000001" customHeight="1">
      <c r="B159" s="949" t="s">
        <v>442</v>
      </c>
      <c r="C159" s="950"/>
      <c r="D159" s="953" t="s">
        <v>549</v>
      </c>
      <c r="E159" s="954" t="s">
        <v>550</v>
      </c>
      <c r="F159" s="995" t="s">
        <v>567</v>
      </c>
      <c r="G159" s="922" t="s">
        <v>552</v>
      </c>
      <c r="H159" s="956" t="s">
        <v>553</v>
      </c>
      <c r="I159" s="939" t="s">
        <v>554</v>
      </c>
      <c r="J159" s="940"/>
      <c r="K159" s="939" t="s">
        <v>555</v>
      </c>
      <c r="L159" s="940"/>
      <c r="M159" s="939" t="s">
        <v>556</v>
      </c>
      <c r="N159" s="940"/>
      <c r="O159" s="939" t="s">
        <v>557</v>
      </c>
      <c r="P159" s="940"/>
      <c r="Q159" s="939" t="s">
        <v>418</v>
      </c>
      <c r="R159" s="994"/>
      <c r="S159" s="940"/>
      <c r="T159" s="941" t="s">
        <v>719</v>
      </c>
      <c r="U159" s="942"/>
      <c r="V159" s="944" t="s">
        <v>718</v>
      </c>
      <c r="W159" s="945"/>
      <c r="X159" s="946"/>
      <c r="Y159" s="947" t="s">
        <v>171</v>
      </c>
      <c r="Z159" s="947" t="s">
        <v>245</v>
      </c>
      <c r="AA159" s="947" t="s">
        <v>558</v>
      </c>
      <c r="AB159" s="947" t="s">
        <v>444</v>
      </c>
      <c r="AC159" s="947" t="s">
        <v>246</v>
      </c>
      <c r="AD159" s="922" t="s">
        <v>172</v>
      </c>
      <c r="AF159" s="924" t="s">
        <v>247</v>
      </c>
      <c r="AG159" s="925"/>
      <c r="AH159" s="925"/>
      <c r="AI159" s="925"/>
      <c r="AJ159" s="925"/>
      <c r="AK159" s="925"/>
      <c r="AL159" s="925"/>
      <c r="AM159" s="926"/>
    </row>
    <row r="160" spans="2:39" ht="16.5" customHeight="1">
      <c r="B160" s="951"/>
      <c r="C160" s="952"/>
      <c r="D160" s="953"/>
      <c r="E160" s="953"/>
      <c r="F160" s="955"/>
      <c r="G160" s="923"/>
      <c r="H160" s="923"/>
      <c r="I160" s="439" t="s">
        <v>559</v>
      </c>
      <c r="J160" s="362" t="s">
        <v>560</v>
      </c>
      <c r="K160" s="439" t="s">
        <v>559</v>
      </c>
      <c r="L160" s="362" t="s">
        <v>560</v>
      </c>
      <c r="M160" s="439" t="s">
        <v>559</v>
      </c>
      <c r="N160" s="362" t="s">
        <v>560</v>
      </c>
      <c r="O160" s="439" t="s">
        <v>559</v>
      </c>
      <c r="P160" s="362" t="s">
        <v>560</v>
      </c>
      <c r="Q160" s="439" t="s">
        <v>559</v>
      </c>
      <c r="R160" s="362" t="s">
        <v>560</v>
      </c>
      <c r="S160" s="362" t="s">
        <v>561</v>
      </c>
      <c r="T160" s="439" t="s">
        <v>559</v>
      </c>
      <c r="U160" s="362" t="s">
        <v>560</v>
      </c>
      <c r="V160" s="439" t="s">
        <v>559</v>
      </c>
      <c r="W160" s="362" t="s">
        <v>560</v>
      </c>
      <c r="X160" s="362" t="s">
        <v>561</v>
      </c>
      <c r="Y160" s="948"/>
      <c r="Z160" s="948"/>
      <c r="AA160" s="948"/>
      <c r="AB160" s="948"/>
      <c r="AC160" s="948"/>
      <c r="AD160" s="923"/>
      <c r="AF160" s="927"/>
      <c r="AG160" s="928"/>
      <c r="AH160" s="928"/>
      <c r="AI160" s="928"/>
      <c r="AJ160" s="928"/>
      <c r="AK160" s="928"/>
      <c r="AL160" s="928"/>
      <c r="AM160" s="929"/>
    </row>
    <row r="161" spans="2:39" s="147" customFormat="1" ht="27" customHeight="1">
      <c r="B161" s="993" t="s">
        <v>802</v>
      </c>
      <c r="C161" s="934"/>
      <c r="D161" s="361">
        <v>1</v>
      </c>
      <c r="E161" s="440" t="s">
        <v>336</v>
      </c>
      <c r="F161" s="364">
        <f>IFERROR(T161*G161,"-")</f>
        <v>12336.942400000045</v>
      </c>
      <c r="G161" s="365">
        <v>147.43000000000004</v>
      </c>
      <c r="H161" s="442">
        <v>4892.96</v>
      </c>
      <c r="I161" s="442">
        <v>4892.96</v>
      </c>
      <c r="J161" s="444">
        <f>IFERROR(I161/H161,"-")</f>
        <v>1</v>
      </c>
      <c r="K161" s="443">
        <v>4892.96</v>
      </c>
      <c r="L161" s="444">
        <f>IFERROR(K161/H161,"-")</f>
        <v>1</v>
      </c>
      <c r="M161" s="443">
        <v>83.68</v>
      </c>
      <c r="N161" s="444">
        <f>IFERROR(M161/H161,"-")</f>
        <v>1.7102122232758903E-2</v>
      </c>
      <c r="O161" s="445">
        <f>IFERROR(K161+M161,"-")</f>
        <v>4976.6400000000003</v>
      </c>
      <c r="P161" s="444">
        <f>IFERROR(O161/H161,"-")</f>
        <v>1.017102122232759</v>
      </c>
      <c r="Q161" s="442">
        <v>10.81</v>
      </c>
      <c r="R161" s="444">
        <f>IFERROR(Q161/H161,"-")</f>
        <v>2.2092966220856086E-3</v>
      </c>
      <c r="S161" s="452">
        <f>IFERROR(Q161*G161,"-")</f>
        <v>1593.7183000000005</v>
      </c>
      <c r="T161" s="445">
        <f>IFERROR(O161-H161,"-")</f>
        <v>83.680000000000291</v>
      </c>
      <c r="U161" s="444">
        <f>IFERROR(T161/H161,"-")</f>
        <v>1.7102122232758962E-2</v>
      </c>
      <c r="V161" s="457">
        <f>T161-Q161</f>
        <v>72.870000000000289</v>
      </c>
      <c r="W161" s="458">
        <f>IFERROR(V161/H161,"-")</f>
        <v>1.4892825610673352E-2</v>
      </c>
      <c r="X161" s="459">
        <f>IFERROR(V161*G161,"-")</f>
        <v>10743.224100000045</v>
      </c>
      <c r="Y161" s="366" t="s">
        <v>174</v>
      </c>
      <c r="Z161" s="366" t="s">
        <v>215</v>
      </c>
      <c r="AA161" s="367" t="s">
        <v>478</v>
      </c>
      <c r="AB161" s="367" t="s">
        <v>524</v>
      </c>
      <c r="AC161" s="367">
        <v>1</v>
      </c>
      <c r="AD161" s="446" t="s">
        <v>340</v>
      </c>
      <c r="AF161" s="930"/>
      <c r="AG161" s="931"/>
      <c r="AH161" s="931"/>
      <c r="AI161" s="931"/>
      <c r="AJ161" s="931"/>
      <c r="AK161" s="931"/>
      <c r="AL161" s="931"/>
      <c r="AM161" s="932"/>
    </row>
    <row r="162" spans="2:39" s="147" customFormat="1" ht="27" customHeight="1">
      <c r="B162" s="935"/>
      <c r="C162" s="936"/>
      <c r="D162" s="361">
        <v>2</v>
      </c>
      <c r="E162" s="440" t="s">
        <v>692</v>
      </c>
      <c r="F162" s="364">
        <f t="shared" ref="F162:F180" si="98">IFERROR(T162*G162,"-")</f>
        <v>9946.1866000000628</v>
      </c>
      <c r="G162" s="365">
        <v>625.94000000000005</v>
      </c>
      <c r="H162" s="442">
        <v>1693.99</v>
      </c>
      <c r="I162" s="442">
        <v>1693.99</v>
      </c>
      <c r="J162" s="444">
        <f t="shared" ref="J162:J180" si="99">IFERROR(I162/H162,"-")</f>
        <v>1</v>
      </c>
      <c r="K162" s="443">
        <v>1693.99</v>
      </c>
      <c r="L162" s="444">
        <f t="shared" ref="L162:L180" si="100">IFERROR(K162/H162,"-")</f>
        <v>1</v>
      </c>
      <c r="M162" s="443">
        <v>15.89</v>
      </c>
      <c r="N162" s="444">
        <f t="shared" ref="N162:N180" si="101">IFERROR(M162/H162,"-")</f>
        <v>9.3802206624596374E-3</v>
      </c>
      <c r="O162" s="445">
        <f t="shared" ref="O162:O180" si="102">IFERROR(K162+M162,"-")</f>
        <v>1709.88</v>
      </c>
      <c r="P162" s="444">
        <f t="shared" ref="P162:P180" si="103">IFERROR(O162/H162,"-")</f>
        <v>1.0093802206624598</v>
      </c>
      <c r="Q162" s="442">
        <v>2.6399999999999997</v>
      </c>
      <c r="R162" s="444">
        <f t="shared" ref="R162:R180" si="104">IFERROR(Q162/H162,"-")</f>
        <v>1.5584507582689388E-3</v>
      </c>
      <c r="S162" s="452">
        <f t="shared" ref="S162:S180" si="105">IFERROR(Q162*G162,"-")</f>
        <v>1652.4815999999998</v>
      </c>
      <c r="T162" s="445">
        <f t="shared" ref="T162:T180" si="106">IFERROR(O162-H162,"-")</f>
        <v>15.8900000000001</v>
      </c>
      <c r="U162" s="444">
        <f t="shared" ref="U162:U180" si="107">IFERROR(T162/H162,"-")</f>
        <v>9.3802206624596964E-3</v>
      </c>
      <c r="V162" s="457">
        <f t="shared" ref="V162:V180" si="108">T162-Q162</f>
        <v>13.250000000000099</v>
      </c>
      <c r="W162" s="458">
        <f t="shared" ref="W162:W180" si="109">IFERROR(V162/H162,"-")</f>
        <v>7.8217699041907562E-3</v>
      </c>
      <c r="X162" s="459">
        <f t="shared" ref="X162:X180" si="110">IFERROR(V162*G162,"-")</f>
        <v>8293.7050000000636</v>
      </c>
      <c r="Y162" s="366" t="s">
        <v>174</v>
      </c>
      <c r="Z162" s="366" t="s">
        <v>216</v>
      </c>
      <c r="AA162" s="367" t="s">
        <v>482</v>
      </c>
      <c r="AB162" s="367" t="s">
        <v>736</v>
      </c>
      <c r="AC162" s="367">
        <v>1</v>
      </c>
      <c r="AD162" s="446" t="s">
        <v>697</v>
      </c>
      <c r="AF162" s="160" t="s">
        <v>244</v>
      </c>
      <c r="AG162" s="160" t="s">
        <v>445</v>
      </c>
      <c r="AH162" s="155" t="s">
        <v>562</v>
      </c>
      <c r="AI162" s="155" t="s">
        <v>337</v>
      </c>
      <c r="AJ162" s="155" t="s">
        <v>428</v>
      </c>
      <c r="AK162" s="155" t="s">
        <v>215</v>
      </c>
      <c r="AL162" s="155" t="s">
        <v>216</v>
      </c>
      <c r="AM162" s="155" t="s">
        <v>384</v>
      </c>
    </row>
    <row r="163" spans="2:39" s="147" customFormat="1" ht="27" customHeight="1">
      <c r="B163" s="935"/>
      <c r="C163" s="936"/>
      <c r="D163" s="361">
        <v>3</v>
      </c>
      <c r="E163" s="440" t="s">
        <v>386</v>
      </c>
      <c r="F163" s="364">
        <f t="shared" si="98"/>
        <v>7105.347199999992</v>
      </c>
      <c r="G163" s="365">
        <v>127.84000000000002</v>
      </c>
      <c r="H163" s="442">
        <v>4503.34</v>
      </c>
      <c r="I163" s="442">
        <v>4503.34</v>
      </c>
      <c r="J163" s="444">
        <f t="shared" si="99"/>
        <v>1</v>
      </c>
      <c r="K163" s="443">
        <v>4503.34</v>
      </c>
      <c r="L163" s="444">
        <f t="shared" si="100"/>
        <v>1</v>
      </c>
      <c r="M163" s="443">
        <v>55.579999999999991</v>
      </c>
      <c r="N163" s="444">
        <f t="shared" si="101"/>
        <v>1.234195064107973E-2</v>
      </c>
      <c r="O163" s="445">
        <f t="shared" si="102"/>
        <v>4558.92</v>
      </c>
      <c r="P163" s="444">
        <f t="shared" si="103"/>
        <v>1.0123419506410798</v>
      </c>
      <c r="Q163" s="442">
        <v>10.73</v>
      </c>
      <c r="R163" s="444">
        <f t="shared" si="104"/>
        <v>2.3826759693916072E-3</v>
      </c>
      <c r="S163" s="452">
        <f t="shared" si="105"/>
        <v>1371.7232000000001</v>
      </c>
      <c r="T163" s="445">
        <f t="shared" si="106"/>
        <v>55.579999999999927</v>
      </c>
      <c r="U163" s="444">
        <f t="shared" si="107"/>
        <v>1.2341950641079716E-2</v>
      </c>
      <c r="V163" s="457">
        <f t="shared" si="108"/>
        <v>44.849999999999923</v>
      </c>
      <c r="W163" s="458">
        <f t="shared" si="109"/>
        <v>9.9592746716881068E-3</v>
      </c>
      <c r="X163" s="459">
        <f t="shared" si="110"/>
        <v>5733.6239999999907</v>
      </c>
      <c r="Y163" s="366" t="s">
        <v>174</v>
      </c>
      <c r="Z163" s="366" t="s">
        <v>428</v>
      </c>
      <c r="AA163" s="367" t="s">
        <v>734</v>
      </c>
      <c r="AB163" s="367" t="s">
        <v>818</v>
      </c>
      <c r="AC163" s="367">
        <v>1</v>
      </c>
      <c r="AD163" s="446" t="s">
        <v>340</v>
      </c>
      <c r="AF163" s="374">
        <f>SUM(AC161:AC180)</f>
        <v>20</v>
      </c>
      <c r="AG163" s="369">
        <f>SUMIF($Z$161:$Z$180,TRIM(AG162),$AC$161:$AC$180)</f>
        <v>0</v>
      </c>
      <c r="AH163" s="369">
        <f t="shared" ref="AH163:AM163" si="111">SUMIF($Z$161:$Z$180,TRIM(AH162),$AC$161:$AC$180)</f>
        <v>0</v>
      </c>
      <c r="AI163" s="369">
        <f t="shared" si="111"/>
        <v>0</v>
      </c>
      <c r="AJ163" s="369">
        <f t="shared" si="111"/>
        <v>11</v>
      </c>
      <c r="AK163" s="369">
        <f t="shared" si="111"/>
        <v>1</v>
      </c>
      <c r="AL163" s="369">
        <f t="shared" si="111"/>
        <v>8</v>
      </c>
      <c r="AM163" s="369">
        <f t="shared" si="111"/>
        <v>0</v>
      </c>
    </row>
    <row r="164" spans="2:39" s="147" customFormat="1" ht="27" customHeight="1">
      <c r="B164" s="935"/>
      <c r="C164" s="936"/>
      <c r="D164" s="361">
        <v>4</v>
      </c>
      <c r="E164" s="440" t="s">
        <v>534</v>
      </c>
      <c r="F164" s="364">
        <f t="shared" si="98"/>
        <v>6603.3395999999757</v>
      </c>
      <c r="G164" s="365">
        <v>39.389999999999993</v>
      </c>
      <c r="H164" s="442">
        <v>30859.499999999996</v>
      </c>
      <c r="I164" s="442">
        <v>30859.499999999996</v>
      </c>
      <c r="J164" s="444">
        <f t="shared" si="99"/>
        <v>1</v>
      </c>
      <c r="K164" s="443">
        <v>30859.499999999996</v>
      </c>
      <c r="L164" s="444">
        <f t="shared" si="100"/>
        <v>1</v>
      </c>
      <c r="M164" s="443">
        <v>167.64</v>
      </c>
      <c r="N164" s="444">
        <f t="shared" si="101"/>
        <v>5.4323628056190155E-3</v>
      </c>
      <c r="O164" s="445">
        <f t="shared" si="102"/>
        <v>31027.139999999996</v>
      </c>
      <c r="P164" s="444">
        <f t="shared" si="103"/>
        <v>1.005432362805619</v>
      </c>
      <c r="Q164" s="442">
        <v>36.659999999999997</v>
      </c>
      <c r="R164" s="444">
        <f t="shared" si="104"/>
        <v>1.1879648082438147E-3</v>
      </c>
      <c r="S164" s="452">
        <f t="shared" si="105"/>
        <v>1444.0373999999997</v>
      </c>
      <c r="T164" s="445">
        <f t="shared" si="106"/>
        <v>167.63999999999942</v>
      </c>
      <c r="U164" s="444">
        <f t="shared" si="107"/>
        <v>5.4323628056189973E-3</v>
      </c>
      <c r="V164" s="457">
        <f t="shared" si="108"/>
        <v>130.97999999999942</v>
      </c>
      <c r="W164" s="458">
        <f t="shared" si="109"/>
        <v>4.244397997375182E-3</v>
      </c>
      <c r="X164" s="459">
        <f t="shared" si="110"/>
        <v>5159.3021999999764</v>
      </c>
      <c r="Y164" s="366" t="s">
        <v>174</v>
      </c>
      <c r="Z164" s="366" t="s">
        <v>216</v>
      </c>
      <c r="AA164" s="367" t="s">
        <v>732</v>
      </c>
      <c r="AB164" s="367" t="s">
        <v>733</v>
      </c>
      <c r="AC164" s="367">
        <v>1</v>
      </c>
      <c r="AD164" s="446" t="s">
        <v>340</v>
      </c>
      <c r="AF164" s="375" t="s">
        <v>11</v>
      </c>
      <c r="AG164" s="372">
        <f>SUMIF($Z$161:$Z$180,TRIM(AG162),$F$161:$F$180)</f>
        <v>0</v>
      </c>
      <c r="AH164" s="372">
        <f t="shared" ref="AH164:AM164" si="112">SUMIF($Z$161:$Z$180,TRIM(AH162),$F$161:$F$180)</f>
        <v>0</v>
      </c>
      <c r="AI164" s="372">
        <f t="shared" si="112"/>
        <v>0</v>
      </c>
      <c r="AJ164" s="372">
        <f t="shared" si="112"/>
        <v>49324.882600000026</v>
      </c>
      <c r="AK164" s="372">
        <f t="shared" si="112"/>
        <v>12336.942400000045</v>
      </c>
      <c r="AL164" s="372">
        <f t="shared" si="112"/>
        <v>44418.50460000008</v>
      </c>
      <c r="AM164" s="372">
        <f t="shared" si="112"/>
        <v>0</v>
      </c>
    </row>
    <row r="165" spans="2:39" s="147" customFormat="1" ht="27" customHeight="1">
      <c r="B165" s="935"/>
      <c r="C165" s="936"/>
      <c r="D165" s="361">
        <v>5</v>
      </c>
      <c r="E165" s="440" t="s">
        <v>771</v>
      </c>
      <c r="F165" s="364">
        <f t="shared" si="98"/>
        <v>5886.0438000000058</v>
      </c>
      <c r="G165" s="365">
        <v>52.26</v>
      </c>
      <c r="H165" s="442">
        <v>5567.94</v>
      </c>
      <c r="I165" s="442">
        <v>5567.94</v>
      </c>
      <c r="J165" s="444">
        <f t="shared" si="99"/>
        <v>1</v>
      </c>
      <c r="K165" s="443">
        <v>5567.94</v>
      </c>
      <c r="L165" s="444">
        <f t="shared" si="100"/>
        <v>1</v>
      </c>
      <c r="M165" s="443">
        <v>112.63000000000001</v>
      </c>
      <c r="N165" s="444">
        <f t="shared" si="101"/>
        <v>2.0228307057906517E-2</v>
      </c>
      <c r="O165" s="445">
        <f t="shared" si="102"/>
        <v>5680.57</v>
      </c>
      <c r="P165" s="444">
        <f t="shared" si="103"/>
        <v>1.0202283070579066</v>
      </c>
      <c r="Q165" s="442">
        <v>32.800000000000004</v>
      </c>
      <c r="R165" s="444">
        <f t="shared" si="104"/>
        <v>5.8908680768830135E-3</v>
      </c>
      <c r="S165" s="452">
        <f t="shared" si="105"/>
        <v>1714.1280000000002</v>
      </c>
      <c r="T165" s="445">
        <f t="shared" si="106"/>
        <v>112.63000000000011</v>
      </c>
      <c r="U165" s="444">
        <f t="shared" si="107"/>
        <v>2.0228307057906535E-2</v>
      </c>
      <c r="V165" s="457">
        <f t="shared" si="108"/>
        <v>79.830000000000098</v>
      </c>
      <c r="W165" s="458">
        <f t="shared" si="109"/>
        <v>1.433743898102352E-2</v>
      </c>
      <c r="X165" s="459">
        <f t="shared" si="110"/>
        <v>4171.9158000000052</v>
      </c>
      <c r="Y165" s="366" t="s">
        <v>174</v>
      </c>
      <c r="Z165" s="366" t="s">
        <v>216</v>
      </c>
      <c r="AA165" s="367" t="s">
        <v>732</v>
      </c>
      <c r="AB165" s="367" t="s">
        <v>819</v>
      </c>
      <c r="AC165" s="367">
        <v>1</v>
      </c>
      <c r="AD165" s="446" t="s">
        <v>752</v>
      </c>
      <c r="AF165" s="361" t="s">
        <v>563</v>
      </c>
      <c r="AG165" s="373">
        <f t="shared" ref="AG165:AM165" si="113">AG163/$AF163</f>
        <v>0</v>
      </c>
      <c r="AH165" s="373">
        <f t="shared" si="113"/>
        <v>0</v>
      </c>
      <c r="AI165" s="373">
        <f t="shared" si="113"/>
        <v>0</v>
      </c>
      <c r="AJ165" s="373">
        <f t="shared" si="113"/>
        <v>0.55000000000000004</v>
      </c>
      <c r="AK165" s="373">
        <f t="shared" si="113"/>
        <v>0.05</v>
      </c>
      <c r="AL165" s="373">
        <f t="shared" si="113"/>
        <v>0.4</v>
      </c>
      <c r="AM165" s="373">
        <f t="shared" si="113"/>
        <v>0</v>
      </c>
    </row>
    <row r="166" spans="2:39" s="147" customFormat="1" ht="27" customHeight="1">
      <c r="B166" s="935"/>
      <c r="C166" s="936"/>
      <c r="D166" s="361">
        <v>6</v>
      </c>
      <c r="E166" s="440" t="s">
        <v>461</v>
      </c>
      <c r="F166" s="364">
        <f t="shared" si="98"/>
        <v>5679.8182000000261</v>
      </c>
      <c r="G166" s="365">
        <v>407.74</v>
      </c>
      <c r="H166" s="442">
        <v>1287.45</v>
      </c>
      <c r="I166" s="442">
        <v>1287.45</v>
      </c>
      <c r="J166" s="444">
        <f t="shared" si="99"/>
        <v>1</v>
      </c>
      <c r="K166" s="443">
        <v>1287.45</v>
      </c>
      <c r="L166" s="444">
        <f t="shared" si="100"/>
        <v>1</v>
      </c>
      <c r="M166" s="443">
        <v>13.929999999999998</v>
      </c>
      <c r="N166" s="444">
        <f t="shared" si="101"/>
        <v>1.0819837663598585E-2</v>
      </c>
      <c r="O166" s="445">
        <f t="shared" si="102"/>
        <v>1301.3800000000001</v>
      </c>
      <c r="P166" s="444">
        <f t="shared" si="103"/>
        <v>1.0108198376635986</v>
      </c>
      <c r="Q166" s="442">
        <v>3.29</v>
      </c>
      <c r="R166" s="444">
        <f t="shared" si="104"/>
        <v>2.5554390461765505E-3</v>
      </c>
      <c r="S166" s="452">
        <f t="shared" si="105"/>
        <v>1341.4646</v>
      </c>
      <c r="T166" s="445">
        <f t="shared" si="106"/>
        <v>13.930000000000064</v>
      </c>
      <c r="U166" s="444">
        <f t="shared" si="107"/>
        <v>1.0819837663598635E-2</v>
      </c>
      <c r="V166" s="457">
        <f t="shared" si="108"/>
        <v>10.640000000000065</v>
      </c>
      <c r="W166" s="458">
        <f t="shared" si="109"/>
        <v>8.2643986174220849E-3</v>
      </c>
      <c r="X166" s="459">
        <f t="shared" si="110"/>
        <v>4338.3536000000267</v>
      </c>
      <c r="Y166" s="366" t="s">
        <v>174</v>
      </c>
      <c r="Z166" s="366" t="s">
        <v>216</v>
      </c>
      <c r="AA166" s="367" t="s">
        <v>480</v>
      </c>
      <c r="AB166" s="367" t="s">
        <v>820</v>
      </c>
      <c r="AC166" s="367">
        <v>1</v>
      </c>
      <c r="AD166" s="446" t="s">
        <v>463</v>
      </c>
    </row>
    <row r="167" spans="2:39" s="147" customFormat="1" ht="27" customHeight="1">
      <c r="B167" s="935"/>
      <c r="C167" s="936"/>
      <c r="D167" s="361">
        <v>7</v>
      </c>
      <c r="E167" s="440" t="s">
        <v>772</v>
      </c>
      <c r="F167" s="364">
        <f t="shared" si="98"/>
        <v>5462.7244000000137</v>
      </c>
      <c r="G167" s="365">
        <v>24.789999999999996</v>
      </c>
      <c r="H167" s="442">
        <v>8068.32</v>
      </c>
      <c r="I167" s="442">
        <v>8068.32</v>
      </c>
      <c r="J167" s="444">
        <f t="shared" si="99"/>
        <v>1</v>
      </c>
      <c r="K167" s="443">
        <v>8068.32</v>
      </c>
      <c r="L167" s="444">
        <f t="shared" si="100"/>
        <v>1</v>
      </c>
      <c r="M167" s="443">
        <v>220.36</v>
      </c>
      <c r="N167" s="444">
        <f t="shared" si="101"/>
        <v>2.7311757590179866E-2</v>
      </c>
      <c r="O167" s="445">
        <f t="shared" si="102"/>
        <v>8288.68</v>
      </c>
      <c r="P167" s="444">
        <f t="shared" si="103"/>
        <v>1.02731175759018</v>
      </c>
      <c r="Q167" s="442">
        <v>42.31</v>
      </c>
      <c r="R167" s="444">
        <f t="shared" si="104"/>
        <v>5.2439665258690784E-3</v>
      </c>
      <c r="S167" s="452">
        <f t="shared" si="105"/>
        <v>1048.8648999999998</v>
      </c>
      <c r="T167" s="445">
        <f t="shared" si="106"/>
        <v>220.36000000000058</v>
      </c>
      <c r="U167" s="444">
        <f t="shared" si="107"/>
        <v>2.7311757590179939E-2</v>
      </c>
      <c r="V167" s="457">
        <f t="shared" si="108"/>
        <v>178.05000000000058</v>
      </c>
      <c r="W167" s="458">
        <f t="shared" si="109"/>
        <v>2.2067791064310859E-2</v>
      </c>
      <c r="X167" s="459">
        <f t="shared" si="110"/>
        <v>4413.8595000000132</v>
      </c>
      <c r="Y167" s="366" t="s">
        <v>174</v>
      </c>
      <c r="Z167" s="366" t="s">
        <v>428</v>
      </c>
      <c r="AA167" s="367" t="s">
        <v>482</v>
      </c>
      <c r="AB167" s="367" t="s">
        <v>821</v>
      </c>
      <c r="AC167" s="367">
        <v>1</v>
      </c>
      <c r="AD167" s="446" t="s">
        <v>751</v>
      </c>
    </row>
    <row r="168" spans="2:39" s="147" customFormat="1" ht="27" customHeight="1">
      <c r="B168" s="935"/>
      <c r="C168" s="936"/>
      <c r="D168" s="361">
        <v>8</v>
      </c>
      <c r="E168" s="440" t="s">
        <v>777</v>
      </c>
      <c r="F168" s="364">
        <f t="shared" si="98"/>
        <v>4784.0000000000091</v>
      </c>
      <c r="G168" s="365">
        <v>650</v>
      </c>
      <c r="H168" s="442">
        <v>558.57999999999993</v>
      </c>
      <c r="I168" s="442">
        <v>558.57999999999993</v>
      </c>
      <c r="J168" s="444">
        <f t="shared" si="99"/>
        <v>1</v>
      </c>
      <c r="K168" s="443">
        <v>558.57999999999993</v>
      </c>
      <c r="L168" s="444">
        <f t="shared" si="100"/>
        <v>1</v>
      </c>
      <c r="M168" s="443">
        <v>7.36</v>
      </c>
      <c r="N168" s="444">
        <f t="shared" si="101"/>
        <v>1.3176268394858394E-2</v>
      </c>
      <c r="O168" s="445">
        <f t="shared" si="102"/>
        <v>565.93999999999994</v>
      </c>
      <c r="P168" s="444">
        <f t="shared" si="103"/>
        <v>1.0131762683948584</v>
      </c>
      <c r="Q168" s="442">
        <v>1.5499999999999998</v>
      </c>
      <c r="R168" s="444">
        <f t="shared" si="104"/>
        <v>2.7748934798954494E-3</v>
      </c>
      <c r="S168" s="452">
        <f t="shared" si="105"/>
        <v>1007.4999999999999</v>
      </c>
      <c r="T168" s="445">
        <f t="shared" si="106"/>
        <v>7.3600000000000136</v>
      </c>
      <c r="U168" s="444">
        <f t="shared" si="107"/>
        <v>1.3176268394858416E-2</v>
      </c>
      <c r="V168" s="457">
        <f t="shared" si="108"/>
        <v>5.8100000000000138</v>
      </c>
      <c r="W168" s="458">
        <f t="shared" si="109"/>
        <v>1.0401374914962968E-2</v>
      </c>
      <c r="X168" s="459">
        <f t="shared" si="110"/>
        <v>3776.5000000000091</v>
      </c>
      <c r="Y168" s="366" t="s">
        <v>174</v>
      </c>
      <c r="Z168" s="366" t="s">
        <v>428</v>
      </c>
      <c r="AA168" s="367" t="s">
        <v>732</v>
      </c>
      <c r="AB168" s="367" t="s">
        <v>525</v>
      </c>
      <c r="AC168" s="367">
        <v>1</v>
      </c>
      <c r="AD168" s="446" t="s">
        <v>751</v>
      </c>
    </row>
    <row r="169" spans="2:39" s="147" customFormat="1" ht="27" customHeight="1">
      <c r="B169" s="935"/>
      <c r="C169" s="936"/>
      <c r="D169" s="361">
        <v>9</v>
      </c>
      <c r="E169" s="440" t="s">
        <v>619</v>
      </c>
      <c r="F169" s="364">
        <f t="shared" si="98"/>
        <v>4453.4334000000154</v>
      </c>
      <c r="G169" s="365">
        <v>39.389999999999993</v>
      </c>
      <c r="H169" s="442">
        <v>5997.3399999999992</v>
      </c>
      <c r="I169" s="442">
        <v>5997.3399999999992</v>
      </c>
      <c r="J169" s="444">
        <f t="shared" si="99"/>
        <v>1</v>
      </c>
      <c r="K169" s="443">
        <v>5997.3399999999992</v>
      </c>
      <c r="L169" s="444">
        <f t="shared" si="100"/>
        <v>1</v>
      </c>
      <c r="M169" s="443">
        <v>113.05999999999999</v>
      </c>
      <c r="N169" s="444">
        <f t="shared" si="101"/>
        <v>1.885169091630623E-2</v>
      </c>
      <c r="O169" s="445">
        <f t="shared" si="102"/>
        <v>6110.4</v>
      </c>
      <c r="P169" s="444">
        <f t="shared" si="103"/>
        <v>1.0188516909163063</v>
      </c>
      <c r="Q169" s="442">
        <v>24.299999999999997</v>
      </c>
      <c r="R169" s="444">
        <f t="shared" si="104"/>
        <v>4.0517962963580517E-3</v>
      </c>
      <c r="S169" s="452">
        <f t="shared" si="105"/>
        <v>957.17699999999968</v>
      </c>
      <c r="T169" s="445">
        <f t="shared" si="106"/>
        <v>113.0600000000004</v>
      </c>
      <c r="U169" s="444">
        <f t="shared" si="107"/>
        <v>1.8851690916306299E-2</v>
      </c>
      <c r="V169" s="457">
        <f t="shared" si="108"/>
        <v>88.760000000000403</v>
      </c>
      <c r="W169" s="458">
        <f t="shared" si="109"/>
        <v>1.4799894619948246E-2</v>
      </c>
      <c r="X169" s="459">
        <f t="shared" si="110"/>
        <v>3496.2564000000152</v>
      </c>
      <c r="Y169" s="366" t="s">
        <v>174</v>
      </c>
      <c r="Z169" s="366" t="s">
        <v>216</v>
      </c>
      <c r="AA169" s="367" t="s">
        <v>732</v>
      </c>
      <c r="AB169" s="367" t="s">
        <v>822</v>
      </c>
      <c r="AC169" s="367">
        <v>1</v>
      </c>
      <c r="AD169" s="446" t="s">
        <v>614</v>
      </c>
      <c r="AH169" s="370"/>
    </row>
    <row r="170" spans="2:39" s="147" customFormat="1" ht="27" customHeight="1">
      <c r="B170" s="935"/>
      <c r="C170" s="936"/>
      <c r="D170" s="361">
        <v>10</v>
      </c>
      <c r="E170" s="440" t="s">
        <v>635</v>
      </c>
      <c r="F170" s="364">
        <f t="shared" si="98"/>
        <v>4286.5127999999986</v>
      </c>
      <c r="G170" s="365">
        <v>49.82</v>
      </c>
      <c r="H170" s="442">
        <v>3369</v>
      </c>
      <c r="I170" s="442">
        <v>3369</v>
      </c>
      <c r="J170" s="444">
        <f t="shared" si="99"/>
        <v>1</v>
      </c>
      <c r="K170" s="443">
        <v>3369</v>
      </c>
      <c r="L170" s="444">
        <f t="shared" si="100"/>
        <v>1</v>
      </c>
      <c r="M170" s="443">
        <v>86.039999999999992</v>
      </c>
      <c r="N170" s="444">
        <f t="shared" si="101"/>
        <v>2.5538735529830808E-2</v>
      </c>
      <c r="O170" s="445">
        <f t="shared" si="102"/>
        <v>3455.04</v>
      </c>
      <c r="P170" s="444">
        <f t="shared" si="103"/>
        <v>1.0255387355298309</v>
      </c>
      <c r="Q170" s="442">
        <v>21.12</v>
      </c>
      <c r="R170" s="444">
        <f t="shared" si="104"/>
        <v>6.2689225289403383E-3</v>
      </c>
      <c r="S170" s="452">
        <f t="shared" si="105"/>
        <v>1052.1984</v>
      </c>
      <c r="T170" s="445">
        <f t="shared" si="106"/>
        <v>86.039999999999964</v>
      </c>
      <c r="U170" s="444">
        <f t="shared" si="107"/>
        <v>2.5538735529830801E-2</v>
      </c>
      <c r="V170" s="457">
        <f t="shared" si="108"/>
        <v>64.919999999999959</v>
      </c>
      <c r="W170" s="458">
        <f t="shared" si="109"/>
        <v>1.9269813000890462E-2</v>
      </c>
      <c r="X170" s="459">
        <f t="shared" si="110"/>
        <v>3234.3143999999979</v>
      </c>
      <c r="Y170" s="366" t="s">
        <v>174</v>
      </c>
      <c r="Z170" s="366" t="s">
        <v>428</v>
      </c>
      <c r="AA170" s="367" t="s">
        <v>482</v>
      </c>
      <c r="AB170" s="367" t="s">
        <v>821</v>
      </c>
      <c r="AC170" s="367">
        <v>1</v>
      </c>
      <c r="AD170" s="446" t="s">
        <v>616</v>
      </c>
      <c r="AH170" s="370"/>
    </row>
    <row r="171" spans="2:39" s="147" customFormat="1" ht="27" customHeight="1">
      <c r="B171" s="935"/>
      <c r="C171" s="936"/>
      <c r="D171" s="361">
        <v>11</v>
      </c>
      <c r="E171" s="440" t="s">
        <v>432</v>
      </c>
      <c r="F171" s="364">
        <f t="shared" si="98"/>
        <v>4163.6634000000004</v>
      </c>
      <c r="G171" s="365">
        <v>368.13999999999993</v>
      </c>
      <c r="H171" s="442">
        <v>502.19</v>
      </c>
      <c r="I171" s="442">
        <v>502.19</v>
      </c>
      <c r="J171" s="444">
        <f t="shared" si="99"/>
        <v>1</v>
      </c>
      <c r="K171" s="443">
        <v>502.19</v>
      </c>
      <c r="L171" s="444">
        <f t="shared" si="100"/>
        <v>1</v>
      </c>
      <c r="M171" s="443">
        <v>11.31</v>
      </c>
      <c r="N171" s="444">
        <f t="shared" si="101"/>
        <v>2.2521356458710846E-2</v>
      </c>
      <c r="O171" s="445">
        <f t="shared" si="102"/>
        <v>513.5</v>
      </c>
      <c r="P171" s="444">
        <f t="shared" si="103"/>
        <v>1.0225213564587108</v>
      </c>
      <c r="Q171" s="442">
        <v>2.8500000000000005</v>
      </c>
      <c r="R171" s="444">
        <f t="shared" si="104"/>
        <v>5.6751428742109573E-3</v>
      </c>
      <c r="S171" s="452">
        <f t="shared" si="105"/>
        <v>1049.1990000000001</v>
      </c>
      <c r="T171" s="445">
        <f t="shared" si="106"/>
        <v>11.310000000000002</v>
      </c>
      <c r="U171" s="444">
        <f t="shared" si="107"/>
        <v>2.252135645871085E-2</v>
      </c>
      <c r="V171" s="457">
        <f t="shared" si="108"/>
        <v>8.4600000000000009</v>
      </c>
      <c r="W171" s="458">
        <f t="shared" si="109"/>
        <v>1.6846213584499892E-2</v>
      </c>
      <c r="X171" s="459">
        <f t="shared" si="110"/>
        <v>3114.4643999999998</v>
      </c>
      <c r="Y171" s="366" t="s">
        <v>174</v>
      </c>
      <c r="Z171" s="366" t="s">
        <v>428</v>
      </c>
      <c r="AA171" s="367" t="s">
        <v>823</v>
      </c>
      <c r="AB171" s="367" t="s">
        <v>525</v>
      </c>
      <c r="AC171" s="367">
        <v>1</v>
      </c>
      <c r="AD171" s="446" t="s">
        <v>433</v>
      </c>
      <c r="AH171" s="370"/>
    </row>
    <row r="172" spans="2:39" s="147" customFormat="1" ht="27" customHeight="1">
      <c r="B172" s="935"/>
      <c r="C172" s="936"/>
      <c r="D172" s="361">
        <v>12</v>
      </c>
      <c r="E172" s="440" t="s">
        <v>653</v>
      </c>
      <c r="F172" s="364">
        <f t="shared" si="98"/>
        <v>4038.362199999995</v>
      </c>
      <c r="G172" s="365">
        <v>40.420000000000009</v>
      </c>
      <c r="H172" s="442">
        <v>2651.1800000000003</v>
      </c>
      <c r="I172" s="442">
        <v>2651.1800000000003</v>
      </c>
      <c r="J172" s="444">
        <f t="shared" si="99"/>
        <v>1</v>
      </c>
      <c r="K172" s="443">
        <v>2651.1800000000003</v>
      </c>
      <c r="L172" s="444">
        <f t="shared" si="100"/>
        <v>1</v>
      </c>
      <c r="M172" s="443">
        <v>99.910000000000011</v>
      </c>
      <c r="N172" s="444">
        <f t="shared" si="101"/>
        <v>3.7685106254573435E-2</v>
      </c>
      <c r="O172" s="445">
        <f t="shared" si="102"/>
        <v>2751.09</v>
      </c>
      <c r="P172" s="444">
        <f t="shared" si="103"/>
        <v>1.0376851062545733</v>
      </c>
      <c r="Q172" s="442">
        <v>25.95</v>
      </c>
      <c r="R172" s="444">
        <f t="shared" si="104"/>
        <v>9.7880943579839903E-3</v>
      </c>
      <c r="S172" s="452">
        <f t="shared" si="105"/>
        <v>1048.8990000000001</v>
      </c>
      <c r="T172" s="445">
        <f t="shared" si="106"/>
        <v>99.909999999999854</v>
      </c>
      <c r="U172" s="444">
        <f t="shared" si="107"/>
        <v>3.7685106254573379E-2</v>
      </c>
      <c r="V172" s="457">
        <f t="shared" si="108"/>
        <v>73.959999999999852</v>
      </c>
      <c r="W172" s="458">
        <f t="shared" si="109"/>
        <v>2.7897011896589385E-2</v>
      </c>
      <c r="X172" s="459">
        <f t="shared" si="110"/>
        <v>2989.4631999999947</v>
      </c>
      <c r="Y172" s="366" t="s">
        <v>174</v>
      </c>
      <c r="Z172" s="366" t="s">
        <v>216</v>
      </c>
      <c r="AA172" s="367" t="s">
        <v>732</v>
      </c>
      <c r="AB172" s="367" t="s">
        <v>822</v>
      </c>
      <c r="AC172" s="367">
        <v>1</v>
      </c>
      <c r="AD172" s="446" t="s">
        <v>650</v>
      </c>
      <c r="AH172" s="370"/>
    </row>
    <row r="173" spans="2:39" s="147" customFormat="1" ht="27" customHeight="1">
      <c r="B173" s="935"/>
      <c r="C173" s="936"/>
      <c r="D173" s="361">
        <v>13</v>
      </c>
      <c r="E173" s="440" t="s">
        <v>583</v>
      </c>
      <c r="F173" s="364">
        <f t="shared" si="98"/>
        <v>4017.4511999999918</v>
      </c>
      <c r="G173" s="365">
        <v>113.68000000000004</v>
      </c>
      <c r="H173" s="442">
        <v>1387.4</v>
      </c>
      <c r="I173" s="442">
        <v>1387.4</v>
      </c>
      <c r="J173" s="444">
        <f t="shared" si="99"/>
        <v>1</v>
      </c>
      <c r="K173" s="443">
        <v>1387.4</v>
      </c>
      <c r="L173" s="444">
        <f t="shared" si="100"/>
        <v>1</v>
      </c>
      <c r="M173" s="443">
        <v>35.340000000000003</v>
      </c>
      <c r="N173" s="444">
        <f t="shared" si="101"/>
        <v>2.5472106097736775E-2</v>
      </c>
      <c r="O173" s="445">
        <f t="shared" si="102"/>
        <v>1422.74</v>
      </c>
      <c r="P173" s="444">
        <f t="shared" si="103"/>
        <v>1.0254721060977368</v>
      </c>
      <c r="Q173" s="442">
        <v>9.26</v>
      </c>
      <c r="R173" s="444">
        <f t="shared" si="104"/>
        <v>6.6743549084618704E-3</v>
      </c>
      <c r="S173" s="452">
        <f t="shared" si="105"/>
        <v>1052.6768000000004</v>
      </c>
      <c r="T173" s="445">
        <f t="shared" si="106"/>
        <v>35.339999999999918</v>
      </c>
      <c r="U173" s="444">
        <f t="shared" si="107"/>
        <v>2.5472106097736712E-2</v>
      </c>
      <c r="V173" s="457">
        <f t="shared" si="108"/>
        <v>26.07999999999992</v>
      </c>
      <c r="W173" s="458">
        <f t="shared" si="109"/>
        <v>1.8797751189274844E-2</v>
      </c>
      <c r="X173" s="459">
        <f t="shared" si="110"/>
        <v>2964.7743999999921</v>
      </c>
      <c r="Y173" s="366" t="s">
        <v>174</v>
      </c>
      <c r="Z173" s="366" t="s">
        <v>428</v>
      </c>
      <c r="AA173" s="367" t="s">
        <v>482</v>
      </c>
      <c r="AB173" s="367" t="s">
        <v>821</v>
      </c>
      <c r="AC173" s="367">
        <v>1</v>
      </c>
      <c r="AD173" s="446" t="s">
        <v>566</v>
      </c>
    </row>
    <row r="174" spans="2:39" s="147" customFormat="1" ht="27" customHeight="1">
      <c r="B174" s="935"/>
      <c r="C174" s="936"/>
      <c r="D174" s="361">
        <v>14</v>
      </c>
      <c r="E174" s="440" t="s">
        <v>716</v>
      </c>
      <c r="F174" s="364">
        <f t="shared" si="98"/>
        <v>3969.1499999999969</v>
      </c>
      <c r="G174" s="365">
        <v>705</v>
      </c>
      <c r="H174" s="442">
        <v>308.15000000000003</v>
      </c>
      <c r="I174" s="442">
        <v>308.15000000000003</v>
      </c>
      <c r="J174" s="444">
        <f t="shared" si="99"/>
        <v>1</v>
      </c>
      <c r="K174" s="443">
        <v>308.15000000000003</v>
      </c>
      <c r="L174" s="444">
        <f t="shared" si="100"/>
        <v>1</v>
      </c>
      <c r="M174" s="443">
        <v>5.63</v>
      </c>
      <c r="N174" s="444">
        <f t="shared" si="101"/>
        <v>1.827032289469414E-2</v>
      </c>
      <c r="O174" s="445">
        <f t="shared" si="102"/>
        <v>313.78000000000003</v>
      </c>
      <c r="P174" s="444">
        <f t="shared" si="103"/>
        <v>1.0182703228946941</v>
      </c>
      <c r="Q174" s="442">
        <v>1.29</v>
      </c>
      <c r="R174" s="444">
        <f t="shared" si="104"/>
        <v>4.1862729190329379E-3</v>
      </c>
      <c r="S174" s="452">
        <f t="shared" si="105"/>
        <v>909.45</v>
      </c>
      <c r="T174" s="445">
        <f t="shared" si="106"/>
        <v>5.6299999999999955</v>
      </c>
      <c r="U174" s="444">
        <f t="shared" si="107"/>
        <v>1.8270322894694126E-2</v>
      </c>
      <c r="V174" s="457">
        <f t="shared" si="108"/>
        <v>4.3399999999999954</v>
      </c>
      <c r="W174" s="458">
        <f t="shared" si="109"/>
        <v>1.4084049975661187E-2</v>
      </c>
      <c r="X174" s="459">
        <f t="shared" si="110"/>
        <v>3059.6999999999966</v>
      </c>
      <c r="Y174" s="366" t="s">
        <v>174</v>
      </c>
      <c r="Z174" s="366" t="s">
        <v>428</v>
      </c>
      <c r="AA174" s="367" t="s">
        <v>482</v>
      </c>
      <c r="AB174" s="367" t="s">
        <v>525</v>
      </c>
      <c r="AC174" s="367">
        <v>1</v>
      </c>
      <c r="AD174" s="446" t="s">
        <v>340</v>
      </c>
    </row>
    <row r="175" spans="2:39" s="147" customFormat="1" ht="27" customHeight="1">
      <c r="B175" s="935"/>
      <c r="C175" s="936"/>
      <c r="D175" s="361">
        <v>15</v>
      </c>
      <c r="E175" s="440" t="s">
        <v>464</v>
      </c>
      <c r="F175" s="364">
        <f t="shared" si="98"/>
        <v>3931.25</v>
      </c>
      <c r="G175" s="365">
        <v>629</v>
      </c>
      <c r="H175" s="442">
        <v>259.66000000000003</v>
      </c>
      <c r="I175" s="442">
        <v>259.66000000000003</v>
      </c>
      <c r="J175" s="444">
        <f t="shared" si="99"/>
        <v>1</v>
      </c>
      <c r="K175" s="443">
        <v>259.66000000000003</v>
      </c>
      <c r="L175" s="444">
        <f t="shared" si="100"/>
        <v>1</v>
      </c>
      <c r="M175" s="443">
        <v>6.25</v>
      </c>
      <c r="N175" s="444">
        <f t="shared" si="101"/>
        <v>2.4069937610721712E-2</v>
      </c>
      <c r="O175" s="445">
        <f t="shared" si="102"/>
        <v>265.91000000000003</v>
      </c>
      <c r="P175" s="444">
        <f t="shared" si="103"/>
        <v>1.0240699376107216</v>
      </c>
      <c r="Q175" s="442">
        <v>1.61</v>
      </c>
      <c r="R175" s="444">
        <f t="shared" si="104"/>
        <v>6.2004159285219129E-3</v>
      </c>
      <c r="S175" s="452">
        <f t="shared" si="105"/>
        <v>1012.69</v>
      </c>
      <c r="T175" s="445">
        <f t="shared" si="106"/>
        <v>6.25</v>
      </c>
      <c r="U175" s="444">
        <f t="shared" si="107"/>
        <v>2.4069937610721712E-2</v>
      </c>
      <c r="V175" s="457">
        <f t="shared" si="108"/>
        <v>4.6399999999999997</v>
      </c>
      <c r="W175" s="458">
        <f t="shared" si="109"/>
        <v>1.7869521682199796E-2</v>
      </c>
      <c r="X175" s="459">
        <f t="shared" si="110"/>
        <v>2918.56</v>
      </c>
      <c r="Y175" s="366" t="s">
        <v>174</v>
      </c>
      <c r="Z175" s="366" t="s">
        <v>428</v>
      </c>
      <c r="AA175" s="367" t="s">
        <v>482</v>
      </c>
      <c r="AB175" s="367" t="s">
        <v>525</v>
      </c>
      <c r="AC175" s="367">
        <v>1</v>
      </c>
      <c r="AD175" s="446" t="s">
        <v>458</v>
      </c>
    </row>
    <row r="176" spans="2:39" s="147" customFormat="1" ht="27" customHeight="1">
      <c r="B176" s="935"/>
      <c r="C176" s="936"/>
      <c r="D176" s="361">
        <v>16</v>
      </c>
      <c r="E176" s="440" t="s">
        <v>778</v>
      </c>
      <c r="F176" s="364">
        <f t="shared" si="98"/>
        <v>3930.0742000000096</v>
      </c>
      <c r="G176" s="365">
        <v>321.61000000000007</v>
      </c>
      <c r="H176" s="442">
        <v>527.51</v>
      </c>
      <c r="I176" s="442">
        <v>527.51</v>
      </c>
      <c r="J176" s="444">
        <f t="shared" si="99"/>
        <v>1</v>
      </c>
      <c r="K176" s="443">
        <v>527.51</v>
      </c>
      <c r="L176" s="444">
        <f t="shared" si="100"/>
        <v>1</v>
      </c>
      <c r="M176" s="443">
        <v>12.22</v>
      </c>
      <c r="N176" s="444">
        <f t="shared" si="101"/>
        <v>2.3165437622035604E-2</v>
      </c>
      <c r="O176" s="445">
        <f t="shared" si="102"/>
        <v>539.73</v>
      </c>
      <c r="P176" s="444">
        <f t="shared" si="103"/>
        <v>1.0231654376220356</v>
      </c>
      <c r="Q176" s="442">
        <v>2.78</v>
      </c>
      <c r="R176" s="444">
        <f t="shared" si="104"/>
        <v>5.2700422740801119E-3</v>
      </c>
      <c r="S176" s="452">
        <f t="shared" si="105"/>
        <v>894.07580000000019</v>
      </c>
      <c r="T176" s="445">
        <f t="shared" si="106"/>
        <v>12.220000000000027</v>
      </c>
      <c r="U176" s="444">
        <f t="shared" si="107"/>
        <v>2.3165437622035653E-2</v>
      </c>
      <c r="V176" s="457">
        <f t="shared" si="108"/>
        <v>9.4400000000000279</v>
      </c>
      <c r="W176" s="458">
        <f t="shared" si="109"/>
        <v>1.7895395347955541E-2</v>
      </c>
      <c r="X176" s="459">
        <f t="shared" si="110"/>
        <v>3035.9984000000095</v>
      </c>
      <c r="Y176" s="366" t="s">
        <v>174</v>
      </c>
      <c r="Z176" s="366" t="s">
        <v>428</v>
      </c>
      <c r="AA176" s="367" t="s">
        <v>482</v>
      </c>
      <c r="AB176" s="367" t="s">
        <v>525</v>
      </c>
      <c r="AC176" s="367">
        <v>1</v>
      </c>
      <c r="AD176" s="446" t="s">
        <v>750</v>
      </c>
    </row>
    <row r="177" spans="2:39" s="147" customFormat="1" ht="27" customHeight="1">
      <c r="B177" s="935"/>
      <c r="C177" s="936"/>
      <c r="D177" s="361">
        <v>17</v>
      </c>
      <c r="E177" s="440" t="s">
        <v>631</v>
      </c>
      <c r="F177" s="364">
        <f t="shared" si="98"/>
        <v>3928.5939000000089</v>
      </c>
      <c r="G177" s="365">
        <v>43.889999999999993</v>
      </c>
      <c r="H177" s="442">
        <v>3215.9100000000003</v>
      </c>
      <c r="I177" s="442">
        <v>3215.9100000000003</v>
      </c>
      <c r="J177" s="444">
        <f t="shared" si="99"/>
        <v>1</v>
      </c>
      <c r="K177" s="443">
        <v>3215.9100000000003</v>
      </c>
      <c r="L177" s="444">
        <f t="shared" si="100"/>
        <v>1</v>
      </c>
      <c r="M177" s="443">
        <v>89.51</v>
      </c>
      <c r="N177" s="444">
        <f t="shared" si="101"/>
        <v>2.783349036509106E-2</v>
      </c>
      <c r="O177" s="445">
        <f t="shared" si="102"/>
        <v>3305.4200000000005</v>
      </c>
      <c r="P177" s="444">
        <f t="shared" si="103"/>
        <v>1.0278334903650912</v>
      </c>
      <c r="Q177" s="442">
        <v>23.9</v>
      </c>
      <c r="R177" s="444">
        <f t="shared" si="104"/>
        <v>7.4318000192791457E-3</v>
      </c>
      <c r="S177" s="452">
        <f t="shared" si="105"/>
        <v>1048.9709999999998</v>
      </c>
      <c r="T177" s="445">
        <f t="shared" si="106"/>
        <v>89.510000000000218</v>
      </c>
      <c r="U177" s="444">
        <f t="shared" si="107"/>
        <v>2.7833490365091126E-2</v>
      </c>
      <c r="V177" s="457">
        <f t="shared" si="108"/>
        <v>65.610000000000213</v>
      </c>
      <c r="W177" s="458">
        <f t="shared" si="109"/>
        <v>2.040169034581198E-2</v>
      </c>
      <c r="X177" s="459">
        <f t="shared" si="110"/>
        <v>2879.6229000000089</v>
      </c>
      <c r="Y177" s="366" t="s">
        <v>174</v>
      </c>
      <c r="Z177" s="366" t="s">
        <v>216</v>
      </c>
      <c r="AA177" s="367" t="s">
        <v>732</v>
      </c>
      <c r="AB177" s="367" t="s">
        <v>822</v>
      </c>
      <c r="AC177" s="367">
        <v>1</v>
      </c>
      <c r="AD177" s="446" t="s">
        <v>630</v>
      </c>
    </row>
    <row r="178" spans="2:39" s="147" customFormat="1" ht="27" customHeight="1">
      <c r="B178" s="935"/>
      <c r="C178" s="936"/>
      <c r="D178" s="361">
        <v>18</v>
      </c>
      <c r="E178" s="440" t="s">
        <v>652</v>
      </c>
      <c r="F178" s="364">
        <f t="shared" si="98"/>
        <v>3882.7268999999956</v>
      </c>
      <c r="G178" s="365">
        <v>31.59</v>
      </c>
      <c r="H178" s="442">
        <v>4828.92</v>
      </c>
      <c r="I178" s="442">
        <v>4828.92</v>
      </c>
      <c r="J178" s="444">
        <f t="shared" si="99"/>
        <v>1</v>
      </c>
      <c r="K178" s="443">
        <v>4828.92</v>
      </c>
      <c r="L178" s="444">
        <f t="shared" si="100"/>
        <v>1</v>
      </c>
      <c r="M178" s="443">
        <v>122.90999999999998</v>
      </c>
      <c r="N178" s="444">
        <f t="shared" si="101"/>
        <v>2.5452896299793738E-2</v>
      </c>
      <c r="O178" s="445">
        <f t="shared" si="102"/>
        <v>4951.83</v>
      </c>
      <c r="P178" s="444">
        <f t="shared" si="103"/>
        <v>1.0254528962997937</v>
      </c>
      <c r="Q178" s="442">
        <v>33.209999999999994</v>
      </c>
      <c r="R178" s="444">
        <f t="shared" si="104"/>
        <v>6.8773141820531285E-3</v>
      </c>
      <c r="S178" s="452">
        <f t="shared" si="105"/>
        <v>1049.1038999999998</v>
      </c>
      <c r="T178" s="445">
        <f t="shared" si="106"/>
        <v>122.90999999999985</v>
      </c>
      <c r="U178" s="444">
        <f t="shared" si="107"/>
        <v>2.5452896299793713E-2</v>
      </c>
      <c r="V178" s="457">
        <f t="shared" si="108"/>
        <v>89.699999999999861</v>
      </c>
      <c r="W178" s="458">
        <f t="shared" si="109"/>
        <v>1.8575582117740585E-2</v>
      </c>
      <c r="X178" s="459">
        <f t="shared" si="110"/>
        <v>2833.6229999999955</v>
      </c>
      <c r="Y178" s="366" t="s">
        <v>174</v>
      </c>
      <c r="Z178" s="366" t="s">
        <v>216</v>
      </c>
      <c r="AA178" s="367" t="s">
        <v>482</v>
      </c>
      <c r="AB178" s="367" t="s">
        <v>821</v>
      </c>
      <c r="AC178" s="367">
        <v>1</v>
      </c>
      <c r="AD178" s="446" t="s">
        <v>650</v>
      </c>
    </row>
    <row r="179" spans="2:39" s="147" customFormat="1" ht="27" customHeight="1">
      <c r="B179" s="935"/>
      <c r="C179" s="936"/>
      <c r="D179" s="361">
        <v>19</v>
      </c>
      <c r="E179" s="440" t="s">
        <v>809</v>
      </c>
      <c r="F179" s="364">
        <f t="shared" si="98"/>
        <v>3851.5669999999946</v>
      </c>
      <c r="G179" s="365">
        <v>70.220000000000013</v>
      </c>
      <c r="H179" s="442">
        <v>2065.6999999999998</v>
      </c>
      <c r="I179" s="442">
        <v>2065.6999999999998</v>
      </c>
      <c r="J179" s="444">
        <f t="shared" si="99"/>
        <v>1</v>
      </c>
      <c r="K179" s="443">
        <v>2065.6999999999998</v>
      </c>
      <c r="L179" s="444">
        <f t="shared" si="100"/>
        <v>1</v>
      </c>
      <c r="M179" s="443">
        <v>54.850000000000009</v>
      </c>
      <c r="N179" s="444">
        <f t="shared" si="101"/>
        <v>2.6552742411773255E-2</v>
      </c>
      <c r="O179" s="445">
        <f t="shared" si="102"/>
        <v>2120.5499999999997</v>
      </c>
      <c r="P179" s="444">
        <f t="shared" si="103"/>
        <v>1.0265527424117733</v>
      </c>
      <c r="Q179" s="442">
        <v>14.94</v>
      </c>
      <c r="R179" s="444">
        <f t="shared" si="104"/>
        <v>7.2324151619305808E-3</v>
      </c>
      <c r="S179" s="452">
        <f t="shared" si="105"/>
        <v>1049.0868000000003</v>
      </c>
      <c r="T179" s="445">
        <f t="shared" si="106"/>
        <v>54.849999999999909</v>
      </c>
      <c r="U179" s="444">
        <f t="shared" si="107"/>
        <v>2.6552742411773207E-2</v>
      </c>
      <c r="V179" s="457">
        <f t="shared" si="108"/>
        <v>39.909999999999911</v>
      </c>
      <c r="W179" s="458">
        <f t="shared" si="109"/>
        <v>1.9320327249842627E-2</v>
      </c>
      <c r="X179" s="459">
        <f t="shared" si="110"/>
        <v>2802.4801999999945</v>
      </c>
      <c r="Y179" s="366" t="s">
        <v>174</v>
      </c>
      <c r="Z179" s="366" t="s">
        <v>428</v>
      </c>
      <c r="AA179" s="367" t="s">
        <v>482</v>
      </c>
      <c r="AB179" s="367" t="s">
        <v>821</v>
      </c>
      <c r="AC179" s="367">
        <v>1</v>
      </c>
      <c r="AD179" s="446" t="s">
        <v>343</v>
      </c>
    </row>
    <row r="180" spans="2:39" s="147" customFormat="1" ht="27" customHeight="1">
      <c r="B180" s="937"/>
      <c r="C180" s="938"/>
      <c r="D180" s="361">
        <v>20</v>
      </c>
      <c r="E180" s="440" t="s">
        <v>713</v>
      </c>
      <c r="F180" s="364">
        <f t="shared" si="98"/>
        <v>3823.1424000000156</v>
      </c>
      <c r="G180" s="365">
        <v>426.69</v>
      </c>
      <c r="H180" s="442">
        <v>911.46</v>
      </c>
      <c r="I180" s="442">
        <v>911.46</v>
      </c>
      <c r="J180" s="444">
        <f t="shared" si="99"/>
        <v>1</v>
      </c>
      <c r="K180" s="443">
        <v>911.46</v>
      </c>
      <c r="L180" s="444">
        <f t="shared" si="100"/>
        <v>1</v>
      </c>
      <c r="M180" s="443">
        <v>8.9600000000000009</v>
      </c>
      <c r="N180" s="444">
        <f t="shared" si="101"/>
        <v>9.8303820244442994E-3</v>
      </c>
      <c r="O180" s="445">
        <f t="shared" si="102"/>
        <v>920.42000000000007</v>
      </c>
      <c r="P180" s="444">
        <f t="shared" si="103"/>
        <v>1.0098303820244443</v>
      </c>
      <c r="Q180" s="442">
        <v>2.02</v>
      </c>
      <c r="R180" s="444">
        <f t="shared" si="104"/>
        <v>2.216224518903737E-3</v>
      </c>
      <c r="S180" s="452">
        <f t="shared" si="105"/>
        <v>861.91380000000004</v>
      </c>
      <c r="T180" s="445">
        <f t="shared" si="106"/>
        <v>8.9600000000000364</v>
      </c>
      <c r="U180" s="444">
        <f t="shared" si="107"/>
        <v>9.8303820244443375E-3</v>
      </c>
      <c r="V180" s="457">
        <f t="shared" si="108"/>
        <v>6.9400000000000368</v>
      </c>
      <c r="W180" s="458">
        <f t="shared" si="109"/>
        <v>7.6141575055406014E-3</v>
      </c>
      <c r="X180" s="459">
        <f t="shared" si="110"/>
        <v>2961.2286000000158</v>
      </c>
      <c r="Y180" s="366" t="s">
        <v>174</v>
      </c>
      <c r="Z180" s="366" t="s">
        <v>428</v>
      </c>
      <c r="AA180" s="367" t="s">
        <v>482</v>
      </c>
      <c r="AB180" s="367" t="s">
        <v>525</v>
      </c>
      <c r="AC180" s="367">
        <v>1</v>
      </c>
      <c r="AD180" s="446" t="s">
        <v>358</v>
      </c>
    </row>
    <row r="181" spans="2:39" ht="17.100000000000001" customHeight="1">
      <c r="B181" s="949" t="s">
        <v>442</v>
      </c>
      <c r="C181" s="950"/>
      <c r="D181" s="953" t="s">
        <v>549</v>
      </c>
      <c r="E181" s="954" t="s">
        <v>550</v>
      </c>
      <c r="F181" s="995" t="s">
        <v>567</v>
      </c>
      <c r="G181" s="922" t="s">
        <v>552</v>
      </c>
      <c r="H181" s="956" t="s">
        <v>553</v>
      </c>
      <c r="I181" s="939" t="s">
        <v>554</v>
      </c>
      <c r="J181" s="940"/>
      <c r="K181" s="939" t="s">
        <v>555</v>
      </c>
      <c r="L181" s="940"/>
      <c r="M181" s="939" t="s">
        <v>556</v>
      </c>
      <c r="N181" s="940"/>
      <c r="O181" s="939" t="s">
        <v>557</v>
      </c>
      <c r="P181" s="940"/>
      <c r="Q181" s="939" t="s">
        <v>418</v>
      </c>
      <c r="R181" s="994"/>
      <c r="S181" s="940"/>
      <c r="T181" s="941" t="s">
        <v>719</v>
      </c>
      <c r="U181" s="942"/>
      <c r="V181" s="944" t="s">
        <v>718</v>
      </c>
      <c r="W181" s="945"/>
      <c r="X181" s="946"/>
      <c r="Y181" s="947" t="s">
        <v>171</v>
      </c>
      <c r="Z181" s="947" t="s">
        <v>245</v>
      </c>
      <c r="AA181" s="947" t="s">
        <v>558</v>
      </c>
      <c r="AB181" s="947" t="s">
        <v>444</v>
      </c>
      <c r="AC181" s="947" t="s">
        <v>246</v>
      </c>
      <c r="AD181" s="922" t="s">
        <v>172</v>
      </c>
      <c r="AF181" s="924" t="s">
        <v>247</v>
      </c>
      <c r="AG181" s="925"/>
      <c r="AH181" s="925"/>
      <c r="AI181" s="925"/>
      <c r="AJ181" s="925"/>
      <c r="AK181" s="925"/>
      <c r="AL181" s="925"/>
      <c r="AM181" s="926"/>
    </row>
    <row r="182" spans="2:39" ht="16.5" customHeight="1">
      <c r="B182" s="951"/>
      <c r="C182" s="952"/>
      <c r="D182" s="953"/>
      <c r="E182" s="953"/>
      <c r="F182" s="955"/>
      <c r="G182" s="923"/>
      <c r="H182" s="923"/>
      <c r="I182" s="439" t="s">
        <v>559</v>
      </c>
      <c r="J182" s="362" t="s">
        <v>560</v>
      </c>
      <c r="K182" s="439" t="s">
        <v>559</v>
      </c>
      <c r="L182" s="362" t="s">
        <v>560</v>
      </c>
      <c r="M182" s="439" t="s">
        <v>559</v>
      </c>
      <c r="N182" s="362" t="s">
        <v>560</v>
      </c>
      <c r="O182" s="439" t="s">
        <v>559</v>
      </c>
      <c r="P182" s="362" t="s">
        <v>560</v>
      </c>
      <c r="Q182" s="439" t="s">
        <v>559</v>
      </c>
      <c r="R182" s="362" t="s">
        <v>560</v>
      </c>
      <c r="S182" s="362" t="s">
        <v>561</v>
      </c>
      <c r="T182" s="439" t="s">
        <v>559</v>
      </c>
      <c r="U182" s="362" t="s">
        <v>560</v>
      </c>
      <c r="V182" s="439" t="s">
        <v>559</v>
      </c>
      <c r="W182" s="362" t="s">
        <v>560</v>
      </c>
      <c r="X182" s="362" t="s">
        <v>561</v>
      </c>
      <c r="Y182" s="948"/>
      <c r="Z182" s="948"/>
      <c r="AA182" s="948"/>
      <c r="AB182" s="948"/>
      <c r="AC182" s="948"/>
      <c r="AD182" s="923"/>
      <c r="AF182" s="927"/>
      <c r="AG182" s="928"/>
      <c r="AH182" s="928"/>
      <c r="AI182" s="928"/>
      <c r="AJ182" s="928"/>
      <c r="AK182" s="928"/>
      <c r="AL182" s="928"/>
      <c r="AM182" s="929"/>
    </row>
    <row r="183" spans="2:39" s="147" customFormat="1" ht="27" customHeight="1">
      <c r="B183" s="993" t="s">
        <v>803</v>
      </c>
      <c r="C183" s="934"/>
      <c r="D183" s="361">
        <v>1</v>
      </c>
      <c r="E183" s="440" t="s">
        <v>336</v>
      </c>
      <c r="F183" s="364">
        <f>IFERROR(T183*G183,"-")</f>
        <v>10550.090799999994</v>
      </c>
      <c r="G183" s="365">
        <v>147.43000000000004</v>
      </c>
      <c r="H183" s="442">
        <v>4055.03</v>
      </c>
      <c r="I183" s="442">
        <v>4055.03</v>
      </c>
      <c r="J183" s="444">
        <f>IFERROR(I183/H183,"-")</f>
        <v>1</v>
      </c>
      <c r="K183" s="443">
        <v>4055.03</v>
      </c>
      <c r="L183" s="444">
        <f>IFERROR(K183/H183,"-")</f>
        <v>1</v>
      </c>
      <c r="M183" s="443">
        <v>71.559999999999988</v>
      </c>
      <c r="N183" s="444">
        <f>IFERROR(M183/H183,"-")</f>
        <v>1.7647218392958866E-2</v>
      </c>
      <c r="O183" s="445">
        <f>IFERROR(K183+M183,"-")</f>
        <v>4126.59</v>
      </c>
      <c r="P183" s="444">
        <f>IFERROR(O183/H183,"-")</f>
        <v>1.0176472183929588</v>
      </c>
      <c r="Q183" s="442">
        <v>9.66</v>
      </c>
      <c r="R183" s="444">
        <f>IFERROR(Q183/H183,"-")</f>
        <v>2.3822265186694055E-3</v>
      </c>
      <c r="S183" s="452">
        <f>IFERROR(Q183*G183,"-")</f>
        <v>1424.1738000000003</v>
      </c>
      <c r="T183" s="445">
        <f>IFERROR(O183-H183,"-")</f>
        <v>71.559999999999945</v>
      </c>
      <c r="U183" s="444">
        <f>IFERROR(T183/H183,"-")</f>
        <v>1.7647218392958856E-2</v>
      </c>
      <c r="V183" s="457">
        <f>T183-Q183</f>
        <v>61.899999999999949</v>
      </c>
      <c r="W183" s="458">
        <f>IFERROR(V183/H183,"-")</f>
        <v>1.526499187428945E-2</v>
      </c>
      <c r="X183" s="459">
        <f>IFERROR(V183*G183,"-")</f>
        <v>9125.916999999994</v>
      </c>
      <c r="Y183" s="366" t="s">
        <v>174</v>
      </c>
      <c r="Z183" s="366" t="s">
        <v>215</v>
      </c>
      <c r="AA183" s="367" t="s">
        <v>478</v>
      </c>
      <c r="AB183" s="367" t="s">
        <v>524</v>
      </c>
      <c r="AC183" s="367">
        <v>1</v>
      </c>
      <c r="AD183" s="446" t="s">
        <v>340</v>
      </c>
      <c r="AF183" s="930"/>
      <c r="AG183" s="931"/>
      <c r="AH183" s="931"/>
      <c r="AI183" s="931"/>
      <c r="AJ183" s="931"/>
      <c r="AK183" s="931"/>
      <c r="AL183" s="931"/>
      <c r="AM183" s="932"/>
    </row>
    <row r="184" spans="2:39" s="147" customFormat="1" ht="27" customHeight="1">
      <c r="B184" s="935"/>
      <c r="C184" s="936"/>
      <c r="D184" s="361">
        <v>2</v>
      </c>
      <c r="E184" s="440" t="s">
        <v>692</v>
      </c>
      <c r="F184" s="364">
        <f t="shared" ref="F184:F202" si="114">IFERROR(T184*G184,"-")</f>
        <v>7048.0843999999934</v>
      </c>
      <c r="G184" s="365">
        <v>625.93999999999994</v>
      </c>
      <c r="H184" s="442">
        <v>1322.0500000000002</v>
      </c>
      <c r="I184" s="442">
        <v>1322.0500000000002</v>
      </c>
      <c r="J184" s="444">
        <f t="shared" ref="J184:J202" si="115">IFERROR(I184/H184,"-")</f>
        <v>1</v>
      </c>
      <c r="K184" s="443">
        <v>1322.0500000000002</v>
      </c>
      <c r="L184" s="444">
        <f t="shared" ref="L184:L202" si="116">IFERROR(K184/H184,"-")</f>
        <v>1</v>
      </c>
      <c r="M184" s="443">
        <v>11.259999999999998</v>
      </c>
      <c r="N184" s="444">
        <f t="shared" ref="N184:N202" si="117">IFERROR(M184/H184,"-")</f>
        <v>8.5170757535645378E-3</v>
      </c>
      <c r="O184" s="445">
        <f t="shared" ref="O184:O202" si="118">IFERROR(K184+M184,"-")</f>
        <v>1333.3100000000002</v>
      </c>
      <c r="P184" s="444">
        <f t="shared" ref="P184:P202" si="119">IFERROR(O184/H184,"-")</f>
        <v>1.0085170757535646</v>
      </c>
      <c r="Q184" s="442">
        <v>1.5999999999999999</v>
      </c>
      <c r="R184" s="444">
        <f t="shared" ref="R184:R202" si="120">IFERROR(Q184/H184,"-")</f>
        <v>1.2102416701335046E-3</v>
      </c>
      <c r="S184" s="452">
        <f t="shared" ref="S184:S202" si="121">IFERROR(Q184*G184,"-")</f>
        <v>1001.5039999999998</v>
      </c>
      <c r="T184" s="445">
        <f t="shared" ref="T184:T202" si="122">IFERROR(O184-H184,"-")</f>
        <v>11.259999999999991</v>
      </c>
      <c r="U184" s="444">
        <f t="shared" ref="U184:U202" si="123">IFERROR(T184/H184,"-")</f>
        <v>8.5170757535645326E-3</v>
      </c>
      <c r="V184" s="457">
        <f t="shared" ref="V184:V202" si="124">T184-Q184</f>
        <v>9.6599999999999913</v>
      </c>
      <c r="W184" s="458">
        <f t="shared" ref="W184:W202" si="125">IFERROR(V184/H184,"-")</f>
        <v>7.3068340834310276E-3</v>
      </c>
      <c r="X184" s="459">
        <f t="shared" ref="X184:X202" si="126">IFERROR(V184*G184,"-")</f>
        <v>6046.5803999999944</v>
      </c>
      <c r="Y184" s="366" t="s">
        <v>174</v>
      </c>
      <c r="Z184" s="366" t="s">
        <v>216</v>
      </c>
      <c r="AA184" s="367" t="s">
        <v>861</v>
      </c>
      <c r="AB184" s="367" t="s">
        <v>862</v>
      </c>
      <c r="AC184" s="367">
        <v>1</v>
      </c>
      <c r="AD184" s="446" t="s">
        <v>697</v>
      </c>
      <c r="AF184" s="160" t="s">
        <v>244</v>
      </c>
      <c r="AG184" s="160" t="s">
        <v>445</v>
      </c>
      <c r="AH184" s="155" t="s">
        <v>562</v>
      </c>
      <c r="AI184" s="155" t="s">
        <v>337</v>
      </c>
      <c r="AJ184" s="155" t="s">
        <v>428</v>
      </c>
      <c r="AK184" s="155" t="s">
        <v>215</v>
      </c>
      <c r="AL184" s="155" t="s">
        <v>216</v>
      </c>
      <c r="AM184" s="155" t="s">
        <v>384</v>
      </c>
    </row>
    <row r="185" spans="2:39" s="147" customFormat="1" ht="27" customHeight="1">
      <c r="B185" s="935"/>
      <c r="C185" s="936"/>
      <c r="D185" s="361">
        <v>3</v>
      </c>
      <c r="E185" s="440" t="s">
        <v>386</v>
      </c>
      <c r="F185" s="364">
        <f t="shared" si="114"/>
        <v>5883.1967999999988</v>
      </c>
      <c r="G185" s="365">
        <v>127.84000000000002</v>
      </c>
      <c r="H185" s="442">
        <v>3773.9700000000003</v>
      </c>
      <c r="I185" s="442">
        <v>3773.9700000000003</v>
      </c>
      <c r="J185" s="444">
        <f t="shared" si="115"/>
        <v>1</v>
      </c>
      <c r="K185" s="443">
        <v>3773.9700000000003</v>
      </c>
      <c r="L185" s="444">
        <f t="shared" si="116"/>
        <v>1</v>
      </c>
      <c r="M185" s="443">
        <v>46.02</v>
      </c>
      <c r="N185" s="444">
        <f t="shared" si="117"/>
        <v>1.2194055596626365E-2</v>
      </c>
      <c r="O185" s="445">
        <f t="shared" si="118"/>
        <v>3819.9900000000002</v>
      </c>
      <c r="P185" s="444">
        <f t="shared" si="119"/>
        <v>1.0121940555966265</v>
      </c>
      <c r="Q185" s="442">
        <v>9.06</v>
      </c>
      <c r="R185" s="444">
        <f t="shared" si="120"/>
        <v>2.4006550131559076E-3</v>
      </c>
      <c r="S185" s="452">
        <f t="shared" si="121"/>
        <v>1158.2304000000001</v>
      </c>
      <c r="T185" s="445">
        <f t="shared" si="122"/>
        <v>46.019999999999982</v>
      </c>
      <c r="U185" s="444">
        <f t="shared" si="123"/>
        <v>1.2194055596626358E-2</v>
      </c>
      <c r="V185" s="457">
        <f t="shared" si="124"/>
        <v>36.95999999999998</v>
      </c>
      <c r="W185" s="458">
        <f t="shared" si="125"/>
        <v>9.7934005834704515E-3</v>
      </c>
      <c r="X185" s="459">
        <f t="shared" si="126"/>
        <v>4724.9663999999984</v>
      </c>
      <c r="Y185" s="366" t="s">
        <v>174</v>
      </c>
      <c r="Z185" s="366" t="s">
        <v>428</v>
      </c>
      <c r="AA185" s="367" t="s">
        <v>734</v>
      </c>
      <c r="AB185" s="367" t="s">
        <v>818</v>
      </c>
      <c r="AC185" s="367">
        <v>1</v>
      </c>
      <c r="AD185" s="446" t="s">
        <v>340</v>
      </c>
      <c r="AF185" s="374">
        <f>SUM(AC183:AC202)</f>
        <v>20</v>
      </c>
      <c r="AG185" s="369">
        <f>SUMIF($Z$183:$Z$202,TRIM(AG184),$AC$183:$AC$202)</f>
        <v>0</v>
      </c>
      <c r="AH185" s="369">
        <f t="shared" ref="AH185:AM185" si="127">SUMIF($Z$183:$Z$202,TRIM(AH184),$AC$183:$AC$202)</f>
        <v>0</v>
      </c>
      <c r="AI185" s="369">
        <f t="shared" si="127"/>
        <v>0</v>
      </c>
      <c r="AJ185" s="369">
        <f t="shared" si="127"/>
        <v>13</v>
      </c>
      <c r="AK185" s="369">
        <f t="shared" si="127"/>
        <v>1</v>
      </c>
      <c r="AL185" s="369">
        <f t="shared" si="127"/>
        <v>6</v>
      </c>
      <c r="AM185" s="369">
        <f t="shared" si="127"/>
        <v>0</v>
      </c>
    </row>
    <row r="186" spans="2:39" s="147" customFormat="1" ht="27" customHeight="1">
      <c r="B186" s="935"/>
      <c r="C186" s="936"/>
      <c r="D186" s="361">
        <v>4</v>
      </c>
      <c r="E186" s="440" t="s">
        <v>544</v>
      </c>
      <c r="F186" s="364">
        <f t="shared" si="114"/>
        <v>5699.8590000000113</v>
      </c>
      <c r="G186" s="365">
        <v>62.43</v>
      </c>
      <c r="H186" s="442">
        <v>5022.08</v>
      </c>
      <c r="I186" s="442">
        <v>5022.08</v>
      </c>
      <c r="J186" s="444">
        <f t="shared" si="115"/>
        <v>1</v>
      </c>
      <c r="K186" s="443">
        <v>5022.08</v>
      </c>
      <c r="L186" s="444">
        <f t="shared" si="116"/>
        <v>1</v>
      </c>
      <c r="M186" s="443">
        <v>91.300000000000011</v>
      </c>
      <c r="N186" s="444">
        <f t="shared" si="117"/>
        <v>1.8179718363705879E-2</v>
      </c>
      <c r="O186" s="445">
        <f t="shared" si="118"/>
        <v>5113.38</v>
      </c>
      <c r="P186" s="444">
        <f t="shared" si="119"/>
        <v>1.018179718363706</v>
      </c>
      <c r="Q186" s="442">
        <v>19.88</v>
      </c>
      <c r="R186" s="444">
        <f t="shared" si="120"/>
        <v>3.9585191793041928E-3</v>
      </c>
      <c r="S186" s="452">
        <f t="shared" si="121"/>
        <v>1241.1083999999998</v>
      </c>
      <c r="T186" s="445">
        <f t="shared" si="122"/>
        <v>91.300000000000182</v>
      </c>
      <c r="U186" s="444">
        <f t="shared" si="123"/>
        <v>1.817971836370591E-2</v>
      </c>
      <c r="V186" s="457">
        <f t="shared" si="124"/>
        <v>71.420000000000186</v>
      </c>
      <c r="W186" s="458">
        <f t="shared" si="125"/>
        <v>1.422119918440172E-2</v>
      </c>
      <c r="X186" s="459">
        <f t="shared" si="126"/>
        <v>4458.7506000000112</v>
      </c>
      <c r="Y186" s="366" t="s">
        <v>174</v>
      </c>
      <c r="Z186" s="366" t="s">
        <v>216</v>
      </c>
      <c r="AA186" s="367" t="s">
        <v>732</v>
      </c>
      <c r="AB186" s="367" t="s">
        <v>863</v>
      </c>
      <c r="AC186" s="367">
        <v>1</v>
      </c>
      <c r="AD186" s="446" t="s">
        <v>850</v>
      </c>
      <c r="AF186" s="375" t="s">
        <v>11</v>
      </c>
      <c r="AG186" s="372">
        <f>SUMIF($Z$183:$Z$202,TRIM(AG184),$F$183:$F$202)</f>
        <v>0</v>
      </c>
      <c r="AH186" s="372">
        <f t="shared" ref="AH186:AM186" si="128">SUMIF($Z$183:$Z$202,TRIM(AH184),$F$183:$F$202)</f>
        <v>0</v>
      </c>
      <c r="AI186" s="372">
        <f t="shared" si="128"/>
        <v>0</v>
      </c>
      <c r="AJ186" s="372">
        <f t="shared" si="128"/>
        <v>49717.053419999895</v>
      </c>
      <c r="AK186" s="372">
        <f t="shared" si="128"/>
        <v>10550.090799999994</v>
      </c>
      <c r="AL186" s="372">
        <f t="shared" si="128"/>
        <v>31356.912399999936</v>
      </c>
      <c r="AM186" s="372">
        <f t="shared" si="128"/>
        <v>0</v>
      </c>
    </row>
    <row r="187" spans="2:39" s="147" customFormat="1" ht="27" customHeight="1">
      <c r="B187" s="935"/>
      <c r="C187" s="936"/>
      <c r="D187" s="361">
        <v>5</v>
      </c>
      <c r="E187" s="440" t="s">
        <v>534</v>
      </c>
      <c r="F187" s="364">
        <f t="shared" si="114"/>
        <v>5440.5467999999591</v>
      </c>
      <c r="G187" s="365">
        <v>39.389999999999993</v>
      </c>
      <c r="H187" s="442">
        <v>23965.500000000004</v>
      </c>
      <c r="I187" s="442">
        <v>23965.500000000004</v>
      </c>
      <c r="J187" s="444">
        <f t="shared" si="115"/>
        <v>1</v>
      </c>
      <c r="K187" s="443">
        <v>23965.500000000004</v>
      </c>
      <c r="L187" s="444">
        <f t="shared" si="116"/>
        <v>1</v>
      </c>
      <c r="M187" s="443">
        <v>138.12</v>
      </c>
      <c r="N187" s="444">
        <f t="shared" si="117"/>
        <v>5.7632847217875685E-3</v>
      </c>
      <c r="O187" s="445">
        <f t="shared" si="118"/>
        <v>24103.620000000003</v>
      </c>
      <c r="P187" s="444">
        <f t="shared" si="119"/>
        <v>1.0057632847217874</v>
      </c>
      <c r="Q187" s="442">
        <v>27.09</v>
      </c>
      <c r="R187" s="444">
        <f t="shared" si="120"/>
        <v>1.1303749139387868E-3</v>
      </c>
      <c r="S187" s="452">
        <f t="shared" si="121"/>
        <v>1067.0750999999998</v>
      </c>
      <c r="T187" s="445">
        <f t="shared" si="122"/>
        <v>138.11999999999898</v>
      </c>
      <c r="U187" s="444">
        <f t="shared" si="123"/>
        <v>5.763284721787526E-3</v>
      </c>
      <c r="V187" s="457">
        <f t="shared" si="124"/>
        <v>111.02999999999898</v>
      </c>
      <c r="W187" s="458">
        <f t="shared" si="125"/>
        <v>4.6329098078487395E-3</v>
      </c>
      <c r="X187" s="459">
        <f t="shared" si="126"/>
        <v>4373.4716999999591</v>
      </c>
      <c r="Y187" s="366" t="s">
        <v>174</v>
      </c>
      <c r="Z187" s="366" t="s">
        <v>216</v>
      </c>
      <c r="AA187" s="367" t="s">
        <v>732</v>
      </c>
      <c r="AB187" s="367" t="s">
        <v>822</v>
      </c>
      <c r="AC187" s="367">
        <v>1</v>
      </c>
      <c r="AD187" s="446" t="s">
        <v>340</v>
      </c>
      <c r="AF187" s="361" t="s">
        <v>563</v>
      </c>
      <c r="AG187" s="373">
        <f t="shared" ref="AG187:AM187" si="129">AG185/$AF185</f>
        <v>0</v>
      </c>
      <c r="AH187" s="373">
        <f t="shared" si="129"/>
        <v>0</v>
      </c>
      <c r="AI187" s="373">
        <f t="shared" si="129"/>
        <v>0</v>
      </c>
      <c r="AJ187" s="373">
        <f t="shared" si="129"/>
        <v>0.65</v>
      </c>
      <c r="AK187" s="373">
        <f t="shared" si="129"/>
        <v>0.05</v>
      </c>
      <c r="AL187" s="373">
        <f t="shared" si="129"/>
        <v>0.3</v>
      </c>
      <c r="AM187" s="373">
        <f t="shared" si="129"/>
        <v>0</v>
      </c>
    </row>
    <row r="188" spans="2:39" s="147" customFormat="1" ht="27" customHeight="1">
      <c r="B188" s="935"/>
      <c r="C188" s="936"/>
      <c r="D188" s="361">
        <v>6</v>
      </c>
      <c r="E188" s="440" t="s">
        <v>461</v>
      </c>
      <c r="F188" s="364">
        <f t="shared" si="114"/>
        <v>5145.678799999956</v>
      </c>
      <c r="G188" s="365">
        <v>407.74000000000007</v>
      </c>
      <c r="H188" s="442">
        <v>1104.33</v>
      </c>
      <c r="I188" s="442">
        <v>1104.33</v>
      </c>
      <c r="J188" s="444">
        <f t="shared" si="115"/>
        <v>1</v>
      </c>
      <c r="K188" s="443">
        <v>1104.33</v>
      </c>
      <c r="L188" s="444">
        <f t="shared" si="116"/>
        <v>1</v>
      </c>
      <c r="M188" s="443">
        <v>12.620000000000001</v>
      </c>
      <c r="N188" s="444">
        <f t="shared" si="117"/>
        <v>1.1427743518694595E-2</v>
      </c>
      <c r="O188" s="445">
        <f t="shared" si="118"/>
        <v>1116.9499999999998</v>
      </c>
      <c r="P188" s="444">
        <f t="shared" si="119"/>
        <v>1.0114277435186945</v>
      </c>
      <c r="Q188" s="442">
        <v>2.7699999999999996</v>
      </c>
      <c r="R188" s="444">
        <f t="shared" si="120"/>
        <v>2.5083082049749618E-3</v>
      </c>
      <c r="S188" s="452">
        <f t="shared" si="121"/>
        <v>1129.4398000000001</v>
      </c>
      <c r="T188" s="445">
        <f t="shared" si="122"/>
        <v>12.619999999999891</v>
      </c>
      <c r="U188" s="444">
        <f t="shared" si="123"/>
        <v>1.1427743518694494E-2</v>
      </c>
      <c r="V188" s="457">
        <f t="shared" si="124"/>
        <v>9.8499999999998913</v>
      </c>
      <c r="W188" s="458">
        <f t="shared" si="125"/>
        <v>8.9194353137195329E-3</v>
      </c>
      <c r="X188" s="459">
        <f t="shared" si="126"/>
        <v>4016.2389999999564</v>
      </c>
      <c r="Y188" s="366" t="s">
        <v>174</v>
      </c>
      <c r="Z188" s="366" t="s">
        <v>216</v>
      </c>
      <c r="AA188" s="367" t="s">
        <v>480</v>
      </c>
      <c r="AB188" s="367" t="s">
        <v>820</v>
      </c>
      <c r="AC188" s="367">
        <v>1</v>
      </c>
      <c r="AD188" s="446" t="s">
        <v>463</v>
      </c>
    </row>
    <row r="189" spans="2:39" s="147" customFormat="1" ht="27" customHeight="1">
      <c r="B189" s="935"/>
      <c r="C189" s="936"/>
      <c r="D189" s="361">
        <v>7</v>
      </c>
      <c r="E189" s="440" t="s">
        <v>771</v>
      </c>
      <c r="F189" s="364">
        <f t="shared" si="114"/>
        <v>4723.258800000006</v>
      </c>
      <c r="G189" s="365">
        <v>52.26</v>
      </c>
      <c r="H189" s="442">
        <v>4794.2999999999993</v>
      </c>
      <c r="I189" s="442">
        <v>4794.2999999999993</v>
      </c>
      <c r="J189" s="444">
        <f t="shared" si="115"/>
        <v>1</v>
      </c>
      <c r="K189" s="443">
        <v>4794.2999999999993</v>
      </c>
      <c r="L189" s="444">
        <f t="shared" si="116"/>
        <v>1</v>
      </c>
      <c r="M189" s="443">
        <v>90.38</v>
      </c>
      <c r="N189" s="444">
        <f t="shared" si="117"/>
        <v>1.8851552885718461E-2</v>
      </c>
      <c r="O189" s="445">
        <f t="shared" si="118"/>
        <v>4884.6799999999994</v>
      </c>
      <c r="P189" s="444">
        <f t="shared" si="119"/>
        <v>1.0188515528857185</v>
      </c>
      <c r="Q189" s="442">
        <v>24.97</v>
      </c>
      <c r="R189" s="444">
        <f t="shared" si="120"/>
        <v>5.2082681517635534E-3</v>
      </c>
      <c r="S189" s="452">
        <f t="shared" si="121"/>
        <v>1304.9322</v>
      </c>
      <c r="T189" s="445">
        <f t="shared" si="122"/>
        <v>90.380000000000109</v>
      </c>
      <c r="U189" s="444">
        <f t="shared" si="123"/>
        <v>1.8851552885718482E-2</v>
      </c>
      <c r="V189" s="457">
        <f t="shared" si="124"/>
        <v>65.41000000000011</v>
      </c>
      <c r="W189" s="458">
        <f t="shared" si="125"/>
        <v>1.364328473395493E-2</v>
      </c>
      <c r="X189" s="459">
        <f t="shared" si="126"/>
        <v>3418.3266000000058</v>
      </c>
      <c r="Y189" s="366" t="s">
        <v>174</v>
      </c>
      <c r="Z189" s="366" t="s">
        <v>216</v>
      </c>
      <c r="AA189" s="367" t="s">
        <v>732</v>
      </c>
      <c r="AB189" s="367" t="s">
        <v>863</v>
      </c>
      <c r="AC189" s="367">
        <v>1</v>
      </c>
      <c r="AD189" s="446" t="s">
        <v>752</v>
      </c>
    </row>
    <row r="190" spans="2:39" s="147" customFormat="1" ht="27" customHeight="1">
      <c r="B190" s="935"/>
      <c r="C190" s="936"/>
      <c r="D190" s="361">
        <v>8</v>
      </c>
      <c r="E190" s="440" t="s">
        <v>632</v>
      </c>
      <c r="F190" s="364">
        <f t="shared" si="114"/>
        <v>4303.0259999999644</v>
      </c>
      <c r="G190" s="365">
        <v>193.82999999999998</v>
      </c>
      <c r="H190" s="442">
        <v>2208.8200000000002</v>
      </c>
      <c r="I190" s="442">
        <v>2208.8200000000002</v>
      </c>
      <c r="J190" s="444">
        <f t="shared" si="115"/>
        <v>1</v>
      </c>
      <c r="K190" s="443">
        <v>2208.8200000000002</v>
      </c>
      <c r="L190" s="444">
        <f t="shared" si="116"/>
        <v>1</v>
      </c>
      <c r="M190" s="443">
        <v>22.2</v>
      </c>
      <c r="N190" s="444">
        <f t="shared" si="117"/>
        <v>1.00506152606369E-2</v>
      </c>
      <c r="O190" s="445">
        <f t="shared" si="118"/>
        <v>2231.02</v>
      </c>
      <c r="P190" s="444">
        <f t="shared" si="119"/>
        <v>1.0100506152606368</v>
      </c>
      <c r="Q190" s="442">
        <v>2.08</v>
      </c>
      <c r="R190" s="444">
        <f t="shared" si="120"/>
        <v>9.4167926766327724E-4</v>
      </c>
      <c r="S190" s="452">
        <f t="shared" si="121"/>
        <v>403.16639999999995</v>
      </c>
      <c r="T190" s="445">
        <f t="shared" si="122"/>
        <v>22.199999999999818</v>
      </c>
      <c r="U190" s="444">
        <f t="shared" si="123"/>
        <v>1.0050615260636818E-2</v>
      </c>
      <c r="V190" s="457">
        <f t="shared" si="124"/>
        <v>20.11999999999982</v>
      </c>
      <c r="W190" s="458">
        <f t="shared" si="125"/>
        <v>9.1089359929735422E-3</v>
      </c>
      <c r="X190" s="459">
        <f t="shared" si="126"/>
        <v>3899.8595999999648</v>
      </c>
      <c r="Y190" s="366" t="s">
        <v>174</v>
      </c>
      <c r="Z190" s="366" t="s">
        <v>428</v>
      </c>
      <c r="AA190" s="367" t="s">
        <v>482</v>
      </c>
      <c r="AB190" s="367" t="s">
        <v>525</v>
      </c>
      <c r="AC190" s="367">
        <v>1</v>
      </c>
      <c r="AD190" s="446" t="s">
        <v>636</v>
      </c>
    </row>
    <row r="191" spans="2:39" s="147" customFormat="1" ht="27" customHeight="1">
      <c r="B191" s="935"/>
      <c r="C191" s="936"/>
      <c r="D191" s="361">
        <v>9</v>
      </c>
      <c r="E191" s="440" t="s">
        <v>432</v>
      </c>
      <c r="F191" s="364">
        <f t="shared" si="114"/>
        <v>4005.3631999999975</v>
      </c>
      <c r="G191" s="365">
        <v>368.13999999999993</v>
      </c>
      <c r="H191" s="442">
        <v>422.64</v>
      </c>
      <c r="I191" s="442">
        <v>422.64</v>
      </c>
      <c r="J191" s="444">
        <f t="shared" si="115"/>
        <v>1</v>
      </c>
      <c r="K191" s="443">
        <v>422.64</v>
      </c>
      <c r="L191" s="444">
        <f t="shared" si="116"/>
        <v>1</v>
      </c>
      <c r="M191" s="443">
        <v>10.88</v>
      </c>
      <c r="N191" s="444">
        <f t="shared" si="117"/>
        <v>2.5742949081961009E-2</v>
      </c>
      <c r="O191" s="445">
        <f t="shared" si="118"/>
        <v>433.52</v>
      </c>
      <c r="P191" s="444">
        <f t="shared" si="119"/>
        <v>1.025742949081961</v>
      </c>
      <c r="Q191" s="442">
        <v>2.54</v>
      </c>
      <c r="R191" s="444">
        <f t="shared" si="120"/>
        <v>6.009842892296044E-3</v>
      </c>
      <c r="S191" s="452">
        <f t="shared" si="121"/>
        <v>935.07559999999978</v>
      </c>
      <c r="T191" s="445">
        <f t="shared" si="122"/>
        <v>10.879999999999995</v>
      </c>
      <c r="U191" s="444">
        <f t="shared" si="123"/>
        <v>2.5742949081960998E-2</v>
      </c>
      <c r="V191" s="457">
        <f t="shared" si="124"/>
        <v>8.3399999999999963</v>
      </c>
      <c r="W191" s="458">
        <f t="shared" si="125"/>
        <v>1.9733106189664954E-2</v>
      </c>
      <c r="X191" s="459">
        <f t="shared" si="126"/>
        <v>3070.2875999999978</v>
      </c>
      <c r="Y191" s="366" t="s">
        <v>174</v>
      </c>
      <c r="Z191" s="366" t="s">
        <v>428</v>
      </c>
      <c r="AA191" s="367" t="s">
        <v>823</v>
      </c>
      <c r="AB191" s="367" t="s">
        <v>525</v>
      </c>
      <c r="AC191" s="367">
        <v>1</v>
      </c>
      <c r="AD191" s="446" t="s">
        <v>433</v>
      </c>
      <c r="AH191" s="370"/>
    </row>
    <row r="192" spans="2:39" s="147" customFormat="1" ht="27" customHeight="1">
      <c r="B192" s="935"/>
      <c r="C192" s="936"/>
      <c r="D192" s="361">
        <v>10</v>
      </c>
      <c r="E192" s="440" t="s">
        <v>713</v>
      </c>
      <c r="F192" s="364">
        <f t="shared" si="114"/>
        <v>3959.6831999999881</v>
      </c>
      <c r="G192" s="365">
        <v>426.69</v>
      </c>
      <c r="H192" s="442">
        <v>825.59999999999991</v>
      </c>
      <c r="I192" s="442">
        <v>825.59999999999991</v>
      </c>
      <c r="J192" s="444">
        <f t="shared" si="115"/>
        <v>1</v>
      </c>
      <c r="K192" s="443">
        <v>825.59999999999991</v>
      </c>
      <c r="L192" s="444">
        <f t="shared" si="116"/>
        <v>1</v>
      </c>
      <c r="M192" s="443">
        <v>9.2799999999999994</v>
      </c>
      <c r="N192" s="444">
        <f t="shared" si="117"/>
        <v>1.124031007751938E-2</v>
      </c>
      <c r="O192" s="445">
        <f t="shared" si="118"/>
        <v>834.87999999999988</v>
      </c>
      <c r="P192" s="444">
        <f t="shared" si="119"/>
        <v>1.0112403100775194</v>
      </c>
      <c r="Q192" s="442">
        <v>2.1800000000000002</v>
      </c>
      <c r="R192" s="444">
        <f t="shared" si="120"/>
        <v>2.6405038759689929E-3</v>
      </c>
      <c r="S192" s="452">
        <f t="shared" si="121"/>
        <v>930.18420000000003</v>
      </c>
      <c r="T192" s="445">
        <f t="shared" si="122"/>
        <v>9.2799999999999727</v>
      </c>
      <c r="U192" s="444">
        <f t="shared" si="123"/>
        <v>1.1240310077519348E-2</v>
      </c>
      <c r="V192" s="457">
        <f t="shared" si="124"/>
        <v>7.099999999999973</v>
      </c>
      <c r="W192" s="458">
        <f t="shared" si="125"/>
        <v>8.599806201550356E-3</v>
      </c>
      <c r="X192" s="459">
        <f t="shared" si="126"/>
        <v>3029.4989999999884</v>
      </c>
      <c r="Y192" s="366" t="s">
        <v>174</v>
      </c>
      <c r="Z192" s="366" t="s">
        <v>428</v>
      </c>
      <c r="AA192" s="367" t="s">
        <v>482</v>
      </c>
      <c r="AB192" s="367" t="s">
        <v>864</v>
      </c>
      <c r="AC192" s="367">
        <v>1</v>
      </c>
      <c r="AD192" s="446" t="s">
        <v>358</v>
      </c>
      <c r="AH192" s="370"/>
    </row>
    <row r="193" spans="2:39" s="147" customFormat="1" ht="27" customHeight="1">
      <c r="B193" s="935"/>
      <c r="C193" s="936"/>
      <c r="D193" s="361">
        <v>11</v>
      </c>
      <c r="E193" s="440" t="s">
        <v>854</v>
      </c>
      <c r="F193" s="364">
        <f t="shared" si="114"/>
        <v>3859.6407999999988</v>
      </c>
      <c r="G193" s="365">
        <v>339.16</v>
      </c>
      <c r="H193" s="442">
        <v>623.4</v>
      </c>
      <c r="I193" s="442">
        <v>623.4</v>
      </c>
      <c r="J193" s="444">
        <f t="shared" si="115"/>
        <v>1</v>
      </c>
      <c r="K193" s="443">
        <v>623.4</v>
      </c>
      <c r="L193" s="444">
        <f t="shared" si="116"/>
        <v>1</v>
      </c>
      <c r="M193" s="443">
        <v>11.38</v>
      </c>
      <c r="N193" s="444">
        <f t="shared" si="117"/>
        <v>1.8254732114212385E-2</v>
      </c>
      <c r="O193" s="445">
        <f t="shared" si="118"/>
        <v>634.78</v>
      </c>
      <c r="P193" s="444">
        <f t="shared" si="119"/>
        <v>1.0182547321142124</v>
      </c>
      <c r="Q193" s="442">
        <v>2.33</v>
      </c>
      <c r="R193" s="444">
        <f t="shared" si="120"/>
        <v>3.737568174526789E-3</v>
      </c>
      <c r="S193" s="452">
        <f t="shared" si="121"/>
        <v>790.2428000000001</v>
      </c>
      <c r="T193" s="445">
        <f t="shared" si="122"/>
        <v>11.379999999999995</v>
      </c>
      <c r="U193" s="444">
        <f t="shared" si="123"/>
        <v>1.8254732114212378E-2</v>
      </c>
      <c r="V193" s="457">
        <f t="shared" si="124"/>
        <v>9.0499999999999954</v>
      </c>
      <c r="W193" s="458">
        <f t="shared" si="125"/>
        <v>1.4517163939685588E-2</v>
      </c>
      <c r="X193" s="459">
        <f t="shared" si="126"/>
        <v>3069.3979999999988</v>
      </c>
      <c r="Y193" s="366" t="s">
        <v>174</v>
      </c>
      <c r="Z193" s="366" t="s">
        <v>428</v>
      </c>
      <c r="AA193" s="367" t="s">
        <v>482</v>
      </c>
      <c r="AB193" s="367" t="s">
        <v>525</v>
      </c>
      <c r="AC193" s="367">
        <v>1</v>
      </c>
      <c r="AD193" s="446" t="s">
        <v>856</v>
      </c>
      <c r="AH193" s="370"/>
    </row>
    <row r="194" spans="2:39" s="147" customFormat="1" ht="27" customHeight="1">
      <c r="B194" s="935"/>
      <c r="C194" s="936"/>
      <c r="D194" s="361">
        <v>12</v>
      </c>
      <c r="E194" s="440" t="s">
        <v>772</v>
      </c>
      <c r="F194" s="364">
        <f t="shared" si="114"/>
        <v>3673.6300999999894</v>
      </c>
      <c r="G194" s="365">
        <v>24.789999999999996</v>
      </c>
      <c r="H194" s="442">
        <v>5819.84</v>
      </c>
      <c r="I194" s="442">
        <v>5819.84</v>
      </c>
      <c r="J194" s="444">
        <f t="shared" si="115"/>
        <v>1</v>
      </c>
      <c r="K194" s="443">
        <v>5819.84</v>
      </c>
      <c r="L194" s="444">
        <f t="shared" si="116"/>
        <v>1</v>
      </c>
      <c r="M194" s="443">
        <v>148.19</v>
      </c>
      <c r="N194" s="444">
        <f t="shared" si="117"/>
        <v>2.5462899323692747E-2</v>
      </c>
      <c r="O194" s="445">
        <f t="shared" si="118"/>
        <v>5968.03</v>
      </c>
      <c r="P194" s="444">
        <f t="shared" si="119"/>
        <v>1.0254628993236927</v>
      </c>
      <c r="Q194" s="442">
        <v>37.840000000000003</v>
      </c>
      <c r="R194" s="444">
        <f t="shared" si="120"/>
        <v>6.501896959366581E-3</v>
      </c>
      <c r="S194" s="452">
        <f t="shared" si="121"/>
        <v>938.05359999999996</v>
      </c>
      <c r="T194" s="445">
        <f t="shared" si="122"/>
        <v>148.1899999999996</v>
      </c>
      <c r="U194" s="444">
        <f t="shared" si="123"/>
        <v>2.5462899323692677E-2</v>
      </c>
      <c r="V194" s="457">
        <f t="shared" si="124"/>
        <v>110.3499999999996</v>
      </c>
      <c r="W194" s="458">
        <f t="shared" si="125"/>
        <v>1.8961002364326098E-2</v>
      </c>
      <c r="X194" s="459">
        <f t="shared" si="126"/>
        <v>2735.5764999999897</v>
      </c>
      <c r="Y194" s="366" t="s">
        <v>174</v>
      </c>
      <c r="Z194" s="366" t="s">
        <v>428</v>
      </c>
      <c r="AA194" s="367" t="s">
        <v>479</v>
      </c>
      <c r="AB194" s="367" t="s">
        <v>821</v>
      </c>
      <c r="AC194" s="367">
        <v>1</v>
      </c>
      <c r="AD194" s="446" t="s">
        <v>751</v>
      </c>
      <c r="AH194" s="370"/>
    </row>
    <row r="195" spans="2:39" s="147" customFormat="1" ht="27" customHeight="1">
      <c r="B195" s="935"/>
      <c r="C195" s="936"/>
      <c r="D195" s="361">
        <v>13</v>
      </c>
      <c r="E195" s="440" t="s">
        <v>855</v>
      </c>
      <c r="F195" s="364">
        <f t="shared" si="114"/>
        <v>3610</v>
      </c>
      <c r="G195" s="365">
        <v>760</v>
      </c>
      <c r="H195" s="442">
        <v>282.38</v>
      </c>
      <c r="I195" s="442">
        <v>282.38</v>
      </c>
      <c r="J195" s="444">
        <f t="shared" si="115"/>
        <v>1</v>
      </c>
      <c r="K195" s="443">
        <v>282.38</v>
      </c>
      <c r="L195" s="444">
        <f t="shared" si="116"/>
        <v>1</v>
      </c>
      <c r="M195" s="443">
        <v>4.75</v>
      </c>
      <c r="N195" s="444">
        <f t="shared" si="117"/>
        <v>1.682130462497344E-2</v>
      </c>
      <c r="O195" s="445">
        <f t="shared" si="118"/>
        <v>287.13</v>
      </c>
      <c r="P195" s="444">
        <f t="shared" si="119"/>
        <v>1.0168213046249734</v>
      </c>
      <c r="Q195" s="442">
        <v>0.70000000000000007</v>
      </c>
      <c r="R195" s="444">
        <f t="shared" si="120"/>
        <v>2.478929102627665E-3</v>
      </c>
      <c r="S195" s="452">
        <f t="shared" si="121"/>
        <v>532</v>
      </c>
      <c r="T195" s="445">
        <f t="shared" si="122"/>
        <v>4.75</v>
      </c>
      <c r="U195" s="444">
        <f t="shared" si="123"/>
        <v>1.682130462497344E-2</v>
      </c>
      <c r="V195" s="457">
        <f t="shared" si="124"/>
        <v>4.05</v>
      </c>
      <c r="W195" s="458">
        <f t="shared" si="125"/>
        <v>1.4342375522345775E-2</v>
      </c>
      <c r="X195" s="459">
        <f t="shared" si="126"/>
        <v>3078</v>
      </c>
      <c r="Y195" s="366" t="s">
        <v>174</v>
      </c>
      <c r="Z195" s="366" t="s">
        <v>428</v>
      </c>
      <c r="AA195" s="367" t="s">
        <v>482</v>
      </c>
      <c r="AB195" s="367" t="s">
        <v>525</v>
      </c>
      <c r="AC195" s="367">
        <v>1</v>
      </c>
      <c r="AD195" s="446" t="s">
        <v>846</v>
      </c>
    </row>
    <row r="196" spans="2:39" s="147" customFormat="1" ht="27" customHeight="1">
      <c r="B196" s="935"/>
      <c r="C196" s="936"/>
      <c r="D196" s="361">
        <v>14</v>
      </c>
      <c r="E196" s="440" t="s">
        <v>470</v>
      </c>
      <c r="F196" s="364">
        <f t="shared" si="114"/>
        <v>3560.1635999999708</v>
      </c>
      <c r="G196" s="365">
        <v>266.27999999999997</v>
      </c>
      <c r="H196" s="442">
        <v>1044.02</v>
      </c>
      <c r="I196" s="442">
        <v>1044.02</v>
      </c>
      <c r="J196" s="444">
        <f t="shared" si="115"/>
        <v>1</v>
      </c>
      <c r="K196" s="443">
        <v>1044.02</v>
      </c>
      <c r="L196" s="444">
        <f t="shared" si="116"/>
        <v>1</v>
      </c>
      <c r="M196" s="443">
        <v>13.370000000000001</v>
      </c>
      <c r="N196" s="444">
        <f t="shared" si="117"/>
        <v>1.2806268079155574E-2</v>
      </c>
      <c r="O196" s="445">
        <f t="shared" si="118"/>
        <v>1057.3899999999999</v>
      </c>
      <c r="P196" s="444">
        <f t="shared" si="119"/>
        <v>1.0128062680791554</v>
      </c>
      <c r="Q196" s="442">
        <v>3.2800000000000002</v>
      </c>
      <c r="R196" s="444">
        <f t="shared" si="120"/>
        <v>3.1417022662401108E-3</v>
      </c>
      <c r="S196" s="452">
        <f t="shared" si="121"/>
        <v>873.39839999999992</v>
      </c>
      <c r="T196" s="445">
        <f t="shared" si="122"/>
        <v>13.369999999999891</v>
      </c>
      <c r="U196" s="444">
        <f t="shared" si="123"/>
        <v>1.2806268079155468E-2</v>
      </c>
      <c r="V196" s="457">
        <f t="shared" si="124"/>
        <v>10.08999999999989</v>
      </c>
      <c r="W196" s="458">
        <f t="shared" si="125"/>
        <v>9.6645658129153565E-3</v>
      </c>
      <c r="X196" s="459">
        <f t="shared" si="126"/>
        <v>2686.7651999999703</v>
      </c>
      <c r="Y196" s="366" t="s">
        <v>174</v>
      </c>
      <c r="Z196" s="366" t="s">
        <v>428</v>
      </c>
      <c r="AA196" s="367" t="s">
        <v>480</v>
      </c>
      <c r="AB196" s="367" t="s">
        <v>525</v>
      </c>
      <c r="AC196" s="367">
        <v>1</v>
      </c>
      <c r="AD196" s="446" t="s">
        <v>471</v>
      </c>
    </row>
    <row r="197" spans="2:39" s="147" customFormat="1" ht="27" customHeight="1">
      <c r="B197" s="935"/>
      <c r="C197" s="936"/>
      <c r="D197" s="361">
        <v>15</v>
      </c>
      <c r="E197" s="440" t="s">
        <v>599</v>
      </c>
      <c r="F197" s="364">
        <f t="shared" si="114"/>
        <v>3490.7600000000007</v>
      </c>
      <c r="G197" s="365">
        <v>153.44000000000003</v>
      </c>
      <c r="H197" s="442">
        <v>1867.4999999999998</v>
      </c>
      <c r="I197" s="442">
        <v>1867.4999999999998</v>
      </c>
      <c r="J197" s="444">
        <f t="shared" si="115"/>
        <v>1</v>
      </c>
      <c r="K197" s="443">
        <v>1867.4999999999998</v>
      </c>
      <c r="L197" s="444">
        <f t="shared" si="116"/>
        <v>1</v>
      </c>
      <c r="M197" s="443">
        <v>22.75</v>
      </c>
      <c r="N197" s="444">
        <f t="shared" si="117"/>
        <v>1.2182061579651942E-2</v>
      </c>
      <c r="O197" s="445">
        <f t="shared" si="118"/>
        <v>1890.2499999999998</v>
      </c>
      <c r="P197" s="444">
        <f t="shared" si="119"/>
        <v>1.012182061579652</v>
      </c>
      <c r="Q197" s="442">
        <v>5.21</v>
      </c>
      <c r="R197" s="444">
        <f t="shared" si="120"/>
        <v>2.7898259705488623E-3</v>
      </c>
      <c r="S197" s="452">
        <f t="shared" si="121"/>
        <v>799.42240000000015</v>
      </c>
      <c r="T197" s="445">
        <f t="shared" si="122"/>
        <v>22.75</v>
      </c>
      <c r="U197" s="444">
        <f t="shared" si="123"/>
        <v>1.2182061579651942E-2</v>
      </c>
      <c r="V197" s="457">
        <f t="shared" si="124"/>
        <v>17.54</v>
      </c>
      <c r="W197" s="458">
        <f t="shared" si="125"/>
        <v>9.3922356091030793E-3</v>
      </c>
      <c r="X197" s="459">
        <f t="shared" si="126"/>
        <v>2691.3376000000003</v>
      </c>
      <c r="Y197" s="366" t="s">
        <v>174</v>
      </c>
      <c r="Z197" s="366" t="s">
        <v>428</v>
      </c>
      <c r="AA197" s="367" t="s">
        <v>482</v>
      </c>
      <c r="AB197" s="367" t="s">
        <v>525</v>
      </c>
      <c r="AC197" s="367">
        <v>1</v>
      </c>
      <c r="AD197" s="446" t="s">
        <v>465</v>
      </c>
    </row>
    <row r="198" spans="2:39" s="147" customFormat="1" ht="27" customHeight="1">
      <c r="B198" s="935"/>
      <c r="C198" s="936"/>
      <c r="D198" s="361">
        <v>16</v>
      </c>
      <c r="E198" s="440" t="s">
        <v>635</v>
      </c>
      <c r="F198" s="364">
        <f t="shared" si="114"/>
        <v>3480.9233999999947</v>
      </c>
      <c r="G198" s="365">
        <v>49.82</v>
      </c>
      <c r="H198" s="442">
        <v>2772.75</v>
      </c>
      <c r="I198" s="442">
        <v>2772.75</v>
      </c>
      <c r="J198" s="444">
        <f t="shared" si="115"/>
        <v>1</v>
      </c>
      <c r="K198" s="443">
        <v>2772.75</v>
      </c>
      <c r="L198" s="444">
        <f t="shared" si="116"/>
        <v>1</v>
      </c>
      <c r="M198" s="443">
        <v>69.87</v>
      </c>
      <c r="N198" s="444">
        <f t="shared" si="117"/>
        <v>2.5198809845820937E-2</v>
      </c>
      <c r="O198" s="445">
        <f t="shared" si="118"/>
        <v>2842.62</v>
      </c>
      <c r="P198" s="444">
        <f t="shared" si="119"/>
        <v>1.0251988098458209</v>
      </c>
      <c r="Q198" s="442">
        <v>18.82</v>
      </c>
      <c r="R198" s="444">
        <f t="shared" si="120"/>
        <v>6.7874853484807506E-3</v>
      </c>
      <c r="S198" s="452">
        <f t="shared" si="121"/>
        <v>937.61239999999998</v>
      </c>
      <c r="T198" s="445">
        <f t="shared" si="122"/>
        <v>69.869999999999891</v>
      </c>
      <c r="U198" s="444">
        <f t="shared" si="123"/>
        <v>2.5198809845820895E-2</v>
      </c>
      <c r="V198" s="457">
        <f t="shared" si="124"/>
        <v>51.049999999999891</v>
      </c>
      <c r="W198" s="458">
        <f t="shared" si="125"/>
        <v>1.8411324497340148E-2</v>
      </c>
      <c r="X198" s="459">
        <f t="shared" si="126"/>
        <v>2543.3109999999947</v>
      </c>
      <c r="Y198" s="366" t="s">
        <v>174</v>
      </c>
      <c r="Z198" s="366" t="s">
        <v>428</v>
      </c>
      <c r="AA198" s="367" t="s">
        <v>737</v>
      </c>
      <c r="AB198" s="367" t="s">
        <v>738</v>
      </c>
      <c r="AC198" s="367">
        <v>1</v>
      </c>
      <c r="AD198" s="446" t="s">
        <v>616</v>
      </c>
    </row>
    <row r="199" spans="2:39" s="147" customFormat="1" ht="27" customHeight="1">
      <c r="B199" s="935"/>
      <c r="C199" s="936"/>
      <c r="D199" s="361">
        <v>17</v>
      </c>
      <c r="E199" s="440" t="s">
        <v>778</v>
      </c>
      <c r="F199" s="364">
        <f t="shared" si="114"/>
        <v>3312.5830000000042</v>
      </c>
      <c r="G199" s="365">
        <v>321.61000000000007</v>
      </c>
      <c r="H199" s="442">
        <v>383.71999999999997</v>
      </c>
      <c r="I199" s="442">
        <v>383.71999999999997</v>
      </c>
      <c r="J199" s="444">
        <f t="shared" si="115"/>
        <v>1</v>
      </c>
      <c r="K199" s="443">
        <v>383.71999999999997</v>
      </c>
      <c r="L199" s="444">
        <f t="shared" si="116"/>
        <v>1</v>
      </c>
      <c r="M199" s="443">
        <v>10.299999999999999</v>
      </c>
      <c r="N199" s="444">
        <f t="shared" si="117"/>
        <v>2.684248931512561E-2</v>
      </c>
      <c r="O199" s="445">
        <f t="shared" si="118"/>
        <v>394.02</v>
      </c>
      <c r="P199" s="444">
        <f t="shared" si="119"/>
        <v>1.0268424893151256</v>
      </c>
      <c r="Q199" s="442">
        <v>2.23</v>
      </c>
      <c r="R199" s="444">
        <f t="shared" si="120"/>
        <v>5.8115292400708852E-3</v>
      </c>
      <c r="S199" s="452">
        <f t="shared" si="121"/>
        <v>717.19030000000021</v>
      </c>
      <c r="T199" s="445">
        <f t="shared" si="122"/>
        <v>10.300000000000011</v>
      </c>
      <c r="U199" s="444">
        <f t="shared" si="123"/>
        <v>2.6842489315125645E-2</v>
      </c>
      <c r="V199" s="457">
        <f t="shared" si="124"/>
        <v>8.0700000000000109</v>
      </c>
      <c r="W199" s="458">
        <f t="shared" si="125"/>
        <v>2.1030960075054759E-2</v>
      </c>
      <c r="X199" s="459">
        <f t="shared" si="126"/>
        <v>2595.392700000004</v>
      </c>
      <c r="Y199" s="366" t="s">
        <v>174</v>
      </c>
      <c r="Z199" s="366" t="s">
        <v>428</v>
      </c>
      <c r="AA199" s="367" t="s">
        <v>482</v>
      </c>
      <c r="AB199" s="367" t="s">
        <v>525</v>
      </c>
      <c r="AC199" s="367">
        <v>1</v>
      </c>
      <c r="AD199" s="446" t="s">
        <v>750</v>
      </c>
    </row>
    <row r="200" spans="2:39" s="147" customFormat="1" ht="27" customHeight="1">
      <c r="B200" s="935"/>
      <c r="C200" s="936"/>
      <c r="D200" s="361">
        <v>18</v>
      </c>
      <c r="E200" s="440" t="s">
        <v>545</v>
      </c>
      <c r="F200" s="364">
        <f t="shared" si="114"/>
        <v>3303.8548000000023</v>
      </c>
      <c r="G200" s="365">
        <v>66.13</v>
      </c>
      <c r="H200" s="442">
        <v>1997.1000000000001</v>
      </c>
      <c r="I200" s="442">
        <v>1997.1000000000001</v>
      </c>
      <c r="J200" s="444">
        <f t="shared" si="115"/>
        <v>1</v>
      </c>
      <c r="K200" s="443">
        <v>1997.1000000000001</v>
      </c>
      <c r="L200" s="444">
        <f t="shared" si="116"/>
        <v>1</v>
      </c>
      <c r="M200" s="443">
        <v>49.96</v>
      </c>
      <c r="N200" s="444">
        <f t="shared" si="117"/>
        <v>2.5016273596715235E-2</v>
      </c>
      <c r="O200" s="445">
        <f t="shared" si="118"/>
        <v>2047.0600000000002</v>
      </c>
      <c r="P200" s="444">
        <f t="shared" si="119"/>
        <v>1.0250162735967152</v>
      </c>
      <c r="Q200" s="442">
        <v>14.180000000000001</v>
      </c>
      <c r="R200" s="444">
        <f t="shared" si="120"/>
        <v>7.1002954283711384E-3</v>
      </c>
      <c r="S200" s="452">
        <f t="shared" si="121"/>
        <v>937.72340000000008</v>
      </c>
      <c r="T200" s="445">
        <f t="shared" si="122"/>
        <v>49.960000000000036</v>
      </c>
      <c r="U200" s="444">
        <f t="shared" si="123"/>
        <v>2.5016273596715252E-2</v>
      </c>
      <c r="V200" s="457">
        <f t="shared" si="124"/>
        <v>35.780000000000037</v>
      </c>
      <c r="W200" s="458">
        <f t="shared" si="125"/>
        <v>1.7915978168344115E-2</v>
      </c>
      <c r="X200" s="459">
        <f t="shared" si="126"/>
        <v>2366.1314000000025</v>
      </c>
      <c r="Y200" s="366" t="s">
        <v>174</v>
      </c>
      <c r="Z200" s="366" t="s">
        <v>428</v>
      </c>
      <c r="AA200" s="367" t="s">
        <v>479</v>
      </c>
      <c r="AB200" s="367" t="s">
        <v>865</v>
      </c>
      <c r="AC200" s="367">
        <v>1</v>
      </c>
      <c r="AD200" s="446" t="s">
        <v>341</v>
      </c>
    </row>
    <row r="201" spans="2:39" s="147" customFormat="1" ht="27" customHeight="1">
      <c r="B201" s="935"/>
      <c r="C201" s="936"/>
      <c r="D201" s="361">
        <v>19</v>
      </c>
      <c r="E201" s="440" t="s">
        <v>653</v>
      </c>
      <c r="F201" s="364">
        <f t="shared" si="114"/>
        <v>3299.4846000000052</v>
      </c>
      <c r="G201" s="365">
        <v>40.420000000000009</v>
      </c>
      <c r="H201" s="442">
        <v>2025.1</v>
      </c>
      <c r="I201" s="442">
        <v>2025.1</v>
      </c>
      <c r="J201" s="444">
        <f t="shared" si="115"/>
        <v>1</v>
      </c>
      <c r="K201" s="443">
        <v>2025.1</v>
      </c>
      <c r="L201" s="444">
        <f t="shared" si="116"/>
        <v>1</v>
      </c>
      <c r="M201" s="443">
        <v>81.63</v>
      </c>
      <c r="N201" s="444">
        <f t="shared" si="117"/>
        <v>4.0309120537257416E-2</v>
      </c>
      <c r="O201" s="445">
        <f t="shared" si="118"/>
        <v>2106.73</v>
      </c>
      <c r="P201" s="444">
        <f t="shared" si="119"/>
        <v>1.0403091205372574</v>
      </c>
      <c r="Q201" s="442">
        <v>23.2</v>
      </c>
      <c r="R201" s="444">
        <f t="shared" si="120"/>
        <v>1.1456224383981039E-2</v>
      </c>
      <c r="S201" s="452">
        <f t="shared" si="121"/>
        <v>937.74400000000014</v>
      </c>
      <c r="T201" s="445">
        <f t="shared" si="122"/>
        <v>81.630000000000109</v>
      </c>
      <c r="U201" s="444">
        <f t="shared" si="123"/>
        <v>4.0309120537257478E-2</v>
      </c>
      <c r="V201" s="457">
        <f t="shared" si="124"/>
        <v>58.430000000000106</v>
      </c>
      <c r="W201" s="458">
        <f t="shared" si="125"/>
        <v>2.8852896153276436E-2</v>
      </c>
      <c r="X201" s="459">
        <f t="shared" si="126"/>
        <v>2361.7406000000046</v>
      </c>
      <c r="Y201" s="366" t="s">
        <v>174</v>
      </c>
      <c r="Z201" s="366" t="s">
        <v>216</v>
      </c>
      <c r="AA201" s="367" t="s">
        <v>732</v>
      </c>
      <c r="AB201" s="367" t="s">
        <v>863</v>
      </c>
      <c r="AC201" s="367">
        <v>1</v>
      </c>
      <c r="AD201" s="446" t="s">
        <v>650</v>
      </c>
    </row>
    <row r="202" spans="2:39" s="147" customFormat="1" ht="27" customHeight="1">
      <c r="B202" s="937"/>
      <c r="C202" s="938"/>
      <c r="D202" s="361">
        <v>20</v>
      </c>
      <c r="E202" s="440" t="s">
        <v>651</v>
      </c>
      <c r="F202" s="364">
        <f t="shared" si="114"/>
        <v>3274.2285199999874</v>
      </c>
      <c r="G202" s="365">
        <v>655.37</v>
      </c>
      <c r="H202" s="442">
        <v>347.15999999999997</v>
      </c>
      <c r="I202" s="442">
        <v>347.15999999999997</v>
      </c>
      <c r="J202" s="444">
        <f t="shared" si="115"/>
        <v>1</v>
      </c>
      <c r="K202" s="443">
        <v>347.15999999999997</v>
      </c>
      <c r="L202" s="444">
        <f t="shared" si="116"/>
        <v>1</v>
      </c>
      <c r="M202" s="443">
        <v>4.9960000000000004</v>
      </c>
      <c r="N202" s="444">
        <f t="shared" si="117"/>
        <v>1.4391058877750896E-2</v>
      </c>
      <c r="O202" s="445">
        <f t="shared" si="118"/>
        <v>352.15599999999995</v>
      </c>
      <c r="P202" s="444">
        <f t="shared" si="119"/>
        <v>1.0143910588777509</v>
      </c>
      <c r="Q202" s="442">
        <v>1.3599999999999999</v>
      </c>
      <c r="R202" s="444">
        <f t="shared" si="120"/>
        <v>3.9175020163613322E-3</v>
      </c>
      <c r="S202" s="452">
        <f t="shared" si="121"/>
        <v>891.30319999999995</v>
      </c>
      <c r="T202" s="445">
        <f t="shared" si="122"/>
        <v>4.9959999999999809</v>
      </c>
      <c r="U202" s="444">
        <f t="shared" si="123"/>
        <v>1.4391058877750839E-2</v>
      </c>
      <c r="V202" s="457">
        <f t="shared" si="124"/>
        <v>3.635999999999981</v>
      </c>
      <c r="W202" s="458">
        <f t="shared" si="125"/>
        <v>1.0473556861389507E-2</v>
      </c>
      <c r="X202" s="459">
        <f t="shared" si="126"/>
        <v>2382.9253199999876</v>
      </c>
      <c r="Y202" s="366" t="s">
        <v>174</v>
      </c>
      <c r="Z202" s="366" t="s">
        <v>428</v>
      </c>
      <c r="AA202" s="367" t="s">
        <v>732</v>
      </c>
      <c r="AB202" s="367" t="s">
        <v>863</v>
      </c>
      <c r="AC202" s="367">
        <v>1</v>
      </c>
      <c r="AD202" s="446" t="s">
        <v>650</v>
      </c>
    </row>
    <row r="203" spans="2:39" ht="17.100000000000001" customHeight="1">
      <c r="B203" s="949" t="s">
        <v>442</v>
      </c>
      <c r="C203" s="950"/>
      <c r="D203" s="953" t="s">
        <v>549</v>
      </c>
      <c r="E203" s="954" t="s">
        <v>550</v>
      </c>
      <c r="F203" s="995" t="s">
        <v>567</v>
      </c>
      <c r="G203" s="922" t="s">
        <v>552</v>
      </c>
      <c r="H203" s="956" t="s">
        <v>553</v>
      </c>
      <c r="I203" s="939" t="s">
        <v>554</v>
      </c>
      <c r="J203" s="940"/>
      <c r="K203" s="939" t="s">
        <v>555</v>
      </c>
      <c r="L203" s="940"/>
      <c r="M203" s="939" t="s">
        <v>556</v>
      </c>
      <c r="N203" s="940"/>
      <c r="O203" s="939" t="s">
        <v>557</v>
      </c>
      <c r="P203" s="940"/>
      <c r="Q203" s="939" t="s">
        <v>418</v>
      </c>
      <c r="R203" s="994"/>
      <c r="S203" s="940"/>
      <c r="T203" s="941" t="s">
        <v>719</v>
      </c>
      <c r="U203" s="942"/>
      <c r="V203" s="944" t="s">
        <v>718</v>
      </c>
      <c r="W203" s="945"/>
      <c r="X203" s="946"/>
      <c r="Y203" s="947" t="s">
        <v>171</v>
      </c>
      <c r="Z203" s="947" t="s">
        <v>245</v>
      </c>
      <c r="AA203" s="947" t="s">
        <v>558</v>
      </c>
      <c r="AB203" s="947" t="s">
        <v>444</v>
      </c>
      <c r="AC203" s="947" t="s">
        <v>246</v>
      </c>
      <c r="AD203" s="922" t="s">
        <v>172</v>
      </c>
      <c r="AF203" s="924" t="s">
        <v>247</v>
      </c>
      <c r="AG203" s="925"/>
      <c r="AH203" s="925"/>
      <c r="AI203" s="925"/>
      <c r="AJ203" s="925"/>
      <c r="AK203" s="925"/>
      <c r="AL203" s="925"/>
      <c r="AM203" s="926"/>
    </row>
    <row r="204" spans="2:39" ht="16.5" customHeight="1">
      <c r="B204" s="951"/>
      <c r="C204" s="952"/>
      <c r="D204" s="953"/>
      <c r="E204" s="953"/>
      <c r="F204" s="955"/>
      <c r="G204" s="923"/>
      <c r="H204" s="923"/>
      <c r="I204" s="439" t="s">
        <v>559</v>
      </c>
      <c r="J204" s="362" t="s">
        <v>560</v>
      </c>
      <c r="K204" s="439" t="s">
        <v>559</v>
      </c>
      <c r="L204" s="362" t="s">
        <v>560</v>
      </c>
      <c r="M204" s="439" t="s">
        <v>559</v>
      </c>
      <c r="N204" s="362" t="s">
        <v>560</v>
      </c>
      <c r="O204" s="439" t="s">
        <v>559</v>
      </c>
      <c r="P204" s="362" t="s">
        <v>560</v>
      </c>
      <c r="Q204" s="439" t="s">
        <v>559</v>
      </c>
      <c r="R204" s="362" t="s">
        <v>560</v>
      </c>
      <c r="S204" s="362" t="s">
        <v>561</v>
      </c>
      <c r="T204" s="439" t="s">
        <v>559</v>
      </c>
      <c r="U204" s="362" t="s">
        <v>560</v>
      </c>
      <c r="V204" s="439" t="s">
        <v>559</v>
      </c>
      <c r="W204" s="362" t="s">
        <v>560</v>
      </c>
      <c r="X204" s="362" t="s">
        <v>561</v>
      </c>
      <c r="Y204" s="948"/>
      <c r="Z204" s="948"/>
      <c r="AA204" s="948"/>
      <c r="AB204" s="948"/>
      <c r="AC204" s="948"/>
      <c r="AD204" s="923"/>
      <c r="AF204" s="927"/>
      <c r="AG204" s="928"/>
      <c r="AH204" s="928"/>
      <c r="AI204" s="928"/>
      <c r="AJ204" s="928"/>
      <c r="AK204" s="928"/>
      <c r="AL204" s="928"/>
      <c r="AM204" s="929"/>
    </row>
    <row r="205" spans="2:39" s="147" customFormat="1" ht="27" customHeight="1">
      <c r="B205" s="933" t="s">
        <v>853</v>
      </c>
      <c r="C205" s="934"/>
      <c r="D205" s="361">
        <v>1</v>
      </c>
      <c r="E205" s="440" t="s">
        <v>336</v>
      </c>
      <c r="F205" s="364">
        <f>IFERROR(T205*G205,"-")</f>
        <v>9664.0365000000293</v>
      </c>
      <c r="G205" s="365">
        <v>147.43000000000004</v>
      </c>
      <c r="H205" s="442">
        <v>3953.68</v>
      </c>
      <c r="I205" s="442">
        <v>3953.68</v>
      </c>
      <c r="J205" s="444">
        <f>IFERROR(I205/H205,"-")</f>
        <v>1</v>
      </c>
      <c r="K205" s="443">
        <v>3953.68</v>
      </c>
      <c r="L205" s="444">
        <f>IFERROR(K205/H205,"-")</f>
        <v>1</v>
      </c>
      <c r="M205" s="443">
        <v>65.55</v>
      </c>
      <c r="N205" s="444">
        <f>IFERROR(M205/H205,"-")</f>
        <v>1.6579490499989882E-2</v>
      </c>
      <c r="O205" s="445">
        <f>IFERROR(K205+M205,"-")</f>
        <v>4019.23</v>
      </c>
      <c r="P205" s="444">
        <f>IFERROR(O205/H205,"-")</f>
        <v>1.0165794904999899</v>
      </c>
      <c r="Q205" s="442">
        <v>10.24</v>
      </c>
      <c r="R205" s="444">
        <f>IFERROR(Q205/H205,"-")</f>
        <v>2.5899921086177942E-3</v>
      </c>
      <c r="S205" s="452">
        <f>IFERROR(Q205*G205,"-")</f>
        <v>1509.6832000000004</v>
      </c>
      <c r="T205" s="445">
        <f>IFERROR(O205-H205,"-")</f>
        <v>65.550000000000182</v>
      </c>
      <c r="U205" s="444">
        <f>IFERROR(T205/H205,"-")</f>
        <v>1.657949049998993E-2</v>
      </c>
      <c r="V205" s="457">
        <f>T205-Q205</f>
        <v>55.31000000000018</v>
      </c>
      <c r="W205" s="458">
        <f>IFERROR(V205/H205,"-")</f>
        <v>1.3989498391372136E-2</v>
      </c>
      <c r="X205" s="459">
        <f>IFERROR(V205*G205,"-")</f>
        <v>8154.3533000000289</v>
      </c>
      <c r="Y205" s="366" t="s">
        <v>174</v>
      </c>
      <c r="Z205" s="366" t="s">
        <v>215</v>
      </c>
      <c r="AA205" s="367"/>
      <c r="AB205" s="367"/>
      <c r="AC205" s="367">
        <v>1</v>
      </c>
      <c r="AD205" s="446" t="s">
        <v>340</v>
      </c>
      <c r="AF205" s="930"/>
      <c r="AG205" s="931"/>
      <c r="AH205" s="931"/>
      <c r="AI205" s="931"/>
      <c r="AJ205" s="931"/>
      <c r="AK205" s="931"/>
      <c r="AL205" s="931"/>
      <c r="AM205" s="932"/>
    </row>
    <row r="206" spans="2:39" s="147" customFormat="1" ht="27" customHeight="1">
      <c r="B206" s="935"/>
      <c r="C206" s="936"/>
      <c r="D206" s="361">
        <v>2</v>
      </c>
      <c r="E206" s="440" t="s">
        <v>692</v>
      </c>
      <c r="F206" s="364">
        <f t="shared" ref="F206:F224" si="130">IFERROR(T206*G206,"-")</f>
        <v>6847.7836000000334</v>
      </c>
      <c r="G206" s="365">
        <v>625.93999999999994</v>
      </c>
      <c r="H206" s="442">
        <v>1254.52</v>
      </c>
      <c r="I206" s="442">
        <v>1254.52</v>
      </c>
      <c r="J206" s="444">
        <f t="shared" ref="J206:J224" si="131">IFERROR(I206/H206,"-")</f>
        <v>1</v>
      </c>
      <c r="K206" s="443">
        <v>1254.52</v>
      </c>
      <c r="L206" s="444">
        <f t="shared" ref="L206:L224" si="132">IFERROR(K206/H206,"-")</f>
        <v>1</v>
      </c>
      <c r="M206" s="443">
        <v>10.940000000000001</v>
      </c>
      <c r="N206" s="444">
        <f t="shared" ref="N206:N224" si="133">IFERROR(M206/H206,"-")</f>
        <v>8.7204667920798406E-3</v>
      </c>
      <c r="O206" s="445">
        <f t="shared" ref="O206:O224" si="134">IFERROR(K206+M206,"-")</f>
        <v>1265.46</v>
      </c>
      <c r="P206" s="444">
        <f t="shared" ref="P206:P224" si="135">IFERROR(O206/H206,"-")</f>
        <v>1.0087204667920799</v>
      </c>
      <c r="Q206" s="442">
        <v>2.31</v>
      </c>
      <c r="R206" s="444">
        <f t="shared" ref="R206:R224" si="136">IFERROR(Q206/H206,"-")</f>
        <v>1.841341708382489E-3</v>
      </c>
      <c r="S206" s="452">
        <f t="shared" ref="S206:S224" si="137">IFERROR(Q206*G206,"-")</f>
        <v>1445.9213999999999</v>
      </c>
      <c r="T206" s="445">
        <f t="shared" ref="T206:T224" si="138">IFERROR(O206-H206,"-")</f>
        <v>10.940000000000055</v>
      </c>
      <c r="U206" s="444">
        <f t="shared" ref="U206:U224" si="139">IFERROR(T206/H206,"-")</f>
        <v>8.7204667920798822E-3</v>
      </c>
      <c r="V206" s="457">
        <f t="shared" ref="V206:V224" si="140">T206-Q206</f>
        <v>8.6300000000000541</v>
      </c>
      <c r="W206" s="458">
        <f t="shared" ref="W206:W224" si="141">IFERROR(V206/H206,"-")</f>
        <v>6.8791250836973935E-3</v>
      </c>
      <c r="X206" s="459">
        <f t="shared" ref="X206:X224" si="142">IFERROR(V206*G206,"-")</f>
        <v>5401.8622000000332</v>
      </c>
      <c r="Y206" s="366" t="s">
        <v>174</v>
      </c>
      <c r="Z206" s="366" t="s">
        <v>216</v>
      </c>
      <c r="AA206" s="367"/>
      <c r="AB206" s="367"/>
      <c r="AC206" s="367">
        <v>1</v>
      </c>
      <c r="AD206" s="446" t="s">
        <v>697</v>
      </c>
      <c r="AF206" s="160" t="s">
        <v>244</v>
      </c>
      <c r="AG206" s="160" t="s">
        <v>445</v>
      </c>
      <c r="AH206" s="155" t="s">
        <v>562</v>
      </c>
      <c r="AI206" s="155" t="s">
        <v>337</v>
      </c>
      <c r="AJ206" s="155" t="s">
        <v>428</v>
      </c>
      <c r="AK206" s="155" t="s">
        <v>215</v>
      </c>
      <c r="AL206" s="155" t="s">
        <v>216</v>
      </c>
      <c r="AM206" s="155" t="s">
        <v>384</v>
      </c>
    </row>
    <row r="207" spans="2:39" s="147" customFormat="1" ht="27" customHeight="1">
      <c r="B207" s="935"/>
      <c r="C207" s="936"/>
      <c r="D207" s="361">
        <v>3</v>
      </c>
      <c r="E207" s="440" t="s">
        <v>386</v>
      </c>
      <c r="F207" s="364">
        <f t="shared" si="130"/>
        <v>6379.2160000000122</v>
      </c>
      <c r="G207" s="365">
        <v>127.84000000000002</v>
      </c>
      <c r="H207" s="442">
        <v>3677.04</v>
      </c>
      <c r="I207" s="442">
        <v>3677.04</v>
      </c>
      <c r="J207" s="444">
        <f t="shared" si="131"/>
        <v>1</v>
      </c>
      <c r="K207" s="443">
        <v>3677.04</v>
      </c>
      <c r="L207" s="444">
        <f t="shared" si="132"/>
        <v>1</v>
      </c>
      <c r="M207" s="443">
        <v>49.9</v>
      </c>
      <c r="N207" s="444">
        <f t="shared" si="133"/>
        <v>1.357069817026739E-2</v>
      </c>
      <c r="O207" s="445">
        <f t="shared" si="134"/>
        <v>3726.94</v>
      </c>
      <c r="P207" s="444">
        <f t="shared" si="135"/>
        <v>1.0135706981702675</v>
      </c>
      <c r="Q207" s="442">
        <v>9.27</v>
      </c>
      <c r="R207" s="444">
        <f t="shared" si="136"/>
        <v>2.5210495398472685E-3</v>
      </c>
      <c r="S207" s="452">
        <f t="shared" si="137"/>
        <v>1185.0768</v>
      </c>
      <c r="T207" s="445">
        <f t="shared" si="138"/>
        <v>49.900000000000091</v>
      </c>
      <c r="U207" s="444">
        <f t="shared" si="139"/>
        <v>1.3570698170267414E-2</v>
      </c>
      <c r="V207" s="457">
        <f t="shared" si="140"/>
        <v>40.630000000000095</v>
      </c>
      <c r="W207" s="458">
        <f t="shared" si="141"/>
        <v>1.1049648630420147E-2</v>
      </c>
      <c r="X207" s="459">
        <f t="shared" si="142"/>
        <v>5194.1392000000133</v>
      </c>
      <c r="Y207" s="366" t="s">
        <v>174</v>
      </c>
      <c r="Z207" s="366" t="s">
        <v>428</v>
      </c>
      <c r="AA207" s="367"/>
      <c r="AB207" s="367"/>
      <c r="AC207" s="367">
        <v>1</v>
      </c>
      <c r="AD207" s="446" t="s">
        <v>340</v>
      </c>
      <c r="AF207" s="374">
        <f>SUM(AC205:AC224)</f>
        <v>20</v>
      </c>
      <c r="AG207" s="369">
        <f>SUMIF($Z$205:$Z$224,TRIM(AG206),$AC$205:$AC$224)</f>
        <v>0</v>
      </c>
      <c r="AH207" s="369">
        <f t="shared" ref="AH207:AM207" si="143">SUMIF($Z$205:$Z$224,TRIM(AH206),$AC$205:$AC$224)</f>
        <v>0</v>
      </c>
      <c r="AI207" s="369">
        <f t="shared" si="143"/>
        <v>0</v>
      </c>
      <c r="AJ207" s="369">
        <f t="shared" si="143"/>
        <v>13</v>
      </c>
      <c r="AK207" s="369">
        <f t="shared" si="143"/>
        <v>1</v>
      </c>
      <c r="AL207" s="369">
        <f t="shared" si="143"/>
        <v>6</v>
      </c>
      <c r="AM207" s="369">
        <f t="shared" si="143"/>
        <v>0</v>
      </c>
    </row>
    <row r="208" spans="2:39" s="147" customFormat="1" ht="27" customHeight="1">
      <c r="B208" s="935"/>
      <c r="C208" s="936"/>
      <c r="D208" s="361">
        <v>4</v>
      </c>
      <c r="E208" s="440" t="s">
        <v>534</v>
      </c>
      <c r="F208" s="364">
        <f t="shared" si="130"/>
        <v>5476.3916999999528</v>
      </c>
      <c r="G208" s="365">
        <v>39.389999999999993</v>
      </c>
      <c r="H208" s="442">
        <v>25178.400000000001</v>
      </c>
      <c r="I208" s="442">
        <v>25178.400000000001</v>
      </c>
      <c r="J208" s="444">
        <f t="shared" si="131"/>
        <v>1</v>
      </c>
      <c r="K208" s="443">
        <v>25178.400000000001</v>
      </c>
      <c r="L208" s="444">
        <f t="shared" si="132"/>
        <v>1</v>
      </c>
      <c r="M208" s="443">
        <v>139.03</v>
      </c>
      <c r="N208" s="444">
        <f t="shared" si="133"/>
        <v>5.5217964604581705E-3</v>
      </c>
      <c r="O208" s="445">
        <f t="shared" si="134"/>
        <v>25317.43</v>
      </c>
      <c r="P208" s="444">
        <f t="shared" si="135"/>
        <v>1.0055217964604581</v>
      </c>
      <c r="Q208" s="442">
        <v>28.92</v>
      </c>
      <c r="R208" s="444">
        <f t="shared" si="136"/>
        <v>1.1486035649604424E-3</v>
      </c>
      <c r="S208" s="452">
        <f t="shared" si="137"/>
        <v>1139.1587999999999</v>
      </c>
      <c r="T208" s="445">
        <f t="shared" si="138"/>
        <v>139.02999999999884</v>
      </c>
      <c r="U208" s="444">
        <f t="shared" si="139"/>
        <v>5.5217964604581237E-3</v>
      </c>
      <c r="V208" s="457">
        <f t="shared" si="140"/>
        <v>110.10999999999883</v>
      </c>
      <c r="W208" s="458">
        <f t="shared" si="141"/>
        <v>4.3731928954976818E-3</v>
      </c>
      <c r="X208" s="459">
        <f t="shared" si="142"/>
        <v>4337.2328999999536</v>
      </c>
      <c r="Y208" s="366" t="s">
        <v>174</v>
      </c>
      <c r="Z208" s="366" t="s">
        <v>216</v>
      </c>
      <c r="AA208" s="367"/>
      <c r="AB208" s="367"/>
      <c r="AC208" s="367">
        <v>1</v>
      </c>
      <c r="AD208" s="446" t="s">
        <v>340</v>
      </c>
      <c r="AF208" s="375" t="s">
        <v>11</v>
      </c>
      <c r="AG208" s="372">
        <f>SUMIF($Z$205:$Z$224,TRIM(AG206),$F$205:$F$224)</f>
        <v>0</v>
      </c>
      <c r="AH208" s="372">
        <f t="shared" ref="AH208:AM208" si="144">SUMIF($Z$205:$Z$224,TRIM(AH206),$F$205:$F$224)</f>
        <v>0</v>
      </c>
      <c r="AI208" s="372">
        <f t="shared" si="144"/>
        <v>0</v>
      </c>
      <c r="AJ208" s="372">
        <f t="shared" si="144"/>
        <v>51502.644800000031</v>
      </c>
      <c r="AK208" s="372">
        <f t="shared" si="144"/>
        <v>9664.0365000000293</v>
      </c>
      <c r="AL208" s="372">
        <f t="shared" si="144"/>
        <v>28695.622699999996</v>
      </c>
      <c r="AM208" s="372">
        <f t="shared" si="144"/>
        <v>0</v>
      </c>
    </row>
    <row r="209" spans="2:39" s="147" customFormat="1" ht="27" customHeight="1">
      <c r="B209" s="935"/>
      <c r="C209" s="936"/>
      <c r="D209" s="361">
        <v>5</v>
      </c>
      <c r="E209" s="440" t="s">
        <v>461</v>
      </c>
      <c r="F209" s="364">
        <f t="shared" si="130"/>
        <v>5153.8336000000418</v>
      </c>
      <c r="G209" s="365">
        <v>407.74000000000007</v>
      </c>
      <c r="H209" s="442">
        <v>1055.45</v>
      </c>
      <c r="I209" s="442">
        <v>1055.45</v>
      </c>
      <c r="J209" s="444">
        <f t="shared" si="131"/>
        <v>1</v>
      </c>
      <c r="K209" s="443">
        <v>1055.45</v>
      </c>
      <c r="L209" s="444">
        <f t="shared" si="132"/>
        <v>1</v>
      </c>
      <c r="M209" s="443">
        <v>12.64</v>
      </c>
      <c r="N209" s="444">
        <f t="shared" si="133"/>
        <v>1.1975934435548818E-2</v>
      </c>
      <c r="O209" s="445">
        <f t="shared" si="134"/>
        <v>1068.0900000000001</v>
      </c>
      <c r="P209" s="444">
        <f t="shared" si="135"/>
        <v>1.011975934435549</v>
      </c>
      <c r="Q209" s="442">
        <v>2.98</v>
      </c>
      <c r="R209" s="444">
        <f t="shared" si="136"/>
        <v>2.8234402387607182E-3</v>
      </c>
      <c r="S209" s="452">
        <f t="shared" si="137"/>
        <v>1215.0652000000002</v>
      </c>
      <c r="T209" s="445">
        <f t="shared" si="138"/>
        <v>12.6400000000001</v>
      </c>
      <c r="U209" s="444">
        <f t="shared" si="139"/>
        <v>1.1975934435548912E-2</v>
      </c>
      <c r="V209" s="457">
        <f t="shared" si="140"/>
        <v>9.6600000000000996</v>
      </c>
      <c r="W209" s="458">
        <f t="shared" si="141"/>
        <v>9.152494196788194E-3</v>
      </c>
      <c r="X209" s="459">
        <f t="shared" si="142"/>
        <v>3938.7684000000413</v>
      </c>
      <c r="Y209" s="366" t="s">
        <v>174</v>
      </c>
      <c r="Z209" s="366" t="s">
        <v>216</v>
      </c>
      <c r="AA209" s="367"/>
      <c r="AB209" s="367"/>
      <c r="AC209" s="367">
        <v>1</v>
      </c>
      <c r="AD209" s="446" t="s">
        <v>463</v>
      </c>
      <c r="AF209" s="361" t="s">
        <v>563</v>
      </c>
      <c r="AG209" s="373">
        <f t="shared" ref="AG209:AM209" si="145">AG207/$AF207</f>
        <v>0</v>
      </c>
      <c r="AH209" s="373">
        <f t="shared" si="145"/>
        <v>0</v>
      </c>
      <c r="AI209" s="373">
        <f t="shared" si="145"/>
        <v>0</v>
      </c>
      <c r="AJ209" s="373">
        <f t="shared" si="145"/>
        <v>0.65</v>
      </c>
      <c r="AK209" s="373">
        <f t="shared" si="145"/>
        <v>0.05</v>
      </c>
      <c r="AL209" s="373">
        <f t="shared" si="145"/>
        <v>0.3</v>
      </c>
      <c r="AM209" s="373">
        <f t="shared" si="145"/>
        <v>0</v>
      </c>
    </row>
    <row r="210" spans="2:39" s="147" customFormat="1" ht="27" customHeight="1">
      <c r="B210" s="935"/>
      <c r="C210" s="936"/>
      <c r="D210" s="361">
        <v>6</v>
      </c>
      <c r="E210" s="440" t="s">
        <v>633</v>
      </c>
      <c r="F210" s="364">
        <f t="shared" si="130"/>
        <v>4425.0879999999916</v>
      </c>
      <c r="G210" s="365">
        <v>144.79999999999998</v>
      </c>
      <c r="H210" s="442">
        <v>1788.5900000000001</v>
      </c>
      <c r="I210" s="442">
        <v>1788.5900000000001</v>
      </c>
      <c r="J210" s="444">
        <f t="shared" si="131"/>
        <v>1</v>
      </c>
      <c r="K210" s="443">
        <v>1788.5900000000001</v>
      </c>
      <c r="L210" s="444">
        <f t="shared" si="132"/>
        <v>1</v>
      </c>
      <c r="M210" s="443">
        <v>30.560000000000002</v>
      </c>
      <c r="N210" s="444">
        <f t="shared" si="133"/>
        <v>1.7086084569409424E-2</v>
      </c>
      <c r="O210" s="445">
        <f t="shared" si="134"/>
        <v>1819.15</v>
      </c>
      <c r="P210" s="444">
        <f t="shared" si="135"/>
        <v>1.0170860845694094</v>
      </c>
      <c r="Q210" s="442">
        <v>5.85</v>
      </c>
      <c r="R210" s="444">
        <f t="shared" si="136"/>
        <v>3.2707328118797485E-3</v>
      </c>
      <c r="S210" s="452">
        <f t="shared" si="137"/>
        <v>847.07999999999981</v>
      </c>
      <c r="T210" s="445">
        <f t="shared" si="138"/>
        <v>30.559999999999945</v>
      </c>
      <c r="U210" s="444">
        <f t="shared" si="139"/>
        <v>1.7086084569409393E-2</v>
      </c>
      <c r="V210" s="457">
        <f t="shared" si="140"/>
        <v>24.709999999999944</v>
      </c>
      <c r="W210" s="458">
        <f t="shared" si="141"/>
        <v>1.3815351757529641E-2</v>
      </c>
      <c r="X210" s="459">
        <f t="shared" si="142"/>
        <v>3578.0079999999916</v>
      </c>
      <c r="Y210" s="366" t="s">
        <v>174</v>
      </c>
      <c r="Z210" s="366" t="s">
        <v>428</v>
      </c>
      <c r="AA210" s="367"/>
      <c r="AB210" s="367"/>
      <c r="AC210" s="367">
        <v>1</v>
      </c>
      <c r="AD210" s="446" t="s">
        <v>340</v>
      </c>
    </row>
    <row r="211" spans="2:39" s="147" customFormat="1" ht="27" customHeight="1">
      <c r="B211" s="935"/>
      <c r="C211" s="936"/>
      <c r="D211" s="361">
        <v>7</v>
      </c>
      <c r="E211" s="440" t="s">
        <v>771</v>
      </c>
      <c r="F211" s="364">
        <f t="shared" si="130"/>
        <v>4284.7973999999886</v>
      </c>
      <c r="G211" s="365">
        <v>52.26</v>
      </c>
      <c r="H211" s="442">
        <v>4942.3499999999995</v>
      </c>
      <c r="I211" s="442">
        <v>4942.3499999999995</v>
      </c>
      <c r="J211" s="444">
        <f t="shared" si="131"/>
        <v>1</v>
      </c>
      <c r="K211" s="443">
        <v>4942.3499999999995</v>
      </c>
      <c r="L211" s="444">
        <f t="shared" si="132"/>
        <v>1</v>
      </c>
      <c r="M211" s="443">
        <v>81.990000000000009</v>
      </c>
      <c r="N211" s="444">
        <f t="shared" si="133"/>
        <v>1.6589274333060188E-2</v>
      </c>
      <c r="O211" s="445">
        <f t="shared" si="134"/>
        <v>5024.3399999999992</v>
      </c>
      <c r="P211" s="444">
        <f t="shared" si="135"/>
        <v>1.0165892743330602</v>
      </c>
      <c r="Q211" s="442">
        <v>17.259999999999998</v>
      </c>
      <c r="R211" s="444">
        <f t="shared" si="136"/>
        <v>3.4922658249618098E-3</v>
      </c>
      <c r="S211" s="452">
        <f t="shared" si="137"/>
        <v>902.00759999999991</v>
      </c>
      <c r="T211" s="445">
        <f t="shared" si="138"/>
        <v>81.989999999999782</v>
      </c>
      <c r="U211" s="444">
        <f t="shared" si="139"/>
        <v>1.6589274333060143E-2</v>
      </c>
      <c r="V211" s="457">
        <f t="shared" si="140"/>
        <v>64.729999999999791</v>
      </c>
      <c r="W211" s="458">
        <f t="shared" si="141"/>
        <v>1.3097008508098333E-2</v>
      </c>
      <c r="X211" s="459">
        <f t="shared" si="142"/>
        <v>3382.7897999999891</v>
      </c>
      <c r="Y211" s="366" t="s">
        <v>174</v>
      </c>
      <c r="Z211" s="366" t="s">
        <v>216</v>
      </c>
      <c r="AA211" s="367"/>
      <c r="AB211" s="367"/>
      <c r="AC211" s="367">
        <v>1</v>
      </c>
      <c r="AD211" s="446" t="s">
        <v>752</v>
      </c>
    </row>
    <row r="212" spans="2:39" s="147" customFormat="1" ht="27" customHeight="1">
      <c r="B212" s="935"/>
      <c r="C212" s="936"/>
      <c r="D212" s="361">
        <v>8</v>
      </c>
      <c r="E212" s="440" t="s">
        <v>420</v>
      </c>
      <c r="F212" s="364">
        <f t="shared" si="130"/>
        <v>4230.9159999999938</v>
      </c>
      <c r="G212" s="365">
        <v>157.87000000000003</v>
      </c>
      <c r="H212" s="442">
        <v>1547.94</v>
      </c>
      <c r="I212" s="442">
        <v>1547.94</v>
      </c>
      <c r="J212" s="444">
        <f t="shared" si="131"/>
        <v>1</v>
      </c>
      <c r="K212" s="443">
        <v>1547.94</v>
      </c>
      <c r="L212" s="444">
        <f t="shared" si="132"/>
        <v>1</v>
      </c>
      <c r="M212" s="443">
        <v>26.799999999999997</v>
      </c>
      <c r="N212" s="444">
        <f t="shared" si="133"/>
        <v>1.7313332558109486E-2</v>
      </c>
      <c r="O212" s="445">
        <f t="shared" si="134"/>
        <v>1574.74</v>
      </c>
      <c r="P212" s="444">
        <f t="shared" si="135"/>
        <v>1.0173133325581094</v>
      </c>
      <c r="Q212" s="442">
        <v>4.53</v>
      </c>
      <c r="R212" s="444">
        <f t="shared" si="136"/>
        <v>2.9264700182177602E-3</v>
      </c>
      <c r="S212" s="452">
        <f t="shared" si="137"/>
        <v>715.15110000000016</v>
      </c>
      <c r="T212" s="445">
        <f t="shared" si="138"/>
        <v>26.799999999999955</v>
      </c>
      <c r="U212" s="444">
        <f t="shared" si="139"/>
        <v>1.7313332558109459E-2</v>
      </c>
      <c r="V212" s="457">
        <f t="shared" si="140"/>
        <v>22.269999999999953</v>
      </c>
      <c r="W212" s="458">
        <f t="shared" si="141"/>
        <v>1.4386862539891696E-2</v>
      </c>
      <c r="X212" s="459">
        <f t="shared" si="142"/>
        <v>3515.7648999999933</v>
      </c>
      <c r="Y212" s="366" t="s">
        <v>174</v>
      </c>
      <c r="Z212" s="366" t="s">
        <v>428</v>
      </c>
      <c r="AA212" s="367"/>
      <c r="AB212" s="367"/>
      <c r="AC212" s="367">
        <v>1</v>
      </c>
      <c r="AD212" s="446" t="s">
        <v>340</v>
      </c>
    </row>
    <row r="213" spans="2:39" s="147" customFormat="1" ht="27" customHeight="1">
      <c r="B213" s="935"/>
      <c r="C213" s="936"/>
      <c r="D213" s="361">
        <v>9</v>
      </c>
      <c r="E213" s="440" t="s">
        <v>713</v>
      </c>
      <c r="F213" s="364">
        <f t="shared" si="130"/>
        <v>4190.095800000021</v>
      </c>
      <c r="G213" s="365">
        <v>426.69</v>
      </c>
      <c r="H213" s="442">
        <v>905.77</v>
      </c>
      <c r="I213" s="442">
        <v>905.77</v>
      </c>
      <c r="J213" s="444">
        <f t="shared" si="131"/>
        <v>1</v>
      </c>
      <c r="K213" s="443">
        <v>905.77</v>
      </c>
      <c r="L213" s="444">
        <f t="shared" si="132"/>
        <v>1</v>
      </c>
      <c r="M213" s="443">
        <v>9.82</v>
      </c>
      <c r="N213" s="444">
        <f t="shared" si="133"/>
        <v>1.0841604380803074E-2</v>
      </c>
      <c r="O213" s="445">
        <f t="shared" si="134"/>
        <v>915.59</v>
      </c>
      <c r="P213" s="444">
        <f t="shared" si="135"/>
        <v>1.0108416043808031</v>
      </c>
      <c r="Q213" s="442">
        <v>2.4</v>
      </c>
      <c r="R213" s="444">
        <f t="shared" si="136"/>
        <v>2.6496792784040098E-3</v>
      </c>
      <c r="S213" s="452">
        <f t="shared" si="137"/>
        <v>1024.056</v>
      </c>
      <c r="T213" s="445">
        <f t="shared" si="138"/>
        <v>9.82000000000005</v>
      </c>
      <c r="U213" s="444">
        <f t="shared" si="139"/>
        <v>1.084160438080313E-2</v>
      </c>
      <c r="V213" s="457">
        <f t="shared" si="140"/>
        <v>7.4200000000000497</v>
      </c>
      <c r="W213" s="458">
        <f t="shared" si="141"/>
        <v>8.1919251023991196E-3</v>
      </c>
      <c r="X213" s="459">
        <f t="shared" si="142"/>
        <v>3166.0398000000214</v>
      </c>
      <c r="Y213" s="366" t="s">
        <v>174</v>
      </c>
      <c r="Z213" s="366" t="s">
        <v>428</v>
      </c>
      <c r="AA213" s="367"/>
      <c r="AB213" s="367"/>
      <c r="AC213" s="367">
        <v>1</v>
      </c>
      <c r="AD213" s="446" t="s">
        <v>358</v>
      </c>
      <c r="AH213" s="370"/>
    </row>
    <row r="214" spans="2:39" s="147" customFormat="1" ht="27" customHeight="1">
      <c r="B214" s="935"/>
      <c r="C214" s="936"/>
      <c r="D214" s="361">
        <v>10</v>
      </c>
      <c r="E214" s="440" t="s">
        <v>470</v>
      </c>
      <c r="F214" s="364">
        <f t="shared" si="130"/>
        <v>4106.0376000000188</v>
      </c>
      <c r="G214" s="365">
        <v>266.27999999999997</v>
      </c>
      <c r="H214" s="442">
        <v>1054.8400000000001</v>
      </c>
      <c r="I214" s="442">
        <v>1054.8400000000001</v>
      </c>
      <c r="J214" s="444">
        <f t="shared" si="131"/>
        <v>1</v>
      </c>
      <c r="K214" s="443">
        <v>1054.8400000000001</v>
      </c>
      <c r="L214" s="444">
        <f t="shared" si="132"/>
        <v>1</v>
      </c>
      <c r="M214" s="443">
        <v>15.42</v>
      </c>
      <c r="N214" s="444">
        <f t="shared" si="133"/>
        <v>1.4618330742103065E-2</v>
      </c>
      <c r="O214" s="445">
        <f t="shared" si="134"/>
        <v>1070.2600000000002</v>
      </c>
      <c r="P214" s="444">
        <f t="shared" si="135"/>
        <v>1.0146183307421031</v>
      </c>
      <c r="Q214" s="442">
        <v>2.6</v>
      </c>
      <c r="R214" s="444">
        <f t="shared" si="136"/>
        <v>2.4648287892002577E-3</v>
      </c>
      <c r="S214" s="452">
        <f t="shared" si="137"/>
        <v>692.32799999999997</v>
      </c>
      <c r="T214" s="445">
        <f t="shared" si="138"/>
        <v>15.420000000000073</v>
      </c>
      <c r="U214" s="444">
        <f t="shared" si="139"/>
        <v>1.4618330742103135E-2</v>
      </c>
      <c r="V214" s="457">
        <f t="shared" si="140"/>
        <v>12.820000000000073</v>
      </c>
      <c r="W214" s="458">
        <f t="shared" si="141"/>
        <v>1.2153501952902877E-2</v>
      </c>
      <c r="X214" s="459">
        <f t="shared" si="142"/>
        <v>3413.7096000000192</v>
      </c>
      <c r="Y214" s="366" t="s">
        <v>174</v>
      </c>
      <c r="Z214" s="366" t="s">
        <v>428</v>
      </c>
      <c r="AA214" s="367"/>
      <c r="AB214" s="367"/>
      <c r="AC214" s="367">
        <v>1</v>
      </c>
      <c r="AD214" s="446" t="s">
        <v>471</v>
      </c>
      <c r="AH214" s="370"/>
    </row>
    <row r="215" spans="2:39" s="147" customFormat="1" ht="27" customHeight="1">
      <c r="B215" s="935"/>
      <c r="C215" s="936"/>
      <c r="D215" s="361">
        <v>11</v>
      </c>
      <c r="E215" s="440" t="s">
        <v>855</v>
      </c>
      <c r="F215" s="364">
        <f t="shared" si="130"/>
        <v>4088.7999999999965</v>
      </c>
      <c r="G215" s="365">
        <v>760</v>
      </c>
      <c r="H215" s="442">
        <v>250</v>
      </c>
      <c r="I215" s="442">
        <v>250</v>
      </c>
      <c r="J215" s="444">
        <f t="shared" si="131"/>
        <v>1</v>
      </c>
      <c r="K215" s="443">
        <v>250</v>
      </c>
      <c r="L215" s="444">
        <f t="shared" si="132"/>
        <v>1</v>
      </c>
      <c r="M215" s="443">
        <v>5.3800000000000008</v>
      </c>
      <c r="N215" s="444">
        <f t="shared" si="133"/>
        <v>2.1520000000000004E-2</v>
      </c>
      <c r="O215" s="445">
        <f t="shared" si="134"/>
        <v>255.38</v>
      </c>
      <c r="P215" s="444">
        <f t="shared" si="135"/>
        <v>1.02152</v>
      </c>
      <c r="Q215" s="442">
        <v>0.94000000000000006</v>
      </c>
      <c r="R215" s="444">
        <f t="shared" si="136"/>
        <v>3.7600000000000003E-3</v>
      </c>
      <c r="S215" s="452">
        <f t="shared" si="137"/>
        <v>714.40000000000009</v>
      </c>
      <c r="T215" s="445">
        <f t="shared" si="138"/>
        <v>5.3799999999999955</v>
      </c>
      <c r="U215" s="444">
        <f t="shared" si="139"/>
        <v>2.151999999999998E-2</v>
      </c>
      <c r="V215" s="457">
        <f t="shared" si="140"/>
        <v>4.4399999999999951</v>
      </c>
      <c r="W215" s="458">
        <f t="shared" si="141"/>
        <v>1.7759999999999981E-2</v>
      </c>
      <c r="X215" s="459">
        <f t="shared" si="142"/>
        <v>3374.3999999999965</v>
      </c>
      <c r="Y215" s="366" t="s">
        <v>174</v>
      </c>
      <c r="Z215" s="366" t="s">
        <v>428</v>
      </c>
      <c r="AA215" s="367"/>
      <c r="AB215" s="367"/>
      <c r="AC215" s="367">
        <v>1</v>
      </c>
      <c r="AD215" s="446" t="s">
        <v>846</v>
      </c>
      <c r="AH215" s="370"/>
    </row>
    <row r="216" spans="2:39" s="147" customFormat="1" ht="27" customHeight="1">
      <c r="B216" s="935"/>
      <c r="C216" s="936"/>
      <c r="D216" s="361">
        <v>12</v>
      </c>
      <c r="E216" s="440" t="s">
        <v>544</v>
      </c>
      <c r="F216" s="364">
        <f t="shared" si="130"/>
        <v>3758.2859999999887</v>
      </c>
      <c r="G216" s="365">
        <v>62.43</v>
      </c>
      <c r="H216" s="442">
        <v>3651.6099999999997</v>
      </c>
      <c r="I216" s="442">
        <v>3651.6099999999997</v>
      </c>
      <c r="J216" s="444">
        <f t="shared" si="131"/>
        <v>1</v>
      </c>
      <c r="K216" s="443">
        <v>3651.6099999999997</v>
      </c>
      <c r="L216" s="444">
        <f t="shared" si="132"/>
        <v>1</v>
      </c>
      <c r="M216" s="443">
        <v>60.2</v>
      </c>
      <c r="N216" s="444">
        <f t="shared" si="133"/>
        <v>1.6485878831529108E-2</v>
      </c>
      <c r="O216" s="445">
        <f t="shared" si="134"/>
        <v>3711.8099999999995</v>
      </c>
      <c r="P216" s="444">
        <f t="shared" si="135"/>
        <v>1.016485878831529</v>
      </c>
      <c r="Q216" s="442">
        <v>16.23</v>
      </c>
      <c r="R216" s="444">
        <f t="shared" si="136"/>
        <v>4.4446148411248741E-3</v>
      </c>
      <c r="S216" s="452">
        <f t="shared" si="137"/>
        <v>1013.2389000000001</v>
      </c>
      <c r="T216" s="445">
        <f t="shared" si="138"/>
        <v>60.199999999999818</v>
      </c>
      <c r="U216" s="444">
        <f t="shared" si="139"/>
        <v>1.6485878831529056E-2</v>
      </c>
      <c r="V216" s="457">
        <f t="shared" si="140"/>
        <v>43.969999999999814</v>
      </c>
      <c r="W216" s="458">
        <f t="shared" si="141"/>
        <v>1.2041263990404182E-2</v>
      </c>
      <c r="X216" s="459">
        <f t="shared" si="142"/>
        <v>2745.0470999999884</v>
      </c>
      <c r="Y216" s="366" t="s">
        <v>174</v>
      </c>
      <c r="Z216" s="366" t="s">
        <v>216</v>
      </c>
      <c r="AA216" s="367"/>
      <c r="AB216" s="367"/>
      <c r="AC216" s="367">
        <v>1</v>
      </c>
      <c r="AD216" s="446" t="s">
        <v>850</v>
      </c>
      <c r="AH216" s="370"/>
    </row>
    <row r="217" spans="2:39" s="147" customFormat="1" ht="27" customHeight="1">
      <c r="B217" s="935"/>
      <c r="C217" s="936"/>
      <c r="D217" s="361">
        <v>13</v>
      </c>
      <c r="E217" s="440" t="s">
        <v>882</v>
      </c>
      <c r="F217" s="364">
        <f t="shared" si="130"/>
        <v>3713.1876000000011</v>
      </c>
      <c r="G217" s="365">
        <v>126.99</v>
      </c>
      <c r="H217" s="442">
        <v>1043.52</v>
      </c>
      <c r="I217" s="442">
        <v>1043.52</v>
      </c>
      <c r="J217" s="444">
        <f t="shared" si="131"/>
        <v>1</v>
      </c>
      <c r="K217" s="443">
        <v>1043.52</v>
      </c>
      <c r="L217" s="444">
        <f t="shared" si="132"/>
        <v>1</v>
      </c>
      <c r="M217" s="443">
        <v>29.24</v>
      </c>
      <c r="N217" s="444">
        <f t="shared" si="133"/>
        <v>2.8020545844832871E-2</v>
      </c>
      <c r="O217" s="445">
        <f t="shared" si="134"/>
        <v>1072.76</v>
      </c>
      <c r="P217" s="444">
        <f t="shared" si="135"/>
        <v>1.0280205458448328</v>
      </c>
      <c r="Q217" s="442">
        <v>6.66</v>
      </c>
      <c r="R217" s="444">
        <f t="shared" si="136"/>
        <v>6.3822447102115914E-3</v>
      </c>
      <c r="S217" s="452">
        <f t="shared" si="137"/>
        <v>845.75339999999994</v>
      </c>
      <c r="T217" s="445">
        <f t="shared" si="138"/>
        <v>29.240000000000009</v>
      </c>
      <c r="U217" s="444">
        <f t="shared" si="139"/>
        <v>2.8020545844832882E-2</v>
      </c>
      <c r="V217" s="457">
        <f t="shared" si="140"/>
        <v>22.580000000000009</v>
      </c>
      <c r="W217" s="458">
        <f t="shared" si="141"/>
        <v>2.1638301134621292E-2</v>
      </c>
      <c r="X217" s="459">
        <f t="shared" si="142"/>
        <v>2867.4342000000011</v>
      </c>
      <c r="Y217" s="366" t="s">
        <v>174</v>
      </c>
      <c r="Z217" s="366" t="s">
        <v>428</v>
      </c>
      <c r="AA217" s="367"/>
      <c r="AB217" s="367"/>
      <c r="AC217" s="367">
        <v>1</v>
      </c>
      <c r="AD217" s="446" t="s">
        <v>340</v>
      </c>
    </row>
    <row r="218" spans="2:39" s="147" customFormat="1" ht="27" customHeight="1">
      <c r="B218" s="935"/>
      <c r="C218" s="936"/>
      <c r="D218" s="361">
        <v>14</v>
      </c>
      <c r="E218" s="440" t="s">
        <v>432</v>
      </c>
      <c r="F218" s="364">
        <f t="shared" si="130"/>
        <v>3651.9488000000051</v>
      </c>
      <c r="G218" s="365">
        <v>368.13999999999993</v>
      </c>
      <c r="H218" s="442">
        <v>395.5</v>
      </c>
      <c r="I218" s="442">
        <v>395.5</v>
      </c>
      <c r="J218" s="444">
        <f t="shared" si="131"/>
        <v>1</v>
      </c>
      <c r="K218" s="443">
        <v>395.5</v>
      </c>
      <c r="L218" s="444">
        <f t="shared" si="132"/>
        <v>1</v>
      </c>
      <c r="M218" s="443">
        <v>9.9200000000000017</v>
      </c>
      <c r="N218" s="444">
        <f t="shared" si="133"/>
        <v>2.5082174462705442E-2</v>
      </c>
      <c r="O218" s="445">
        <f t="shared" si="134"/>
        <v>405.42</v>
      </c>
      <c r="P218" s="444">
        <f t="shared" si="135"/>
        <v>1.0250821744627054</v>
      </c>
      <c r="Q218" s="442">
        <v>2.37</v>
      </c>
      <c r="R218" s="444">
        <f t="shared" si="136"/>
        <v>5.992414664981037E-3</v>
      </c>
      <c r="S218" s="452">
        <f t="shared" si="137"/>
        <v>872.4917999999999</v>
      </c>
      <c r="T218" s="445">
        <f t="shared" si="138"/>
        <v>9.9200000000000159</v>
      </c>
      <c r="U218" s="444">
        <f t="shared" si="139"/>
        <v>2.5082174462705477E-2</v>
      </c>
      <c r="V218" s="457">
        <f t="shared" si="140"/>
        <v>7.5500000000000158</v>
      </c>
      <c r="W218" s="458">
        <f t="shared" si="141"/>
        <v>1.908975979772444E-2</v>
      </c>
      <c r="X218" s="459">
        <f t="shared" si="142"/>
        <v>2779.4570000000053</v>
      </c>
      <c r="Y218" s="366" t="s">
        <v>174</v>
      </c>
      <c r="Z218" s="366" t="s">
        <v>428</v>
      </c>
      <c r="AA218" s="367"/>
      <c r="AB218" s="367"/>
      <c r="AC218" s="367">
        <v>1</v>
      </c>
      <c r="AD218" s="446" t="s">
        <v>433</v>
      </c>
      <c r="AF218" s="957" t="s">
        <v>247</v>
      </c>
      <c r="AG218" s="958"/>
      <c r="AH218" s="958"/>
      <c r="AI218" s="958"/>
      <c r="AJ218" s="958"/>
      <c r="AK218" s="958"/>
      <c r="AL218" s="958"/>
      <c r="AM218" s="959"/>
    </row>
    <row r="219" spans="2:39" s="147" customFormat="1" ht="27" customHeight="1">
      <c r="B219" s="935"/>
      <c r="C219" s="936"/>
      <c r="D219" s="361">
        <v>15</v>
      </c>
      <c r="E219" s="440" t="s">
        <v>854</v>
      </c>
      <c r="F219" s="364">
        <f t="shared" si="130"/>
        <v>3571.354799999991</v>
      </c>
      <c r="G219" s="365">
        <v>339.16</v>
      </c>
      <c r="H219" s="442">
        <v>612.54</v>
      </c>
      <c r="I219" s="442">
        <v>612.54</v>
      </c>
      <c r="J219" s="444">
        <f t="shared" si="131"/>
        <v>1</v>
      </c>
      <c r="K219" s="443">
        <v>612.54</v>
      </c>
      <c r="L219" s="444">
        <f t="shared" si="132"/>
        <v>1</v>
      </c>
      <c r="M219" s="443">
        <v>10.53</v>
      </c>
      <c r="N219" s="444">
        <f t="shared" si="133"/>
        <v>1.7190714075815457E-2</v>
      </c>
      <c r="O219" s="445">
        <f t="shared" si="134"/>
        <v>623.06999999999994</v>
      </c>
      <c r="P219" s="444">
        <f t="shared" si="135"/>
        <v>1.0171907140758154</v>
      </c>
      <c r="Q219" s="442">
        <v>1.51</v>
      </c>
      <c r="R219" s="444">
        <f t="shared" si="136"/>
        <v>2.465145133379045E-3</v>
      </c>
      <c r="S219" s="452">
        <f t="shared" si="137"/>
        <v>512.13160000000005</v>
      </c>
      <c r="T219" s="445">
        <f t="shared" si="138"/>
        <v>10.529999999999973</v>
      </c>
      <c r="U219" s="444">
        <f t="shared" si="139"/>
        <v>1.7190714075815412E-2</v>
      </c>
      <c r="V219" s="457">
        <f t="shared" si="140"/>
        <v>9.0199999999999729</v>
      </c>
      <c r="W219" s="458">
        <f t="shared" si="141"/>
        <v>1.4725568942436368E-2</v>
      </c>
      <c r="X219" s="459">
        <f t="shared" si="142"/>
        <v>3059.2231999999913</v>
      </c>
      <c r="Y219" s="366" t="s">
        <v>174</v>
      </c>
      <c r="Z219" s="366" t="s">
        <v>428</v>
      </c>
      <c r="AA219" s="367"/>
      <c r="AB219" s="367"/>
      <c r="AC219" s="367">
        <v>1</v>
      </c>
      <c r="AD219" s="446" t="s">
        <v>856</v>
      </c>
      <c r="AF219" s="960"/>
      <c r="AG219" s="961"/>
      <c r="AH219" s="961"/>
      <c r="AI219" s="961"/>
      <c r="AJ219" s="961"/>
      <c r="AK219" s="961"/>
      <c r="AL219" s="961"/>
      <c r="AM219" s="962"/>
    </row>
    <row r="220" spans="2:39" s="147" customFormat="1" ht="27" customHeight="1">
      <c r="B220" s="935"/>
      <c r="C220" s="936"/>
      <c r="D220" s="361">
        <v>16</v>
      </c>
      <c r="E220" s="440" t="s">
        <v>666</v>
      </c>
      <c r="F220" s="364">
        <f t="shared" si="130"/>
        <v>3461.2120000000032</v>
      </c>
      <c r="G220" s="365">
        <v>127.72000000000001</v>
      </c>
      <c r="H220" s="442">
        <v>813</v>
      </c>
      <c r="I220" s="442">
        <v>813</v>
      </c>
      <c r="J220" s="444">
        <f t="shared" si="131"/>
        <v>1</v>
      </c>
      <c r="K220" s="443">
        <v>813</v>
      </c>
      <c r="L220" s="444">
        <f t="shared" si="132"/>
        <v>1</v>
      </c>
      <c r="M220" s="443">
        <v>27.1</v>
      </c>
      <c r="N220" s="444">
        <f t="shared" si="133"/>
        <v>3.3333333333333333E-2</v>
      </c>
      <c r="O220" s="445">
        <f t="shared" si="134"/>
        <v>840.1</v>
      </c>
      <c r="P220" s="444">
        <f t="shared" si="135"/>
        <v>1.0333333333333334</v>
      </c>
      <c r="Q220" s="442">
        <v>6.65</v>
      </c>
      <c r="R220" s="444">
        <f t="shared" si="136"/>
        <v>8.1795817958179584E-3</v>
      </c>
      <c r="S220" s="452">
        <f t="shared" si="137"/>
        <v>849.33800000000008</v>
      </c>
      <c r="T220" s="445">
        <f t="shared" si="138"/>
        <v>27.100000000000023</v>
      </c>
      <c r="U220" s="444">
        <f t="shared" si="139"/>
        <v>3.3333333333333361E-2</v>
      </c>
      <c r="V220" s="457">
        <f t="shared" si="140"/>
        <v>20.450000000000024</v>
      </c>
      <c r="W220" s="458">
        <f t="shared" si="141"/>
        <v>2.5153751537515406E-2</v>
      </c>
      <c r="X220" s="459">
        <f t="shared" si="142"/>
        <v>2611.8740000000034</v>
      </c>
      <c r="Y220" s="366" t="s">
        <v>174</v>
      </c>
      <c r="Z220" s="366" t="s">
        <v>428</v>
      </c>
      <c r="AA220" s="367"/>
      <c r="AB220" s="367"/>
      <c r="AC220" s="367">
        <v>1</v>
      </c>
      <c r="AD220" s="446" t="s">
        <v>580</v>
      </c>
      <c r="AF220" s="963"/>
      <c r="AG220" s="964"/>
      <c r="AH220" s="964"/>
      <c r="AI220" s="964"/>
      <c r="AJ220" s="964"/>
      <c r="AK220" s="964"/>
      <c r="AL220" s="964"/>
      <c r="AM220" s="965"/>
    </row>
    <row r="221" spans="2:39" s="147" customFormat="1" ht="27" customHeight="1">
      <c r="B221" s="935"/>
      <c r="C221" s="936"/>
      <c r="D221" s="361">
        <v>17</v>
      </c>
      <c r="E221" s="440" t="s">
        <v>620</v>
      </c>
      <c r="F221" s="364">
        <f t="shared" si="130"/>
        <v>3299.3607999999936</v>
      </c>
      <c r="G221" s="365">
        <v>95.439999999999984</v>
      </c>
      <c r="H221" s="442">
        <v>1379.25</v>
      </c>
      <c r="I221" s="442">
        <v>1379.25</v>
      </c>
      <c r="J221" s="444">
        <f t="shared" si="131"/>
        <v>1</v>
      </c>
      <c r="K221" s="443">
        <v>1379.25</v>
      </c>
      <c r="L221" s="444">
        <f t="shared" si="132"/>
        <v>1</v>
      </c>
      <c r="M221" s="443">
        <v>34.57</v>
      </c>
      <c r="N221" s="444">
        <f t="shared" si="133"/>
        <v>2.5064346565162227E-2</v>
      </c>
      <c r="O221" s="445">
        <f t="shared" si="134"/>
        <v>1413.82</v>
      </c>
      <c r="P221" s="444">
        <f t="shared" si="135"/>
        <v>1.0250643465651621</v>
      </c>
      <c r="Q221" s="442">
        <v>8.9</v>
      </c>
      <c r="R221" s="444">
        <f t="shared" si="136"/>
        <v>6.4527823092260291E-3</v>
      </c>
      <c r="S221" s="452">
        <f t="shared" si="137"/>
        <v>849.41599999999994</v>
      </c>
      <c r="T221" s="445">
        <f t="shared" si="138"/>
        <v>34.569999999999936</v>
      </c>
      <c r="U221" s="444">
        <f t="shared" si="139"/>
        <v>2.5064346565162179E-2</v>
      </c>
      <c r="V221" s="457">
        <f t="shared" si="140"/>
        <v>25.669999999999938</v>
      </c>
      <c r="W221" s="458">
        <f t="shared" si="141"/>
        <v>1.8611564255936151E-2</v>
      </c>
      <c r="X221" s="459">
        <f t="shared" si="142"/>
        <v>2449.9447999999938</v>
      </c>
      <c r="Y221" s="366" t="s">
        <v>174</v>
      </c>
      <c r="Z221" s="366" t="s">
        <v>428</v>
      </c>
      <c r="AA221" s="367"/>
      <c r="AB221" s="367"/>
      <c r="AC221" s="367">
        <v>1</v>
      </c>
      <c r="AD221" s="446" t="s">
        <v>340</v>
      </c>
      <c r="AF221" s="160" t="s">
        <v>244</v>
      </c>
      <c r="AG221" s="160" t="s">
        <v>445</v>
      </c>
      <c r="AH221" s="155" t="s">
        <v>383</v>
      </c>
      <c r="AI221" s="155" t="s">
        <v>337</v>
      </c>
      <c r="AJ221" s="155" t="s">
        <v>428</v>
      </c>
      <c r="AK221" s="155" t="s">
        <v>215</v>
      </c>
      <c r="AL221" s="155" t="s">
        <v>216</v>
      </c>
      <c r="AM221" s="155" t="s">
        <v>384</v>
      </c>
    </row>
    <row r="222" spans="2:39" s="147" customFormat="1" ht="27" customHeight="1">
      <c r="B222" s="935"/>
      <c r="C222" s="936"/>
      <c r="D222" s="361">
        <v>18</v>
      </c>
      <c r="E222" s="440" t="s">
        <v>545</v>
      </c>
      <c r="F222" s="364">
        <f t="shared" si="130"/>
        <v>3255.5799000000011</v>
      </c>
      <c r="G222" s="365">
        <v>66.13</v>
      </c>
      <c r="H222" s="442">
        <v>1930.46</v>
      </c>
      <c r="I222" s="442">
        <v>1930.46</v>
      </c>
      <c r="J222" s="444">
        <f t="shared" si="131"/>
        <v>1</v>
      </c>
      <c r="K222" s="443">
        <v>1930.46</v>
      </c>
      <c r="L222" s="444">
        <f t="shared" si="132"/>
        <v>1</v>
      </c>
      <c r="M222" s="443">
        <v>49.230000000000004</v>
      </c>
      <c r="N222" s="444">
        <f t="shared" si="133"/>
        <v>2.5501693896791439E-2</v>
      </c>
      <c r="O222" s="445">
        <f t="shared" si="134"/>
        <v>1979.69</v>
      </c>
      <c r="P222" s="444">
        <f t="shared" si="135"/>
        <v>1.0255016938967914</v>
      </c>
      <c r="Q222" s="442">
        <v>12.86</v>
      </c>
      <c r="R222" s="444">
        <f t="shared" si="136"/>
        <v>6.6616246904882773E-3</v>
      </c>
      <c r="S222" s="452">
        <f t="shared" si="137"/>
        <v>850.43179999999995</v>
      </c>
      <c r="T222" s="445">
        <f t="shared" si="138"/>
        <v>49.230000000000018</v>
      </c>
      <c r="U222" s="444">
        <f t="shared" si="139"/>
        <v>2.5501693896791446E-2</v>
      </c>
      <c r="V222" s="457">
        <f t="shared" si="140"/>
        <v>36.370000000000019</v>
      </c>
      <c r="W222" s="458">
        <f t="shared" si="141"/>
        <v>1.884006920630317E-2</v>
      </c>
      <c r="X222" s="459">
        <f t="shared" si="142"/>
        <v>2405.1481000000013</v>
      </c>
      <c r="Y222" s="366" t="s">
        <v>174</v>
      </c>
      <c r="Z222" s="366" t="s">
        <v>428</v>
      </c>
      <c r="AA222" s="367"/>
      <c r="AB222" s="367"/>
      <c r="AC222" s="367">
        <v>1</v>
      </c>
      <c r="AD222" s="446" t="s">
        <v>341</v>
      </c>
      <c r="AE222" s="453" t="s">
        <v>610</v>
      </c>
      <c r="AF222" s="374">
        <f>AF141+AF163+AF119+AF185+AF207</f>
        <v>100</v>
      </c>
      <c r="AG222" s="374">
        <f t="shared" ref="AG222:AM222" si="146">AG141+AG163+AG119+AG185+AG207</f>
        <v>0</v>
      </c>
      <c r="AH222" s="374">
        <f t="shared" si="146"/>
        <v>0</v>
      </c>
      <c r="AI222" s="374">
        <f t="shared" si="146"/>
        <v>0</v>
      </c>
      <c r="AJ222" s="374">
        <f t="shared" si="146"/>
        <v>61</v>
      </c>
      <c r="AK222" s="374">
        <f t="shared" si="146"/>
        <v>5</v>
      </c>
      <c r="AL222" s="374">
        <f t="shared" si="146"/>
        <v>34</v>
      </c>
      <c r="AM222" s="374">
        <f t="shared" si="146"/>
        <v>0</v>
      </c>
    </row>
    <row r="223" spans="2:39" s="147" customFormat="1" ht="27" customHeight="1">
      <c r="B223" s="935"/>
      <c r="C223" s="936"/>
      <c r="D223" s="361">
        <v>19</v>
      </c>
      <c r="E223" s="440" t="s">
        <v>635</v>
      </c>
      <c r="F223" s="364">
        <f t="shared" si="130"/>
        <v>3174.5303999999901</v>
      </c>
      <c r="G223" s="365">
        <v>49.82</v>
      </c>
      <c r="H223" s="442">
        <v>2538.25</v>
      </c>
      <c r="I223" s="442">
        <v>2538.25</v>
      </c>
      <c r="J223" s="444">
        <f t="shared" si="131"/>
        <v>1</v>
      </c>
      <c r="K223" s="443">
        <v>2538.25</v>
      </c>
      <c r="L223" s="444">
        <f t="shared" si="132"/>
        <v>1</v>
      </c>
      <c r="M223" s="443">
        <v>63.72</v>
      </c>
      <c r="N223" s="444">
        <f t="shared" si="133"/>
        <v>2.5103910174332708E-2</v>
      </c>
      <c r="O223" s="445">
        <f t="shared" si="134"/>
        <v>2601.9699999999998</v>
      </c>
      <c r="P223" s="444">
        <f t="shared" si="135"/>
        <v>1.0251039101743327</v>
      </c>
      <c r="Q223" s="442">
        <v>17.059999999999999</v>
      </c>
      <c r="R223" s="444">
        <f t="shared" si="136"/>
        <v>6.7211661577858753E-3</v>
      </c>
      <c r="S223" s="452">
        <f t="shared" si="137"/>
        <v>849.92919999999992</v>
      </c>
      <c r="T223" s="445">
        <f t="shared" si="138"/>
        <v>63.7199999999998</v>
      </c>
      <c r="U223" s="444">
        <f t="shared" si="139"/>
        <v>2.5103910174332632E-2</v>
      </c>
      <c r="V223" s="457">
        <f t="shared" si="140"/>
        <v>46.659999999999798</v>
      </c>
      <c r="W223" s="458">
        <f t="shared" si="141"/>
        <v>1.8382744016546753E-2</v>
      </c>
      <c r="X223" s="459">
        <f t="shared" si="142"/>
        <v>2324.6011999999901</v>
      </c>
      <c r="Y223" s="366" t="s">
        <v>174</v>
      </c>
      <c r="Z223" s="366" t="s">
        <v>216</v>
      </c>
      <c r="AA223" s="367"/>
      <c r="AB223" s="367"/>
      <c r="AC223" s="367">
        <v>1</v>
      </c>
      <c r="AD223" s="446" t="s">
        <v>616</v>
      </c>
      <c r="AF223" s="375"/>
      <c r="AG223" s="374">
        <f>AG142+AG164+AG120+AG186+AG208</f>
        <v>0</v>
      </c>
      <c r="AH223" s="374">
        <f t="shared" ref="AH223:AM223" si="147">AH142+AH164+AH120+AH186+AH208</f>
        <v>0</v>
      </c>
      <c r="AI223" s="374">
        <f t="shared" si="147"/>
        <v>0</v>
      </c>
      <c r="AJ223" s="374">
        <f t="shared" si="147"/>
        <v>267076.12205999997</v>
      </c>
      <c r="AK223" s="374">
        <f t="shared" si="147"/>
        <v>52949.484500000035</v>
      </c>
      <c r="AL223" s="374">
        <f t="shared" si="147"/>
        <v>179229.79469999994</v>
      </c>
      <c r="AM223" s="374">
        <f t="shared" si="147"/>
        <v>0</v>
      </c>
    </row>
    <row r="224" spans="2:39" s="147" customFormat="1" ht="27" customHeight="1">
      <c r="B224" s="937"/>
      <c r="C224" s="938"/>
      <c r="D224" s="361">
        <v>20</v>
      </c>
      <c r="E224" s="440" t="s">
        <v>357</v>
      </c>
      <c r="F224" s="364">
        <f t="shared" si="130"/>
        <v>3129.8475000000012</v>
      </c>
      <c r="G224" s="365">
        <v>152.75</v>
      </c>
      <c r="H224" s="442">
        <v>1086.05</v>
      </c>
      <c r="I224" s="442">
        <v>1086.05</v>
      </c>
      <c r="J224" s="444">
        <f t="shared" si="131"/>
        <v>1</v>
      </c>
      <c r="K224" s="443">
        <v>1086.05</v>
      </c>
      <c r="L224" s="444">
        <f t="shared" si="132"/>
        <v>1</v>
      </c>
      <c r="M224" s="443">
        <v>20.490000000000002</v>
      </c>
      <c r="N224" s="444">
        <f t="shared" si="133"/>
        <v>1.8866534689931404E-2</v>
      </c>
      <c r="O224" s="445">
        <f t="shared" si="134"/>
        <v>1106.54</v>
      </c>
      <c r="P224" s="444">
        <f t="shared" si="135"/>
        <v>1.0188665346899315</v>
      </c>
      <c r="Q224" s="442">
        <v>5.5600000000000005</v>
      </c>
      <c r="R224" s="444">
        <f t="shared" si="136"/>
        <v>5.1194696376778244E-3</v>
      </c>
      <c r="S224" s="452">
        <f t="shared" si="137"/>
        <v>849.29000000000008</v>
      </c>
      <c r="T224" s="445">
        <f t="shared" si="138"/>
        <v>20.490000000000009</v>
      </c>
      <c r="U224" s="444">
        <f t="shared" si="139"/>
        <v>1.8866534689931411E-2</v>
      </c>
      <c r="V224" s="457">
        <f t="shared" si="140"/>
        <v>14.930000000000009</v>
      </c>
      <c r="W224" s="458">
        <f t="shared" si="141"/>
        <v>1.3747065052253588E-2</v>
      </c>
      <c r="X224" s="459">
        <f t="shared" si="142"/>
        <v>2280.5575000000013</v>
      </c>
      <c r="Y224" s="366" t="s">
        <v>174</v>
      </c>
      <c r="Z224" s="366" t="s">
        <v>428</v>
      </c>
      <c r="AA224" s="367"/>
      <c r="AB224" s="367"/>
      <c r="AC224" s="367">
        <v>1</v>
      </c>
      <c r="AD224" s="446" t="s">
        <v>358</v>
      </c>
      <c r="AF224" s="361"/>
      <c r="AG224" s="373">
        <f t="shared" ref="AG224:AM224" si="148">AG222/$AF222</f>
        <v>0</v>
      </c>
      <c r="AH224" s="373">
        <f t="shared" si="148"/>
        <v>0</v>
      </c>
      <c r="AI224" s="373">
        <f t="shared" si="148"/>
        <v>0</v>
      </c>
      <c r="AJ224" s="373">
        <f t="shared" si="148"/>
        <v>0.61</v>
      </c>
      <c r="AK224" s="373">
        <f t="shared" si="148"/>
        <v>0.05</v>
      </c>
      <c r="AL224" s="373">
        <f t="shared" si="148"/>
        <v>0.34</v>
      </c>
      <c r="AM224" s="373">
        <f t="shared" si="148"/>
        <v>0</v>
      </c>
    </row>
  </sheetData>
  <mergeCells count="208">
    <mergeCell ref="AD159:AD160"/>
    <mergeCell ref="AF159:AM161"/>
    <mergeCell ref="B161:C180"/>
    <mergeCell ref="B181:C182"/>
    <mergeCell ref="D181:D182"/>
    <mergeCell ref="E181:E182"/>
    <mergeCell ref="F181:F182"/>
    <mergeCell ref="G181:G182"/>
    <mergeCell ref="H181:H182"/>
    <mergeCell ref="I181:J181"/>
    <mergeCell ref="K181:L181"/>
    <mergeCell ref="M181:N181"/>
    <mergeCell ref="O181:P181"/>
    <mergeCell ref="Q181:S181"/>
    <mergeCell ref="T181:U181"/>
    <mergeCell ref="V181:X181"/>
    <mergeCell ref="Y181:Y182"/>
    <mergeCell ref="Z181:Z182"/>
    <mergeCell ref="AA181:AA182"/>
    <mergeCell ref="AB181:AB182"/>
    <mergeCell ref="AC181:AC182"/>
    <mergeCell ref="AD181:AD182"/>
    <mergeCell ref="AF181:AM183"/>
    <mergeCell ref="B183:C202"/>
    <mergeCell ref="O159:P159"/>
    <mergeCell ref="Q159:S159"/>
    <mergeCell ref="T159:U159"/>
    <mergeCell ref="V159:X159"/>
    <mergeCell ref="Y159:Y160"/>
    <mergeCell ref="Z159:Z160"/>
    <mergeCell ref="AA159:AA160"/>
    <mergeCell ref="AB159:AB160"/>
    <mergeCell ref="AC159:AC160"/>
    <mergeCell ref="B159:C160"/>
    <mergeCell ref="D159:D160"/>
    <mergeCell ref="E159:E160"/>
    <mergeCell ref="F159:F160"/>
    <mergeCell ref="G159:G160"/>
    <mergeCell ref="H159:H160"/>
    <mergeCell ref="I159:J159"/>
    <mergeCell ref="K159:L159"/>
    <mergeCell ref="M159:N159"/>
    <mergeCell ref="AD137:AD138"/>
    <mergeCell ref="AF137:AM139"/>
    <mergeCell ref="B139:C158"/>
    <mergeCell ref="O137:P137"/>
    <mergeCell ref="Q137:S137"/>
    <mergeCell ref="T137:U137"/>
    <mergeCell ref="V137:X137"/>
    <mergeCell ref="Y137:Y138"/>
    <mergeCell ref="Z137:Z138"/>
    <mergeCell ref="AA137:AA138"/>
    <mergeCell ref="AB137:AB138"/>
    <mergeCell ref="AC137:AC138"/>
    <mergeCell ref="B137:C138"/>
    <mergeCell ref="D137:D138"/>
    <mergeCell ref="E137:E138"/>
    <mergeCell ref="F137:F138"/>
    <mergeCell ref="G137:G138"/>
    <mergeCell ref="H137:H138"/>
    <mergeCell ref="I137:J137"/>
    <mergeCell ref="K137:L137"/>
    <mergeCell ref="M137:N137"/>
    <mergeCell ref="AF3:AM5"/>
    <mergeCell ref="D4:D6"/>
    <mergeCell ref="E4:F4"/>
    <mergeCell ref="G4:P4"/>
    <mergeCell ref="Q4:U4"/>
    <mergeCell ref="E5:E6"/>
    <mergeCell ref="F5:F6"/>
    <mergeCell ref="G5:P5"/>
    <mergeCell ref="Q5:R5"/>
    <mergeCell ref="S5:U5"/>
    <mergeCell ref="D3:F3"/>
    <mergeCell ref="G3:U3"/>
    <mergeCell ref="Y3:Y6"/>
    <mergeCell ref="Z3:Z6"/>
    <mergeCell ref="AA3:AA6"/>
    <mergeCell ref="AF27:AM29"/>
    <mergeCell ref="B29:C48"/>
    <mergeCell ref="B49:C50"/>
    <mergeCell ref="D49:D50"/>
    <mergeCell ref="E49:E50"/>
    <mergeCell ref="F49:F50"/>
    <mergeCell ref="G49:G50"/>
    <mergeCell ref="H49:H50"/>
    <mergeCell ref="I49:J49"/>
    <mergeCell ref="Y27:Y28"/>
    <mergeCell ref="Z27:Z28"/>
    <mergeCell ref="AA27:AA28"/>
    <mergeCell ref="AB27:AB28"/>
    <mergeCell ref="AC27:AC28"/>
    <mergeCell ref="H27:H28"/>
    <mergeCell ref="I27:J27"/>
    <mergeCell ref="K27:L27"/>
    <mergeCell ref="M27:N27"/>
    <mergeCell ref="O27:P27"/>
    <mergeCell ref="Z49:Z50"/>
    <mergeCell ref="AA49:AA50"/>
    <mergeCell ref="B27:C28"/>
    <mergeCell ref="D27:D28"/>
    <mergeCell ref="E27:E28"/>
    <mergeCell ref="B71:C72"/>
    <mergeCell ref="D71:D72"/>
    <mergeCell ref="E71:E72"/>
    <mergeCell ref="F71:F72"/>
    <mergeCell ref="G71:G72"/>
    <mergeCell ref="AC49:AC50"/>
    <mergeCell ref="AD49:AD50"/>
    <mergeCell ref="AB3:AB6"/>
    <mergeCell ref="AC3:AC6"/>
    <mergeCell ref="AD27:AD28"/>
    <mergeCell ref="AD3:AD6"/>
    <mergeCell ref="B7:C26"/>
    <mergeCell ref="F27:F28"/>
    <mergeCell ref="G27:G28"/>
    <mergeCell ref="B3:C6"/>
    <mergeCell ref="AF49:AM51"/>
    <mergeCell ref="K49:L49"/>
    <mergeCell ref="M49:N49"/>
    <mergeCell ref="O49:P49"/>
    <mergeCell ref="Y49:Y50"/>
    <mergeCell ref="AA71:AA72"/>
    <mergeCell ref="AB71:AB72"/>
    <mergeCell ref="AC71:AC72"/>
    <mergeCell ref="B93:C94"/>
    <mergeCell ref="D93:D94"/>
    <mergeCell ref="E93:E94"/>
    <mergeCell ref="F93:F94"/>
    <mergeCell ref="G93:G94"/>
    <mergeCell ref="H93:H94"/>
    <mergeCell ref="I93:J93"/>
    <mergeCell ref="Y71:Y72"/>
    <mergeCell ref="Z71:Z72"/>
    <mergeCell ref="H71:H72"/>
    <mergeCell ref="I71:J71"/>
    <mergeCell ref="K71:L71"/>
    <mergeCell ref="M71:N71"/>
    <mergeCell ref="O71:P71"/>
    <mergeCell ref="AB49:AB50"/>
    <mergeCell ref="B51:C70"/>
    <mergeCell ref="B95:C114"/>
    <mergeCell ref="AF108:AM110"/>
    <mergeCell ref="B2:AB2"/>
    <mergeCell ref="Q27:S27"/>
    <mergeCell ref="T27:U27"/>
    <mergeCell ref="Q49:S49"/>
    <mergeCell ref="T49:U49"/>
    <mergeCell ref="Q71:S71"/>
    <mergeCell ref="T71:U71"/>
    <mergeCell ref="Q93:S93"/>
    <mergeCell ref="Z93:Z94"/>
    <mergeCell ref="AA93:AA94"/>
    <mergeCell ref="AB93:AB94"/>
    <mergeCell ref="AC93:AC94"/>
    <mergeCell ref="AD93:AD94"/>
    <mergeCell ref="AF93:AM95"/>
    <mergeCell ref="K93:L93"/>
    <mergeCell ref="M93:N93"/>
    <mergeCell ref="O93:P93"/>
    <mergeCell ref="Y93:Y94"/>
    <mergeCell ref="T93:U93"/>
    <mergeCell ref="AD71:AD72"/>
    <mergeCell ref="AF71:AM73"/>
    <mergeCell ref="B73:C92"/>
    <mergeCell ref="AF115:AM117"/>
    <mergeCell ref="B117:C136"/>
    <mergeCell ref="O115:P115"/>
    <mergeCell ref="Q115:S115"/>
    <mergeCell ref="T115:U115"/>
    <mergeCell ref="Y115:Y116"/>
    <mergeCell ref="Z115:Z116"/>
    <mergeCell ref="AA115:AA116"/>
    <mergeCell ref="AB115:AB116"/>
    <mergeCell ref="AC115:AC116"/>
    <mergeCell ref="AD115:AD116"/>
    <mergeCell ref="B115:C116"/>
    <mergeCell ref="D115:D116"/>
    <mergeCell ref="E115:E116"/>
    <mergeCell ref="F115:F116"/>
    <mergeCell ref="G115:G116"/>
    <mergeCell ref="H115:H116"/>
    <mergeCell ref="I115:J115"/>
    <mergeCell ref="K115:L115"/>
    <mergeCell ref="M115:N115"/>
    <mergeCell ref="V115:X115"/>
    <mergeCell ref="AD203:AD204"/>
    <mergeCell ref="AF203:AM205"/>
    <mergeCell ref="B205:C224"/>
    <mergeCell ref="O203:P203"/>
    <mergeCell ref="Q203:S203"/>
    <mergeCell ref="T203:U203"/>
    <mergeCell ref="V203:X203"/>
    <mergeCell ref="Y203:Y204"/>
    <mergeCell ref="Z203:Z204"/>
    <mergeCell ref="AA203:AA204"/>
    <mergeCell ref="AB203:AB204"/>
    <mergeCell ref="AC203:AC204"/>
    <mergeCell ref="B203:C204"/>
    <mergeCell ref="D203:D204"/>
    <mergeCell ref="E203:E204"/>
    <mergeCell ref="F203:F204"/>
    <mergeCell ref="G203:G204"/>
    <mergeCell ref="H203:H204"/>
    <mergeCell ref="I203:J203"/>
    <mergeCell ref="K203:L203"/>
    <mergeCell ref="M203:N203"/>
    <mergeCell ref="AF218:AM220"/>
  </mergeCells>
  <phoneticPr fontId="13" type="noConversion"/>
  <dataValidations count="1">
    <dataValidation type="list" allowBlank="1" showInputMessage="1" showErrorMessage="1" sqref="T1:X2 Y29:Y48 Y3:Z6 Y49:Z49 Y73:Z93 Z7 Y27:Z27 Y51:Y71 Y95:Z115 Z21:Z26 Y7:Y26 Z69:Z71 Z9 Z17:Z19 Z13:Z14 Z29:Z43 Z51:Z59 Z46:Z48 Z61:Z66 Y117:Z137 V25:X116 Y139:Z159 V137:X138 V159:X160 V203:X204 Y161:Z181 V181:X182 T225:X1048576 Y183:Z203 Y205:Z224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36"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1022" t="s">
        <v>12</v>
      </c>
      <c r="D21" s="1005"/>
      <c r="E21" s="998"/>
      <c r="F21" s="49" t="s">
        <v>46</v>
      </c>
      <c r="G21" s="49" t="s">
        <v>48</v>
      </c>
      <c r="H21" s="49" t="s">
        <v>49</v>
      </c>
      <c r="I21" s="8" t="s">
        <v>13</v>
      </c>
      <c r="J21" s="1014" t="s">
        <v>51</v>
      </c>
      <c r="K21" s="998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997" t="s">
        <v>14</v>
      </c>
      <c r="D22" s="1005"/>
      <c r="E22" s="998"/>
      <c r="F22" s="4">
        <v>3</v>
      </c>
      <c r="G22" s="4">
        <v>3000</v>
      </c>
      <c r="H22" s="4">
        <v>1000</v>
      </c>
      <c r="I22" s="4">
        <v>10</v>
      </c>
      <c r="J22" s="1004" t="s">
        <v>76</v>
      </c>
      <c r="K22" s="998"/>
      <c r="M22" s="52" t="s">
        <v>26</v>
      </c>
      <c r="N22" s="57" t="s">
        <v>47</v>
      </c>
      <c r="O22" s="1010" t="s">
        <v>12</v>
      </c>
      <c r="P22" s="1005"/>
      <c r="Q22" s="998"/>
      <c r="R22" s="1016" t="s">
        <v>53</v>
      </c>
      <c r="S22" s="1005"/>
      <c r="T22" s="998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1014" t="s">
        <v>51</v>
      </c>
      <c r="AA22" s="998"/>
    </row>
    <row r="23" spans="1:27" ht="15.75" customHeight="1">
      <c r="A23" s="23"/>
      <c r="B23" s="6">
        <v>2</v>
      </c>
      <c r="C23" s="1019"/>
      <c r="D23" s="1005"/>
      <c r="E23" s="998"/>
      <c r="F23" s="4"/>
      <c r="G23" s="4"/>
      <c r="H23" s="4"/>
      <c r="I23" s="4"/>
      <c r="J23" s="1019"/>
      <c r="K23" s="998"/>
      <c r="M23" s="56" t="s">
        <v>42</v>
      </c>
      <c r="N23" s="24">
        <v>1</v>
      </c>
      <c r="O23" s="1004" t="s">
        <v>82</v>
      </c>
      <c r="P23" s="1005"/>
      <c r="Q23" s="998"/>
      <c r="R23" s="1004" t="s">
        <v>85</v>
      </c>
      <c r="S23" s="1005"/>
      <c r="T23" s="998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1004" t="s">
        <v>86</v>
      </c>
      <c r="AA23" s="998"/>
    </row>
    <row r="24" spans="1:27" ht="15.75" customHeight="1">
      <c r="A24" s="23"/>
      <c r="B24" s="6">
        <v>3</v>
      </c>
      <c r="C24" s="1019"/>
      <c r="D24" s="1005"/>
      <c r="E24" s="998"/>
      <c r="F24" s="4"/>
      <c r="G24" s="4"/>
      <c r="H24" s="4"/>
      <c r="I24" s="4"/>
      <c r="J24" s="1019"/>
      <c r="K24" s="998"/>
      <c r="M24" s="25"/>
      <c r="N24" s="24">
        <v>2</v>
      </c>
      <c r="O24" s="997"/>
      <c r="P24" s="1005"/>
      <c r="Q24" s="998"/>
      <c r="R24" s="997"/>
      <c r="S24" s="1005"/>
      <c r="T24" s="998"/>
      <c r="U24" s="4"/>
      <c r="V24" s="14"/>
      <c r="W24" s="4"/>
      <c r="X24" s="16">
        <f t="shared" si="16"/>
        <v>0</v>
      </c>
      <c r="Y24" s="4"/>
      <c r="Z24" s="997"/>
      <c r="AA24" s="998"/>
    </row>
    <row r="25" spans="1:27" ht="15.75" customHeight="1">
      <c r="A25" s="23"/>
      <c r="B25" s="6">
        <v>4</v>
      </c>
      <c r="C25" s="1019"/>
      <c r="D25" s="1005"/>
      <c r="E25" s="998"/>
      <c r="F25" s="4"/>
      <c r="G25" s="4"/>
      <c r="H25" s="4"/>
      <c r="I25" s="4"/>
      <c r="J25" s="1019"/>
      <c r="K25" s="998"/>
      <c r="M25" s="25"/>
      <c r="N25" s="24">
        <v>3</v>
      </c>
      <c r="O25" s="997"/>
      <c r="P25" s="1005"/>
      <c r="Q25" s="998"/>
      <c r="R25" s="997"/>
      <c r="S25" s="1005"/>
      <c r="T25" s="998"/>
      <c r="U25" s="4"/>
      <c r="V25" s="14"/>
      <c r="W25" s="4"/>
      <c r="X25" s="16">
        <f t="shared" si="16"/>
        <v>0</v>
      </c>
      <c r="Y25" s="4"/>
      <c r="Z25" s="997"/>
      <c r="AA25" s="998"/>
    </row>
    <row r="26" spans="1:27" ht="15.75" customHeight="1">
      <c r="A26" s="23"/>
      <c r="B26" s="26">
        <v>5</v>
      </c>
      <c r="C26" s="1023"/>
      <c r="D26" s="1006"/>
      <c r="E26" s="1000"/>
      <c r="F26" s="27"/>
      <c r="G26" s="27"/>
      <c r="H26" s="27"/>
      <c r="I26" s="27"/>
      <c r="J26" s="1023"/>
      <c r="K26" s="1000"/>
      <c r="M26" s="25"/>
      <c r="N26" s="24">
        <v>4</v>
      </c>
      <c r="O26" s="997"/>
      <c r="P26" s="1005"/>
      <c r="Q26" s="998"/>
      <c r="R26" s="997"/>
      <c r="S26" s="1005"/>
      <c r="T26" s="998"/>
      <c r="U26" s="4"/>
      <c r="V26" s="14"/>
      <c r="W26" s="4"/>
      <c r="X26" s="16">
        <f t="shared" si="16"/>
        <v>0</v>
      </c>
      <c r="Y26" s="4"/>
      <c r="Z26" s="997"/>
      <c r="AA26" s="998"/>
    </row>
    <row r="27" spans="1:27" ht="15.75" customHeight="1">
      <c r="A27" s="23"/>
      <c r="B27" s="69" t="s">
        <v>101</v>
      </c>
      <c r="C27" s="1007" t="s">
        <v>75</v>
      </c>
      <c r="D27" s="1008"/>
      <c r="E27" s="1009"/>
      <c r="F27" s="28">
        <v>4</v>
      </c>
      <c r="G27" s="28">
        <v>2800</v>
      </c>
      <c r="H27" s="28">
        <v>700</v>
      </c>
      <c r="I27" s="28" t="s">
        <v>15</v>
      </c>
      <c r="J27" s="1007" t="s">
        <v>77</v>
      </c>
      <c r="K27" s="1009"/>
      <c r="M27" s="25"/>
      <c r="N27" s="29">
        <v>5</v>
      </c>
      <c r="O27" s="999"/>
      <c r="P27" s="1006"/>
      <c r="Q27" s="1000"/>
      <c r="R27" s="999"/>
      <c r="S27" s="1006"/>
      <c r="T27" s="1000"/>
      <c r="U27" s="27"/>
      <c r="V27" s="30"/>
      <c r="W27" s="27"/>
      <c r="X27" s="31">
        <f t="shared" si="16"/>
        <v>0</v>
      </c>
      <c r="Y27" s="4"/>
      <c r="Z27" s="999"/>
      <c r="AA27" s="1000"/>
    </row>
    <row r="28" spans="1:27" ht="15.75" customHeight="1">
      <c r="A28" s="23"/>
      <c r="B28" s="70" t="s">
        <v>102</v>
      </c>
      <c r="C28" s="1019"/>
      <c r="D28" s="1005"/>
      <c r="E28" s="998"/>
      <c r="F28" s="4"/>
      <c r="G28" s="4"/>
      <c r="H28" s="4"/>
      <c r="I28" s="4"/>
      <c r="J28" s="1019"/>
      <c r="K28" s="998"/>
      <c r="M28" s="32"/>
      <c r="N28" s="55"/>
      <c r="O28" s="1001"/>
      <c r="P28" s="1005"/>
      <c r="Q28" s="1005"/>
      <c r="R28" s="1001"/>
      <c r="S28" s="1005"/>
      <c r="T28" s="1005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1001"/>
      <c r="AA28" s="998"/>
    </row>
    <row r="29" spans="1:27" ht="15.75" customHeight="1">
      <c r="A29" s="23"/>
      <c r="B29" s="70" t="s">
        <v>100</v>
      </c>
      <c r="C29" s="1019"/>
      <c r="D29" s="1005"/>
      <c r="E29" s="998"/>
      <c r="F29" s="4"/>
      <c r="G29" s="4"/>
      <c r="H29" s="4"/>
      <c r="I29" s="4"/>
      <c r="J29" s="1019"/>
      <c r="K29" s="998"/>
      <c r="M29" s="56" t="s">
        <v>43</v>
      </c>
      <c r="N29" s="24">
        <v>1</v>
      </c>
      <c r="O29" s="1020" t="s">
        <v>16</v>
      </c>
      <c r="P29" s="1021"/>
      <c r="Q29" s="1003"/>
      <c r="R29" s="1002" t="s">
        <v>87</v>
      </c>
      <c r="S29" s="1021"/>
      <c r="T29" s="1003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1002" t="s">
        <v>88</v>
      </c>
      <c r="AA29" s="1003"/>
    </row>
    <row r="30" spans="1:27" ht="15.75" customHeight="1">
      <c r="A30" s="23"/>
      <c r="B30" s="70" t="s">
        <v>99</v>
      </c>
      <c r="C30" s="1019"/>
      <c r="D30" s="1005"/>
      <c r="E30" s="998"/>
      <c r="F30" s="4"/>
      <c r="G30" s="4"/>
      <c r="H30" s="4"/>
      <c r="I30" s="4"/>
      <c r="J30" s="1019"/>
      <c r="K30" s="998"/>
      <c r="M30" s="25"/>
      <c r="N30" s="24">
        <v>2</v>
      </c>
      <c r="O30" s="997"/>
      <c r="P30" s="1005"/>
      <c r="Q30" s="998"/>
      <c r="R30" s="997"/>
      <c r="S30" s="1005"/>
      <c r="T30" s="998"/>
      <c r="U30" s="4"/>
      <c r="V30" s="14"/>
      <c r="W30" s="4"/>
      <c r="X30" s="16">
        <f t="shared" si="17"/>
        <v>0</v>
      </c>
      <c r="Y30" s="4"/>
      <c r="Z30" s="997"/>
      <c r="AA30" s="998"/>
    </row>
    <row r="31" spans="1:27" ht="15.75" customHeight="1">
      <c r="A31" s="20"/>
      <c r="B31" s="70" t="s">
        <v>103</v>
      </c>
      <c r="C31" s="1019"/>
      <c r="D31" s="1005"/>
      <c r="E31" s="998"/>
      <c r="F31" s="4"/>
      <c r="G31" s="4"/>
      <c r="H31" s="4"/>
      <c r="I31" s="4"/>
      <c r="J31" s="1019"/>
      <c r="K31" s="998"/>
      <c r="M31" s="25"/>
      <c r="N31" s="24">
        <v>3</v>
      </c>
      <c r="O31" s="997"/>
      <c r="P31" s="1005"/>
      <c r="Q31" s="998"/>
      <c r="R31" s="997"/>
      <c r="S31" s="1005"/>
      <c r="T31" s="998"/>
      <c r="U31" s="4"/>
      <c r="V31" s="14"/>
      <c r="W31" s="4"/>
      <c r="X31" s="16">
        <f t="shared" si="17"/>
        <v>0</v>
      </c>
      <c r="Y31" s="4"/>
      <c r="Z31" s="997"/>
      <c r="AA31" s="998"/>
    </row>
    <row r="32" spans="1:27" ht="15.75" customHeight="1">
      <c r="A32" s="67"/>
      <c r="M32" s="25"/>
      <c r="N32" s="24">
        <v>4</v>
      </c>
      <c r="O32" s="997"/>
      <c r="P32" s="1005"/>
      <c r="Q32" s="998"/>
      <c r="R32" s="997"/>
      <c r="S32" s="1005"/>
      <c r="T32" s="998"/>
      <c r="U32" s="4"/>
      <c r="V32" s="14"/>
      <c r="W32" s="4"/>
      <c r="X32" s="16">
        <f t="shared" si="17"/>
        <v>0</v>
      </c>
      <c r="Y32" s="4"/>
      <c r="Z32" s="997"/>
      <c r="AA32" s="998"/>
    </row>
    <row r="33" spans="1:27" ht="15.75" customHeight="1">
      <c r="A33" s="18"/>
      <c r="B33" s="49" t="s">
        <v>47</v>
      </c>
      <c r="C33" s="1022" t="s">
        <v>12</v>
      </c>
      <c r="D33" s="1005"/>
      <c r="E33" s="998"/>
      <c r="F33" s="49" t="s">
        <v>46</v>
      </c>
      <c r="G33" s="49" t="s">
        <v>48</v>
      </c>
      <c r="H33" s="49" t="s">
        <v>49</v>
      </c>
      <c r="I33" s="8" t="s">
        <v>13</v>
      </c>
      <c r="J33" s="1014" t="s">
        <v>51</v>
      </c>
      <c r="K33" s="998"/>
      <c r="M33" s="25"/>
      <c r="N33" s="29">
        <v>5</v>
      </c>
      <c r="O33" s="997"/>
      <c r="P33" s="1005"/>
      <c r="Q33" s="998"/>
      <c r="R33" s="997"/>
      <c r="S33" s="1005"/>
      <c r="T33" s="998"/>
      <c r="U33" s="27"/>
      <c r="V33" s="30"/>
      <c r="W33" s="27"/>
      <c r="X33" s="31">
        <f t="shared" si="17"/>
        <v>0</v>
      </c>
      <c r="Y33" s="4"/>
      <c r="Z33" s="997"/>
      <c r="AA33" s="998"/>
    </row>
    <row r="34" spans="1:27" ht="15.75" customHeight="1">
      <c r="A34" s="52" t="s">
        <v>35</v>
      </c>
      <c r="B34" s="6">
        <v>1</v>
      </c>
      <c r="C34" s="1004" t="s">
        <v>79</v>
      </c>
      <c r="D34" s="1005"/>
      <c r="E34" s="998"/>
      <c r="F34" s="4">
        <v>3</v>
      </c>
      <c r="G34" s="4">
        <v>2500</v>
      </c>
      <c r="H34" s="4">
        <v>833.33</v>
      </c>
      <c r="I34" s="4">
        <v>20</v>
      </c>
      <c r="J34" s="1004" t="s">
        <v>78</v>
      </c>
      <c r="K34" s="998"/>
      <c r="M34" s="68"/>
      <c r="N34" s="45"/>
      <c r="O34" s="1001"/>
      <c r="P34" s="1005"/>
      <c r="Q34" s="1005"/>
      <c r="R34" s="1001"/>
      <c r="S34" s="1005"/>
      <c r="T34" s="1005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1001"/>
      <c r="AA34" s="998"/>
    </row>
    <row r="35" spans="1:27" ht="15.75" customHeight="1">
      <c r="A35" s="23"/>
      <c r="B35" s="6">
        <v>2</v>
      </c>
      <c r="C35" s="997"/>
      <c r="D35" s="1005"/>
      <c r="E35" s="998"/>
      <c r="F35" s="4"/>
      <c r="G35" s="4"/>
      <c r="H35" s="4"/>
      <c r="I35" s="4"/>
      <c r="J35" s="997"/>
      <c r="K35" s="998"/>
      <c r="M35" s="1"/>
      <c r="N35" s="1"/>
      <c r="O35" s="1012"/>
      <c r="P35" s="1013"/>
      <c r="Q35" s="1013"/>
      <c r="R35" s="1012"/>
      <c r="S35" s="1013"/>
      <c r="T35" s="1013"/>
      <c r="U35" s="1"/>
      <c r="V35" s="38"/>
      <c r="W35" s="1"/>
      <c r="X35" s="1"/>
      <c r="Y35" s="1012"/>
      <c r="Z35" s="1013"/>
      <c r="AA35" s="1013"/>
    </row>
    <row r="36" spans="1:27" ht="15.75" customHeight="1">
      <c r="A36" s="23"/>
      <c r="B36" s="6">
        <v>3</v>
      </c>
      <c r="C36" s="997"/>
      <c r="D36" s="1005"/>
      <c r="E36" s="998"/>
      <c r="F36" s="4"/>
      <c r="G36" s="4"/>
      <c r="H36" s="4"/>
      <c r="I36" s="4"/>
      <c r="J36" s="997"/>
      <c r="K36" s="998"/>
      <c r="M36" s="52" t="s">
        <v>27</v>
      </c>
      <c r="N36" s="57" t="s">
        <v>47</v>
      </c>
      <c r="O36" s="1010" t="s">
        <v>12</v>
      </c>
      <c r="P36" s="1001"/>
      <c r="Q36" s="1011"/>
      <c r="R36" s="1016" t="s">
        <v>53</v>
      </c>
      <c r="S36" s="1017"/>
      <c r="T36" s="1018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1014" t="s">
        <v>51</v>
      </c>
      <c r="AA36" s="1015"/>
    </row>
    <row r="37" spans="1:27" ht="15.75" customHeight="1">
      <c r="A37" s="23"/>
      <c r="B37" s="6">
        <v>4</v>
      </c>
      <c r="C37" s="997"/>
      <c r="D37" s="1005"/>
      <c r="E37" s="998"/>
      <c r="F37" s="4"/>
      <c r="G37" s="4"/>
      <c r="H37" s="4"/>
      <c r="I37" s="4"/>
      <c r="J37" s="997"/>
      <c r="K37" s="998"/>
      <c r="M37" s="56" t="s">
        <v>42</v>
      </c>
      <c r="N37" s="24">
        <v>1</v>
      </c>
      <c r="O37" s="1004" t="s">
        <v>89</v>
      </c>
      <c r="P37" s="1005"/>
      <c r="Q37" s="998"/>
      <c r="R37" s="1004" t="s">
        <v>90</v>
      </c>
      <c r="S37" s="1005"/>
      <c r="T37" s="998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1004" t="s">
        <v>91</v>
      </c>
      <c r="AA37" s="998"/>
    </row>
    <row r="38" spans="1:27" ht="15.75" customHeight="1">
      <c r="A38" s="23"/>
      <c r="B38" s="26">
        <v>5</v>
      </c>
      <c r="C38" s="999"/>
      <c r="D38" s="1006"/>
      <c r="E38" s="1000"/>
      <c r="F38" s="27"/>
      <c r="G38" s="27"/>
      <c r="H38" s="27"/>
      <c r="I38" s="27"/>
      <c r="J38" s="999"/>
      <c r="K38" s="1000"/>
      <c r="M38" s="25"/>
      <c r="N38" s="24">
        <v>2</v>
      </c>
      <c r="O38" s="997"/>
      <c r="P38" s="1005"/>
      <c r="Q38" s="998"/>
      <c r="R38" s="997"/>
      <c r="S38" s="1005"/>
      <c r="T38" s="998"/>
      <c r="U38" s="4"/>
      <c r="V38" s="14"/>
      <c r="W38" s="4"/>
      <c r="X38" s="16">
        <f t="shared" si="18"/>
        <v>0</v>
      </c>
      <c r="Y38" s="4"/>
      <c r="Z38" s="997"/>
      <c r="AA38" s="998"/>
    </row>
    <row r="39" spans="1:27" ht="14.25">
      <c r="A39" s="23"/>
      <c r="B39" s="69" t="s">
        <v>101</v>
      </c>
      <c r="C39" s="1007" t="s">
        <v>80</v>
      </c>
      <c r="D39" s="1008"/>
      <c r="E39" s="1009"/>
      <c r="F39" s="28">
        <v>7</v>
      </c>
      <c r="G39" s="28">
        <v>2200</v>
      </c>
      <c r="H39" s="28">
        <v>314.29000000000002</v>
      </c>
      <c r="I39" s="28">
        <v>-15</v>
      </c>
      <c r="J39" s="1007" t="s">
        <v>81</v>
      </c>
      <c r="K39" s="1009"/>
      <c r="M39" s="25"/>
      <c r="N39" s="24">
        <v>3</v>
      </c>
      <c r="O39" s="997"/>
      <c r="P39" s="1005"/>
      <c r="Q39" s="998"/>
      <c r="R39" s="997"/>
      <c r="S39" s="1005"/>
      <c r="T39" s="998"/>
      <c r="U39" s="4"/>
      <c r="V39" s="14"/>
      <c r="W39" s="4"/>
      <c r="X39" s="16">
        <f t="shared" si="18"/>
        <v>0</v>
      </c>
      <c r="Y39" s="4"/>
      <c r="Z39" s="997"/>
      <c r="AA39" s="998"/>
    </row>
    <row r="40" spans="1:27" ht="14.25">
      <c r="A40" s="23"/>
      <c r="B40" s="70" t="s">
        <v>102</v>
      </c>
      <c r="C40" s="997"/>
      <c r="D40" s="1005"/>
      <c r="E40" s="998"/>
      <c r="F40" s="4"/>
      <c r="G40" s="4"/>
      <c r="H40" s="4"/>
      <c r="I40" s="4"/>
      <c r="J40" s="997"/>
      <c r="K40" s="998"/>
      <c r="M40" s="25"/>
      <c r="N40" s="24">
        <v>4</v>
      </c>
      <c r="O40" s="997"/>
      <c r="P40" s="1005"/>
      <c r="Q40" s="998"/>
      <c r="R40" s="997"/>
      <c r="S40" s="1005"/>
      <c r="T40" s="998"/>
      <c r="U40" s="4"/>
      <c r="V40" s="14"/>
      <c r="W40" s="4"/>
      <c r="X40" s="16">
        <f t="shared" si="18"/>
        <v>0</v>
      </c>
      <c r="Y40" s="4"/>
      <c r="Z40" s="997"/>
      <c r="AA40" s="998"/>
    </row>
    <row r="41" spans="1:27" ht="14.25">
      <c r="A41" s="23"/>
      <c r="B41" s="70" t="s">
        <v>100</v>
      </c>
      <c r="C41" s="997"/>
      <c r="D41" s="1005"/>
      <c r="E41" s="998"/>
      <c r="F41" s="4"/>
      <c r="G41" s="4"/>
      <c r="H41" s="4"/>
      <c r="I41" s="4"/>
      <c r="J41" s="997"/>
      <c r="K41" s="998"/>
      <c r="M41" s="25"/>
      <c r="N41" s="29">
        <v>5</v>
      </c>
      <c r="O41" s="999"/>
      <c r="P41" s="1006"/>
      <c r="Q41" s="1000"/>
      <c r="R41" s="999"/>
      <c r="S41" s="1006"/>
      <c r="T41" s="1000"/>
      <c r="U41" s="27"/>
      <c r="V41" s="30"/>
      <c r="W41" s="27"/>
      <c r="X41" s="31">
        <f t="shared" si="18"/>
        <v>0</v>
      </c>
      <c r="Y41" s="4"/>
      <c r="Z41" s="997"/>
      <c r="AA41" s="998"/>
    </row>
    <row r="42" spans="1:27" ht="14.25">
      <c r="A42" s="23"/>
      <c r="B42" s="70" t="s">
        <v>99</v>
      </c>
      <c r="C42" s="997"/>
      <c r="D42" s="1005"/>
      <c r="E42" s="998"/>
      <c r="F42" s="4"/>
      <c r="G42" s="4"/>
      <c r="H42" s="4"/>
      <c r="I42" s="4"/>
      <c r="J42" s="997"/>
      <c r="K42" s="998"/>
      <c r="M42" s="32"/>
      <c r="N42" s="54"/>
      <c r="O42" s="1001"/>
      <c r="P42" s="1005"/>
      <c r="Q42" s="1005"/>
      <c r="R42" s="1001"/>
      <c r="S42" s="1005"/>
      <c r="T42" s="1005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1001"/>
      <c r="AA42" s="998"/>
    </row>
    <row r="43" spans="1:27" ht="14.25">
      <c r="A43" s="20"/>
      <c r="B43" s="70" t="s">
        <v>103</v>
      </c>
      <c r="C43" s="997"/>
      <c r="D43" s="1005"/>
      <c r="E43" s="998"/>
      <c r="F43" s="4"/>
      <c r="G43" s="4"/>
      <c r="H43" s="4"/>
      <c r="I43" s="4"/>
      <c r="J43" s="997"/>
      <c r="K43" s="998"/>
      <c r="M43" s="56" t="s">
        <v>43</v>
      </c>
      <c r="N43" s="24">
        <v>1</v>
      </c>
      <c r="O43" s="1004" t="s">
        <v>89</v>
      </c>
      <c r="P43" s="1005"/>
      <c r="Q43" s="998"/>
      <c r="R43" s="1002" t="s">
        <v>93</v>
      </c>
      <c r="S43" s="1021"/>
      <c r="T43" s="1003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1004" t="s">
        <v>92</v>
      </c>
      <c r="AA43" s="998"/>
    </row>
    <row r="44" spans="1:27" ht="14.25">
      <c r="A44" s="67"/>
      <c r="M44" s="25"/>
      <c r="N44" s="24">
        <v>2</v>
      </c>
      <c r="O44" s="997"/>
      <c r="P44" s="1005"/>
      <c r="Q44" s="998"/>
      <c r="R44" s="997"/>
      <c r="S44" s="1005"/>
      <c r="T44" s="998"/>
      <c r="U44" s="4"/>
      <c r="V44" s="14"/>
      <c r="W44" s="4"/>
      <c r="X44" s="37">
        <f t="shared" si="19"/>
        <v>0</v>
      </c>
      <c r="Y44" s="4"/>
      <c r="Z44" s="997"/>
      <c r="AA44" s="998"/>
    </row>
    <row r="45" spans="1:27" ht="14.25">
      <c r="A45" s="18"/>
      <c r="B45" s="49" t="s">
        <v>47</v>
      </c>
      <c r="C45" s="1022" t="s">
        <v>12</v>
      </c>
      <c r="D45" s="1005"/>
      <c r="E45" s="998"/>
      <c r="F45" s="49" t="s">
        <v>46</v>
      </c>
      <c r="G45" s="49" t="s">
        <v>48</v>
      </c>
      <c r="H45" s="49" t="s">
        <v>49</v>
      </c>
      <c r="I45" s="8" t="s">
        <v>13</v>
      </c>
      <c r="J45" s="1014" t="s">
        <v>51</v>
      </c>
      <c r="K45" s="998"/>
      <c r="M45" s="25"/>
      <c r="N45" s="24">
        <v>3</v>
      </c>
      <c r="O45" s="997"/>
      <c r="P45" s="1005"/>
      <c r="Q45" s="998"/>
      <c r="R45" s="997"/>
      <c r="S45" s="1005"/>
      <c r="T45" s="998"/>
      <c r="U45" s="4"/>
      <c r="V45" s="14"/>
      <c r="W45" s="4"/>
      <c r="X45" s="37">
        <f t="shared" si="19"/>
        <v>0</v>
      </c>
      <c r="Y45" s="4"/>
      <c r="Z45" s="997"/>
      <c r="AA45" s="998"/>
    </row>
    <row r="46" spans="1:27" ht="14.25">
      <c r="A46" s="52" t="s">
        <v>36</v>
      </c>
      <c r="B46" s="6">
        <v>1</v>
      </c>
      <c r="C46" s="1004" t="s">
        <v>82</v>
      </c>
      <c r="D46" s="1005"/>
      <c r="E46" s="998"/>
      <c r="F46" s="4">
        <v>15</v>
      </c>
      <c r="G46" s="4">
        <v>1200</v>
      </c>
      <c r="H46" s="4">
        <v>80</v>
      </c>
      <c r="I46" s="4">
        <v>5</v>
      </c>
      <c r="J46" s="1004" t="s">
        <v>83</v>
      </c>
      <c r="K46" s="998"/>
      <c r="M46" s="25"/>
      <c r="N46" s="24">
        <v>4</v>
      </c>
      <c r="O46" s="997"/>
      <c r="P46" s="1005"/>
      <c r="Q46" s="998"/>
      <c r="R46" s="997"/>
      <c r="S46" s="1005"/>
      <c r="T46" s="998"/>
      <c r="U46" s="4"/>
      <c r="V46" s="14"/>
      <c r="W46" s="4"/>
      <c r="X46" s="37">
        <f t="shared" si="19"/>
        <v>0</v>
      </c>
      <c r="Y46" s="4"/>
      <c r="Z46" s="997"/>
      <c r="AA46" s="998"/>
    </row>
    <row r="47" spans="1:27" ht="14.25">
      <c r="A47" s="23"/>
      <c r="B47" s="6">
        <v>2</v>
      </c>
      <c r="C47" s="997"/>
      <c r="D47" s="1005"/>
      <c r="E47" s="998"/>
      <c r="F47" s="4"/>
      <c r="G47" s="4"/>
      <c r="H47" s="4"/>
      <c r="I47" s="4"/>
      <c r="J47" s="997"/>
      <c r="K47" s="998"/>
      <c r="M47" s="25"/>
      <c r="N47" s="29">
        <v>5</v>
      </c>
      <c r="O47" s="997"/>
      <c r="P47" s="1005"/>
      <c r="Q47" s="998"/>
      <c r="R47" s="997"/>
      <c r="S47" s="1005"/>
      <c r="T47" s="998"/>
      <c r="U47" s="27"/>
      <c r="V47" s="30"/>
      <c r="W47" s="27"/>
      <c r="X47" s="40">
        <f t="shared" si="19"/>
        <v>0</v>
      </c>
      <c r="Y47" s="4"/>
      <c r="Z47" s="997"/>
      <c r="AA47" s="998"/>
    </row>
    <row r="48" spans="1:27" ht="14.25">
      <c r="A48" s="23"/>
      <c r="B48" s="6">
        <v>3</v>
      </c>
      <c r="C48" s="997"/>
      <c r="D48" s="1005"/>
      <c r="E48" s="998"/>
      <c r="F48" s="4"/>
      <c r="G48" s="4"/>
      <c r="H48" s="4"/>
      <c r="I48" s="4"/>
      <c r="J48" s="997"/>
      <c r="K48" s="998"/>
      <c r="M48" s="68"/>
      <c r="N48" s="45"/>
      <c r="O48" s="1001"/>
      <c r="P48" s="1005"/>
      <c r="Q48" s="1005"/>
      <c r="R48" s="1001"/>
      <c r="S48" s="1005"/>
      <c r="T48" s="1005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1001"/>
      <c r="AA48" s="998"/>
    </row>
    <row r="49" spans="1:27" ht="14.25">
      <c r="A49" s="23"/>
      <c r="B49" s="6">
        <v>4</v>
      </c>
      <c r="C49" s="997"/>
      <c r="D49" s="1005"/>
      <c r="E49" s="998"/>
      <c r="F49" s="4"/>
      <c r="G49" s="4"/>
      <c r="H49" s="4"/>
      <c r="I49" s="4"/>
      <c r="J49" s="997"/>
      <c r="K49" s="998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999"/>
      <c r="D50" s="1006"/>
      <c r="E50" s="1000"/>
      <c r="F50" s="27"/>
      <c r="G50" s="27"/>
      <c r="H50" s="27"/>
      <c r="I50" s="27"/>
      <c r="J50" s="999"/>
      <c r="K50" s="1000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1007" t="s">
        <v>89</v>
      </c>
      <c r="D51" s="1008"/>
      <c r="E51" s="1009"/>
      <c r="F51" s="28">
        <v>18</v>
      </c>
      <c r="G51" s="28">
        <v>800</v>
      </c>
      <c r="H51" s="28">
        <v>44.44</v>
      </c>
      <c r="I51" s="28">
        <v>-15</v>
      </c>
      <c r="J51" s="1007" t="s">
        <v>84</v>
      </c>
      <c r="K51" s="1009"/>
      <c r="M51" s="8"/>
      <c r="N51" s="8" t="s">
        <v>18</v>
      </c>
      <c r="O51" s="1010" t="s">
        <v>12</v>
      </c>
      <c r="P51" s="1001"/>
      <c r="Q51" s="1011"/>
      <c r="R51" s="1016" t="s">
        <v>53</v>
      </c>
      <c r="S51" s="1017"/>
      <c r="T51" s="1018"/>
      <c r="U51" s="57" t="s">
        <v>54</v>
      </c>
      <c r="V51" s="39" t="s">
        <v>19</v>
      </c>
      <c r="W51" s="57" t="s">
        <v>57</v>
      </c>
      <c r="X51" s="8" t="s">
        <v>2</v>
      </c>
      <c r="Y51" s="1010" t="s">
        <v>50</v>
      </c>
      <c r="Z51" s="1001"/>
      <c r="AA51" s="1011"/>
    </row>
    <row r="52" spans="1:27" ht="14.25">
      <c r="A52" s="23"/>
      <c r="B52" s="70" t="s">
        <v>102</v>
      </c>
      <c r="C52" s="997"/>
      <c r="D52" s="1005"/>
      <c r="E52" s="998"/>
      <c r="F52" s="4"/>
      <c r="G52" s="4"/>
      <c r="H52" s="4"/>
      <c r="I52" s="4"/>
      <c r="J52" s="997"/>
      <c r="K52" s="998"/>
      <c r="M52" s="56" t="s">
        <v>42</v>
      </c>
      <c r="N52" s="24">
        <v>1</v>
      </c>
      <c r="O52" s="1004" t="s">
        <v>89</v>
      </c>
      <c r="P52" s="1005"/>
      <c r="Q52" s="998"/>
      <c r="R52" s="1002" t="s">
        <v>93</v>
      </c>
      <c r="S52" s="1021"/>
      <c r="T52" s="1003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1004" t="s">
        <v>97</v>
      </c>
      <c r="Z52" s="1005"/>
      <c r="AA52" s="998"/>
    </row>
    <row r="53" spans="1:27" ht="14.25">
      <c r="A53" s="23"/>
      <c r="B53" s="70" t="s">
        <v>100</v>
      </c>
      <c r="C53" s="997"/>
      <c r="D53" s="1005"/>
      <c r="E53" s="998"/>
      <c r="F53" s="4"/>
      <c r="G53" s="4"/>
      <c r="H53" s="4"/>
      <c r="I53" s="4"/>
      <c r="J53" s="997"/>
      <c r="K53" s="998"/>
      <c r="M53" s="25"/>
      <c r="N53" s="29">
        <v>2</v>
      </c>
      <c r="O53" s="999"/>
      <c r="P53" s="1006"/>
      <c r="Q53" s="1000"/>
      <c r="R53" s="999"/>
      <c r="S53" s="1006"/>
      <c r="T53" s="1000"/>
      <c r="U53" s="27"/>
      <c r="V53" s="30"/>
      <c r="W53" s="30"/>
      <c r="X53" s="41">
        <f t="shared" si="20"/>
        <v>0</v>
      </c>
      <c r="Y53" s="999"/>
      <c r="Z53" s="1006"/>
      <c r="AA53" s="1000"/>
    </row>
    <row r="54" spans="1:27" ht="14.25">
      <c r="A54" s="23"/>
      <c r="B54" s="70" t="s">
        <v>99</v>
      </c>
      <c r="C54" s="997"/>
      <c r="D54" s="1005"/>
      <c r="E54" s="998"/>
      <c r="F54" s="4"/>
      <c r="G54" s="4"/>
      <c r="H54" s="4"/>
      <c r="I54" s="4"/>
      <c r="J54" s="997"/>
      <c r="K54" s="998"/>
      <c r="M54" s="56" t="s">
        <v>43</v>
      </c>
      <c r="N54" s="42">
        <v>1</v>
      </c>
      <c r="O54" s="1007" t="s">
        <v>94</v>
      </c>
      <c r="P54" s="1008"/>
      <c r="Q54" s="1009"/>
      <c r="R54" s="1007" t="s">
        <v>95</v>
      </c>
      <c r="S54" s="1008"/>
      <c r="T54" s="1009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1007" t="s">
        <v>96</v>
      </c>
      <c r="Z54" s="1008"/>
      <c r="AA54" s="1009"/>
    </row>
    <row r="55" spans="1:27" ht="14.25">
      <c r="A55" s="20"/>
      <c r="B55" s="70" t="s">
        <v>103</v>
      </c>
      <c r="C55" s="997"/>
      <c r="D55" s="1005"/>
      <c r="E55" s="998"/>
      <c r="F55" s="4"/>
      <c r="G55" s="4"/>
      <c r="H55" s="4"/>
      <c r="I55" s="4"/>
      <c r="J55" s="997"/>
      <c r="K55" s="998"/>
      <c r="M55" s="22"/>
      <c r="N55" s="24">
        <v>2</v>
      </c>
      <c r="O55" s="997"/>
      <c r="P55" s="1005"/>
      <c r="Q55" s="998"/>
      <c r="R55" s="997"/>
      <c r="S55" s="1005"/>
      <c r="T55" s="998"/>
      <c r="U55" s="4"/>
      <c r="V55" s="14"/>
      <c r="W55" s="14"/>
      <c r="X55" s="13">
        <f t="shared" si="20"/>
        <v>0</v>
      </c>
      <c r="Y55" s="997"/>
      <c r="Z55" s="1005"/>
      <c r="AA55" s="998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0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7"/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48"/>
    <col min="3" max="3" width="14" style="148" bestFit="1" customWidth="1"/>
    <col min="4" max="4" width="0.28515625" style="148" customWidth="1"/>
    <col min="5" max="5" width="8.7109375" style="148"/>
    <col min="6" max="6" width="16.28515625" style="148" bestFit="1" customWidth="1"/>
    <col min="7" max="16384" width="8.7109375" style="148"/>
  </cols>
  <sheetData>
    <row r="2" spans="2:7" ht="15.75">
      <c r="B2" s="1024" t="s">
        <v>255</v>
      </c>
      <c r="C2" s="1024"/>
      <c r="D2" s="1024"/>
      <c r="E2" s="1024"/>
      <c r="F2" s="1024"/>
    </row>
    <row r="3" spans="2:7" ht="15">
      <c r="B3" s="149" t="s">
        <v>256</v>
      </c>
      <c r="C3" s="149" t="s">
        <v>257</v>
      </c>
      <c r="D3" s="150"/>
      <c r="E3" s="149" t="s">
        <v>258</v>
      </c>
      <c r="F3" s="149" t="s">
        <v>259</v>
      </c>
      <c r="G3" s="150"/>
    </row>
    <row r="4" spans="2:7" ht="15">
      <c r="B4" s="151" t="s">
        <v>260</v>
      </c>
      <c r="C4" s="151" t="s">
        <v>261</v>
      </c>
      <c r="D4" s="150"/>
      <c r="E4" s="151" t="s">
        <v>262</v>
      </c>
      <c r="F4" s="151" t="s">
        <v>263</v>
      </c>
      <c r="G4" s="150"/>
    </row>
    <row r="5" spans="2:7" ht="15">
      <c r="B5" s="151" t="s">
        <v>264</v>
      </c>
      <c r="C5" s="151" t="s">
        <v>265</v>
      </c>
      <c r="D5" s="150"/>
      <c r="E5" s="151" t="s">
        <v>266</v>
      </c>
      <c r="F5" s="151" t="s">
        <v>267</v>
      </c>
      <c r="G5" s="150"/>
    </row>
    <row r="6" spans="2:7" ht="15">
      <c r="B6" s="151" t="s">
        <v>268</v>
      </c>
      <c r="C6" s="151" t="s">
        <v>269</v>
      </c>
      <c r="D6" s="150"/>
      <c r="E6" s="152" t="s">
        <v>270</v>
      </c>
      <c r="F6" s="152" t="s">
        <v>141</v>
      </c>
      <c r="G6" s="150"/>
    </row>
    <row r="7" spans="2:7" ht="15">
      <c r="B7" s="152" t="s">
        <v>271</v>
      </c>
      <c r="C7" s="152" t="s">
        <v>272</v>
      </c>
      <c r="D7" s="150"/>
      <c r="E7" s="151" t="s">
        <v>273</v>
      </c>
      <c r="F7" s="151" t="s">
        <v>274</v>
      </c>
      <c r="G7" s="150"/>
    </row>
    <row r="8" spans="2:7" ht="15">
      <c r="B8" s="151" t="s">
        <v>275</v>
      </c>
      <c r="C8" s="151" t="s">
        <v>276</v>
      </c>
      <c r="D8" s="150"/>
      <c r="E8" s="151" t="s">
        <v>277</v>
      </c>
      <c r="F8" s="151" t="s">
        <v>278</v>
      </c>
      <c r="G8" s="150"/>
    </row>
    <row r="9" spans="2:7" ht="15">
      <c r="B9" s="151" t="s">
        <v>279</v>
      </c>
      <c r="C9" s="151" t="s">
        <v>280</v>
      </c>
      <c r="D9" s="150"/>
      <c r="E9" s="152" t="s">
        <v>281</v>
      </c>
      <c r="F9" s="152" t="s">
        <v>140</v>
      </c>
      <c r="G9" s="150"/>
    </row>
    <row r="10" spans="2:7" ht="15">
      <c r="B10" s="151" t="s">
        <v>282</v>
      </c>
      <c r="C10" s="151" t="s">
        <v>283</v>
      </c>
      <c r="D10" s="150"/>
      <c r="E10" s="151" t="s">
        <v>284</v>
      </c>
      <c r="F10" s="151" t="s">
        <v>285</v>
      </c>
      <c r="G10" s="150"/>
    </row>
    <row r="11" spans="2:7" ht="15">
      <c r="B11" s="151" t="s">
        <v>286</v>
      </c>
      <c r="C11" s="151" t="s">
        <v>287</v>
      </c>
      <c r="D11" s="150"/>
      <c r="E11" s="151" t="s">
        <v>288</v>
      </c>
      <c r="F11" s="151" t="s">
        <v>278</v>
      </c>
      <c r="G11" s="150"/>
    </row>
    <row r="12" spans="2:7" ht="15">
      <c r="B12" s="151" t="s">
        <v>289</v>
      </c>
      <c r="C12" s="151" t="s">
        <v>290</v>
      </c>
      <c r="D12" s="150"/>
      <c r="E12" s="151" t="s">
        <v>291</v>
      </c>
      <c r="F12" s="151" t="s">
        <v>292</v>
      </c>
      <c r="G12" s="150"/>
    </row>
    <row r="13" spans="2:7" ht="15">
      <c r="B13" s="152" t="s">
        <v>293</v>
      </c>
      <c r="C13" s="152" t="s">
        <v>136</v>
      </c>
      <c r="D13" s="150"/>
      <c r="E13" s="151" t="s">
        <v>294</v>
      </c>
      <c r="F13" s="151" t="s">
        <v>295</v>
      </c>
      <c r="G13" s="150"/>
    </row>
    <row r="14" spans="2:7" ht="15">
      <c r="B14" s="151" t="s">
        <v>296</v>
      </c>
      <c r="C14" s="151" t="s">
        <v>297</v>
      </c>
      <c r="D14" s="150"/>
      <c r="E14" s="152" t="s">
        <v>298</v>
      </c>
      <c r="F14" s="152" t="s">
        <v>299</v>
      </c>
      <c r="G14" s="150"/>
    </row>
    <row r="15" spans="2:7" ht="15">
      <c r="B15" s="152" t="s">
        <v>300</v>
      </c>
      <c r="C15" s="152" t="s">
        <v>301</v>
      </c>
      <c r="D15" s="150"/>
      <c r="E15" s="151" t="s">
        <v>302</v>
      </c>
      <c r="F15" s="151" t="s">
        <v>299</v>
      </c>
      <c r="G15" s="150"/>
    </row>
    <row r="16" spans="2:7" ht="15">
      <c r="B16" s="151" t="s">
        <v>303</v>
      </c>
      <c r="C16" s="151" t="s">
        <v>304</v>
      </c>
      <c r="D16" s="150"/>
      <c r="E16" s="152" t="s">
        <v>305</v>
      </c>
      <c r="F16" s="152" t="s">
        <v>306</v>
      </c>
      <c r="G16" s="150"/>
    </row>
    <row r="17" spans="2:7" ht="15">
      <c r="B17" s="151" t="s">
        <v>307</v>
      </c>
      <c r="C17" s="151" t="s">
        <v>308</v>
      </c>
      <c r="D17" s="150"/>
      <c r="E17" s="151" t="s">
        <v>309</v>
      </c>
      <c r="F17" s="151" t="s">
        <v>310</v>
      </c>
      <c r="G17" s="150"/>
    </row>
    <row r="18" spans="2:7" ht="15">
      <c r="B18" s="151" t="s">
        <v>311</v>
      </c>
      <c r="C18" s="151" t="s">
        <v>312</v>
      </c>
      <c r="D18" s="150"/>
      <c r="E18" s="151" t="s">
        <v>313</v>
      </c>
      <c r="F18" s="151" t="s">
        <v>314</v>
      </c>
      <c r="G18" s="150"/>
    </row>
    <row r="19" spans="2:7" ht="15">
      <c r="B19" s="151" t="s">
        <v>315</v>
      </c>
      <c r="C19" s="151" t="s">
        <v>316</v>
      </c>
      <c r="D19" s="150"/>
      <c r="E19" s="151" t="s">
        <v>317</v>
      </c>
      <c r="F19" s="151" t="s">
        <v>318</v>
      </c>
      <c r="G19" s="150"/>
    </row>
    <row r="20" spans="2:7" ht="15">
      <c r="B20" s="151" t="s">
        <v>319</v>
      </c>
      <c r="C20" s="151" t="s">
        <v>320</v>
      </c>
      <c r="D20" s="150"/>
      <c r="G20" s="150"/>
    </row>
    <row r="21" spans="2:7" ht="15">
      <c r="D21" s="150"/>
      <c r="G21" s="150"/>
    </row>
    <row r="22" spans="2:7" ht="15">
      <c r="D22" s="150"/>
      <c r="G22" s="150"/>
    </row>
    <row r="23" spans="2:7" ht="15">
      <c r="D23" s="150"/>
      <c r="G23" s="150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8"/>
  <dimension ref="A3:B10"/>
  <sheetViews>
    <sheetView workbookViewId="0">
      <selection activeCell="B7" sqref="B7"/>
    </sheetView>
  </sheetViews>
  <sheetFormatPr defaultRowHeight="12.75"/>
  <sheetData>
    <row r="3" spans="1:2" ht="14.25">
      <c r="A3">
        <v>1</v>
      </c>
      <c r="B3" s="148" t="s">
        <v>362</v>
      </c>
    </row>
    <row r="4" spans="1:2" ht="14.25">
      <c r="A4">
        <v>2</v>
      </c>
      <c r="B4" s="148" t="s">
        <v>383</v>
      </c>
    </row>
    <row r="5" spans="1:2" ht="14.25">
      <c r="A5">
        <v>3</v>
      </c>
      <c r="B5" s="148" t="s">
        <v>337</v>
      </c>
    </row>
    <row r="6" spans="1:2" ht="14.25">
      <c r="A6">
        <v>4</v>
      </c>
      <c r="B6" s="148" t="s">
        <v>214</v>
      </c>
    </row>
    <row r="7" spans="1:2" ht="15">
      <c r="A7">
        <v>5</v>
      </c>
      <c r="B7" s="150" t="s">
        <v>540</v>
      </c>
    </row>
    <row r="8" spans="1:2" ht="14.25">
      <c r="A8">
        <v>6</v>
      </c>
      <c r="B8" s="148" t="s">
        <v>216</v>
      </c>
    </row>
    <row r="9" spans="1:2" ht="14.25">
      <c r="A9">
        <v>7</v>
      </c>
      <c r="B9" s="148" t="s">
        <v>384</v>
      </c>
    </row>
    <row r="10" spans="1:2" ht="14.25">
      <c r="A10">
        <v>8</v>
      </c>
      <c r="B10" s="148" t="s">
        <v>385</v>
      </c>
    </row>
  </sheetData>
  <phoneticPr fontId="1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07F4698-DF40-4FE9-9962-3EE25BB3F3A2}"/>
</file>

<file path=customXml/itemProps3.xml><?xml version="1.0" encoding="utf-8"?>
<ds:datastoreItem xmlns:ds="http://schemas.openxmlformats.org/officeDocument/2006/customXml" ds:itemID="{E148C049-B9FB-44C4-A578-3E95A85E8DB7}"/>
</file>

<file path=customXml/itemProps4.xml><?xml version="1.0" encoding="utf-8"?>
<ds:datastoreItem xmlns:ds="http://schemas.openxmlformats.org/officeDocument/2006/customXml" ds:itemID="{58017B4E-EBF3-4663-A047-7BE4206CD1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38</vt:i4>
      </vt:variant>
      <vt:variant>
        <vt:lpstr>已命名的範圍</vt:lpstr>
      </vt:variant>
      <vt:variant>
        <vt:i4>18</vt:i4>
      </vt:variant>
    </vt:vector>
  </HeadingPairs>
  <TitlesOfParts>
    <vt:vector size="56" baseType="lpstr">
      <vt:lpstr>數值累積總表(月)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林謙杰</cp:lastModifiedBy>
  <cp:lastPrinted>2026-07-22T06:34:28Z</cp:lastPrinted>
  <dcterms:created xsi:type="dcterms:W3CDTF">2025-07-03T16:36:59Z</dcterms:created>
  <dcterms:modified xsi:type="dcterms:W3CDTF">2026-08-11T05:30:04Z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