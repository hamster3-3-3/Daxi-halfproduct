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20" activeTab="26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6-1'!$A$1:$L$54</definedName>
    <definedName name="_xlnm.Print_Area" localSheetId="17">'生產管理報表 6-2'!$A$1:$L$54</definedName>
    <definedName name="_xlnm.Print_Area" localSheetId="18">'生產管理報表 6-3'!$A$1:$L$54</definedName>
    <definedName name="_xlnm.Print_Area" localSheetId="19">'生產管理報表 6-4'!$A$1:$L$54</definedName>
    <definedName name="_xlnm.Print_Area" localSheetId="20">'生產管理報表 6-5'!$A$1:$L$54</definedName>
    <definedName name="_xlnm.Print_Area" localSheetId="26">'生產管理報表 7-1 (週)'!$A$1:$M$26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8-5(週報廢)'!$A$1:$Q$170</definedName>
    <definedName name="_xlnm.Print_Area" localSheetId="28">'生產管理報表 8-6(週報廢)'!$A$1:$P$218</definedName>
    <definedName name="_xlnm.Print_Area" localSheetId="29">'生產管理報表 8-7(週超用)'!$A$1:$Q$30</definedName>
    <definedName name="_xlnm.Print_Area" localSheetId="30">'生產管理報表 8-8(週超用) '!$A$1:$P$170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41" l="1"/>
  <c r="G26" i="41"/>
  <c r="M21" i="41"/>
  <c r="R158" i="63" l="1"/>
  <c r="R157" i="63"/>
  <c r="R156" i="63"/>
  <c r="R155" i="63"/>
  <c r="R154" i="63"/>
  <c r="R153" i="63"/>
  <c r="R152" i="63"/>
  <c r="R151" i="63"/>
  <c r="R150" i="63"/>
  <c r="R149" i="63"/>
  <c r="R148" i="63"/>
  <c r="R147" i="63"/>
  <c r="R146" i="63"/>
  <c r="R145" i="63"/>
  <c r="R144" i="63"/>
  <c r="R143" i="63"/>
  <c r="R142" i="63"/>
  <c r="R141" i="63"/>
  <c r="R140" i="63"/>
  <c r="R139" i="63"/>
  <c r="K26" i="41" l="1"/>
  <c r="K21" i="41"/>
  <c r="I21" i="41"/>
  <c r="G21" i="41"/>
  <c r="AH141" i="66"/>
  <c r="AH143" i="66" s="1"/>
  <c r="AI141" i="66"/>
  <c r="AI143" i="66" s="1"/>
  <c r="AJ141" i="66"/>
  <c r="AJ143" i="66" s="1"/>
  <c r="AK141" i="66"/>
  <c r="AK143" i="66" s="1"/>
  <c r="AL141" i="66"/>
  <c r="AL143" i="66" s="1"/>
  <c r="AM141" i="66"/>
  <c r="AM143" i="66" s="1"/>
  <c r="AH142" i="66"/>
  <c r="H21" i="41" s="1"/>
  <c r="AI142" i="66"/>
  <c r="J21" i="41" s="1"/>
  <c r="AM142" i="66"/>
  <c r="J26" i="41" s="1"/>
  <c r="AG142" i="66"/>
  <c r="F21" i="41" s="1"/>
  <c r="AG141" i="66"/>
  <c r="AG143" i="66" s="1"/>
  <c r="S158" i="66"/>
  <c r="R158" i="66"/>
  <c r="O158" i="66"/>
  <c r="P158" i="66" s="1"/>
  <c r="N158" i="66"/>
  <c r="L158" i="66"/>
  <c r="J158" i="66"/>
  <c r="S157" i="66"/>
  <c r="R157" i="66"/>
  <c r="O157" i="66"/>
  <c r="T157" i="66" s="1"/>
  <c r="N157" i="66"/>
  <c r="L157" i="66"/>
  <c r="J157" i="66"/>
  <c r="S156" i="66"/>
  <c r="R156" i="66"/>
  <c r="O156" i="66"/>
  <c r="P156" i="66" s="1"/>
  <c r="N156" i="66"/>
  <c r="L156" i="66"/>
  <c r="J156" i="66"/>
  <c r="S155" i="66"/>
  <c r="R155" i="66"/>
  <c r="O155" i="66"/>
  <c r="P155" i="66" s="1"/>
  <c r="N155" i="66"/>
  <c r="L155" i="66"/>
  <c r="J155" i="66"/>
  <c r="S154" i="66"/>
  <c r="R154" i="66"/>
  <c r="O154" i="66"/>
  <c r="T154" i="66" s="1"/>
  <c r="N154" i="66"/>
  <c r="L154" i="66"/>
  <c r="J154" i="66"/>
  <c r="S153" i="66"/>
  <c r="R153" i="66"/>
  <c r="O153" i="66"/>
  <c r="P153" i="66" s="1"/>
  <c r="N153" i="66"/>
  <c r="L153" i="66"/>
  <c r="J153" i="66"/>
  <c r="S152" i="66"/>
  <c r="R152" i="66"/>
  <c r="O152" i="66"/>
  <c r="T152" i="66" s="1"/>
  <c r="F152" i="66" s="1"/>
  <c r="N152" i="66"/>
  <c r="L152" i="66"/>
  <c r="J152" i="66"/>
  <c r="S151" i="66"/>
  <c r="R151" i="66"/>
  <c r="O151" i="66"/>
  <c r="T151" i="66" s="1"/>
  <c r="N151" i="66"/>
  <c r="L151" i="66"/>
  <c r="J151" i="66"/>
  <c r="S150" i="66"/>
  <c r="R150" i="66"/>
  <c r="O150" i="66"/>
  <c r="P150" i="66" s="1"/>
  <c r="N150" i="66"/>
  <c r="L150" i="66"/>
  <c r="J150" i="66"/>
  <c r="S149" i="66"/>
  <c r="R149" i="66"/>
  <c r="O149" i="66"/>
  <c r="P149" i="66" s="1"/>
  <c r="N149" i="66"/>
  <c r="L149" i="66"/>
  <c r="J149" i="66"/>
  <c r="S148" i="66"/>
  <c r="R148" i="66"/>
  <c r="O148" i="66"/>
  <c r="P148" i="66" s="1"/>
  <c r="N148" i="66"/>
  <c r="L148" i="66"/>
  <c r="J148" i="66"/>
  <c r="S147" i="66"/>
  <c r="R147" i="66"/>
  <c r="O147" i="66"/>
  <c r="T147" i="66" s="1"/>
  <c r="U147" i="66" s="1"/>
  <c r="N147" i="66"/>
  <c r="L147" i="66"/>
  <c r="J147" i="66"/>
  <c r="S146" i="66"/>
  <c r="R146" i="66"/>
  <c r="O146" i="66"/>
  <c r="T146" i="66" s="1"/>
  <c r="N146" i="66"/>
  <c r="L146" i="66"/>
  <c r="J146" i="66"/>
  <c r="S145" i="66"/>
  <c r="R145" i="66"/>
  <c r="O145" i="66"/>
  <c r="P145" i="66" s="1"/>
  <c r="N145" i="66"/>
  <c r="L145" i="66"/>
  <c r="J145" i="66"/>
  <c r="S144" i="66"/>
  <c r="R144" i="66"/>
  <c r="O144" i="66"/>
  <c r="T144" i="66" s="1"/>
  <c r="N144" i="66"/>
  <c r="L144" i="66"/>
  <c r="J144" i="66"/>
  <c r="S143" i="66"/>
  <c r="R143" i="66"/>
  <c r="O143" i="66"/>
  <c r="T143" i="66" s="1"/>
  <c r="N143" i="66"/>
  <c r="L143" i="66"/>
  <c r="J143" i="66"/>
  <c r="S142" i="66"/>
  <c r="R142" i="66"/>
  <c r="O142" i="66"/>
  <c r="T142" i="66" s="1"/>
  <c r="N142" i="66"/>
  <c r="L142" i="66"/>
  <c r="J142" i="66"/>
  <c r="AF141" i="66"/>
  <c r="S141" i="66"/>
  <c r="R141" i="66"/>
  <c r="O141" i="66"/>
  <c r="T141" i="66" s="1"/>
  <c r="U141" i="66" s="1"/>
  <c r="N141" i="66"/>
  <c r="L141" i="66"/>
  <c r="J141" i="66"/>
  <c r="S140" i="66"/>
  <c r="R140" i="66"/>
  <c r="O140" i="66"/>
  <c r="P140" i="66" s="1"/>
  <c r="N140" i="66"/>
  <c r="L140" i="66"/>
  <c r="J140" i="66"/>
  <c r="S139" i="66"/>
  <c r="R139" i="66"/>
  <c r="O139" i="66"/>
  <c r="P139" i="66" s="1"/>
  <c r="N139" i="66"/>
  <c r="L139" i="66"/>
  <c r="J139" i="66"/>
  <c r="AH141" i="63"/>
  <c r="AI141" i="63"/>
  <c r="AI143" i="63" s="1"/>
  <c r="K20" i="41" s="1"/>
  <c r="AJ141" i="63"/>
  <c r="AJ143" i="63" s="1"/>
  <c r="M20" i="41" s="1"/>
  <c r="AK141" i="63"/>
  <c r="AK143" i="63" s="1"/>
  <c r="G25" i="41" s="1"/>
  <c r="AL141" i="63"/>
  <c r="AL143" i="63" s="1"/>
  <c r="I25" i="41" s="1"/>
  <c r="AM141" i="63"/>
  <c r="AM143" i="63" s="1"/>
  <c r="K25" i="41" s="1"/>
  <c r="AH142" i="63"/>
  <c r="H20" i="41" s="1"/>
  <c r="AJ142" i="63"/>
  <c r="L20" i="41" s="1"/>
  <c r="AK142" i="63"/>
  <c r="F25" i="41" s="1"/>
  <c r="AL142" i="63"/>
  <c r="H25" i="41" s="1"/>
  <c r="AM142" i="63"/>
  <c r="J25" i="41" s="1"/>
  <c r="AG142" i="63"/>
  <c r="F20" i="41" s="1"/>
  <c r="AG141" i="63"/>
  <c r="AG143" i="63" s="1"/>
  <c r="G20" i="41" s="1"/>
  <c r="F139" i="63"/>
  <c r="AI142" i="63" s="1"/>
  <c r="J20" i="41" s="1"/>
  <c r="F140" i="63"/>
  <c r="F141" i="63"/>
  <c r="F142" i="63"/>
  <c r="F143" i="63"/>
  <c r="F144" i="63"/>
  <c r="F145" i="63"/>
  <c r="F146" i="63"/>
  <c r="F147" i="63"/>
  <c r="F148" i="63"/>
  <c r="F149" i="63"/>
  <c r="F150" i="63"/>
  <c r="F151" i="63"/>
  <c r="F152" i="63"/>
  <c r="F153" i="63"/>
  <c r="F154" i="63"/>
  <c r="F155" i="63"/>
  <c r="F156" i="63"/>
  <c r="F157" i="63"/>
  <c r="F158" i="63"/>
  <c r="O158" i="63"/>
  <c r="S158" i="63" s="1"/>
  <c r="N158" i="63"/>
  <c r="L158" i="63"/>
  <c r="J158" i="63"/>
  <c r="O157" i="63"/>
  <c r="P157" i="63" s="1"/>
  <c r="N157" i="63"/>
  <c r="L157" i="63"/>
  <c r="J157" i="63"/>
  <c r="O156" i="63"/>
  <c r="S156" i="63" s="1"/>
  <c r="N156" i="63"/>
  <c r="L156" i="63"/>
  <c r="J156" i="63"/>
  <c r="O155" i="63"/>
  <c r="S155" i="63" s="1"/>
  <c r="N155" i="63"/>
  <c r="L155" i="63"/>
  <c r="J155" i="63"/>
  <c r="O154" i="63"/>
  <c r="S154" i="63" s="1"/>
  <c r="U154" i="63" s="1"/>
  <c r="N154" i="63"/>
  <c r="L154" i="63"/>
  <c r="J154" i="63"/>
  <c r="O153" i="63"/>
  <c r="S153" i="63" s="1"/>
  <c r="N153" i="63"/>
  <c r="L153" i="63"/>
  <c r="J153" i="63"/>
  <c r="O152" i="63"/>
  <c r="S152" i="63" s="1"/>
  <c r="N152" i="63"/>
  <c r="L152" i="63"/>
  <c r="J152" i="63"/>
  <c r="O151" i="63"/>
  <c r="S151" i="63" s="1"/>
  <c r="N151" i="63"/>
  <c r="L151" i="63"/>
  <c r="J151" i="63"/>
  <c r="O150" i="63"/>
  <c r="P150" i="63" s="1"/>
  <c r="N150" i="63"/>
  <c r="L150" i="63"/>
  <c r="J150" i="63"/>
  <c r="O149" i="63"/>
  <c r="S149" i="63" s="1"/>
  <c r="N149" i="63"/>
  <c r="L149" i="63"/>
  <c r="J149" i="63"/>
  <c r="O148" i="63"/>
  <c r="P148" i="63" s="1"/>
  <c r="N148" i="63"/>
  <c r="L148" i="63"/>
  <c r="J148" i="63"/>
  <c r="O147" i="63"/>
  <c r="P147" i="63" s="1"/>
  <c r="N147" i="63"/>
  <c r="L147" i="63"/>
  <c r="J147" i="63"/>
  <c r="O146" i="63"/>
  <c r="S146" i="63" s="1"/>
  <c r="N146" i="63"/>
  <c r="L146" i="63"/>
  <c r="J146" i="63"/>
  <c r="O145" i="63"/>
  <c r="P145" i="63" s="1"/>
  <c r="N145" i="63"/>
  <c r="L145" i="63"/>
  <c r="J145" i="63"/>
  <c r="O144" i="63"/>
  <c r="S144" i="63" s="1"/>
  <c r="V144" i="63" s="1"/>
  <c r="N144" i="63"/>
  <c r="L144" i="63"/>
  <c r="J144" i="63"/>
  <c r="O143" i="63"/>
  <c r="P143" i="63" s="1"/>
  <c r="N143" i="63"/>
  <c r="L143" i="63"/>
  <c r="J143" i="63"/>
  <c r="O142" i="63"/>
  <c r="S142" i="63" s="1"/>
  <c r="V142" i="63" s="1"/>
  <c r="N142" i="63"/>
  <c r="L142" i="63"/>
  <c r="J142" i="63"/>
  <c r="AH143" i="63"/>
  <c r="I20" i="41" s="1"/>
  <c r="AF141" i="63"/>
  <c r="O141" i="63"/>
  <c r="P141" i="63" s="1"/>
  <c r="N141" i="63"/>
  <c r="L141" i="63"/>
  <c r="J141" i="63"/>
  <c r="O140" i="63"/>
  <c r="S140" i="63" s="1"/>
  <c r="N140" i="63"/>
  <c r="L140" i="63"/>
  <c r="J140" i="63"/>
  <c r="O139" i="63"/>
  <c r="S139" i="63" s="1"/>
  <c r="N139" i="63"/>
  <c r="L139" i="63"/>
  <c r="J139" i="63"/>
  <c r="F9" i="41"/>
  <c r="C10" i="41"/>
  <c r="C9" i="41"/>
  <c r="B10" i="41"/>
  <c r="B9" i="41"/>
  <c r="B20" i="41"/>
  <c r="B21" i="41"/>
  <c r="B48" i="56"/>
  <c r="G46" i="56"/>
  <c r="H46" i="56" s="1"/>
  <c r="F46" i="56"/>
  <c r="D46" i="56"/>
  <c r="H45" i="56"/>
  <c r="G45" i="56"/>
  <c r="F45" i="56"/>
  <c r="D45" i="56"/>
  <c r="G44" i="56"/>
  <c r="H44" i="56" s="1"/>
  <c r="F44" i="56"/>
  <c r="D44" i="56"/>
  <c r="H43" i="56"/>
  <c r="G43" i="56"/>
  <c r="F43" i="56"/>
  <c r="D43" i="56"/>
  <c r="G42" i="56"/>
  <c r="H42" i="56" s="1"/>
  <c r="F42" i="56"/>
  <c r="D42" i="56"/>
  <c r="H41" i="56"/>
  <c r="G41" i="56"/>
  <c r="F41" i="56"/>
  <c r="D41" i="56"/>
  <c r="J40" i="56"/>
  <c r="I40" i="56"/>
  <c r="G40" i="56"/>
  <c r="H40" i="56" s="1"/>
  <c r="F40" i="56"/>
  <c r="D40" i="56"/>
  <c r="G39" i="56"/>
  <c r="H39" i="56" s="1"/>
  <c r="F39" i="56"/>
  <c r="D39" i="56"/>
  <c r="H38" i="56"/>
  <c r="G38" i="56"/>
  <c r="F38" i="56"/>
  <c r="D38" i="56"/>
  <c r="G37" i="56"/>
  <c r="H37" i="56" s="1"/>
  <c r="F37" i="56"/>
  <c r="D37" i="56"/>
  <c r="G36" i="56"/>
  <c r="H36" i="56" s="1"/>
  <c r="F36" i="56"/>
  <c r="D36" i="56"/>
  <c r="G35" i="56"/>
  <c r="H35" i="56" s="1"/>
  <c r="F35" i="56"/>
  <c r="D35" i="56"/>
  <c r="G34" i="56"/>
  <c r="H34" i="56" s="1"/>
  <c r="F34" i="56"/>
  <c r="D34" i="56"/>
  <c r="J33" i="56"/>
  <c r="I33" i="56"/>
  <c r="G33" i="56"/>
  <c r="H33" i="56" s="1"/>
  <c r="F33" i="56"/>
  <c r="D33" i="56"/>
  <c r="G32" i="56"/>
  <c r="H32" i="56" s="1"/>
  <c r="F32" i="56"/>
  <c r="D32" i="56"/>
  <c r="G31" i="56"/>
  <c r="H31" i="56" s="1"/>
  <c r="F31" i="56"/>
  <c r="D31" i="56"/>
  <c r="G30" i="56"/>
  <c r="H30" i="56" s="1"/>
  <c r="F30" i="56"/>
  <c r="D30" i="56"/>
  <c r="G29" i="56"/>
  <c r="H29" i="56" s="1"/>
  <c r="F29" i="56"/>
  <c r="D29" i="56"/>
  <c r="G28" i="56"/>
  <c r="H28" i="56" s="1"/>
  <c r="F28" i="56"/>
  <c r="D28" i="56"/>
  <c r="G27" i="56"/>
  <c r="H27" i="56" s="1"/>
  <c r="F27" i="56"/>
  <c r="D27" i="56"/>
  <c r="J26" i="56"/>
  <c r="I26" i="56"/>
  <c r="G26" i="56"/>
  <c r="H26" i="56" s="1"/>
  <c r="F26" i="56"/>
  <c r="D26" i="56"/>
  <c r="F25" i="56"/>
  <c r="D25" i="56"/>
  <c r="G24" i="56"/>
  <c r="H24" i="56" s="1"/>
  <c r="D24" i="56"/>
  <c r="G23" i="56"/>
  <c r="H23" i="56" s="1"/>
  <c r="D23" i="56"/>
  <c r="F22" i="56"/>
  <c r="D22" i="56"/>
  <c r="G21" i="56"/>
  <c r="H21" i="56" s="1"/>
  <c r="D21" i="56"/>
  <c r="G20" i="56"/>
  <c r="H20" i="56" s="1"/>
  <c r="F20" i="56"/>
  <c r="D20" i="56"/>
  <c r="I19" i="56"/>
  <c r="J19" i="56"/>
  <c r="D19" i="56"/>
  <c r="G18" i="56"/>
  <c r="H18" i="56" s="1"/>
  <c r="D18" i="56"/>
  <c r="G17" i="56"/>
  <c r="H17" i="56" s="1"/>
  <c r="D17" i="56"/>
  <c r="G16" i="56"/>
  <c r="H16" i="56" s="1"/>
  <c r="F16" i="56"/>
  <c r="D16" i="56"/>
  <c r="F15" i="56"/>
  <c r="G15" i="56"/>
  <c r="H15" i="56" s="1"/>
  <c r="J12" i="56"/>
  <c r="I12" i="56"/>
  <c r="G13" i="56"/>
  <c r="F13" i="56"/>
  <c r="D13" i="56"/>
  <c r="G12" i="56"/>
  <c r="H12" i="56" s="1"/>
  <c r="F12" i="56"/>
  <c r="D12" i="56"/>
  <c r="G11" i="56"/>
  <c r="H11" i="56" s="1"/>
  <c r="F11" i="56"/>
  <c r="D11" i="56"/>
  <c r="G10" i="56"/>
  <c r="H10" i="56" s="1"/>
  <c r="F10" i="56"/>
  <c r="D10" i="56"/>
  <c r="G9" i="56"/>
  <c r="H9" i="56" s="1"/>
  <c r="F9" i="56"/>
  <c r="D9" i="56"/>
  <c r="G8" i="56"/>
  <c r="H8" i="56" s="1"/>
  <c r="F8" i="56"/>
  <c r="D8" i="56"/>
  <c r="G7" i="56"/>
  <c r="H7" i="56" s="1"/>
  <c r="F7" i="56"/>
  <c r="D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G6" i="56"/>
  <c r="H6" i="56" s="1"/>
  <c r="F6" i="56"/>
  <c r="D6" i="56"/>
  <c r="A6" i="56"/>
  <c r="J5" i="56"/>
  <c r="I5" i="56"/>
  <c r="G5" i="56"/>
  <c r="H5" i="56" s="1"/>
  <c r="F5" i="56"/>
  <c r="D5" i="56"/>
  <c r="B16" i="41"/>
  <c r="C21" i="41" s="1"/>
  <c r="J38" i="25"/>
  <c r="J37" i="25"/>
  <c r="J36" i="25"/>
  <c r="J35" i="25"/>
  <c r="J34" i="25"/>
  <c r="J52" i="24"/>
  <c r="J51" i="24"/>
  <c r="J50" i="24"/>
  <c r="J49" i="24"/>
  <c r="J48" i="24"/>
  <c r="J47" i="24"/>
  <c r="J46" i="24"/>
  <c r="J45" i="24"/>
  <c r="J53" i="23"/>
  <c r="J51" i="23"/>
  <c r="J52" i="23"/>
  <c r="J50" i="23"/>
  <c r="J49" i="23"/>
  <c r="J48" i="23"/>
  <c r="J47" i="23"/>
  <c r="J46" i="23"/>
  <c r="J45" i="23"/>
  <c r="J42" i="23"/>
  <c r="J41" i="23"/>
  <c r="J40" i="23"/>
  <c r="J38" i="23"/>
  <c r="J37" i="23"/>
  <c r="J36" i="23"/>
  <c r="J35" i="23"/>
  <c r="J34" i="23"/>
  <c r="J47" i="22"/>
  <c r="J46" i="22"/>
  <c r="J49" i="22"/>
  <c r="J48" i="22"/>
  <c r="J45" i="22"/>
  <c r="J42" i="15"/>
  <c r="J43" i="15"/>
  <c r="J41" i="15"/>
  <c r="J40" i="15"/>
  <c r="J39" i="15"/>
  <c r="J38" i="15"/>
  <c r="J37" i="15"/>
  <c r="J35" i="15"/>
  <c r="J34" i="15"/>
  <c r="J45" i="15"/>
  <c r="J47" i="15"/>
  <c r="J46" i="15"/>
  <c r="AW31" i="52"/>
  <c r="AW30" i="52"/>
  <c r="AW29" i="52"/>
  <c r="AW28" i="52"/>
  <c r="AW27" i="52"/>
  <c r="AR31" i="52"/>
  <c r="AR30" i="52"/>
  <c r="AR29" i="52"/>
  <c r="AR28" i="52"/>
  <c r="AR27" i="52"/>
  <c r="AM31" i="52"/>
  <c r="AM30" i="52"/>
  <c r="AM29" i="52"/>
  <c r="AM28" i="52"/>
  <c r="AM27" i="52"/>
  <c r="AH31" i="52"/>
  <c r="AH30" i="52"/>
  <c r="AH29" i="52"/>
  <c r="AH28" i="52"/>
  <c r="AH27" i="52"/>
  <c r="AC31" i="52"/>
  <c r="AC30" i="52"/>
  <c r="AC29" i="52"/>
  <c r="AC28" i="52"/>
  <c r="AC27" i="52"/>
  <c r="X31" i="52"/>
  <c r="X30" i="52"/>
  <c r="X29" i="52"/>
  <c r="X28" i="52"/>
  <c r="X27" i="52"/>
  <c r="S28" i="52"/>
  <c r="S29" i="52"/>
  <c r="S30" i="52"/>
  <c r="S31" i="52"/>
  <c r="S27" i="52"/>
  <c r="M28" i="52"/>
  <c r="M29" i="52"/>
  <c r="M30" i="52"/>
  <c r="M31" i="52"/>
  <c r="M27" i="52"/>
  <c r="C1" i="52"/>
  <c r="AV31" i="52"/>
  <c r="AQ31" i="52"/>
  <c r="AL31" i="52"/>
  <c r="AG31" i="52"/>
  <c r="AB31" i="52"/>
  <c r="W31" i="52"/>
  <c r="R31" i="52"/>
  <c r="J31" i="52"/>
  <c r="I31" i="52"/>
  <c r="G31" i="52"/>
  <c r="AV30" i="52"/>
  <c r="AQ30" i="52"/>
  <c r="AL30" i="52"/>
  <c r="AG30" i="52"/>
  <c r="AB30" i="52"/>
  <c r="W30" i="52"/>
  <c r="R30" i="52"/>
  <c r="J30" i="52"/>
  <c r="I30" i="52"/>
  <c r="G30" i="52"/>
  <c r="AV29" i="52"/>
  <c r="AX27" i="52" s="1"/>
  <c r="AQ29" i="52"/>
  <c r="AL29" i="52"/>
  <c r="AG29" i="52"/>
  <c r="AB29" i="52"/>
  <c r="W29" i="52"/>
  <c r="R29" i="52"/>
  <c r="J29" i="52"/>
  <c r="I29" i="52"/>
  <c r="G29" i="52"/>
  <c r="AV28" i="52"/>
  <c r="AQ28" i="52"/>
  <c r="AL28" i="52"/>
  <c r="AG28" i="52"/>
  <c r="AB28" i="52"/>
  <c r="W28" i="52"/>
  <c r="R28" i="52"/>
  <c r="J28" i="52"/>
  <c r="I28" i="52"/>
  <c r="G28" i="52"/>
  <c r="AV27" i="52"/>
  <c r="AS27" i="52"/>
  <c r="AQ27" i="52"/>
  <c r="AL27" i="52"/>
  <c r="AN27" i="52" s="1"/>
  <c r="AG27" i="52"/>
  <c r="AB27" i="52"/>
  <c r="AD27" i="52" s="1"/>
  <c r="W27" i="52"/>
  <c r="Y27" i="52" s="1"/>
  <c r="R27" i="52"/>
  <c r="T27" i="52" s="1"/>
  <c r="K27" i="52"/>
  <c r="J27" i="52"/>
  <c r="I27" i="52"/>
  <c r="G27" i="52"/>
  <c r="H27" i="52" s="1"/>
  <c r="AW35" i="51"/>
  <c r="AW34" i="51"/>
  <c r="AW33" i="51"/>
  <c r="AW32" i="51"/>
  <c r="AW30" i="51"/>
  <c r="AW28" i="51"/>
  <c r="AW27" i="51"/>
  <c r="AR35" i="51"/>
  <c r="AR34" i="51"/>
  <c r="AR33" i="51"/>
  <c r="AR32" i="51"/>
  <c r="AR30" i="51"/>
  <c r="AR28" i="51"/>
  <c r="AR27" i="51"/>
  <c r="AM35" i="51"/>
  <c r="AM34" i="51"/>
  <c r="AM33" i="51"/>
  <c r="AM32" i="51"/>
  <c r="AM30" i="51"/>
  <c r="AM28" i="51"/>
  <c r="AM27" i="51"/>
  <c r="AH35" i="51"/>
  <c r="AH34" i="51"/>
  <c r="AH33" i="51"/>
  <c r="AH32" i="51"/>
  <c r="AH30" i="51"/>
  <c r="AH28" i="51"/>
  <c r="AH27" i="51"/>
  <c r="AC35" i="51"/>
  <c r="AC34" i="51"/>
  <c r="AC33" i="51"/>
  <c r="AC32" i="51"/>
  <c r="AC31" i="51"/>
  <c r="AC30" i="51"/>
  <c r="AC29" i="51"/>
  <c r="AC28" i="51"/>
  <c r="AC27" i="51"/>
  <c r="X35" i="51"/>
  <c r="X34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34" i="51"/>
  <c r="S35" i="51"/>
  <c r="S27" i="51"/>
  <c r="M28" i="51"/>
  <c r="M29" i="51"/>
  <c r="M30" i="51"/>
  <c r="M31" i="51"/>
  <c r="M32" i="51"/>
  <c r="M33" i="51"/>
  <c r="M34" i="51"/>
  <c r="M35" i="51"/>
  <c r="M27" i="51"/>
  <c r="C1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AD27" i="51" s="1"/>
  <c r="W34" i="51"/>
  <c r="R34" i="51"/>
  <c r="J34" i="51"/>
  <c r="I34" i="51"/>
  <c r="G34" i="51"/>
  <c r="AV33" i="51"/>
  <c r="AQ33" i="51"/>
  <c r="AL33" i="51"/>
  <c r="AG33" i="51"/>
  <c r="AB33" i="51"/>
  <c r="W33" i="51"/>
  <c r="K33" i="51" s="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B31" i="51"/>
  <c r="W31" i="51"/>
  <c r="K31" i="51" s="1"/>
  <c r="R31" i="51"/>
  <c r="J31" i="51"/>
  <c r="I31" i="51"/>
  <c r="G31" i="51"/>
  <c r="AV30" i="51"/>
  <c r="AQ30" i="51"/>
  <c r="AL30" i="51"/>
  <c r="AG30" i="51"/>
  <c r="AB30" i="51"/>
  <c r="W30" i="51"/>
  <c r="K30" i="51" s="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S27" i="51"/>
  <c r="AQ27" i="51"/>
  <c r="AL27" i="51"/>
  <c r="AN27" i="51" s="1"/>
  <c r="AG27" i="51"/>
  <c r="AI27" i="51" s="1"/>
  <c r="AB27" i="51"/>
  <c r="W27" i="51"/>
  <c r="Y27" i="51" s="1"/>
  <c r="R27" i="51"/>
  <c r="T27" i="51" s="1"/>
  <c r="J27" i="51"/>
  <c r="I27" i="51"/>
  <c r="G27" i="51"/>
  <c r="H27" i="51" s="1"/>
  <c r="U22" i="50"/>
  <c r="Z22" i="50" s="1"/>
  <c r="AE22" i="50" s="1"/>
  <c r="AJ22" i="50" s="1"/>
  <c r="AO22" i="50" s="1"/>
  <c r="AT22" i="50" s="1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C1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K29" i="49"/>
  <c r="J29" i="49"/>
  <c r="I29" i="49"/>
  <c r="G29" i="49"/>
  <c r="AV28" i="49"/>
  <c r="AQ28" i="49"/>
  <c r="AL28" i="49"/>
  <c r="AG28" i="49"/>
  <c r="AB28" i="49"/>
  <c r="W28" i="49"/>
  <c r="R28" i="49"/>
  <c r="K28" i="49"/>
  <c r="J28" i="49"/>
  <c r="I28" i="49"/>
  <c r="G28" i="49"/>
  <c r="AV27" i="49"/>
  <c r="AX27" i="49" s="1"/>
  <c r="AQ27" i="49"/>
  <c r="AL27" i="49"/>
  <c r="AG27" i="49"/>
  <c r="AI27" i="49" s="1"/>
  <c r="AB27" i="49"/>
  <c r="AD27" i="49" s="1"/>
  <c r="W27" i="49"/>
  <c r="R27" i="49"/>
  <c r="T27" i="49" s="1"/>
  <c r="J27" i="49"/>
  <c r="I27" i="49"/>
  <c r="G27" i="49"/>
  <c r="H27" i="49" s="1"/>
  <c r="AW35" i="48"/>
  <c r="AW34" i="48"/>
  <c r="AW33" i="48"/>
  <c r="AW32" i="48"/>
  <c r="AW31" i="48"/>
  <c r="AW30" i="48"/>
  <c r="AW29" i="48"/>
  <c r="AW28" i="48"/>
  <c r="AW27" i="48"/>
  <c r="AR35" i="48"/>
  <c r="AR34" i="48"/>
  <c r="AR33" i="48"/>
  <c r="AR32" i="48"/>
  <c r="AR31" i="48"/>
  <c r="AR30" i="48"/>
  <c r="AR29" i="48"/>
  <c r="AR28" i="48"/>
  <c r="AR27" i="48"/>
  <c r="AM35" i="48"/>
  <c r="AM34" i="48"/>
  <c r="AM33" i="48"/>
  <c r="AM32" i="48"/>
  <c r="AM31" i="48"/>
  <c r="AM30" i="48"/>
  <c r="AM29" i="48"/>
  <c r="AM28" i="48"/>
  <c r="AM27" i="48"/>
  <c r="AH35" i="48"/>
  <c r="AH34" i="48"/>
  <c r="AH33" i="48"/>
  <c r="AH32" i="48"/>
  <c r="AH31" i="48"/>
  <c r="AH30" i="48"/>
  <c r="AH29" i="48"/>
  <c r="AH28" i="48"/>
  <c r="AH27" i="48"/>
  <c r="AI27" i="48"/>
  <c r="AC35" i="48"/>
  <c r="AC34" i="48"/>
  <c r="AC33" i="48"/>
  <c r="AC32" i="48"/>
  <c r="AC31" i="48"/>
  <c r="AC30" i="48"/>
  <c r="AC29" i="48"/>
  <c r="AC28" i="48"/>
  <c r="AC27" i="48"/>
  <c r="X35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35" i="48"/>
  <c r="S27" i="48"/>
  <c r="M28" i="48"/>
  <c r="M29" i="48"/>
  <c r="M30" i="48"/>
  <c r="M31" i="48"/>
  <c r="M32" i="48"/>
  <c r="M33" i="48"/>
  <c r="M34" i="48"/>
  <c r="M35" i="48"/>
  <c r="M27" i="48"/>
  <c r="C1" i="48"/>
  <c r="AV35" i="48"/>
  <c r="AQ35" i="48"/>
  <c r="AL35" i="48"/>
  <c r="AG35" i="48"/>
  <c r="AB35" i="48"/>
  <c r="W35" i="48"/>
  <c r="R35" i="48"/>
  <c r="K35" i="48"/>
  <c r="J35" i="48"/>
  <c r="I35" i="48"/>
  <c r="G35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K33" i="48" s="1"/>
  <c r="AQ33" i="48"/>
  <c r="AL33" i="48"/>
  <c r="AG33" i="48"/>
  <c r="AB33" i="48"/>
  <c r="W33" i="48"/>
  <c r="R33" i="48"/>
  <c r="J33" i="48"/>
  <c r="I33" i="48"/>
  <c r="G33" i="48"/>
  <c r="AV32" i="48"/>
  <c r="K32" i="48" s="1"/>
  <c r="AQ32" i="48"/>
  <c r="AL32" i="48"/>
  <c r="AG32" i="48"/>
  <c r="AB32" i="48"/>
  <c r="W32" i="48"/>
  <c r="R32" i="48"/>
  <c r="J32" i="48"/>
  <c r="I32" i="48"/>
  <c r="G32" i="48"/>
  <c r="H27" i="48" s="1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AS27" i="48" s="1"/>
  <c r="AN27" i="48"/>
  <c r="AL27" i="48"/>
  <c r="AG27" i="48"/>
  <c r="AB27" i="48"/>
  <c r="AD27" i="48" s="1"/>
  <c r="W27" i="48"/>
  <c r="R27" i="48"/>
  <c r="T27" i="48" s="1"/>
  <c r="J27" i="48"/>
  <c r="I27" i="48"/>
  <c r="G27" i="48"/>
  <c r="C1" i="47"/>
  <c r="AW31" i="47"/>
  <c r="AW30" i="47"/>
  <c r="AW29" i="47"/>
  <c r="AW28" i="47"/>
  <c r="AW27" i="47"/>
  <c r="AR31" i="47"/>
  <c r="AR30" i="47"/>
  <c r="AR29" i="47"/>
  <c r="AR28" i="47"/>
  <c r="AR27" i="47"/>
  <c r="AM31" i="47"/>
  <c r="AM30" i="47"/>
  <c r="AM29" i="47"/>
  <c r="AM28" i="47"/>
  <c r="AM27" i="47"/>
  <c r="AH31" i="47"/>
  <c r="AH30" i="47"/>
  <c r="AH29" i="47"/>
  <c r="AH28" i="47"/>
  <c r="AH27" i="47"/>
  <c r="AC31" i="47"/>
  <c r="AC30" i="47"/>
  <c r="AC29" i="47"/>
  <c r="AC28" i="47"/>
  <c r="AC27" i="47"/>
  <c r="X31" i="47"/>
  <c r="X30" i="47"/>
  <c r="X29" i="47"/>
  <c r="X28" i="47"/>
  <c r="X27" i="47"/>
  <c r="S28" i="47"/>
  <c r="S29" i="47"/>
  <c r="S30" i="47"/>
  <c r="S31" i="47"/>
  <c r="S27" i="47"/>
  <c r="M28" i="47"/>
  <c r="M29" i="47"/>
  <c r="M30" i="47"/>
  <c r="M31" i="47"/>
  <c r="M27" i="47"/>
  <c r="AV31" i="47"/>
  <c r="AQ31" i="47"/>
  <c r="AL31" i="47"/>
  <c r="AG31" i="47"/>
  <c r="AB31" i="47"/>
  <c r="W31" i="47"/>
  <c r="R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W28" i="47"/>
  <c r="R28" i="47"/>
  <c r="K28" i="47"/>
  <c r="J28" i="47"/>
  <c r="I28" i="47"/>
  <c r="G28" i="47"/>
  <c r="AV27" i="47"/>
  <c r="AX27" i="47" s="1"/>
  <c r="AS27" i="47"/>
  <c r="AQ27" i="47"/>
  <c r="AL27" i="47"/>
  <c r="AN27" i="47" s="1"/>
  <c r="AG27" i="47"/>
  <c r="AI27" i="47" s="1"/>
  <c r="AB27" i="47"/>
  <c r="AD27" i="47" s="1"/>
  <c r="Y27" i="47"/>
  <c r="W27" i="47"/>
  <c r="R27" i="47"/>
  <c r="T27" i="47" s="1"/>
  <c r="J27" i="47"/>
  <c r="I27" i="47"/>
  <c r="G27" i="47"/>
  <c r="H27" i="47" s="1"/>
  <c r="B34" i="39"/>
  <c r="B30" i="39"/>
  <c r="AW28" i="46"/>
  <c r="AW27" i="46"/>
  <c r="AR28" i="46"/>
  <c r="AR27" i="46"/>
  <c r="AM28" i="46"/>
  <c r="AM27" i="46"/>
  <c r="AH28" i="46"/>
  <c r="AH27" i="46"/>
  <c r="AC28" i="46"/>
  <c r="AC27" i="46"/>
  <c r="C1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S27" i="46" s="1"/>
  <c r="AL27" i="46"/>
  <c r="AN27" i="46" s="1"/>
  <c r="AI27" i="46"/>
  <c r="AG27" i="46"/>
  <c r="AB27" i="46"/>
  <c r="AD27" i="46" s="1"/>
  <c r="Y27" i="46"/>
  <c r="W27" i="46"/>
  <c r="T27" i="46"/>
  <c r="R27" i="46"/>
  <c r="K27" i="46" s="1"/>
  <c r="J27" i="46"/>
  <c r="I27" i="46"/>
  <c r="G27" i="46"/>
  <c r="H27" i="46" s="1"/>
  <c r="R27" i="45"/>
  <c r="AW29" i="45"/>
  <c r="AW28" i="45"/>
  <c r="AW27" i="45"/>
  <c r="AR29" i="45"/>
  <c r="AR28" i="45"/>
  <c r="AR27" i="45"/>
  <c r="AM29" i="45"/>
  <c r="AM28" i="45"/>
  <c r="AM27" i="45"/>
  <c r="AH29" i="45"/>
  <c r="AH28" i="45"/>
  <c r="AH27" i="45"/>
  <c r="AC29" i="45"/>
  <c r="AC28" i="45"/>
  <c r="AC27" i="45"/>
  <c r="X29" i="45"/>
  <c r="X28" i="45"/>
  <c r="X27" i="45"/>
  <c r="S28" i="45"/>
  <c r="S29" i="45"/>
  <c r="S27" i="45"/>
  <c r="AV29" i="45"/>
  <c r="AQ29" i="45"/>
  <c r="AL29" i="45"/>
  <c r="AG29" i="45"/>
  <c r="AB29" i="45"/>
  <c r="W29" i="45"/>
  <c r="R29" i="45"/>
  <c r="K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X27" i="45"/>
  <c r="AV27" i="45"/>
  <c r="AQ27" i="45"/>
  <c r="AS27" i="45" s="1"/>
  <c r="AL27" i="45"/>
  <c r="AG27" i="45"/>
  <c r="AI27" i="45" s="1"/>
  <c r="AB27" i="45"/>
  <c r="AD27" i="45" s="1"/>
  <c r="W27" i="45"/>
  <c r="Y27" i="45" s="1"/>
  <c r="K27" i="45"/>
  <c r="L27" i="45" s="1"/>
  <c r="J27" i="45"/>
  <c r="I27" i="45"/>
  <c r="G27" i="45"/>
  <c r="H27" i="45" s="1"/>
  <c r="C1" i="44"/>
  <c r="B28" i="39"/>
  <c r="AW83" i="44"/>
  <c r="AW82" i="44"/>
  <c r="AW81" i="44"/>
  <c r="AW80" i="44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R83" i="44"/>
  <c r="AR82" i="44"/>
  <c r="AR81" i="44"/>
  <c r="AR80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M83" i="44"/>
  <c r="AM82" i="44"/>
  <c r="AM81" i="44"/>
  <c r="AM80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H83" i="44"/>
  <c r="AH82" i="44"/>
  <c r="AH81" i="44"/>
  <c r="AH80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C83" i="44"/>
  <c r="AC82" i="44"/>
  <c r="AC81" i="44"/>
  <c r="AC80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X83" i="44"/>
  <c r="X82" i="44"/>
  <c r="X81" i="44"/>
  <c r="X80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80" i="44"/>
  <c r="S81" i="44"/>
  <c r="S82" i="44"/>
  <c r="S83" i="44"/>
  <c r="S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49" i="44"/>
  <c r="AV83" i="44"/>
  <c r="AQ83" i="44"/>
  <c r="AL83" i="44"/>
  <c r="AG83" i="44"/>
  <c r="AB83" i="44"/>
  <c r="W83" i="44"/>
  <c r="R83" i="44"/>
  <c r="K83" i="44"/>
  <c r="J83" i="44"/>
  <c r="I83" i="44"/>
  <c r="G83" i="44"/>
  <c r="AV82" i="44"/>
  <c r="AQ82" i="44"/>
  <c r="AL82" i="44"/>
  <c r="AG82" i="44"/>
  <c r="AB82" i="44"/>
  <c r="W82" i="44"/>
  <c r="R82" i="44"/>
  <c r="K82" i="44"/>
  <c r="J82" i="44"/>
  <c r="I82" i="44"/>
  <c r="G82" i="44"/>
  <c r="AV81" i="44"/>
  <c r="K81" i="44" s="1"/>
  <c r="AQ81" i="44"/>
  <c r="AL81" i="44"/>
  <c r="AG81" i="44"/>
  <c r="AB81" i="44"/>
  <c r="W81" i="44"/>
  <c r="R81" i="44"/>
  <c r="J81" i="44"/>
  <c r="I81" i="44"/>
  <c r="G81" i="44"/>
  <c r="AV80" i="44"/>
  <c r="K80" i="44" s="1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K77" i="44" s="1"/>
  <c r="AG77" i="44"/>
  <c r="AB77" i="44"/>
  <c r="W77" i="44"/>
  <c r="R77" i="44"/>
  <c r="J77" i="44"/>
  <c r="I77" i="44"/>
  <c r="G77" i="44"/>
  <c r="AV76" i="44"/>
  <c r="AQ76" i="44"/>
  <c r="AL76" i="44"/>
  <c r="K76" i="44" s="1"/>
  <c r="AG76" i="44"/>
  <c r="AB76" i="44"/>
  <c r="W76" i="44"/>
  <c r="R76" i="44"/>
  <c r="J76" i="44"/>
  <c r="I76" i="44"/>
  <c r="G76" i="44"/>
  <c r="AV75" i="44"/>
  <c r="AQ75" i="44"/>
  <c r="AL75" i="44"/>
  <c r="AG75" i="44"/>
  <c r="K75" i="44" s="1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K74" i="44" s="1"/>
  <c r="J74" i="44"/>
  <c r="I74" i="44"/>
  <c r="G74" i="44"/>
  <c r="AV73" i="44"/>
  <c r="AQ73" i="44"/>
  <c r="AL73" i="44"/>
  <c r="AG73" i="44"/>
  <c r="AB73" i="44"/>
  <c r="K73" i="44" s="1"/>
  <c r="W73" i="44"/>
  <c r="R73" i="44"/>
  <c r="J73" i="44"/>
  <c r="I73" i="44"/>
  <c r="G73" i="44"/>
  <c r="AV72" i="44"/>
  <c r="AQ72" i="44"/>
  <c r="AL72" i="44"/>
  <c r="AG72" i="44"/>
  <c r="AB72" i="44"/>
  <c r="K72" i="44" s="1"/>
  <c r="W72" i="44"/>
  <c r="R72" i="44"/>
  <c r="J72" i="44"/>
  <c r="I72" i="44"/>
  <c r="G72" i="44"/>
  <c r="AV71" i="44"/>
  <c r="AQ71" i="44"/>
  <c r="AL71" i="44"/>
  <c r="AG71" i="44"/>
  <c r="AB71" i="44"/>
  <c r="W71" i="44"/>
  <c r="K71" i="44" s="1"/>
  <c r="R71" i="44"/>
  <c r="J71" i="44"/>
  <c r="I71" i="44"/>
  <c r="G71" i="44"/>
  <c r="AV70" i="44"/>
  <c r="AQ70" i="44"/>
  <c r="AL70" i="44"/>
  <c r="AG70" i="44"/>
  <c r="AB70" i="44"/>
  <c r="W70" i="44"/>
  <c r="K70" i="44" s="1"/>
  <c r="R70" i="44"/>
  <c r="J70" i="44"/>
  <c r="I70" i="44"/>
  <c r="G70" i="44"/>
  <c r="AV69" i="44"/>
  <c r="AQ69" i="44"/>
  <c r="AL69" i="44"/>
  <c r="AG69" i="44"/>
  <c r="AB69" i="44"/>
  <c r="W69" i="44"/>
  <c r="R69" i="44"/>
  <c r="K69" i="44" s="1"/>
  <c r="J69" i="44"/>
  <c r="I69" i="44"/>
  <c r="G69" i="44"/>
  <c r="AV68" i="44"/>
  <c r="AQ68" i="44"/>
  <c r="AL68" i="44"/>
  <c r="AG68" i="44"/>
  <c r="AB68" i="44"/>
  <c r="W68" i="44"/>
  <c r="R68" i="44"/>
  <c r="K68" i="44" s="1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K66" i="44"/>
  <c r="J66" i="44"/>
  <c r="I66" i="44"/>
  <c r="G66" i="44"/>
  <c r="AV65" i="44"/>
  <c r="AQ65" i="44"/>
  <c r="AL65" i="44"/>
  <c r="AG65" i="44"/>
  <c r="AB65" i="44"/>
  <c r="W65" i="44"/>
  <c r="R65" i="44"/>
  <c r="K65" i="44"/>
  <c r="J65" i="44"/>
  <c r="I65" i="44"/>
  <c r="G65" i="44"/>
  <c r="AV64" i="44"/>
  <c r="AQ64" i="44"/>
  <c r="AL64" i="44"/>
  <c r="AG64" i="44"/>
  <c r="AB64" i="44"/>
  <c r="W64" i="44"/>
  <c r="R64" i="44"/>
  <c r="K64" i="44"/>
  <c r="J64" i="44"/>
  <c r="I64" i="44"/>
  <c r="G64" i="44"/>
  <c r="AV63" i="44"/>
  <c r="AQ63" i="44"/>
  <c r="AL63" i="44"/>
  <c r="AG63" i="44"/>
  <c r="AB63" i="44"/>
  <c r="W63" i="44"/>
  <c r="R63" i="44"/>
  <c r="K63" i="44"/>
  <c r="J63" i="44"/>
  <c r="I63" i="44"/>
  <c r="G63" i="44"/>
  <c r="AV62" i="44"/>
  <c r="AQ62" i="44"/>
  <c r="AL62" i="44"/>
  <c r="AG62" i="44"/>
  <c r="AB62" i="44"/>
  <c r="W62" i="44"/>
  <c r="R62" i="44"/>
  <c r="K62" i="44"/>
  <c r="J62" i="44"/>
  <c r="I62" i="44"/>
  <c r="G62" i="44"/>
  <c r="AV61" i="44"/>
  <c r="K61" i="44" s="1"/>
  <c r="AQ61" i="44"/>
  <c r="AL61" i="44"/>
  <c r="AG61" i="44"/>
  <c r="AB61" i="44"/>
  <c r="W61" i="44"/>
  <c r="R61" i="44"/>
  <c r="J61" i="44"/>
  <c r="I61" i="44"/>
  <c r="G61" i="44"/>
  <c r="AV60" i="44"/>
  <c r="K60" i="44" s="1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K57" i="44" s="1"/>
  <c r="AG57" i="44"/>
  <c r="AB57" i="44"/>
  <c r="W57" i="44"/>
  <c r="R57" i="44"/>
  <c r="J57" i="44"/>
  <c r="I57" i="44"/>
  <c r="G57" i="44"/>
  <c r="AV56" i="44"/>
  <c r="AQ56" i="44"/>
  <c r="AL56" i="44"/>
  <c r="K56" i="44" s="1"/>
  <c r="AG56" i="44"/>
  <c r="AB56" i="44"/>
  <c r="W56" i="44"/>
  <c r="R56" i="44"/>
  <c r="J56" i="44"/>
  <c r="I56" i="44"/>
  <c r="G56" i="44"/>
  <c r="AV55" i="44"/>
  <c r="AQ55" i="44"/>
  <c r="AL55" i="44"/>
  <c r="AG55" i="44"/>
  <c r="K55" i="44" s="1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K54" i="44" s="1"/>
  <c r="J54" i="44"/>
  <c r="I54" i="44"/>
  <c r="G54" i="44"/>
  <c r="AV53" i="44"/>
  <c r="AQ53" i="44"/>
  <c r="AS49" i="44" s="1"/>
  <c r="AL53" i="44"/>
  <c r="AG53" i="44"/>
  <c r="AB53" i="44"/>
  <c r="K53" i="44" s="1"/>
  <c r="W53" i="44"/>
  <c r="R53" i="44"/>
  <c r="J53" i="44"/>
  <c r="I53" i="44"/>
  <c r="G53" i="44"/>
  <c r="AV52" i="44"/>
  <c r="AQ52" i="44"/>
  <c r="AL52" i="44"/>
  <c r="AG52" i="44"/>
  <c r="AB52" i="44"/>
  <c r="K52" i="44" s="1"/>
  <c r="W52" i="44"/>
  <c r="R52" i="44"/>
  <c r="J52" i="44"/>
  <c r="I52" i="44"/>
  <c r="G52" i="44"/>
  <c r="AV51" i="44"/>
  <c r="AQ51" i="44"/>
  <c r="AL51" i="44"/>
  <c r="AG51" i="44"/>
  <c r="AB51" i="44"/>
  <c r="W51" i="44"/>
  <c r="K51" i="44" s="1"/>
  <c r="R51" i="44"/>
  <c r="J51" i="44"/>
  <c r="I51" i="44"/>
  <c r="G51" i="44"/>
  <c r="AV50" i="44"/>
  <c r="AQ50" i="44"/>
  <c r="AL50" i="44"/>
  <c r="AG50" i="44"/>
  <c r="AB50" i="44"/>
  <c r="W50" i="44"/>
  <c r="K50" i="44" s="1"/>
  <c r="R50" i="44"/>
  <c r="J50" i="44"/>
  <c r="I50" i="44"/>
  <c r="G50" i="44"/>
  <c r="AV49" i="44"/>
  <c r="AX49" i="44" s="1"/>
  <c r="AQ49" i="44"/>
  <c r="AL49" i="44"/>
  <c r="AN49" i="44" s="1"/>
  <c r="AG49" i="44"/>
  <c r="K49" i="44" s="1"/>
  <c r="AB49" i="44"/>
  <c r="W49" i="44"/>
  <c r="Y49" i="44" s="1"/>
  <c r="R49" i="44"/>
  <c r="J49" i="44"/>
  <c r="I49" i="44"/>
  <c r="G49" i="44"/>
  <c r="H49" i="44" s="1"/>
  <c r="G14" i="6"/>
  <c r="B14" i="6"/>
  <c r="D14" i="6"/>
  <c r="D15" i="6"/>
  <c r="D16" i="6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20" i="6"/>
  <c r="AD20" i="6" s="1"/>
  <c r="S20" i="6"/>
  <c r="M20" i="6"/>
  <c r="F20" i="6"/>
  <c r="AL20" i="6" s="1"/>
  <c r="AC19" i="6"/>
  <c r="AD19" i="6" s="1"/>
  <c r="S19" i="6"/>
  <c r="M19" i="6"/>
  <c r="F19" i="6"/>
  <c r="AL19" i="6" s="1"/>
  <c r="AC18" i="6"/>
  <c r="AD18" i="6" s="1"/>
  <c r="S18" i="6"/>
  <c r="M18" i="6"/>
  <c r="F18" i="6"/>
  <c r="AL18" i="6" s="1"/>
  <c r="AC17" i="6"/>
  <c r="AD17" i="6" s="1"/>
  <c r="S17" i="6"/>
  <c r="M17" i="6"/>
  <c r="F17" i="6"/>
  <c r="AL17" i="6" s="1"/>
  <c r="AC16" i="6"/>
  <c r="AD16" i="6" s="1"/>
  <c r="S16" i="6"/>
  <c r="M16" i="6"/>
  <c r="F16" i="6"/>
  <c r="AL16" i="6" s="1"/>
  <c r="AC15" i="6"/>
  <c r="AD15" i="6" s="1"/>
  <c r="S15" i="6"/>
  <c r="M15" i="6"/>
  <c r="F15" i="6"/>
  <c r="AL15" i="6" s="1"/>
  <c r="AC14" i="6"/>
  <c r="AD14" i="6" s="1"/>
  <c r="S14" i="6"/>
  <c r="M14" i="6"/>
  <c r="F14" i="6"/>
  <c r="AL14" i="6" s="1"/>
  <c r="H8" i="7"/>
  <c r="G14" i="7"/>
  <c r="B14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I11" i="39"/>
  <c r="U13" i="5"/>
  <c r="U14" i="5"/>
  <c r="U15" i="5"/>
  <c r="U16" i="5"/>
  <c r="U17" i="5"/>
  <c r="U18" i="5"/>
  <c r="U12" i="5"/>
  <c r="P147" i="66" l="1"/>
  <c r="T150" i="66"/>
  <c r="V150" i="66" s="1"/>
  <c r="X150" i="66" s="1"/>
  <c r="T153" i="66"/>
  <c r="V153" i="66" s="1"/>
  <c r="X153" i="66" s="1"/>
  <c r="T156" i="66"/>
  <c r="V156" i="66" s="1"/>
  <c r="X156" i="66" s="1"/>
  <c r="P141" i="66"/>
  <c r="P152" i="66"/>
  <c r="T155" i="66"/>
  <c r="V155" i="66" s="1"/>
  <c r="T158" i="66"/>
  <c r="V158" i="66" s="1"/>
  <c r="X158" i="66" s="1"/>
  <c r="V147" i="66"/>
  <c r="X147" i="66" s="1"/>
  <c r="V141" i="66"/>
  <c r="X141" i="66" s="1"/>
  <c r="F147" i="66"/>
  <c r="F141" i="66"/>
  <c r="V142" i="66"/>
  <c r="U142" i="66"/>
  <c r="F142" i="66"/>
  <c r="F151" i="66"/>
  <c r="V151" i="66"/>
  <c r="U151" i="66"/>
  <c r="U157" i="66"/>
  <c r="V157" i="66"/>
  <c r="F157" i="66"/>
  <c r="F146" i="66"/>
  <c r="U146" i="66"/>
  <c r="V146" i="66"/>
  <c r="V143" i="66"/>
  <c r="U143" i="66"/>
  <c r="F143" i="66"/>
  <c r="F154" i="66"/>
  <c r="V154" i="66"/>
  <c r="U154" i="66"/>
  <c r="X155" i="66"/>
  <c r="W155" i="66"/>
  <c r="V144" i="66"/>
  <c r="F144" i="66"/>
  <c r="U144" i="66"/>
  <c r="T149" i="66"/>
  <c r="U152" i="66"/>
  <c r="T140" i="66"/>
  <c r="P151" i="66"/>
  <c r="T148" i="66"/>
  <c r="T139" i="66"/>
  <c r="T145" i="66"/>
  <c r="P146" i="66"/>
  <c r="V152" i="66"/>
  <c r="P157" i="66"/>
  <c r="P154" i="66"/>
  <c r="P142" i="66"/>
  <c r="P143" i="66"/>
  <c r="P144" i="66"/>
  <c r="P144" i="63"/>
  <c r="P142" i="63"/>
  <c r="S157" i="63"/>
  <c r="T157" i="63" s="1"/>
  <c r="S150" i="63"/>
  <c r="V150" i="63" s="1"/>
  <c r="X150" i="63" s="1"/>
  <c r="S143" i="63"/>
  <c r="V143" i="63" s="1"/>
  <c r="X143" i="63" s="1"/>
  <c r="P149" i="63"/>
  <c r="S141" i="63"/>
  <c r="V141" i="63" s="1"/>
  <c r="X141" i="63" s="1"/>
  <c r="P154" i="63"/>
  <c r="S147" i="63"/>
  <c r="V147" i="63" s="1"/>
  <c r="X147" i="63" s="1"/>
  <c r="T146" i="63"/>
  <c r="V146" i="63"/>
  <c r="U146" i="63"/>
  <c r="T153" i="63"/>
  <c r="V153" i="63"/>
  <c r="U153" i="63"/>
  <c r="V140" i="63"/>
  <c r="U140" i="63"/>
  <c r="T140" i="63"/>
  <c r="U156" i="63"/>
  <c r="V156" i="63"/>
  <c r="T156" i="63"/>
  <c r="X142" i="63"/>
  <c r="W142" i="63"/>
  <c r="V139" i="63"/>
  <c r="U139" i="63"/>
  <c r="T139" i="63"/>
  <c r="V158" i="63"/>
  <c r="U158" i="63"/>
  <c r="T158" i="63"/>
  <c r="X144" i="63"/>
  <c r="W144" i="63"/>
  <c r="U151" i="63"/>
  <c r="V151" i="63"/>
  <c r="T151" i="63"/>
  <c r="U149" i="63"/>
  <c r="T149" i="63"/>
  <c r="V149" i="63"/>
  <c r="V152" i="63"/>
  <c r="U152" i="63"/>
  <c r="T152" i="63"/>
  <c r="V155" i="63"/>
  <c r="U155" i="63"/>
  <c r="T155" i="63"/>
  <c r="S145" i="63"/>
  <c r="P156" i="63"/>
  <c r="P153" i="63"/>
  <c r="P151" i="63"/>
  <c r="T154" i="63"/>
  <c r="S148" i="63"/>
  <c r="V154" i="63"/>
  <c r="P158" i="63"/>
  <c r="T142" i="63"/>
  <c r="T144" i="63"/>
  <c r="P155" i="63"/>
  <c r="U142" i="63"/>
  <c r="U144" i="63"/>
  <c r="P152" i="63"/>
  <c r="P140" i="63"/>
  <c r="P146" i="63"/>
  <c r="P139" i="63"/>
  <c r="C20" i="41"/>
  <c r="H13" i="56"/>
  <c r="F19" i="56"/>
  <c r="G19" i="56"/>
  <c r="H19" i="56" s="1"/>
  <c r="G14" i="56"/>
  <c r="H14" i="56" s="1"/>
  <c r="F17" i="56"/>
  <c r="E3" i="56"/>
  <c r="F3" i="56" s="1"/>
  <c r="D14" i="56"/>
  <c r="G22" i="56"/>
  <c r="H22" i="56" s="1"/>
  <c r="B2" i="56"/>
  <c r="D2" i="56" s="1"/>
  <c r="F14" i="56"/>
  <c r="G25" i="56"/>
  <c r="H25" i="56" s="1"/>
  <c r="D15" i="56"/>
  <c r="F23" i="56"/>
  <c r="F18" i="56"/>
  <c r="F21" i="56"/>
  <c r="F24" i="56"/>
  <c r="L27" i="52"/>
  <c r="B36" i="39" s="1"/>
  <c r="K29" i="52"/>
  <c r="K28" i="52"/>
  <c r="K31" i="52"/>
  <c r="K30" i="52"/>
  <c r="AI27" i="52"/>
  <c r="K27" i="51"/>
  <c r="AX27" i="51"/>
  <c r="K35" i="51"/>
  <c r="K29" i="51"/>
  <c r="K28" i="51"/>
  <c r="K32" i="51"/>
  <c r="K34" i="51"/>
  <c r="AN27" i="49"/>
  <c r="K27" i="49"/>
  <c r="AS27" i="49"/>
  <c r="K35" i="49"/>
  <c r="K33" i="49"/>
  <c r="K32" i="49"/>
  <c r="K31" i="49"/>
  <c r="K34" i="49"/>
  <c r="K30" i="49"/>
  <c r="Y27" i="49"/>
  <c r="K29" i="48"/>
  <c r="K27" i="48"/>
  <c r="K31" i="48"/>
  <c r="K30" i="48"/>
  <c r="K28" i="48"/>
  <c r="Y27" i="48"/>
  <c r="K27" i="47"/>
  <c r="K30" i="47"/>
  <c r="K31" i="47"/>
  <c r="K29" i="47"/>
  <c r="L27" i="46"/>
  <c r="C1" i="45"/>
  <c r="B29" i="39"/>
  <c r="M29" i="45"/>
  <c r="M28" i="45"/>
  <c r="M27" i="45"/>
  <c r="K28" i="45"/>
  <c r="T27" i="45"/>
  <c r="AN27" i="45"/>
  <c r="K67" i="44"/>
  <c r="AD49" i="44"/>
  <c r="K59" i="44"/>
  <c r="K79" i="44"/>
  <c r="AI49" i="44"/>
  <c r="K58" i="44"/>
  <c r="K78" i="44"/>
  <c r="T49" i="44"/>
  <c r="J14" i="6"/>
  <c r="J15" i="6"/>
  <c r="J16" i="6"/>
  <c r="J17" i="6"/>
  <c r="J18" i="6"/>
  <c r="J19" i="6"/>
  <c r="J20" i="6"/>
  <c r="L14" i="6"/>
  <c r="L15" i="6"/>
  <c r="L16" i="6"/>
  <c r="L17" i="6"/>
  <c r="L18" i="6"/>
  <c r="L19" i="6"/>
  <c r="L20" i="6"/>
  <c r="N14" i="6"/>
  <c r="N15" i="6"/>
  <c r="N16" i="6"/>
  <c r="N17" i="6"/>
  <c r="N18" i="6"/>
  <c r="N19" i="6"/>
  <c r="N20" i="6"/>
  <c r="P14" i="6"/>
  <c r="P15" i="6"/>
  <c r="P16" i="6"/>
  <c r="P17" i="6"/>
  <c r="P18" i="6"/>
  <c r="P19" i="6"/>
  <c r="P20" i="6"/>
  <c r="R14" i="6"/>
  <c r="R15" i="6"/>
  <c r="R16" i="6"/>
  <c r="R17" i="6"/>
  <c r="R18" i="6"/>
  <c r="R19" i="6"/>
  <c r="R20" i="6"/>
  <c r="T14" i="6"/>
  <c r="T15" i="6"/>
  <c r="T16" i="6"/>
  <c r="T17" i="6"/>
  <c r="T18" i="6"/>
  <c r="T19" i="6"/>
  <c r="T20" i="6"/>
  <c r="V14" i="6"/>
  <c r="V15" i="6"/>
  <c r="V16" i="6"/>
  <c r="V17" i="6"/>
  <c r="V18" i="6"/>
  <c r="V19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AJ20" i="6"/>
  <c r="N16" i="7"/>
  <c r="AD16" i="7"/>
  <c r="AD15" i="7"/>
  <c r="N18" i="7"/>
  <c r="T18" i="7"/>
  <c r="AD18" i="7"/>
  <c r="N19" i="7"/>
  <c r="T19" i="7"/>
  <c r="N20" i="7"/>
  <c r="N14" i="7"/>
  <c r="T20" i="7"/>
  <c r="T14" i="7"/>
  <c r="F15" i="7"/>
  <c r="T15" i="7" s="1"/>
  <c r="F16" i="7"/>
  <c r="T16" i="7" s="1"/>
  <c r="F17" i="7"/>
  <c r="N17" i="7" s="1"/>
  <c r="F18" i="7"/>
  <c r="F19" i="7"/>
  <c r="AD19" i="7" s="1"/>
  <c r="F20" i="7"/>
  <c r="F14" i="7"/>
  <c r="U158" i="66" l="1"/>
  <c r="W147" i="66"/>
  <c r="F155" i="66"/>
  <c r="F150" i="66"/>
  <c r="W141" i="66"/>
  <c r="F153" i="66"/>
  <c r="F158" i="66"/>
  <c r="U150" i="66"/>
  <c r="U153" i="66"/>
  <c r="W150" i="66"/>
  <c r="F156" i="66"/>
  <c r="W156" i="66"/>
  <c r="U156" i="66"/>
  <c r="W153" i="66"/>
  <c r="W158" i="66"/>
  <c r="U155" i="66"/>
  <c r="X154" i="66"/>
  <c r="W154" i="66"/>
  <c r="X142" i="66"/>
  <c r="W142" i="66"/>
  <c r="X143" i="66"/>
  <c r="W143" i="66"/>
  <c r="V145" i="66"/>
  <c r="U145" i="66"/>
  <c r="F145" i="66"/>
  <c r="AJ142" i="66" s="1"/>
  <c r="L21" i="41" s="1"/>
  <c r="W146" i="66"/>
  <c r="X146" i="66"/>
  <c r="F139" i="66"/>
  <c r="AK142" i="66" s="1"/>
  <c r="F26" i="41" s="1"/>
  <c r="V139" i="66"/>
  <c r="U139" i="66"/>
  <c r="F148" i="66"/>
  <c r="V148" i="66"/>
  <c r="U148" i="66"/>
  <c r="F140" i="66"/>
  <c r="V140" i="66"/>
  <c r="U140" i="66"/>
  <c r="X157" i="66"/>
  <c r="W157" i="66"/>
  <c r="F149" i="66"/>
  <c r="V149" i="66"/>
  <c r="U149" i="66"/>
  <c r="X151" i="66"/>
  <c r="W151" i="66"/>
  <c r="X144" i="66"/>
  <c r="W144" i="66"/>
  <c r="W152" i="66"/>
  <c r="X152" i="66"/>
  <c r="U147" i="63"/>
  <c r="U150" i="63"/>
  <c r="W147" i="63"/>
  <c r="V157" i="63"/>
  <c r="X157" i="63" s="1"/>
  <c r="U157" i="63"/>
  <c r="U143" i="63"/>
  <c r="W141" i="63"/>
  <c r="W143" i="63"/>
  <c r="T143" i="63"/>
  <c r="U141" i="63"/>
  <c r="T147" i="63"/>
  <c r="W150" i="63"/>
  <c r="T141" i="63"/>
  <c r="T150" i="63"/>
  <c r="W152" i="63"/>
  <c r="X152" i="63"/>
  <c r="X154" i="63"/>
  <c r="W154" i="63"/>
  <c r="X158" i="63"/>
  <c r="W158" i="63"/>
  <c r="W146" i="63"/>
  <c r="X146" i="63"/>
  <c r="W155" i="63"/>
  <c r="X155" i="63"/>
  <c r="X156" i="63"/>
  <c r="W156" i="63"/>
  <c r="X149" i="63"/>
  <c r="W149" i="63"/>
  <c r="X140" i="63"/>
  <c r="W140" i="63"/>
  <c r="X151" i="63"/>
  <c r="W151" i="63"/>
  <c r="X153" i="63"/>
  <c r="W153" i="63"/>
  <c r="V148" i="63"/>
  <c r="U148" i="63"/>
  <c r="T148" i="63"/>
  <c r="V145" i="63"/>
  <c r="U145" i="63"/>
  <c r="T145" i="63"/>
  <c r="X139" i="63"/>
  <c r="W139" i="63"/>
  <c r="G3" i="56"/>
  <c r="H3" i="56" s="1"/>
  <c r="L27" i="51"/>
  <c r="B35" i="39" s="1"/>
  <c r="L27" i="49"/>
  <c r="B33" i="39" s="1"/>
  <c r="L27" i="48"/>
  <c r="B32" i="39" s="1"/>
  <c r="L27" i="47"/>
  <c r="B31" i="39" s="1"/>
  <c r="L49" i="44"/>
  <c r="AD17" i="7"/>
  <c r="T17" i="7"/>
  <c r="AL14" i="7"/>
  <c r="AB14" i="7"/>
  <c r="Z14" i="7"/>
  <c r="X14" i="7"/>
  <c r="V14" i="7"/>
  <c r="AJ14" i="7"/>
  <c r="AH14" i="7"/>
  <c r="AF14" i="7"/>
  <c r="R14" i="7"/>
  <c r="P14" i="7"/>
  <c r="L14" i="7"/>
  <c r="J14" i="7"/>
  <c r="AL20" i="7"/>
  <c r="AB20" i="7"/>
  <c r="Z20" i="7"/>
  <c r="X20" i="7"/>
  <c r="V20" i="7"/>
  <c r="AJ20" i="7"/>
  <c r="AH20" i="7"/>
  <c r="AF20" i="7"/>
  <c r="R20" i="7"/>
  <c r="P20" i="7"/>
  <c r="L20" i="7"/>
  <c r="J20" i="7"/>
  <c r="AL19" i="7"/>
  <c r="AJ19" i="7"/>
  <c r="AH19" i="7"/>
  <c r="AB19" i="7"/>
  <c r="Z19" i="7"/>
  <c r="X19" i="7"/>
  <c r="V19" i="7"/>
  <c r="AF19" i="7"/>
  <c r="P19" i="7"/>
  <c r="L19" i="7"/>
  <c r="R19" i="7"/>
  <c r="J19" i="7"/>
  <c r="AL18" i="7"/>
  <c r="AJ18" i="7"/>
  <c r="Z18" i="7"/>
  <c r="AH18" i="7"/>
  <c r="AF18" i="7"/>
  <c r="V18" i="7"/>
  <c r="R18" i="7"/>
  <c r="P18" i="7"/>
  <c r="L18" i="7"/>
  <c r="J18" i="7"/>
  <c r="AB18" i="7"/>
  <c r="X18" i="7"/>
  <c r="AL17" i="7"/>
  <c r="AB17" i="7"/>
  <c r="Z17" i="7"/>
  <c r="AJ17" i="7"/>
  <c r="AH17" i="7"/>
  <c r="AF17" i="7"/>
  <c r="V17" i="7"/>
  <c r="R17" i="7"/>
  <c r="P17" i="7"/>
  <c r="L17" i="7"/>
  <c r="J17" i="7"/>
  <c r="X17" i="7"/>
  <c r="AL16" i="7"/>
  <c r="AB16" i="7"/>
  <c r="Z16" i="7"/>
  <c r="AJ16" i="7"/>
  <c r="X16" i="7"/>
  <c r="V16" i="7"/>
  <c r="AH16" i="7"/>
  <c r="AF16" i="7"/>
  <c r="R16" i="7"/>
  <c r="P16" i="7"/>
  <c r="L16" i="7"/>
  <c r="J16" i="7"/>
  <c r="AL15" i="7"/>
  <c r="AB15" i="7"/>
  <c r="Z15" i="7"/>
  <c r="X15" i="7"/>
  <c r="V15" i="7"/>
  <c r="AJ15" i="7"/>
  <c r="AH15" i="7"/>
  <c r="AF15" i="7"/>
  <c r="R15" i="7"/>
  <c r="P15" i="7"/>
  <c r="L15" i="7"/>
  <c r="J15" i="7"/>
  <c r="N15" i="7"/>
  <c r="AD20" i="7"/>
  <c r="AD14" i="7"/>
  <c r="AL142" i="66" l="1"/>
  <c r="H26" i="41" s="1"/>
  <c r="W157" i="63"/>
  <c r="X140" i="66"/>
  <c r="W140" i="66"/>
  <c r="X148" i="66"/>
  <c r="W148" i="66"/>
  <c r="X139" i="66"/>
  <c r="W139" i="66"/>
  <c r="X145" i="66"/>
  <c r="W145" i="66"/>
  <c r="X149" i="66"/>
  <c r="W149" i="66"/>
  <c r="X145" i="63"/>
  <c r="W145" i="63"/>
  <c r="X148" i="63"/>
  <c r="W148" i="63"/>
  <c r="F7" i="63"/>
  <c r="J7" i="63"/>
  <c r="L7" i="63"/>
  <c r="N7" i="63"/>
  <c r="O7" i="63"/>
  <c r="P7" i="63" s="1"/>
  <c r="R7" i="63"/>
  <c r="F8" i="63"/>
  <c r="J8" i="63"/>
  <c r="L8" i="63"/>
  <c r="N8" i="63"/>
  <c r="O8" i="63"/>
  <c r="S8" i="63" s="1"/>
  <c r="P8" i="63"/>
  <c r="R8" i="63"/>
  <c r="F9" i="63"/>
  <c r="J9" i="63"/>
  <c r="L9" i="63"/>
  <c r="N9" i="63"/>
  <c r="O9" i="63"/>
  <c r="P9" i="63" s="1"/>
  <c r="R9" i="63"/>
  <c r="F10" i="63"/>
  <c r="J10" i="63"/>
  <c r="L10" i="63"/>
  <c r="N10" i="63"/>
  <c r="O10" i="63"/>
  <c r="P10" i="63"/>
  <c r="R10" i="63"/>
  <c r="S10" i="63"/>
  <c r="T10" i="63" s="1"/>
  <c r="F11" i="63"/>
  <c r="J11" i="63"/>
  <c r="L11" i="63"/>
  <c r="N11" i="63"/>
  <c r="O11" i="63"/>
  <c r="P11" i="63" s="1"/>
  <c r="R11" i="63"/>
  <c r="S11" i="63"/>
  <c r="T11" i="63" s="1"/>
  <c r="F12" i="63"/>
  <c r="J12" i="63"/>
  <c r="L12" i="63"/>
  <c r="N12" i="63"/>
  <c r="O12" i="63"/>
  <c r="P12" i="63"/>
  <c r="R12" i="63"/>
  <c r="S12" i="63"/>
  <c r="U12" i="63" s="1"/>
  <c r="T12" i="63"/>
  <c r="F13" i="63"/>
  <c r="J13" i="63"/>
  <c r="L13" i="63"/>
  <c r="N13" i="63"/>
  <c r="O13" i="63"/>
  <c r="P13" i="63" s="1"/>
  <c r="R13" i="63"/>
  <c r="S13" i="63"/>
  <c r="T13" i="63" s="1"/>
  <c r="F14" i="63"/>
  <c r="J14" i="63"/>
  <c r="L14" i="63"/>
  <c r="N14" i="63"/>
  <c r="O14" i="63"/>
  <c r="P14" i="63"/>
  <c r="R14" i="63"/>
  <c r="S14" i="63"/>
  <c r="T14" i="63"/>
  <c r="U14" i="63"/>
  <c r="F15" i="63"/>
  <c r="J15" i="63"/>
  <c r="L15" i="63"/>
  <c r="N15" i="63"/>
  <c r="O15" i="63"/>
  <c r="P15" i="63" s="1"/>
  <c r="R15" i="63"/>
  <c r="S15" i="63"/>
  <c r="T15" i="63"/>
  <c r="U15" i="63"/>
  <c r="F16" i="63"/>
  <c r="J16" i="63"/>
  <c r="L16" i="63"/>
  <c r="N16" i="63"/>
  <c r="O16" i="63"/>
  <c r="P16" i="63" s="1"/>
  <c r="R16" i="63"/>
  <c r="S16" i="63"/>
  <c r="T16" i="63"/>
  <c r="U16" i="63"/>
  <c r="F17" i="63"/>
  <c r="J17" i="63"/>
  <c r="L17" i="63"/>
  <c r="N17" i="63"/>
  <c r="O17" i="63"/>
  <c r="P17" i="63" s="1"/>
  <c r="R17" i="63"/>
  <c r="S17" i="63"/>
  <c r="T17" i="63"/>
  <c r="U17" i="63"/>
  <c r="F18" i="63"/>
  <c r="J18" i="63"/>
  <c r="L18" i="63"/>
  <c r="N18" i="63"/>
  <c r="O18" i="63"/>
  <c r="P18" i="63"/>
  <c r="R18" i="63"/>
  <c r="S18" i="63"/>
  <c r="T18" i="63"/>
  <c r="U18" i="63"/>
  <c r="F19" i="63"/>
  <c r="J19" i="63"/>
  <c r="L19" i="63"/>
  <c r="N19" i="63"/>
  <c r="O19" i="63"/>
  <c r="P19" i="63" s="1"/>
  <c r="R19" i="63"/>
  <c r="S19" i="63"/>
  <c r="T19" i="63" s="1"/>
  <c r="U19" i="63"/>
  <c r="F20" i="63"/>
  <c r="J20" i="63"/>
  <c r="L20" i="63"/>
  <c r="N20" i="63"/>
  <c r="O20" i="63"/>
  <c r="P20" i="63"/>
  <c r="R20" i="63"/>
  <c r="S20" i="63"/>
  <c r="T20" i="63"/>
  <c r="U20" i="63"/>
  <c r="F21" i="63"/>
  <c r="J21" i="63"/>
  <c r="L21" i="63"/>
  <c r="N21" i="63"/>
  <c r="O21" i="63"/>
  <c r="P21" i="63" s="1"/>
  <c r="R21" i="63"/>
  <c r="S21" i="63"/>
  <c r="T21" i="63"/>
  <c r="U21" i="63"/>
  <c r="F22" i="63"/>
  <c r="J22" i="63"/>
  <c r="L22" i="63"/>
  <c r="N22" i="63"/>
  <c r="O22" i="63"/>
  <c r="P22" i="63" s="1"/>
  <c r="R22" i="63"/>
  <c r="F23" i="63"/>
  <c r="J23" i="63"/>
  <c r="L23" i="63"/>
  <c r="N23" i="63"/>
  <c r="O23" i="63"/>
  <c r="P23" i="63" s="1"/>
  <c r="R23" i="63"/>
  <c r="S23" i="63"/>
  <c r="T23" i="63"/>
  <c r="U23" i="63"/>
  <c r="F24" i="63"/>
  <c r="J24" i="63"/>
  <c r="L24" i="63"/>
  <c r="N24" i="63"/>
  <c r="O24" i="63"/>
  <c r="P24" i="63" s="1"/>
  <c r="R24" i="63"/>
  <c r="F25" i="63"/>
  <c r="J25" i="63"/>
  <c r="L25" i="63"/>
  <c r="N25" i="63"/>
  <c r="O25" i="63"/>
  <c r="P25" i="63" s="1"/>
  <c r="R25" i="63"/>
  <c r="F26" i="63"/>
  <c r="J26" i="63"/>
  <c r="L26" i="63"/>
  <c r="N26" i="63"/>
  <c r="O26" i="63"/>
  <c r="P26" i="63" s="1"/>
  <c r="R26" i="63"/>
  <c r="F29" i="63"/>
  <c r="J29" i="63"/>
  <c r="L29" i="63"/>
  <c r="N29" i="63"/>
  <c r="O29" i="63"/>
  <c r="P29" i="63" s="1"/>
  <c r="R29" i="63"/>
  <c r="F30" i="63"/>
  <c r="J30" i="63"/>
  <c r="L30" i="63"/>
  <c r="N30" i="63"/>
  <c r="O30" i="63"/>
  <c r="S30" i="63" s="1"/>
  <c r="P30" i="63"/>
  <c r="R30" i="63"/>
  <c r="F31" i="63"/>
  <c r="J31" i="63"/>
  <c r="L31" i="63"/>
  <c r="N31" i="63"/>
  <c r="O31" i="63"/>
  <c r="P31" i="63" s="1"/>
  <c r="R31" i="63"/>
  <c r="S31" i="63"/>
  <c r="T31" i="63" s="1"/>
  <c r="F32" i="63"/>
  <c r="J32" i="63"/>
  <c r="L32" i="63"/>
  <c r="N32" i="63"/>
  <c r="O32" i="63"/>
  <c r="P32" i="63"/>
  <c r="R32" i="63"/>
  <c r="S32" i="63"/>
  <c r="T32" i="63" s="1"/>
  <c r="F33" i="63"/>
  <c r="J33" i="63"/>
  <c r="L33" i="63"/>
  <c r="N33" i="63"/>
  <c r="O33" i="63"/>
  <c r="P33" i="63" s="1"/>
  <c r="R33" i="63"/>
  <c r="S33" i="63"/>
  <c r="U33" i="63" s="1"/>
  <c r="T33" i="63"/>
  <c r="F34" i="63"/>
  <c r="J34" i="63"/>
  <c r="L34" i="63"/>
  <c r="N34" i="63"/>
  <c r="O34" i="63"/>
  <c r="P34" i="63"/>
  <c r="R34" i="63"/>
  <c r="S34" i="63"/>
  <c r="T34" i="63" s="1"/>
  <c r="F35" i="63"/>
  <c r="J35" i="63"/>
  <c r="L35" i="63"/>
  <c r="N35" i="63"/>
  <c r="O35" i="63"/>
  <c r="P35" i="63" s="1"/>
  <c r="R35" i="63"/>
  <c r="S35" i="63"/>
  <c r="T35" i="63"/>
  <c r="U35" i="63"/>
  <c r="F36" i="63"/>
  <c r="J36" i="63"/>
  <c r="L36" i="63"/>
  <c r="N36" i="63"/>
  <c r="O36" i="63"/>
  <c r="P36" i="63"/>
  <c r="R36" i="63"/>
  <c r="S36" i="63"/>
  <c r="U36" i="63" s="1"/>
  <c r="T36" i="63"/>
  <c r="F37" i="63"/>
  <c r="J37" i="63"/>
  <c r="L37" i="63"/>
  <c r="N37" i="63"/>
  <c r="O37" i="63"/>
  <c r="P37" i="63" s="1"/>
  <c r="R37" i="63"/>
  <c r="S37" i="63"/>
  <c r="T37" i="63"/>
  <c r="U37" i="63"/>
  <c r="F38" i="63"/>
  <c r="J38" i="63"/>
  <c r="L38" i="63"/>
  <c r="N38" i="63"/>
  <c r="O38" i="63"/>
  <c r="P38" i="63"/>
  <c r="R38" i="63"/>
  <c r="S38" i="63"/>
  <c r="T38" i="63"/>
  <c r="U38" i="63"/>
  <c r="F39" i="63"/>
  <c r="J39" i="63"/>
  <c r="L39" i="63"/>
  <c r="N39" i="63"/>
  <c r="O39" i="63"/>
  <c r="P39" i="63" s="1"/>
  <c r="R39" i="63"/>
  <c r="F40" i="63"/>
  <c r="J40" i="63"/>
  <c r="L40" i="63"/>
  <c r="N40" i="63"/>
  <c r="O40" i="63"/>
  <c r="P40" i="63"/>
  <c r="R40" i="63"/>
  <c r="S40" i="63"/>
  <c r="T40" i="63" s="1"/>
  <c r="U40" i="63"/>
  <c r="F41" i="63"/>
  <c r="J41" i="63"/>
  <c r="L41" i="63"/>
  <c r="N41" i="63"/>
  <c r="O41" i="63"/>
  <c r="P41" i="63" s="1"/>
  <c r="R41" i="63"/>
  <c r="F42" i="63"/>
  <c r="J42" i="63"/>
  <c r="L42" i="63"/>
  <c r="N42" i="63"/>
  <c r="O42" i="63"/>
  <c r="P42" i="63"/>
  <c r="R42" i="63"/>
  <c r="S42" i="63"/>
  <c r="T42" i="63"/>
  <c r="U42" i="63"/>
  <c r="F43" i="63"/>
  <c r="J43" i="63"/>
  <c r="L43" i="63"/>
  <c r="N43" i="63"/>
  <c r="O43" i="63"/>
  <c r="P43" i="63" s="1"/>
  <c r="R43" i="63"/>
  <c r="S43" i="63"/>
  <c r="T43" i="63" s="1"/>
  <c r="F44" i="63"/>
  <c r="J44" i="63"/>
  <c r="L44" i="63"/>
  <c r="N44" i="63"/>
  <c r="O44" i="63"/>
  <c r="P44" i="63" s="1"/>
  <c r="R44" i="63"/>
  <c r="S44" i="63"/>
  <c r="T44" i="63"/>
  <c r="U44" i="63"/>
  <c r="F45" i="63"/>
  <c r="J45" i="63"/>
  <c r="L45" i="63"/>
  <c r="N45" i="63"/>
  <c r="O45" i="63"/>
  <c r="P45" i="63" s="1"/>
  <c r="R45" i="63"/>
  <c r="F46" i="63"/>
  <c r="J46" i="63"/>
  <c r="L46" i="63"/>
  <c r="N46" i="63"/>
  <c r="O46" i="63"/>
  <c r="P46" i="63" s="1"/>
  <c r="R46" i="63"/>
  <c r="F47" i="63"/>
  <c r="J47" i="63"/>
  <c r="L47" i="63"/>
  <c r="N47" i="63"/>
  <c r="O47" i="63"/>
  <c r="P47" i="63" s="1"/>
  <c r="R47" i="63"/>
  <c r="F48" i="63"/>
  <c r="J48" i="63"/>
  <c r="L48" i="63"/>
  <c r="N48" i="63"/>
  <c r="O48" i="63"/>
  <c r="S48" i="63" s="1"/>
  <c r="P48" i="63"/>
  <c r="R48" i="63"/>
  <c r="F51" i="63"/>
  <c r="J51" i="63"/>
  <c r="L51" i="63"/>
  <c r="N51" i="63"/>
  <c r="O51" i="63"/>
  <c r="P51" i="63" s="1"/>
  <c r="R51" i="63"/>
  <c r="F52" i="63"/>
  <c r="J52" i="63"/>
  <c r="L52" i="63"/>
  <c r="N52" i="63"/>
  <c r="O52" i="63"/>
  <c r="S52" i="63" s="1"/>
  <c r="P52" i="63"/>
  <c r="R52" i="63"/>
  <c r="F53" i="63"/>
  <c r="J53" i="63"/>
  <c r="L53" i="63"/>
  <c r="N53" i="63"/>
  <c r="O53" i="63"/>
  <c r="P53" i="63" s="1"/>
  <c r="R53" i="63"/>
  <c r="F54" i="63"/>
  <c r="J54" i="63"/>
  <c r="L54" i="63"/>
  <c r="N54" i="63"/>
  <c r="O54" i="63"/>
  <c r="P54" i="63"/>
  <c r="R54" i="63"/>
  <c r="S54" i="63"/>
  <c r="T54" i="63" s="1"/>
  <c r="F55" i="63"/>
  <c r="J55" i="63"/>
  <c r="L55" i="63"/>
  <c r="N55" i="63"/>
  <c r="O55" i="63"/>
  <c r="P55" i="63" s="1"/>
  <c r="R55" i="63"/>
  <c r="S55" i="63"/>
  <c r="T55" i="63" s="1"/>
  <c r="F56" i="63"/>
  <c r="J56" i="63"/>
  <c r="L56" i="63"/>
  <c r="N56" i="63"/>
  <c r="O56" i="63"/>
  <c r="P56" i="63"/>
  <c r="R56" i="63"/>
  <c r="S56" i="63"/>
  <c r="U56" i="63" s="1"/>
  <c r="T56" i="63"/>
  <c r="F57" i="63"/>
  <c r="J57" i="63"/>
  <c r="L57" i="63"/>
  <c r="N57" i="63"/>
  <c r="O57" i="63"/>
  <c r="P57" i="63" s="1"/>
  <c r="R57" i="63"/>
  <c r="S57" i="63"/>
  <c r="T57" i="63"/>
  <c r="U57" i="63"/>
  <c r="F58" i="63"/>
  <c r="J58" i="63"/>
  <c r="L58" i="63"/>
  <c r="N58" i="63"/>
  <c r="O58" i="63"/>
  <c r="P58" i="63"/>
  <c r="R58" i="63"/>
  <c r="S58" i="63"/>
  <c r="T58" i="63"/>
  <c r="U58" i="63"/>
  <c r="F59" i="63"/>
  <c r="J59" i="63"/>
  <c r="L59" i="63"/>
  <c r="N59" i="63"/>
  <c r="O59" i="63"/>
  <c r="P59" i="63" s="1"/>
  <c r="R59" i="63"/>
  <c r="S59" i="63"/>
  <c r="T59" i="63"/>
  <c r="U59" i="63"/>
  <c r="F60" i="63"/>
  <c r="J60" i="63"/>
  <c r="L60" i="63"/>
  <c r="N60" i="63"/>
  <c r="O60" i="63"/>
  <c r="P60" i="63" s="1"/>
  <c r="R60" i="63"/>
  <c r="S60" i="63"/>
  <c r="T60" i="63"/>
  <c r="U60" i="63"/>
  <c r="F61" i="63"/>
  <c r="J61" i="63"/>
  <c r="L61" i="63"/>
  <c r="N61" i="63"/>
  <c r="O61" i="63"/>
  <c r="P61" i="63" s="1"/>
  <c r="R61" i="63"/>
  <c r="S61" i="63"/>
  <c r="T61" i="63"/>
  <c r="U61" i="63"/>
  <c r="F62" i="63"/>
  <c r="J62" i="63"/>
  <c r="L62" i="63"/>
  <c r="N62" i="63"/>
  <c r="O62" i="63"/>
  <c r="P62" i="63"/>
  <c r="R62" i="63"/>
  <c r="S62" i="63"/>
  <c r="T62" i="63"/>
  <c r="U62" i="63"/>
  <c r="F63" i="63"/>
  <c r="J63" i="63"/>
  <c r="L63" i="63"/>
  <c r="N63" i="63"/>
  <c r="O63" i="63"/>
  <c r="P63" i="63" s="1"/>
  <c r="R63" i="63"/>
  <c r="S63" i="63"/>
  <c r="T63" i="63"/>
  <c r="U63" i="63"/>
  <c r="F64" i="63"/>
  <c r="J64" i="63"/>
  <c r="L64" i="63"/>
  <c r="N64" i="63"/>
  <c r="O64" i="63"/>
  <c r="P64" i="63"/>
  <c r="R64" i="63"/>
  <c r="S64" i="63"/>
  <c r="T64" i="63"/>
  <c r="U64" i="63"/>
  <c r="F65" i="63"/>
  <c r="J65" i="63"/>
  <c r="L65" i="63"/>
  <c r="N65" i="63"/>
  <c r="O65" i="63"/>
  <c r="P65" i="63" s="1"/>
  <c r="R65" i="63"/>
  <c r="S65" i="63"/>
  <c r="T65" i="63"/>
  <c r="U65" i="63"/>
  <c r="F66" i="63"/>
  <c r="J66" i="63"/>
  <c r="L66" i="63"/>
  <c r="N66" i="63"/>
  <c r="O66" i="63"/>
  <c r="P66" i="63" s="1"/>
  <c r="R66" i="63"/>
  <c r="F67" i="63"/>
  <c r="J67" i="63"/>
  <c r="L67" i="63"/>
  <c r="N67" i="63"/>
  <c r="O67" i="63"/>
  <c r="P67" i="63" s="1"/>
  <c r="R67" i="63"/>
  <c r="F68" i="63"/>
  <c r="J68" i="63"/>
  <c r="L68" i="63"/>
  <c r="N68" i="63"/>
  <c r="O68" i="63"/>
  <c r="P68" i="63" s="1"/>
  <c r="R68" i="63"/>
  <c r="F69" i="63"/>
  <c r="J69" i="63"/>
  <c r="L69" i="63"/>
  <c r="N69" i="63"/>
  <c r="O69" i="63"/>
  <c r="P69" i="63" s="1"/>
  <c r="R69" i="63"/>
  <c r="F70" i="63"/>
  <c r="J70" i="63"/>
  <c r="L70" i="63"/>
  <c r="N70" i="63"/>
  <c r="O70" i="63"/>
  <c r="S70" i="63" s="1"/>
  <c r="P70" i="63"/>
  <c r="R70" i="63"/>
  <c r="F73" i="63"/>
  <c r="J73" i="63"/>
  <c r="L73" i="63"/>
  <c r="N73" i="63"/>
  <c r="O73" i="63"/>
  <c r="P73" i="63" s="1"/>
  <c r="R73" i="63"/>
  <c r="F74" i="63"/>
  <c r="J74" i="63"/>
  <c r="L74" i="63"/>
  <c r="N74" i="63"/>
  <c r="O74" i="63"/>
  <c r="P74" i="63"/>
  <c r="R74" i="63"/>
  <c r="S74" i="63"/>
  <c r="T74" i="63" s="1"/>
  <c r="F75" i="63"/>
  <c r="J75" i="63"/>
  <c r="L75" i="63"/>
  <c r="N75" i="63"/>
  <c r="O75" i="63"/>
  <c r="P75" i="63" s="1"/>
  <c r="R75" i="63"/>
  <c r="S75" i="63"/>
  <c r="T75" i="63" s="1"/>
  <c r="F76" i="63"/>
  <c r="J76" i="63"/>
  <c r="L76" i="63"/>
  <c r="N76" i="63"/>
  <c r="O76" i="63"/>
  <c r="P76" i="63"/>
  <c r="R76" i="63"/>
  <c r="S76" i="63"/>
  <c r="T76" i="63" s="1"/>
  <c r="F77" i="63"/>
  <c r="J77" i="63"/>
  <c r="L77" i="63"/>
  <c r="N77" i="63"/>
  <c r="O77" i="63"/>
  <c r="P77" i="63" s="1"/>
  <c r="R77" i="63"/>
  <c r="S77" i="63"/>
  <c r="U77" i="63" s="1"/>
  <c r="T77" i="63"/>
  <c r="F78" i="63"/>
  <c r="J78" i="63"/>
  <c r="L78" i="63"/>
  <c r="N78" i="63"/>
  <c r="O78" i="63"/>
  <c r="P78" i="63"/>
  <c r="R78" i="63"/>
  <c r="S78" i="63"/>
  <c r="T78" i="63"/>
  <c r="U78" i="63"/>
  <c r="F79" i="63"/>
  <c r="J79" i="63"/>
  <c r="L79" i="63"/>
  <c r="N79" i="63"/>
  <c r="O79" i="63"/>
  <c r="P79" i="63" s="1"/>
  <c r="R79" i="63"/>
  <c r="S79" i="63"/>
  <c r="T79" i="63"/>
  <c r="U79" i="63"/>
  <c r="F80" i="63"/>
  <c r="J80" i="63"/>
  <c r="L80" i="63"/>
  <c r="N80" i="63"/>
  <c r="O80" i="63"/>
  <c r="P80" i="63"/>
  <c r="R80" i="63"/>
  <c r="S80" i="63"/>
  <c r="T80" i="63"/>
  <c r="U80" i="63"/>
  <c r="F81" i="63"/>
  <c r="J81" i="63"/>
  <c r="L81" i="63"/>
  <c r="N81" i="63"/>
  <c r="O81" i="63"/>
  <c r="P81" i="63" s="1"/>
  <c r="R81" i="63"/>
  <c r="S81" i="63"/>
  <c r="T81" i="63"/>
  <c r="U81" i="63"/>
  <c r="F82" i="63"/>
  <c r="J82" i="63"/>
  <c r="L82" i="63"/>
  <c r="N82" i="63"/>
  <c r="O82" i="63"/>
  <c r="P82" i="63"/>
  <c r="R82" i="63"/>
  <c r="S82" i="63"/>
  <c r="T82" i="63"/>
  <c r="U82" i="63"/>
  <c r="F83" i="63"/>
  <c r="J83" i="63"/>
  <c r="L83" i="63"/>
  <c r="N83" i="63"/>
  <c r="O83" i="63"/>
  <c r="P83" i="63" s="1"/>
  <c r="R83" i="63"/>
  <c r="S83" i="63"/>
  <c r="T83" i="63"/>
  <c r="U83" i="63"/>
  <c r="F84" i="63"/>
  <c r="J84" i="63"/>
  <c r="L84" i="63"/>
  <c r="N84" i="63"/>
  <c r="O84" i="63"/>
  <c r="P84" i="63"/>
  <c r="R84" i="63"/>
  <c r="S84" i="63"/>
  <c r="T84" i="63"/>
  <c r="U84" i="63"/>
  <c r="F85" i="63"/>
  <c r="J85" i="63"/>
  <c r="L85" i="63"/>
  <c r="N85" i="63"/>
  <c r="O85" i="63"/>
  <c r="P85" i="63" s="1"/>
  <c r="R85" i="63"/>
  <c r="F86" i="63"/>
  <c r="J86" i="63"/>
  <c r="L86" i="63"/>
  <c r="N86" i="63"/>
  <c r="O86" i="63"/>
  <c r="P86" i="63" s="1"/>
  <c r="R86" i="63"/>
  <c r="S86" i="63"/>
  <c r="T86" i="63"/>
  <c r="U86" i="63"/>
  <c r="F87" i="63"/>
  <c r="J87" i="63"/>
  <c r="L87" i="63"/>
  <c r="N87" i="63"/>
  <c r="O87" i="63"/>
  <c r="P87" i="63" s="1"/>
  <c r="R87" i="63"/>
  <c r="S87" i="63"/>
  <c r="T87" i="63" s="1"/>
  <c r="U87" i="63"/>
  <c r="F88" i="63"/>
  <c r="J88" i="63"/>
  <c r="L88" i="63"/>
  <c r="N88" i="63"/>
  <c r="O88" i="63"/>
  <c r="P88" i="63" s="1"/>
  <c r="R88" i="63"/>
  <c r="S88" i="63"/>
  <c r="T88" i="63"/>
  <c r="U88" i="63"/>
  <c r="F89" i="63"/>
  <c r="J89" i="63"/>
  <c r="L89" i="63"/>
  <c r="N89" i="63"/>
  <c r="O89" i="63"/>
  <c r="P89" i="63" s="1"/>
  <c r="R89" i="63"/>
  <c r="F90" i="63"/>
  <c r="J90" i="63"/>
  <c r="L90" i="63"/>
  <c r="N90" i="63"/>
  <c r="O90" i="63"/>
  <c r="P90" i="63" s="1"/>
  <c r="R90" i="63"/>
  <c r="F91" i="63"/>
  <c r="J91" i="63"/>
  <c r="L91" i="63"/>
  <c r="N91" i="63"/>
  <c r="O91" i="63"/>
  <c r="P91" i="63" s="1"/>
  <c r="R91" i="63"/>
  <c r="F92" i="63"/>
  <c r="J92" i="63"/>
  <c r="L92" i="63"/>
  <c r="N92" i="63"/>
  <c r="O92" i="63"/>
  <c r="S92" i="63" s="1"/>
  <c r="P92" i="63"/>
  <c r="R92" i="63"/>
  <c r="F95" i="63"/>
  <c r="J95" i="63"/>
  <c r="L95" i="63"/>
  <c r="N95" i="63"/>
  <c r="O95" i="63"/>
  <c r="P95" i="63" s="1"/>
  <c r="R95" i="63"/>
  <c r="S95" i="63"/>
  <c r="T95" i="63" s="1"/>
  <c r="F96" i="63"/>
  <c r="J96" i="63"/>
  <c r="L96" i="63"/>
  <c r="N96" i="63"/>
  <c r="O96" i="63"/>
  <c r="S96" i="63" s="1"/>
  <c r="P96" i="63"/>
  <c r="R96" i="63"/>
  <c r="F97" i="63"/>
  <c r="J97" i="63"/>
  <c r="L97" i="63"/>
  <c r="N97" i="63"/>
  <c r="O97" i="63"/>
  <c r="P97" i="63" s="1"/>
  <c r="R97" i="63"/>
  <c r="S97" i="63"/>
  <c r="U97" i="63" s="1"/>
  <c r="T97" i="63"/>
  <c r="F98" i="63"/>
  <c r="J98" i="63"/>
  <c r="L98" i="63"/>
  <c r="N98" i="63"/>
  <c r="O98" i="63"/>
  <c r="P98" i="63"/>
  <c r="R98" i="63"/>
  <c r="S98" i="63"/>
  <c r="T98" i="63" s="1"/>
  <c r="F99" i="63"/>
  <c r="J99" i="63"/>
  <c r="L99" i="63"/>
  <c r="N99" i="63"/>
  <c r="O99" i="63"/>
  <c r="P99" i="63" s="1"/>
  <c r="R99" i="63"/>
  <c r="S99" i="63"/>
  <c r="T99" i="63"/>
  <c r="U99" i="63"/>
  <c r="F100" i="63"/>
  <c r="J100" i="63"/>
  <c r="L100" i="63"/>
  <c r="N100" i="63"/>
  <c r="O100" i="63"/>
  <c r="P100" i="63"/>
  <c r="R100" i="63"/>
  <c r="S100" i="63"/>
  <c r="U100" i="63" s="1"/>
  <c r="T100" i="63"/>
  <c r="F101" i="63"/>
  <c r="J101" i="63"/>
  <c r="L101" i="63"/>
  <c r="N101" i="63"/>
  <c r="O101" i="63"/>
  <c r="P101" i="63" s="1"/>
  <c r="R101" i="63"/>
  <c r="S101" i="63"/>
  <c r="T101" i="63"/>
  <c r="U101" i="63"/>
  <c r="F102" i="63"/>
  <c r="J102" i="63"/>
  <c r="L102" i="63"/>
  <c r="N102" i="63"/>
  <c r="O102" i="63"/>
  <c r="P102" i="63"/>
  <c r="R102" i="63"/>
  <c r="S102" i="63"/>
  <c r="T102" i="63"/>
  <c r="U102" i="63"/>
  <c r="F103" i="63"/>
  <c r="J103" i="63"/>
  <c r="L103" i="63"/>
  <c r="N103" i="63"/>
  <c r="O103" i="63"/>
  <c r="P103" i="63" s="1"/>
  <c r="R103" i="63"/>
  <c r="S103" i="63"/>
  <c r="T103" i="63"/>
  <c r="U103" i="63"/>
  <c r="F104" i="63"/>
  <c r="J104" i="63"/>
  <c r="L104" i="63"/>
  <c r="N104" i="63"/>
  <c r="O104" i="63"/>
  <c r="P104" i="63" s="1"/>
  <c r="R104" i="63"/>
  <c r="S104" i="63"/>
  <c r="T104" i="63"/>
  <c r="U104" i="63"/>
  <c r="F105" i="63"/>
  <c r="J105" i="63"/>
  <c r="L105" i="63"/>
  <c r="N105" i="63"/>
  <c r="O105" i="63"/>
  <c r="P105" i="63" s="1"/>
  <c r="R105" i="63"/>
  <c r="S105" i="63"/>
  <c r="T105" i="63"/>
  <c r="U105" i="63"/>
  <c r="F106" i="63"/>
  <c r="J106" i="63"/>
  <c r="L106" i="63"/>
  <c r="N106" i="63"/>
  <c r="O106" i="63"/>
  <c r="P106" i="63"/>
  <c r="R106" i="63"/>
  <c r="S106" i="63"/>
  <c r="T106" i="63"/>
  <c r="U106" i="63"/>
  <c r="F107" i="63"/>
  <c r="J107" i="63"/>
  <c r="L107" i="63"/>
  <c r="N107" i="63"/>
  <c r="O107" i="63"/>
  <c r="P107" i="63" s="1"/>
  <c r="R107" i="63"/>
  <c r="S107" i="63"/>
  <c r="T107" i="63"/>
  <c r="U107" i="63"/>
  <c r="F108" i="63"/>
  <c r="J108" i="63"/>
  <c r="L108" i="63"/>
  <c r="N108" i="63"/>
  <c r="O108" i="63"/>
  <c r="P108" i="63"/>
  <c r="R108" i="63"/>
  <c r="S108" i="63"/>
  <c r="T108" i="63"/>
  <c r="U108" i="63"/>
  <c r="F109" i="63"/>
  <c r="J109" i="63"/>
  <c r="L109" i="63"/>
  <c r="N109" i="63"/>
  <c r="O109" i="63"/>
  <c r="P109" i="63" s="1"/>
  <c r="R109" i="63"/>
  <c r="S109" i="63"/>
  <c r="T109" i="63"/>
  <c r="U109" i="63"/>
  <c r="F110" i="63"/>
  <c r="J110" i="63"/>
  <c r="L110" i="63"/>
  <c r="N110" i="63"/>
  <c r="O110" i="63"/>
  <c r="P110" i="63" s="1"/>
  <c r="R110" i="63"/>
  <c r="F111" i="63"/>
  <c r="J111" i="63"/>
  <c r="L111" i="63"/>
  <c r="N111" i="63"/>
  <c r="O111" i="63"/>
  <c r="P111" i="63" s="1"/>
  <c r="R111" i="63"/>
  <c r="F112" i="63"/>
  <c r="J112" i="63"/>
  <c r="L112" i="63"/>
  <c r="N112" i="63"/>
  <c r="O112" i="63"/>
  <c r="S112" i="63" s="1"/>
  <c r="P112" i="63"/>
  <c r="R112" i="63"/>
  <c r="F113" i="63"/>
  <c r="J113" i="63"/>
  <c r="L113" i="63"/>
  <c r="N113" i="63"/>
  <c r="O113" i="63"/>
  <c r="P113" i="63" s="1"/>
  <c r="R113" i="63"/>
  <c r="F114" i="63"/>
  <c r="J114" i="63"/>
  <c r="L114" i="63"/>
  <c r="N114" i="63"/>
  <c r="O114" i="63"/>
  <c r="S114" i="63" s="1"/>
  <c r="P114" i="63"/>
  <c r="R114" i="63"/>
  <c r="J64" i="25"/>
  <c r="J63" i="25"/>
  <c r="J62" i="25"/>
  <c r="J61" i="25"/>
  <c r="J60" i="25"/>
  <c r="B60" i="25"/>
  <c r="A60" i="25"/>
  <c r="J78" i="24"/>
  <c r="J77" i="24"/>
  <c r="J76" i="24"/>
  <c r="J75" i="24"/>
  <c r="J74" i="24"/>
  <c r="J73" i="24"/>
  <c r="J72" i="24"/>
  <c r="J71" i="24"/>
  <c r="J80" i="23"/>
  <c r="J79" i="23"/>
  <c r="J78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0" i="23"/>
  <c r="J75" i="22"/>
  <c r="J74" i="22"/>
  <c r="J73" i="22"/>
  <c r="J72" i="22"/>
  <c r="J71" i="22"/>
  <c r="J60" i="22"/>
  <c r="J73" i="15"/>
  <c r="J72" i="15"/>
  <c r="J71" i="15"/>
  <c r="J68" i="15"/>
  <c r="J67" i="15"/>
  <c r="J66" i="15"/>
  <c r="J65" i="15"/>
  <c r="J63" i="15"/>
  <c r="J62" i="15"/>
  <c r="J61" i="15"/>
  <c r="J60" i="15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H6" i="3"/>
  <c r="M169" i="62"/>
  <c r="M168" i="62"/>
  <c r="M167" i="62"/>
  <c r="M166" i="62"/>
  <c r="M165" i="62"/>
  <c r="M161" i="62"/>
  <c r="M160" i="62"/>
  <c r="M159" i="62"/>
  <c r="M158" i="62"/>
  <c r="M157" i="62"/>
  <c r="M162" i="62" s="1"/>
  <c r="M153" i="62"/>
  <c r="M152" i="62"/>
  <c r="M151" i="62"/>
  <c r="M150" i="62"/>
  <c r="M149" i="62"/>
  <c r="T114" i="63" l="1"/>
  <c r="U114" i="63"/>
  <c r="T8" i="63"/>
  <c r="U8" i="63"/>
  <c r="T30" i="63"/>
  <c r="U30" i="63"/>
  <c r="T52" i="63"/>
  <c r="U52" i="63"/>
  <c r="T92" i="63"/>
  <c r="U92" i="63"/>
  <c r="T70" i="63"/>
  <c r="U70" i="63"/>
  <c r="T96" i="63"/>
  <c r="U96" i="63"/>
  <c r="T112" i="63"/>
  <c r="U112" i="63"/>
  <c r="T48" i="63"/>
  <c r="U48" i="63"/>
  <c r="U43" i="63"/>
  <c r="S39" i="63"/>
  <c r="S85" i="63"/>
  <c r="S41" i="63"/>
  <c r="S110" i="63"/>
  <c r="S66" i="63"/>
  <c r="U95" i="63"/>
  <c r="S89" i="63"/>
  <c r="U74" i="63"/>
  <c r="S68" i="63"/>
  <c r="S45" i="63"/>
  <c r="S24" i="63"/>
  <c r="S22" i="63"/>
  <c r="S91" i="63"/>
  <c r="U76" i="63"/>
  <c r="S47" i="63"/>
  <c r="U32" i="63"/>
  <c r="S26" i="63"/>
  <c r="U55" i="63"/>
  <c r="S51" i="63"/>
  <c r="U34" i="63"/>
  <c r="U11" i="63"/>
  <c r="S7" i="63"/>
  <c r="S53" i="63"/>
  <c r="U13" i="63"/>
  <c r="S9" i="63"/>
  <c r="S111" i="63"/>
  <c r="S90" i="63"/>
  <c r="S67" i="63"/>
  <c r="S46" i="63"/>
  <c r="S113" i="63"/>
  <c r="U98" i="63"/>
  <c r="U75" i="63"/>
  <c r="S69" i="63"/>
  <c r="U54" i="63"/>
  <c r="U31" i="63"/>
  <c r="S25" i="63"/>
  <c r="U10" i="63"/>
  <c r="S73" i="63"/>
  <c r="S29" i="63"/>
  <c r="M154" i="62"/>
  <c r="M170" i="62"/>
  <c r="M215" i="20"/>
  <c r="M214" i="20"/>
  <c r="M213" i="20"/>
  <c r="M218" i="20" s="1"/>
  <c r="M209" i="20"/>
  <c r="M208" i="20"/>
  <c r="M207" i="20"/>
  <c r="M206" i="20"/>
  <c r="M205" i="20"/>
  <c r="M201" i="20"/>
  <c r="M200" i="20"/>
  <c r="M199" i="20"/>
  <c r="M198" i="20"/>
  <c r="M197" i="20"/>
  <c r="M194" i="20"/>
  <c r="M193" i="20"/>
  <c r="M192" i="20"/>
  <c r="M191" i="20"/>
  <c r="M190" i="20"/>
  <c r="M189" i="20"/>
  <c r="M169" i="19"/>
  <c r="M168" i="19"/>
  <c r="M167" i="19"/>
  <c r="M166" i="19"/>
  <c r="M165" i="19"/>
  <c r="M170" i="19" s="1"/>
  <c r="M161" i="19"/>
  <c r="M162" i="19" s="1"/>
  <c r="M160" i="19"/>
  <c r="M159" i="19"/>
  <c r="M158" i="19"/>
  <c r="M157" i="19"/>
  <c r="M153" i="19"/>
  <c r="M152" i="19"/>
  <c r="M151" i="19"/>
  <c r="M150" i="19"/>
  <c r="M149" i="19"/>
  <c r="M154" i="19" s="1"/>
  <c r="T51" i="63" l="1"/>
  <c r="U51" i="63"/>
  <c r="T26" i="63"/>
  <c r="U26" i="63"/>
  <c r="T25" i="63"/>
  <c r="U25" i="63"/>
  <c r="T24" i="63"/>
  <c r="U24" i="63"/>
  <c r="T45" i="63"/>
  <c r="U45" i="63"/>
  <c r="T46" i="63"/>
  <c r="U46" i="63"/>
  <c r="T89" i="63"/>
  <c r="U89" i="63"/>
  <c r="T110" i="63"/>
  <c r="U110" i="63"/>
  <c r="T69" i="63"/>
  <c r="U69" i="63"/>
  <c r="T22" i="63"/>
  <c r="U22" i="63"/>
  <c r="T113" i="63"/>
  <c r="U113" i="63"/>
  <c r="T68" i="63"/>
  <c r="U68" i="63"/>
  <c r="T67" i="63"/>
  <c r="U67" i="63"/>
  <c r="T90" i="63"/>
  <c r="U90" i="63"/>
  <c r="U111" i="63"/>
  <c r="T111" i="63"/>
  <c r="T9" i="63"/>
  <c r="U9" i="63"/>
  <c r="T66" i="63"/>
  <c r="U66" i="63"/>
  <c r="T53" i="63"/>
  <c r="U53" i="63"/>
  <c r="T41" i="63"/>
  <c r="U41" i="63"/>
  <c r="U39" i="63"/>
  <c r="T39" i="63"/>
  <c r="T29" i="63"/>
  <c r="U29" i="63"/>
  <c r="T73" i="63"/>
  <c r="U73" i="63"/>
  <c r="T47" i="63"/>
  <c r="U47" i="63"/>
  <c r="T91" i="63"/>
  <c r="U91" i="63"/>
  <c r="T7" i="63"/>
  <c r="U7" i="63"/>
  <c r="U85" i="63"/>
  <c r="T85" i="63"/>
  <c r="M202" i="20"/>
  <c r="M210" i="20"/>
  <c r="B34" i="25" l="1"/>
  <c r="A34" i="25"/>
  <c r="J34" i="22"/>
  <c r="B11" i="13" l="1"/>
  <c r="B10" i="13"/>
  <c r="B9" i="13"/>
  <c r="B8" i="13"/>
  <c r="X118" i="66" l="1"/>
  <c r="X119" i="66"/>
  <c r="X120" i="66"/>
  <c r="X121" i="66"/>
  <c r="X122" i="66"/>
  <c r="X123" i="66"/>
  <c r="X124" i="66"/>
  <c r="X125" i="66"/>
  <c r="X126" i="66"/>
  <c r="X127" i="66"/>
  <c r="X128" i="66"/>
  <c r="X129" i="66"/>
  <c r="X130" i="66"/>
  <c r="X131" i="66"/>
  <c r="X132" i="66"/>
  <c r="X133" i="66"/>
  <c r="X134" i="66"/>
  <c r="X135" i="66"/>
  <c r="X136" i="66"/>
  <c r="X117" i="66"/>
  <c r="W118" i="66"/>
  <c r="W119" i="66"/>
  <c r="W120" i="66"/>
  <c r="W121" i="66"/>
  <c r="W122" i="66"/>
  <c r="W123" i="66"/>
  <c r="W124" i="66"/>
  <c r="W125" i="66"/>
  <c r="W126" i="66"/>
  <c r="W127" i="66"/>
  <c r="W128" i="66"/>
  <c r="W129" i="66"/>
  <c r="W130" i="66"/>
  <c r="W131" i="66"/>
  <c r="W132" i="66"/>
  <c r="W133" i="66"/>
  <c r="W134" i="66"/>
  <c r="W135" i="66"/>
  <c r="W136" i="66"/>
  <c r="W117" i="66"/>
  <c r="V118" i="66"/>
  <c r="V119" i="66"/>
  <c r="V120" i="66"/>
  <c r="V121" i="66"/>
  <c r="V122" i="66"/>
  <c r="V123" i="66"/>
  <c r="V124" i="66"/>
  <c r="V125" i="66"/>
  <c r="V126" i="66"/>
  <c r="V127" i="66"/>
  <c r="V128" i="66"/>
  <c r="V129" i="66"/>
  <c r="V130" i="66"/>
  <c r="V131" i="66"/>
  <c r="V132" i="66"/>
  <c r="V133" i="66"/>
  <c r="V134" i="66"/>
  <c r="V135" i="66"/>
  <c r="V136" i="66"/>
  <c r="V117" i="66"/>
  <c r="N7" i="66"/>
  <c r="S117" i="66"/>
  <c r="AH119" i="66" l="1"/>
  <c r="AI119" i="66"/>
  <c r="AJ119" i="66"/>
  <c r="AK119" i="66"/>
  <c r="AL119" i="66"/>
  <c r="AM119" i="66"/>
  <c r="AH120" i="66"/>
  <c r="H10" i="41" s="1"/>
  <c r="AI120" i="66"/>
  <c r="J10" i="41" s="1"/>
  <c r="AM120" i="66"/>
  <c r="J15" i="41" s="1"/>
  <c r="AG120" i="66"/>
  <c r="F10" i="41" s="1"/>
  <c r="AG119" i="66"/>
  <c r="S136" i="66"/>
  <c r="R136" i="66"/>
  <c r="O136" i="66"/>
  <c r="T136" i="66" s="1"/>
  <c r="N136" i="66"/>
  <c r="L136" i="66"/>
  <c r="J136" i="66"/>
  <c r="S135" i="66"/>
  <c r="R135" i="66"/>
  <c r="O135" i="66"/>
  <c r="T135" i="66" s="1"/>
  <c r="N135" i="66"/>
  <c r="L135" i="66"/>
  <c r="J135" i="66"/>
  <c r="S134" i="66"/>
  <c r="R134" i="66"/>
  <c r="O134" i="66"/>
  <c r="T134" i="66" s="1"/>
  <c r="N134" i="66"/>
  <c r="L134" i="66"/>
  <c r="J134" i="66"/>
  <c r="S133" i="66"/>
  <c r="R133" i="66"/>
  <c r="O133" i="66"/>
  <c r="T133" i="66" s="1"/>
  <c r="N133" i="66"/>
  <c r="L133" i="66"/>
  <c r="J133" i="66"/>
  <c r="S132" i="66"/>
  <c r="R132" i="66"/>
  <c r="O132" i="66"/>
  <c r="T132" i="66" s="1"/>
  <c r="N132" i="66"/>
  <c r="L132" i="66"/>
  <c r="J132" i="66"/>
  <c r="S131" i="66"/>
  <c r="R131" i="66"/>
  <c r="O131" i="66"/>
  <c r="T131" i="66" s="1"/>
  <c r="N131" i="66"/>
  <c r="L131" i="66"/>
  <c r="J131" i="66"/>
  <c r="S130" i="66"/>
  <c r="R130" i="66"/>
  <c r="O130" i="66"/>
  <c r="T130" i="66" s="1"/>
  <c r="N130" i="66"/>
  <c r="L130" i="66"/>
  <c r="J130" i="66"/>
  <c r="S129" i="66"/>
  <c r="R129" i="66"/>
  <c r="O129" i="66"/>
  <c r="T129" i="66" s="1"/>
  <c r="N129" i="66"/>
  <c r="L129" i="66"/>
  <c r="J129" i="66"/>
  <c r="S128" i="66"/>
  <c r="R128" i="66"/>
  <c r="O128" i="66"/>
  <c r="T128" i="66" s="1"/>
  <c r="N128" i="66"/>
  <c r="L128" i="66"/>
  <c r="J128" i="66"/>
  <c r="S127" i="66"/>
  <c r="R127" i="66"/>
  <c r="O127" i="66"/>
  <c r="T127" i="66" s="1"/>
  <c r="N127" i="66"/>
  <c r="L127" i="66"/>
  <c r="J127" i="66"/>
  <c r="S126" i="66"/>
  <c r="R126" i="66"/>
  <c r="O126" i="66"/>
  <c r="T126" i="66" s="1"/>
  <c r="N126" i="66"/>
  <c r="L126" i="66"/>
  <c r="J126" i="66"/>
  <c r="S125" i="66"/>
  <c r="R125" i="66"/>
  <c r="O125" i="66"/>
  <c r="T125" i="66" s="1"/>
  <c r="N125" i="66"/>
  <c r="L125" i="66"/>
  <c r="J125" i="66"/>
  <c r="S124" i="66"/>
  <c r="R124" i="66"/>
  <c r="O124" i="66"/>
  <c r="T124" i="66" s="1"/>
  <c r="N124" i="66"/>
  <c r="L124" i="66"/>
  <c r="J124" i="66"/>
  <c r="S123" i="66"/>
  <c r="R123" i="66"/>
  <c r="O123" i="66"/>
  <c r="T123" i="66" s="1"/>
  <c r="N123" i="66"/>
  <c r="L123" i="66"/>
  <c r="J123" i="66"/>
  <c r="S122" i="66"/>
  <c r="R122" i="66"/>
  <c r="O122" i="66"/>
  <c r="T122" i="66" s="1"/>
  <c r="N122" i="66"/>
  <c r="L122" i="66"/>
  <c r="J122" i="66"/>
  <c r="S121" i="66"/>
  <c r="R121" i="66"/>
  <c r="O121" i="66"/>
  <c r="T121" i="66" s="1"/>
  <c r="N121" i="66"/>
  <c r="L121" i="66"/>
  <c r="J121" i="66"/>
  <c r="S120" i="66"/>
  <c r="R120" i="66"/>
  <c r="O120" i="66"/>
  <c r="P120" i="66" s="1"/>
  <c r="N120" i="66"/>
  <c r="L120" i="66"/>
  <c r="J120" i="66"/>
  <c r="AF119" i="66"/>
  <c r="S119" i="66"/>
  <c r="R119" i="66"/>
  <c r="O119" i="66"/>
  <c r="P119" i="66" s="1"/>
  <c r="N119" i="66"/>
  <c r="L119" i="66"/>
  <c r="J119" i="66"/>
  <c r="S118" i="66"/>
  <c r="R118" i="66"/>
  <c r="O118" i="66"/>
  <c r="T118" i="66" s="1"/>
  <c r="N118" i="66"/>
  <c r="L118" i="66"/>
  <c r="J118" i="66"/>
  <c r="R117" i="66"/>
  <c r="O117" i="66"/>
  <c r="P117" i="66" s="1"/>
  <c r="N117" i="66"/>
  <c r="L117" i="66"/>
  <c r="J117" i="66"/>
  <c r="AH120" i="63"/>
  <c r="H9" i="41" s="1"/>
  <c r="AJ120" i="63"/>
  <c r="L9" i="41" s="1"/>
  <c r="AK120" i="63"/>
  <c r="F14" i="41" s="1"/>
  <c r="AM120" i="63"/>
  <c r="J14" i="41" s="1"/>
  <c r="AG119" i="63"/>
  <c r="AH119" i="63"/>
  <c r="AI119" i="63"/>
  <c r="AJ119" i="63"/>
  <c r="AK119" i="63"/>
  <c r="AL119" i="63"/>
  <c r="AM119" i="63"/>
  <c r="R136" i="63"/>
  <c r="O136" i="63"/>
  <c r="S136" i="63" s="1"/>
  <c r="V136" i="63" s="1"/>
  <c r="N136" i="63"/>
  <c r="L136" i="63"/>
  <c r="J136" i="63"/>
  <c r="F136" i="63"/>
  <c r="R135" i="63"/>
  <c r="O135" i="63"/>
  <c r="S135" i="63" s="1"/>
  <c r="V135" i="63" s="1"/>
  <c r="N135" i="63"/>
  <c r="L135" i="63"/>
  <c r="J135" i="63"/>
  <c r="F135" i="63"/>
  <c r="R134" i="63"/>
  <c r="O134" i="63"/>
  <c r="S134" i="63" s="1"/>
  <c r="V134" i="63" s="1"/>
  <c r="N134" i="63"/>
  <c r="L134" i="63"/>
  <c r="J134" i="63"/>
  <c r="F134" i="63"/>
  <c r="R133" i="63"/>
  <c r="O133" i="63"/>
  <c r="S133" i="63" s="1"/>
  <c r="N133" i="63"/>
  <c r="L133" i="63"/>
  <c r="J133" i="63"/>
  <c r="F133" i="63"/>
  <c r="R132" i="63"/>
  <c r="O132" i="63"/>
  <c r="S132" i="63" s="1"/>
  <c r="V132" i="63" s="1"/>
  <c r="N132" i="63"/>
  <c r="L132" i="63"/>
  <c r="J132" i="63"/>
  <c r="F132" i="63"/>
  <c r="R131" i="63"/>
  <c r="O131" i="63"/>
  <c r="P131" i="63" s="1"/>
  <c r="N131" i="63"/>
  <c r="L131" i="63"/>
  <c r="J131" i="63"/>
  <c r="F131" i="63"/>
  <c r="R130" i="63"/>
  <c r="O130" i="63"/>
  <c r="S130" i="63" s="1"/>
  <c r="V130" i="63" s="1"/>
  <c r="N130" i="63"/>
  <c r="L130" i="63"/>
  <c r="J130" i="63"/>
  <c r="F130" i="63"/>
  <c r="R129" i="63"/>
  <c r="O129" i="63"/>
  <c r="S129" i="63" s="1"/>
  <c r="N129" i="63"/>
  <c r="L129" i="63"/>
  <c r="J129" i="63"/>
  <c r="F129" i="63"/>
  <c r="R128" i="63"/>
  <c r="O128" i="63"/>
  <c r="S128" i="63" s="1"/>
  <c r="V128" i="63" s="1"/>
  <c r="N128" i="63"/>
  <c r="L128" i="63"/>
  <c r="J128" i="63"/>
  <c r="F128" i="63"/>
  <c r="R127" i="63"/>
  <c r="O127" i="63"/>
  <c r="S127" i="63" s="1"/>
  <c r="N127" i="63"/>
  <c r="L127" i="63"/>
  <c r="J127" i="63"/>
  <c r="F127" i="63"/>
  <c r="R126" i="63"/>
  <c r="O126" i="63"/>
  <c r="S126" i="63" s="1"/>
  <c r="V126" i="63" s="1"/>
  <c r="N126" i="63"/>
  <c r="L126" i="63"/>
  <c r="J126" i="63"/>
  <c r="F126" i="63"/>
  <c r="R125" i="63"/>
  <c r="O125" i="63"/>
  <c r="S125" i="63" s="1"/>
  <c r="N125" i="63"/>
  <c r="L125" i="63"/>
  <c r="J125" i="63"/>
  <c r="F125" i="63"/>
  <c r="R124" i="63"/>
  <c r="O124" i="63"/>
  <c r="S124" i="63" s="1"/>
  <c r="V124" i="63" s="1"/>
  <c r="N124" i="63"/>
  <c r="L124" i="63"/>
  <c r="J124" i="63"/>
  <c r="F124" i="63"/>
  <c r="R123" i="63"/>
  <c r="O123" i="63"/>
  <c r="S123" i="63" s="1"/>
  <c r="N123" i="63"/>
  <c r="L123" i="63"/>
  <c r="J123" i="63"/>
  <c r="F123" i="63"/>
  <c r="R122" i="63"/>
  <c r="O122" i="63"/>
  <c r="S122" i="63" s="1"/>
  <c r="V122" i="63" s="1"/>
  <c r="N122" i="63"/>
  <c r="L122" i="63"/>
  <c r="J122" i="63"/>
  <c r="F122" i="63"/>
  <c r="R121" i="63"/>
  <c r="O121" i="63"/>
  <c r="S121" i="63" s="1"/>
  <c r="V121" i="63" s="1"/>
  <c r="N121" i="63"/>
  <c r="L121" i="63"/>
  <c r="J121" i="63"/>
  <c r="F121" i="63"/>
  <c r="R120" i="63"/>
  <c r="O120" i="63"/>
  <c r="P120" i="63" s="1"/>
  <c r="N120" i="63"/>
  <c r="L120" i="63"/>
  <c r="J120" i="63"/>
  <c r="F120" i="63"/>
  <c r="AF119" i="63"/>
  <c r="R119" i="63"/>
  <c r="O119" i="63"/>
  <c r="P119" i="63" s="1"/>
  <c r="N119" i="63"/>
  <c r="L119" i="63"/>
  <c r="J119" i="63"/>
  <c r="F119" i="63"/>
  <c r="R118" i="63"/>
  <c r="O118" i="63"/>
  <c r="S118" i="63" s="1"/>
  <c r="V118" i="63" s="1"/>
  <c r="N118" i="63"/>
  <c r="L118" i="63"/>
  <c r="J118" i="63"/>
  <c r="F118" i="63"/>
  <c r="R117" i="63"/>
  <c r="O117" i="63"/>
  <c r="P117" i="63" s="1"/>
  <c r="N117" i="63"/>
  <c r="L117" i="63"/>
  <c r="J117" i="63"/>
  <c r="F117" i="63"/>
  <c r="AL120" i="63" s="1"/>
  <c r="H14" i="41" s="1"/>
  <c r="M174" i="20"/>
  <c r="M171" i="20"/>
  <c r="M172" i="20"/>
  <c r="M173" i="20"/>
  <c r="K218" i="20" l="1"/>
  <c r="K162" i="19"/>
  <c r="K154" i="19"/>
  <c r="K194" i="20"/>
  <c r="K170" i="19"/>
  <c r="K210" i="20"/>
  <c r="K202" i="20"/>
  <c r="K162" i="62"/>
  <c r="K170" i="62"/>
  <c r="K154" i="62"/>
  <c r="W136" i="63"/>
  <c r="X136" i="63"/>
  <c r="W126" i="63"/>
  <c r="X126" i="63"/>
  <c r="X118" i="63"/>
  <c r="W118" i="63"/>
  <c r="X135" i="63"/>
  <c r="W135" i="63"/>
  <c r="X128" i="63"/>
  <c r="W128" i="63"/>
  <c r="U125" i="63"/>
  <c r="V125" i="63"/>
  <c r="U123" i="63"/>
  <c r="V123" i="63"/>
  <c r="U133" i="63"/>
  <c r="V133" i="63"/>
  <c r="X130" i="63"/>
  <c r="W130" i="63"/>
  <c r="U127" i="63"/>
  <c r="V127" i="63"/>
  <c r="W124" i="63"/>
  <c r="X124" i="63"/>
  <c r="X134" i="63"/>
  <c r="W134" i="63"/>
  <c r="X121" i="63"/>
  <c r="W121" i="63"/>
  <c r="W122" i="63"/>
  <c r="X122" i="63"/>
  <c r="X132" i="63"/>
  <c r="W132" i="63"/>
  <c r="U129" i="63"/>
  <c r="V129" i="63"/>
  <c r="AK121" i="63"/>
  <c r="G14" i="41" s="1"/>
  <c r="AJ121" i="63"/>
  <c r="M9" i="41" s="1"/>
  <c r="AG120" i="63"/>
  <c r="AI121" i="63"/>
  <c r="K9" i="41" s="1"/>
  <c r="AG121" i="63"/>
  <c r="G9" i="41" s="1"/>
  <c r="AI120" i="63"/>
  <c r="J9" i="41" s="1"/>
  <c r="AG121" i="66"/>
  <c r="G10" i="41" s="1"/>
  <c r="AJ121" i="66"/>
  <c r="M10" i="41" s="1"/>
  <c r="AK121" i="66"/>
  <c r="G15" i="41" s="1"/>
  <c r="AH121" i="66"/>
  <c r="I10" i="41" s="1"/>
  <c r="AI121" i="66"/>
  <c r="K10" i="41" s="1"/>
  <c r="T120" i="66"/>
  <c r="F120" i="66" s="1"/>
  <c r="AM121" i="66"/>
  <c r="K15" i="41" s="1"/>
  <c r="U122" i="66"/>
  <c r="F122" i="66"/>
  <c r="U132" i="66"/>
  <c r="F132" i="66"/>
  <c r="F129" i="66"/>
  <c r="U129" i="66"/>
  <c r="U130" i="66"/>
  <c r="F130" i="66"/>
  <c r="U128" i="66"/>
  <c r="F128" i="66"/>
  <c r="F125" i="66"/>
  <c r="U125" i="66"/>
  <c r="U126" i="66"/>
  <c r="F126" i="66"/>
  <c r="F133" i="66"/>
  <c r="U133" i="66"/>
  <c r="U134" i="66"/>
  <c r="F134" i="66"/>
  <c r="F131" i="66"/>
  <c r="U131" i="66"/>
  <c r="U135" i="66"/>
  <c r="F135" i="66"/>
  <c r="F123" i="66"/>
  <c r="U123" i="66"/>
  <c r="U121" i="66"/>
  <c r="F121" i="66"/>
  <c r="F127" i="66"/>
  <c r="U127" i="66"/>
  <c r="U124" i="66"/>
  <c r="F124" i="66"/>
  <c r="U136" i="66"/>
  <c r="F136" i="66"/>
  <c r="U118" i="66"/>
  <c r="F118" i="66"/>
  <c r="P136" i="66"/>
  <c r="P118" i="66"/>
  <c r="P135" i="66"/>
  <c r="P123" i="66"/>
  <c r="P127" i="66"/>
  <c r="P131" i="66"/>
  <c r="P133" i="66"/>
  <c r="T119" i="66"/>
  <c r="P125" i="66"/>
  <c r="P129" i="66"/>
  <c r="T117" i="66"/>
  <c r="P122" i="66"/>
  <c r="AL121" i="66"/>
  <c r="I15" i="41" s="1"/>
  <c r="P124" i="66"/>
  <c r="P126" i="66"/>
  <c r="P128" i="66"/>
  <c r="P130" i="66"/>
  <c r="P132" i="66"/>
  <c r="P134" i="66"/>
  <c r="P121" i="66"/>
  <c r="S131" i="63"/>
  <c r="P123" i="63"/>
  <c r="P127" i="63"/>
  <c r="S119" i="63"/>
  <c r="P129" i="63"/>
  <c r="S117" i="63"/>
  <c r="P133" i="63"/>
  <c r="S120" i="63"/>
  <c r="P125" i="63"/>
  <c r="U120" i="63"/>
  <c r="T121" i="63"/>
  <c r="U121" i="63"/>
  <c r="U126" i="63"/>
  <c r="T126" i="63"/>
  <c r="U132" i="63"/>
  <c r="T132" i="63"/>
  <c r="U124" i="63"/>
  <c r="T124" i="63"/>
  <c r="U118" i="63"/>
  <c r="T118" i="63"/>
  <c r="U130" i="63"/>
  <c r="T130" i="63"/>
  <c r="U135" i="63"/>
  <c r="T135" i="63"/>
  <c r="U122" i="63"/>
  <c r="T122" i="63"/>
  <c r="U128" i="63"/>
  <c r="T128" i="63"/>
  <c r="U134" i="63"/>
  <c r="T134" i="63"/>
  <c r="T136" i="63"/>
  <c r="U136" i="63"/>
  <c r="T117" i="63"/>
  <c r="AH121" i="63"/>
  <c r="I9" i="41" s="1"/>
  <c r="AL121" i="63"/>
  <c r="I14" i="41" s="1"/>
  <c r="T123" i="63"/>
  <c r="T125" i="63"/>
  <c r="T127" i="63"/>
  <c r="T129" i="63"/>
  <c r="T133" i="63"/>
  <c r="P136" i="63"/>
  <c r="P118" i="63"/>
  <c r="P135" i="63"/>
  <c r="AM121" i="63"/>
  <c r="K14" i="41" s="1"/>
  <c r="P122" i="63"/>
  <c r="P124" i="63"/>
  <c r="P126" i="63"/>
  <c r="P128" i="63"/>
  <c r="P130" i="63"/>
  <c r="P132" i="63"/>
  <c r="P134" i="63"/>
  <c r="P121" i="63"/>
  <c r="W123" i="63" l="1"/>
  <c r="X123" i="63"/>
  <c r="T120" i="63"/>
  <c r="V120" i="63"/>
  <c r="W125" i="63"/>
  <c r="X125" i="63"/>
  <c r="U119" i="63"/>
  <c r="V119" i="63"/>
  <c r="U131" i="63"/>
  <c r="V131" i="63"/>
  <c r="X127" i="63"/>
  <c r="W127" i="63"/>
  <c r="W133" i="63"/>
  <c r="X133" i="63"/>
  <c r="X129" i="63"/>
  <c r="W129" i="63"/>
  <c r="U117" i="63"/>
  <c r="V117" i="63"/>
  <c r="AJ120" i="66"/>
  <c r="L10" i="41" s="1"/>
  <c r="U120" i="66"/>
  <c r="T131" i="63"/>
  <c r="T119" i="63"/>
  <c r="U117" i="66"/>
  <c r="F117" i="66"/>
  <c r="AK120" i="66" s="1"/>
  <c r="F15" i="41" s="1"/>
  <c r="F119" i="66"/>
  <c r="AL120" i="66" s="1"/>
  <c r="H15" i="41" s="1"/>
  <c r="U119" i="66"/>
  <c r="W117" i="63" l="1"/>
  <c r="X117" i="63"/>
  <c r="W131" i="63"/>
  <c r="X131" i="63"/>
  <c r="X119" i="63"/>
  <c r="W119" i="63"/>
  <c r="X120" i="63"/>
  <c r="W120" i="63"/>
  <c r="AR10" i="52"/>
  <c r="AR9" i="52"/>
  <c r="AM9" i="52"/>
  <c r="AM8" i="52"/>
  <c r="AM7" i="52"/>
  <c r="AH11" i="52"/>
  <c r="AH10" i="52"/>
  <c r="AH9" i="52"/>
  <c r="AH8" i="52"/>
  <c r="AH7" i="52"/>
  <c r="AV11" i="52"/>
  <c r="AW11" i="52" s="1"/>
  <c r="AQ11" i="52"/>
  <c r="AR11" i="52" s="1"/>
  <c r="AL11" i="52"/>
  <c r="AG11" i="52"/>
  <c r="AB11" i="52"/>
  <c r="AC11" i="52" s="1"/>
  <c r="W11" i="52"/>
  <c r="X11" i="52" s="1"/>
  <c r="R11" i="52"/>
  <c r="J11" i="52"/>
  <c r="I11" i="52"/>
  <c r="G11" i="52"/>
  <c r="AV10" i="52"/>
  <c r="AW10" i="52" s="1"/>
  <c r="AQ10" i="52"/>
  <c r="AL10" i="52"/>
  <c r="AM10" i="52" s="1"/>
  <c r="AG10" i="52"/>
  <c r="AB10" i="52"/>
  <c r="AC10" i="52" s="1"/>
  <c r="W10" i="52"/>
  <c r="X10" i="52" s="1"/>
  <c r="R10" i="52"/>
  <c r="S10" i="52" s="1"/>
  <c r="J10" i="52"/>
  <c r="I10" i="52"/>
  <c r="G10" i="52"/>
  <c r="AV9" i="52"/>
  <c r="AW9" i="52" s="1"/>
  <c r="AQ9" i="52"/>
  <c r="AL9" i="52"/>
  <c r="AG9" i="52"/>
  <c r="AB9" i="52"/>
  <c r="W9" i="52"/>
  <c r="R9" i="52"/>
  <c r="S9" i="52" s="1"/>
  <c r="J9" i="52"/>
  <c r="I9" i="52"/>
  <c r="G9" i="52"/>
  <c r="AV8" i="52"/>
  <c r="AW8" i="52" s="1"/>
  <c r="AQ8" i="52"/>
  <c r="AR8" i="52" s="1"/>
  <c r="AL8" i="52"/>
  <c r="AM11" i="52" s="1"/>
  <c r="AG8" i="52"/>
  <c r="AB8" i="52"/>
  <c r="AC9" i="52" s="1"/>
  <c r="W8" i="52"/>
  <c r="X8" i="52" s="1"/>
  <c r="R8" i="52"/>
  <c r="S7" i="52" s="1"/>
  <c r="J8" i="52"/>
  <c r="I8" i="52"/>
  <c r="G8" i="52"/>
  <c r="AV7" i="52"/>
  <c r="AW7" i="52" s="1"/>
  <c r="AQ7" i="52"/>
  <c r="AS7" i="52" s="1"/>
  <c r="AL7" i="52"/>
  <c r="AG7" i="52"/>
  <c r="AB7" i="52"/>
  <c r="W7" i="52"/>
  <c r="X9" i="52" s="1"/>
  <c r="R7" i="52"/>
  <c r="J7" i="52"/>
  <c r="I7" i="52"/>
  <c r="G7" i="52"/>
  <c r="AW9" i="51"/>
  <c r="AW7" i="51"/>
  <c r="AR14" i="51"/>
  <c r="AH11" i="51"/>
  <c r="AH10" i="51"/>
  <c r="X11" i="51"/>
  <c r="X10" i="51"/>
  <c r="X9" i="51"/>
  <c r="X8" i="51"/>
  <c r="X7" i="51"/>
  <c r="S8" i="51"/>
  <c r="AV14" i="51"/>
  <c r="AW14" i="51" s="1"/>
  <c r="AQ14" i="51"/>
  <c r="AL14" i="51"/>
  <c r="AM14" i="51" s="1"/>
  <c r="AG14" i="51"/>
  <c r="AH13" i="51" s="1"/>
  <c r="AB14" i="51"/>
  <c r="AC8" i="51" s="1"/>
  <c r="W14" i="51"/>
  <c r="K14" i="51" s="1"/>
  <c r="R14" i="51"/>
  <c r="J14" i="51"/>
  <c r="I14" i="51"/>
  <c r="G14" i="51"/>
  <c r="AV13" i="51"/>
  <c r="AQ13" i="51"/>
  <c r="AR13" i="51" s="1"/>
  <c r="AL13" i="51"/>
  <c r="AM13" i="51" s="1"/>
  <c r="AG13" i="51"/>
  <c r="AB13" i="51"/>
  <c r="W13" i="51"/>
  <c r="R13" i="51"/>
  <c r="S13" i="51" s="1"/>
  <c r="K13" i="51"/>
  <c r="J13" i="51"/>
  <c r="I13" i="51"/>
  <c r="G13" i="51"/>
  <c r="AV12" i="51"/>
  <c r="AW12" i="51" s="1"/>
  <c r="AQ12" i="51"/>
  <c r="AR12" i="51" s="1"/>
  <c r="AL12" i="51"/>
  <c r="AM12" i="51" s="1"/>
  <c r="AG12" i="51"/>
  <c r="AB12" i="51"/>
  <c r="W12" i="51"/>
  <c r="R12" i="51"/>
  <c r="S12" i="51" s="1"/>
  <c r="J12" i="51"/>
  <c r="I12" i="51"/>
  <c r="G12" i="51"/>
  <c r="AV11" i="51"/>
  <c r="AQ11" i="51"/>
  <c r="AR11" i="51" s="1"/>
  <c r="AL11" i="51"/>
  <c r="AM11" i="51" s="1"/>
  <c r="AG11" i="51"/>
  <c r="AB11" i="51"/>
  <c r="AC11" i="51" s="1"/>
  <c r="W11" i="51"/>
  <c r="R11" i="51"/>
  <c r="S11" i="51" s="1"/>
  <c r="J11" i="51"/>
  <c r="I11" i="51"/>
  <c r="G11" i="51"/>
  <c r="AV10" i="51"/>
  <c r="AW10" i="51" s="1"/>
  <c r="AQ10" i="51"/>
  <c r="AL10" i="51"/>
  <c r="AM10" i="51" s="1"/>
  <c r="AG10" i="51"/>
  <c r="AB10" i="51"/>
  <c r="W10" i="51"/>
  <c r="R10" i="51"/>
  <c r="S10" i="51" s="1"/>
  <c r="J10" i="51"/>
  <c r="I10" i="51"/>
  <c r="G10" i="51"/>
  <c r="AV9" i="51"/>
  <c r="AQ9" i="51"/>
  <c r="AR9" i="51" s="1"/>
  <c r="AL9" i="51"/>
  <c r="AM9" i="51" s="1"/>
  <c r="AG9" i="51"/>
  <c r="AH9" i="51" s="1"/>
  <c r="AB9" i="51"/>
  <c r="W9" i="51"/>
  <c r="R9" i="51"/>
  <c r="S9" i="51" s="1"/>
  <c r="J9" i="51"/>
  <c r="I9" i="51"/>
  <c r="G9" i="51"/>
  <c r="AV8" i="51"/>
  <c r="AW11" i="51" s="1"/>
  <c r="AQ8" i="51"/>
  <c r="AR8" i="51" s="1"/>
  <c r="AL8" i="51"/>
  <c r="AN7" i="51" s="1"/>
  <c r="AG8" i="51"/>
  <c r="AH8" i="51" s="1"/>
  <c r="AB8" i="51"/>
  <c r="W8" i="51"/>
  <c r="R8" i="51"/>
  <c r="J8" i="51"/>
  <c r="I8" i="51"/>
  <c r="G8" i="51"/>
  <c r="AV7" i="51"/>
  <c r="AQ7" i="51"/>
  <c r="AR7" i="51" s="1"/>
  <c r="AL7" i="51"/>
  <c r="AG7" i="51"/>
  <c r="AB7" i="51"/>
  <c r="W7" i="51"/>
  <c r="Y7" i="51" s="1"/>
  <c r="R7" i="51"/>
  <c r="T7" i="51" s="1"/>
  <c r="J7" i="51"/>
  <c r="I7" i="51"/>
  <c r="G7" i="51"/>
  <c r="H7" i="51" s="1"/>
  <c r="U2" i="50"/>
  <c r="Z2" i="50" s="1"/>
  <c r="AE2" i="50" s="1"/>
  <c r="AJ2" i="50" s="1"/>
  <c r="AO2" i="50" s="1"/>
  <c r="AT2" i="50" s="1"/>
  <c r="AM15" i="49"/>
  <c r="AC12" i="49"/>
  <c r="S13" i="49"/>
  <c r="AV16" i="49"/>
  <c r="AW16" i="49" s="1"/>
  <c r="AQ16" i="49"/>
  <c r="AR16" i="49" s="1"/>
  <c r="AL16" i="49"/>
  <c r="AG16" i="49"/>
  <c r="AH16" i="49" s="1"/>
  <c r="AB16" i="49"/>
  <c r="AC16" i="49" s="1"/>
  <c r="W16" i="49"/>
  <c r="K16" i="49" s="1"/>
  <c r="R16" i="49"/>
  <c r="S16" i="49" s="1"/>
  <c r="J16" i="49"/>
  <c r="I16" i="49"/>
  <c r="G16" i="49"/>
  <c r="AV15" i="49"/>
  <c r="AW15" i="49" s="1"/>
  <c r="AQ15" i="49"/>
  <c r="AL15" i="49"/>
  <c r="AG15" i="49"/>
  <c r="AH15" i="49" s="1"/>
  <c r="AB15" i="49"/>
  <c r="W15" i="49"/>
  <c r="X15" i="49" s="1"/>
  <c r="R15" i="49"/>
  <c r="S15" i="49" s="1"/>
  <c r="J15" i="49"/>
  <c r="I15" i="49"/>
  <c r="G15" i="49"/>
  <c r="AV14" i="49"/>
  <c r="AW14" i="49" s="1"/>
  <c r="AQ14" i="49"/>
  <c r="AR8" i="49" s="1"/>
  <c r="AL14" i="49"/>
  <c r="AM14" i="49" s="1"/>
  <c r="AG14" i="49"/>
  <c r="AH14" i="49" s="1"/>
  <c r="AB14" i="49"/>
  <c r="W14" i="49"/>
  <c r="X14" i="49" s="1"/>
  <c r="R14" i="49"/>
  <c r="S14" i="49" s="1"/>
  <c r="J14" i="49"/>
  <c r="I14" i="49"/>
  <c r="G14" i="49"/>
  <c r="R13" i="49"/>
  <c r="K13" i="49" s="1"/>
  <c r="J13" i="49"/>
  <c r="I13" i="49"/>
  <c r="G13" i="49"/>
  <c r="AV12" i="49"/>
  <c r="AW12" i="49" s="1"/>
  <c r="AQ12" i="49"/>
  <c r="AR12" i="49" s="1"/>
  <c r="AL12" i="49"/>
  <c r="AM12" i="49" s="1"/>
  <c r="AG12" i="49"/>
  <c r="AB12" i="49"/>
  <c r="W12" i="49"/>
  <c r="X12" i="49" s="1"/>
  <c r="R12" i="49"/>
  <c r="K12" i="49"/>
  <c r="J12" i="49"/>
  <c r="I12" i="49"/>
  <c r="G12" i="49"/>
  <c r="AV11" i="49"/>
  <c r="AQ11" i="49"/>
  <c r="AL11" i="49"/>
  <c r="AM11" i="49" s="1"/>
  <c r="AG11" i="49"/>
  <c r="AB11" i="49"/>
  <c r="AC11" i="49" s="1"/>
  <c r="W11" i="49"/>
  <c r="R11" i="49"/>
  <c r="K11" i="49" s="1"/>
  <c r="J11" i="49"/>
  <c r="I11" i="49"/>
  <c r="G11" i="49"/>
  <c r="AV10" i="49"/>
  <c r="AW10" i="49" s="1"/>
  <c r="AQ10" i="49"/>
  <c r="AL10" i="49"/>
  <c r="AM10" i="49" s="1"/>
  <c r="AG10" i="49"/>
  <c r="AH10" i="49" s="1"/>
  <c r="AB10" i="49"/>
  <c r="AC10" i="49" s="1"/>
  <c r="W10" i="49"/>
  <c r="X10" i="49" s="1"/>
  <c r="R10" i="49"/>
  <c r="S12" i="49" s="1"/>
  <c r="K10" i="49"/>
  <c r="J10" i="49"/>
  <c r="I10" i="49"/>
  <c r="G10" i="49"/>
  <c r="AV9" i="49"/>
  <c r="AW9" i="49" s="1"/>
  <c r="AQ9" i="49"/>
  <c r="AL9" i="49"/>
  <c r="AG9" i="49"/>
  <c r="AB9" i="49"/>
  <c r="AC9" i="49" s="1"/>
  <c r="W9" i="49"/>
  <c r="R9" i="49"/>
  <c r="K9" i="49"/>
  <c r="J9" i="49"/>
  <c r="I9" i="49"/>
  <c r="G9" i="49"/>
  <c r="AV8" i="49"/>
  <c r="AW11" i="49" s="1"/>
  <c r="AQ8" i="49"/>
  <c r="AR15" i="49" s="1"/>
  <c r="AL8" i="49"/>
  <c r="AM9" i="49" s="1"/>
  <c r="AG8" i="49"/>
  <c r="AH12" i="49" s="1"/>
  <c r="AB8" i="49"/>
  <c r="AC8" i="49" s="1"/>
  <c r="W8" i="49"/>
  <c r="K8" i="49" s="1"/>
  <c r="R8" i="49"/>
  <c r="J8" i="49"/>
  <c r="I8" i="49"/>
  <c r="G8" i="49"/>
  <c r="AV7" i="49"/>
  <c r="AX7" i="49" s="1"/>
  <c r="AQ7" i="49"/>
  <c r="AL7" i="49"/>
  <c r="AG7" i="49"/>
  <c r="AH9" i="49" s="1"/>
  <c r="AB7" i="49"/>
  <c r="W7" i="49"/>
  <c r="X11" i="49" s="1"/>
  <c r="R7" i="49"/>
  <c r="S8" i="49" s="1"/>
  <c r="J7" i="49"/>
  <c r="I7" i="49"/>
  <c r="G7" i="49"/>
  <c r="AM12" i="48"/>
  <c r="AM10" i="48"/>
  <c r="AM9" i="48"/>
  <c r="AM8" i="48"/>
  <c r="AM7" i="48"/>
  <c r="X13" i="48"/>
  <c r="X12" i="48"/>
  <c r="AV15" i="48"/>
  <c r="AQ15" i="48"/>
  <c r="AR15" i="48" s="1"/>
  <c r="AL15" i="48"/>
  <c r="AG15" i="48"/>
  <c r="AB15" i="48"/>
  <c r="W15" i="48"/>
  <c r="R15" i="48"/>
  <c r="J15" i="48"/>
  <c r="I15" i="48"/>
  <c r="G15" i="48"/>
  <c r="AV14" i="48"/>
  <c r="AQ14" i="48"/>
  <c r="AR14" i="48" s="1"/>
  <c r="AL14" i="48"/>
  <c r="AM14" i="48" s="1"/>
  <c r="AG14" i="48"/>
  <c r="AH14" i="48" s="1"/>
  <c r="AB14" i="48"/>
  <c r="AC14" i="48" s="1"/>
  <c r="W14" i="48"/>
  <c r="X14" i="48" s="1"/>
  <c r="R14" i="48"/>
  <c r="S14" i="48" s="1"/>
  <c r="J14" i="48"/>
  <c r="I14" i="48"/>
  <c r="G14" i="48"/>
  <c r="AV13" i="48"/>
  <c r="AQ13" i="48"/>
  <c r="AL13" i="48"/>
  <c r="AG13" i="48"/>
  <c r="AH13" i="48" s="1"/>
  <c r="AB13" i="48"/>
  <c r="W13" i="48"/>
  <c r="R13" i="48"/>
  <c r="J13" i="48"/>
  <c r="I13" i="48"/>
  <c r="G13" i="48"/>
  <c r="AV12" i="48"/>
  <c r="AQ12" i="48"/>
  <c r="AR12" i="48" s="1"/>
  <c r="AL12" i="48"/>
  <c r="AM15" i="48" s="1"/>
  <c r="AG12" i="48"/>
  <c r="AH12" i="48" s="1"/>
  <c r="AB12" i="48"/>
  <c r="AC8" i="48" s="1"/>
  <c r="W12" i="48"/>
  <c r="X15" i="48" s="1"/>
  <c r="R12" i="48"/>
  <c r="S12" i="48" s="1"/>
  <c r="J12" i="48"/>
  <c r="I12" i="48"/>
  <c r="G12" i="48"/>
  <c r="R11" i="48"/>
  <c r="K11" i="48"/>
  <c r="J11" i="48"/>
  <c r="I11" i="48"/>
  <c r="G11" i="48"/>
  <c r="AV10" i="48"/>
  <c r="AW10" i="48" s="1"/>
  <c r="AQ10" i="48"/>
  <c r="AR10" i="48" s="1"/>
  <c r="AL10" i="48"/>
  <c r="AG10" i="48"/>
  <c r="AH10" i="48" s="1"/>
  <c r="AB10" i="48"/>
  <c r="W10" i="48"/>
  <c r="X10" i="48" s="1"/>
  <c r="R10" i="48"/>
  <c r="S10" i="48" s="1"/>
  <c r="K10" i="48"/>
  <c r="J10" i="48"/>
  <c r="I10" i="48"/>
  <c r="G10" i="48"/>
  <c r="AV9" i="48"/>
  <c r="AW9" i="48" s="1"/>
  <c r="AQ9" i="48"/>
  <c r="AR9" i="48" s="1"/>
  <c r="AL9" i="48"/>
  <c r="AG9" i="48"/>
  <c r="AH9" i="48" s="1"/>
  <c r="AB9" i="48"/>
  <c r="W9" i="48"/>
  <c r="R9" i="48"/>
  <c r="J9" i="48"/>
  <c r="I9" i="48"/>
  <c r="G9" i="48"/>
  <c r="AV8" i="48"/>
  <c r="AW8" i="48" s="1"/>
  <c r="AQ8" i="48"/>
  <c r="AL8" i="48"/>
  <c r="AG8" i="48"/>
  <c r="AH15" i="48" s="1"/>
  <c r="AB8" i="48"/>
  <c r="AC10" i="48" s="1"/>
  <c r="W8" i="48"/>
  <c r="X9" i="48" s="1"/>
  <c r="R8" i="48"/>
  <c r="S13" i="48" s="1"/>
  <c r="J8" i="48"/>
  <c r="I8" i="48"/>
  <c r="G8" i="48"/>
  <c r="AV7" i="48"/>
  <c r="AW12" i="48" s="1"/>
  <c r="AQ7" i="48"/>
  <c r="AR13" i="48" s="1"/>
  <c r="AL7" i="48"/>
  <c r="AG7" i="48"/>
  <c r="AB7" i="48"/>
  <c r="W7" i="48"/>
  <c r="R7" i="48"/>
  <c r="S9" i="48" s="1"/>
  <c r="J7" i="48"/>
  <c r="I7" i="48"/>
  <c r="G7" i="48"/>
  <c r="AC8" i="47"/>
  <c r="AC7" i="47"/>
  <c r="X11" i="47"/>
  <c r="AW8" i="47"/>
  <c r="AW7" i="47"/>
  <c r="AR11" i="47"/>
  <c r="AR10" i="47"/>
  <c r="AR9" i="47"/>
  <c r="AR8" i="47"/>
  <c r="AR7" i="47"/>
  <c r="AM8" i="47"/>
  <c r="AV11" i="47"/>
  <c r="AW11" i="47" s="1"/>
  <c r="AQ11" i="47"/>
  <c r="AL11" i="47"/>
  <c r="AM11" i="47" s="1"/>
  <c r="AG11" i="47"/>
  <c r="AH11" i="47" s="1"/>
  <c r="AB11" i="47"/>
  <c r="W11" i="47"/>
  <c r="R11" i="47"/>
  <c r="S11" i="47" s="1"/>
  <c r="K11" i="47"/>
  <c r="J11" i="47"/>
  <c r="I11" i="47"/>
  <c r="G11" i="47"/>
  <c r="AV10" i="47"/>
  <c r="AQ10" i="47"/>
  <c r="AL10" i="47"/>
  <c r="AM10" i="47" s="1"/>
  <c r="AG10" i="47"/>
  <c r="AH10" i="47" s="1"/>
  <c r="AB10" i="47"/>
  <c r="W10" i="47"/>
  <c r="X10" i="47" s="1"/>
  <c r="R10" i="47"/>
  <c r="S10" i="47" s="1"/>
  <c r="K10" i="47"/>
  <c r="J10" i="47"/>
  <c r="I10" i="47"/>
  <c r="G10" i="47"/>
  <c r="AV9" i="47"/>
  <c r="AQ9" i="47"/>
  <c r="AL9" i="47"/>
  <c r="AM9" i="47" s="1"/>
  <c r="AG9" i="47"/>
  <c r="AH9" i="47" s="1"/>
  <c r="AB9" i="47"/>
  <c r="W9" i="47"/>
  <c r="X9" i="47" s="1"/>
  <c r="R9" i="47"/>
  <c r="S9" i="47" s="1"/>
  <c r="J9" i="47"/>
  <c r="I9" i="47"/>
  <c r="G9" i="47"/>
  <c r="AV8" i="47"/>
  <c r="AQ8" i="47"/>
  <c r="AL8" i="47"/>
  <c r="AG8" i="47"/>
  <c r="AB8" i="47"/>
  <c r="W8" i="47"/>
  <c r="R8" i="47"/>
  <c r="S8" i="47" s="1"/>
  <c r="J8" i="47"/>
  <c r="I8" i="47"/>
  <c r="G8" i="47"/>
  <c r="AV7" i="47"/>
  <c r="AX7" i="47" s="1"/>
  <c r="AQ7" i="47"/>
  <c r="AS7" i="47" s="1"/>
  <c r="AL7" i="47"/>
  <c r="AN7" i="47" s="1"/>
  <c r="AG7" i="47"/>
  <c r="AH8" i="47" s="1"/>
  <c r="AB7" i="47"/>
  <c r="AD7" i="47" s="1"/>
  <c r="W7" i="47"/>
  <c r="Y7" i="47" s="1"/>
  <c r="R7" i="47"/>
  <c r="T7" i="47" s="1"/>
  <c r="K7" i="47"/>
  <c r="J7" i="47"/>
  <c r="I7" i="47"/>
  <c r="G7" i="47"/>
  <c r="AV7" i="46"/>
  <c r="AX7" i="46" s="1"/>
  <c r="AQ7" i="46"/>
  <c r="AS7" i="46" s="1"/>
  <c r="AL7" i="46"/>
  <c r="AN7" i="46" s="1"/>
  <c r="AG7" i="46"/>
  <c r="AH7" i="46" s="1"/>
  <c r="AB7" i="46"/>
  <c r="AC7" i="46" s="1"/>
  <c r="W7" i="46"/>
  <c r="X7" i="46" s="1"/>
  <c r="R7" i="46"/>
  <c r="T7" i="46" s="1"/>
  <c r="J7" i="46"/>
  <c r="I7" i="46"/>
  <c r="G7" i="46"/>
  <c r="H7" i="46" s="1"/>
  <c r="AC7" i="45"/>
  <c r="X9" i="45"/>
  <c r="AV9" i="45"/>
  <c r="AW9" i="45" s="1"/>
  <c r="AQ9" i="45"/>
  <c r="AR9" i="45" s="1"/>
  <c r="AL9" i="45"/>
  <c r="AM9" i="45" s="1"/>
  <c r="AG9" i="45"/>
  <c r="AB9" i="45"/>
  <c r="W9" i="45"/>
  <c r="R9" i="45"/>
  <c r="S9" i="45" s="1"/>
  <c r="K9" i="45"/>
  <c r="M9" i="45" s="1"/>
  <c r="J9" i="45"/>
  <c r="I9" i="45"/>
  <c r="G9" i="45"/>
  <c r="AV8" i="45"/>
  <c r="AQ8" i="45"/>
  <c r="AL8" i="45"/>
  <c r="AG8" i="45"/>
  <c r="AB8" i="45"/>
  <c r="W8" i="45"/>
  <c r="X8" i="45" s="1"/>
  <c r="R8" i="45"/>
  <c r="S8" i="45" s="1"/>
  <c r="K8" i="45"/>
  <c r="M8" i="45" s="1"/>
  <c r="J8" i="45"/>
  <c r="I8" i="45"/>
  <c r="G8" i="45"/>
  <c r="AV7" i="45"/>
  <c r="AX7" i="45" s="1"/>
  <c r="AQ7" i="45"/>
  <c r="AS7" i="45" s="1"/>
  <c r="AL7" i="45"/>
  <c r="AN7" i="45" s="1"/>
  <c r="AG7" i="45"/>
  <c r="AI7" i="45" s="1"/>
  <c r="AB7" i="45"/>
  <c r="AD7" i="45" s="1"/>
  <c r="W7" i="45"/>
  <c r="Y7" i="45" s="1"/>
  <c r="R7" i="45"/>
  <c r="K7" i="45" s="1"/>
  <c r="L7" i="45" s="1"/>
  <c r="J7" i="45"/>
  <c r="I7" i="45"/>
  <c r="G7" i="45"/>
  <c r="AW26" i="44"/>
  <c r="AH11" i="44"/>
  <c r="AC17" i="44"/>
  <c r="AC15" i="44"/>
  <c r="AV42" i="44"/>
  <c r="AQ42" i="44"/>
  <c r="AL42" i="44"/>
  <c r="AG42" i="44"/>
  <c r="AH42" i="44" s="1"/>
  <c r="AB42" i="44"/>
  <c r="AC42" i="44" s="1"/>
  <c r="W42" i="44"/>
  <c r="X42" i="44" s="1"/>
  <c r="R42" i="44"/>
  <c r="S42" i="44" s="1"/>
  <c r="K42" i="44"/>
  <c r="J42" i="44"/>
  <c r="I42" i="44"/>
  <c r="G42" i="44"/>
  <c r="AV41" i="44"/>
  <c r="AW41" i="44" s="1"/>
  <c r="AQ41" i="44"/>
  <c r="AR41" i="44" s="1"/>
  <c r="AL41" i="44"/>
  <c r="AG41" i="44"/>
  <c r="AH41" i="44" s="1"/>
  <c r="AB41" i="44"/>
  <c r="AC41" i="44" s="1"/>
  <c r="W41" i="44"/>
  <c r="R41" i="44"/>
  <c r="S41" i="44" s="1"/>
  <c r="J41" i="44"/>
  <c r="I41" i="44"/>
  <c r="G41" i="44"/>
  <c r="AV40" i="44"/>
  <c r="AQ40" i="44"/>
  <c r="AR40" i="44" s="1"/>
  <c r="AL40" i="44"/>
  <c r="AG40" i="44"/>
  <c r="AH40" i="44" s="1"/>
  <c r="AB40" i="44"/>
  <c r="AC40" i="44" s="1"/>
  <c r="W40" i="44"/>
  <c r="X40" i="44" s="1"/>
  <c r="R40" i="44"/>
  <c r="S40" i="44" s="1"/>
  <c r="J40" i="44"/>
  <c r="I40" i="44"/>
  <c r="G40" i="44"/>
  <c r="AV39" i="44"/>
  <c r="AQ39" i="44"/>
  <c r="AR39" i="44" s="1"/>
  <c r="AL39" i="44"/>
  <c r="AG39" i="44"/>
  <c r="AH39" i="44" s="1"/>
  <c r="AB39" i="44"/>
  <c r="AC39" i="44" s="1"/>
  <c r="W39" i="44"/>
  <c r="R39" i="44"/>
  <c r="S39" i="44" s="1"/>
  <c r="J39" i="44"/>
  <c r="I39" i="44"/>
  <c r="G39" i="44"/>
  <c r="AV38" i="44"/>
  <c r="AW38" i="44" s="1"/>
  <c r="AQ38" i="44"/>
  <c r="AL38" i="44"/>
  <c r="AG38" i="44"/>
  <c r="AH38" i="44" s="1"/>
  <c r="AB38" i="44"/>
  <c r="AC38" i="44" s="1"/>
  <c r="W38" i="44"/>
  <c r="X38" i="44" s="1"/>
  <c r="R38" i="44"/>
  <c r="S38" i="44" s="1"/>
  <c r="J38" i="44"/>
  <c r="I38" i="44"/>
  <c r="G38" i="44"/>
  <c r="AV37" i="44"/>
  <c r="AW37" i="44" s="1"/>
  <c r="AQ37" i="44"/>
  <c r="AR37" i="44" s="1"/>
  <c r="AL37" i="44"/>
  <c r="AM37" i="44" s="1"/>
  <c r="AG37" i="44"/>
  <c r="AH37" i="44" s="1"/>
  <c r="AB37" i="44"/>
  <c r="AC37" i="44" s="1"/>
  <c r="W37" i="44"/>
  <c r="X37" i="44" s="1"/>
  <c r="R37" i="44"/>
  <c r="S37" i="44" s="1"/>
  <c r="J37" i="44"/>
  <c r="I37" i="44"/>
  <c r="G37" i="44"/>
  <c r="AV36" i="44"/>
  <c r="AQ36" i="44"/>
  <c r="AL36" i="44"/>
  <c r="AG36" i="44"/>
  <c r="AB36" i="44"/>
  <c r="AC36" i="44" s="1"/>
  <c r="W36" i="44"/>
  <c r="X36" i="44" s="1"/>
  <c r="R36" i="44"/>
  <c r="S36" i="44" s="1"/>
  <c r="J36" i="44"/>
  <c r="I36" i="44"/>
  <c r="G36" i="44"/>
  <c r="AV35" i="44"/>
  <c r="AW35" i="44" s="1"/>
  <c r="AQ35" i="44"/>
  <c r="AL35" i="44"/>
  <c r="AM35" i="44" s="1"/>
  <c r="AG35" i="44"/>
  <c r="AB35" i="44"/>
  <c r="AC35" i="44" s="1"/>
  <c r="W35" i="44"/>
  <c r="X35" i="44" s="1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X34" i="44" s="1"/>
  <c r="R34" i="44"/>
  <c r="S34" i="44" s="1"/>
  <c r="J34" i="44"/>
  <c r="I34" i="44"/>
  <c r="G34" i="44"/>
  <c r="AV33" i="44"/>
  <c r="AW33" i="44" s="1"/>
  <c r="AQ33" i="44"/>
  <c r="AR33" i="44" s="1"/>
  <c r="AL33" i="44"/>
  <c r="AM33" i="44" s="1"/>
  <c r="AG33" i="44"/>
  <c r="AH33" i="44" s="1"/>
  <c r="AB33" i="44"/>
  <c r="W33" i="44"/>
  <c r="X33" i="44" s="1"/>
  <c r="R33" i="44"/>
  <c r="S33" i="44" s="1"/>
  <c r="J33" i="44"/>
  <c r="I33" i="44"/>
  <c r="G33" i="44"/>
  <c r="AV32" i="44"/>
  <c r="AW32" i="44" s="1"/>
  <c r="AQ32" i="44"/>
  <c r="AL32" i="44"/>
  <c r="AM32" i="44" s="1"/>
  <c r="AG32" i="44"/>
  <c r="AH32" i="44" s="1"/>
  <c r="AB32" i="44"/>
  <c r="AC32" i="44" s="1"/>
  <c r="W32" i="44"/>
  <c r="X32" i="44" s="1"/>
  <c r="R32" i="44"/>
  <c r="S32" i="44" s="1"/>
  <c r="J32" i="44"/>
  <c r="I32" i="44"/>
  <c r="G32" i="44"/>
  <c r="AV31" i="44"/>
  <c r="AW31" i="44" s="1"/>
  <c r="AQ31" i="44"/>
  <c r="AR31" i="44" s="1"/>
  <c r="AL31" i="44"/>
  <c r="AG31" i="44"/>
  <c r="AH31" i="44" s="1"/>
  <c r="AB31" i="44"/>
  <c r="W31" i="44"/>
  <c r="X31" i="44" s="1"/>
  <c r="R31" i="44"/>
  <c r="S31" i="44" s="1"/>
  <c r="J31" i="44"/>
  <c r="I31" i="44"/>
  <c r="G31" i="44"/>
  <c r="AV30" i="44"/>
  <c r="AQ30" i="44"/>
  <c r="AR30" i="44" s="1"/>
  <c r="AL30" i="44"/>
  <c r="AM30" i="44" s="1"/>
  <c r="AG30" i="44"/>
  <c r="AH30" i="44" s="1"/>
  <c r="AB30" i="44"/>
  <c r="W30" i="44"/>
  <c r="K30" i="44" s="1"/>
  <c r="R30" i="44"/>
  <c r="S30" i="44" s="1"/>
  <c r="J30" i="44"/>
  <c r="I30" i="44"/>
  <c r="G30" i="44"/>
  <c r="AV29" i="44"/>
  <c r="AQ29" i="44"/>
  <c r="AR29" i="44" s="1"/>
  <c r="AL29" i="44"/>
  <c r="AM29" i="44" s="1"/>
  <c r="AG29" i="44"/>
  <c r="AB29" i="44"/>
  <c r="W29" i="44"/>
  <c r="R29" i="44"/>
  <c r="J29" i="44"/>
  <c r="I29" i="44"/>
  <c r="G29" i="44"/>
  <c r="AV28" i="44"/>
  <c r="AQ28" i="44"/>
  <c r="AR28" i="44" s="1"/>
  <c r="AL28" i="44"/>
  <c r="AM28" i="44" s="1"/>
  <c r="AG28" i="44"/>
  <c r="AH28" i="44" s="1"/>
  <c r="AB28" i="44"/>
  <c r="AC28" i="44" s="1"/>
  <c r="W28" i="44"/>
  <c r="X28" i="44" s="1"/>
  <c r="R28" i="44"/>
  <c r="J28" i="44"/>
  <c r="I28" i="44"/>
  <c r="G28" i="44"/>
  <c r="AV27" i="44"/>
  <c r="AQ27" i="44"/>
  <c r="AR27" i="44" s="1"/>
  <c r="AL27" i="44"/>
  <c r="AM27" i="44" s="1"/>
  <c r="AG27" i="44"/>
  <c r="AB27" i="44"/>
  <c r="AC27" i="44" s="1"/>
  <c r="W27" i="44"/>
  <c r="R27" i="44"/>
  <c r="J27" i="44"/>
  <c r="I27" i="44"/>
  <c r="G27" i="44"/>
  <c r="AV26" i="44"/>
  <c r="AQ26" i="44"/>
  <c r="AR26" i="44" s="1"/>
  <c r="AL26" i="44"/>
  <c r="AM26" i="44" s="1"/>
  <c r="AG26" i="44"/>
  <c r="AH26" i="44" s="1"/>
  <c r="AB26" i="44"/>
  <c r="AC26" i="44" s="1"/>
  <c r="W26" i="44"/>
  <c r="X27" i="44" s="1"/>
  <c r="R26" i="44"/>
  <c r="S9" i="44" s="1"/>
  <c r="J26" i="44"/>
  <c r="I26" i="44"/>
  <c r="G26" i="44"/>
  <c r="AV25" i="44"/>
  <c r="AW25" i="44" s="1"/>
  <c r="AQ25" i="44"/>
  <c r="AR25" i="44" s="1"/>
  <c r="AL25" i="44"/>
  <c r="AM25" i="44" s="1"/>
  <c r="AG25" i="44"/>
  <c r="AH25" i="44" s="1"/>
  <c r="AB25" i="44"/>
  <c r="AC25" i="44" s="1"/>
  <c r="W25" i="44"/>
  <c r="R25" i="44"/>
  <c r="J25" i="44"/>
  <c r="I25" i="44"/>
  <c r="G25" i="44"/>
  <c r="AV24" i="44"/>
  <c r="AW24" i="44" s="1"/>
  <c r="AQ24" i="44"/>
  <c r="AL24" i="44"/>
  <c r="AM24" i="44" s="1"/>
  <c r="AG24" i="44"/>
  <c r="AH24" i="44" s="1"/>
  <c r="AB24" i="44"/>
  <c r="AC24" i="44" s="1"/>
  <c r="W24" i="44"/>
  <c r="X24" i="44" s="1"/>
  <c r="R24" i="44"/>
  <c r="J24" i="44"/>
  <c r="I24" i="44"/>
  <c r="G24" i="44"/>
  <c r="AV23" i="44"/>
  <c r="AW23" i="44" s="1"/>
  <c r="AQ23" i="44"/>
  <c r="AL23" i="44"/>
  <c r="AM23" i="44" s="1"/>
  <c r="AG23" i="44"/>
  <c r="AH23" i="44" s="1"/>
  <c r="AB23" i="44"/>
  <c r="W23" i="44"/>
  <c r="R23" i="44"/>
  <c r="J23" i="44"/>
  <c r="I23" i="44"/>
  <c r="G23" i="44"/>
  <c r="AV22" i="44"/>
  <c r="AW22" i="44" s="1"/>
  <c r="AQ22" i="44"/>
  <c r="AL22" i="44"/>
  <c r="AM22" i="44" s="1"/>
  <c r="AG22" i="44"/>
  <c r="AH22" i="44" s="1"/>
  <c r="AB22" i="44"/>
  <c r="AC10" i="44" s="1"/>
  <c r="W22" i="44"/>
  <c r="X25" i="44" s="1"/>
  <c r="R22" i="44"/>
  <c r="J22" i="44"/>
  <c r="I22" i="44"/>
  <c r="G22" i="44"/>
  <c r="AV21" i="44"/>
  <c r="AW21" i="44" s="1"/>
  <c r="AQ21" i="44"/>
  <c r="AR21" i="44" s="1"/>
  <c r="AL21" i="44"/>
  <c r="AG21" i="44"/>
  <c r="AH21" i="44" s="1"/>
  <c r="AB21" i="44"/>
  <c r="W21" i="44"/>
  <c r="R21" i="44"/>
  <c r="S21" i="44" s="1"/>
  <c r="J21" i="44"/>
  <c r="I21" i="44"/>
  <c r="G21" i="44"/>
  <c r="AV20" i="44"/>
  <c r="AQ20" i="44"/>
  <c r="AR20" i="44" s="1"/>
  <c r="AL20" i="44"/>
  <c r="AM20" i="44" s="1"/>
  <c r="AG20" i="44"/>
  <c r="AH20" i="44" s="1"/>
  <c r="AB20" i="44"/>
  <c r="AC20" i="44" s="1"/>
  <c r="W20" i="44"/>
  <c r="R20" i="44"/>
  <c r="S20" i="44" s="1"/>
  <c r="J20" i="44"/>
  <c r="I20" i="44"/>
  <c r="G20" i="44"/>
  <c r="AV19" i="44"/>
  <c r="AW19" i="44" s="1"/>
  <c r="AQ19" i="44"/>
  <c r="AR19" i="44" s="1"/>
  <c r="AL19" i="44"/>
  <c r="AG19" i="44"/>
  <c r="AH19" i="44" s="1"/>
  <c r="AB19" i="44"/>
  <c r="AC19" i="44" s="1"/>
  <c r="W19" i="44"/>
  <c r="R19" i="44"/>
  <c r="S19" i="44" s="1"/>
  <c r="J19" i="44"/>
  <c r="I19" i="44"/>
  <c r="G19" i="44"/>
  <c r="AV18" i="44"/>
  <c r="AW18" i="44" s="1"/>
  <c r="AQ18" i="44"/>
  <c r="AL18" i="44"/>
  <c r="AG18" i="44"/>
  <c r="AH14" i="44" s="1"/>
  <c r="AB18" i="44"/>
  <c r="AC29" i="44" s="1"/>
  <c r="W18" i="44"/>
  <c r="R18" i="44"/>
  <c r="J18" i="44"/>
  <c r="I18" i="44"/>
  <c r="G18" i="44"/>
  <c r="AV17" i="44"/>
  <c r="AW17" i="44" s="1"/>
  <c r="AQ17" i="44"/>
  <c r="AL17" i="44"/>
  <c r="AM17" i="44" s="1"/>
  <c r="AG17" i="44"/>
  <c r="K17" i="44" s="1"/>
  <c r="AB17" i="44"/>
  <c r="W17" i="44"/>
  <c r="R17" i="44"/>
  <c r="J17" i="44"/>
  <c r="I17" i="44"/>
  <c r="G17" i="44"/>
  <c r="AV16" i="44"/>
  <c r="AW16" i="44" s="1"/>
  <c r="AQ16" i="44"/>
  <c r="AR16" i="44" s="1"/>
  <c r="AL16" i="44"/>
  <c r="K16" i="44" s="1"/>
  <c r="AG16" i="44"/>
  <c r="AH16" i="44" s="1"/>
  <c r="AB16" i="44"/>
  <c r="W16" i="44"/>
  <c r="R16" i="44"/>
  <c r="S16" i="44" s="1"/>
  <c r="J16" i="44"/>
  <c r="I16" i="44"/>
  <c r="G16" i="44"/>
  <c r="AV15" i="44"/>
  <c r="AW15" i="44" s="1"/>
  <c r="AQ15" i="44"/>
  <c r="AL15" i="44"/>
  <c r="AM15" i="44" s="1"/>
  <c r="AG15" i="44"/>
  <c r="AB15" i="44"/>
  <c r="W15" i="44"/>
  <c r="X15" i="44" s="1"/>
  <c r="R15" i="44"/>
  <c r="J15" i="44"/>
  <c r="I15" i="44"/>
  <c r="G15" i="44"/>
  <c r="AV14" i="44"/>
  <c r="AW14" i="44" s="1"/>
  <c r="AQ14" i="44"/>
  <c r="AR14" i="44" s="1"/>
  <c r="AL14" i="44"/>
  <c r="AM14" i="44" s="1"/>
  <c r="AG14" i="44"/>
  <c r="AB14" i="44"/>
  <c r="W14" i="44"/>
  <c r="X14" i="44" s="1"/>
  <c r="R14" i="44"/>
  <c r="J14" i="44"/>
  <c r="I14" i="44"/>
  <c r="G14" i="44"/>
  <c r="AV13" i="44"/>
  <c r="AW13" i="44" s="1"/>
  <c r="AQ13" i="44"/>
  <c r="AR13" i="44" s="1"/>
  <c r="AL13" i="44"/>
  <c r="AM13" i="44" s="1"/>
  <c r="AG13" i="44"/>
  <c r="AB13" i="44"/>
  <c r="W13" i="44"/>
  <c r="X13" i="44" s="1"/>
  <c r="R13" i="44"/>
  <c r="J13" i="44"/>
  <c r="I13" i="44"/>
  <c r="G13" i="44"/>
  <c r="AV12" i="44"/>
  <c r="AW12" i="44" s="1"/>
  <c r="AQ12" i="44"/>
  <c r="AR12" i="44" s="1"/>
  <c r="AL12" i="44"/>
  <c r="AM39" i="44" s="1"/>
  <c r="AG12" i="44"/>
  <c r="AH13" i="44" s="1"/>
  <c r="AB12" i="44"/>
  <c r="W12" i="44"/>
  <c r="X12" i="44" s="1"/>
  <c r="R12" i="44"/>
  <c r="S12" i="44" s="1"/>
  <c r="J12" i="44"/>
  <c r="I12" i="44"/>
  <c r="G12" i="44"/>
  <c r="AV11" i="44"/>
  <c r="AW11" i="44" s="1"/>
  <c r="AQ11" i="44"/>
  <c r="AR11" i="44" s="1"/>
  <c r="AL11" i="44"/>
  <c r="K11" i="44" s="1"/>
  <c r="AG11" i="44"/>
  <c r="AB11" i="44"/>
  <c r="W11" i="44"/>
  <c r="R11" i="44"/>
  <c r="J11" i="44"/>
  <c r="I11" i="44"/>
  <c r="G11" i="44"/>
  <c r="AV10" i="44"/>
  <c r="AW10" i="44" s="1"/>
  <c r="AQ10" i="44"/>
  <c r="AR10" i="44" s="1"/>
  <c r="AL10" i="44"/>
  <c r="AM10" i="44" s="1"/>
  <c r="AG10" i="44"/>
  <c r="AB10" i="44"/>
  <c r="W10" i="44"/>
  <c r="R10" i="44"/>
  <c r="S10" i="44" s="1"/>
  <c r="J10" i="44"/>
  <c r="I10" i="44"/>
  <c r="G10" i="44"/>
  <c r="AV9" i="44"/>
  <c r="AQ9" i="44"/>
  <c r="AR9" i="44" s="1"/>
  <c r="AL9" i="44"/>
  <c r="AG9" i="44"/>
  <c r="AB9" i="44"/>
  <c r="W9" i="44"/>
  <c r="R9" i="44"/>
  <c r="J9" i="44"/>
  <c r="I9" i="44"/>
  <c r="G9" i="44"/>
  <c r="AV8" i="44"/>
  <c r="AW39" i="44" s="1"/>
  <c r="AQ8" i="44"/>
  <c r="AR35" i="44" s="1"/>
  <c r="AL8" i="44"/>
  <c r="AM31" i="44" s="1"/>
  <c r="AG8" i="44"/>
  <c r="AB8" i="44"/>
  <c r="AC8" i="44" s="1"/>
  <c r="W8" i="44"/>
  <c r="X23" i="44" s="1"/>
  <c r="R8" i="44"/>
  <c r="J8" i="44"/>
  <c r="I8" i="44"/>
  <c r="G8" i="44"/>
  <c r="AV7" i="44"/>
  <c r="AQ7" i="44"/>
  <c r="AR7" i="44" s="1"/>
  <c r="AL7" i="44"/>
  <c r="AG7" i="44"/>
  <c r="AB7" i="44"/>
  <c r="W7" i="44"/>
  <c r="R7" i="44"/>
  <c r="S11" i="44" s="1"/>
  <c r="J7" i="44"/>
  <c r="I7" i="44"/>
  <c r="G7" i="44"/>
  <c r="H7" i="44" s="1"/>
  <c r="D8" i="6"/>
  <c r="D9" i="6" s="1"/>
  <c r="D10" i="6" s="1"/>
  <c r="D11" i="6" s="1"/>
  <c r="D12" i="6" s="1"/>
  <c r="D13" i="6" s="1"/>
  <c r="AC13" i="6"/>
  <c r="S13" i="6"/>
  <c r="M13" i="6"/>
  <c r="F13" i="6"/>
  <c r="AL13" i="6" s="1"/>
  <c r="AC12" i="6"/>
  <c r="F12" i="6" s="1"/>
  <c r="AL12" i="6" s="1"/>
  <c r="S12" i="6"/>
  <c r="M12" i="6"/>
  <c r="AC11" i="6"/>
  <c r="S11" i="6"/>
  <c r="M11" i="6"/>
  <c r="AC10" i="6"/>
  <c r="S10" i="6"/>
  <c r="M10" i="6"/>
  <c r="AC9" i="6"/>
  <c r="F9" i="6" s="1"/>
  <c r="AL9" i="6" s="1"/>
  <c r="S9" i="6"/>
  <c r="M9" i="6"/>
  <c r="AC8" i="6"/>
  <c r="S8" i="6"/>
  <c r="M8" i="6"/>
  <c r="AC7" i="6"/>
  <c r="S7" i="6"/>
  <c r="M7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S11" i="52" l="1"/>
  <c r="H7" i="52"/>
  <c r="S8" i="52"/>
  <c r="X7" i="52"/>
  <c r="AR7" i="52"/>
  <c r="T7" i="52"/>
  <c r="Y7" i="52"/>
  <c r="AD7" i="52"/>
  <c r="AI7" i="52"/>
  <c r="AC7" i="52"/>
  <c r="AN7" i="52"/>
  <c r="AC8" i="52"/>
  <c r="AX7" i="52"/>
  <c r="AH12" i="51"/>
  <c r="AM7" i="51"/>
  <c r="X12" i="51"/>
  <c r="AM8" i="51"/>
  <c r="AD7" i="51"/>
  <c r="X13" i="51"/>
  <c r="AW13" i="51"/>
  <c r="AI7" i="51"/>
  <c r="X14" i="51"/>
  <c r="AC7" i="51"/>
  <c r="AH14" i="51"/>
  <c r="S7" i="51"/>
  <c r="S14" i="51"/>
  <c r="AC12" i="51"/>
  <c r="K10" i="51"/>
  <c r="K12" i="51"/>
  <c r="M12" i="51" s="1"/>
  <c r="AW8" i="51"/>
  <c r="AX7" i="51"/>
  <c r="AC10" i="51"/>
  <c r="AC13" i="51"/>
  <c r="AC14" i="51"/>
  <c r="AR10" i="51"/>
  <c r="AC9" i="51"/>
  <c r="AH7" i="51"/>
  <c r="AS7" i="51"/>
  <c r="K11" i="51"/>
  <c r="M9" i="49"/>
  <c r="S9" i="49"/>
  <c r="AR9" i="49"/>
  <c r="AH8" i="49"/>
  <c r="AR10" i="49"/>
  <c r="X7" i="49"/>
  <c r="AR11" i="49"/>
  <c r="H7" i="49"/>
  <c r="AH7" i="49"/>
  <c r="K7" i="49"/>
  <c r="M8" i="49" s="1"/>
  <c r="K15" i="49"/>
  <c r="M15" i="49" s="1"/>
  <c r="X8" i="49"/>
  <c r="AC14" i="49"/>
  <c r="AC15" i="49"/>
  <c r="S10" i="49"/>
  <c r="AH11" i="49"/>
  <c r="AN7" i="49"/>
  <c r="AW7" i="49"/>
  <c r="AS7" i="49"/>
  <c r="AW8" i="49"/>
  <c r="AM7" i="49"/>
  <c r="X16" i="49"/>
  <c r="AM8" i="49"/>
  <c r="S7" i="49"/>
  <c r="AR14" i="49"/>
  <c r="AD7" i="49"/>
  <c r="S11" i="49"/>
  <c r="AM16" i="49"/>
  <c r="AR7" i="49"/>
  <c r="Y7" i="49"/>
  <c r="X9" i="49"/>
  <c r="AC7" i="49"/>
  <c r="AX7" i="48"/>
  <c r="AW15" i="48"/>
  <c r="S7" i="48"/>
  <c r="AC12" i="48"/>
  <c r="AC13" i="48"/>
  <c r="H7" i="48"/>
  <c r="S11" i="48"/>
  <c r="AH8" i="48"/>
  <c r="Y7" i="48"/>
  <c r="S8" i="48"/>
  <c r="AM13" i="48"/>
  <c r="S15" i="48"/>
  <c r="AR8" i="48"/>
  <c r="AC15" i="48"/>
  <c r="AH7" i="48"/>
  <c r="K7" i="48"/>
  <c r="AD7" i="48"/>
  <c r="X7" i="48"/>
  <c r="AW7" i="48"/>
  <c r="AC7" i="48"/>
  <c r="AC9" i="48"/>
  <c r="AR7" i="48"/>
  <c r="X8" i="48"/>
  <c r="AW13" i="48"/>
  <c r="AW14" i="48"/>
  <c r="AS7" i="48"/>
  <c r="AC11" i="47"/>
  <c r="AH7" i="47"/>
  <c r="K9" i="47"/>
  <c r="AW9" i="47"/>
  <c r="AW10" i="47"/>
  <c r="S7" i="47"/>
  <c r="AC9" i="47"/>
  <c r="AC10" i="47"/>
  <c r="X8" i="47"/>
  <c r="AM7" i="47"/>
  <c r="X7" i="47"/>
  <c r="H7" i="47"/>
  <c r="S7" i="46"/>
  <c r="AM7" i="46"/>
  <c r="AR7" i="46"/>
  <c r="AW7" i="46"/>
  <c r="AC8" i="45"/>
  <c r="AH7" i="45"/>
  <c r="AH9" i="45"/>
  <c r="AW8" i="45"/>
  <c r="AH8" i="45"/>
  <c r="AM8" i="45"/>
  <c r="AR8" i="45"/>
  <c r="M7" i="45"/>
  <c r="AW7" i="45"/>
  <c r="H7" i="45"/>
  <c r="X7" i="45"/>
  <c r="AC9" i="45"/>
  <c r="AM7" i="45"/>
  <c r="AR7" i="45"/>
  <c r="S7" i="45"/>
  <c r="AH15" i="44"/>
  <c r="AW7" i="44"/>
  <c r="K18" i="44"/>
  <c r="S26" i="44"/>
  <c r="AR24" i="44"/>
  <c r="X29" i="44"/>
  <c r="AH17" i="44"/>
  <c r="AM41" i="44"/>
  <c r="AW9" i="44"/>
  <c r="K36" i="44"/>
  <c r="X10" i="44"/>
  <c r="X30" i="44"/>
  <c r="AM42" i="44"/>
  <c r="AC16" i="44"/>
  <c r="K7" i="44"/>
  <c r="S8" i="44"/>
  <c r="AH34" i="44"/>
  <c r="AR42" i="44"/>
  <c r="S27" i="44"/>
  <c r="AC11" i="44"/>
  <c r="AM19" i="44"/>
  <c r="X8" i="44"/>
  <c r="AH36" i="44"/>
  <c r="AW28" i="44"/>
  <c r="X9" i="44"/>
  <c r="AC33" i="44"/>
  <c r="AM21" i="44"/>
  <c r="AW29" i="44"/>
  <c r="S24" i="44"/>
  <c r="AC14" i="44"/>
  <c r="AH18" i="44"/>
  <c r="AW30" i="44"/>
  <c r="K38" i="44"/>
  <c r="S7" i="44"/>
  <c r="S23" i="44"/>
  <c r="X11" i="44"/>
  <c r="Y7" i="44"/>
  <c r="K9" i="44"/>
  <c r="K40" i="44"/>
  <c r="S22" i="44"/>
  <c r="AR8" i="44"/>
  <c r="AC18" i="44"/>
  <c r="AN7" i="44"/>
  <c r="K27" i="44"/>
  <c r="K31" i="44"/>
  <c r="AM7" i="44"/>
  <c r="S28" i="44"/>
  <c r="AC30" i="44"/>
  <c r="AR22" i="44"/>
  <c r="AC31" i="44"/>
  <c r="AR23" i="44"/>
  <c r="AC12" i="44"/>
  <c r="AW8" i="44"/>
  <c r="K20" i="44"/>
  <c r="K34" i="44"/>
  <c r="S25" i="44"/>
  <c r="AC13" i="44"/>
  <c r="AS7" i="44"/>
  <c r="K29" i="44"/>
  <c r="K41" i="44"/>
  <c r="S18" i="44"/>
  <c r="X16" i="44"/>
  <c r="AM8" i="44"/>
  <c r="AR32" i="44"/>
  <c r="AW36" i="44"/>
  <c r="AX7" i="44"/>
  <c r="S17" i="44"/>
  <c r="X17" i="44"/>
  <c r="AC21" i="44"/>
  <c r="AM9" i="44"/>
  <c r="X18" i="44"/>
  <c r="AC22" i="44"/>
  <c r="AM18" i="44"/>
  <c r="X7" i="44"/>
  <c r="AH35" i="44"/>
  <c r="AW27" i="44"/>
  <c r="X20" i="44"/>
  <c r="AH8" i="44"/>
  <c r="AM12" i="44"/>
  <c r="AW20" i="44"/>
  <c r="AW40" i="44"/>
  <c r="K8" i="44"/>
  <c r="S13" i="44"/>
  <c r="X21" i="44"/>
  <c r="X41" i="44"/>
  <c r="AH9" i="44"/>
  <c r="AH29" i="44"/>
  <c r="AR17" i="44"/>
  <c r="AH10" i="44"/>
  <c r="AR18" i="44"/>
  <c r="AR38" i="44"/>
  <c r="AW42" i="44"/>
  <c r="X26" i="44"/>
  <c r="AM38" i="44"/>
  <c r="AM40" i="44"/>
  <c r="S35" i="44"/>
  <c r="S15" i="44"/>
  <c r="X19" i="44"/>
  <c r="X39" i="44"/>
  <c r="AC23" i="44"/>
  <c r="AH7" i="44"/>
  <c r="AH27" i="44"/>
  <c r="AM11" i="44"/>
  <c r="AR15" i="44"/>
  <c r="S14" i="44"/>
  <c r="AR36" i="44"/>
  <c r="K10" i="44"/>
  <c r="X22" i="44"/>
  <c r="K22" i="44"/>
  <c r="AC7" i="44"/>
  <c r="K26" i="44"/>
  <c r="AH12" i="44"/>
  <c r="AM16" i="44"/>
  <c r="AM36" i="44"/>
  <c r="K14" i="44"/>
  <c r="K28" i="44"/>
  <c r="S29" i="44"/>
  <c r="AC9" i="44"/>
  <c r="F7" i="6"/>
  <c r="F8" i="6"/>
  <c r="AL8" i="6" s="1"/>
  <c r="AL7" i="6"/>
  <c r="F10" i="6"/>
  <c r="AL10" i="6" s="1"/>
  <c r="F11" i="6"/>
  <c r="AL11" i="6" s="1"/>
  <c r="N7" i="6"/>
  <c r="T7" i="6"/>
  <c r="AD7" i="6"/>
  <c r="N13" i="6"/>
  <c r="T8" i="6"/>
  <c r="AD13" i="6"/>
  <c r="N9" i="6"/>
  <c r="N10" i="6"/>
  <c r="T13" i="6"/>
  <c r="T9" i="6"/>
  <c r="AD9" i="6"/>
  <c r="T10" i="6"/>
  <c r="AD12" i="6"/>
  <c r="G28" i="6"/>
  <c r="N12" i="6"/>
  <c r="T12" i="6"/>
  <c r="N8" i="6"/>
  <c r="AD8" i="6"/>
  <c r="K7" i="52"/>
  <c r="K11" i="52"/>
  <c r="K10" i="52"/>
  <c r="K9" i="52"/>
  <c r="K8" i="52"/>
  <c r="M8" i="52" s="1"/>
  <c r="K9" i="51"/>
  <c r="K8" i="51"/>
  <c r="K7" i="51"/>
  <c r="K14" i="49"/>
  <c r="AI7" i="49"/>
  <c r="T7" i="49"/>
  <c r="T7" i="48"/>
  <c r="K9" i="48"/>
  <c r="K8" i="48"/>
  <c r="K14" i="48"/>
  <c r="K13" i="48"/>
  <c r="AI7" i="48"/>
  <c r="K15" i="48"/>
  <c r="K12" i="48"/>
  <c r="M12" i="48" s="1"/>
  <c r="AN7" i="48"/>
  <c r="K8" i="47"/>
  <c r="M8" i="47" s="1"/>
  <c r="AI7" i="47"/>
  <c r="Y7" i="46"/>
  <c r="AD7" i="46"/>
  <c r="AI7" i="46"/>
  <c r="K7" i="46"/>
  <c r="M7" i="46" s="1"/>
  <c r="T7" i="45"/>
  <c r="K25" i="44"/>
  <c r="AD7" i="44"/>
  <c r="K24" i="44"/>
  <c r="K23" i="44"/>
  <c r="AI7" i="44"/>
  <c r="K21" i="44"/>
  <c r="K19" i="44"/>
  <c r="K39" i="44"/>
  <c r="K37" i="44"/>
  <c r="K15" i="44"/>
  <c r="K35" i="44"/>
  <c r="K13" i="44"/>
  <c r="K33" i="44"/>
  <c r="K12" i="44"/>
  <c r="M12" i="44" s="1"/>
  <c r="K32" i="44"/>
  <c r="T7" i="44"/>
  <c r="G7" i="6"/>
  <c r="J10" i="6"/>
  <c r="P11" i="6"/>
  <c r="J7" i="6"/>
  <c r="J12" i="6"/>
  <c r="L7" i="6"/>
  <c r="L12" i="6"/>
  <c r="R10" i="6"/>
  <c r="V7" i="6"/>
  <c r="J9" i="6"/>
  <c r="J13" i="6"/>
  <c r="L8" i="6"/>
  <c r="P7" i="6"/>
  <c r="P8" i="6"/>
  <c r="P13" i="6"/>
  <c r="R7" i="6"/>
  <c r="R9" i="6"/>
  <c r="R12" i="6"/>
  <c r="V8" i="6"/>
  <c r="V10" i="6"/>
  <c r="V13" i="6"/>
  <c r="X8" i="6"/>
  <c r="X9" i="6"/>
  <c r="X12" i="6"/>
  <c r="Z7" i="6"/>
  <c r="Z9" i="6"/>
  <c r="Z12" i="6"/>
  <c r="AB7" i="6"/>
  <c r="AB9" i="6"/>
  <c r="AB13" i="6"/>
  <c r="AF7" i="6"/>
  <c r="AF8" i="6"/>
  <c r="AF9" i="6"/>
  <c r="AF10" i="6"/>
  <c r="AF12" i="6"/>
  <c r="AF13" i="6"/>
  <c r="AH7" i="6"/>
  <c r="AH8" i="6"/>
  <c r="AH9" i="6"/>
  <c r="AH12" i="6"/>
  <c r="AH13" i="6"/>
  <c r="J8" i="6"/>
  <c r="L9" i="6"/>
  <c r="L13" i="6"/>
  <c r="P9" i="6"/>
  <c r="P12" i="6"/>
  <c r="R8" i="6"/>
  <c r="R13" i="6"/>
  <c r="V9" i="6"/>
  <c r="V12" i="6"/>
  <c r="X7" i="6"/>
  <c r="X10" i="6"/>
  <c r="X13" i="6"/>
  <c r="Z8" i="6"/>
  <c r="Z13" i="6"/>
  <c r="AB8" i="6"/>
  <c r="AB10" i="6"/>
  <c r="AB12" i="6"/>
  <c r="AJ7" i="6"/>
  <c r="AJ8" i="6"/>
  <c r="AJ9" i="6"/>
  <c r="AJ10" i="6"/>
  <c r="AJ12" i="6"/>
  <c r="AJ13" i="6"/>
  <c r="G35" i="6"/>
  <c r="G21" i="6"/>
  <c r="B7" i="7"/>
  <c r="AC13" i="7"/>
  <c r="S13" i="7"/>
  <c r="M13" i="7"/>
  <c r="F13" i="7"/>
  <c r="AL13" i="7" s="1"/>
  <c r="AC12" i="7"/>
  <c r="S12" i="7"/>
  <c r="M12" i="7"/>
  <c r="F12" i="7"/>
  <c r="AL12" i="7" s="1"/>
  <c r="AC11" i="7"/>
  <c r="S11" i="7"/>
  <c r="F11" i="7" s="1"/>
  <c r="AL11" i="7" s="1"/>
  <c r="M11" i="7"/>
  <c r="AC10" i="7"/>
  <c r="S10" i="7"/>
  <c r="M10" i="7"/>
  <c r="F10" i="7"/>
  <c r="AL10" i="7" s="1"/>
  <c r="AC9" i="7"/>
  <c r="S9" i="7"/>
  <c r="M9" i="7"/>
  <c r="F9" i="7"/>
  <c r="AL9" i="7" s="1"/>
  <c r="AC8" i="7"/>
  <c r="S8" i="7"/>
  <c r="M8" i="7"/>
  <c r="F8" i="7"/>
  <c r="AC7" i="7"/>
  <c r="S7" i="7"/>
  <c r="M7" i="7"/>
  <c r="F7" i="7"/>
  <c r="AL7" i="7" s="1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B35" i="7"/>
  <c r="B21" i="7"/>
  <c r="B28" i="7"/>
  <c r="U6" i="5"/>
  <c r="U7" i="5"/>
  <c r="U8" i="5"/>
  <c r="U9" i="5"/>
  <c r="U10" i="5"/>
  <c r="U11" i="5"/>
  <c r="M11" i="52" l="1"/>
  <c r="M9" i="52"/>
  <c r="M10" i="52"/>
  <c r="M7" i="52"/>
  <c r="M11" i="51"/>
  <c r="M7" i="51"/>
  <c r="M8" i="51"/>
  <c r="M14" i="51"/>
  <c r="M10" i="51"/>
  <c r="M9" i="51"/>
  <c r="M13" i="51"/>
  <c r="M13" i="49"/>
  <c r="M7" i="49"/>
  <c r="M14" i="49"/>
  <c r="L7" i="49"/>
  <c r="M12" i="49"/>
  <c r="M10" i="49"/>
  <c r="M16" i="49"/>
  <c r="M11" i="49"/>
  <c r="M15" i="48"/>
  <c r="M13" i="48"/>
  <c r="M14" i="48"/>
  <c r="M7" i="48"/>
  <c r="M11" i="48"/>
  <c r="M10" i="48"/>
  <c r="M8" i="48"/>
  <c r="M9" i="48"/>
  <c r="M9" i="47"/>
  <c r="M11" i="47"/>
  <c r="M7" i="47"/>
  <c r="M10" i="47"/>
  <c r="M19" i="44"/>
  <c r="M11" i="44"/>
  <c r="M24" i="44"/>
  <c r="M26" i="44"/>
  <c r="M25" i="44"/>
  <c r="M36" i="44"/>
  <c r="M34" i="44"/>
  <c r="M38" i="44"/>
  <c r="M28" i="44"/>
  <c r="M21" i="44"/>
  <c r="M10" i="44"/>
  <c r="M31" i="44"/>
  <c r="M14" i="44"/>
  <c r="M7" i="44"/>
  <c r="M20" i="44"/>
  <c r="M23" i="44"/>
  <c r="M22" i="44"/>
  <c r="M32" i="44"/>
  <c r="M27" i="44"/>
  <c r="M18" i="44"/>
  <c r="M33" i="44"/>
  <c r="M8" i="44"/>
  <c r="M13" i="44"/>
  <c r="M35" i="44"/>
  <c r="M41" i="44"/>
  <c r="M17" i="44"/>
  <c r="M15" i="44"/>
  <c r="M29" i="44"/>
  <c r="M40" i="44"/>
  <c r="M16" i="44"/>
  <c r="M37" i="44"/>
  <c r="M9" i="44"/>
  <c r="M30" i="44"/>
  <c r="M39" i="44"/>
  <c r="M42" i="44"/>
  <c r="AF11" i="6"/>
  <c r="V11" i="6"/>
  <c r="P10" i="6"/>
  <c r="N11" i="6"/>
  <c r="H8" i="6"/>
  <c r="Z11" i="6"/>
  <c r="AD11" i="6"/>
  <c r="R11" i="6"/>
  <c r="AB11" i="6"/>
  <c r="L11" i="6"/>
  <c r="AJ11" i="6"/>
  <c r="T11" i="6"/>
  <c r="J11" i="6"/>
  <c r="AD10" i="6"/>
  <c r="AH11" i="6"/>
  <c r="Z10" i="6"/>
  <c r="AH10" i="6"/>
  <c r="X11" i="6"/>
  <c r="L10" i="6"/>
  <c r="N7" i="7"/>
  <c r="AL8" i="7"/>
  <c r="N9" i="7"/>
  <c r="N10" i="7"/>
  <c r="N11" i="7"/>
  <c r="N12" i="7"/>
  <c r="N8" i="7"/>
  <c r="N13" i="7"/>
  <c r="L7" i="52"/>
  <c r="L7" i="51"/>
  <c r="L7" i="48"/>
  <c r="L7" i="47"/>
  <c r="L7" i="46"/>
  <c r="L7" i="44"/>
  <c r="J7" i="7"/>
  <c r="J8" i="7"/>
  <c r="J9" i="7"/>
  <c r="J10" i="7"/>
  <c r="J11" i="7"/>
  <c r="J12" i="7"/>
  <c r="J13" i="7"/>
  <c r="G7" i="7"/>
  <c r="L7" i="7"/>
  <c r="L8" i="7"/>
  <c r="L9" i="7"/>
  <c r="L10" i="7"/>
  <c r="L11" i="7"/>
  <c r="L12" i="7"/>
  <c r="L13" i="7"/>
  <c r="P7" i="7"/>
  <c r="P8" i="7"/>
  <c r="P9" i="7"/>
  <c r="P10" i="7"/>
  <c r="P11" i="7"/>
  <c r="P12" i="7"/>
  <c r="P13" i="7"/>
  <c r="R7" i="7"/>
  <c r="R8" i="7"/>
  <c r="R9" i="7"/>
  <c r="R10" i="7"/>
  <c r="R11" i="7"/>
  <c r="R12" i="7"/>
  <c r="R13" i="7"/>
  <c r="T7" i="7"/>
  <c r="T8" i="7"/>
  <c r="T9" i="7"/>
  <c r="T10" i="7"/>
  <c r="T11" i="7"/>
  <c r="T12" i="7"/>
  <c r="T13" i="7"/>
  <c r="V7" i="7"/>
  <c r="V8" i="7"/>
  <c r="V9" i="7"/>
  <c r="V10" i="7"/>
  <c r="V11" i="7"/>
  <c r="V12" i="7"/>
  <c r="V13" i="7"/>
  <c r="X7" i="7"/>
  <c r="X8" i="7"/>
  <c r="X9" i="7"/>
  <c r="X10" i="7"/>
  <c r="X11" i="7"/>
  <c r="X12" i="7"/>
  <c r="X13" i="7"/>
  <c r="Z7" i="7"/>
  <c r="Z8" i="7"/>
  <c r="Z9" i="7"/>
  <c r="Z10" i="7"/>
  <c r="Z11" i="7"/>
  <c r="Z12" i="7"/>
  <c r="Z13" i="7"/>
  <c r="AB7" i="7"/>
  <c r="AB8" i="7"/>
  <c r="AB9" i="7"/>
  <c r="AB10" i="7"/>
  <c r="AB11" i="7"/>
  <c r="AB12" i="7"/>
  <c r="AB13" i="7"/>
  <c r="AD7" i="7"/>
  <c r="AD8" i="7"/>
  <c r="AD9" i="7"/>
  <c r="AD10" i="7"/>
  <c r="AD11" i="7"/>
  <c r="AD12" i="7"/>
  <c r="AD13" i="7"/>
  <c r="AF7" i="7"/>
  <c r="AF8" i="7"/>
  <c r="AF9" i="7"/>
  <c r="AF10" i="7"/>
  <c r="AF11" i="7"/>
  <c r="AF12" i="7"/>
  <c r="AF13" i="7"/>
  <c r="AH7" i="7"/>
  <c r="AH8" i="7"/>
  <c r="AH9" i="7"/>
  <c r="AH10" i="7"/>
  <c r="AH11" i="7"/>
  <c r="AH12" i="7"/>
  <c r="AH13" i="7"/>
  <c r="AJ7" i="7"/>
  <c r="AJ8" i="7"/>
  <c r="AJ9" i="7"/>
  <c r="AJ10" i="7"/>
  <c r="AJ11" i="7"/>
  <c r="AJ12" i="7"/>
  <c r="AJ13" i="7"/>
  <c r="G35" i="7"/>
  <c r="G28" i="7"/>
  <c r="G21" i="7"/>
  <c r="W6" i="5" l="1"/>
  <c r="K11" i="39" s="1"/>
  <c r="T6" i="5"/>
  <c r="K10" i="39" s="1"/>
  <c r="Q6" i="5"/>
  <c r="K9" i="39" s="1"/>
  <c r="N6" i="5"/>
  <c r="K8" i="39" s="1"/>
  <c r="H6" i="5"/>
  <c r="K6" i="39" s="1"/>
  <c r="G33" i="5"/>
  <c r="I33" i="5"/>
  <c r="M33" i="5"/>
  <c r="P33" i="5"/>
  <c r="S33" i="5"/>
  <c r="V33" i="5"/>
  <c r="I34" i="5"/>
  <c r="I35" i="5"/>
  <c r="I36" i="5"/>
  <c r="I37" i="5"/>
  <c r="I38" i="5"/>
  <c r="I39" i="5"/>
  <c r="B12" i="5"/>
  <c r="G12" i="5"/>
  <c r="I6" i="39" s="1"/>
  <c r="I12" i="5"/>
  <c r="M12" i="5"/>
  <c r="I8" i="39" s="1"/>
  <c r="P12" i="5"/>
  <c r="I9" i="39" s="1"/>
  <c r="S12" i="5"/>
  <c r="I10" i="39" s="1"/>
  <c r="V12" i="5"/>
  <c r="I13" i="5"/>
  <c r="I14" i="5"/>
  <c r="I15" i="5"/>
  <c r="I16" i="5"/>
  <c r="I17" i="5"/>
  <c r="I18" i="5"/>
  <c r="B19" i="5"/>
  <c r="B26" i="5" s="1"/>
  <c r="B33" i="5" s="1"/>
  <c r="G19" i="5"/>
  <c r="I19" i="5"/>
  <c r="M19" i="5"/>
  <c r="P19" i="5"/>
  <c r="S19" i="5"/>
  <c r="V19" i="5"/>
  <c r="I20" i="5"/>
  <c r="I21" i="5"/>
  <c r="J19" i="5" s="1"/>
  <c r="I22" i="5"/>
  <c r="I23" i="5"/>
  <c r="I24" i="5"/>
  <c r="I25" i="5"/>
  <c r="G26" i="5"/>
  <c r="I26" i="5"/>
  <c r="M26" i="5"/>
  <c r="P26" i="5"/>
  <c r="S26" i="5"/>
  <c r="V26" i="5"/>
  <c r="I27" i="5"/>
  <c r="I28" i="5"/>
  <c r="I29" i="5"/>
  <c r="I30" i="5"/>
  <c r="I31" i="5"/>
  <c r="I32" i="5"/>
  <c r="E6" i="39"/>
  <c r="T6" i="3"/>
  <c r="E10" i="39" s="1"/>
  <c r="N6" i="3"/>
  <c r="E8" i="39" s="1"/>
  <c r="K6" i="3"/>
  <c r="E7" i="39" s="1"/>
  <c r="G12" i="3"/>
  <c r="G26" i="3"/>
  <c r="J26" i="3"/>
  <c r="M26" i="3"/>
  <c r="O26" i="3"/>
  <c r="P26" i="3"/>
  <c r="S26" i="3"/>
  <c r="V26" i="3" s="1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O33" i="3"/>
  <c r="P33" i="3"/>
  <c r="S33" i="3"/>
  <c r="U33" i="3"/>
  <c r="V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J19" i="3"/>
  <c r="M19" i="3"/>
  <c r="P19" i="3" s="1"/>
  <c r="O19" i="3"/>
  <c r="S19" i="3"/>
  <c r="U19" i="3"/>
  <c r="V19" i="3"/>
  <c r="O20" i="3"/>
  <c r="U20" i="3"/>
  <c r="O21" i="3"/>
  <c r="U21" i="3"/>
  <c r="O22" i="3"/>
  <c r="U22" i="3"/>
  <c r="O23" i="3"/>
  <c r="U23" i="3"/>
  <c r="O24" i="3"/>
  <c r="U24" i="3"/>
  <c r="O25" i="3"/>
  <c r="U25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S12" i="3"/>
  <c r="B10" i="39" s="1"/>
  <c r="O12" i="3"/>
  <c r="M12" i="3"/>
  <c r="B8" i="39" s="1"/>
  <c r="J12" i="3"/>
  <c r="B7" i="39" s="1"/>
  <c r="G5" i="3"/>
  <c r="B12" i="3"/>
  <c r="B19" i="3" s="1"/>
  <c r="B26" i="3" s="1"/>
  <c r="B33" i="3" s="1"/>
  <c r="J5" i="3"/>
  <c r="M5" i="3"/>
  <c r="O5" i="3"/>
  <c r="S5" i="3"/>
  <c r="V5" i="3" s="1"/>
  <c r="U5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O6" i="3"/>
  <c r="U6" i="3"/>
  <c r="O7" i="3"/>
  <c r="U7" i="3"/>
  <c r="O8" i="3"/>
  <c r="U8" i="3"/>
  <c r="O9" i="3"/>
  <c r="U9" i="3"/>
  <c r="O10" i="3"/>
  <c r="U10" i="3"/>
  <c r="O11" i="3"/>
  <c r="U11" i="3"/>
  <c r="V12" i="3" l="1"/>
  <c r="B11" i="39" s="1"/>
  <c r="B6" i="39"/>
  <c r="J33" i="5"/>
  <c r="P5" i="3"/>
  <c r="J12" i="5"/>
  <c r="I7" i="39" s="1"/>
  <c r="J26" i="5"/>
  <c r="Q6" i="3"/>
  <c r="E9" i="39" s="1"/>
  <c r="W6" i="3"/>
  <c r="E11" i="39" s="1"/>
  <c r="P12" i="3"/>
  <c r="B9" i="39" s="1"/>
  <c r="M26" i="58" l="1"/>
  <c r="M27" i="58"/>
  <c r="M28" i="58"/>
  <c r="M29" i="58"/>
  <c r="H23" i="13" l="1"/>
  <c r="H22" i="13"/>
  <c r="H21" i="13"/>
  <c r="H20" i="13"/>
  <c r="H18" i="13"/>
  <c r="H17" i="13"/>
  <c r="B23" i="13"/>
  <c r="B22" i="13"/>
  <c r="B21" i="13"/>
  <c r="B20" i="13"/>
  <c r="B18" i="13"/>
  <c r="B17" i="13"/>
  <c r="U5" i="5" l="1"/>
  <c r="B9" i="40" l="1"/>
  <c r="M135" i="20" l="1"/>
  <c r="M136" i="20"/>
  <c r="M137" i="20"/>
  <c r="B8" i="25" l="1"/>
  <c r="A8" i="25"/>
  <c r="M62" i="20" l="1"/>
  <c r="M63" i="20"/>
  <c r="M64" i="20"/>
  <c r="M65" i="20"/>
  <c r="M98" i="20"/>
  <c r="M99" i="20"/>
  <c r="M100" i="20"/>
  <c r="M101" i="20"/>
  <c r="M30" i="62" l="1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14" i="62" s="1"/>
  <c r="M9" i="62"/>
  <c r="M35" i="20"/>
  <c r="M34" i="20"/>
  <c r="M33" i="20"/>
  <c r="M38" i="20" s="1"/>
  <c r="M26" i="20"/>
  <c r="M25" i="20"/>
  <c r="M30" i="20" s="1"/>
  <c r="M21" i="20"/>
  <c r="M20" i="20"/>
  <c r="M19" i="20"/>
  <c r="M18" i="20"/>
  <c r="M17" i="20"/>
  <c r="M22" i="20" s="1"/>
  <c r="M13" i="20"/>
  <c r="M12" i="20"/>
  <c r="M14" i="20" s="1"/>
  <c r="M11" i="20"/>
  <c r="M10" i="20"/>
  <c r="M9" i="20"/>
  <c r="M29" i="19"/>
  <c r="M28" i="19"/>
  <c r="M27" i="19"/>
  <c r="M26" i="19"/>
  <c r="M25" i="19"/>
  <c r="M30" i="19" s="1"/>
  <c r="M21" i="19"/>
  <c r="M22" i="19" s="1"/>
  <c r="M20" i="19"/>
  <c r="M19" i="19"/>
  <c r="M18" i="19"/>
  <c r="M17" i="19"/>
  <c r="M13" i="19"/>
  <c r="M12" i="19"/>
  <c r="M11" i="19"/>
  <c r="M10" i="19"/>
  <c r="M14" i="19" s="1"/>
  <c r="M9" i="19"/>
  <c r="M37" i="19"/>
  <c r="M42" i="19" s="1"/>
  <c r="M38" i="19"/>
  <c r="M39" i="19"/>
  <c r="M40" i="19"/>
  <c r="M41" i="19"/>
  <c r="M45" i="19"/>
  <c r="M46" i="19"/>
  <c r="M47" i="19"/>
  <c r="M48" i="19"/>
  <c r="M49" i="19"/>
  <c r="M50" i="19"/>
  <c r="M53" i="19"/>
  <c r="M54" i="19"/>
  <c r="M55" i="19"/>
  <c r="M56" i="19"/>
  <c r="M57" i="19"/>
  <c r="M65" i="19"/>
  <c r="M66" i="19"/>
  <c r="M67" i="19"/>
  <c r="M68" i="19"/>
  <c r="M69" i="19"/>
  <c r="M73" i="19"/>
  <c r="M74" i="19"/>
  <c r="M75" i="19"/>
  <c r="M76" i="19"/>
  <c r="M77" i="19"/>
  <c r="M78" i="19"/>
  <c r="M81" i="19"/>
  <c r="M82" i="19"/>
  <c r="M83" i="19"/>
  <c r="M84" i="19"/>
  <c r="M85" i="19"/>
  <c r="M93" i="19"/>
  <c r="M94" i="19"/>
  <c r="M95" i="19"/>
  <c r="M96" i="19"/>
  <c r="M97" i="19"/>
  <c r="M101" i="19"/>
  <c r="M102" i="19"/>
  <c r="M103" i="19"/>
  <c r="M104" i="19"/>
  <c r="M105" i="19"/>
  <c r="M106" i="19"/>
  <c r="M109" i="19"/>
  <c r="M110" i="19"/>
  <c r="M111" i="19"/>
  <c r="M112" i="19"/>
  <c r="M113" i="19"/>
  <c r="M70" i="19" l="1"/>
  <c r="M114" i="19"/>
  <c r="M98" i="19"/>
  <c r="M86" i="19"/>
  <c r="M58" i="19"/>
  <c r="K106" i="19" l="1"/>
  <c r="S114" i="66"/>
  <c r="R114" i="66"/>
  <c r="O114" i="66"/>
  <c r="T114" i="66" s="1"/>
  <c r="N114" i="66"/>
  <c r="L114" i="66"/>
  <c r="J114" i="66"/>
  <c r="S113" i="66"/>
  <c r="R113" i="66"/>
  <c r="O113" i="66"/>
  <c r="T113" i="66" s="1"/>
  <c r="N113" i="66"/>
  <c r="L113" i="66"/>
  <c r="J113" i="66"/>
  <c r="S112" i="66"/>
  <c r="R112" i="66"/>
  <c r="O112" i="66"/>
  <c r="T112" i="66" s="1"/>
  <c r="N112" i="66"/>
  <c r="L112" i="66"/>
  <c r="J112" i="66"/>
  <c r="S111" i="66"/>
  <c r="R111" i="66"/>
  <c r="O111" i="66"/>
  <c r="T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N108" i="66"/>
  <c r="L108" i="66"/>
  <c r="J108" i="66"/>
  <c r="S107" i="66"/>
  <c r="R107" i="66"/>
  <c r="O107" i="66"/>
  <c r="T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N105" i="66"/>
  <c r="L105" i="66"/>
  <c r="J105" i="66"/>
  <c r="S104" i="66"/>
  <c r="R104" i="66"/>
  <c r="O104" i="66"/>
  <c r="T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T102" i="66" s="1"/>
  <c r="N102" i="66"/>
  <c r="L102" i="66"/>
  <c r="J102" i="66"/>
  <c r="S101" i="66"/>
  <c r="R101" i="66"/>
  <c r="O101" i="66"/>
  <c r="T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T98" i="66" s="1"/>
  <c r="N98" i="66"/>
  <c r="L98" i="66"/>
  <c r="J98" i="66"/>
  <c r="S97" i="66"/>
  <c r="R97" i="66"/>
  <c r="O97" i="66"/>
  <c r="T97" i="66" s="1"/>
  <c r="N97" i="66"/>
  <c r="L97" i="66"/>
  <c r="J97" i="66"/>
  <c r="S96" i="66"/>
  <c r="R96" i="66"/>
  <c r="O96" i="66"/>
  <c r="T96" i="66" s="1"/>
  <c r="N96" i="66"/>
  <c r="L96" i="66"/>
  <c r="J96" i="66"/>
  <c r="S95" i="66"/>
  <c r="R95" i="66"/>
  <c r="O95" i="66"/>
  <c r="T95" i="66" s="1"/>
  <c r="N95" i="66"/>
  <c r="L95" i="66"/>
  <c r="J95" i="66"/>
  <c r="S92" i="66"/>
  <c r="R92" i="66"/>
  <c r="O92" i="66"/>
  <c r="T92" i="66" s="1"/>
  <c r="N92" i="66"/>
  <c r="L92" i="66"/>
  <c r="J92" i="66"/>
  <c r="S91" i="66"/>
  <c r="R91" i="66"/>
  <c r="O91" i="66"/>
  <c r="T91" i="66" s="1"/>
  <c r="N91" i="66"/>
  <c r="L91" i="66"/>
  <c r="J91" i="66"/>
  <c r="S90" i="66"/>
  <c r="R90" i="66"/>
  <c r="O90" i="66"/>
  <c r="T90" i="66" s="1"/>
  <c r="N90" i="66"/>
  <c r="L90" i="66"/>
  <c r="J90" i="66"/>
  <c r="S89" i="66"/>
  <c r="R89" i="66"/>
  <c r="O89" i="66"/>
  <c r="T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T84" i="66" s="1"/>
  <c r="N84" i="66"/>
  <c r="L84" i="66"/>
  <c r="J84" i="66"/>
  <c r="S83" i="66"/>
  <c r="R83" i="66"/>
  <c r="O83" i="66"/>
  <c r="T83" i="66" s="1"/>
  <c r="N83" i="66"/>
  <c r="L83" i="66"/>
  <c r="J83" i="66"/>
  <c r="S82" i="66"/>
  <c r="R82" i="66"/>
  <c r="O82" i="66"/>
  <c r="T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T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P74" i="66" s="1"/>
  <c r="N74" i="66"/>
  <c r="L74" i="66"/>
  <c r="J74" i="66"/>
  <c r="S73" i="66"/>
  <c r="R73" i="66"/>
  <c r="O73" i="66"/>
  <c r="T73" i="66" s="1"/>
  <c r="N73" i="66"/>
  <c r="L73" i="66"/>
  <c r="J73" i="66"/>
  <c r="S70" i="66"/>
  <c r="R70" i="66"/>
  <c r="O70" i="66"/>
  <c r="T70" i="66" s="1"/>
  <c r="N70" i="66"/>
  <c r="L70" i="66"/>
  <c r="J70" i="66"/>
  <c r="S69" i="66"/>
  <c r="R69" i="66"/>
  <c r="O69" i="66"/>
  <c r="T69" i="66" s="1"/>
  <c r="N69" i="66"/>
  <c r="L69" i="66"/>
  <c r="J69" i="66"/>
  <c r="S68" i="66"/>
  <c r="R68" i="66"/>
  <c r="O68" i="66"/>
  <c r="T68" i="66" s="1"/>
  <c r="N68" i="66"/>
  <c r="L68" i="66"/>
  <c r="J68" i="66"/>
  <c r="S67" i="66"/>
  <c r="R67" i="66"/>
  <c r="O67" i="66"/>
  <c r="T67" i="66" s="1"/>
  <c r="N67" i="66"/>
  <c r="L67" i="66"/>
  <c r="J67" i="66"/>
  <c r="S66" i="66"/>
  <c r="R66" i="66"/>
  <c r="O66" i="66"/>
  <c r="T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N64" i="66"/>
  <c r="L64" i="66"/>
  <c r="J64" i="66"/>
  <c r="S63" i="66"/>
  <c r="R63" i="66"/>
  <c r="O63" i="66"/>
  <c r="T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T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T58" i="66" s="1"/>
  <c r="N58" i="66"/>
  <c r="L58" i="66"/>
  <c r="J58" i="66"/>
  <c r="S57" i="66"/>
  <c r="R57" i="66"/>
  <c r="O57" i="66"/>
  <c r="T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T54" i="66" s="1"/>
  <c r="N54" i="66"/>
  <c r="L54" i="66"/>
  <c r="J54" i="66"/>
  <c r="S53" i="66"/>
  <c r="R53" i="66"/>
  <c r="O53" i="66"/>
  <c r="T53" i="66" s="1"/>
  <c r="N53" i="66"/>
  <c r="L53" i="66"/>
  <c r="J53" i="66"/>
  <c r="S52" i="66"/>
  <c r="R52" i="66"/>
  <c r="O52" i="66"/>
  <c r="T52" i="66" s="1"/>
  <c r="N52" i="66"/>
  <c r="L52" i="66"/>
  <c r="J52" i="66"/>
  <c r="S51" i="66"/>
  <c r="R51" i="66"/>
  <c r="O51" i="66"/>
  <c r="T51" i="66" s="1"/>
  <c r="N51" i="66"/>
  <c r="L51" i="66"/>
  <c r="J51" i="66"/>
  <c r="S26" i="66"/>
  <c r="R26" i="66"/>
  <c r="O26" i="66"/>
  <c r="T26" i="66" s="1"/>
  <c r="U26" i="66" s="1"/>
  <c r="N26" i="66"/>
  <c r="L26" i="66"/>
  <c r="J26" i="66"/>
  <c r="S25" i="66"/>
  <c r="R25" i="66"/>
  <c r="O25" i="66"/>
  <c r="T25" i="66" s="1"/>
  <c r="U25" i="66" s="1"/>
  <c r="N25" i="66"/>
  <c r="L25" i="66"/>
  <c r="J25" i="66"/>
  <c r="S24" i="66"/>
  <c r="R24" i="66"/>
  <c r="O24" i="66"/>
  <c r="P24" i="66" s="1"/>
  <c r="N24" i="66"/>
  <c r="L24" i="66"/>
  <c r="J24" i="66"/>
  <c r="S23" i="66"/>
  <c r="R23" i="66"/>
  <c r="O23" i="66"/>
  <c r="P23" i="66" s="1"/>
  <c r="N23" i="66"/>
  <c r="L23" i="66"/>
  <c r="J23" i="66"/>
  <c r="S22" i="66"/>
  <c r="R22" i="66"/>
  <c r="O22" i="66"/>
  <c r="P22" i="66" s="1"/>
  <c r="N22" i="66"/>
  <c r="L22" i="66"/>
  <c r="J22" i="66"/>
  <c r="S21" i="66"/>
  <c r="R21" i="66"/>
  <c r="O21" i="66"/>
  <c r="T21" i="66" s="1"/>
  <c r="N21" i="66"/>
  <c r="L21" i="66"/>
  <c r="J21" i="66"/>
  <c r="S20" i="66"/>
  <c r="R20" i="66"/>
  <c r="O20" i="66"/>
  <c r="T20" i="66" s="1"/>
  <c r="N20" i="66"/>
  <c r="L20" i="66"/>
  <c r="J20" i="66"/>
  <c r="S19" i="66"/>
  <c r="R19" i="66"/>
  <c r="O19" i="66"/>
  <c r="T19" i="66" s="1"/>
  <c r="N19" i="66"/>
  <c r="L19" i="66"/>
  <c r="J19" i="66"/>
  <c r="S18" i="66"/>
  <c r="R18" i="66"/>
  <c r="O18" i="66"/>
  <c r="T18" i="66" s="1"/>
  <c r="N18" i="66"/>
  <c r="L18" i="66"/>
  <c r="J18" i="66"/>
  <c r="S17" i="66"/>
  <c r="R17" i="66"/>
  <c r="O17" i="66"/>
  <c r="T17" i="66" s="1"/>
  <c r="N17" i="66"/>
  <c r="L17" i="66"/>
  <c r="J17" i="66"/>
  <c r="S16" i="66"/>
  <c r="R16" i="66"/>
  <c r="O16" i="66"/>
  <c r="T16" i="66" s="1"/>
  <c r="N16" i="66"/>
  <c r="L16" i="66"/>
  <c r="J16" i="66"/>
  <c r="S15" i="66"/>
  <c r="R15" i="66"/>
  <c r="O15" i="66"/>
  <c r="T15" i="66" s="1"/>
  <c r="N15" i="66"/>
  <c r="L15" i="66"/>
  <c r="J15" i="66"/>
  <c r="S14" i="66"/>
  <c r="R14" i="66"/>
  <c r="O14" i="66"/>
  <c r="T14" i="66" s="1"/>
  <c r="N14" i="66"/>
  <c r="L14" i="66"/>
  <c r="J14" i="66"/>
  <c r="S13" i="66"/>
  <c r="R13" i="66"/>
  <c r="O13" i="66"/>
  <c r="P13" i="66" s="1"/>
  <c r="N13" i="66"/>
  <c r="L13" i="66"/>
  <c r="J13" i="66"/>
  <c r="S12" i="66"/>
  <c r="R12" i="66"/>
  <c r="O12" i="66"/>
  <c r="T12" i="66" s="1"/>
  <c r="N12" i="66"/>
  <c r="L12" i="66"/>
  <c r="J12" i="66"/>
  <c r="S11" i="66"/>
  <c r="R11" i="66"/>
  <c r="O11" i="66"/>
  <c r="T11" i="66" s="1"/>
  <c r="N11" i="66"/>
  <c r="L11" i="66"/>
  <c r="J11" i="66"/>
  <c r="S10" i="66"/>
  <c r="R10" i="66"/>
  <c r="O10" i="66"/>
  <c r="T10" i="66" s="1"/>
  <c r="N10" i="66"/>
  <c r="L10" i="66"/>
  <c r="J10" i="66"/>
  <c r="S9" i="66"/>
  <c r="R9" i="66"/>
  <c r="O9" i="66"/>
  <c r="P9" i="66" s="1"/>
  <c r="N9" i="66"/>
  <c r="L9" i="66"/>
  <c r="J9" i="66"/>
  <c r="S8" i="66"/>
  <c r="R8" i="66"/>
  <c r="O8" i="66"/>
  <c r="P8" i="66" s="1"/>
  <c r="N8" i="66"/>
  <c r="L8" i="66"/>
  <c r="J8" i="66"/>
  <c r="S7" i="66"/>
  <c r="R7" i="66"/>
  <c r="O7" i="66"/>
  <c r="T7" i="66" s="1"/>
  <c r="L7" i="66"/>
  <c r="J7" i="66"/>
  <c r="T23" i="66" l="1"/>
  <c r="U15" i="66"/>
  <c r="U12" i="66"/>
  <c r="T9" i="66"/>
  <c r="U23" i="66"/>
  <c r="U19" i="66"/>
  <c r="U10" i="66"/>
  <c r="U17" i="66"/>
  <c r="U16" i="66"/>
  <c r="U7" i="66"/>
  <c r="P10" i="66"/>
  <c r="T13" i="66"/>
  <c r="U20" i="66"/>
  <c r="U11" i="66"/>
  <c r="U14" i="66"/>
  <c r="P11" i="66"/>
  <c r="U21" i="66"/>
  <c r="U18" i="66"/>
  <c r="T22" i="66"/>
  <c r="P20" i="66"/>
  <c r="T8" i="66"/>
  <c r="P18" i="66"/>
  <c r="P21" i="66"/>
  <c r="P7" i="66"/>
  <c r="P16" i="66"/>
  <c r="P64" i="66"/>
  <c r="P56" i="66"/>
  <c r="P66" i="66"/>
  <c r="P60" i="66"/>
  <c r="P54" i="66"/>
  <c r="P70" i="66"/>
  <c r="P58" i="66"/>
  <c r="P52" i="66"/>
  <c r="P68" i="66"/>
  <c r="P62" i="66"/>
  <c r="K78" i="19"/>
  <c r="K70" i="19"/>
  <c r="K134" i="19"/>
  <c r="K38" i="20"/>
  <c r="K114" i="19"/>
  <c r="K98" i="19"/>
  <c r="K86" i="19"/>
  <c r="K30" i="19"/>
  <c r="K22" i="19"/>
  <c r="K14" i="19"/>
  <c r="K14" i="20"/>
  <c r="K30" i="20"/>
  <c r="K22" i="20"/>
  <c r="K50" i="19"/>
  <c r="K42" i="19"/>
  <c r="K58" i="19"/>
  <c r="U108" i="66"/>
  <c r="F108" i="66"/>
  <c r="U95" i="66"/>
  <c r="F95" i="66"/>
  <c r="U105" i="66"/>
  <c r="F105" i="66"/>
  <c r="U102" i="66"/>
  <c r="F102" i="66"/>
  <c r="U112" i="66"/>
  <c r="F112" i="66"/>
  <c r="U99" i="66"/>
  <c r="F99" i="66"/>
  <c r="U109" i="66"/>
  <c r="F109" i="66"/>
  <c r="U98" i="66"/>
  <c r="F98" i="66"/>
  <c r="U96" i="66"/>
  <c r="F96" i="66"/>
  <c r="U106" i="66"/>
  <c r="F106" i="66"/>
  <c r="U103" i="66"/>
  <c r="F103" i="66"/>
  <c r="U113" i="66"/>
  <c r="F113" i="66"/>
  <c r="U100" i="66"/>
  <c r="F100" i="66"/>
  <c r="U110" i="66"/>
  <c r="F110" i="66"/>
  <c r="U97" i="66"/>
  <c r="F97" i="66"/>
  <c r="U107" i="66"/>
  <c r="F107" i="66"/>
  <c r="U104" i="66"/>
  <c r="F104" i="66"/>
  <c r="U114" i="66"/>
  <c r="F114" i="66"/>
  <c r="U101" i="66"/>
  <c r="F101" i="66"/>
  <c r="U111" i="66"/>
  <c r="F111" i="66"/>
  <c r="P95" i="66"/>
  <c r="P97" i="66"/>
  <c r="P99" i="66"/>
  <c r="P101" i="66"/>
  <c r="P103" i="66"/>
  <c r="P105" i="66"/>
  <c r="P107" i="66"/>
  <c r="P109" i="66"/>
  <c r="P111" i="66"/>
  <c r="P113" i="66"/>
  <c r="P96" i="66"/>
  <c r="P98" i="66"/>
  <c r="P100" i="66"/>
  <c r="P102" i="66"/>
  <c r="P104" i="66"/>
  <c r="P106" i="66"/>
  <c r="P108" i="66"/>
  <c r="P110" i="66"/>
  <c r="P112" i="66"/>
  <c r="P114" i="66"/>
  <c r="U76" i="66"/>
  <c r="F76" i="66"/>
  <c r="U86" i="66"/>
  <c r="F86" i="66"/>
  <c r="U73" i="66"/>
  <c r="F73" i="66"/>
  <c r="U83" i="66"/>
  <c r="F83" i="66"/>
  <c r="U90" i="66"/>
  <c r="F90" i="66"/>
  <c r="U77" i="66"/>
  <c r="F77" i="66"/>
  <c r="U87" i="66"/>
  <c r="F87" i="66"/>
  <c r="U84" i="66"/>
  <c r="F84" i="66"/>
  <c r="U81" i="66"/>
  <c r="F81" i="66"/>
  <c r="U91" i="66"/>
  <c r="F91" i="66"/>
  <c r="U78" i="66"/>
  <c r="F78" i="66"/>
  <c r="U75" i="66"/>
  <c r="F75" i="66"/>
  <c r="U85" i="66"/>
  <c r="F85" i="66"/>
  <c r="U82" i="66"/>
  <c r="F82" i="66"/>
  <c r="U92" i="66"/>
  <c r="F92" i="66"/>
  <c r="U79" i="66"/>
  <c r="F79" i="66"/>
  <c r="U89" i="66"/>
  <c r="F89" i="66"/>
  <c r="P73" i="66"/>
  <c r="P75" i="66"/>
  <c r="P77" i="66"/>
  <c r="P79" i="66"/>
  <c r="P81" i="66"/>
  <c r="P83" i="66"/>
  <c r="P85" i="66"/>
  <c r="P87" i="66"/>
  <c r="P89" i="66"/>
  <c r="P91" i="66"/>
  <c r="P92" i="66"/>
  <c r="P76" i="66"/>
  <c r="P82" i="66"/>
  <c r="P86" i="66"/>
  <c r="P78" i="66"/>
  <c r="P84" i="66"/>
  <c r="P90" i="66"/>
  <c r="T74" i="66"/>
  <c r="T80" i="66"/>
  <c r="T88" i="66"/>
  <c r="U68" i="66"/>
  <c r="F68" i="66"/>
  <c r="U62" i="66"/>
  <c r="F62" i="66"/>
  <c r="U65" i="66"/>
  <c r="F65" i="66"/>
  <c r="U56" i="66"/>
  <c r="F56" i="66"/>
  <c r="U59" i="66"/>
  <c r="F59" i="66"/>
  <c r="U53" i="66"/>
  <c r="F53" i="66"/>
  <c r="U66" i="66"/>
  <c r="F66" i="66"/>
  <c r="U69" i="66"/>
  <c r="F69" i="66"/>
  <c r="U60" i="66"/>
  <c r="F60" i="66"/>
  <c r="U63" i="66"/>
  <c r="F63" i="66"/>
  <c r="U54" i="66"/>
  <c r="F54" i="66"/>
  <c r="U57" i="66"/>
  <c r="F57" i="66"/>
  <c r="U51" i="66"/>
  <c r="F51" i="66"/>
  <c r="U70" i="66"/>
  <c r="F70" i="66"/>
  <c r="U64" i="66"/>
  <c r="F64" i="66"/>
  <c r="U67" i="66"/>
  <c r="F67" i="66"/>
  <c r="U58" i="66"/>
  <c r="F58" i="66"/>
  <c r="U61" i="66"/>
  <c r="F61" i="66"/>
  <c r="U52" i="66"/>
  <c r="F52" i="66"/>
  <c r="U55" i="66"/>
  <c r="F55" i="66"/>
  <c r="P51" i="66"/>
  <c r="P53" i="66"/>
  <c r="P55" i="66"/>
  <c r="P57" i="66"/>
  <c r="P59" i="66"/>
  <c r="P61" i="66"/>
  <c r="P63" i="66"/>
  <c r="P65" i="66"/>
  <c r="P67" i="66"/>
  <c r="P69" i="66"/>
  <c r="T24" i="66"/>
  <c r="P25" i="66"/>
  <c r="P14" i="66"/>
  <c r="P12" i="66"/>
  <c r="P19" i="66"/>
  <c r="P17" i="66"/>
  <c r="P26" i="66"/>
  <c r="P15" i="66"/>
  <c r="U13" i="66" l="1"/>
  <c r="U22" i="66"/>
  <c r="U9" i="66"/>
  <c r="U24" i="66"/>
  <c r="U8" i="66"/>
  <c r="K30" i="62"/>
  <c r="K22" i="62"/>
  <c r="K14" i="62"/>
  <c r="K30" i="61"/>
  <c r="K22" i="61"/>
  <c r="K14" i="61"/>
  <c r="U88" i="66"/>
  <c r="F88" i="66"/>
  <c r="U80" i="66"/>
  <c r="F80" i="66"/>
  <c r="U74" i="66"/>
  <c r="F74" i="66"/>
  <c r="G5" i="5" l="1"/>
  <c r="I5" i="5"/>
  <c r="M5" i="5"/>
  <c r="P5" i="5"/>
  <c r="S5" i="5"/>
  <c r="V5" i="5"/>
  <c r="I6" i="5"/>
  <c r="K6" i="5" s="1"/>
  <c r="K7" i="39" s="1"/>
  <c r="I7" i="5"/>
  <c r="I8" i="5"/>
  <c r="I9" i="5"/>
  <c r="I10" i="5"/>
  <c r="I11" i="5"/>
  <c r="I10" i="13" l="1"/>
  <c r="I9" i="13"/>
  <c r="I8" i="13"/>
  <c r="I6" i="13"/>
  <c r="J5" i="5"/>
  <c r="P15" i="65" l="1"/>
  <c r="K11" i="13" s="1"/>
  <c r="B7" i="13" l="1"/>
  <c r="B6" i="13"/>
  <c r="M170" i="20"/>
  <c r="AM98" i="66" l="1"/>
  <c r="AL98" i="66"/>
  <c r="AK98" i="66"/>
  <c r="AJ98" i="66"/>
  <c r="AI98" i="66"/>
  <c r="AH98" i="66"/>
  <c r="AG98" i="66"/>
  <c r="AM97" i="66"/>
  <c r="AL97" i="66"/>
  <c r="AK97" i="66"/>
  <c r="AJ97" i="66"/>
  <c r="AI97" i="66"/>
  <c r="AH97" i="66"/>
  <c r="AG97" i="66"/>
  <c r="AF97" i="66"/>
  <c r="AM76" i="66"/>
  <c r="AL76" i="66"/>
  <c r="AK76" i="66"/>
  <c r="AJ76" i="66"/>
  <c r="AI76" i="66"/>
  <c r="AH76" i="66"/>
  <c r="AG76" i="66"/>
  <c r="AM75" i="66"/>
  <c r="AL75" i="66"/>
  <c r="AK75" i="66"/>
  <c r="AJ75" i="66"/>
  <c r="AI75" i="66"/>
  <c r="AH75" i="66"/>
  <c r="AG75" i="66"/>
  <c r="AF75" i="66"/>
  <c r="AM54" i="66"/>
  <c r="AL54" i="66"/>
  <c r="AK54" i="66"/>
  <c r="AJ54" i="66"/>
  <c r="AI54" i="66"/>
  <c r="AH54" i="66"/>
  <c r="AG54" i="66"/>
  <c r="AM53" i="66"/>
  <c r="AM55" i="66" s="1"/>
  <c r="AL53" i="66"/>
  <c r="AL55" i="66" s="1"/>
  <c r="AK53" i="66"/>
  <c r="AK55" i="66" s="1"/>
  <c r="AJ53" i="66"/>
  <c r="AI53" i="66"/>
  <c r="AH53" i="66"/>
  <c r="AG53" i="66"/>
  <c r="AF53" i="66"/>
  <c r="S48" i="66"/>
  <c r="R48" i="66"/>
  <c r="O48" i="66"/>
  <c r="N48" i="66"/>
  <c r="L48" i="66"/>
  <c r="J48" i="66"/>
  <c r="S47" i="66"/>
  <c r="R47" i="66"/>
  <c r="O47" i="66"/>
  <c r="P47" i="66" s="1"/>
  <c r="N47" i="66"/>
  <c r="L47" i="66"/>
  <c r="J47" i="66"/>
  <c r="S46" i="66"/>
  <c r="R46" i="66"/>
  <c r="O46" i="66"/>
  <c r="N46" i="66"/>
  <c r="L46" i="66"/>
  <c r="J46" i="66"/>
  <c r="S45" i="66"/>
  <c r="R45" i="66"/>
  <c r="O45" i="66"/>
  <c r="P45" i="66" s="1"/>
  <c r="N45" i="66"/>
  <c r="L45" i="66"/>
  <c r="J45" i="66"/>
  <c r="S44" i="66"/>
  <c r="R44" i="66"/>
  <c r="O44" i="66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N40" i="66"/>
  <c r="L40" i="66"/>
  <c r="J40" i="66"/>
  <c r="S39" i="66"/>
  <c r="R39" i="66"/>
  <c r="O39" i="66"/>
  <c r="P39" i="66" s="1"/>
  <c r="N39" i="66"/>
  <c r="L39" i="66"/>
  <c r="J39" i="66"/>
  <c r="S38" i="66"/>
  <c r="R38" i="66"/>
  <c r="O38" i="66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N36" i="66"/>
  <c r="L36" i="66"/>
  <c r="J36" i="66"/>
  <c r="S35" i="66"/>
  <c r="R35" i="66"/>
  <c r="O35" i="66"/>
  <c r="P35" i="66" s="1"/>
  <c r="N35" i="66"/>
  <c r="L35" i="66"/>
  <c r="J35" i="66"/>
  <c r="S34" i="66"/>
  <c r="R34" i="66"/>
  <c r="O34" i="66"/>
  <c r="N34" i="66"/>
  <c r="L34" i="66"/>
  <c r="J34" i="66"/>
  <c r="S33" i="66"/>
  <c r="R33" i="66"/>
  <c r="O33" i="66"/>
  <c r="P33" i="66" s="1"/>
  <c r="N33" i="66"/>
  <c r="L33" i="66"/>
  <c r="J33" i="66"/>
  <c r="AM32" i="66"/>
  <c r="AI32" i="66"/>
  <c r="AH32" i="66"/>
  <c r="AG32" i="66"/>
  <c r="S32" i="66"/>
  <c r="R32" i="66"/>
  <c r="O32" i="66"/>
  <c r="P32" i="66" s="1"/>
  <c r="N32" i="66"/>
  <c r="L32" i="66"/>
  <c r="J32" i="66"/>
  <c r="AM31" i="66"/>
  <c r="AL31" i="66"/>
  <c r="AK31" i="66"/>
  <c r="AJ31" i="66"/>
  <c r="AI31" i="66"/>
  <c r="AH31" i="66"/>
  <c r="AG31" i="66"/>
  <c r="AF31" i="66"/>
  <c r="S31" i="66"/>
  <c r="R31" i="66"/>
  <c r="O31" i="66"/>
  <c r="P31" i="66" s="1"/>
  <c r="N31" i="66"/>
  <c r="L31" i="66"/>
  <c r="J31" i="66"/>
  <c r="S30" i="66"/>
  <c r="R30" i="66"/>
  <c r="O30" i="66"/>
  <c r="T30" i="66" s="1"/>
  <c r="U30" i="66" s="1"/>
  <c r="N30" i="66"/>
  <c r="L30" i="66"/>
  <c r="J30" i="66"/>
  <c r="S29" i="66"/>
  <c r="R29" i="66"/>
  <c r="O29" i="66"/>
  <c r="P29" i="66" s="1"/>
  <c r="N29" i="66"/>
  <c r="L29" i="66"/>
  <c r="J29" i="66"/>
  <c r="AM8" i="66"/>
  <c r="AL8" i="66"/>
  <c r="AK8" i="66"/>
  <c r="AJ8" i="66"/>
  <c r="AI8" i="66"/>
  <c r="AH8" i="66"/>
  <c r="AG8" i="66"/>
  <c r="AM7" i="66"/>
  <c r="AL7" i="66"/>
  <c r="AK7" i="66"/>
  <c r="AJ7" i="66"/>
  <c r="AI7" i="66"/>
  <c r="AH7" i="66"/>
  <c r="AG7" i="66"/>
  <c r="AF7" i="66"/>
  <c r="AM99" i="66" l="1"/>
  <c r="AJ77" i="66"/>
  <c r="AG9" i="66"/>
  <c r="AK99" i="66"/>
  <c r="AI33" i="66"/>
  <c r="AL33" i="66"/>
  <c r="F30" i="66"/>
  <c r="AH9" i="66"/>
  <c r="AG77" i="66"/>
  <c r="AL99" i="66"/>
  <c r="AK77" i="66"/>
  <c r="AG55" i="66"/>
  <c r="AL77" i="66"/>
  <c r="AH55" i="66"/>
  <c r="AM77" i="66"/>
  <c r="AI55" i="66"/>
  <c r="AJ55" i="66"/>
  <c r="AI112" i="66"/>
  <c r="T33" i="66"/>
  <c r="T47" i="66"/>
  <c r="F47" i="66" s="1"/>
  <c r="T37" i="66"/>
  <c r="F37" i="66" s="1"/>
  <c r="T41" i="66"/>
  <c r="F41" i="66" s="1"/>
  <c r="T43" i="66"/>
  <c r="F43" i="66" s="1"/>
  <c r="T35" i="66"/>
  <c r="F35" i="66" s="1"/>
  <c r="T45" i="66"/>
  <c r="F45" i="66" s="1"/>
  <c r="T39" i="66"/>
  <c r="F39" i="66" s="1"/>
  <c r="AL9" i="66"/>
  <c r="AJ9" i="66"/>
  <c r="AM9" i="66"/>
  <c r="AK9" i="66"/>
  <c r="AF112" i="66"/>
  <c r="AK112" i="66"/>
  <c r="AM113" i="66"/>
  <c r="J15" i="40" s="1"/>
  <c r="AI9" i="66"/>
  <c r="T40" i="66"/>
  <c r="P40" i="66"/>
  <c r="AJ33" i="66"/>
  <c r="AJ112" i="66"/>
  <c r="T42" i="66"/>
  <c r="P42" i="66"/>
  <c r="AG33" i="66"/>
  <c r="AH33" i="66"/>
  <c r="AK33" i="66"/>
  <c r="AG113" i="66"/>
  <c r="F10" i="40" s="1"/>
  <c r="AM33" i="66"/>
  <c r="U43" i="66"/>
  <c r="AG99" i="66"/>
  <c r="AM112" i="66"/>
  <c r="T38" i="66"/>
  <c r="P38" i="66"/>
  <c r="T48" i="66"/>
  <c r="P48" i="66"/>
  <c r="P30" i="66"/>
  <c r="T36" i="66"/>
  <c r="P36" i="66"/>
  <c r="T46" i="66"/>
  <c r="P46" i="66"/>
  <c r="AH99" i="66"/>
  <c r="AL112" i="66"/>
  <c r="AH113" i="66"/>
  <c r="H10" i="40" s="1"/>
  <c r="T34" i="66"/>
  <c r="P34" i="66"/>
  <c r="T44" i="66"/>
  <c r="P44" i="66"/>
  <c r="AH77" i="66"/>
  <c r="AI99" i="66"/>
  <c r="AG112" i="66"/>
  <c r="AI113" i="66"/>
  <c r="AI77" i="66"/>
  <c r="AJ99" i="66"/>
  <c r="AH112" i="66"/>
  <c r="T32" i="66"/>
  <c r="T29" i="66"/>
  <c r="T31" i="66"/>
  <c r="AK114" i="66" l="1"/>
  <c r="G15" i="40" s="1"/>
  <c r="U47" i="66"/>
  <c r="AI114" i="66"/>
  <c r="K10" i="40" s="1"/>
  <c r="U41" i="66"/>
  <c r="U37" i="66"/>
  <c r="U35" i="66"/>
  <c r="AL114" i="66"/>
  <c r="I15" i="40" s="1"/>
  <c r="AG114" i="66"/>
  <c r="G10" i="40" s="1"/>
  <c r="AH114" i="66"/>
  <c r="I10" i="40" s="1"/>
  <c r="U33" i="66"/>
  <c r="F33" i="66"/>
  <c r="U39" i="66"/>
  <c r="U45" i="66"/>
  <c r="AM114" i="66"/>
  <c r="K15" i="40" s="1"/>
  <c r="AJ114" i="66"/>
  <c r="M10" i="40" s="1"/>
  <c r="U48" i="66"/>
  <c r="F48" i="66"/>
  <c r="U29" i="66"/>
  <c r="F29" i="66"/>
  <c r="AK32" i="66" s="1"/>
  <c r="U46" i="66"/>
  <c r="F46" i="66"/>
  <c r="U36" i="66"/>
  <c r="F36" i="66"/>
  <c r="F44" i="66"/>
  <c r="U44" i="66"/>
  <c r="U38" i="66"/>
  <c r="F38" i="66"/>
  <c r="F42" i="66"/>
  <c r="U42" i="66"/>
  <c r="U31" i="66"/>
  <c r="F31" i="66"/>
  <c r="U34" i="66"/>
  <c r="F34" i="66"/>
  <c r="U32" i="66"/>
  <c r="F32" i="66"/>
  <c r="F40" i="66"/>
  <c r="U40" i="66"/>
  <c r="H19" i="13"/>
  <c r="H16" i="13"/>
  <c r="H15" i="13"/>
  <c r="B19" i="13"/>
  <c r="B16" i="13"/>
  <c r="B15" i="13"/>
  <c r="AL32" i="66" l="1"/>
  <c r="AL113" i="66" s="1"/>
  <c r="H15" i="40" s="1"/>
  <c r="AK113" i="66"/>
  <c r="F15" i="40" s="1"/>
  <c r="AJ32" i="66"/>
  <c r="AJ113" i="66" l="1"/>
  <c r="L10" i="40" s="1"/>
  <c r="M97" i="62" l="1"/>
  <c r="M96" i="62"/>
  <c r="M95" i="62"/>
  <c r="M94" i="62"/>
  <c r="M93" i="62"/>
  <c r="M134" i="20"/>
  <c r="B21" i="6" l="1"/>
  <c r="I11" i="13"/>
  <c r="G11" i="65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D24" i="13"/>
  <c r="J24" i="13"/>
  <c r="B28" i="6" l="1"/>
  <c r="M141" i="62"/>
  <c r="M140" i="62"/>
  <c r="M139" i="62"/>
  <c r="M138" i="62"/>
  <c r="M137" i="62"/>
  <c r="M142" i="62" s="1"/>
  <c r="M133" i="62"/>
  <c r="M132" i="62"/>
  <c r="M131" i="62"/>
  <c r="M130" i="62"/>
  <c r="M129" i="62"/>
  <c r="M134" i="62" s="1"/>
  <c r="M125" i="62"/>
  <c r="M124" i="62"/>
  <c r="M123" i="62"/>
  <c r="M122" i="62"/>
  <c r="M121" i="62"/>
  <c r="M179" i="20"/>
  <c r="M178" i="20"/>
  <c r="M177" i="20"/>
  <c r="M182" i="20" s="1"/>
  <c r="M169" i="20"/>
  <c r="M166" i="20"/>
  <c r="M165" i="20"/>
  <c r="M164" i="20"/>
  <c r="M163" i="20"/>
  <c r="M162" i="20"/>
  <c r="M161" i="20"/>
  <c r="M157" i="20"/>
  <c r="M156" i="20"/>
  <c r="M155" i="20"/>
  <c r="M158" i="20" s="1"/>
  <c r="M154" i="20"/>
  <c r="M153" i="20"/>
  <c r="M141" i="19"/>
  <c r="M140" i="19"/>
  <c r="M139" i="19"/>
  <c r="M138" i="19"/>
  <c r="M137" i="19"/>
  <c r="M133" i="19"/>
  <c r="M132" i="19"/>
  <c r="M131" i="19"/>
  <c r="M130" i="19"/>
  <c r="M129" i="19"/>
  <c r="M125" i="19"/>
  <c r="M124" i="19"/>
  <c r="M123" i="19"/>
  <c r="M122" i="19"/>
  <c r="M121" i="19"/>
  <c r="B35" i="6" l="1"/>
  <c r="M134" i="19"/>
  <c r="M142" i="19"/>
  <c r="K142" i="19" s="1"/>
  <c r="M126" i="62"/>
  <c r="M126" i="19"/>
  <c r="K126" i="19" s="1"/>
  <c r="B10" i="40" l="1"/>
  <c r="M113" i="62" l="1"/>
  <c r="M112" i="62"/>
  <c r="M111" i="62"/>
  <c r="M110" i="62"/>
  <c r="M109" i="62"/>
  <c r="M114" i="62" s="1"/>
  <c r="M105" i="62"/>
  <c r="M104" i="62"/>
  <c r="M103" i="62"/>
  <c r="M102" i="62"/>
  <c r="M101" i="62"/>
  <c r="M106" i="62" s="1"/>
  <c r="M98" i="62"/>
  <c r="M85" i="62"/>
  <c r="M84" i="62"/>
  <c r="M83" i="62"/>
  <c r="M82" i="62"/>
  <c r="M81" i="62"/>
  <c r="M77" i="62"/>
  <c r="M76" i="62"/>
  <c r="M75" i="62"/>
  <c r="M74" i="62"/>
  <c r="M73" i="62"/>
  <c r="M78" i="62" s="1"/>
  <c r="M69" i="62"/>
  <c r="M68" i="62"/>
  <c r="M67" i="62"/>
  <c r="M66" i="62"/>
  <c r="M65" i="62"/>
  <c r="M143" i="20"/>
  <c r="M142" i="20"/>
  <c r="M146" i="20" s="1"/>
  <c r="M141" i="20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70" i="62" l="1"/>
  <c r="M86" i="62"/>
  <c r="M71" i="20" l="1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42" i="62" l="1"/>
  <c r="M58" i="62"/>
  <c r="K166" i="20" l="1"/>
  <c r="K158" i="20"/>
  <c r="K182" i="20"/>
  <c r="K174" i="20"/>
  <c r="K142" i="62"/>
  <c r="K134" i="62"/>
  <c r="K126" i="62"/>
  <c r="K114" i="62"/>
  <c r="K106" i="62"/>
  <c r="K98" i="62"/>
  <c r="K130" i="20"/>
  <c r="K146" i="20"/>
  <c r="K138" i="20"/>
  <c r="K122" i="20"/>
  <c r="AH97" i="63" l="1"/>
  <c r="AI97" i="63"/>
  <c r="AJ97" i="63"/>
  <c r="AK97" i="63"/>
  <c r="AL97" i="63"/>
  <c r="AM97" i="63"/>
  <c r="AH98" i="63"/>
  <c r="AI98" i="63"/>
  <c r="AJ98" i="63"/>
  <c r="AK98" i="63"/>
  <c r="AL98" i="63"/>
  <c r="AM98" i="63"/>
  <c r="AG98" i="63"/>
  <c r="AG97" i="63"/>
  <c r="AF97" i="63"/>
  <c r="AH76" i="63"/>
  <c r="AI76" i="63"/>
  <c r="AJ76" i="63"/>
  <c r="AK76" i="63"/>
  <c r="AL76" i="63"/>
  <c r="AM76" i="63"/>
  <c r="AG76" i="63"/>
  <c r="AH75" i="63"/>
  <c r="AI75" i="63"/>
  <c r="AJ75" i="63"/>
  <c r="AK75" i="63"/>
  <c r="AL75" i="63"/>
  <c r="AM75" i="63"/>
  <c r="AG75" i="63"/>
  <c r="AF75" i="63"/>
  <c r="AG54" i="63"/>
  <c r="AG53" i="63"/>
  <c r="AH53" i="63"/>
  <c r="AI53" i="63"/>
  <c r="AJ53" i="63"/>
  <c r="AK53" i="63"/>
  <c r="AL53" i="63"/>
  <c r="AM53" i="63"/>
  <c r="AH54" i="63"/>
  <c r="AI54" i="63"/>
  <c r="AJ54" i="63"/>
  <c r="AK54" i="63"/>
  <c r="AL54" i="63"/>
  <c r="AM54" i="63"/>
  <c r="AF53" i="63"/>
  <c r="AH31" i="63"/>
  <c r="AI31" i="63"/>
  <c r="AJ31" i="63"/>
  <c r="AK31" i="63"/>
  <c r="AL31" i="63"/>
  <c r="AM31" i="63"/>
  <c r="AH32" i="63"/>
  <c r="AJ32" i="63"/>
  <c r="AM32" i="63"/>
  <c r="AG31" i="63"/>
  <c r="AH8" i="63"/>
  <c r="AI8" i="63"/>
  <c r="AJ8" i="63"/>
  <c r="AK8" i="63"/>
  <c r="AL8" i="63"/>
  <c r="AM8" i="63"/>
  <c r="AG8" i="63"/>
  <c r="AH7" i="63"/>
  <c r="AI7" i="63"/>
  <c r="AJ7" i="63"/>
  <c r="AK7" i="63"/>
  <c r="AL7" i="63"/>
  <c r="AM7" i="63"/>
  <c r="AG7" i="63"/>
  <c r="AL32" i="63"/>
  <c r="AK32" i="63"/>
  <c r="AF31" i="63"/>
  <c r="AI32" i="63"/>
  <c r="AF7" i="63"/>
  <c r="AG55" i="63" l="1"/>
  <c r="AF112" i="63"/>
  <c r="AG112" i="63"/>
  <c r="AG114" i="63" s="1"/>
  <c r="AM113" i="63"/>
  <c r="J14" i="40" s="1"/>
  <c r="AL113" i="63"/>
  <c r="H14" i="40" s="1"/>
  <c r="AK113" i="63"/>
  <c r="F14" i="40" s="1"/>
  <c r="AJ113" i="63"/>
  <c r="L9" i="40" s="1"/>
  <c r="AI113" i="63"/>
  <c r="J9" i="40" s="1"/>
  <c r="AH113" i="63"/>
  <c r="H9" i="40" s="1"/>
  <c r="AM112" i="63"/>
  <c r="AM114" i="63" s="1"/>
  <c r="K14" i="40" s="1"/>
  <c r="AL112" i="63"/>
  <c r="AL114" i="63" s="1"/>
  <c r="I14" i="40" s="1"/>
  <c r="AK112" i="63"/>
  <c r="AK114" i="63" s="1"/>
  <c r="G14" i="40" s="1"/>
  <c r="AJ112" i="63"/>
  <c r="AJ114" i="63" s="1"/>
  <c r="M9" i="40" s="1"/>
  <c r="AI112" i="63"/>
  <c r="AI114" i="63" s="1"/>
  <c r="K9" i="40" s="1"/>
  <c r="AH112" i="63"/>
  <c r="AH114" i="63" s="1"/>
  <c r="I9" i="40" s="1"/>
  <c r="C15" i="39"/>
  <c r="AG32" i="63"/>
  <c r="AG9" i="63"/>
  <c r="D10" i="13"/>
  <c r="D8" i="13"/>
  <c r="AG99" i="63"/>
  <c r="AJ99" i="63"/>
  <c r="AK99" i="63"/>
  <c r="K50" i="62"/>
  <c r="K58" i="62"/>
  <c r="K42" i="62"/>
  <c r="K110" i="20"/>
  <c r="K102" i="20"/>
  <c r="K86" i="20"/>
  <c r="K94" i="20"/>
  <c r="K70" i="62"/>
  <c r="K78" i="62"/>
  <c r="K86" i="62"/>
  <c r="AI55" i="63"/>
  <c r="AG77" i="63"/>
  <c r="AH99" i="63"/>
  <c r="AI99" i="63"/>
  <c r="AJ77" i="63"/>
  <c r="AI77" i="63"/>
  <c r="AK33" i="63"/>
  <c r="AH77" i="63"/>
  <c r="AH55" i="63"/>
  <c r="AK55" i="63"/>
  <c r="AL99" i="63"/>
  <c r="AK77" i="63"/>
  <c r="AJ55" i="63"/>
  <c r="AM99" i="63"/>
  <c r="AM77" i="63"/>
  <c r="AL77" i="63"/>
  <c r="AI33" i="63"/>
  <c r="AG33" i="63"/>
  <c r="AJ33" i="63"/>
  <c r="AM55" i="63"/>
  <c r="AH33" i="63"/>
  <c r="AL55" i="63"/>
  <c r="AM33" i="63"/>
  <c r="AL33" i="63"/>
  <c r="AL9" i="63"/>
  <c r="AM9" i="63"/>
  <c r="AJ9" i="63"/>
  <c r="AK9" i="63"/>
  <c r="AH9" i="63"/>
  <c r="AI9" i="63"/>
  <c r="AG113" i="63" l="1"/>
  <c r="E15" i="39"/>
  <c r="I7" i="13"/>
  <c r="J10" i="40"/>
  <c r="F9" i="40"/>
  <c r="G9" i="40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B5" i="40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50" i="20"/>
  <c r="K74" i="20"/>
  <c r="K58" i="20"/>
  <c r="K66" i="20"/>
  <c r="K15" i="13" l="1"/>
  <c r="I24" i="13"/>
  <c r="C15" i="13" l="1"/>
  <c r="C16" i="13"/>
  <c r="E16" i="13" s="1"/>
  <c r="C19" i="13"/>
  <c r="E19" i="13" s="1"/>
  <c r="E15" i="13" l="1"/>
  <c r="C24" i="13"/>
  <c r="P45" i="65" l="1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K11" i="65"/>
  <c r="J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K7" i="65"/>
  <c r="J7" i="65"/>
  <c r="P7" i="65"/>
  <c r="E11" i="13" s="1"/>
  <c r="P6" i="65"/>
  <c r="E10" i="13" s="1"/>
  <c r="O5" i="65"/>
  <c r="N5" i="65"/>
  <c r="M5" i="65"/>
  <c r="P5" i="65" s="1"/>
  <c r="E9" i="13" s="1"/>
  <c r="L5" i="65"/>
  <c r="K5" i="65"/>
  <c r="J5" i="65"/>
  <c r="P4" i="65"/>
  <c r="E8" i="13" s="1"/>
  <c r="P3" i="65"/>
  <c r="E7" i="13" s="1"/>
  <c r="P2" i="65"/>
  <c r="E6" i="13" s="1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C10" i="40" l="1"/>
  <c r="C9" i="40"/>
  <c r="D30" i="39" l="1"/>
  <c r="E28" i="39" l="1"/>
  <c r="C21" i="39" l="1"/>
  <c r="C22" i="39"/>
  <c r="C17" i="39"/>
  <c r="C20" i="39"/>
  <c r="C23" i="39"/>
  <c r="C19" i="39"/>
  <c r="C18" i="39"/>
  <c r="C16" i="39"/>
  <c r="C24" i="39" l="1"/>
  <c r="K22" i="57" l="1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<sst xmlns="http://schemas.openxmlformats.org/spreadsheetml/2006/main" count="7192" uniqueCount="837">
  <si>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</si>
  <si>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</si>
  <si>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</si>
  <si>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</si>
  <si>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</si>
  <si>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</si>
  <si>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</si>
  <si>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</si>
  <si>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</si>
  <si>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</si>
  <si>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</si>
  <si>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</si>
  <si>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</si>
  <si>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</si>
  <si>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</si>
  <si>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</si>
  <si>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</si>
  <si>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</si>
  <si>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</si>
  <si>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</si>
  <si>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</si>
  <si>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</si>
  <si>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</si>
  <si>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</si>
  <si>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</si>
  <si>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</si>
  <si>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</si>
  <si>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</si>
  <si>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</si>
  <si>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</si>
  <si>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</si>
  <si>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</si>
  <si>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</si>
  <si>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</si>
  <si>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</si>
  <si>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</si>
  <si>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</si>
  <si>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</si>
  <si>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</si>
  <si>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</si>
  <si>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</si>
  <si>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</si>
  <si>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</si>
  <si>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</si>
  <si>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</si>
  <si>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</si>
  <si>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</si>
  <si>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</si>
  <si>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</si>
  <si>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</si>
  <si>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</si>
  <si>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</si>
  <si>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</si>
  <si>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</si>
  <si>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</si>
  <si>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</si>
  <si>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</si>
  <si>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</si>
  <si>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</si>
  <si>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</si>
  <si>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</si>
  <si>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</si>
  <si>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</si>
  <si>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</si>
  <si>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</si>
  <si>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</si>
  <si>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</si>
  <si>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</si>
  <si>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</si>
  <si>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</si>
  <si>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</si>
  <si>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</si>
  <si>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</si>
  <si>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</si>
  <si>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</si>
  <si>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</si>
  <si>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</si>
  <si>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</si>
  <si>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</si>
  <si>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</si>
  <si>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</si>
  <si>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</si>
  <si>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</si>
  <si>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</si>
  <si>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</si>
  <si>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</si>
  <si>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</si>
  <si>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</si>
  <si>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</si>
  <si>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</si>
  <si>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</si>
  <si>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</si>
  <si>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</si>
  <si>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</si>
  <si>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</si>
  <si>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</si>
  <si>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</si>
  <si>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</si>
  <si>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</si>
  <si>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</si>
  <si>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</si>
  <si>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</si>
  <si>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</si>
  <si>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</si>
  <si>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</si>
  <si>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</si>
  <si>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</si>
  <si>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</si>
  <si>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</si>
  <si>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</si>
  <si>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</si>
  <si>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</si>
  <si>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</si>
  <si>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</si>
  <si>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</si>
  <si>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</si>
  <si>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</si>
  <si>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</si>
  <si>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</si>
  <si>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</si>
  <si>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</si>
  <si>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</si>
  <si>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</si>
  <si>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</si>
  <si>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</si>
  <si>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</si>
  <si>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</si>
  <si>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</si>
  <si>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</si>
  <si>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</si>
  <si>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</si>
  <si>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</si>
  <si>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</si>
  <si>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</si>
  <si>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</si>
  <si>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</si>
  <si>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</si>
  <si>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</si>
  <si>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</si>
  <si>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</si>
  <si>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</si>
  <si>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</si>
  <si>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</si>
  <si>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</si>
  <si>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</si>
  <si>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</si>
  <si>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</si>
  <si>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</si>
  <si>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</si>
  <si>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</si>
  <si>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</si>
  <si>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</si>
  <si>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</si>
  <si>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</si>
  <si>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</si>
  <si>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</si>
  <si>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</si>
  <si>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</si>
  <si>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</si>
  <si>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</si>
  <si>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</si>
  <si>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</si>
  <si>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</si>
  <si>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</si>
  <si>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</si>
  <si>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</si>
  <si>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</si>
  <si>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</si>
  <si>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</si>
  <si>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</si>
  <si>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</si>
  <si>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</si>
  <si>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</si>
  <si>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</si>
  <si>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</si>
  <si>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</si>
  <si>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</si>
  <si>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</si>
  <si>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</si>
  <si>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</si>
  <si>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</si>
  <si>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</si>
  <si>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</si>
  <si>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</si>
  <si>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</si>
  <si>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</si>
  <si>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</si>
  <si>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</si>
  <si>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</si>
  <si>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</si>
  <si>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</si>
  <si>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</si>
  <si>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</si>
  <si>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</si>
  <si>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</si>
  <si>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</si>
  <si>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</si>
  <si>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</si>
  <si>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</si>
  <si>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</si>
  <si>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</si>
  <si>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</si>
  <si>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</si>
  <si>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</si>
  <si>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</si>
  <si>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</si>
  <si>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</si>
  <si>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</si>
  <si>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</si>
  <si>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</si>
  <si>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</si>
  <si>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</si>
  <si>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</si>
  <si>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</si>
  <si>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</si>
  <si>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</si>
  <si>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</si>
  <si>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</si>
  <si>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</si>
  <si>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</si>
  <si>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</si>
  <si>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</si>
  <si>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</si>
  <si>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</si>
  <si>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</si>
  <si>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</si>
  <si>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</si>
  <si>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</si>
  <si>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</si>
  <si>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</si>
  <si>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</si>
  <si>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</si>
  <si>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</si>
  <si>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</si>
  <si>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</si>
  <si>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</si>
  <si>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</si>
  <si>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</si>
  <si>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</si>
  <si>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</si>
  <si>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</si>
  <si>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</si>
  <si>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</si>
  <si>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</si>
  <si>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</si>
  <si>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</si>
  <si>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</si>
  <si>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</si>
  <si>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</si>
  <si>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</si>
  <si>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</si>
  <si>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</si>
  <si>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</si>
  <si>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</si>
  <si>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</si>
  <si>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</si>
  <si>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</si>
  <si>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</si>
  <si>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</si>
  <si>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</si>
  <si>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</si>
  <si>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</si>
  <si>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</si>
  <si>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</si>
  <si>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</si>
  <si>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</si>
  <si>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</si>
  <si>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</si>
  <si>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</si>
  <si>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</si>
  <si>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</si>
  <si>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</si>
  <si>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</si>
  <si>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</si>
  <si>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</si>
  <si>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</si>
  <si>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</si>
  <si>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</si>
  <si>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</si>
  <si>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</si>
  <si>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</si>
  <si>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</si>
  <si>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</si>
  <si>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</si>
  <si>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</si>
  <si>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</si>
  <si>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</si>
  <si>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</si>
  <si>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</si>
  <si>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</si>
  <si>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</si>
  <si>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</si>
  <si>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</si>
  <si>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</si>
  <si>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</si>
  <si>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</si>
  <si>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</si>
  <si>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</si>
  <si>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</si>
  <si>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</si>
  <si>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</si>
  <si>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</si>
  <si>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</si>
  <si>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</si>
  <si>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</si>
  <si>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</si>
  <si>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</si>
  <si>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</si>
  <si>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</si>
  <si>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</si>
  <si>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</si>
  <si>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</si>
  <si>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</si>
  <si>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</si>
  <si>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</si>
  <si>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</si>
  <si>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</si>
  <si>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</si>
  <si>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</si>
  <si>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</si>
  <si>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</si>
  <si>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</si>
  <si>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</si>
  <si>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</si>
  <si>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</si>
  <si>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</si>
  <si>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</si>
  <si>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</si>
  <si>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</si>
  <si>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</si>
  <si>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</si>
  <si>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</si>
  <si>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</si>
  <si>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</si>
  <si>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</si>
  <si>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</si>
  <si>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</si>
  <si>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</si>
  <si>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</si>
  <si>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</si>
  <si>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</si>
  <si>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</si>
  <si>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</si>
  <si>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</si>
  <si>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</si>
  <si>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</si>
  <si>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</si>
  <si>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</si>
  <si>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</si>
  <si>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</si>
  <si>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</si>
  <si>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</si>
  <si>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</si>
  <si>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</si>
  <si>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</si>
  <si>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</si>
  <si>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</si>
  <si>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</si>
  <si>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</si>
  <si>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</si>
  <si>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</si>
  <si>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</si>
  <si>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</si>
  <si>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</si>
  <si>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</si>
  <si>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</si>
  <si>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</si>
  <si>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</si>
  <si>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</si>
  <si>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</si>
  <si>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</si>
  <si>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</si>
  <si>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</si>
  <si>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</si>
  <si>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</si>
  <si>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</si>
  <si>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</si>
  <si>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</si>
  <si>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</si>
  <si>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</si>
  <si>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</si>
  <si>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</si>
  <si>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</si>
  <si>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</si>
  <si>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</si>
  <si>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</si>
  <si>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</si>
  <si>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</si>
  <si>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</si>
  <si>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</si>
  <si>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</si>
  <si>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</si>
  <si>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</si>
  <si>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</si>
  <si>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</si>
  <si>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</si>
  <si>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</si>
  <si>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</si>
  <si>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</si>
  <si>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</si>
  <si>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</si>
  <si>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</si>
  <si>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</si>
  <si>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</si>
  <si>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</si>
  <si>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</si>
  <si>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</si>
  <si>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</si>
  <si>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</si>
  <si>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</si>
  <si>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</si>
  <si>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</si>
  <si>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</si>
  <si>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</si>
  <si>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</si>
  <si>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</si>
  <si>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</si>
  <si>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</si>
  <si>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</si>
  <si>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</si>
  <si>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</si>
  <si>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</si>
  <si>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</si>
  <si>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</si>
  <si>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</si>
  <si>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</si>
  <si>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</si>
  <si>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</si>
  <si>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</si>
  <si>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</si>
  <si>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</si>
  <si>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</si>
  <si>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</si>
  <si>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</si>
  <si>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</si>
  <si>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</si>
  <si>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</si>
  <si>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</si>
  <si>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</si>
  <si>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</si>
  <si>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</si>
  <si>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</si>
  <si>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</si>
  <si>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</si>
  <si>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</si>
  <si>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</si>
  <si>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</si>
  <si>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</si>
  <si>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</si>
  <si>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</si>
  <si>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</si>
  <si>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</si>
  <si>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</si>
  <si>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</si>
  <si>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</si>
  <si>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</si>
  <si>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</si>
  <si>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</si>
  <si>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</si>
  <si>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壹號醬炙烤牛飯糰</t>
  </si>
  <si>
    <t>切-烤牛五花(112年)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</si>
  <si>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</si>
  <si>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</si>
  <si>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</si>
  <si>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</si>
  <si>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炙燒韓式牛五花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</si>
  <si>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</si>
  <si>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</si>
  <si>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</si>
  <si>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</si>
  <si>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</si>
  <si>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</si>
  <si>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</si>
  <si>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二配鐵板豆腐燴蛋蓋飯</t>
  </si>
  <si>
    <t>二配濃起司燻腸紅醬焗烤飯</t>
  </si>
  <si>
    <t>焗飯-義式蕃茄紅醬</t>
  </si>
  <si>
    <t>煮鐵板豆腐</t>
  </si>
  <si>
    <t>拌蒜香五花肉</t>
  </si>
  <si>
    <t>生產前確認標準定量的機台設定，生產中抽查確認設定及實際出料重量</t>
  </si>
  <si>
    <t>青花菜原物料規格偏大造成超用</t>
  </si>
  <si>
    <t>注餡機機台工差設定確認</t>
  </si>
  <si>
    <t>原物料肉片的大小塊差異</t>
  </si>
  <si>
    <t>回饋研發，後續開發列入考量，調整分切方式，穩定分切厚薄減少規格異常</t>
  </si>
  <si>
    <t>抓量較不穩定造成超用</t>
  </si>
  <si>
    <t>烤墨西哥雞丁</t>
  </si>
  <si>
    <t>二配溏心蛋五目飯糰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</si>
  <si>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</si>
  <si>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</si>
  <si>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</si>
  <si>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</si>
  <si>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</si>
  <si>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</si>
  <si>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</si>
  <si>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</si>
  <si>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</si>
  <si>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</si>
  <si>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</si>
  <si>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</si>
  <si>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</si>
  <si>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</si>
  <si>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</si>
  <si>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</si>
  <si>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</si>
  <si>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</si>
  <si>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</si>
  <si>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</si>
  <si>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</si>
  <si>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</si>
  <si>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</si>
  <si>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</si>
  <si>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</si>
  <si>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</si>
  <si>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</si>
  <si>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</si>
  <si>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</si>
  <si>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</si>
  <si>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</si>
  <si>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</si>
  <si>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</si>
  <si>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</si>
  <si>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</si>
  <si>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</si>
  <si>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</si>
  <si>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</si>
  <si>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</si>
  <si>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</si>
  <si>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</si>
  <si>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</si>
  <si>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抓量較不穩定，生產餘料報廢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</si>
  <si>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</si>
  <si>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</si>
  <si>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一配柚檸海灣貝飯糰</t>
  </si>
  <si>
    <t>大滿足香辣涼麵</t>
  </si>
  <si>
    <t>大滿足麻醬涼麵</t>
  </si>
  <si>
    <t>和風涓絲冷麵</t>
  </si>
  <si>
    <t>煮中華冷麵(110年)</t>
  </si>
  <si>
    <t>冷凍紅鮭碎肉20</t>
  </si>
  <si>
    <t>熟成紅鮭飯糰(114年)</t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</si>
  <si>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</si>
  <si>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</si>
  <si>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台式麻醬涼麵</t>
  </si>
  <si>
    <t>原物料規格</t>
    <phoneticPr fontId="13" type="noConversion"/>
  </si>
  <si>
    <t>操作方式冰杓定量，因冰杓規格限制導致超用</t>
  </si>
  <si>
    <t>回饋研發，後續開發列入考量，針對人員手法教育訓練，並增加線上抽秤頻率。</t>
  </si>
  <si>
    <t>設定雙圈秤重，抓量較不穩定造成超用
針對人員抓量手法教育訓練，並增加線上抽秤頻率。</t>
    <phoneticPr fontId="13" type="noConversion"/>
  </si>
  <si>
    <t>鰹魚烏龍冷麵</t>
  </si>
  <si>
    <t>煮烏龍冷麵(113年)</t>
  </si>
  <si>
    <t>歐姆蛋-黑咖哩醬</t>
  </si>
  <si>
    <t>操作方式冰杓定量，生產餘料報廢</t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</si>
  <si>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</si>
  <si>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</si>
  <si>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</si>
  <si>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</si>
  <si>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</si>
  <si>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</si>
  <si>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</si>
  <si>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</si>
  <si>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</si>
  <si>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</si>
  <si>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</si>
  <si>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</si>
  <si>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</si>
  <si>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</si>
  <si>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</si>
  <si>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</si>
  <si>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</si>
  <si>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0526-0601</t>
    <phoneticPr fontId="13" type="noConversion"/>
  </si>
  <si>
    <t>屏榮大溪廠半成品管理日別總表</t>
    <phoneticPr fontId="13" type="noConversion"/>
  </si>
  <si>
    <t>二配香烤魚排青醬燉飯</t>
  </si>
  <si>
    <r>
      <rPr>
        <sz val="12"/>
        <color theme="1"/>
        <rFont val="Meiryo UI"/>
        <family val="2"/>
      </rPr>
      <t>超用金額
(元)</t>
    </r>
    <phoneticPr fontId="13" type="noConversion"/>
  </si>
  <si>
    <t>煮白細麵生(方#12)</t>
  </si>
  <si>
    <t>反映研發，後續開發列入考量，目前報廢量以穩定控制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</si>
  <si>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</si>
  <si>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</si>
  <si>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t>煮麵單藍批量設定，餘料報廢</t>
    <phoneticPr fontId="13" type="noConversion"/>
  </si>
  <si>
    <t>針對人員抓量手法教育訓練，並增加線上抽秤頻率。</t>
    <phoneticPr fontId="13" type="noConversion"/>
  </si>
  <si>
    <t>回饋研發，後續開發列入考量，針對人員抓量手法教育訓練，並增加線上抽秤頻率</t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</si>
  <si>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</si>
  <si>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</si>
  <si>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菜梗、葉差異，影響人員放料手感
增加線上抽秤頻率，調理展開量下修，並已採用多次補單方式執行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</si>
  <si>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</si>
  <si>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</si>
  <si>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</si>
  <si>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</si>
  <si>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烤燉飯魚排</t>
  </si>
  <si>
    <t>蒸黑滷D4棒</t>
  </si>
  <si>
    <t>燉飯青醬(115年)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</si>
  <si>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>.</t>
    </r>
    <r>
      <rPr>
        <sz val="11"/>
        <color theme="1"/>
        <rFont val="Microsoft JhengHei"/>
        <family val="2"/>
      </rPr>
      <t>達成率提升中</t>
    </r>
    <phoneticPr fontId="13" type="noConversion"/>
  </si>
  <si>
    <r>
      <t>魚肉烤箱製程，</t>
    </r>
    <r>
      <rPr>
        <sz val="12"/>
        <color theme="1"/>
        <rFont val="Microsoft JhengHei"/>
        <family val="2"/>
        <charset val="136"/>
      </rPr>
      <t>質地較軟</t>
    </r>
    <r>
      <rPr>
        <sz val="12"/>
        <color theme="1"/>
        <rFont val="Meiryo UI"/>
        <family val="2"/>
      </rPr>
      <t>拿取後破損造成報廢</t>
    </r>
    <phoneticPr fontId="13" type="noConversion"/>
  </si>
  <si>
    <t>原物料肉片的大小塊差異超用剩餘料報廢</t>
    <phoneticPr fontId="13" type="noConversion"/>
  </si>
  <si>
    <t>加強分切規格控管與線上抓量教育訓練，降低規格落差及剩料</t>
    <phoneticPr fontId="13" type="noConversion"/>
  </si>
  <si>
    <t>蒸箱製程後物料骨肉分離無法使用</t>
    <phoneticPr fontId="13" type="noConversion"/>
  </si>
  <si>
    <t>已調整蒸箱製程後段操作方式及入籃量下修，調整後報廢數量已降低。</t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</si>
  <si>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確認設定及實際出料重量，餘料報廢。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</si>
  <si>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</si>
  <si>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設定雙圈秤重，抓量較不穩定造成超用</t>
    <phoneticPr fontId="13" type="noConversion"/>
  </si>
  <si>
    <r>
      <t>人員抓量放料手法不穩定，原物料單價高</t>
    </r>
    <r>
      <rPr>
        <sz val="12"/>
        <color theme="1"/>
        <rFont val="Microsoft JhengHei"/>
        <family val="2"/>
      </rPr>
      <t>總計超用金額高</t>
    </r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</si>
  <si>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</si>
  <si>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煮麵單藍批量設定，餘料報廢
反映研發，後續開發列入考量，目前報廢量以穩定控制</t>
    <phoneticPr fontId="10"/>
  </si>
  <si>
    <t>一配椒鹽檸檬鯖魚飯糰</t>
  </si>
  <si>
    <t>韓式辣炒豬肉飯卷</t>
  </si>
  <si>
    <t>日式胡麻雞絲冷麵</t>
  </si>
  <si>
    <t>蒸玉米塊</t>
  </si>
  <si>
    <t>焙炒芝麻肉鬆(飯糰)</t>
  </si>
  <si>
    <t>蒸-解凍手撕雞</t>
  </si>
  <si>
    <t>煮2025屯京冷麵</t>
  </si>
  <si>
    <t>（８）報廢原因別前幾名品項(0526-0601)</t>
    <phoneticPr fontId="13" type="noConversion"/>
  </si>
  <si>
    <r>
      <t>青花菜原物料規格偏大造成超用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</si>
  <si>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</si>
  <si>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原物料規格大小顆，影響產出數量</t>
    <phoneticPr fontId="13" type="noConversion"/>
  </si>
  <si>
    <t>反映研發，後續開發列入考量</t>
    <phoneticPr fontId="13" type="noConversion"/>
  </si>
  <si>
    <t>針對抓量手法教育訓練，並增加線上抽秤頻率。</t>
  </si>
  <si>
    <t>抓量較不穩定造成超用</t>
    <phoneticPr fontId="13" type="noConversion"/>
  </si>
  <si>
    <r>
      <t>肉片</t>
    </r>
    <r>
      <rPr>
        <sz val="12"/>
        <color theme="1"/>
        <rFont val="Microsoft JhengHei"/>
        <family val="2"/>
      </rPr>
      <t>長短規格</t>
    </r>
    <r>
      <rPr>
        <sz val="12"/>
        <color theme="1"/>
        <rFont val="Meiryo UI"/>
        <family val="2"/>
      </rPr>
      <t>影響</t>
    </r>
    <phoneticPr fontId="13" type="noConversion"/>
  </si>
  <si>
    <r>
      <t>針對人員分切方式</t>
    </r>
    <r>
      <rPr>
        <sz val="12"/>
        <color theme="1"/>
        <rFont val="Microsoft JhengHei"/>
        <family val="2"/>
      </rPr>
      <t>進行教育訓練</t>
    </r>
    <r>
      <rPr>
        <sz val="12"/>
        <color theme="1"/>
        <rFont val="Meiryo UI"/>
        <family val="2"/>
      </rPr>
      <t>，穩定分切長度減少規格異常。</t>
    </r>
    <phoneticPr fontId="13" type="noConversion"/>
  </si>
  <si>
    <t>月</t>
    <phoneticPr fontId="13" type="noConversion"/>
  </si>
  <si>
    <t>青花菜原物料規格偏大造成超用剩餘料報廢
反映研發，後續開發列入考量，目前報廢量以穩定控制</t>
    <phoneticPr fontId="10"/>
  </si>
  <si>
    <t>魚肉烤箱製程，質地較軟拿取後破損造成報廢
已加強操作教育訓練，對比前周破損率已下降。</t>
    <phoneticPr fontId="13" type="noConversion"/>
  </si>
  <si>
    <t>注餡機機台工差設定確認
生產前確認標準定量的機台設定，生產中抽查確認設定及實際出料重量</t>
    <phoneticPr fontId="13" type="noConversion"/>
  </si>
  <si>
    <t>抓量較不穩定造成超用
針對人員抓量手法教育訓練，並增加線上抽秤頻率。</t>
    <phoneticPr fontId="13" type="noConversion"/>
  </si>
  <si>
    <t>海陸雙拼壽司</t>
  </si>
  <si>
    <t>嘉義崇文白醋涼麵</t>
  </si>
  <si>
    <t>蒸蛋湯</t>
  </si>
  <si>
    <t>馬鈴薯玉米濃湯</t>
  </si>
  <si>
    <t>三合一味噌湯</t>
  </si>
  <si>
    <t>調味扇貝柱-F</t>
  </si>
  <si>
    <t>煮白細麵生(方#5/膠片)</t>
  </si>
  <si>
    <t>消毒細切紅蘿蔔絲</t>
  </si>
  <si>
    <t>肉片長短規格影響
針對人員分切方式進行教育訓練，穩定分切長度減少規格異常。</t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</si>
  <si>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</si>
  <si>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</si>
  <si>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rPr>
        <sz val="12"/>
        <color theme="1"/>
        <rFont val="Microsoft JhengHei"/>
        <family val="2"/>
      </rPr>
      <t>高風險原物料拆袋</t>
    </r>
    <r>
      <rPr>
        <sz val="12"/>
        <color theme="1"/>
        <rFont val="Meiryo UI"/>
        <family val="2"/>
      </rPr>
      <t>餘料報廢</t>
    </r>
    <phoneticPr fontId="13" type="noConversion"/>
  </si>
  <si>
    <t>抓量較不穩定，生產餘料報廢
增加線上抽秤頻率，調理展開量下修，並已採用多次補單方式執行</t>
    <phoneticPr fontId="13" type="noConversion"/>
  </si>
  <si>
    <t>注餡機機台工差設定確認
生產前確認標準定量的機台設定，生產中抽查確認設定及實際出料重量，餘料報廢。</t>
    <phoneticPr fontId="13" type="noConversion"/>
  </si>
  <si>
    <t>原物料肉片的大小塊差異超用剩餘料報廢
反映研發，後續開發列入考量，目前報廢量以穩定控制</t>
    <phoneticPr fontId="13" type="noConversion"/>
  </si>
  <si>
    <t>原物料肉片的大小塊差異
回饋研發，後續開發列入考量，針對人員抓量手法教育訓練，並增加線上抽秤頻率</t>
    <phoneticPr fontId="13" type="noConversion"/>
  </si>
  <si>
    <t>原物料肉塊的大小塊差異
回饋研發，後續開發列入考量，調整分切方式，穩定分切厚薄減少規格異常</t>
    <phoneticPr fontId="13" type="noConversion"/>
  </si>
  <si>
    <t>0602-0608</t>
    <phoneticPr fontId="13" type="noConversion"/>
  </si>
  <si>
    <t>0609-0615</t>
    <phoneticPr fontId="13" type="noConversion"/>
  </si>
  <si>
    <t>0616-0622</t>
    <phoneticPr fontId="13" type="noConversion"/>
  </si>
  <si>
    <t>0623-0629</t>
    <phoneticPr fontId="13" type="noConversion"/>
  </si>
  <si>
    <t>厚香料優格咖哩烤雞飯卷</t>
  </si>
  <si>
    <t>招牌雞絲胡麻涼麵</t>
  </si>
  <si>
    <t>（８）報廢原因別前幾名品項(0602-0608)</t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</si>
  <si>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</si>
  <si>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（８）報廢原因別前幾名品項(0609-0615)</t>
    <phoneticPr fontId="13" type="noConversion"/>
  </si>
  <si>
    <t>（８）報廢原因別前幾名品項(0623-0629)</t>
    <phoneticPr fontId="13" type="noConversion"/>
  </si>
  <si>
    <t>（８）報廢原因別前幾名品項(0616-0622)</t>
    <phoneticPr fontId="13" type="noConversion"/>
  </si>
  <si>
    <t>（８）超用原因別前幾名品項(0602-0608)</t>
    <phoneticPr fontId="13" type="noConversion"/>
  </si>
  <si>
    <t>（８）超用原因別前幾名品項(0609-0615)</t>
    <phoneticPr fontId="13" type="noConversion"/>
  </si>
  <si>
    <t>（８）超用原因別前幾名品項(0616-0622)</t>
    <phoneticPr fontId="13" type="noConversion"/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</si>
  <si>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</si>
  <si>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</si>
  <si>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</si>
  <si>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</si>
  <si>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</si>
  <si>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</si>
  <si>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對切屯京溫泉蛋</t>
  </si>
  <si>
    <t>義式烤馬鈴薯</t>
  </si>
  <si>
    <t>7切-烤蜜汁腿排</t>
  </si>
  <si>
    <t>6切-烤醃漬咖哩腿排</t>
  </si>
  <si>
    <t>5切法式炸雞排</t>
  </si>
  <si>
    <r>
      <t>針對人員抓量手法教育訓練，</t>
    </r>
    <r>
      <rPr>
        <sz val="12"/>
        <color theme="1"/>
        <rFont val="Microsoft JhengHei"/>
        <family val="2"/>
        <charset val="136"/>
      </rPr>
      <t>持續執行定量管理，</t>
    </r>
    <r>
      <rPr>
        <sz val="12"/>
        <color theme="1"/>
        <rFont val="Meiryo UI"/>
        <family val="2"/>
      </rPr>
      <t>並增加線上抽秤頻率。</t>
    </r>
    <phoneticPr fontId="13" type="noConversion"/>
  </si>
  <si>
    <t>設定雙圈秤重生產餘料報廢</t>
    <phoneticPr fontId="13" type="noConversion"/>
  </si>
  <si>
    <r>
      <t>菜梗、葉差異，影響人員放料手感</t>
    </r>
    <r>
      <rPr>
        <sz val="12"/>
        <color theme="1"/>
        <rFont val="Microsoft JhengHei"/>
        <family val="2"/>
      </rPr>
      <t>生產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</si>
  <si>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分切製程破損導致規格不符無法使用</t>
  </si>
  <si>
    <t>針對人員分切手法進行教育訓練，改善分切製程破損狀況。</t>
  </si>
  <si>
    <t>原物料單包數量規格，產出餘料報廢</t>
    <phoneticPr fontId="13" type="noConversion"/>
  </si>
  <si>
    <t>原物料規格大小顆，影響產出數量
反映研發，後續開發列入考量</t>
    <phoneticPr fontId="13" type="noConversion"/>
  </si>
  <si>
    <t>SSSSSSSSSSSSSSSSSSSSSSSSSSSSSSSSSSSSSSSSSSSSSSSSSSSSSSSSSSSSSSSSSSSSSSSSSSSSSSSSSSSSSSSSSSSSSSSSSSSSSSSSSSSSSSSSSSSSSSSSSSSSSSSSSSSSSSSSSSSSSSSSSSSSSSSSSSSSSSS</t>
    <phoneticPr fontId="10"/>
  </si>
  <si>
    <t>設定雙圈秤重生產餘料報廢
調理展開量下修，並已採用多次補單方式執行</t>
    <phoneticPr fontId="13" type="noConversion"/>
  </si>
  <si>
    <t>菜梗、葉差異，影響人員放料手感生產餘料報廢
增加線上抽秤頻率，調理展開量下修，並已採用多次補單方式執行</t>
    <phoneticPr fontId="13" type="noConversion"/>
  </si>
  <si>
    <t>抓量較不穩定造成超用
針對人員抓量手法教育訓練，持續執行定量管理，並增加線上抽秤頻率。</t>
    <phoneticPr fontId="13" type="noConversion"/>
  </si>
  <si>
    <t>二配酸酸辣辣椒麻雞飯</t>
  </si>
  <si>
    <t>越式牛肉寬粉</t>
  </si>
  <si>
    <t>煮牛肉片(A7)</t>
  </si>
  <si>
    <t>越式湯凍(115年)</t>
  </si>
  <si>
    <t>煮寬粉(114年)</t>
  </si>
  <si>
    <t>野郎醬(112年)</t>
  </si>
  <si>
    <t>原物料肉片大小片差異，影響人員手感生產餘料報廢</t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</si>
  <si>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並更換對比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</si>
  <si>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煮麵單包批量設定，餘料報廢</t>
    <phoneticPr fontId="13" type="noConversion"/>
  </si>
  <si>
    <t>原物料規格大小顆，影響抓量手感</t>
    <phoneticPr fontId="13" type="noConversion"/>
  </si>
  <si>
    <t>原物料肉片大小片差異，影響人員手感</t>
    <phoneticPr fontId="13" type="noConversion"/>
  </si>
  <si>
    <r>
      <t>原物料</t>
    </r>
    <r>
      <rPr>
        <sz val="12"/>
        <color theme="1"/>
        <rFont val="Microsoft JhengHei"/>
        <family val="2"/>
      </rPr>
      <t>肉塊</t>
    </r>
    <r>
      <rPr>
        <sz val="12"/>
        <color theme="1"/>
        <rFont val="Meiryo UI"/>
        <family val="2"/>
      </rPr>
      <t>大小塊差異</t>
    </r>
    <phoneticPr fontId="13" type="noConversion"/>
  </si>
  <si>
    <t>原物料規格大小顆，影響產出數量
反映研發，後續開發列入考量</t>
    <phoneticPr fontId="10"/>
  </si>
  <si>
    <t>魚肉烤箱製程，質地較軟拿取後破損造成報廢
已加強操作教育訓練，並更換對比前周破損率已下降。</t>
    <phoneticPr fontId="13" type="noConversion"/>
  </si>
  <si>
    <t>原物料肉塊的大小塊差異
回饋研發，後續開發列入考量，針對人員抓量手法教育訓練，並增加線上抽秤頻率</t>
    <phoneticPr fontId="13" type="noConversion"/>
  </si>
  <si>
    <t>煮麵單籃批量設定，餘料報廢
反映研發，後續開發列入考量，目前報廢量以穩定控制</t>
    <phoneticPr fontId="10"/>
  </si>
  <si>
    <t>煮麵單籃批量設定，餘料報廢</t>
    <phoneticPr fontId="13" type="noConversion"/>
  </si>
  <si>
    <t>煮麵單包批量設定，餘料報廢
反映研發，後續開發列入考量，目前報廢量以穩定控制</t>
    <phoneticPr fontId="10"/>
  </si>
  <si>
    <t>原物料肉片大小片差異，影響人員手感生產餘料報廢
增加線上抽秤頻率，調理展開量下修，並已採用多次補單方式執行</t>
    <phoneticPr fontId="13" type="noConversion"/>
  </si>
  <si>
    <t>原物料肉片大小片差異，影響人員手感
針對人員抓量手法教育訓練，並增加線上抽秤頻率。</t>
    <phoneticPr fontId="13" type="noConversion"/>
  </si>
  <si>
    <t>原物料肉塊大小塊差異
回饋研發，後續開發列入考量，針對人員抓量手法教育訓練，並增加線上抽秤頻率</t>
    <phoneticPr fontId="13" type="noConversion"/>
  </si>
  <si>
    <t>二配鮭魚毛豆炊飯飯糰</t>
  </si>
  <si>
    <t>二配西班牙風味海鮮燉飯</t>
  </si>
  <si>
    <t>5切-炸椒麻雞腿排</t>
  </si>
  <si>
    <t>雙拼炒混蔬</t>
  </si>
  <si>
    <t>烤黑胡椒清肉排</t>
  </si>
  <si>
    <t>113年川燙綠豆芽</t>
  </si>
  <si>
    <t>蘑菇白醬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</si>
  <si>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性前幾名品項(0630-0706)</t>
    </r>
    <phoneticPr fontId="13" type="noConversion"/>
  </si>
  <si>
    <t>原物料規格過小，無法使用</t>
    <phoneticPr fontId="13" type="noConversion"/>
  </si>
  <si>
    <t>烤盤產生炭渣，豆腐沾黏焦化物</t>
    <phoneticPr fontId="13" type="noConversion"/>
  </si>
  <si>
    <t>烤箱製程蛋片規格厚薄差異</t>
    <phoneticPr fontId="13" type="noConversion"/>
  </si>
  <si>
    <r>
      <t>反映研發，後續開發列入考量，目前報廢量</t>
    </r>
    <r>
      <rPr>
        <sz val="12"/>
        <color theme="1"/>
        <rFont val="Microsoft JhengHei"/>
        <family val="2"/>
      </rPr>
      <t>設定目標</t>
    </r>
    <r>
      <rPr>
        <sz val="12"/>
        <color theme="1"/>
        <rFont val="Meiryo UI"/>
        <family val="2"/>
      </rPr>
      <t>控制</t>
    </r>
    <r>
      <rPr>
        <sz val="12"/>
        <color theme="1"/>
        <rFont val="Microsoft JhengHei"/>
        <family val="2"/>
      </rPr>
      <t>在單籃內</t>
    </r>
    <phoneticPr fontId="13" type="noConversion"/>
  </si>
  <si>
    <r>
      <t>青花菜原物料規格大</t>
    </r>
    <r>
      <rPr>
        <sz val="12"/>
        <color theme="1"/>
        <rFont val="Microsoft JhengHei"/>
        <family val="2"/>
      </rPr>
      <t>小差異</t>
    </r>
    <r>
      <rPr>
        <sz val="12"/>
        <color theme="1"/>
        <rFont val="Meiryo UI"/>
        <family val="2"/>
      </rPr>
      <t>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</si>
  <si>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t>生產餘料報廢</t>
    <phoneticPr fontId="13" type="noConversion"/>
  </si>
  <si>
    <t>操作方式冰杓定量，生產餘料報廢</t>
    <phoneticPr fontId="13" type="noConversion"/>
  </si>
  <si>
    <r>
      <t>抓量較不穩定造成超用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</si>
  <si>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原物料規格大小顆，影響產出數量差異</t>
    <phoneticPr fontId="13" type="noConversion"/>
  </si>
  <si>
    <t>機台上灑落及生產餘料報廢</t>
    <phoneticPr fontId="13" type="noConversion"/>
  </si>
  <si>
    <t>針對人員抓量手法教育訓練，並增加線上抽秤頻率</t>
    <phoneticPr fontId="13" type="noConversion"/>
  </si>
  <si>
    <r>
      <rPr>
        <sz val="12"/>
        <color theme="1"/>
        <rFont val="Microsoft JhengHei"/>
        <family val="2"/>
      </rPr>
      <t>秤重標準差異</t>
    </r>
    <r>
      <rPr>
        <sz val="12"/>
        <color theme="1"/>
        <rFont val="Meiryo UI"/>
        <family val="2"/>
      </rPr>
      <t>造成超用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</si>
  <si>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過磅標準</t>
    </r>
    <r>
      <rPr>
        <sz val="12"/>
        <color theme="1"/>
        <rFont val="Meiryo UI"/>
        <family val="2"/>
      </rPr>
      <t>教育訓練，並增加線上抽秤頻率，對比上週</t>
    </r>
    <r>
      <rPr>
        <sz val="12"/>
        <color theme="1"/>
        <rFont val="Microsoft JhengHei"/>
        <family val="2"/>
      </rPr>
      <t>減少0.1%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</si>
  <si>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秤重標準</t>
    </r>
    <r>
      <rPr>
        <sz val="12"/>
        <color theme="1"/>
        <rFont val="Meiryo UI"/>
        <family val="2"/>
      </rPr>
      <t>教育訓練，並增加線上抽秤頻率</t>
    </r>
    <phoneticPr fontId="13" type="noConversion"/>
  </si>
  <si>
    <t>原物料肉片大小片差異，影響人員手感
針對人員秤重標準教育訓練，並增加線上抽秤頻率</t>
    <phoneticPr fontId="13" type="noConversion"/>
  </si>
  <si>
    <t>秤重標準差異造成超用
針對人員過磅標準教育訓練，並增加線上抽秤頻率，對比上週減少0.1%</t>
    <phoneticPr fontId="13" type="noConversion"/>
  </si>
  <si>
    <t>青花菜原物料規格大小差異造成超用剩餘料報廢
反映研發，後續開發列入考量，目前報廢量以穩定控制</t>
    <phoneticPr fontId="10"/>
  </si>
  <si>
    <t>煮麵單籃批量設定，餘料報廢
反映研發，後續開發列入考量，目前報廢量設定目標控制在單籃內</t>
    <phoneticPr fontId="10"/>
  </si>
  <si>
    <t>生產餘料報廢
增加線上抽秤頻率，調理展開量下修，並已採用多次補單方式執行</t>
    <phoneticPr fontId="13" type="noConversion"/>
  </si>
  <si>
    <t>抓量較不穩定造成超用餘料報廢
增加線上抽秤頻率，調理展開量下修，並已採用多次補單方式執行</t>
    <phoneticPr fontId="13" type="noConversion"/>
  </si>
  <si>
    <t>原物料單包數量規格，產出餘料報廢
反映研發，後續開發列入考量</t>
    <phoneticPr fontId="13" type="noConversion"/>
  </si>
  <si>
    <t>二配大飯糰泡菜鮪魚</t>
  </si>
  <si>
    <t>二配柚香雞胸五穀飯糰</t>
  </si>
  <si>
    <t>切-烤牛五花(115年)</t>
  </si>
  <si>
    <t>對切-烤蒜味香腸(台畜)</t>
  </si>
  <si>
    <t>蒸燻腸片</t>
  </si>
  <si>
    <t>西班牙烤雞腿丁(115年)</t>
  </si>
  <si>
    <t>煮蝦湯凍</t>
  </si>
  <si>
    <t>糖燻野郎三十天熟成牛飯(115年)</t>
  </si>
  <si>
    <t>七</t>
    <phoneticPr fontId="13" type="noConversion"/>
  </si>
  <si>
    <t>分切製程耗損導致報廢</t>
    <phoneticPr fontId="13" type="noConversion"/>
  </si>
  <si>
    <t>已加強人員分切製程教育訓練，降低規格異常與耗損</t>
    <phoneticPr fontId="13" type="noConversion"/>
  </si>
  <si>
    <r>
      <t>針對人員</t>
    </r>
    <r>
      <rPr>
        <sz val="12"/>
        <color theme="1"/>
        <rFont val="Microsoft JhengHei"/>
        <family val="2"/>
      </rPr>
      <t>過磅標準</t>
    </r>
    <r>
      <rPr>
        <sz val="12"/>
        <color theme="1"/>
        <rFont val="Meiryo UI"/>
        <family val="2"/>
      </rPr>
      <t>教育訓練，並增加線上抽秤頻率，</t>
    </r>
    <r>
      <rPr>
        <sz val="12"/>
        <color theme="1"/>
        <rFont val="Microsoft JhengHei"/>
        <family val="2"/>
        <charset val="136"/>
      </rPr>
      <t>持續控制超用百分比在1%內</t>
    </r>
    <phoneticPr fontId="13" type="noConversion"/>
  </si>
  <si>
    <t>菜梗、葉差異，影響人員放料手感抓量較不穩定造成超用</t>
    <phoneticPr fontId="13" type="noConversion"/>
  </si>
  <si>
    <t>強化截切及抓量標準化作業，落實人員教育訓練，並增加線上抽秤頻率。</t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</si>
  <si>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大小片差異，影響人員手感</t>
    </r>
    <phoneticPr fontId="13" type="noConversion"/>
  </si>
  <si>
    <r>
      <t>針對人員抓量手法教育訓練，並增加線上抽秤頻率，</t>
    </r>
    <r>
      <rPr>
        <sz val="12"/>
        <color theme="1"/>
        <rFont val="Microsoft JhengHei"/>
        <family val="2"/>
        <charset val="136"/>
      </rPr>
      <t>持續追查，超用量百分比逐步下降。</t>
    </r>
    <phoneticPr fontId="13" type="noConversion"/>
  </si>
  <si>
    <t>0630-0706 總合計↑</t>
    <phoneticPr fontId="13" type="noConversion"/>
  </si>
  <si>
    <t>八</t>
    <phoneticPr fontId="13" type="noConversion"/>
  </si>
  <si>
    <r>
      <rPr>
        <b/>
        <sz val="12"/>
        <color theme="1"/>
        <rFont val="Meiryo UI"/>
        <family val="2"/>
        <charset val="136"/>
      </rPr>
      <t>產</t>
    </r>
    <r>
      <rPr>
        <b/>
        <sz val="12"/>
        <color theme="1"/>
        <rFont val="Meiryo UI"/>
        <family val="2"/>
        <charset val="128"/>
      </rPr>
      <t>線配置圖－</t>
    </r>
    <r>
      <rPr>
        <b/>
        <sz val="12"/>
        <color theme="1"/>
        <rFont val="Meiryo UI"/>
        <family val="2"/>
        <charset val="136"/>
      </rPr>
      <t>每</t>
    </r>
    <r>
      <rPr>
        <b/>
        <sz val="12"/>
        <color theme="1"/>
        <rFont val="Meiryo UI"/>
        <family val="2"/>
        <charset val="128"/>
      </rPr>
      <t>週更新(0630-0706)</t>
    </r>
    <phoneticPr fontId="13" type="noConversion"/>
  </si>
  <si>
    <t>產線配置圖－每週更新(0630-0706)</t>
  </si>
  <si>
    <t>地中海布格麥烤魚餐盒</t>
  </si>
  <si>
    <t>加強蔬菜截切教育訓練，降低菜梗規格差異影響；增加線上抽秤頻率、下修展開量並採多次補單，提升用量精準度，降低報廢，對比前月百分比減少0.16%，報廢金額減少5011元</t>
    <phoneticPr fontId="13" type="noConversion"/>
  </si>
  <si>
    <t>冰杓定量作業、生產餘料報廢；下修調理展開量並採多次補單，降低報廢。</t>
    <phoneticPr fontId="13" type="noConversion"/>
  </si>
  <si>
    <t>加強蔬菜截切教育訓練，降低菜梗規格差異影響；增加線上抽秤頻率、下修展開量並採多次補單，提升用量精準度，降低報廢，對比前月對比前月百分比減少0.16%，報廢金額減少1447元。</t>
    <phoneticPr fontId="13" type="noConversion"/>
  </si>
  <si>
    <t>原因分析：原物料肉片規格大小不一，造成單片重量差異，人員秤重時不易控制，導致生產餘料報廢。改善:針對秤重上下限規範加強教育訓練及線上抽查，提升秤重一致性下修展開量並採多次補單降低餘料報廢。</t>
    <phoneticPr fontId="13" type="noConversion"/>
  </si>
  <si>
    <t>原物料大小顆差異大，影響單位重量及產出數量，產生餘料報廢，下修展開量並採多次補單降低餘料報廢。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</si>
  <si>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</si>
  <si>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主要原因:烤盤產生炭渣，豆腐沾黏焦化物。對策:定期更換烤盤，制定烤盤更換時程</t>
    <phoneticPr fontId="13" type="noConversion"/>
  </si>
  <si>
    <t>主因:抓量較不穩定造成超用，導致餘料報廢。對策:調整人員分切方式，穩定產品長短一致性降低抓量誤差並減少超用及報廢。</t>
    <phoneticPr fontId="13" type="noConversion"/>
  </si>
  <si>
    <t>原因分析：
烤燉飯魚排於烤箱製程後魚肉質地較軟，線上人員拿取及收籃過程易因施力不當造成破損，進而產生報廢。
改善措施：已針對線上及收籃人員加強魚排拿取手法教育訓練，並教育輕拿輕放作業原則，降低作業過程破損風險。改善成效：經持續追蹤，魚排破損率已逐步下降</t>
    <phoneticPr fontId="13" type="noConversion"/>
  </si>
  <si>
    <t>原因分析： 人員分切規格異常，造成報廢。
改善措施： 加強分切規格教育訓練及線上抽查，提升分切一致性，降低製程報廢。</t>
    <phoneticPr fontId="13" type="noConversion"/>
  </si>
  <si>
    <t>主因:青花菜原物料規格偏大造成影響抓量手感，剩餘料報廢，以調整下修展開量報廢量持續減少，報廢數量已穩定控制在0.3%內，百分比對比前月減少0.05%，報廢金額減少2348元。</t>
    <phoneticPr fontId="13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</si>
  <si>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主要原因:規格大小不穩定導致斷裂破損產生報廢，偏小比例增加導致報廢增加。對策:持續組裝前準備室先進行整理入籃，減少沾黏狀況，因調理斷裂組合可拼合使用，使用率提高。目前報廢率已控制在0.3%內。</t>
    <phoneticPr fontId="13" type="noConversion"/>
  </si>
  <si>
    <t>因煮中華冷麵採單籃批量設定生產，實際需求量無法完全符合整籃出料單位，造成生產結束後產生餘料報廢</t>
    <phoneticPr fontId="13" type="noConversion"/>
  </si>
  <si>
    <t>因煮烏龍冷麵採單籃批量設定生產，實際需求量無法完全符合整籃出料單位，造成生產結束後產生餘料報廢</t>
    <phoneticPr fontId="13" type="noConversion"/>
  </si>
  <si>
    <t>因煮白細麵生(方#5/膠片)採單籃批量設定生產，實際需求量無法完全符合整籃出料單位，造成生產結束後產生餘料報廢</t>
    <phoneticPr fontId="13" type="noConversion"/>
  </si>
  <si>
    <t>因煮傳統冷麵採單籃批量設定生產，實際需求量無法完全符合整籃出料單位，造成生產結束後產生餘料報廢</t>
    <phoneticPr fontId="13" type="noConversion"/>
  </si>
  <si>
    <t>主因:青花菜原物料規格偏大造成超用。對策:量測設定放料量範圍，後續開發列入考量調整，並持續針對人員抓量秤重進行教育訓練，目前用量已有穩定控制，對比前月超用率減少0.5%，金額減少11791元。</t>
    <phoneticPr fontId="13" type="noConversion"/>
  </si>
  <si>
    <t>(V)消毒小黃瓜絲因人員抓量穩定性問題，易產生超用情形；已加強人員教育訓練、提高抽秤頻率，用量控制成效持續改善。</t>
    <phoneticPr fontId="13" type="noConversion"/>
  </si>
  <si>
    <t>持續優化充填設備參數設定，並加強作業人員用量確認及抽秤管理；同步評估充填噴口規格及定量穩定性，提升配量準確度。</t>
    <phoneticPr fontId="13" type="noConversion"/>
  </si>
  <si>
    <t>主因:青花菜原物料規格偏大造成超用。對策:量測設定放料量範圍，後續開發列入考量調整，並持續針對人員抓量秤重進行教育訓練，超用率對比前月減少0.6%，超用金額減少1516元。</t>
    <phoneticPr fontId="13" type="noConversion"/>
  </si>
  <si>
    <t>針對各類麵體建立單條重量管理基準，並加強秤麵人員重量上下限規範教育訓練及用量追蹤管理，提升配量準確度。對比前月用量有逐步下降。超用量對比前月下降0.1%百分比，超用金額減少7091元</t>
    <phoneticPr fontId="13" type="noConversion"/>
  </si>
  <si>
    <t>切烤雞胸肉（111年）因原物料肉片大小差異影響分切規格穩定性，已調整分切方式強化厚薄控制，規格異常情形持續改善，超用率對比前月減少0.3%，超用金額減少7648元。</t>
    <phoneticPr fontId="13" type="noConversion"/>
  </si>
  <si>
    <t>針對各類麵體建立單條重量管理基準，並加強秤麵人員重量上下限規範教育訓練及用量追蹤管理，提升配量準確度。</t>
    <phoneticPr fontId="13" type="noConversion"/>
  </si>
  <si>
    <t>針對各類麵體建立單條重量管理基準，並加強秤麵人員重量上下限規範教育訓練及用量追蹤管理，提升配量準確度。超用量逐步下降對比前月下降0.5%百分比。</t>
    <phoneticPr fontId="13" type="noConversion"/>
  </si>
  <si>
    <t>秤重標準差異造成超用
針對人員過磅標準教育訓練，並增加線上抽秤頻率，持續控制超用百分比在1%內</t>
    <phoneticPr fontId="13" type="noConversion"/>
  </si>
  <si>
    <r>
      <t>06</t>
    </r>
    <r>
      <rPr>
        <sz val="12"/>
        <color rgb="FF000000"/>
        <rFont val="新細明體"/>
        <family val="2"/>
        <charset val="136"/>
      </rPr>
      <t>30</t>
    </r>
    <r>
      <rPr>
        <sz val="12"/>
        <color rgb="FF000000"/>
        <rFont val="Meiryo UI"/>
        <family val="2"/>
      </rPr>
      <t>-0</t>
    </r>
    <r>
      <rPr>
        <sz val="12"/>
        <color rgb="FF000000"/>
        <rFont val="新細明體"/>
        <family val="2"/>
        <charset val="136"/>
      </rPr>
      <t>706</t>
    </r>
    <phoneticPr fontId="13" type="noConversion"/>
  </si>
  <si>
    <t>蒸-全熟雞肉絲CL(113年)</t>
  </si>
  <si>
    <t>煮茄汁豆腐</t>
  </si>
  <si>
    <t>餐盒用-三色高麗菜</t>
  </si>
  <si>
    <t>新冷凍銀鮭碎肉</t>
  </si>
  <si>
    <t>超用A(多展)</t>
    <phoneticPr fontId="13" type="noConversion"/>
  </si>
  <si>
    <t>超用B(多展-報廢)</t>
    <phoneticPr fontId="13" type="noConversion"/>
  </si>
  <si>
    <r>
      <t>超用A(</t>
    </r>
    <r>
      <rPr>
        <sz val="12"/>
        <rFont val="細明體"/>
        <family val="3"/>
        <charset val="136"/>
      </rPr>
      <t>多展)</t>
    </r>
    <phoneticPr fontId="13" type="noConversion"/>
  </si>
  <si>
    <r>
      <t>7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</si>
  <si>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反映研發，後續開發列入考量，目前報廢量以穩定控制</t>
  </si>
  <si>
    <t>煮麵單籃批量設定，餘料報廢</t>
  </si>
  <si>
    <t>反映研發，後續開發列入考量，目前報廢量設定目標控制在單籃內</t>
  </si>
  <si>
    <t>生產餘料報廢</t>
  </si>
  <si>
    <t>抓量較不穩定造成超用餘料報廢</t>
  </si>
  <si>
    <t>生產前確認標準定量的機台設定，生產中抽查確認設定及實際出料重量，餘料報廢。</t>
  </si>
  <si>
    <t>原物料肉片的大小塊差異超用剩餘料報廢</t>
  </si>
  <si>
    <t>加強分切規格控管與線上抓量教育訓練，降低規格落差及剩料</t>
  </si>
  <si>
    <t>原物料規格大小顆，影響產出數量</t>
  </si>
  <si>
    <t>反映研發，後續開發列入考量</t>
  </si>
  <si>
    <t>原物料規格大小顆，影響抓量手感，生產餘料報廢</t>
  </si>
  <si>
    <t>秤重標準差異造成超用</t>
  </si>
  <si>
    <t>針對人員過磅標準教育訓練，並增加線上抽秤頻率，持續控制超用百分比在1%內</t>
  </si>
  <si>
    <t>菜梗、葉差異，影響人員放料手感抓量較不穩定造成超用</t>
  </si>
  <si>
    <t>強化截切及抓量標準化作業，落實人員教育訓練，並增加線上抽秤頻率。</t>
  </si>
  <si>
    <t>確認分切工程穩定分切長度減少規格異常，再針對抓量手法教育訓練，並增加線上抽秤頻率。</t>
  </si>
  <si>
    <t>操作方式冰杓定量，人員手法差異導致超用</t>
  </si>
  <si>
    <t>針對人員手法教育訓練，並增加線上抽秤頻率。</t>
  </si>
  <si>
    <t>原物料肉塊大小片差異，影響人員手感</t>
  </si>
  <si>
    <t>針對人員秤重標準教育訓練，並增加線上抽秤頻率</t>
  </si>
  <si>
    <t>新品一週,達成率穩定提升中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</si>
  <si>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性前幾名品項(0707-0713)</t>
    </r>
    <phoneticPr fontId="13" type="noConversion"/>
  </si>
  <si>
    <t>轉回便二生產,人數少1</t>
    <phoneticPr fontId="13" type="noConversion"/>
  </si>
  <si>
    <t>（８）報廢原因別前幾名品項(0630-0706)</t>
    <phoneticPr fontId="13" type="noConversion"/>
  </si>
  <si>
    <t>原物料肉塊大小片差異，影響人員手感
針對人員秤重標準教育訓練，並增加線上抽秤頻率</t>
    <phoneticPr fontId="13" type="noConversion"/>
  </si>
  <si>
    <t>菜梗、葉差異，影響人員放料手感抓量較不穩定造成超用
強化截切及抓量標準化作業，落實人員教育訓練，並增加線上抽秤頻率。</t>
    <phoneticPr fontId="13" type="noConversion"/>
  </si>
  <si>
    <t>W2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</si>
  <si>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性前幾名品項(0714-0720)</t>
    </r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</si>
  <si>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週更新(0707-0713)</t>
    </r>
    <phoneticPr fontId="13" type="noConversion"/>
  </si>
  <si>
    <t>產線配置圖－每週更新(0707-0713)</t>
  </si>
  <si>
    <t>金門高粱香腸飯糰</t>
  </si>
  <si>
    <t>日式鮭魚茶泡烤飯</t>
  </si>
  <si>
    <t>日式蕎麥沾麵</t>
  </si>
  <si>
    <t>0707-0713 總合計↑</t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</si>
  <si>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</si>
  <si>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</si>
  <si>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</si>
  <si>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</si>
  <si>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</si>
  <si>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</si>
  <si>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</si>
  <si>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</si>
  <si>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0" type="noConversion"/>
  </si>
  <si>
    <t>報廢額</t>
    <phoneticPr fontId="80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</si>
  <si>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</si>
  <si>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0" type="noConversion"/>
  </si>
  <si>
    <t>超用率A</t>
    <phoneticPr fontId="13" type="noConversion"/>
  </si>
  <si>
    <t>超用額B</t>
    <phoneticPr fontId="80" type="noConversion"/>
  </si>
  <si>
    <t>超用率B</t>
    <phoneticPr fontId="13" type="noConversion"/>
  </si>
  <si>
    <t>營業額合計</t>
    <phoneticPr fontId="80" type="noConversion"/>
  </si>
  <si>
    <r>
      <rPr>
        <sz val="12"/>
        <color rgb="FF000000"/>
        <rFont val="新細明體"/>
        <family val="2"/>
        <charset val="136"/>
      </rPr>
      <t>0707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新細明體"/>
        <family val="2"/>
        <charset val="136"/>
      </rPr>
      <t>13</t>
    </r>
    <phoneticPr fontId="13" type="noConversion"/>
  </si>
  <si>
    <t>煮熊本蕎麥生麵(角#18)</t>
  </si>
  <si>
    <t>泡飯-柴魚湯凍(115年)</t>
  </si>
  <si>
    <t>川燙青白花菜</t>
  </si>
  <si>
    <t>炒筍絲冬粉</t>
  </si>
  <si>
    <t>水煮毛豆仁(111年)</t>
  </si>
  <si>
    <t>烤厚烘蔥蛋(114年)</t>
    <phoneticPr fontId="13" type="noConversion"/>
  </si>
  <si>
    <t>調味鮭魚熟碎肉CL</t>
  </si>
  <si>
    <t>炒酸菜豬絞肉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</si>
</sst>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2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Noto Sans CJK SC"/>
      <family val="2"/>
    </font>
    <font>
      <sz val="11"/>
      <color theme="1"/>
      <name val="Calibri"/>
      <family val="2"/>
    </font>
    <font>
      <sz val="12"/>
      <color theme="1"/>
      <name val="Microsoft JhengHei"/>
      <family val="2"/>
      <charset val="136"/>
    </font>
    <font>
      <sz val="12"/>
      <color rgb="FF000000"/>
      <name val="Microsoft JhengHei"/>
      <family val="2"/>
    </font>
    <font>
      <sz val="12"/>
      <color rgb="FF000000"/>
      <name val="新細明體"/>
      <family val="2"/>
      <charset val="136"/>
    </font>
    <font>
      <b/>
      <sz val="12"/>
      <color theme="1"/>
      <name val="Meiryo UI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color rgb="FF000000"/>
      <name val="Meiryo U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36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3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4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2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4" fillId="0" borderId="0" xfId="11" applyFont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28" fillId="0" borderId="47" xfId="11" applyFont="1" applyBorder="1" applyAlignment="1">
      <alignment horizontal="left" vertical="center"/>
    </xf>
    <xf numFmtId="0" fontId="28" fillId="0" borderId="63" xfId="11" applyFont="1" applyBorder="1" applyAlignment="1">
      <alignment horizontal="left"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8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5" fillId="0" borderId="0" xfId="0" applyFont="1" applyAlignment="1">
      <alignment shrinkToFit="1"/>
    </xf>
    <xf numFmtId="0" fontId="7" fillId="0" borderId="81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6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6" fillId="0" borderId="0" xfId="11" applyFont="1" applyAlignment="1">
      <alignment horizontal="left" vertical="center" indent="1"/>
    </xf>
    <xf numFmtId="0" fontId="96" fillId="0" borderId="0" xfId="11" applyFont="1" applyAlignment="1">
      <alignment horizontal="left" vertical="center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97" fillId="0" borderId="83" xfId="11" applyFont="1" applyBorder="1" applyAlignment="1">
      <alignment horizontal="center" vertical="center"/>
    </xf>
    <xf numFmtId="0" fontId="97" fillId="0" borderId="84" xfId="11" applyFont="1" applyBorder="1" applyAlignment="1">
      <alignment horizontal="center" vertical="center"/>
    </xf>
    <xf numFmtId="196" fontId="98" fillId="0" borderId="22" xfId="11" applyNumberFormat="1" applyFont="1" applyBorder="1" applyAlignment="1">
      <alignment horizontal="right" vertical="center"/>
    </xf>
    <xf numFmtId="198" fontId="98" fillId="0" borderId="22" xfId="11" applyNumberFormat="1" applyFont="1" applyBorder="1" applyAlignment="1">
      <alignment horizontal="right" vertical="center"/>
    </xf>
    <xf numFmtId="186" fontId="98" fillId="0" borderId="22" xfId="13" applyNumberFormat="1" applyFont="1" applyBorder="1" applyAlignment="1">
      <alignment vertical="center"/>
    </xf>
    <xf numFmtId="10" fontId="98" fillId="0" borderId="22" xfId="13" applyNumberFormat="1" applyFont="1" applyBorder="1" applyAlignment="1">
      <alignment vertical="center"/>
    </xf>
    <xf numFmtId="183" fontId="98" fillId="0" borderId="22" xfId="11" applyNumberFormat="1" applyFont="1" applyBorder="1" applyAlignment="1">
      <alignment vertical="center"/>
    </xf>
    <xf numFmtId="183" fontId="98" fillId="0" borderId="88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8" fillId="0" borderId="22" xfId="11" applyFont="1" applyBorder="1" applyAlignment="1">
      <alignment vertical="center"/>
    </xf>
    <xf numFmtId="196" fontId="98" fillId="9" borderId="86" xfId="11" applyNumberFormat="1" applyFont="1" applyFill="1" applyBorder="1"/>
    <xf numFmtId="0" fontId="98" fillId="9" borderId="22" xfId="11" applyFont="1" applyFill="1" applyBorder="1" applyAlignment="1">
      <alignment vertical="center"/>
    </xf>
    <xf numFmtId="10" fontId="99" fillId="9" borderId="22" xfId="13" applyNumberFormat="1" applyFont="1" applyFill="1" applyBorder="1" applyAlignment="1">
      <alignment horizontal="right" vertical="center"/>
    </xf>
    <xf numFmtId="10" fontId="98" fillId="9" borderId="22" xfId="13" applyNumberFormat="1" applyFont="1" applyFill="1" applyBorder="1" applyAlignment="1">
      <alignment horizontal="right" vertical="center"/>
    </xf>
    <xf numFmtId="10" fontId="98" fillId="9" borderId="86" xfId="13" applyNumberFormat="1" applyFont="1" applyFill="1" applyBorder="1" applyAlignment="1"/>
    <xf numFmtId="0" fontId="98" fillId="0" borderId="85" xfId="11" applyFont="1" applyBorder="1" applyAlignment="1">
      <alignment horizontal="left"/>
    </xf>
    <xf numFmtId="197" fontId="98" fillId="0" borderId="22" xfId="11" applyNumberFormat="1" applyFont="1" applyBorder="1" applyAlignment="1">
      <alignment horizontal="right" vertical="center"/>
    </xf>
    <xf numFmtId="198" fontId="98" fillId="9" borderId="86" xfId="11" applyNumberFormat="1" applyFont="1" applyFill="1" applyBorder="1"/>
    <xf numFmtId="10" fontId="98" fillId="9" borderId="86" xfId="13" applyNumberFormat="1" applyFont="1" applyFill="1" applyBorder="1" applyAlignment="1">
      <alignment horizontal="right" vertical="center"/>
    </xf>
    <xf numFmtId="186" fontId="98" fillId="9" borderId="86" xfId="13" applyNumberFormat="1" applyFont="1" applyFill="1" applyBorder="1" applyAlignment="1">
      <alignment horizontal="right" vertical="center"/>
    </xf>
    <xf numFmtId="10" fontId="98" fillId="0" borderId="22" xfId="13" applyNumberFormat="1" applyFont="1" applyBorder="1" applyAlignment="1"/>
    <xf numFmtId="197" fontId="98" fillId="9" borderId="86" xfId="13" applyNumberFormat="1" applyFont="1" applyFill="1" applyBorder="1" applyAlignment="1">
      <alignment horizontal="right" vertical="center"/>
    </xf>
    <xf numFmtId="0" fontId="98" fillId="0" borderId="23" xfId="11" applyFont="1" applyBorder="1" applyAlignment="1">
      <alignment vertical="center"/>
    </xf>
    <xf numFmtId="183" fontId="98" fillId="0" borderId="23" xfId="11" applyNumberFormat="1" applyFont="1" applyBorder="1" applyAlignment="1">
      <alignment vertical="center"/>
    </xf>
    <xf numFmtId="0" fontId="98" fillId="0" borderId="88" xfId="11" applyFont="1" applyBorder="1" applyAlignment="1">
      <alignment vertical="center"/>
    </xf>
    <xf numFmtId="197" fontId="98" fillId="9" borderId="89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0" fontId="28" fillId="3" borderId="93" xfId="11" applyNumberFormat="1" applyFont="1" applyFill="1" applyBorder="1" applyAlignment="1">
      <alignment horizontal="center" vertical="center" shrinkToFit="1"/>
    </xf>
    <xf numFmtId="0" fontId="93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6" fillId="0" borderId="0" xfId="11" applyFont="1" applyAlignment="1">
      <alignment horizontal="center" shrinkToFit="1"/>
    </xf>
    <xf numFmtId="0" fontId="107" fillId="0" borderId="0" xfId="15" applyFont="1">
      <alignment vertical="center"/>
    </xf>
    <xf numFmtId="193" fontId="107" fillId="0" borderId="0" xfId="15" applyNumberFormat="1" applyFont="1">
      <alignment vertical="center"/>
    </xf>
    <xf numFmtId="193" fontId="111" fillId="9" borderId="22" xfId="6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26" fillId="0" borderId="37" xfId="11" applyFont="1" applyBorder="1" applyAlignment="1">
      <alignment shrinkToFit="1"/>
    </xf>
    <xf numFmtId="0" fontId="26" fillId="0" borderId="32" xfId="11" applyFont="1" applyBorder="1" applyAlignment="1">
      <alignment shrinkToFit="1"/>
    </xf>
    <xf numFmtId="0" fontId="26" fillId="4" borderId="26" xfId="11" applyFont="1" applyFill="1" applyBorder="1" applyAlignment="1">
      <alignment shrinkToFit="1"/>
    </xf>
    <xf numFmtId="0" fontId="26" fillId="4" borderId="36" xfId="11" applyFont="1" applyFill="1" applyBorder="1" applyAlignment="1">
      <alignment shrinkToFit="1"/>
    </xf>
    <xf numFmtId="0" fontId="114" fillId="0" borderId="0" xfId="11" applyFont="1" applyAlignment="1">
      <alignment horizontal="center" vertical="center"/>
    </xf>
    <xf numFmtId="10" fontId="28" fillId="9" borderId="22" xfId="13" applyNumberFormat="1" applyFont="1" applyFill="1" applyBorder="1" applyAlignment="1">
      <alignment shrinkToFit="1"/>
    </xf>
    <xf numFmtId="0" fontId="28" fillId="0" borderId="94" xfId="11" applyFont="1" applyBorder="1" applyAlignment="1">
      <alignment vertical="center"/>
    </xf>
    <xf numFmtId="0" fontId="28" fillId="0" borderId="77" xfId="11" applyFont="1" applyBorder="1" applyAlignment="1">
      <alignment horizontal="left" vertical="center"/>
    </xf>
    <xf numFmtId="0" fontId="28" fillId="0" borderId="27" xfId="11" applyFont="1" applyBorder="1" applyAlignment="1">
      <alignment horizontal="left" vertical="center"/>
    </xf>
    <xf numFmtId="0" fontId="31" fillId="0" borderId="29" xfId="0" applyFont="1" applyBorder="1"/>
    <xf numFmtId="0" fontId="31" fillId="0" borderId="30" xfId="0" applyFont="1" applyBorder="1"/>
    <xf numFmtId="189" fontId="14" fillId="9" borderId="25" xfId="0" applyNumberFormat="1" applyFont="1" applyFill="1" applyBorder="1" applyAlignment="1">
      <alignment vertical="center" shrinkToFit="1"/>
    </xf>
    <xf numFmtId="0" fontId="58" fillId="0" borderId="0" xfId="0" applyFont="1" applyAlignment="1">
      <alignment vertical="center"/>
    </xf>
    <xf numFmtId="0" fontId="28" fillId="0" borderId="27" xfId="11" applyFont="1" applyBorder="1" applyAlignment="1">
      <alignment vertical="center"/>
    </xf>
    <xf numFmtId="198" fontId="61" fillId="0" borderId="22" xfId="11" applyNumberFormat="1" applyFont="1" applyBorder="1" applyAlignment="1">
      <alignment horizontal="center" vertical="center"/>
    </xf>
    <xf numFmtId="185" fontId="61" fillId="0" borderId="22" xfId="13" applyNumberFormat="1" applyFont="1" applyFill="1" applyBorder="1" applyAlignment="1">
      <alignment horizontal="center" vertical="center"/>
    </xf>
    <xf numFmtId="196" fontId="61" fillId="0" borderId="22" xfId="13" applyNumberFormat="1" applyFont="1" applyFill="1" applyBorder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0" fontId="104" fillId="0" borderId="0" xfId="0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82" fontId="14" fillId="0" borderId="30" xfId="0" applyNumberFormat="1" applyFont="1" applyBorder="1" applyAlignment="1">
      <alignment horizontal="center" vertical="center" shrinkToFit="1"/>
    </xf>
    <xf numFmtId="0" fontId="114" fillId="0" borderId="30" xfId="0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20" fillId="0" borderId="0" xfId="15" applyFont="1">
      <alignment vertical="center"/>
    </xf>
    <xf numFmtId="0" fontId="37" fillId="0" borderId="0" xfId="15" applyFont="1">
      <alignment vertical="center"/>
    </xf>
    <xf numFmtId="193" fontId="107" fillId="0" borderId="23" xfId="15" applyNumberFormat="1" applyFont="1" applyBorder="1" applyAlignment="1">
      <alignment horizontal="center" vertical="center"/>
    </xf>
    <xf numFmtId="0" fontId="107" fillId="0" borderId="27" xfId="15" applyFont="1" applyBorder="1" applyAlignment="1">
      <alignment horizontal="center" vertical="center" wrapText="1"/>
    </xf>
    <xf numFmtId="0" fontId="107" fillId="0" borderId="25" xfId="15" applyFont="1" applyBorder="1" applyAlignment="1">
      <alignment horizontal="center" vertical="center" wrapText="1"/>
    </xf>
    <xf numFmtId="0" fontId="121" fillId="0" borderId="23" xfId="15" applyFont="1" applyBorder="1" applyAlignment="1">
      <alignment horizontal="center" vertical="center" wrapText="1"/>
    </xf>
    <xf numFmtId="0" fontId="121" fillId="0" borderId="25" xfId="15" applyFont="1" applyBorder="1" applyAlignment="1">
      <alignment horizontal="center" vertical="center" wrapText="1"/>
    </xf>
    <xf numFmtId="10" fontId="107" fillId="0" borderId="23" xfId="3" applyNumberFormat="1" applyFont="1" applyBorder="1" applyAlignment="1">
      <alignment horizontal="center" vertical="center"/>
    </xf>
    <xf numFmtId="193" fontId="121" fillId="0" borderId="23" xfId="15" applyNumberFormat="1" applyFont="1" applyBorder="1" applyAlignment="1">
      <alignment horizontal="center" vertical="center"/>
    </xf>
    <xf numFmtId="10" fontId="121" fillId="0" borderId="23" xfId="3" applyNumberFormat="1" applyFont="1" applyBorder="1" applyAlignment="1">
      <alignment horizontal="center" vertical="center"/>
    </xf>
    <xf numFmtId="0" fontId="107" fillId="0" borderId="0" xfId="15" applyFont="1" applyAlignment="1">
      <alignment horizontal="center" vertical="center"/>
    </xf>
    <xf numFmtId="10" fontId="107" fillId="0" borderId="0" xfId="3" applyNumberFormat="1" applyFont="1" applyFill="1" applyBorder="1" applyAlignment="1">
      <alignment horizontal="center" vertical="center"/>
    </xf>
    <xf numFmtId="0" fontId="108" fillId="0" borderId="23" xfId="15" applyFont="1" applyBorder="1" applyAlignment="1">
      <alignment horizontal="center" vertical="center" wrapText="1"/>
    </xf>
    <xf numFmtId="0" fontId="122" fillId="0" borderId="23" xfId="15" applyFont="1" applyBorder="1" applyAlignment="1">
      <alignment horizontal="center" vertical="center" wrapText="1"/>
    </xf>
    <xf numFmtId="193" fontId="110" fillId="0" borderId="0" xfId="15" applyNumberFormat="1" applyFont="1">
      <alignment vertical="center"/>
    </xf>
    <xf numFmtId="195" fontId="120" fillId="0" borderId="0" xfId="15" applyNumberFormat="1" applyFont="1">
      <alignment vertical="center"/>
    </xf>
    <xf numFmtId="195" fontId="37" fillId="0" borderId="0" xfId="15" applyNumberFormat="1" applyFont="1">
      <alignment vertical="center"/>
    </xf>
    <xf numFmtId="194" fontId="81" fillId="5" borderId="22" xfId="5" applyNumberFormat="1" applyFont="1" applyFill="1" applyBorder="1" applyAlignment="1">
      <alignment horizontal="center" vertical="center"/>
    </xf>
    <xf numFmtId="193" fontId="120" fillId="9" borderId="22" xfId="4" applyNumberFormat="1" applyFont="1" applyFill="1" applyBorder="1" applyAlignment="1">
      <alignment horizontal="center" vertical="center"/>
    </xf>
    <xf numFmtId="193" fontId="120" fillId="9" borderId="22" xfId="6" applyNumberFormat="1" applyFont="1" applyFill="1" applyBorder="1" applyAlignment="1">
      <alignment horizontal="center" vertical="center"/>
    </xf>
    <xf numFmtId="186" fontId="120" fillId="0" borderId="22" xfId="4" applyNumberFormat="1" applyFont="1" applyBorder="1" applyAlignment="1">
      <alignment horizontal="center" vertical="center"/>
    </xf>
    <xf numFmtId="10" fontId="120" fillId="0" borderId="22" xfId="3" applyNumberFormat="1" applyFont="1" applyBorder="1" applyAlignment="1">
      <alignment horizontal="center" vertical="center"/>
    </xf>
    <xf numFmtId="193" fontId="123" fillId="9" borderId="22" xfId="6" applyNumberFormat="1" applyFont="1" applyFill="1" applyBorder="1" applyAlignment="1">
      <alignment horizontal="center" vertical="center"/>
    </xf>
    <xf numFmtId="10" fontId="123" fillId="0" borderId="22" xfId="3" applyNumberFormat="1" applyFont="1" applyBorder="1" applyAlignment="1">
      <alignment horizontal="center" vertical="center"/>
    </xf>
    <xf numFmtId="0" fontId="120" fillId="0" borderId="0" xfId="4" applyFont="1">
      <alignment vertical="center"/>
    </xf>
    <xf numFmtId="0" fontId="37" fillId="0" borderId="0" xfId="4" applyFont="1">
      <alignment vertical="center"/>
    </xf>
    <xf numFmtId="194" fontId="81" fillId="10" borderId="22" xfId="5" applyNumberFormat="1" applyFont="1" applyFill="1" applyBorder="1" applyAlignment="1">
      <alignment horizontal="center" vertical="center"/>
    </xf>
    <xf numFmtId="194" fontId="81" fillId="0" borderId="22" xfId="5" applyNumberFormat="1" applyFont="1" applyBorder="1" applyAlignment="1">
      <alignment horizontal="center" vertical="center"/>
    </xf>
    <xf numFmtId="193" fontId="120" fillId="9" borderId="22" xfId="17" applyNumberFormat="1" applyFont="1" applyFill="1" applyBorder="1" applyAlignment="1">
      <alignment horizontal="center" vertical="center"/>
    </xf>
    <xf numFmtId="0" fontId="98" fillId="0" borderId="85" xfId="11" applyFont="1" applyBorder="1" applyAlignment="1">
      <alignment horizontal="left" vertical="center"/>
    </xf>
    <xf numFmtId="0" fontId="98" fillId="0" borderId="90" xfId="11" applyFont="1" applyBorder="1" applyAlignment="1">
      <alignment horizontal="left" vertical="center"/>
    </xf>
    <xf numFmtId="0" fontId="98" fillId="0" borderId="87" xfId="11" applyFont="1" applyBorder="1" applyAlignment="1">
      <alignment horizontal="left" vertical="center"/>
    </xf>
    <xf numFmtId="0" fontId="97" fillId="0" borderId="82" xfId="11" applyFont="1" applyBorder="1" applyAlignment="1">
      <alignment horizontal="center" vertical="center"/>
    </xf>
    <xf numFmtId="0" fontId="97" fillId="0" borderId="83" xfId="11" applyFont="1" applyBorder="1" applyAlignment="1">
      <alignment horizontal="center" vertical="center"/>
    </xf>
    <xf numFmtId="0" fontId="98" fillId="0" borderId="91" xfId="11" applyFont="1" applyBorder="1" applyAlignment="1">
      <alignment horizontal="left" vertical="center"/>
    </xf>
    <xf numFmtId="0" fontId="98" fillId="0" borderId="92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9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0" fontId="104" fillId="0" borderId="0" xfId="0" applyFont="1" applyAlignment="1">
      <alignment horizontal="center" vertical="center"/>
    </xf>
    <xf numFmtId="185" fontId="26" fillId="0" borderId="0" xfId="13" applyNumberFormat="1" applyFont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14" fillId="0" borderId="23" xfId="0" applyFont="1" applyBorder="1" applyAlignment="1">
      <alignment horizontal="center" vertical="center"/>
    </xf>
    <xf numFmtId="0" fontId="114" fillId="0" borderId="29" xfId="0" applyFont="1" applyBorder="1" applyAlignment="1">
      <alignment horizontal="center" vertical="center"/>
    </xf>
    <xf numFmtId="0" fontId="114" fillId="0" borderId="30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177" fontId="14" fillId="0" borderId="31" xfId="0" applyNumberFormat="1" applyFont="1" applyBorder="1" applyAlignment="1">
      <alignment horizontal="center" vertical="center"/>
    </xf>
    <xf numFmtId="177" fontId="14" fillId="0" borderId="33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27" fillId="0" borderId="22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27" fillId="0" borderId="23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117" fillId="0" borderId="37" xfId="0" applyFont="1" applyBorder="1" applyAlignment="1">
      <alignment horizontal="left" vertical="center"/>
    </xf>
    <xf numFmtId="0" fontId="119" fillId="0" borderId="32" xfId="0" applyFont="1" applyBorder="1" applyAlignment="1">
      <alignment horizontal="left" vertical="center"/>
    </xf>
    <xf numFmtId="0" fontId="119" fillId="0" borderId="26" xfId="0" applyFont="1" applyBorder="1" applyAlignment="1">
      <alignment horizontal="left" vertical="center"/>
    </xf>
    <xf numFmtId="0" fontId="119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0" fontId="46" fillId="0" borderId="37" xfId="0" applyFont="1" applyBorder="1" applyAlignment="1">
      <alignment horizontal="left" vertical="center"/>
    </xf>
    <xf numFmtId="0" fontId="48" fillId="0" borderId="32" xfId="0" applyFont="1" applyBorder="1" applyAlignment="1">
      <alignment horizontal="left" vertical="center"/>
    </xf>
    <xf numFmtId="0" fontId="48" fillId="0" borderId="26" xfId="0" applyFont="1" applyBorder="1" applyAlignment="1">
      <alignment horizontal="left" vertical="center"/>
    </xf>
    <xf numFmtId="0" fontId="48" fillId="0" borderId="36" xfId="0" applyFont="1" applyBorder="1" applyAlignment="1">
      <alignment horizontal="left" vertical="center"/>
    </xf>
    <xf numFmtId="0" fontId="82" fillId="0" borderId="37" xfId="0" applyFont="1" applyBorder="1" applyAlignment="1">
      <alignment horizontal="left" vertical="center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86" fillId="0" borderId="22" xfId="0" applyFont="1" applyBorder="1" applyAlignment="1">
      <alignment horizontal="center" vertical="center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64" fillId="0" borderId="22" xfId="0" applyFont="1" applyBorder="1" applyAlignment="1">
      <alignment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43" fillId="2" borderId="22" xfId="11" applyFont="1" applyFill="1" applyBorder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37" fillId="4" borderId="22" xfId="11" applyFont="1" applyFill="1" applyBorder="1" applyAlignment="1">
      <alignment vertical="center" wrapText="1"/>
    </xf>
    <xf numFmtId="0" fontId="37" fillId="0" borderId="22" xfId="11" applyFont="1" applyBorder="1" applyAlignment="1">
      <alignment vertical="center" wrapText="1"/>
    </xf>
    <xf numFmtId="0" fontId="64" fillId="4" borderId="22" xfId="11" applyFont="1" applyFill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26" fillId="0" borderId="22" xfId="11" applyFont="1" applyBorder="1" applyAlignment="1">
      <alignment horizontal="center" vertical="center" wrapText="1" shrinkToFi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84" fillId="4" borderId="4" xfId="11" applyFont="1" applyFill="1" applyBorder="1" applyAlignment="1">
      <alignment vertical="center" wrapText="1"/>
    </xf>
    <xf numFmtId="0" fontId="84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57" fillId="0" borderId="22" xfId="11" applyFont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4" fillId="0" borderId="4" xfId="11" applyFont="1" applyBorder="1" applyAlignment="1">
      <alignment vertical="center" wrapText="1"/>
    </xf>
    <xf numFmtId="0" fontId="84" fillId="0" borderId="3" xfId="11" applyFont="1" applyBorder="1" applyAlignment="1">
      <alignment vertical="center" wrapText="1"/>
    </xf>
    <xf numFmtId="0" fontId="77" fillId="4" borderId="4" xfId="11" applyFont="1" applyFill="1" applyBorder="1" applyAlignment="1">
      <alignment vertical="top" wrapText="1" shrinkToFit="1"/>
    </xf>
    <xf numFmtId="0" fontId="77" fillId="4" borderId="3" xfId="11" applyFont="1" applyFill="1" applyBorder="1" applyAlignment="1">
      <alignment vertical="top" wrapText="1" shrinkToFi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89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51" fillId="0" borderId="37" xfId="11" applyFont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wrapText="1" shrinkToFit="1"/>
    </xf>
    <xf numFmtId="0" fontId="64" fillId="0" borderId="3" xfId="11" applyFont="1" applyBorder="1" applyAlignment="1">
      <alignment horizontal="left" vertical="center" wrapText="1" shrinkToFit="1"/>
    </xf>
    <xf numFmtId="0" fontId="87" fillId="0" borderId="4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51" fillId="0" borderId="31" xfId="11" applyFont="1" applyBorder="1" applyAlignment="1">
      <alignment horizontal="left" vertical="center" shrinkToFit="1"/>
    </xf>
    <xf numFmtId="0" fontId="51" fillId="0" borderId="35" xfId="11" applyFont="1" applyBorder="1" applyAlignment="1">
      <alignment horizontal="left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195" fontId="120" fillId="5" borderId="22" xfId="15" applyNumberFormat="1" applyFont="1" applyFill="1" applyBorder="1" applyAlignment="1">
      <alignment horizontal="center" vertical="center"/>
    </xf>
    <xf numFmtId="195" fontId="120" fillId="10" borderId="22" xfId="15" applyNumberFormat="1" applyFont="1" applyFill="1" applyBorder="1" applyAlignment="1">
      <alignment horizontal="center" vertical="center"/>
    </xf>
    <xf numFmtId="0" fontId="106" fillId="11" borderId="22" xfId="15" applyFont="1" applyFill="1" applyBorder="1" applyAlignment="1">
      <alignment horizontal="center" vertical="center"/>
    </xf>
    <xf numFmtId="0" fontId="107" fillId="0" borderId="23" xfId="15" applyFont="1" applyBorder="1" applyAlignment="1">
      <alignment horizontal="center" vertical="center"/>
    </xf>
    <xf numFmtId="0" fontId="107" fillId="0" borderId="30" xfId="15" applyFont="1" applyBorder="1" applyAlignment="1">
      <alignment horizontal="center" vertical="center"/>
    </xf>
    <xf numFmtId="193" fontId="107" fillId="0" borderId="23" xfId="15" applyNumberFormat="1" applyFont="1" applyBorder="1" applyAlignment="1">
      <alignment horizontal="center" vertical="center"/>
    </xf>
    <xf numFmtId="193" fontId="107" fillId="0" borderId="30" xfId="15" applyNumberFormat="1" applyFont="1" applyBorder="1" applyAlignment="1">
      <alignment horizontal="center" vertical="center"/>
    </xf>
    <xf numFmtId="186" fontId="107" fillId="0" borderId="23" xfId="15" applyNumberFormat="1" applyFont="1" applyBorder="1" applyAlignment="1">
      <alignment horizontal="center" vertical="center"/>
    </xf>
    <xf numFmtId="186" fontId="107" fillId="0" borderId="30" xfId="15" applyNumberFormat="1" applyFont="1" applyBorder="1" applyAlignment="1">
      <alignment horizontal="center" vertical="center"/>
    </xf>
    <xf numFmtId="0" fontId="109" fillId="0" borderId="23" xfId="11" applyFont="1" applyBorder="1" applyAlignment="1">
      <alignment horizontal="center" vertical="center"/>
    </xf>
    <xf numFmtId="0" fontId="109" fillId="0" borderId="29" xfId="11" applyFont="1" applyBorder="1" applyAlignment="1">
      <alignment horizontal="center" vertical="center"/>
    </xf>
    <xf numFmtId="0" fontId="109" fillId="0" borderId="30" xfId="11" applyFont="1" applyBorder="1" applyAlignment="1">
      <alignment horizontal="center" vertical="center"/>
    </xf>
    <xf numFmtId="0" fontId="93" fillId="5" borderId="23" xfId="22" applyFont="1" applyFill="1" applyBorder="1" applyAlignment="1">
      <alignment horizontal="center" vertical="center"/>
    </xf>
    <xf numFmtId="0" fontId="93" fillId="5" borderId="30" xfId="22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93" fillId="5" borderId="23" xfId="5" applyFont="1" applyFill="1" applyBorder="1" applyAlignment="1">
      <alignment horizontal="center" vertical="center"/>
    </xf>
    <xf numFmtId="0" fontId="93" fillId="5" borderId="29" xfId="5" applyFont="1" applyFill="1" applyBorder="1" applyAlignment="1">
      <alignment horizontal="center" vertical="center"/>
    </xf>
    <xf numFmtId="0" fontId="93" fillId="5" borderId="30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92" fillId="5" borderId="31" xfId="11" applyFont="1" applyFill="1" applyBorder="1" applyAlignment="1">
      <alignment horizontal="center" vertical="center"/>
    </xf>
    <xf numFmtId="0" fontId="92" fillId="5" borderId="32" xfId="11" applyFont="1" applyFill="1" applyBorder="1" applyAlignment="1">
      <alignment horizontal="center" vertical="center"/>
    </xf>
    <xf numFmtId="0" fontId="92" fillId="5" borderId="33" xfId="11" applyFont="1" applyFill="1" applyBorder="1" applyAlignment="1">
      <alignment horizontal="center" vertical="center"/>
    </xf>
    <xf numFmtId="0" fontId="92" fillId="5" borderId="34" xfId="11" applyFont="1" applyFill="1" applyBorder="1" applyAlignment="1">
      <alignment horizontal="center" vertical="center"/>
    </xf>
    <xf numFmtId="0" fontId="92" fillId="5" borderId="35" xfId="11" applyFont="1" applyFill="1" applyBorder="1" applyAlignment="1">
      <alignment horizontal="center" vertical="center"/>
    </xf>
    <xf numFmtId="0" fontId="92" fillId="5" borderId="36" xfId="11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/>
    </xf>
    <xf numFmtId="0" fontId="36" fillId="5" borderId="30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36" fillId="5" borderId="29" xfId="22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1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3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93" fillId="5" borderId="23" xfId="22" applyFont="1" applyFill="1" applyBorder="1" applyAlignment="1">
      <alignment horizontal="center" vertical="center" wrapText="1"/>
    </xf>
    <xf numFmtId="0" fontId="36" fillId="5" borderId="29" xfId="22" applyFont="1" applyFill="1" applyBorder="1" applyAlignment="1">
      <alignment horizontal="center" vertical="center" wrapText="1"/>
    </xf>
    <xf numFmtId="0" fontId="93" fillId="5" borderId="30" xfId="22" applyFont="1" applyFill="1" applyBorder="1" applyAlignment="1">
      <alignment horizontal="center" vertical="center" wrapText="1"/>
    </xf>
    <xf numFmtId="0" fontId="61" fillId="5" borderId="31" xfId="22" applyFont="1" applyFill="1" applyBorder="1" applyAlignment="1">
      <alignment horizontal="center" vertical="center" wrapText="1"/>
    </xf>
    <xf numFmtId="0" fontId="61" fillId="5" borderId="37" xfId="22" applyFont="1" applyFill="1" applyBorder="1" applyAlignment="1">
      <alignment horizontal="center" vertical="center" wrapText="1"/>
    </xf>
    <xf numFmtId="0" fontId="61" fillId="5" borderId="32" xfId="22" applyFont="1" applyFill="1" applyBorder="1" applyAlignment="1">
      <alignment horizontal="center" vertical="center" wrapText="1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124" fillId="0" borderId="31" xfId="11" applyFont="1" applyBorder="1" applyAlignment="1">
      <alignment horizontal="center" vertical="center"/>
    </xf>
    <xf numFmtId="0" fontId="38" fillId="5" borderId="28" xfId="22" applyFont="1" applyFill="1" applyBorder="1" applyAlignment="1">
      <alignment horizontal="center" vertical="center"/>
    </xf>
    <xf numFmtId="0" fontId="93" fillId="5" borderId="22" xfId="22" applyFont="1" applyFill="1" applyBorder="1" applyAlignment="1">
      <alignment horizontal="center" vertical="center" wrapText="1"/>
    </xf>
    <xf numFmtId="0" fontId="36" fillId="5" borderId="22" xfId="5" applyFont="1" applyFill="1" applyBorder="1" applyAlignment="1">
      <alignment horizontal="center" vertical="center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activeCell="I4" sqref="I4:I7"/>
    </sheetView>
  </sheetViews>
  <sheetFormatPr defaultColWidth="8.7265625" defaultRowHeight="13"/>
  <cols>
    <col min="1" max="1" width="8.7265625" style="395"/>
    <col min="2" max="2" width="27.7265625" style="395" bestFit="1" customWidth="1"/>
    <col min="3" max="3" width="34.7265625" style="395" customWidth="1"/>
    <col min="4" max="15" width="12.7265625" style="395" customWidth="1"/>
    <col min="16" max="16" width="15.7265625" style="395" customWidth="1"/>
    <col min="17" max="16384" width="8.7265625" style="395"/>
  </cols>
  <sheetData>
    <row r="1" spans="2:16" ht="18.5">
      <c r="B1" s="515" t="s">
        <v>197</v>
      </c>
      <c r="C1" s="516"/>
      <c r="D1" s="403" t="s">
        <v>486</v>
      </c>
      <c r="E1" s="403" t="s">
        <v>488</v>
      </c>
      <c r="F1" s="403" t="s">
        <v>489</v>
      </c>
      <c r="G1" s="403" t="s">
        <v>490</v>
      </c>
      <c r="H1" s="403" t="s">
        <v>491</v>
      </c>
      <c r="I1" s="403" t="s">
        <v>492</v>
      </c>
      <c r="J1" s="403" t="s">
        <v>493</v>
      </c>
      <c r="K1" s="403" t="s">
        <v>494</v>
      </c>
      <c r="L1" s="403" t="s">
        <v>495</v>
      </c>
      <c r="M1" s="403" t="s">
        <v>496</v>
      </c>
      <c r="N1" s="403" t="s">
        <v>497</v>
      </c>
      <c r="O1" s="403" t="s">
        <v>498</v>
      </c>
      <c r="P1" s="404" t="s">
        <v>499</v>
      </c>
    </row>
    <row r="2" spans="2:16" ht="15.5">
      <c r="B2" s="512" t="s">
        <v>510</v>
      </c>
      <c r="C2" s="416" t="s">
        <v>500</v>
      </c>
      <c r="D2" s="405">
        <v>146299.93539000006</v>
      </c>
      <c r="E2" s="405">
        <v>116569.43023000001</v>
      </c>
      <c r="F2" s="405">
        <v>148837.99842999995</v>
      </c>
      <c r="G2" s="405">
        <v>160648.31477000003</v>
      </c>
      <c r="H2" s="405">
        <v>181836.62618999998</v>
      </c>
      <c r="I2" s="405">
        <v>194099.28702000002</v>
      </c>
      <c r="J2" s="405"/>
      <c r="K2" s="405"/>
      <c r="L2" s="405"/>
      <c r="M2" s="405"/>
      <c r="N2" s="405"/>
      <c r="O2" s="405"/>
      <c r="P2" s="417">
        <f>SUM(D2:O2)</f>
        <v>948291.59203000006</v>
      </c>
    </row>
    <row r="3" spans="2:16" ht="15.5">
      <c r="B3" s="512"/>
      <c r="C3" s="416" t="s">
        <v>501</v>
      </c>
      <c r="D3" s="405">
        <v>4768701</v>
      </c>
      <c r="E3" s="405">
        <v>3787002</v>
      </c>
      <c r="F3" s="405">
        <v>5045753</v>
      </c>
      <c r="G3" s="405">
        <v>5396292</v>
      </c>
      <c r="H3" s="405">
        <v>6084520</v>
      </c>
      <c r="I3" s="405">
        <v>6275618</v>
      </c>
      <c r="J3" s="405"/>
      <c r="K3" s="405"/>
      <c r="L3" s="405"/>
      <c r="M3" s="405"/>
      <c r="N3" s="405"/>
      <c r="O3" s="405"/>
      <c r="P3" s="417">
        <f>SUM(D3:O3)</f>
        <v>31357886</v>
      </c>
    </row>
    <row r="4" spans="2:16" ht="15.5">
      <c r="B4" s="512"/>
      <c r="C4" s="416" t="s">
        <v>502</v>
      </c>
      <c r="D4" s="405">
        <v>93253</v>
      </c>
      <c r="E4" s="405">
        <v>74777</v>
      </c>
      <c r="F4" s="405">
        <v>93614</v>
      </c>
      <c r="G4" s="405">
        <v>104435</v>
      </c>
      <c r="H4" s="405">
        <v>116562</v>
      </c>
      <c r="I4" s="405">
        <v>126964</v>
      </c>
      <c r="J4" s="405"/>
      <c r="K4" s="405"/>
      <c r="L4" s="405"/>
      <c r="M4" s="405"/>
      <c r="N4" s="405"/>
      <c r="O4" s="405"/>
      <c r="P4" s="417">
        <f>SUM(D4:O4)</f>
        <v>609605</v>
      </c>
    </row>
    <row r="5" spans="2:16" ht="15.5">
      <c r="B5" s="512"/>
      <c r="C5" s="418" t="s">
        <v>511</v>
      </c>
      <c r="D5" s="419">
        <v>0.65500000000000003</v>
      </c>
      <c r="E5" s="419">
        <v>0.65300000000000002</v>
      </c>
      <c r="F5" s="419">
        <v>0.64800000000000002</v>
      </c>
      <c r="G5" s="419">
        <v>0.66300000000000003</v>
      </c>
      <c r="H5" s="419">
        <v>0.67200000000000004</v>
      </c>
      <c r="I5" s="419">
        <v>0.67500000000000004</v>
      </c>
      <c r="J5" s="420" t="str">
        <f t="shared" ref="J5:O5" si="0">IFERROR(J4/J2, "")</f>
        <v/>
      </c>
      <c r="K5" s="420" t="str">
        <f t="shared" si="0"/>
        <v/>
      </c>
      <c r="L5" s="420" t="str">
        <f t="shared" si="0"/>
        <v/>
      </c>
      <c r="M5" s="420" t="str">
        <f t="shared" si="0"/>
        <v/>
      </c>
      <c r="N5" s="420" t="str">
        <f t="shared" si="0"/>
        <v/>
      </c>
      <c r="O5" s="420" t="str">
        <f t="shared" si="0"/>
        <v/>
      </c>
      <c r="P5" s="421">
        <f>AVERAGEIF(D5:O5, "&gt;0")</f>
        <v>0.66100000000000003</v>
      </c>
    </row>
    <row r="6" spans="2:16" ht="15.5">
      <c r="B6" s="512"/>
      <c r="C6" s="416" t="s">
        <v>503</v>
      </c>
      <c r="D6" s="405">
        <v>22378</v>
      </c>
      <c r="E6" s="405">
        <v>22860</v>
      </c>
      <c r="F6" s="405">
        <v>22710</v>
      </c>
      <c r="G6" s="405">
        <v>23226</v>
      </c>
      <c r="H6" s="405">
        <v>24474</v>
      </c>
      <c r="I6" s="405">
        <v>26795</v>
      </c>
      <c r="J6" s="405"/>
      <c r="K6" s="405"/>
      <c r="L6" s="405"/>
      <c r="M6" s="405"/>
      <c r="N6" s="405"/>
      <c r="O6" s="405"/>
      <c r="P6" s="417">
        <f t="shared" ref="P6" si="1">SUM(D6:O6)</f>
        <v>142443</v>
      </c>
    </row>
    <row r="7" spans="2:16" ht="15.5">
      <c r="B7" s="512"/>
      <c r="C7" s="418" t="s">
        <v>512</v>
      </c>
      <c r="D7" s="419">
        <v>0.157</v>
      </c>
      <c r="E7" s="419">
        <v>0.2</v>
      </c>
      <c r="F7" s="419">
        <v>0.157</v>
      </c>
      <c r="G7" s="419">
        <v>0.14699999999999999</v>
      </c>
      <c r="H7" s="419">
        <v>0.14099999999999999</v>
      </c>
      <c r="I7" s="419">
        <v>0.14199999999999999</v>
      </c>
      <c r="J7" s="420" t="str">
        <f t="shared" ref="J7:O7" si="2">IFERROR(J6/J2, "")</f>
        <v/>
      </c>
      <c r="K7" s="420" t="str">
        <f t="shared" si="2"/>
        <v/>
      </c>
      <c r="L7" s="420" t="str">
        <f t="shared" si="2"/>
        <v/>
      </c>
      <c r="M7" s="420" t="str">
        <f t="shared" si="2"/>
        <v/>
      </c>
      <c r="N7" s="420" t="str">
        <f t="shared" si="2"/>
        <v/>
      </c>
      <c r="O7" s="420" t="str">
        <f t="shared" si="2"/>
        <v/>
      </c>
      <c r="P7" s="421">
        <f>AVERAGEIF(D7:O7, "&gt;0")</f>
        <v>0.15733333333333335</v>
      </c>
    </row>
    <row r="8" spans="2:16" ht="15.5">
      <c r="B8" s="422"/>
      <c r="C8" s="416"/>
      <c r="D8" s="405"/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17"/>
    </row>
    <row r="9" spans="2:16" ht="15.5">
      <c r="B9" s="512" t="s">
        <v>130</v>
      </c>
      <c r="C9" s="416" t="s">
        <v>513</v>
      </c>
      <c r="D9" s="423">
        <v>497.6</v>
      </c>
      <c r="E9" s="423">
        <v>497.6</v>
      </c>
      <c r="F9" s="423">
        <v>497.6</v>
      </c>
      <c r="G9" s="423">
        <v>497.6</v>
      </c>
      <c r="H9" s="406">
        <v>497.6</v>
      </c>
      <c r="I9" s="406">
        <v>497.6</v>
      </c>
      <c r="J9" s="406"/>
      <c r="K9" s="406"/>
      <c r="L9" s="406"/>
      <c r="M9" s="406"/>
      <c r="N9" s="406"/>
      <c r="O9" s="406"/>
      <c r="P9" s="424">
        <f>AVERAGEIF(D9:O9, "&gt;0")</f>
        <v>497.59999999999997</v>
      </c>
    </row>
    <row r="10" spans="2:16" ht="15.5">
      <c r="B10" s="512"/>
      <c r="C10" s="416" t="s">
        <v>504</v>
      </c>
      <c r="D10" s="423">
        <v>458.3841382804668</v>
      </c>
      <c r="E10" s="423">
        <v>476.04171528829499</v>
      </c>
      <c r="F10" s="423">
        <v>409.81563372836604</v>
      </c>
      <c r="G10" s="406">
        <v>402.86432092718081</v>
      </c>
      <c r="H10" s="406">
        <v>419.38045550218868</v>
      </c>
      <c r="I10" s="406">
        <v>425.95259125022073</v>
      </c>
      <c r="J10" s="406"/>
      <c r="K10" s="406"/>
      <c r="L10" s="406"/>
      <c r="M10" s="406"/>
      <c r="N10" s="406"/>
      <c r="O10" s="406"/>
      <c r="P10" s="424">
        <f>AVERAGEIF(D10:O10, "&gt;0")</f>
        <v>432.07314249611971</v>
      </c>
    </row>
    <row r="11" spans="2:16" ht="15.5">
      <c r="B11" s="512"/>
      <c r="C11" s="418" t="s">
        <v>505</v>
      </c>
      <c r="D11" s="420">
        <f t="shared" ref="D11:O11" si="3">IFERROR(D10/D9, "")</f>
        <v>0.92118998850576117</v>
      </c>
      <c r="E11" s="420">
        <f t="shared" si="3"/>
        <v>0.95667547284625198</v>
      </c>
      <c r="F11" s="420">
        <f t="shared" si="3"/>
        <v>0.82358447292678061</v>
      </c>
      <c r="G11" s="420">
        <f t="shared" si="3"/>
        <v>0.80961479286008997</v>
      </c>
      <c r="H11" s="420">
        <v>0.94796667156914272</v>
      </c>
      <c r="I11" s="420">
        <v>0.96282231295257903</v>
      </c>
      <c r="J11" s="420" t="str">
        <f t="shared" si="3"/>
        <v/>
      </c>
      <c r="K11" s="420" t="str">
        <f t="shared" si="3"/>
        <v/>
      </c>
      <c r="L11" s="420" t="str">
        <f t="shared" si="3"/>
        <v/>
      </c>
      <c r="M11" s="420" t="str">
        <f t="shared" si="3"/>
        <v/>
      </c>
      <c r="N11" s="420" t="str">
        <f t="shared" si="3"/>
        <v/>
      </c>
      <c r="O11" s="420" t="str">
        <f t="shared" si="3"/>
        <v/>
      </c>
      <c r="P11" s="425">
        <f>AVERAGEIF(D11:O11, "&gt;0")</f>
        <v>0.90364228527676749</v>
      </c>
    </row>
    <row r="12" spans="2:16" ht="15.5">
      <c r="B12" s="512"/>
      <c r="C12" s="416" t="s">
        <v>506</v>
      </c>
      <c r="D12" s="408">
        <v>2.4135432458014692E-3</v>
      </c>
      <c r="E12" s="407">
        <v>2.3657636051419204E-3</v>
      </c>
      <c r="F12" s="407">
        <v>2.0222247634522129E-3</v>
      </c>
      <c r="G12" s="407">
        <v>2.0113648122943311E-3</v>
      </c>
      <c r="H12" s="407">
        <v>2.0088240498114199E-3</v>
      </c>
      <c r="I12" s="407">
        <v>2.0072505835617024E-3</v>
      </c>
      <c r="J12" s="407"/>
      <c r="K12" s="407"/>
      <c r="L12" s="407"/>
      <c r="M12" s="407"/>
      <c r="N12" s="407"/>
      <c r="O12" s="407"/>
      <c r="P12" s="426">
        <f>AVERAGEIF(D12:O12, "&gt;0")</f>
        <v>2.1381618433438426E-3</v>
      </c>
    </row>
    <row r="13" spans="2:16" ht="15.5">
      <c r="B13" s="512"/>
      <c r="C13" s="416" t="s">
        <v>507</v>
      </c>
      <c r="D13" s="408">
        <v>5.599443330875099E-3</v>
      </c>
      <c r="E13" s="408">
        <v>5.2393000579921759E-3</v>
      </c>
      <c r="F13" s="408">
        <v>4.8799137535570384E-3</v>
      </c>
      <c r="G13" s="408">
        <v>4.3085188206646403E-3</v>
      </c>
      <c r="H13" s="408">
        <v>6.1874817008048359E-3</v>
      </c>
      <c r="I13" s="408">
        <v>6.077521140456379E-3</v>
      </c>
      <c r="J13" s="408"/>
      <c r="K13" s="408"/>
      <c r="L13" s="408"/>
      <c r="M13" s="408"/>
      <c r="N13" s="408"/>
      <c r="O13" s="408"/>
      <c r="P13" s="425">
        <f>AVERAGEIF(D13:O13, "&gt;0")</f>
        <v>5.3820298007250279E-3</v>
      </c>
    </row>
    <row r="14" spans="2:16" ht="15.5">
      <c r="B14" s="512"/>
      <c r="C14" s="416" t="s">
        <v>514</v>
      </c>
      <c r="D14" s="408">
        <v>0.89999999999999947</v>
      </c>
      <c r="E14" s="408">
        <v>0.89999999999999958</v>
      </c>
      <c r="F14" s="408">
        <v>0.89999999999999947</v>
      </c>
      <c r="G14" s="408">
        <v>0.89999999999999958</v>
      </c>
      <c r="H14" s="408">
        <v>0.89999999999999947</v>
      </c>
      <c r="I14" s="408">
        <v>0.89999999999999958</v>
      </c>
      <c r="J14" s="408"/>
      <c r="K14" s="408"/>
      <c r="L14" s="408"/>
      <c r="M14" s="408"/>
      <c r="N14" s="408"/>
      <c r="O14" s="408"/>
      <c r="P14" s="425">
        <f t="shared" ref="P14" si="4">AVERAGEIF(D14:O14, "&gt;0")</f>
        <v>0.89999999999999947</v>
      </c>
    </row>
    <row r="15" spans="2:16" ht="15.5">
      <c r="B15" s="512"/>
      <c r="C15" s="416" t="s">
        <v>515</v>
      </c>
      <c r="D15" s="408">
        <v>5.7692307692307702E-2</v>
      </c>
      <c r="E15" s="408">
        <v>0.13873626373626369</v>
      </c>
      <c r="F15" s="408">
        <v>0.21960297766749381</v>
      </c>
      <c r="G15" s="408">
        <v>0.30384615384615377</v>
      </c>
      <c r="H15" s="408">
        <v>0.38709677419354849</v>
      </c>
      <c r="I15" s="408">
        <v>0.47115384615384609</v>
      </c>
      <c r="J15" s="408"/>
      <c r="K15" s="408"/>
      <c r="L15" s="408"/>
      <c r="M15" s="408"/>
      <c r="N15" s="408"/>
      <c r="O15" s="408"/>
      <c r="P15" s="425">
        <f>MAX(D15:O15)</f>
        <v>0.47115384615384609</v>
      </c>
    </row>
    <row r="16" spans="2:16" ht="15.5">
      <c r="B16" s="422"/>
      <c r="C16" s="416"/>
      <c r="D16" s="408"/>
      <c r="E16" s="408"/>
      <c r="F16" s="408"/>
      <c r="G16" s="408"/>
      <c r="H16" s="408"/>
      <c r="I16" s="408"/>
      <c r="J16" s="408"/>
      <c r="K16" s="408"/>
      <c r="L16" s="408"/>
      <c r="M16" s="408"/>
      <c r="N16" s="408"/>
      <c r="O16" s="408"/>
      <c r="P16" s="425"/>
    </row>
    <row r="17" spans="2:16" ht="15.5">
      <c r="B17" s="513" t="s">
        <v>516</v>
      </c>
      <c r="C17" s="416" t="s">
        <v>517</v>
      </c>
      <c r="D17" s="427">
        <v>0.36139567422949059</v>
      </c>
      <c r="E17" s="427">
        <v>0.34737656751091073</v>
      </c>
      <c r="F17" s="427">
        <v>0.36414345188530645</v>
      </c>
      <c r="G17" s="427">
        <v>0.38079955956950995</v>
      </c>
      <c r="H17" s="427">
        <v>0.36318310058720077</v>
      </c>
      <c r="I17" s="427">
        <v>0.29977346874027683</v>
      </c>
      <c r="J17" s="427"/>
      <c r="K17" s="427"/>
      <c r="L17" s="427"/>
      <c r="M17" s="427"/>
      <c r="N17" s="427"/>
      <c r="O17" s="427"/>
      <c r="P17" s="425">
        <f>AVERAGEIF(D17:O17, "&gt;0")</f>
        <v>0.35277863708711593</v>
      </c>
    </row>
    <row r="18" spans="2:16" ht="15.5">
      <c r="B18" s="517"/>
      <c r="C18" s="416" t="s">
        <v>222</v>
      </c>
      <c r="D18" s="427">
        <v>6.9633574224369291E-2</v>
      </c>
      <c r="E18" s="427">
        <v>7.7793665132509071E-2</v>
      </c>
      <c r="F18" s="427">
        <v>8.4480826486750038E-2</v>
      </c>
      <c r="G18" s="427">
        <v>6.0267903798814304E-2</v>
      </c>
      <c r="H18" s="427">
        <v>4.1707027010475142E-2</v>
      </c>
      <c r="I18" s="427">
        <v>3.5290065487433755E-2</v>
      </c>
      <c r="J18" s="427"/>
      <c r="K18" s="427"/>
      <c r="L18" s="427"/>
      <c r="M18" s="427"/>
      <c r="N18" s="427"/>
      <c r="O18" s="427"/>
      <c r="P18" s="425">
        <f t="shared" ref="P18:P45" si="5">AVERAGEIF(D18:O18, "&gt;0")</f>
        <v>6.1528843690058593E-2</v>
      </c>
    </row>
    <row r="19" spans="2:16" ht="15.5">
      <c r="B19" s="517"/>
      <c r="C19" s="416" t="s">
        <v>235</v>
      </c>
      <c r="D19" s="427">
        <v>2.2453221877666876E-2</v>
      </c>
      <c r="E19" s="427">
        <v>2.1676449691951108E-2</v>
      </c>
      <c r="F19" s="427">
        <v>2.4365160296787799E-2</v>
      </c>
      <c r="G19" s="427">
        <v>1.8891117808144807E-2</v>
      </c>
      <c r="H19" s="427">
        <v>1.3969000103124941E-2</v>
      </c>
      <c r="I19" s="427">
        <v>1.0903808522397734E-2</v>
      </c>
      <c r="J19" s="427"/>
      <c r="K19" s="427"/>
      <c r="L19" s="427"/>
      <c r="M19" s="427"/>
      <c r="N19" s="427"/>
      <c r="O19" s="427"/>
      <c r="P19" s="425">
        <f t="shared" si="5"/>
        <v>1.8709793050012212E-2</v>
      </c>
    </row>
    <row r="20" spans="2:16" ht="15.5">
      <c r="B20" s="517"/>
      <c r="C20" s="416" t="s">
        <v>220</v>
      </c>
      <c r="D20" s="427">
        <v>8.5850389930237133E-3</v>
      </c>
      <c r="E20" s="427">
        <v>9.9523222144173289E-3</v>
      </c>
      <c r="F20" s="427">
        <v>1.4684918119400437E-2</v>
      </c>
      <c r="G20" s="427">
        <v>2.8316295795027466E-2</v>
      </c>
      <c r="H20" s="427">
        <v>3.4128077824737396E-2</v>
      </c>
      <c r="I20" s="427">
        <v>4.9548361396139648E-2</v>
      </c>
      <c r="J20" s="427"/>
      <c r="K20" s="427"/>
      <c r="L20" s="427"/>
      <c r="M20" s="427"/>
      <c r="N20" s="427"/>
      <c r="O20" s="427"/>
      <c r="P20" s="425">
        <f t="shared" si="5"/>
        <v>2.4202502390457663E-2</v>
      </c>
    </row>
    <row r="21" spans="2:16" ht="15.5">
      <c r="B21" s="517"/>
      <c r="C21" s="416" t="s">
        <v>224</v>
      </c>
      <c r="D21" s="427">
        <v>0.16215294044225204</v>
      </c>
      <c r="E21" s="427">
        <v>0.18214707911075978</v>
      </c>
      <c r="F21" s="427">
        <v>0.20289323995580696</v>
      </c>
      <c r="G21" s="427">
        <v>0.15628267987712793</v>
      </c>
      <c r="H21" s="427">
        <v>0.13415543936957161</v>
      </c>
      <c r="I21" s="427">
        <v>0.13432459995236101</v>
      </c>
      <c r="J21" s="427"/>
      <c r="K21" s="427"/>
      <c r="L21" s="427"/>
      <c r="M21" s="427"/>
      <c r="N21" s="427"/>
      <c r="O21" s="427"/>
      <c r="P21" s="425">
        <f t="shared" si="5"/>
        <v>0.16199266311797991</v>
      </c>
    </row>
    <row r="22" spans="2:16" ht="15.5">
      <c r="B22" s="517"/>
      <c r="C22" s="416" t="s">
        <v>226</v>
      </c>
      <c r="D22" s="427">
        <v>0.27057088032525339</v>
      </c>
      <c r="E22" s="427">
        <v>0.27529225824200032</v>
      </c>
      <c r="F22" s="427">
        <v>0.29293399487971084</v>
      </c>
      <c r="G22" s="427">
        <v>0.27842233710348685</v>
      </c>
      <c r="H22" s="427">
        <v>0.26474822074458115</v>
      </c>
      <c r="I22" s="427">
        <v>0.22905816354399502</v>
      </c>
      <c r="J22" s="427"/>
      <c r="K22" s="427"/>
      <c r="L22" s="427"/>
      <c r="M22" s="427"/>
      <c r="N22" s="427"/>
      <c r="O22" s="427"/>
      <c r="P22" s="425">
        <f t="shared" si="5"/>
        <v>0.26850430913983797</v>
      </c>
    </row>
    <row r="23" spans="2:16" ht="15.5">
      <c r="B23" s="517"/>
      <c r="C23" s="416" t="s">
        <v>236</v>
      </c>
      <c r="D23" s="427">
        <v>2.9234371078829206E-2</v>
      </c>
      <c r="E23" s="427">
        <v>8.9796818765835347E-3</v>
      </c>
      <c r="F23" s="427">
        <v>0</v>
      </c>
      <c r="G23" s="427">
        <v>0</v>
      </c>
      <c r="H23" s="427">
        <v>0</v>
      </c>
      <c r="I23" s="427">
        <v>0</v>
      </c>
      <c r="J23" s="427"/>
      <c r="K23" s="427"/>
      <c r="L23" s="427"/>
      <c r="M23" s="427"/>
      <c r="N23" s="427"/>
      <c r="O23" s="427"/>
      <c r="P23" s="425">
        <f t="shared" si="5"/>
        <v>1.910702647770637E-2</v>
      </c>
    </row>
    <row r="24" spans="2:16" ht="15.5">
      <c r="B24" s="517"/>
      <c r="C24" s="416" t="s">
        <v>237</v>
      </c>
      <c r="D24" s="427">
        <v>4.0564165966170615E-2</v>
      </c>
      <c r="E24" s="427">
        <v>4.0109498783470192E-2</v>
      </c>
      <c r="F24" s="427">
        <v>1.6541184549440737E-3</v>
      </c>
      <c r="G24" s="427">
        <v>6.4343547299571813E-2</v>
      </c>
      <c r="H24" s="427">
        <v>0.13502459319909141</v>
      </c>
      <c r="I24" s="427">
        <v>0.17184921115430482</v>
      </c>
      <c r="J24" s="427"/>
      <c r="K24" s="427"/>
      <c r="L24" s="427"/>
      <c r="M24" s="427"/>
      <c r="N24" s="427"/>
      <c r="O24" s="427"/>
      <c r="P24" s="425">
        <f t="shared" si="5"/>
        <v>7.559085580959217E-2</v>
      </c>
    </row>
    <row r="25" spans="2:16" ht="15.5">
      <c r="B25" s="518"/>
      <c r="C25" s="416" t="s">
        <v>232</v>
      </c>
      <c r="D25" s="427">
        <v>3.5410132862943831E-2</v>
      </c>
      <c r="E25" s="427">
        <v>3.6672477437397863E-2</v>
      </c>
      <c r="F25" s="427">
        <v>1.4844289921293864E-2</v>
      </c>
      <c r="G25" s="427">
        <v>1.2676558748316833E-2</v>
      </c>
      <c r="H25" s="427">
        <v>1.308454116121764E-2</v>
      </c>
      <c r="I25" s="427">
        <v>6.925232120309105E-2</v>
      </c>
      <c r="J25" s="427"/>
      <c r="K25" s="427"/>
      <c r="L25" s="427"/>
      <c r="M25" s="427"/>
      <c r="N25" s="427"/>
      <c r="O25" s="427"/>
      <c r="P25" s="425">
        <f t="shared" si="5"/>
        <v>3.0323386889043513E-2</v>
      </c>
    </row>
    <row r="26" spans="2:16" ht="15.5">
      <c r="B26" s="422"/>
      <c r="C26" s="416"/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25"/>
    </row>
    <row r="27" spans="2:16" ht="15.5">
      <c r="B27" s="513" t="s">
        <v>518</v>
      </c>
      <c r="C27" s="416" t="s">
        <v>517</v>
      </c>
      <c r="D27" s="427">
        <v>0.58577126139802016</v>
      </c>
      <c r="E27" s="427">
        <v>0.57025346170928881</v>
      </c>
      <c r="F27" s="427">
        <v>0.57640851623137324</v>
      </c>
      <c r="G27" s="427">
        <v>0.58366911946203059</v>
      </c>
      <c r="H27" s="427">
        <v>0.56064800510147061</v>
      </c>
      <c r="I27" s="427">
        <v>0.49244058513440431</v>
      </c>
      <c r="J27" s="427"/>
      <c r="K27" s="427"/>
      <c r="L27" s="427"/>
      <c r="M27" s="427"/>
      <c r="N27" s="427"/>
      <c r="O27" s="427"/>
      <c r="P27" s="425">
        <f>AVERAGEIF(D27:O27, "&gt;0")</f>
        <v>0.56153182483943131</v>
      </c>
    </row>
    <row r="28" spans="2:16" ht="15.5">
      <c r="B28" s="517"/>
      <c r="C28" s="416" t="s">
        <v>222</v>
      </c>
      <c r="D28" s="427">
        <v>8.1693945583923164E-2</v>
      </c>
      <c r="E28" s="427">
        <v>9.1615478418020382E-2</v>
      </c>
      <c r="F28" s="427">
        <v>0.10179987010858439</v>
      </c>
      <c r="G28" s="427">
        <v>6.8907686982098079E-2</v>
      </c>
      <c r="H28" s="427">
        <v>4.4634580870799995E-2</v>
      </c>
      <c r="I28" s="427">
        <v>3.785093356542734E-2</v>
      </c>
      <c r="J28" s="427"/>
      <c r="K28" s="427"/>
      <c r="L28" s="427"/>
      <c r="M28" s="427"/>
      <c r="N28" s="427"/>
      <c r="O28" s="427"/>
      <c r="P28" s="425">
        <f t="shared" si="5"/>
        <v>7.1083749254808884E-2</v>
      </c>
    </row>
    <row r="29" spans="2:16" ht="15.5">
      <c r="B29" s="517"/>
      <c r="C29" s="416" t="s">
        <v>235</v>
      </c>
      <c r="D29" s="427">
        <v>2.4966128092325353E-2</v>
      </c>
      <c r="E29" s="427">
        <v>2.3825971045169769E-2</v>
      </c>
      <c r="F29" s="427">
        <v>2.6809080825002728E-2</v>
      </c>
      <c r="G29" s="427">
        <v>2.031339297428679E-2</v>
      </c>
      <c r="H29" s="427">
        <v>1.4309263508049936E-2</v>
      </c>
      <c r="I29" s="427">
        <v>1.1252756302247842E-2</v>
      </c>
      <c r="J29" s="427"/>
      <c r="K29" s="427"/>
      <c r="L29" s="427"/>
      <c r="M29" s="427"/>
      <c r="N29" s="427"/>
      <c r="O29" s="427"/>
      <c r="P29" s="425">
        <f t="shared" si="5"/>
        <v>2.0246098791180403E-2</v>
      </c>
    </row>
    <row r="30" spans="2:16" ht="15.5">
      <c r="B30" s="517"/>
      <c r="C30" s="416" t="s">
        <v>220</v>
      </c>
      <c r="D30" s="427">
        <v>9.7963785106258503E-3</v>
      </c>
      <c r="E30" s="427">
        <v>1.1706621755150907E-2</v>
      </c>
      <c r="F30" s="427">
        <v>1.640151628508173E-2</v>
      </c>
      <c r="G30" s="427">
        <v>3.1347821800599376E-2</v>
      </c>
      <c r="H30" s="427">
        <v>4.8132802587550046E-2</v>
      </c>
      <c r="I30" s="427">
        <v>6.2276894482742574E-2</v>
      </c>
      <c r="J30" s="427"/>
      <c r="K30" s="427"/>
      <c r="L30" s="427"/>
      <c r="M30" s="427"/>
      <c r="N30" s="427"/>
      <c r="O30" s="427"/>
      <c r="P30" s="425">
        <f t="shared" si="5"/>
        <v>2.9943672570291745E-2</v>
      </c>
    </row>
    <row r="31" spans="2:16" ht="15.5">
      <c r="B31" s="517"/>
      <c r="C31" s="416" t="s">
        <v>224</v>
      </c>
      <c r="D31" s="427">
        <v>8.9953008167213674E-2</v>
      </c>
      <c r="E31" s="427">
        <v>0.10114834901064219</v>
      </c>
      <c r="F31" s="427">
        <v>0.11343936177613133</v>
      </c>
      <c r="G31" s="427">
        <v>8.956298139537297E-2</v>
      </c>
      <c r="H31" s="427">
        <v>7.5610894532354242E-2</v>
      </c>
      <c r="I31" s="427">
        <v>7.6646793989054149E-2</v>
      </c>
      <c r="J31" s="427"/>
      <c r="K31" s="427"/>
      <c r="L31" s="427"/>
      <c r="M31" s="427"/>
      <c r="N31" s="427"/>
      <c r="O31" s="427"/>
      <c r="P31" s="425">
        <f t="shared" si="5"/>
        <v>9.1060231478461429E-2</v>
      </c>
    </row>
    <row r="32" spans="2:16" ht="15.5">
      <c r="B32" s="517"/>
      <c r="C32" s="416" t="s">
        <v>226</v>
      </c>
      <c r="D32" s="427">
        <v>0.13708177551916129</v>
      </c>
      <c r="E32" s="427">
        <v>0.14060779476747043</v>
      </c>
      <c r="F32" s="427">
        <v>0.14223546019791297</v>
      </c>
      <c r="G32" s="427">
        <v>0.13317793032697267</v>
      </c>
      <c r="H32" s="427">
        <v>0.12743437444531369</v>
      </c>
      <c r="I32" s="427">
        <v>0.11321896903221325</v>
      </c>
      <c r="J32" s="427"/>
      <c r="K32" s="427"/>
      <c r="L32" s="427"/>
      <c r="M32" s="427"/>
      <c r="N32" s="427"/>
      <c r="O32" s="427"/>
      <c r="P32" s="425">
        <f t="shared" si="5"/>
        <v>0.13229271738150739</v>
      </c>
    </row>
    <row r="33" spans="2:16" ht="15.5">
      <c r="B33" s="517"/>
      <c r="C33" s="416" t="s">
        <v>236</v>
      </c>
      <c r="D33" s="427">
        <v>1.5652480623129864E-2</v>
      </c>
      <c r="E33" s="427">
        <v>4.823868590510383E-3</v>
      </c>
      <c r="F33" s="427">
        <v>0</v>
      </c>
      <c r="G33" s="427">
        <v>0</v>
      </c>
      <c r="H33" s="427">
        <v>0</v>
      </c>
      <c r="I33" s="427">
        <v>0</v>
      </c>
      <c r="J33" s="427"/>
      <c r="K33" s="427"/>
      <c r="L33" s="427"/>
      <c r="M33" s="427"/>
      <c r="N33" s="427"/>
      <c r="O33" s="427"/>
      <c r="P33" s="425">
        <f t="shared" si="5"/>
        <v>1.0238174606820123E-2</v>
      </c>
    </row>
    <row r="34" spans="2:16" ht="15.5">
      <c r="B34" s="517"/>
      <c r="C34" s="416" t="s">
        <v>237</v>
      </c>
      <c r="D34" s="427">
        <v>2.2004734622699137E-2</v>
      </c>
      <c r="E34" s="427">
        <v>2.0902022232890293E-2</v>
      </c>
      <c r="F34" s="427">
        <v>6.7918504928798538E-4</v>
      </c>
      <c r="G34" s="427">
        <v>5.3864579603920618E-2</v>
      </c>
      <c r="H34" s="427">
        <v>0.11022479998422226</v>
      </c>
      <c r="I34" s="427">
        <v>0.14207987165566802</v>
      </c>
      <c r="J34" s="427"/>
      <c r="K34" s="427"/>
      <c r="L34" s="427"/>
      <c r="M34" s="427"/>
      <c r="N34" s="427"/>
      <c r="O34" s="427"/>
      <c r="P34" s="425">
        <f t="shared" si="5"/>
        <v>5.8292532191448053E-2</v>
      </c>
    </row>
    <row r="35" spans="2:16" ht="15.5">
      <c r="B35" s="518"/>
      <c r="C35" s="416" t="s">
        <v>232</v>
      </c>
      <c r="D35" s="427">
        <v>3.3080287482901531E-2</v>
      </c>
      <c r="E35" s="427">
        <v>3.5116432470856891E-2</v>
      </c>
      <c r="F35" s="427">
        <v>2.2227009526625659E-2</v>
      </c>
      <c r="G35" s="427">
        <v>1.9156487454718908E-2</v>
      </c>
      <c r="H35" s="427">
        <v>1.900527897023923E-2</v>
      </c>
      <c r="I35" s="427">
        <v>6.4233195838242538E-2</v>
      </c>
      <c r="J35" s="427"/>
      <c r="K35" s="427"/>
      <c r="L35" s="427"/>
      <c r="M35" s="427"/>
      <c r="N35" s="427"/>
      <c r="O35" s="427"/>
      <c r="P35" s="425">
        <f t="shared" si="5"/>
        <v>3.2136448623930787E-2</v>
      </c>
    </row>
    <row r="36" spans="2:16" ht="15.5">
      <c r="B36" s="422"/>
      <c r="C36" s="416"/>
      <c r="D36" s="408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408"/>
      <c r="P36" s="425"/>
    </row>
    <row r="37" spans="2:16" ht="15.5">
      <c r="B37" s="512" t="s">
        <v>519</v>
      </c>
      <c r="C37" s="416" t="s">
        <v>517</v>
      </c>
      <c r="D37" s="409">
        <v>768.96508698264131</v>
      </c>
      <c r="E37" s="409">
        <v>774.12086448722914</v>
      </c>
      <c r="F37" s="409">
        <v>757.5904244152307</v>
      </c>
      <c r="G37" s="409">
        <v>740.76981301731939</v>
      </c>
      <c r="H37" s="409">
        <v>765.35781664687147</v>
      </c>
      <c r="I37" s="409">
        <v>783.42710865003369</v>
      </c>
      <c r="J37" s="409"/>
      <c r="K37" s="409"/>
      <c r="L37" s="409"/>
      <c r="M37" s="409"/>
      <c r="N37" s="409"/>
      <c r="O37" s="409"/>
      <c r="P37" s="428">
        <f>AVERAGEIF(D37:O37, "&gt;0")</f>
        <v>765.03851903322095</v>
      </c>
    </row>
    <row r="38" spans="2:16" ht="15.5">
      <c r="B38" s="513"/>
      <c r="C38" s="429" t="s">
        <v>222</v>
      </c>
      <c r="D38" s="430">
        <v>280.52357557404559</v>
      </c>
      <c r="E38" s="430">
        <v>304.46478382945497</v>
      </c>
      <c r="F38" s="430">
        <v>311.70581961708376</v>
      </c>
      <c r="G38" s="430">
        <v>320.67204374311393</v>
      </c>
      <c r="H38" s="430">
        <v>308.1159721716769</v>
      </c>
      <c r="I38" s="430">
        <v>298.23676867480344</v>
      </c>
      <c r="J38" s="430"/>
      <c r="K38" s="430"/>
      <c r="L38" s="430"/>
      <c r="M38" s="430"/>
      <c r="N38" s="430"/>
      <c r="O38" s="430"/>
      <c r="P38" s="428">
        <f t="shared" si="5"/>
        <v>303.95316060169642</v>
      </c>
    </row>
    <row r="39" spans="2:16" ht="15.5">
      <c r="B39" s="513"/>
      <c r="C39" s="429" t="s">
        <v>235</v>
      </c>
      <c r="D39" s="430">
        <v>258.56166578115295</v>
      </c>
      <c r="E39" s="430">
        <v>203.2437413385673</v>
      </c>
      <c r="F39" s="430">
        <v>331.13667122055222</v>
      </c>
      <c r="G39" s="430">
        <v>331.07659362533582</v>
      </c>
      <c r="H39" s="430">
        <v>209.58696420097431</v>
      </c>
      <c r="I39" s="430">
        <v>118.56652276295132</v>
      </c>
      <c r="J39" s="430"/>
      <c r="K39" s="430"/>
      <c r="L39" s="430"/>
      <c r="M39" s="430"/>
      <c r="N39" s="430"/>
      <c r="O39" s="430"/>
      <c r="P39" s="428">
        <f t="shared" si="5"/>
        <v>242.02869315492231</v>
      </c>
    </row>
    <row r="40" spans="2:16" ht="15.5">
      <c r="B40" s="513"/>
      <c r="C40" s="429" t="s">
        <v>220</v>
      </c>
      <c r="D40" s="430">
        <v>486.07170829520021</v>
      </c>
      <c r="E40" s="430">
        <v>490.19814173593841</v>
      </c>
      <c r="F40" s="430">
        <v>493.97618103140815</v>
      </c>
      <c r="G40" s="430">
        <v>416.80190173613738</v>
      </c>
      <c r="H40" s="430">
        <v>367.707567900654</v>
      </c>
      <c r="I40" s="430">
        <v>397.08854160526414</v>
      </c>
      <c r="J40" s="430"/>
      <c r="K40" s="430"/>
      <c r="L40" s="430"/>
      <c r="M40" s="430"/>
      <c r="N40" s="430"/>
      <c r="O40" s="430"/>
      <c r="P40" s="428">
        <f t="shared" si="5"/>
        <v>441.97400705076706</v>
      </c>
    </row>
    <row r="41" spans="2:16" ht="15.5">
      <c r="B41" s="513"/>
      <c r="C41" s="429" t="s">
        <v>224</v>
      </c>
      <c r="D41" s="430">
        <v>82.669482447974161</v>
      </c>
      <c r="E41" s="430">
        <v>81.452411562244222</v>
      </c>
      <c r="F41" s="430">
        <v>79.94999927589204</v>
      </c>
      <c r="G41" s="430">
        <v>82.282454157599574</v>
      </c>
      <c r="H41" s="430">
        <v>81.90398870846974</v>
      </c>
      <c r="I41" s="430">
        <v>84.227709910361142</v>
      </c>
      <c r="J41" s="430"/>
      <c r="K41" s="430"/>
      <c r="L41" s="430"/>
      <c r="M41" s="430"/>
      <c r="N41" s="430"/>
      <c r="O41" s="430"/>
      <c r="P41" s="428">
        <f t="shared" si="5"/>
        <v>82.081007677090156</v>
      </c>
    </row>
    <row r="42" spans="2:16" ht="15.5">
      <c r="B42" s="513"/>
      <c r="C42" s="429" t="s">
        <v>226</v>
      </c>
      <c r="D42" s="430">
        <v>78.306366965294018</v>
      </c>
      <c r="E42" s="430">
        <v>77.971322564328403</v>
      </c>
      <c r="F42" s="430">
        <v>77.906796798443906</v>
      </c>
      <c r="G42" s="430">
        <v>78.189351465199536</v>
      </c>
      <c r="H42" s="430">
        <v>79.190461701431943</v>
      </c>
      <c r="I42" s="430">
        <v>79.718377211575145</v>
      </c>
      <c r="J42" s="430"/>
      <c r="K42" s="430"/>
      <c r="L42" s="430"/>
      <c r="M42" s="430"/>
      <c r="N42" s="430"/>
      <c r="O42" s="430"/>
      <c r="P42" s="428">
        <f t="shared" si="5"/>
        <v>78.547112784378825</v>
      </c>
    </row>
    <row r="43" spans="2:16" ht="15.5">
      <c r="B43" s="513"/>
      <c r="C43" s="429" t="s">
        <v>236</v>
      </c>
      <c r="D43" s="430">
        <v>76.250132772766719</v>
      </c>
      <c r="E43" s="430">
        <v>72.949975663847383</v>
      </c>
      <c r="F43" s="430">
        <v>0</v>
      </c>
      <c r="G43" s="430">
        <v>0</v>
      </c>
      <c r="H43" s="430">
        <v>0</v>
      </c>
      <c r="I43" s="430">
        <v>0</v>
      </c>
      <c r="J43" s="430"/>
      <c r="K43" s="430"/>
      <c r="L43" s="430"/>
      <c r="M43" s="430"/>
      <c r="N43" s="430"/>
      <c r="O43" s="430"/>
      <c r="P43" s="428">
        <f t="shared" si="5"/>
        <v>74.600054218307051</v>
      </c>
    </row>
    <row r="44" spans="2:16" ht="15.5">
      <c r="B44" s="513"/>
      <c r="C44" s="429" t="s">
        <v>237</v>
      </c>
      <c r="D44" s="430">
        <v>110.80830487807768</v>
      </c>
      <c r="E44" s="430">
        <v>97.15750138812345</v>
      </c>
      <c r="F44" s="430">
        <v>84.60142398436416</v>
      </c>
      <c r="G44" s="430">
        <v>159.74228643292116</v>
      </c>
      <c r="H44" s="430">
        <v>161.80618458291255</v>
      </c>
      <c r="I44" s="430">
        <v>157.36335172582426</v>
      </c>
      <c r="J44" s="430"/>
      <c r="K44" s="430"/>
      <c r="L44" s="430"/>
      <c r="M44" s="430"/>
      <c r="N44" s="430"/>
      <c r="O44" s="430"/>
      <c r="P44" s="428">
        <f t="shared" si="5"/>
        <v>128.57984216537054</v>
      </c>
    </row>
    <row r="45" spans="2:16" ht="16" thickBot="1">
      <c r="B45" s="514"/>
      <c r="C45" s="431" t="s">
        <v>232</v>
      </c>
      <c r="D45" s="410">
        <v>76.123665150077642</v>
      </c>
      <c r="E45" s="410">
        <v>77.592138128204311</v>
      </c>
      <c r="F45" s="410">
        <v>83.044478559400275</v>
      </c>
      <c r="G45" s="410">
        <v>83.064526679068933</v>
      </c>
      <c r="H45" s="410">
        <v>89.419712752776604</v>
      </c>
      <c r="I45" s="410">
        <v>118.28436587813741</v>
      </c>
      <c r="J45" s="410"/>
      <c r="K45" s="410"/>
      <c r="L45" s="410"/>
      <c r="M45" s="410"/>
      <c r="N45" s="410"/>
      <c r="O45" s="410"/>
      <c r="P45" s="432">
        <f t="shared" si="5"/>
        <v>87.921481191277522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zoomScale="115" zoomScaleNormal="100" zoomScaleSheetLayoutView="115" workbookViewId="0">
      <selection activeCell="B12" sqref="B12"/>
    </sheetView>
  </sheetViews>
  <sheetFormatPr defaultColWidth="12.54296875" defaultRowHeight="15.75" customHeight="1"/>
  <cols>
    <col min="1" max="1" width="27.453125" style="98" bestFit="1" customWidth="1"/>
    <col min="2" max="2" width="12.54296875" style="98" customWidth="1"/>
    <col min="3" max="4" width="12.54296875" style="98"/>
    <col min="5" max="5" width="16.453125" style="98" customWidth="1"/>
    <col min="6" max="6" width="2.453125" style="98" customWidth="1"/>
    <col min="7" max="7" width="24.81640625" style="98" bestFit="1" customWidth="1"/>
    <col min="8" max="10" width="12.54296875" style="98"/>
    <col min="11" max="11" width="16.453125" style="98" customWidth="1"/>
    <col min="12" max="12" width="12.54296875" style="99"/>
    <col min="13" max="16384" width="12.54296875" style="98"/>
  </cols>
  <sheetData>
    <row r="1" spans="1:12" ht="15.75" customHeight="1">
      <c r="A1" s="519" t="s">
        <v>334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98"/>
    </row>
    <row r="2" spans="1:12" s="99" customFormat="1" ht="15.75" customHeight="1">
      <c r="A2" s="520"/>
      <c r="B2" s="520"/>
      <c r="C2" s="520"/>
      <c r="D2" s="520"/>
      <c r="E2" s="520"/>
      <c r="F2" s="520"/>
      <c r="G2" s="520"/>
      <c r="H2" s="520"/>
      <c r="I2" s="520"/>
      <c r="J2" s="520"/>
      <c r="K2" s="520"/>
    </row>
    <row r="3" spans="1:12" ht="21.65" customHeight="1">
      <c r="A3" s="113" t="s">
        <v>73</v>
      </c>
      <c r="B3" s="114">
        <v>6</v>
      </c>
      <c r="C3" s="113" t="s">
        <v>20</v>
      </c>
      <c r="D3" s="521" t="s">
        <v>359</v>
      </c>
      <c r="E3" s="521"/>
      <c r="F3" s="99"/>
      <c r="G3" s="108"/>
      <c r="H3" s="99"/>
      <c r="I3" s="99"/>
      <c r="J3" s="99"/>
      <c r="K3" s="99"/>
    </row>
    <row r="4" spans="1:12" ht="15.75" customHeight="1">
      <c r="A4" s="109" t="s">
        <v>487</v>
      </c>
      <c r="E4" s="101" t="s">
        <v>23</v>
      </c>
      <c r="G4" s="110" t="s">
        <v>71</v>
      </c>
      <c r="L4" s="98"/>
    </row>
    <row r="5" spans="1:12" s="103" customFormat="1" ht="15.75" customHeight="1">
      <c r="A5" s="120" t="s">
        <v>197</v>
      </c>
      <c r="B5" s="115" t="s">
        <v>22</v>
      </c>
      <c r="C5" s="115" t="s">
        <v>1</v>
      </c>
      <c r="D5" s="115" t="s">
        <v>2</v>
      </c>
      <c r="E5" s="115" t="s">
        <v>3</v>
      </c>
      <c r="G5" s="120" t="s">
        <v>197</v>
      </c>
      <c r="H5" s="115" t="s">
        <v>69</v>
      </c>
      <c r="I5" s="115" t="s">
        <v>22</v>
      </c>
      <c r="J5" s="115" t="s">
        <v>67</v>
      </c>
      <c r="K5" s="115" t="s">
        <v>3</v>
      </c>
      <c r="L5" s="104" t="s">
        <v>60</v>
      </c>
    </row>
    <row r="6" spans="1:12" ht="18" customHeight="1">
      <c r="A6" s="106" t="s">
        <v>24</v>
      </c>
      <c r="B6" s="433" t="e">
        <f>'（１）收支狀況'!#REF!/1000</f>
        <v>#REF!</v>
      </c>
      <c r="C6" s="402">
        <v>181836.62618999998</v>
      </c>
      <c r="D6" s="116" t="e">
        <f t="shared" ref="D6:D11" si="0">B6-C6</f>
        <v>#REF!</v>
      </c>
      <c r="E6" s="402">
        <f>'數值累積總表(月)'!P2</f>
        <v>948291.59203000006</v>
      </c>
      <c r="G6" s="106" t="s">
        <v>198</v>
      </c>
      <c r="H6" s="118">
        <v>497.6</v>
      </c>
      <c r="I6" s="434" t="e">
        <f>'（２）ＫＰＩ達成進度'!#REF!</f>
        <v>#REF!</v>
      </c>
      <c r="J6" s="412">
        <v>419.38045550218868</v>
      </c>
      <c r="K6" s="412">
        <f>'數值累積總表(月)'!P10</f>
        <v>432.07314249611971</v>
      </c>
      <c r="L6" s="100" t="s">
        <v>195</v>
      </c>
    </row>
    <row r="7" spans="1:12" ht="18" customHeight="1">
      <c r="A7" s="106" t="s">
        <v>25</v>
      </c>
      <c r="B7" s="433" t="e">
        <f>'（１）收支狀況'!#REF!</f>
        <v>#REF!</v>
      </c>
      <c r="C7" s="402">
        <v>6084520</v>
      </c>
      <c r="D7" s="116" t="e">
        <f t="shared" si="0"/>
        <v>#REF!</v>
      </c>
      <c r="E7" s="402">
        <f>'數值累積總表(月)'!P3</f>
        <v>31357886</v>
      </c>
      <c r="G7" s="106" t="s">
        <v>199</v>
      </c>
      <c r="H7" s="117">
        <v>0.8</v>
      </c>
      <c r="I7" s="411" t="e">
        <f>'（２）ＫＰＩ達成進度'!#REF!</f>
        <v>#REF!</v>
      </c>
      <c r="J7" s="414">
        <v>0.94796667156914272</v>
      </c>
      <c r="K7" s="414">
        <f>'數值累積總表(月)'!P11</f>
        <v>0.90364228527676749</v>
      </c>
      <c r="L7" s="100" t="s">
        <v>4</v>
      </c>
    </row>
    <row r="8" spans="1:12" ht="18" customHeight="1">
      <c r="A8" s="106" t="s">
        <v>5</v>
      </c>
      <c r="B8" s="433" t="e">
        <f>'（１）收支狀況'!#REF!/1000</f>
        <v>#REF!</v>
      </c>
      <c r="C8" s="402">
        <v>122510.99774155837</v>
      </c>
      <c r="D8" s="116" t="e">
        <f>B8-C8</f>
        <v>#REF!</v>
      </c>
      <c r="E8" s="402">
        <f>'數值累積總表(月)'!P4</f>
        <v>609605</v>
      </c>
      <c r="G8" s="106" t="s">
        <v>200</v>
      </c>
      <c r="H8" s="117">
        <v>2.5000000000000001E-3</v>
      </c>
      <c r="I8" s="435" t="e">
        <f>'（２）ＫＰＩ達成進度'!#REF!</f>
        <v>#REF!</v>
      </c>
      <c r="J8" s="413">
        <v>2.0088240498114199E-3</v>
      </c>
      <c r="K8" s="413">
        <f>'數值累積總表(月)'!P12</f>
        <v>2.1381618433438426E-3</v>
      </c>
      <c r="L8" s="100" t="s">
        <v>55</v>
      </c>
    </row>
    <row r="9" spans="1:12" ht="18" customHeight="1">
      <c r="A9" s="106" t="s">
        <v>6</v>
      </c>
      <c r="B9" s="461" t="e">
        <f>'（１）收支狀況'!#REF!</f>
        <v>#REF!</v>
      </c>
      <c r="C9" s="436">
        <v>0.67374214045055691</v>
      </c>
      <c r="D9" s="117" t="e">
        <f t="shared" si="0"/>
        <v>#REF!</v>
      </c>
      <c r="E9" s="436">
        <f>'數值累積總表(月)'!P5</f>
        <v>0.66100000000000003</v>
      </c>
      <c r="G9" s="106" t="s">
        <v>201</v>
      </c>
      <c r="H9" s="117">
        <v>4.0000000000000001E-3</v>
      </c>
      <c r="I9" s="411" t="e">
        <f>'（２）ＫＰＩ達成進度'!#REF!</f>
        <v>#REF!</v>
      </c>
      <c r="J9" s="414">
        <v>6.1874817008048359E-3</v>
      </c>
      <c r="K9" s="414">
        <f>'數值累積總表(月)'!P13</f>
        <v>5.3820298007250279E-3</v>
      </c>
      <c r="L9" s="100" t="s">
        <v>98</v>
      </c>
    </row>
    <row r="10" spans="1:12" ht="18" customHeight="1">
      <c r="A10" s="106" t="s">
        <v>64</v>
      </c>
      <c r="B10" s="433" t="e">
        <f>'（１）收支狀況'!#REF!/1000</f>
        <v>#REF!</v>
      </c>
      <c r="C10" s="402">
        <v>25634.580419999998</v>
      </c>
      <c r="D10" s="116" t="e">
        <f>B10-C10</f>
        <v>#REF!</v>
      </c>
      <c r="E10" s="402">
        <f>'數值累積總表(月)'!P6</f>
        <v>142443</v>
      </c>
      <c r="G10" s="106" t="s">
        <v>202</v>
      </c>
      <c r="H10" s="117">
        <v>0.8</v>
      </c>
      <c r="I10" s="411" t="e">
        <f>'（２）ＫＰＩ達成進度'!#REF!</f>
        <v>#REF!</v>
      </c>
      <c r="J10" s="414">
        <v>0.89999999999999947</v>
      </c>
      <c r="K10" s="414">
        <f>'數值累積總表(月)'!P14</f>
        <v>0.89999999999999947</v>
      </c>
      <c r="L10" s="100" t="s">
        <v>7</v>
      </c>
    </row>
    <row r="11" spans="1:12" ht="18" customHeight="1">
      <c r="A11" s="106" t="s">
        <v>65</v>
      </c>
      <c r="B11" s="461" t="e">
        <f>'（１）收支狀況'!#REF!</f>
        <v>#REF!</v>
      </c>
      <c r="C11" s="436">
        <v>0.14097589114535475</v>
      </c>
      <c r="D11" s="117" t="e">
        <f t="shared" si="0"/>
        <v>#REF!</v>
      </c>
      <c r="E11" s="436">
        <f>'數值累積總表(月)'!P7</f>
        <v>0.15733333333333335</v>
      </c>
      <c r="G11" s="106" t="s">
        <v>203</v>
      </c>
      <c r="H11" s="117">
        <v>1</v>
      </c>
      <c r="I11" s="411" t="e">
        <f>'（２）ＫＰＩ達成進度'!#REF!</f>
        <v>#REF!</v>
      </c>
      <c r="J11" s="414">
        <v>0.38709677419354849</v>
      </c>
      <c r="K11" s="414">
        <f>'數值累積總表(月)'!P15</f>
        <v>0.47115384615384609</v>
      </c>
      <c r="L11" s="100" t="s">
        <v>62</v>
      </c>
    </row>
    <row r="12" spans="1:12" ht="9.65" customHeight="1">
      <c r="L12" s="98"/>
    </row>
    <row r="13" spans="1:12" ht="15.75" customHeight="1">
      <c r="A13" s="109" t="s">
        <v>32</v>
      </c>
      <c r="E13" s="309" t="s">
        <v>23</v>
      </c>
      <c r="G13" s="109" t="s">
        <v>33</v>
      </c>
      <c r="K13" s="309" t="s">
        <v>424</v>
      </c>
      <c r="L13" s="98"/>
    </row>
    <row r="14" spans="1:12" s="105" customFormat="1" ht="13.5">
      <c r="A14" s="119"/>
      <c r="B14" s="119" t="s">
        <v>22</v>
      </c>
      <c r="C14" s="119" t="s">
        <v>41</v>
      </c>
      <c r="D14" s="119" t="s">
        <v>67</v>
      </c>
      <c r="E14" s="119" t="s">
        <v>68</v>
      </c>
      <c r="G14" s="119"/>
      <c r="H14" s="119" t="s">
        <v>22</v>
      </c>
      <c r="I14" s="119" t="s">
        <v>41</v>
      </c>
      <c r="J14" s="119" t="s">
        <v>67</v>
      </c>
      <c r="K14" s="119" t="s">
        <v>68</v>
      </c>
    </row>
    <row r="15" spans="1:12" ht="18" customHeight="1">
      <c r="A15" s="106" t="s">
        <v>380</v>
      </c>
      <c r="B15" s="433">
        <f>SUM('（３）業績構成比'!M7:M7)/1000</f>
        <v>2166.4421200000002</v>
      </c>
      <c r="C15" s="117" t="str">
        <f>IFERROR(B15/$B$6,"")</f>
        <v/>
      </c>
      <c r="D15" s="437">
        <v>0.36318310058720077</v>
      </c>
      <c r="E15" s="117" t="str">
        <f>IFERROR(C15-D15,"")</f>
        <v/>
      </c>
      <c r="G15" s="106" t="s">
        <v>381</v>
      </c>
      <c r="H15" s="433">
        <f>SUM('（４）訂單數量構成比'!M7:M7)</f>
        <v>114912</v>
      </c>
      <c r="I15" s="117" t="str">
        <f t="shared" ref="I15:I23" si="1">IFERROR(H15/$B$7,"")</f>
        <v/>
      </c>
      <c r="J15" s="437">
        <v>0.56064800510147061</v>
      </c>
      <c r="K15" s="117" t="str">
        <f>IFERROR(I15-J15,"")</f>
        <v/>
      </c>
      <c r="L15" s="98"/>
    </row>
    <row r="16" spans="1:12" ht="18" customHeight="1">
      <c r="A16" s="106" t="s">
        <v>223</v>
      </c>
      <c r="B16" s="433">
        <f>SUM('（３）業績構成比'!S7:S7)/1000</f>
        <v>243.64035999999999</v>
      </c>
      <c r="C16" s="117" t="str">
        <f t="shared" ref="C16:C23" si="2">IFERROR(B16/$B$6,"")</f>
        <v/>
      </c>
      <c r="D16" s="437">
        <v>4.1707027010475142E-2</v>
      </c>
      <c r="E16" s="117" t="str">
        <f t="shared" ref="E16:E23" si="3">IFERROR(C16-D16,"")</f>
        <v/>
      </c>
      <c r="G16" s="106" t="s">
        <v>223</v>
      </c>
      <c r="H16" s="433">
        <f>SUM('（４）訂單數量構成比'!S7:S7)</f>
        <v>8454</v>
      </c>
      <c r="I16" s="117" t="str">
        <f t="shared" si="1"/>
        <v/>
      </c>
      <c r="J16" s="437">
        <v>4.4634580870799995E-2</v>
      </c>
      <c r="K16" s="117" t="str">
        <f t="shared" ref="K16:K23" si="4">IFERROR(I16-J16,"")</f>
        <v/>
      </c>
      <c r="L16" s="98"/>
    </row>
    <row r="17" spans="1:16" ht="18" customHeight="1">
      <c r="A17" s="106" t="s">
        <v>219</v>
      </c>
      <c r="B17" s="433">
        <f>SUM('（３）業績構成比'!U7:U7)/1000</f>
        <v>76.93298999999999</v>
      </c>
      <c r="C17" s="117" t="str">
        <f t="shared" si="2"/>
        <v/>
      </c>
      <c r="D17" s="437">
        <v>1.3969000103124941E-2</v>
      </c>
      <c r="E17" s="117" t="str">
        <f t="shared" si="3"/>
        <v/>
      </c>
      <c r="G17" s="106" t="s">
        <v>235</v>
      </c>
      <c r="H17" s="433">
        <f>SUM('（４）訂單數量構成比'!U7:U7)</f>
        <v>2567</v>
      </c>
      <c r="I17" s="117" t="str">
        <f t="shared" si="1"/>
        <v/>
      </c>
      <c r="J17" s="437">
        <v>1.4309263508049936E-2</v>
      </c>
      <c r="K17" s="117" t="str">
        <f t="shared" si="4"/>
        <v/>
      </c>
      <c r="L17" s="98"/>
    </row>
    <row r="18" spans="1:16" ht="18" customHeight="1">
      <c r="A18" s="106" t="s">
        <v>221</v>
      </c>
      <c r="B18" s="433">
        <f>SUM('（３）業績構成比'!W7:W7)/1000</f>
        <v>269.17606000000001</v>
      </c>
      <c r="C18" s="117" t="str">
        <f t="shared" si="2"/>
        <v/>
      </c>
      <c r="D18" s="437">
        <v>3.4128077824737396E-2</v>
      </c>
      <c r="E18" s="117" t="str">
        <f t="shared" si="3"/>
        <v/>
      </c>
      <c r="G18" s="106" t="s">
        <v>220</v>
      </c>
      <c r="H18" s="433">
        <f>SUM('（４）訂單數量構成比'!W7:W7)</f>
        <v>11068</v>
      </c>
      <c r="I18" s="117" t="str">
        <f t="shared" si="1"/>
        <v/>
      </c>
      <c r="J18" s="437">
        <v>4.8132802587550046E-2</v>
      </c>
      <c r="K18" s="117" t="str">
        <f t="shared" si="4"/>
        <v/>
      </c>
      <c r="L18" s="98"/>
    </row>
    <row r="19" spans="1:16" ht="18" customHeight="1">
      <c r="A19" s="106" t="s">
        <v>225</v>
      </c>
      <c r="B19" s="433">
        <f>SUM('（３）業績構成比'!AC7:AC7)/1000</f>
        <v>1058.9949299999998</v>
      </c>
      <c r="C19" s="117" t="str">
        <f t="shared" si="2"/>
        <v/>
      </c>
      <c r="D19" s="437">
        <v>0.13415543936957161</v>
      </c>
      <c r="E19" s="117" t="str">
        <f t="shared" si="3"/>
        <v/>
      </c>
      <c r="G19" s="106" t="s">
        <v>224</v>
      </c>
      <c r="H19" s="433">
        <f>SUM('（４）訂單數量構成比'!AC7:AC7)</f>
        <v>19314</v>
      </c>
      <c r="I19" s="117" t="str">
        <f t="shared" si="1"/>
        <v/>
      </c>
      <c r="J19" s="437">
        <v>7.5610894532354242E-2</v>
      </c>
      <c r="K19" s="117" t="str">
        <f t="shared" si="4"/>
        <v/>
      </c>
      <c r="L19" s="98"/>
    </row>
    <row r="20" spans="1:16" ht="18" customHeight="1">
      <c r="A20" s="106" t="s">
        <v>227</v>
      </c>
      <c r="B20" s="433">
        <f>SUM('（３）業績構成比'!AE7:AE7)/1000</f>
        <v>1964.19227</v>
      </c>
      <c r="C20" s="117" t="str">
        <f t="shared" si="2"/>
        <v/>
      </c>
      <c r="D20" s="437">
        <v>0.26474822074458115</v>
      </c>
      <c r="E20" s="117" t="str">
        <f t="shared" si="3"/>
        <v/>
      </c>
      <c r="G20" s="106" t="s">
        <v>226</v>
      </c>
      <c r="H20" s="433">
        <f>SUM('（４）訂單數量構成比'!AE7:AE7)</f>
        <v>31363</v>
      </c>
      <c r="I20" s="117" t="str">
        <f t="shared" si="1"/>
        <v/>
      </c>
      <c r="J20" s="437">
        <v>0.12743437444531369</v>
      </c>
      <c r="K20" s="117" t="str">
        <f t="shared" si="4"/>
        <v/>
      </c>
      <c r="L20" s="98"/>
    </row>
    <row r="21" spans="1:16" ht="18" customHeight="1">
      <c r="A21" s="106" t="s">
        <v>230</v>
      </c>
      <c r="B21" s="433">
        <f>SUM('（３）業績構成比'!AG7:AG7)/1000</f>
        <v>0</v>
      </c>
      <c r="C21" s="117" t="str">
        <f t="shared" si="2"/>
        <v/>
      </c>
      <c r="D21" s="437">
        <v>0</v>
      </c>
      <c r="E21" s="117" t="str">
        <f t="shared" si="3"/>
        <v/>
      </c>
      <c r="G21" s="106" t="s">
        <v>236</v>
      </c>
      <c r="H21" s="433">
        <f>SUM('（４）訂單數量構成比'!AG7:AG7)</f>
        <v>0</v>
      </c>
      <c r="I21" s="117" t="str">
        <f t="shared" si="1"/>
        <v/>
      </c>
      <c r="J21" s="437">
        <v>0</v>
      </c>
      <c r="K21" s="117" t="str">
        <f t="shared" si="4"/>
        <v/>
      </c>
      <c r="L21" s="98"/>
    </row>
    <row r="22" spans="1:16" ht="18" customHeight="1">
      <c r="A22" s="106" t="s">
        <v>231</v>
      </c>
      <c r="B22" s="433">
        <f>SUM('（３）業績構成比'!AI7:AI7)/1000</f>
        <v>1049.9090000000001</v>
      </c>
      <c r="C22" s="117" t="str">
        <f t="shared" si="2"/>
        <v/>
      </c>
      <c r="D22" s="437">
        <v>0.13502459319909141</v>
      </c>
      <c r="E22" s="117" t="str">
        <f t="shared" si="3"/>
        <v/>
      </c>
      <c r="G22" s="106" t="s">
        <v>237</v>
      </c>
      <c r="H22" s="433">
        <f>SUM('（４）訂單數量構成比'!AI7:AI7)</f>
        <v>28378</v>
      </c>
      <c r="I22" s="117" t="str">
        <f t="shared" si="1"/>
        <v/>
      </c>
      <c r="J22" s="437">
        <v>0.11022479998422226</v>
      </c>
      <c r="K22" s="117" t="str">
        <f t="shared" si="4"/>
        <v/>
      </c>
      <c r="L22" s="98"/>
    </row>
    <row r="23" spans="1:16" ht="18" customHeight="1">
      <c r="A23" s="106" t="s">
        <v>233</v>
      </c>
      <c r="B23" s="433">
        <f>SUM('（３）業績構成比'!AK7:AK7)/1000</f>
        <v>463.46358999999995</v>
      </c>
      <c r="C23" s="117" t="str">
        <f t="shared" si="2"/>
        <v/>
      </c>
      <c r="D23" s="437">
        <v>1.308454116121764E-2</v>
      </c>
      <c r="E23" s="117" t="str">
        <f t="shared" si="3"/>
        <v/>
      </c>
      <c r="G23" s="106" t="s">
        <v>232</v>
      </c>
      <c r="H23" s="433">
        <f>SUM('（４）訂單數量構成比'!AK7:AK7)</f>
        <v>13924</v>
      </c>
      <c r="I23" s="117" t="str">
        <f t="shared" si="1"/>
        <v/>
      </c>
      <c r="J23" s="437">
        <v>1.900527897023923E-2</v>
      </c>
      <c r="K23" s="117" t="str">
        <f t="shared" si="4"/>
        <v/>
      </c>
      <c r="L23" s="98"/>
    </row>
    <row r="24" spans="1:16" ht="15.75" customHeight="1">
      <c r="C24" s="111">
        <f>SUM(C15:C23)</f>
        <v>0</v>
      </c>
      <c r="D24" s="111">
        <f t="shared" ref="D24" si="5">SUM(D15:D23)</f>
        <v>1.0000000000000002</v>
      </c>
      <c r="I24" s="111">
        <f t="shared" ref="I24:J24" si="6">SUM(I15:I23)</f>
        <v>0</v>
      </c>
      <c r="J24" s="111">
        <f t="shared" si="6"/>
        <v>1</v>
      </c>
      <c r="L24" s="98"/>
    </row>
    <row r="25" spans="1:16" ht="9.65" customHeight="1">
      <c r="A25" s="112"/>
      <c r="L25" s="98"/>
    </row>
    <row r="26" spans="1:16" ht="15.75" customHeight="1">
      <c r="A26" s="109" t="s">
        <v>196</v>
      </c>
      <c r="L26" s="98"/>
    </row>
    <row r="27" spans="1:16" ht="15.75" customHeight="1">
      <c r="A27" s="106" t="s">
        <v>188</v>
      </c>
      <c r="B27" s="106" t="s">
        <v>22</v>
      </c>
      <c r="C27" s="106" t="s">
        <v>1</v>
      </c>
      <c r="D27" s="106" t="s">
        <v>2</v>
      </c>
      <c r="E27" s="106" t="s">
        <v>3</v>
      </c>
      <c r="L27" s="98"/>
    </row>
    <row r="28" spans="1:16" ht="18" customHeight="1">
      <c r="A28" s="106" t="s">
        <v>234</v>
      </c>
      <c r="B28" s="438">
        <f>'（５-1）品群別人時生產性(18℃-飯糰)'!C1</f>
        <v>768.34473680095698</v>
      </c>
      <c r="C28" s="439">
        <v>765.35781664687147</v>
      </c>
      <c r="D28" s="221">
        <f t="shared" ref="D28:D36" si="7">B28-C28</f>
        <v>2.9869201540855101</v>
      </c>
      <c r="E28" s="415">
        <f>'數值累積總表(月)'!P37</f>
        <v>765.03851903322095</v>
      </c>
      <c r="G28" s="121"/>
      <c r="H28" s="121"/>
      <c r="I28" s="121"/>
      <c r="J28" s="121"/>
      <c r="K28" s="121"/>
      <c r="L28" s="121"/>
      <c r="M28" s="121"/>
      <c r="N28" s="121"/>
      <c r="O28" s="122"/>
      <c r="P28" s="122"/>
    </row>
    <row r="29" spans="1:16" ht="18" customHeight="1">
      <c r="A29" s="106" t="s">
        <v>222</v>
      </c>
      <c r="B29" s="438">
        <f>'（５-2）品群別人時生產性(18℃-壽司手卷)'!C1</f>
        <v>298.85363769822607</v>
      </c>
      <c r="C29" s="439">
        <v>308.1159721716769</v>
      </c>
      <c r="D29" s="221">
        <f t="shared" si="7"/>
        <v>-9.262334473450835</v>
      </c>
      <c r="E29" s="415">
        <f>'數值累積總表(月)'!P38</f>
        <v>303.95316060169642</v>
      </c>
      <c r="G29" s="123"/>
      <c r="H29" s="123"/>
      <c r="I29" s="124"/>
      <c r="J29" s="1"/>
      <c r="K29" s="125"/>
      <c r="L29" s="67"/>
      <c r="M29" s="67"/>
      <c r="N29" s="67"/>
      <c r="O29" s="67"/>
      <c r="P29" s="67"/>
    </row>
    <row r="30" spans="1:16" ht="18" customHeight="1">
      <c r="A30" s="106" t="s">
        <v>235</v>
      </c>
      <c r="B30" s="438">
        <f>'（５-3）品群別人時生產性(4℃-飯糰)'!C1</f>
        <v>116.39044695249585</v>
      </c>
      <c r="C30" s="439">
        <v>209.58696420097431</v>
      </c>
      <c r="D30" s="221">
        <f t="shared" si="7"/>
        <v>-93.196517248478457</v>
      </c>
      <c r="E30" s="415">
        <f>'數值累積總表(月)'!P39</f>
        <v>242.02869315492231</v>
      </c>
      <c r="L30" s="98"/>
    </row>
    <row r="31" spans="1:16" ht="18" customHeight="1">
      <c r="A31" s="106" t="s">
        <v>220</v>
      </c>
      <c r="B31" s="438">
        <f>'（５-4）品群別人時生產性(4℃-壽司手卷)'!C1</f>
        <v>422.17784620234789</v>
      </c>
      <c r="C31" s="439">
        <v>367.707567900654</v>
      </c>
      <c r="D31" s="221">
        <f t="shared" si="7"/>
        <v>54.470278301693895</v>
      </c>
      <c r="E31" s="415">
        <f>'數值累積總表(月)'!P40</f>
        <v>441.97400705076706</v>
      </c>
      <c r="L31" s="98"/>
    </row>
    <row r="32" spans="1:16" ht="18" customHeight="1">
      <c r="A32" s="106" t="s">
        <v>224</v>
      </c>
      <c r="B32" s="438">
        <f>'（５-5）品群別人時生產性(微波主食) '!C1</f>
        <v>84.97638476813836</v>
      </c>
      <c r="C32" s="439">
        <v>81.90398870846974</v>
      </c>
      <c r="D32" s="221">
        <f t="shared" si="7"/>
        <v>3.0723960596686197</v>
      </c>
      <c r="E32" s="415">
        <f>'數值累積總表(月)'!P41</f>
        <v>82.081007677090156</v>
      </c>
      <c r="L32" s="98"/>
    </row>
    <row r="33" spans="1:12" ht="18" customHeight="1">
      <c r="A33" s="106" t="s">
        <v>226</v>
      </c>
      <c r="B33" s="438">
        <f>'（５-6）品群別人時生產性(便當)'!C1</f>
        <v>79.262146513922161</v>
      </c>
      <c r="C33" s="439">
        <v>79.190461701431943</v>
      </c>
      <c r="D33" s="221">
        <f t="shared" si="7"/>
        <v>7.1684812490218519E-2</v>
      </c>
      <c r="E33" s="415">
        <f>'數值累積總表(月)'!P42</f>
        <v>78.547112784378825</v>
      </c>
      <c r="L33" s="98"/>
    </row>
    <row r="34" spans="1:12" ht="18" customHeight="1">
      <c r="A34" s="106" t="s">
        <v>236</v>
      </c>
      <c r="B34" s="438">
        <f>'（５-7）品群別人時生產性(熱食義麵) '!C1</f>
        <v>0</v>
      </c>
      <c r="C34" s="439">
        <v>0</v>
      </c>
      <c r="D34" s="221">
        <f t="shared" si="7"/>
        <v>0</v>
      </c>
      <c r="E34" s="415">
        <f>'數值累積總表(月)'!P43</f>
        <v>74.600054218307051</v>
      </c>
      <c r="L34" s="98"/>
    </row>
    <row r="35" spans="1:12" ht="18" customHeight="1">
      <c r="A35" s="106" t="s">
        <v>237</v>
      </c>
      <c r="B35" s="438">
        <f>'（５-8）品群別人時生產性(季節調理麵) '!C1</f>
        <v>157.53488137397093</v>
      </c>
      <c r="C35" s="439">
        <v>161.80618458291255</v>
      </c>
      <c r="D35" s="221">
        <f t="shared" si="7"/>
        <v>-4.2713032089416174</v>
      </c>
      <c r="E35" s="415">
        <f>'數值累積總表(月)'!P44</f>
        <v>128.57984216537054</v>
      </c>
      <c r="L35" s="98"/>
    </row>
    <row r="36" spans="1:12" ht="18" customHeight="1">
      <c r="A36" s="102" t="s">
        <v>232</v>
      </c>
      <c r="B36" s="438">
        <f>'（５-9）品群別人時生產性(微波小吃)'!C1</f>
        <v>117.50585326145432</v>
      </c>
      <c r="C36" s="439">
        <v>89.419712752776604</v>
      </c>
      <c r="D36" s="221">
        <f t="shared" si="7"/>
        <v>28.086140508677715</v>
      </c>
      <c r="E36" s="415">
        <f>'數值累積總表(月)'!P45</f>
        <v>87.921481191277522</v>
      </c>
      <c r="L36" s="98"/>
    </row>
    <row r="37" spans="1:12" ht="15.75" customHeight="1">
      <c r="L37" s="98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view="pageBreakPreview" topLeftCell="D1" zoomScaleNormal="60" zoomScaleSheetLayoutView="100" workbookViewId="0">
      <selection activeCell="H6" sqref="H6:K9"/>
    </sheetView>
  </sheetViews>
  <sheetFormatPr defaultColWidth="12.54296875" defaultRowHeight="15.75" customHeight="1"/>
  <cols>
    <col min="1" max="1" width="27.453125" style="98" bestFit="1" customWidth="1"/>
    <col min="2" max="2" width="12.54296875" style="98" customWidth="1"/>
    <col min="3" max="4" width="12.54296875" style="98"/>
    <col min="5" max="5" width="16.453125" style="98" customWidth="1"/>
    <col min="6" max="6" width="2.453125" style="98" customWidth="1"/>
    <col min="7" max="7" width="24.81640625" style="98" bestFit="1" customWidth="1"/>
    <col min="8" max="10" width="12.54296875" style="98"/>
    <col min="11" max="11" width="16.453125" style="98" customWidth="1"/>
    <col min="12" max="12" width="12.54296875" style="99"/>
    <col min="13" max="16384" width="12.54296875" style="98"/>
  </cols>
  <sheetData>
    <row r="1" spans="1:16" ht="15.75" customHeight="1">
      <c r="A1" s="519" t="s">
        <v>360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98"/>
    </row>
    <row r="2" spans="1:16" s="99" customFormat="1" ht="15.75" customHeight="1">
      <c r="A2" s="520"/>
      <c r="B2" s="520"/>
      <c r="C2" s="520"/>
      <c r="D2" s="520"/>
      <c r="E2" s="520"/>
      <c r="F2" s="520"/>
      <c r="G2" s="520"/>
      <c r="H2" s="520"/>
      <c r="I2" s="520"/>
      <c r="J2" s="520"/>
      <c r="K2" s="520"/>
    </row>
    <row r="3" spans="1:16" ht="21.65" customHeight="1">
      <c r="A3" s="113" t="s">
        <v>325</v>
      </c>
      <c r="B3" s="114">
        <v>7</v>
      </c>
      <c r="C3" s="156" t="s">
        <v>326</v>
      </c>
      <c r="D3" s="114" t="s">
        <v>804</v>
      </c>
      <c r="E3" s="113" t="s">
        <v>20</v>
      </c>
      <c r="F3" s="522" t="s">
        <v>359</v>
      </c>
      <c r="G3" s="523"/>
      <c r="H3" s="99"/>
      <c r="I3" s="108"/>
      <c r="J3" s="99"/>
      <c r="K3" s="99"/>
      <c r="M3" s="99"/>
      <c r="N3" s="99"/>
    </row>
    <row r="4" spans="1:16" ht="15.75" customHeight="1">
      <c r="A4" s="109" t="s">
        <v>402</v>
      </c>
      <c r="E4" s="101" t="s">
        <v>408</v>
      </c>
      <c r="G4" s="110" t="s">
        <v>71</v>
      </c>
      <c r="L4" s="98"/>
    </row>
    <row r="5" spans="1:16" s="103" customFormat="1" ht="15.75" customHeight="1">
      <c r="A5" s="120" t="s">
        <v>197</v>
      </c>
      <c r="B5" s="120" t="s">
        <v>328</v>
      </c>
      <c r="C5" s="120" t="s">
        <v>330</v>
      </c>
      <c r="D5" s="115" t="s">
        <v>2</v>
      </c>
      <c r="E5" s="115" t="s">
        <v>3</v>
      </c>
      <c r="G5" s="120" t="s">
        <v>197</v>
      </c>
      <c r="H5" s="115" t="s">
        <v>69</v>
      </c>
      <c r="I5" s="115" t="s">
        <v>327</v>
      </c>
      <c r="J5" s="115" t="s">
        <v>329</v>
      </c>
      <c r="K5" s="115" t="s">
        <v>3</v>
      </c>
      <c r="L5" s="104" t="s">
        <v>60</v>
      </c>
    </row>
    <row r="6" spans="1:16" ht="18" customHeight="1">
      <c r="A6" s="106" t="s">
        <v>24</v>
      </c>
      <c r="B6" s="116">
        <f>'（１）收支狀況'!G12/1000</f>
        <v>48409.401949999999</v>
      </c>
      <c r="C6" s="116">
        <v>46397.166829999995</v>
      </c>
      <c r="D6" s="116">
        <f>B6-C6</f>
        <v>2012.2351200000048</v>
      </c>
      <c r="E6" s="215">
        <f>'（１）收支狀況'!H6:H6/1000</f>
        <v>87513.817459999991</v>
      </c>
      <c r="G6" s="216" t="s">
        <v>404</v>
      </c>
      <c r="H6" s="217">
        <v>442.4</v>
      </c>
      <c r="I6" s="217">
        <f>'（２）ＫＰＩ達成進度'!G12</f>
        <v>427.48888392303405</v>
      </c>
      <c r="J6" s="217">
        <v>428.26228500709522</v>
      </c>
      <c r="K6" s="217">
        <f>'（２）ＫＰＩ達成進度'!H6</f>
        <v>428.90741285896598</v>
      </c>
      <c r="L6" s="100" t="s">
        <v>195</v>
      </c>
    </row>
    <row r="7" spans="1:16" ht="18" customHeight="1">
      <c r="A7" s="106" t="s">
        <v>25</v>
      </c>
      <c r="B7" s="116">
        <f>'（１）收支狀況'!J12</f>
        <v>1514096</v>
      </c>
      <c r="C7" s="116">
        <v>1487035</v>
      </c>
      <c r="D7" s="116">
        <f t="shared" ref="D7:D11" si="0">B7-C7</f>
        <v>27061</v>
      </c>
      <c r="E7" s="215">
        <f>'（１）收支狀況'!K6:K6</f>
        <v>2771151</v>
      </c>
      <c r="G7" s="216" t="s">
        <v>405</v>
      </c>
      <c r="H7" s="218">
        <v>0.8</v>
      </c>
      <c r="I7" s="117">
        <f>'（２）ＫＰＩ達成進度'!J12</f>
        <v>0.96629494557647833</v>
      </c>
      <c r="J7" s="117">
        <v>0.9680431397086241</v>
      </c>
      <c r="K7" s="218">
        <f>'（２）ＫＰＩ達成進度'!K6</f>
        <v>0.96950138530507668</v>
      </c>
      <c r="L7" s="100" t="s">
        <v>4</v>
      </c>
    </row>
    <row r="8" spans="1:16" ht="18" customHeight="1">
      <c r="A8" s="106" t="s">
        <v>403</v>
      </c>
      <c r="B8" s="116">
        <f>'（１）收支狀況'!M12/1000</f>
        <v>32519.175124987625</v>
      </c>
      <c r="C8" s="116">
        <v>31283.826455387836</v>
      </c>
      <c r="D8" s="116">
        <f>B8-C8</f>
        <v>1235.348669599789</v>
      </c>
      <c r="E8" s="215">
        <f>'（１）收支狀況'!N6:N6/1000</f>
        <v>58970.689226337519</v>
      </c>
      <c r="G8" s="216" t="s">
        <v>200</v>
      </c>
      <c r="H8" s="117">
        <v>2.5000000000000001E-3</v>
      </c>
      <c r="I8" s="219">
        <f>'（２）ＫＰＩ達成進度'!M12</f>
        <v>2.0128889834199601E-3</v>
      </c>
      <c r="J8" s="219">
        <v>2.0078679563627412E-3</v>
      </c>
      <c r="K8" s="219">
        <f>'（２）ＫＰＩ達成進度'!N6</f>
        <v>2.0104075829599161E-3</v>
      </c>
      <c r="L8" s="100" t="s">
        <v>55</v>
      </c>
    </row>
    <row r="9" spans="1:16" ht="18" customHeight="1">
      <c r="A9" s="106" t="s">
        <v>6</v>
      </c>
      <c r="B9" s="218">
        <f>'（１）收支狀況'!P12</f>
        <v>0.67175329202734801</v>
      </c>
      <c r="C9" s="218">
        <v>0.6742615679533257</v>
      </c>
      <c r="D9" s="218">
        <f t="shared" si="0"/>
        <v>-2.5082759259776877E-3</v>
      </c>
      <c r="E9" s="218">
        <f>'（１）收支狀況'!Q6</f>
        <v>0.67384432467811495</v>
      </c>
      <c r="G9" s="216" t="s">
        <v>201</v>
      </c>
      <c r="H9" s="117">
        <v>2.5000000000000001E-3</v>
      </c>
      <c r="I9" s="117">
        <f>'（２）ＫＰＩ達成進度'!P12</f>
        <v>6.0293903208747399E-3</v>
      </c>
      <c r="J9" s="117">
        <v>6.0119541038000657E-3</v>
      </c>
      <c r="K9" s="117">
        <f>'（２）ＫＰＩ達成進度'!Q6</f>
        <v>6.0222623825172041E-3</v>
      </c>
      <c r="L9" s="100" t="s">
        <v>98</v>
      </c>
    </row>
    <row r="10" spans="1:16" ht="18" customHeight="1">
      <c r="A10" s="106" t="s">
        <v>64</v>
      </c>
      <c r="B10" s="116">
        <f>'（１）收支狀況'!S12/1000</f>
        <v>6474.2050580000005</v>
      </c>
      <c r="C10" s="116">
        <v>6295.5571100000006</v>
      </c>
      <c r="D10" s="116">
        <f t="shared" si="0"/>
        <v>178.64794799999981</v>
      </c>
      <c r="E10" s="215">
        <f>'（１）收支狀況'!T6/1000</f>
        <v>11785.972622000001</v>
      </c>
      <c r="G10" s="216" t="s">
        <v>406</v>
      </c>
      <c r="H10" s="218">
        <v>0.8</v>
      </c>
      <c r="I10" s="218">
        <f>'（２）ＫＰＩ達成進度'!S12</f>
        <v>0.90000000000000013</v>
      </c>
      <c r="J10" s="218">
        <v>0.90000000000000013</v>
      </c>
      <c r="K10" s="218">
        <f>'（２）ＫＰＩ達成進度'!T6</f>
        <v>0.90000000000000024</v>
      </c>
      <c r="L10" s="100" t="s">
        <v>7</v>
      </c>
      <c r="M10" s="310"/>
      <c r="N10" s="310"/>
      <c r="O10" s="310"/>
      <c r="P10" s="310"/>
    </row>
    <row r="11" spans="1:16" ht="18" customHeight="1">
      <c r="A11" s="106" t="s">
        <v>65</v>
      </c>
      <c r="B11" s="218">
        <f>'（１）收支狀況'!V12</f>
        <v>0.13373858790255103</v>
      </c>
      <c r="C11" s="218">
        <v>0.13568839522178214</v>
      </c>
      <c r="D11" s="218">
        <f t="shared" si="0"/>
        <v>-1.9498073192311116E-3</v>
      </c>
      <c r="E11" s="218">
        <f>'（１）收支狀況'!W6</f>
        <v>0.13467556283197249</v>
      </c>
      <c r="G11" s="216" t="s">
        <v>407</v>
      </c>
      <c r="H11" s="218">
        <v>1</v>
      </c>
      <c r="I11" s="307">
        <f>28/52*100%</f>
        <v>0.53846153846153844</v>
      </c>
      <c r="J11" s="307">
        <v>0.51923076923076927</v>
      </c>
      <c r="K11" s="307">
        <f>'（２）ＫＰＩ達成進度'!W6</f>
        <v>0.52958579881656798</v>
      </c>
      <c r="L11" s="100" t="s">
        <v>62</v>
      </c>
      <c r="M11" s="311"/>
      <c r="N11" s="311"/>
      <c r="O11" s="311"/>
      <c r="P11" s="311"/>
    </row>
    <row r="12" spans="1:16" ht="9.65" customHeight="1">
      <c r="L12" s="98"/>
    </row>
    <row r="13" spans="1:16" ht="15.75" customHeight="1">
      <c r="A13" s="109" t="s">
        <v>32</v>
      </c>
      <c r="E13" s="309" t="s">
        <v>23</v>
      </c>
      <c r="G13" s="109" t="s">
        <v>33</v>
      </c>
      <c r="K13" s="309" t="s">
        <v>424</v>
      </c>
      <c r="L13" s="98"/>
    </row>
    <row r="14" spans="1:16" s="105" customFormat="1" ht="13.5">
      <c r="A14" s="119"/>
      <c r="B14" s="157" t="s">
        <v>328</v>
      </c>
      <c r="C14" s="119" t="s">
        <v>66</v>
      </c>
      <c r="D14" s="157" t="s">
        <v>331</v>
      </c>
      <c r="E14" s="119" t="s">
        <v>68</v>
      </c>
      <c r="G14" s="119"/>
      <c r="H14" s="157" t="s">
        <v>328</v>
      </c>
      <c r="I14" s="119" t="s">
        <v>66</v>
      </c>
      <c r="J14" s="157" t="s">
        <v>331</v>
      </c>
      <c r="K14" s="119" t="s">
        <v>68</v>
      </c>
    </row>
    <row r="15" spans="1:16" ht="18" customHeight="1">
      <c r="A15" s="106" t="s">
        <v>380</v>
      </c>
      <c r="B15" s="116">
        <f>SUM('（３）業績構成比'!M14:M20)/1000</f>
        <v>12874.75318</v>
      </c>
      <c r="C15" s="218">
        <f>IFERROR(B15/$B$6,"")</f>
        <v>0.26595563385182452</v>
      </c>
      <c r="D15" s="218">
        <v>0.30167846220622352</v>
      </c>
      <c r="E15" s="218">
        <f>IFERROR(C15-D15,"")</f>
        <v>-3.5722828354398994E-2</v>
      </c>
      <c r="G15" s="106" t="s">
        <v>381</v>
      </c>
      <c r="H15" s="116">
        <f>SUM('（４）訂單數量構成比'!M14:M20)</f>
        <v>685110</v>
      </c>
      <c r="I15" s="218">
        <f>IFERROR(H15/$B$7,"")</f>
        <v>0.45248782111570202</v>
      </c>
      <c r="J15" s="218">
        <v>0.49961164330362096</v>
      </c>
      <c r="K15" s="218">
        <f t="shared" ref="K15:K23" si="1">IFERROR(I15-J15,"")</f>
        <v>-4.712382218791894E-2</v>
      </c>
      <c r="L15" s="98"/>
    </row>
    <row r="16" spans="1:16" ht="18" customHeight="1">
      <c r="A16" s="106" t="s">
        <v>223</v>
      </c>
      <c r="B16" s="116">
        <f>SUM('（３）業績構成比'!S14:S20)/1000</f>
        <v>1563.9808499999999</v>
      </c>
      <c r="C16" s="218">
        <f t="shared" ref="C16:C23" si="2">IFERROR(B16/$B$6,"")</f>
        <v>3.2307378050556557E-2</v>
      </c>
      <c r="D16" s="218">
        <v>3.4516882805966799E-2</v>
      </c>
      <c r="E16" s="218">
        <f t="shared" ref="E16:E23" si="3">IFERROR(C16-D16,"")</f>
        <v>-2.2095047554102423E-3</v>
      </c>
      <c r="G16" s="106" t="s">
        <v>254</v>
      </c>
      <c r="H16" s="116">
        <f>SUM('（４）訂單數量構成比'!S14:S20)</f>
        <v>54354</v>
      </c>
      <c r="I16" s="218">
        <f>IFERROR(H16/$B$7,"")</f>
        <v>3.5898648434445374E-2</v>
      </c>
      <c r="J16" s="218">
        <v>3.7377734888553393E-2</v>
      </c>
      <c r="K16" s="218">
        <f t="shared" si="1"/>
        <v>-1.4790864541080195E-3</v>
      </c>
      <c r="L16" s="98"/>
    </row>
    <row r="17" spans="1:17" ht="18" customHeight="1">
      <c r="A17" s="106" t="s">
        <v>219</v>
      </c>
      <c r="B17" s="116">
        <f>SUM('（３）業績構成比'!U14:U20)/1000</f>
        <v>1677.4775100000002</v>
      </c>
      <c r="C17" s="218">
        <f t="shared" si="2"/>
        <v>3.4651894930092193E-2</v>
      </c>
      <c r="D17" s="218">
        <v>1.0490786469428913E-2</v>
      </c>
      <c r="E17" s="218">
        <f t="shared" si="3"/>
        <v>2.4161108460663279E-2</v>
      </c>
      <c r="G17" s="106" t="s">
        <v>235</v>
      </c>
      <c r="H17" s="116">
        <f>SUM('（４）訂單數量構成比'!U14:U20)</f>
        <v>57017</v>
      </c>
      <c r="I17" s="218">
        <f t="shared" ref="I17:I23" si="4">IFERROR(H17/$B$7,"")</f>
        <v>3.7657453688537582E-2</v>
      </c>
      <c r="J17" s="218">
        <v>1.0921733516695975E-2</v>
      </c>
      <c r="K17" s="218">
        <f t="shared" si="1"/>
        <v>2.6735720171841608E-2</v>
      </c>
      <c r="L17" s="98"/>
    </row>
    <row r="18" spans="1:17" ht="18" customHeight="1">
      <c r="A18" s="106" t="s">
        <v>221</v>
      </c>
      <c r="B18" s="116">
        <f>SUM('（３）業績構成比'!W14:W20)/1000</f>
        <v>1643.4534700000002</v>
      </c>
      <c r="C18" s="218">
        <f t="shared" si="2"/>
        <v>3.394905542723814E-2</v>
      </c>
      <c r="D18" s="218">
        <v>3.8623428377986595E-2</v>
      </c>
      <c r="E18" s="218">
        <f t="shared" si="3"/>
        <v>-4.6743729507484552E-3</v>
      </c>
      <c r="G18" s="106" t="s">
        <v>220</v>
      </c>
      <c r="H18" s="116">
        <f>SUM('（４）訂單數量構成比'!W14:W20)</f>
        <v>68097</v>
      </c>
      <c r="I18" s="218">
        <f t="shared" si="4"/>
        <v>4.4975351628958798E-2</v>
      </c>
      <c r="J18" s="218">
        <v>4.9610802704711056E-2</v>
      </c>
      <c r="K18" s="218">
        <f t="shared" si="1"/>
        <v>-4.6354510757522574E-3</v>
      </c>
      <c r="L18" s="98"/>
    </row>
    <row r="19" spans="1:17" ht="18" customHeight="1">
      <c r="A19" s="106" t="s">
        <v>225</v>
      </c>
      <c r="B19" s="116">
        <f>SUM('（３）業績構成比'!AC14:AC20)/1000</f>
        <v>8680.41381</v>
      </c>
      <c r="C19" s="218">
        <f t="shared" si="2"/>
        <v>0.17931256037754045</v>
      </c>
      <c r="D19" s="218">
        <v>0.14588557734140425</v>
      </c>
      <c r="E19" s="218">
        <f t="shared" si="3"/>
        <v>3.3426983036136199E-2</v>
      </c>
      <c r="G19" s="106" t="s">
        <v>224</v>
      </c>
      <c r="H19" s="116">
        <f>SUM('（４）訂單數量構成比'!AC14:AC20)</f>
        <v>164135</v>
      </c>
      <c r="I19" s="218">
        <f t="shared" si="4"/>
        <v>0.10840461899377582</v>
      </c>
      <c r="J19" s="218">
        <v>8.2796302709754646E-2</v>
      </c>
      <c r="K19" s="218">
        <f t="shared" si="1"/>
        <v>2.5608316284021174E-2</v>
      </c>
      <c r="L19" s="98"/>
    </row>
    <row r="20" spans="1:17" ht="18" customHeight="1">
      <c r="A20" s="106" t="s">
        <v>227</v>
      </c>
      <c r="B20" s="116">
        <f>SUM('（３）業績構成比'!AE14:AE20)/1000</f>
        <v>10571.713099999999</v>
      </c>
      <c r="C20" s="218">
        <f t="shared" si="2"/>
        <v>0.21838140266469455</v>
      </c>
      <c r="D20" s="218">
        <v>0.23500524331476733</v>
      </c>
      <c r="E20" s="218">
        <f t="shared" si="3"/>
        <v>-1.6623840650072774E-2</v>
      </c>
      <c r="G20" s="106" t="s">
        <v>226</v>
      </c>
      <c r="H20" s="116">
        <f>SUM('（４）訂單數量構成比'!AE14:AE20)</f>
        <v>169304</v>
      </c>
      <c r="I20" s="218">
        <f t="shared" si="4"/>
        <v>0.11181853726580085</v>
      </c>
      <c r="J20" s="218">
        <v>0.11699522876058735</v>
      </c>
      <c r="K20" s="218">
        <f t="shared" si="1"/>
        <v>-5.1766914947865006E-3</v>
      </c>
      <c r="L20" s="98"/>
    </row>
    <row r="21" spans="1:17" ht="18" customHeight="1">
      <c r="A21" s="106" t="s">
        <v>230</v>
      </c>
      <c r="B21" s="116">
        <f>SUM('（３）業績構成比'!AG14:AG20)/1000</f>
        <v>0</v>
      </c>
      <c r="C21" s="218">
        <f t="shared" si="2"/>
        <v>0</v>
      </c>
      <c r="D21" s="218">
        <v>0</v>
      </c>
      <c r="E21" s="218">
        <f t="shared" si="3"/>
        <v>0</v>
      </c>
      <c r="G21" s="106" t="s">
        <v>236</v>
      </c>
      <c r="H21" s="116">
        <f>SUM('（４）訂單數量構成比'!AG14:AG20)</f>
        <v>0</v>
      </c>
      <c r="I21" s="218">
        <f t="shared" si="4"/>
        <v>0</v>
      </c>
      <c r="J21" s="218">
        <v>0</v>
      </c>
      <c r="K21" s="218">
        <f t="shared" si="1"/>
        <v>0</v>
      </c>
      <c r="L21" s="98"/>
    </row>
    <row r="22" spans="1:17" ht="18" customHeight="1">
      <c r="A22" s="106" t="s">
        <v>231</v>
      </c>
      <c r="B22" s="116">
        <f>SUM('（３）業績構成比'!AI14:AI20)/1000</f>
        <v>8435.3062099999988</v>
      </c>
      <c r="C22" s="218">
        <f t="shared" si="2"/>
        <v>0.1742493373232015</v>
      </c>
      <c r="D22" s="218">
        <v>0.17105748372696489</v>
      </c>
      <c r="E22" s="218">
        <f t="shared" si="3"/>
        <v>3.1918535962366101E-3</v>
      </c>
      <c r="G22" s="106" t="s">
        <v>237</v>
      </c>
      <c r="H22" s="116">
        <f>SUM('（４）訂單數量構成比'!AI14:AI20)</f>
        <v>225858</v>
      </c>
      <c r="I22" s="218">
        <f t="shared" si="4"/>
        <v>0.14917019792668365</v>
      </c>
      <c r="J22" s="218">
        <v>0.14383723315187605</v>
      </c>
      <c r="K22" s="218">
        <f t="shared" si="1"/>
        <v>5.3329647748076026E-3</v>
      </c>
      <c r="L22" s="98"/>
    </row>
    <row r="23" spans="1:17" ht="18" customHeight="1">
      <c r="A23" s="106" t="s">
        <v>233</v>
      </c>
      <c r="B23" s="116">
        <f>SUM('（３）業績構成比'!AK14:AK20)/1000</f>
        <v>2962.3038200000001</v>
      </c>
      <c r="C23" s="218">
        <f t="shared" si="2"/>
        <v>6.1192737374852035E-2</v>
      </c>
      <c r="D23" s="218">
        <v>6.274213575725783E-2</v>
      </c>
      <c r="E23" s="218">
        <f t="shared" si="3"/>
        <v>-1.549398382405795E-3</v>
      </c>
      <c r="G23" s="106" t="s">
        <v>232</v>
      </c>
      <c r="H23" s="116">
        <f>SUM('（４）訂單數量構成比'!AK14:AK20)</f>
        <v>90221</v>
      </c>
      <c r="I23" s="218">
        <f t="shared" si="4"/>
        <v>5.958737094609589E-2</v>
      </c>
      <c r="J23" s="218">
        <v>5.884932096420057E-2</v>
      </c>
      <c r="K23" s="218">
        <f t="shared" si="1"/>
        <v>7.3804998189531956E-4</v>
      </c>
      <c r="L23" s="98"/>
    </row>
    <row r="24" spans="1:17" ht="15.75" customHeight="1">
      <c r="B24" s="101"/>
      <c r="C24" s="111">
        <f>SUM(C15:C23)</f>
        <v>1</v>
      </c>
      <c r="D24" s="111">
        <f>SUM(D15:D23)</f>
        <v>1</v>
      </c>
      <c r="I24" s="111">
        <f>SUM(I15:I23)</f>
        <v>1</v>
      </c>
      <c r="J24" s="111">
        <f>SUM(J15:J23)</f>
        <v>1</v>
      </c>
      <c r="L24" s="98"/>
    </row>
    <row r="25" spans="1:17" ht="9.65" customHeight="1">
      <c r="A25" s="112"/>
      <c r="L25" s="98"/>
    </row>
    <row r="26" spans="1:17" ht="15.75" customHeight="1">
      <c r="A26" s="109" t="s">
        <v>420</v>
      </c>
      <c r="L26" s="98"/>
    </row>
    <row r="27" spans="1:17" ht="15.75" customHeight="1">
      <c r="A27" s="106" t="s">
        <v>188</v>
      </c>
      <c r="B27" s="158" t="s">
        <v>328</v>
      </c>
      <c r="C27" s="158" t="s">
        <v>330</v>
      </c>
      <c r="D27" s="106" t="s">
        <v>2</v>
      </c>
      <c r="E27" s="106" t="s">
        <v>3</v>
      </c>
      <c r="L27" s="98"/>
    </row>
    <row r="28" spans="1:17" ht="18" customHeight="1">
      <c r="A28" s="106" t="s">
        <v>381</v>
      </c>
      <c r="B28" s="209">
        <f>'（５-1）品群別人時生產性(18℃-飯糰)'!L49</f>
        <v>765.61007204064788</v>
      </c>
      <c r="C28" s="209">
        <v>771.07940156126597</v>
      </c>
      <c r="D28" s="220">
        <f>B28-C28</f>
        <v>-5.4693295206180892</v>
      </c>
      <c r="E28" s="221">
        <f>'（５-1）品群別人時生產性(18℃-飯糰)'!C1</f>
        <v>768.34473680095698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</row>
    <row r="29" spans="1:17" ht="18" customHeight="1">
      <c r="A29" s="106" t="s">
        <v>222</v>
      </c>
      <c r="B29" s="209">
        <f>'（５-2）品群別人時生產性(18℃-壽司手卷)'!L27</f>
        <v>298.97235939929243</v>
      </c>
      <c r="C29" s="209">
        <v>298.7349159971597</v>
      </c>
      <c r="D29" s="220">
        <f>B29-C29</f>
        <v>0.23744340213272608</v>
      </c>
      <c r="E29" s="221">
        <f>'（５-2）品群別人時生產性(18℃-壽司手卷)'!C1</f>
        <v>298.85363769822607</v>
      </c>
      <c r="G29" s="123"/>
      <c r="H29" s="123"/>
      <c r="I29" s="124"/>
      <c r="J29" s="1"/>
      <c r="K29" s="125"/>
      <c r="L29" s="67"/>
      <c r="M29" s="66"/>
      <c r="N29" s="67"/>
      <c r="O29" s="67"/>
      <c r="P29" s="67"/>
      <c r="Q29" s="67"/>
    </row>
    <row r="30" spans="1:17" ht="18" customHeight="1">
      <c r="A30" s="106" t="s">
        <v>235</v>
      </c>
      <c r="B30" s="209">
        <f>'（５-3）品群別人時生產性(4℃-飯糰)'!L27</f>
        <v>113.38841138750922</v>
      </c>
      <c r="C30" s="209">
        <v>119.39248251748248</v>
      </c>
      <c r="D30" s="220">
        <f>B30-C30</f>
        <v>-6.004071129973255</v>
      </c>
      <c r="E30" s="221">
        <f>'（５-3）品群別人時生產性(4℃-飯糰)'!C1</f>
        <v>116.39044695249585</v>
      </c>
      <c r="L30" s="98"/>
    </row>
    <row r="31" spans="1:17" ht="18" customHeight="1">
      <c r="A31" s="106" t="s">
        <v>220</v>
      </c>
      <c r="B31" s="209">
        <f>'（５-4）品群別人時生產性(4℃-壽司手卷)'!L27</f>
        <v>451.13496901318541</v>
      </c>
      <c r="C31" s="209">
        <v>393.22072339151038</v>
      </c>
      <c r="D31" s="220">
        <f>B31-C31</f>
        <v>57.914245621675036</v>
      </c>
      <c r="E31" s="221">
        <f>'（５-4）品群別人時生產性(4℃-壽司手卷)'!C1</f>
        <v>422.17784620234789</v>
      </c>
      <c r="L31" s="98"/>
    </row>
    <row r="32" spans="1:17" ht="18" customHeight="1">
      <c r="A32" s="106" t="s">
        <v>225</v>
      </c>
      <c r="B32" s="209">
        <f>'（５-5）品群別人時生產性(微波主食) '!L27</f>
        <v>84.20137513621313</v>
      </c>
      <c r="C32" s="209">
        <v>85.751394400063603</v>
      </c>
      <c r="D32" s="220">
        <f t="shared" ref="D32:D36" si="5">B32-C32</f>
        <v>-1.5500192638504728</v>
      </c>
      <c r="E32" s="221">
        <f>'（５-5）品群別人時生產性(微波主食) '!C1</f>
        <v>84.97638476813836</v>
      </c>
      <c r="L32" s="98"/>
    </row>
    <row r="33" spans="1:12" ht="18" customHeight="1">
      <c r="A33" s="106" t="s">
        <v>226</v>
      </c>
      <c r="B33" s="209">
        <f>'（５-6）品群別人時生產性(便當)'!L27</f>
        <v>79.487088211303117</v>
      </c>
      <c r="C33" s="209">
        <v>79.037204816541205</v>
      </c>
      <c r="D33" s="220">
        <f t="shared" si="5"/>
        <v>0.44988339476191186</v>
      </c>
      <c r="E33" s="221">
        <f>'（５-6）品群別人時生產性(便當)'!C1</f>
        <v>79.262146513922161</v>
      </c>
      <c r="L33" s="98"/>
    </row>
    <row r="34" spans="1:12" ht="18" customHeight="1">
      <c r="A34" s="106" t="s">
        <v>236</v>
      </c>
      <c r="B34" s="209">
        <f>'（５-7）品群別人時生產性(熱食義麵) '!L27</f>
        <v>0</v>
      </c>
      <c r="C34" s="209">
        <v>0</v>
      </c>
      <c r="D34" s="220">
        <f t="shared" si="5"/>
        <v>0</v>
      </c>
      <c r="E34" s="221">
        <f>'（５-7）品群別人時生產性(熱食義麵) '!C1</f>
        <v>0</v>
      </c>
      <c r="L34" s="98"/>
    </row>
    <row r="35" spans="1:12" ht="18" customHeight="1">
      <c r="A35" s="106" t="s">
        <v>237</v>
      </c>
      <c r="B35" s="209">
        <f>'（５-8）品群別人時生產性(季節調理麵) '!L27</f>
        <v>157.47086317143416</v>
      </c>
      <c r="C35" s="209">
        <v>157.5988995765077</v>
      </c>
      <c r="D35" s="220">
        <f t="shared" si="5"/>
        <v>-0.1280364050735443</v>
      </c>
      <c r="E35" s="221">
        <f>'（５-8）品群別人時生產性(季節調理麵) '!C1</f>
        <v>157.53488137397093</v>
      </c>
      <c r="L35" s="98"/>
    </row>
    <row r="36" spans="1:12" ht="18" customHeight="1">
      <c r="A36" s="102" t="s">
        <v>232</v>
      </c>
      <c r="B36" s="209">
        <f>'（５-9）品群別人時生產性(微波小吃)'!L27</f>
        <v>117.52142077681158</v>
      </c>
      <c r="C36" s="209">
        <v>117.49028574609706</v>
      </c>
      <c r="D36" s="220">
        <f t="shared" si="5"/>
        <v>3.1135030714523282E-2</v>
      </c>
      <c r="E36" s="222">
        <f>'（５-9）品群別人時生產性(微波小吃)'!C1</f>
        <v>117.50585326145432</v>
      </c>
      <c r="L36" s="98"/>
    </row>
    <row r="37" spans="1:12" ht="15.75" customHeight="1">
      <c r="L37" s="98"/>
    </row>
    <row r="38" spans="1:12" ht="15.75" customHeight="1">
      <c r="L38" s="98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39"/>
  <sheetViews>
    <sheetView topLeftCell="A2" zoomScale="80" zoomScaleNormal="80" workbookViewId="0">
      <selection activeCell="G12" sqref="G12:G18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532" t="s">
        <v>126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</row>
    <row r="3" spans="2:23" s="77" customFormat="1" ht="23.5" customHeight="1">
      <c r="B3" s="536" t="s">
        <v>122</v>
      </c>
      <c r="C3" s="537" t="s">
        <v>119</v>
      </c>
      <c r="D3" s="538" t="s">
        <v>105</v>
      </c>
      <c r="E3" s="538"/>
      <c r="F3" s="535" t="s">
        <v>123</v>
      </c>
      <c r="G3" s="535"/>
      <c r="H3" s="535"/>
      <c r="I3" s="533" t="s">
        <v>124</v>
      </c>
      <c r="J3" s="533"/>
      <c r="K3" s="533"/>
      <c r="L3" s="534" t="s">
        <v>125</v>
      </c>
      <c r="M3" s="534"/>
      <c r="N3" s="534"/>
      <c r="O3" s="531" t="s">
        <v>127</v>
      </c>
      <c r="P3" s="531"/>
      <c r="Q3" s="531"/>
      <c r="R3" s="539" t="s">
        <v>128</v>
      </c>
      <c r="S3" s="539"/>
      <c r="T3" s="539"/>
      <c r="U3" s="531" t="s">
        <v>129</v>
      </c>
      <c r="V3" s="531"/>
      <c r="W3" s="531"/>
    </row>
    <row r="4" spans="2:23" s="77" customFormat="1" ht="23.5" customHeight="1">
      <c r="B4" s="536"/>
      <c r="C4" s="537"/>
      <c r="D4" s="538"/>
      <c r="E4" s="538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26">
        <v>46211</v>
      </c>
      <c r="C5" s="476"/>
      <c r="D5" s="80">
        <v>46203</v>
      </c>
      <c r="E5" s="80" t="s">
        <v>118</v>
      </c>
      <c r="F5" s="163">
        <v>7292751.3200000003</v>
      </c>
      <c r="G5" s="527">
        <f>SUM(F5:F11)</f>
        <v>46397166.829999998</v>
      </c>
      <c r="H5" s="473"/>
      <c r="I5" s="213">
        <v>229980</v>
      </c>
      <c r="J5" s="528">
        <f t="shared" ref="J5" si="0">SUM(I5:I11)</f>
        <v>1487035</v>
      </c>
      <c r="K5" s="474"/>
      <c r="L5" s="163">
        <v>4832312.3540379386</v>
      </c>
      <c r="M5" s="527">
        <f t="shared" ref="M5" si="1">SUM(L5:L11)</f>
        <v>31283826.455387834</v>
      </c>
      <c r="N5" s="473"/>
      <c r="O5" s="153">
        <f t="shared" ref="O5:O11" si="2">L5/F5</f>
        <v>0.66261855670103098</v>
      </c>
      <c r="P5" s="525">
        <f>M5/G5</f>
        <v>0.6742615679533257</v>
      </c>
      <c r="Q5" s="475"/>
      <c r="R5" s="164">
        <v>983789.54599999997</v>
      </c>
      <c r="S5" s="524">
        <f t="shared" ref="S5" si="3">SUM(R5:R11)</f>
        <v>6295557.1100000003</v>
      </c>
      <c r="T5" s="473"/>
      <c r="U5" s="153">
        <f t="shared" ref="U5:U11" si="4">R5/F5</f>
        <v>0.13489964251242287</v>
      </c>
      <c r="V5" s="525">
        <f>S5/G5</f>
        <v>0.13568839522178214</v>
      </c>
      <c r="W5" s="475"/>
    </row>
    <row r="6" spans="2:23">
      <c r="B6" s="526"/>
      <c r="C6" s="529" t="s">
        <v>731</v>
      </c>
      <c r="D6" s="80">
        <f t="shared" ref="D6:D7" si="5">D5+1</f>
        <v>46204</v>
      </c>
      <c r="E6" s="80" t="s">
        <v>112</v>
      </c>
      <c r="F6" s="163">
        <v>6821172.7800000003</v>
      </c>
      <c r="G6" s="527"/>
      <c r="H6" s="527">
        <f>SUM(F6:F36)</f>
        <v>87513817.459999993</v>
      </c>
      <c r="I6" s="213">
        <v>219467</v>
      </c>
      <c r="J6" s="528"/>
      <c r="K6" s="528">
        <f>SUM(I6:I36)</f>
        <v>2771151</v>
      </c>
      <c r="L6" s="163">
        <v>4619692.0062816506</v>
      </c>
      <c r="M6" s="527"/>
      <c r="N6" s="527">
        <f>SUM(L6:L36)</f>
        <v>58970689.226337522</v>
      </c>
      <c r="O6" s="153">
        <f t="shared" si="2"/>
        <v>0.67725773195876304</v>
      </c>
      <c r="P6" s="525"/>
      <c r="Q6" s="530">
        <f>N6/H6</f>
        <v>0.67384432467811495</v>
      </c>
      <c r="R6" s="164">
        <v>891137.81200000003</v>
      </c>
      <c r="S6" s="524"/>
      <c r="T6" s="527">
        <f>SUM(R6:R36)</f>
        <v>11785972.622000001</v>
      </c>
      <c r="U6" s="153">
        <f t="shared" si="4"/>
        <v>0.13064290272969745</v>
      </c>
      <c r="V6" s="525"/>
      <c r="W6" s="530">
        <f>T6/H6</f>
        <v>0.13467556283197249</v>
      </c>
    </row>
    <row r="7" spans="2:23">
      <c r="B7" s="526"/>
      <c r="C7" s="529"/>
      <c r="D7" s="80">
        <f t="shared" si="5"/>
        <v>46205</v>
      </c>
      <c r="E7" s="80" t="s">
        <v>113</v>
      </c>
      <c r="F7" s="163">
        <v>6343385.2199999997</v>
      </c>
      <c r="G7" s="527"/>
      <c r="H7" s="527"/>
      <c r="I7" s="213">
        <v>206563</v>
      </c>
      <c r="J7" s="528"/>
      <c r="K7" s="528"/>
      <c r="L7" s="163">
        <v>4244444.0651430916</v>
      </c>
      <c r="M7" s="527"/>
      <c r="N7" s="527"/>
      <c r="O7" s="153">
        <f t="shared" si="2"/>
        <v>0.66911340206185554</v>
      </c>
      <c r="P7" s="525"/>
      <c r="Q7" s="530"/>
      <c r="R7" s="164">
        <v>886674.37</v>
      </c>
      <c r="S7" s="524"/>
      <c r="T7" s="527"/>
      <c r="U7" s="153">
        <f t="shared" si="4"/>
        <v>0.13977936689142142</v>
      </c>
      <c r="V7" s="525"/>
      <c r="W7" s="530"/>
    </row>
    <row r="8" spans="2:23">
      <c r="B8" s="526"/>
      <c r="C8" s="529"/>
      <c r="D8" s="80">
        <f t="shared" ref="D8:D39" si="6">D7+1</f>
        <v>46206</v>
      </c>
      <c r="E8" s="80" t="s">
        <v>114</v>
      </c>
      <c r="F8" s="163">
        <v>5464679.9400000004</v>
      </c>
      <c r="G8" s="527"/>
      <c r="H8" s="527"/>
      <c r="I8" s="213">
        <v>176725</v>
      </c>
      <c r="J8" s="528"/>
      <c r="K8" s="528"/>
      <c r="L8" s="163">
        <v>3679588.7175377328</v>
      </c>
      <c r="M8" s="527"/>
      <c r="N8" s="527"/>
      <c r="O8" s="153">
        <f t="shared" si="2"/>
        <v>0.67334020618556711</v>
      </c>
      <c r="P8" s="525"/>
      <c r="Q8" s="530"/>
      <c r="R8" s="164">
        <v>824958.18599999999</v>
      </c>
      <c r="S8" s="524"/>
      <c r="T8" s="527"/>
      <c r="U8" s="153">
        <f t="shared" si="4"/>
        <v>0.15096184864579643</v>
      </c>
      <c r="V8" s="525"/>
      <c r="W8" s="530"/>
    </row>
    <row r="9" spans="2:23">
      <c r="B9" s="526"/>
      <c r="C9" s="529"/>
      <c r="D9" s="80">
        <f t="shared" si="6"/>
        <v>46207</v>
      </c>
      <c r="E9" s="80" t="s">
        <v>115</v>
      </c>
      <c r="F9" s="163">
        <v>6007602.6200000001</v>
      </c>
      <c r="G9" s="527"/>
      <c r="H9" s="527"/>
      <c r="I9" s="213">
        <v>192415</v>
      </c>
      <c r="J9" s="528"/>
      <c r="K9" s="528"/>
      <c r="L9" s="163">
        <v>4079843.4535039188</v>
      </c>
      <c r="M9" s="527"/>
      <c r="N9" s="527"/>
      <c r="O9" s="153">
        <f t="shared" si="2"/>
        <v>0.67911340206185589</v>
      </c>
      <c r="P9" s="525"/>
      <c r="Q9" s="530"/>
      <c r="R9" s="164">
        <v>838341.32799999998</v>
      </c>
      <c r="S9" s="524"/>
      <c r="T9" s="527"/>
      <c r="U9" s="153">
        <f t="shared" si="4"/>
        <v>0.13954673453418262</v>
      </c>
      <c r="V9" s="525"/>
      <c r="W9" s="530"/>
    </row>
    <row r="10" spans="2:23">
      <c r="B10" s="526"/>
      <c r="C10" s="529"/>
      <c r="D10" s="80">
        <f t="shared" si="6"/>
        <v>46208</v>
      </c>
      <c r="E10" s="80" t="s">
        <v>116</v>
      </c>
      <c r="F10" s="163">
        <v>7429288.9299999997</v>
      </c>
      <c r="G10" s="527"/>
      <c r="H10" s="527"/>
      <c r="I10" s="213">
        <v>234759</v>
      </c>
      <c r="J10" s="528"/>
      <c r="K10" s="528"/>
      <c r="L10" s="163">
        <v>5016225.2492929893</v>
      </c>
      <c r="M10" s="527"/>
      <c r="N10" s="527"/>
      <c r="O10" s="153">
        <f t="shared" si="2"/>
        <v>0.67519587628865974</v>
      </c>
      <c r="P10" s="525"/>
      <c r="Q10" s="530"/>
      <c r="R10" s="164">
        <v>943212.37199999997</v>
      </c>
      <c r="S10" s="524"/>
      <c r="T10" s="527"/>
      <c r="U10" s="153">
        <f t="shared" si="4"/>
        <v>0.12695863371139612</v>
      </c>
      <c r="V10" s="525"/>
      <c r="W10" s="530"/>
    </row>
    <row r="11" spans="2:23">
      <c r="B11" s="526"/>
      <c r="C11" s="529"/>
      <c r="D11" s="80">
        <f t="shared" si="6"/>
        <v>46209</v>
      </c>
      <c r="E11" s="80" t="s">
        <v>117</v>
      </c>
      <c r="F11" s="163">
        <v>7038286.0199999996</v>
      </c>
      <c r="G11" s="527"/>
      <c r="H11" s="527"/>
      <c r="I11" s="213">
        <v>227126</v>
      </c>
      <c r="J11" s="528"/>
      <c r="K11" s="528"/>
      <c r="L11" s="163">
        <v>4811720.6095905164</v>
      </c>
      <c r="M11" s="527"/>
      <c r="N11" s="527"/>
      <c r="O11" s="153">
        <f t="shared" si="2"/>
        <v>0.68364948453608265</v>
      </c>
      <c r="P11" s="525"/>
      <c r="Q11" s="530"/>
      <c r="R11" s="164">
        <v>927443.49600000004</v>
      </c>
      <c r="S11" s="524"/>
      <c r="T11" s="527"/>
      <c r="U11" s="153">
        <f t="shared" si="4"/>
        <v>0.13177121437869616</v>
      </c>
      <c r="V11" s="525"/>
      <c r="W11" s="530"/>
    </row>
    <row r="12" spans="2:23">
      <c r="B12" s="526">
        <f>B5+7</f>
        <v>46218</v>
      </c>
      <c r="C12" s="529"/>
      <c r="D12" s="80">
        <f t="shared" si="6"/>
        <v>46210</v>
      </c>
      <c r="E12" s="80" t="s">
        <v>118</v>
      </c>
      <c r="F12" s="163">
        <v>7860603.3600000013</v>
      </c>
      <c r="G12" s="527">
        <f>SUM(F12:F18)</f>
        <v>48409401.950000003</v>
      </c>
      <c r="H12" s="527"/>
      <c r="I12" s="213">
        <v>249215</v>
      </c>
      <c r="J12" s="528">
        <f t="shared" ref="J12" si="7">SUM(I12:I18)</f>
        <v>1514096</v>
      </c>
      <c r="K12" s="528"/>
      <c r="L12" s="163">
        <v>5271790.6286746403</v>
      </c>
      <c r="M12" s="527">
        <f t="shared" ref="M12" si="8">SUM(L12:L18)</f>
        <v>32519175.124987625</v>
      </c>
      <c r="N12" s="527"/>
      <c r="O12" s="153">
        <f t="shared" ref="O12:O18" si="9">L12/F12</f>
        <v>0.67065979381443308</v>
      </c>
      <c r="P12" s="525">
        <f>M12/G12</f>
        <v>0.67175329202734801</v>
      </c>
      <c r="Q12" s="530"/>
      <c r="R12" s="164">
        <v>992155.29599999997</v>
      </c>
      <c r="S12" s="524">
        <f t="shared" ref="S12" si="10">SUM(R12:R18)</f>
        <v>6474205.0580000002</v>
      </c>
      <c r="T12" s="527"/>
      <c r="U12" s="153">
        <f t="shared" ref="U12:U18" si="11">R12/F12</f>
        <v>0.12621872018740299</v>
      </c>
      <c r="V12" s="525">
        <f>S12/G12</f>
        <v>0.13373858790255103</v>
      </c>
      <c r="W12" s="530"/>
    </row>
    <row r="13" spans="2:23">
      <c r="B13" s="526"/>
      <c r="C13" s="529"/>
      <c r="D13" s="80">
        <f t="shared" si="6"/>
        <v>46211</v>
      </c>
      <c r="E13" s="80" t="s">
        <v>112</v>
      </c>
      <c r="F13" s="163">
        <v>7229874.9699999988</v>
      </c>
      <c r="G13" s="527"/>
      <c r="H13" s="527"/>
      <c r="I13" s="213">
        <v>230160</v>
      </c>
      <c r="J13" s="528"/>
      <c r="K13" s="528"/>
      <c r="L13" s="163">
        <v>4820463.2351523703</v>
      </c>
      <c r="M13" s="527"/>
      <c r="N13" s="527"/>
      <c r="O13" s="153">
        <f t="shared" si="9"/>
        <v>0.66674226804123715</v>
      </c>
      <c r="P13" s="525"/>
      <c r="Q13" s="530"/>
      <c r="R13" s="164">
        <v>938245.09600000002</v>
      </c>
      <c r="S13" s="524"/>
      <c r="T13" s="527"/>
      <c r="U13" s="153">
        <f t="shared" si="11"/>
        <v>0.12977335014688368</v>
      </c>
      <c r="V13" s="525"/>
      <c r="W13" s="530"/>
    </row>
    <row r="14" spans="2:23">
      <c r="B14" s="526"/>
      <c r="C14" s="529"/>
      <c r="D14" s="80">
        <f t="shared" si="6"/>
        <v>46212</v>
      </c>
      <c r="E14" s="80" t="s">
        <v>113</v>
      </c>
      <c r="F14" s="163">
        <v>6763681.4199999999</v>
      </c>
      <c r="G14" s="527"/>
      <c r="H14" s="527"/>
      <c r="I14" s="213">
        <v>211372</v>
      </c>
      <c r="J14" s="528"/>
      <c r="K14" s="528"/>
      <c r="L14" s="163">
        <v>4492897.408415257</v>
      </c>
      <c r="M14" s="527"/>
      <c r="N14" s="527"/>
      <c r="O14" s="153">
        <f t="shared" si="9"/>
        <v>0.66426804123711325</v>
      </c>
      <c r="P14" s="525"/>
      <c r="Q14" s="530"/>
      <c r="R14" s="164">
        <v>923989.09400000004</v>
      </c>
      <c r="S14" s="524"/>
      <c r="T14" s="527"/>
      <c r="U14" s="153">
        <f t="shared" si="11"/>
        <v>0.13661038074143947</v>
      </c>
      <c r="V14" s="525"/>
      <c r="W14" s="530"/>
    </row>
    <row r="15" spans="2:23">
      <c r="B15" s="526"/>
      <c r="C15" s="529"/>
      <c r="D15" s="80">
        <f t="shared" si="6"/>
        <v>46213</v>
      </c>
      <c r="E15" s="80" t="s">
        <v>114</v>
      </c>
      <c r="F15" s="163">
        <v>5383246.2599999998</v>
      </c>
      <c r="G15" s="527"/>
      <c r="H15" s="527"/>
      <c r="I15" s="213">
        <v>168721</v>
      </c>
      <c r="J15" s="528"/>
      <c r="K15" s="528"/>
      <c r="L15" s="163">
        <v>3666934.1585901021</v>
      </c>
      <c r="M15" s="527"/>
      <c r="N15" s="527"/>
      <c r="O15" s="153">
        <f t="shared" si="9"/>
        <v>0.68117525773195864</v>
      </c>
      <c r="P15" s="525"/>
      <c r="Q15" s="530"/>
      <c r="R15" s="164">
        <v>808018.27399999998</v>
      </c>
      <c r="S15" s="524"/>
      <c r="T15" s="527"/>
      <c r="U15" s="153">
        <f t="shared" si="11"/>
        <v>0.15009870159646013</v>
      </c>
      <c r="V15" s="525"/>
      <c r="W15" s="530"/>
    </row>
    <row r="16" spans="2:23">
      <c r="B16" s="526"/>
      <c r="C16" s="529"/>
      <c r="D16" s="80">
        <f t="shared" si="6"/>
        <v>46214</v>
      </c>
      <c r="E16" s="80" t="s">
        <v>115</v>
      </c>
      <c r="F16" s="163">
        <v>6085802.3499999996</v>
      </c>
      <c r="G16" s="527"/>
      <c r="H16" s="527"/>
      <c r="I16" s="213">
        <v>191243</v>
      </c>
      <c r="J16" s="528"/>
      <c r="K16" s="528"/>
      <c r="L16" s="163">
        <v>4159928.237261855</v>
      </c>
      <c r="M16" s="527"/>
      <c r="N16" s="527"/>
      <c r="O16" s="153">
        <f t="shared" si="9"/>
        <v>0.68354639175257725</v>
      </c>
      <c r="P16" s="525"/>
      <c r="Q16" s="530"/>
      <c r="R16" s="164">
        <v>846564.04</v>
      </c>
      <c r="S16" s="524"/>
      <c r="T16" s="527"/>
      <c r="U16" s="153">
        <f t="shared" si="11"/>
        <v>0.13910475419892662</v>
      </c>
      <c r="V16" s="525"/>
      <c r="W16" s="530"/>
    </row>
    <row r="17" spans="2:23">
      <c r="B17" s="526"/>
      <c r="C17" s="529"/>
      <c r="D17" s="80">
        <f t="shared" si="6"/>
        <v>46215</v>
      </c>
      <c r="E17" s="80" t="s">
        <v>116</v>
      </c>
      <c r="F17" s="163">
        <v>7790002.0999999996</v>
      </c>
      <c r="G17" s="527"/>
      <c r="H17" s="527"/>
      <c r="I17" s="213">
        <v>237620</v>
      </c>
      <c r="J17" s="528"/>
      <c r="K17" s="528"/>
      <c r="L17" s="163">
        <v>5212394.8071999997</v>
      </c>
      <c r="M17" s="527"/>
      <c r="N17" s="527"/>
      <c r="O17" s="153">
        <f t="shared" si="9"/>
        <v>0.66911340206185566</v>
      </c>
      <c r="P17" s="525"/>
      <c r="Q17" s="530"/>
      <c r="R17" s="164">
        <v>1014302.392</v>
      </c>
      <c r="S17" s="524"/>
      <c r="T17" s="527"/>
      <c r="U17" s="153">
        <f t="shared" si="11"/>
        <v>0.13020566348756185</v>
      </c>
      <c r="V17" s="525"/>
      <c r="W17" s="530"/>
    </row>
    <row r="18" spans="2:23">
      <c r="B18" s="526"/>
      <c r="C18" s="529"/>
      <c r="D18" s="80">
        <f t="shared" si="6"/>
        <v>46216</v>
      </c>
      <c r="E18" s="80" t="s">
        <v>117</v>
      </c>
      <c r="F18" s="163">
        <v>7296191.4900000002</v>
      </c>
      <c r="G18" s="527"/>
      <c r="H18" s="527"/>
      <c r="I18" s="213">
        <v>225765</v>
      </c>
      <c r="J18" s="528"/>
      <c r="K18" s="528"/>
      <c r="L18" s="163">
        <v>4894766.6496934015</v>
      </c>
      <c r="M18" s="527"/>
      <c r="N18" s="527"/>
      <c r="O18" s="153">
        <f t="shared" si="9"/>
        <v>0.67086597938144321</v>
      </c>
      <c r="P18" s="525"/>
      <c r="Q18" s="530"/>
      <c r="R18" s="164">
        <v>950930.86600000004</v>
      </c>
      <c r="S18" s="524"/>
      <c r="T18" s="527"/>
      <c r="U18" s="153">
        <f t="shared" si="11"/>
        <v>0.1303324984415945</v>
      </c>
      <c r="V18" s="525"/>
      <c r="W18" s="530"/>
    </row>
    <row r="19" spans="2:23">
      <c r="B19" s="526">
        <f>B12+7</f>
        <v>46225</v>
      </c>
      <c r="C19" s="529"/>
      <c r="D19" s="80">
        <f t="shared" si="6"/>
        <v>46217</v>
      </c>
      <c r="E19" s="80" t="s">
        <v>118</v>
      </c>
      <c r="F19" s="163"/>
      <c r="G19" s="527">
        <f>SUM(F19:F25)</f>
        <v>0</v>
      </c>
      <c r="H19" s="527"/>
      <c r="I19" s="213"/>
      <c r="J19" s="528">
        <f t="shared" ref="J19" si="12">SUM(I19:I25)</f>
        <v>0</v>
      </c>
      <c r="K19" s="528"/>
      <c r="L19" s="163"/>
      <c r="M19" s="527">
        <f t="shared" ref="M19" si="13">SUM(L19:L25)</f>
        <v>0</v>
      </c>
      <c r="N19" s="527"/>
      <c r="O19" s="153" t="e">
        <f t="shared" ref="O19:O32" si="14">L19/F19</f>
        <v>#DIV/0!</v>
      </c>
      <c r="P19" s="525" t="e">
        <f>M19/G19</f>
        <v>#DIV/0!</v>
      </c>
      <c r="Q19" s="530"/>
      <c r="R19" s="164"/>
      <c r="S19" s="524">
        <f t="shared" ref="S19" si="15">SUM(R19:R25)</f>
        <v>0</v>
      </c>
      <c r="T19" s="527"/>
      <c r="U19" s="153" t="e">
        <f t="shared" ref="U19:U32" si="16">R19/F19</f>
        <v>#DIV/0!</v>
      </c>
      <c r="V19" s="525" t="e">
        <f>S19/G19</f>
        <v>#DIV/0!</v>
      </c>
      <c r="W19" s="530"/>
    </row>
    <row r="20" spans="2:23">
      <c r="B20" s="526"/>
      <c r="C20" s="529"/>
      <c r="D20" s="80">
        <f t="shared" si="6"/>
        <v>46218</v>
      </c>
      <c r="E20" s="80" t="s">
        <v>112</v>
      </c>
      <c r="F20" s="163"/>
      <c r="G20" s="527"/>
      <c r="H20" s="527"/>
      <c r="I20" s="213"/>
      <c r="J20" s="528"/>
      <c r="K20" s="528"/>
      <c r="L20" s="163"/>
      <c r="M20" s="527"/>
      <c r="N20" s="527"/>
      <c r="O20" s="153" t="e">
        <f t="shared" si="14"/>
        <v>#DIV/0!</v>
      </c>
      <c r="P20" s="525"/>
      <c r="Q20" s="530"/>
      <c r="R20" s="164"/>
      <c r="S20" s="524"/>
      <c r="T20" s="527"/>
      <c r="U20" s="153" t="e">
        <f t="shared" si="16"/>
        <v>#DIV/0!</v>
      </c>
      <c r="V20" s="525"/>
      <c r="W20" s="530"/>
    </row>
    <row r="21" spans="2:23">
      <c r="B21" s="526"/>
      <c r="C21" s="529"/>
      <c r="D21" s="80">
        <f t="shared" si="6"/>
        <v>46219</v>
      </c>
      <c r="E21" s="80" t="s">
        <v>113</v>
      </c>
      <c r="F21" s="163"/>
      <c r="G21" s="527"/>
      <c r="H21" s="527"/>
      <c r="I21" s="213"/>
      <c r="J21" s="528"/>
      <c r="K21" s="528"/>
      <c r="L21" s="163"/>
      <c r="M21" s="527"/>
      <c r="N21" s="527"/>
      <c r="O21" s="153" t="e">
        <f t="shared" si="14"/>
        <v>#DIV/0!</v>
      </c>
      <c r="P21" s="525"/>
      <c r="Q21" s="530"/>
      <c r="R21" s="164"/>
      <c r="S21" s="524"/>
      <c r="T21" s="527"/>
      <c r="U21" s="153" t="e">
        <f t="shared" si="16"/>
        <v>#DIV/0!</v>
      </c>
      <c r="V21" s="525"/>
      <c r="W21" s="530"/>
    </row>
    <row r="22" spans="2:23">
      <c r="B22" s="526"/>
      <c r="C22" s="529"/>
      <c r="D22" s="80">
        <f t="shared" si="6"/>
        <v>46220</v>
      </c>
      <c r="E22" s="80" t="s">
        <v>114</v>
      </c>
      <c r="F22" s="163"/>
      <c r="G22" s="527"/>
      <c r="H22" s="527"/>
      <c r="I22" s="213"/>
      <c r="J22" s="528"/>
      <c r="K22" s="528"/>
      <c r="L22" s="163"/>
      <c r="M22" s="527"/>
      <c r="N22" s="527"/>
      <c r="O22" s="153" t="e">
        <f t="shared" si="14"/>
        <v>#DIV/0!</v>
      </c>
      <c r="P22" s="525"/>
      <c r="Q22" s="530"/>
      <c r="R22" s="164"/>
      <c r="S22" s="524"/>
      <c r="T22" s="527"/>
      <c r="U22" s="153" t="e">
        <f t="shared" si="16"/>
        <v>#DIV/0!</v>
      </c>
      <c r="V22" s="525"/>
      <c r="W22" s="530"/>
    </row>
    <row r="23" spans="2:23">
      <c r="B23" s="526"/>
      <c r="C23" s="529"/>
      <c r="D23" s="80">
        <f t="shared" si="6"/>
        <v>46221</v>
      </c>
      <c r="E23" s="80" t="s">
        <v>115</v>
      </c>
      <c r="F23" s="163"/>
      <c r="G23" s="527"/>
      <c r="H23" s="527"/>
      <c r="I23" s="213"/>
      <c r="J23" s="528"/>
      <c r="K23" s="528"/>
      <c r="L23" s="163"/>
      <c r="M23" s="527"/>
      <c r="N23" s="527"/>
      <c r="O23" s="153" t="e">
        <f t="shared" si="14"/>
        <v>#DIV/0!</v>
      </c>
      <c r="P23" s="525"/>
      <c r="Q23" s="530"/>
      <c r="R23" s="164"/>
      <c r="S23" s="524"/>
      <c r="T23" s="527"/>
      <c r="U23" s="153" t="e">
        <f t="shared" si="16"/>
        <v>#DIV/0!</v>
      </c>
      <c r="V23" s="525"/>
      <c r="W23" s="530"/>
    </row>
    <row r="24" spans="2:23">
      <c r="B24" s="526"/>
      <c r="C24" s="529"/>
      <c r="D24" s="80">
        <f t="shared" si="6"/>
        <v>46222</v>
      </c>
      <c r="E24" s="80" t="s">
        <v>116</v>
      </c>
      <c r="F24" s="163"/>
      <c r="G24" s="527"/>
      <c r="H24" s="527"/>
      <c r="I24" s="213"/>
      <c r="J24" s="528"/>
      <c r="K24" s="528"/>
      <c r="L24" s="163"/>
      <c r="M24" s="527"/>
      <c r="N24" s="527"/>
      <c r="O24" s="153" t="e">
        <f t="shared" si="14"/>
        <v>#DIV/0!</v>
      </c>
      <c r="P24" s="525"/>
      <c r="Q24" s="530"/>
      <c r="R24" s="164"/>
      <c r="S24" s="524"/>
      <c r="T24" s="527"/>
      <c r="U24" s="153" t="e">
        <f t="shared" si="16"/>
        <v>#DIV/0!</v>
      </c>
      <c r="V24" s="525"/>
      <c r="W24" s="530"/>
    </row>
    <row r="25" spans="2:23">
      <c r="B25" s="526"/>
      <c r="C25" s="529"/>
      <c r="D25" s="80">
        <f t="shared" si="6"/>
        <v>46223</v>
      </c>
      <c r="E25" s="80" t="s">
        <v>117</v>
      </c>
      <c r="F25" s="163"/>
      <c r="G25" s="527"/>
      <c r="H25" s="527"/>
      <c r="I25" s="213"/>
      <c r="J25" s="528"/>
      <c r="K25" s="528"/>
      <c r="L25" s="163"/>
      <c r="M25" s="527"/>
      <c r="N25" s="527"/>
      <c r="O25" s="153" t="e">
        <f t="shared" si="14"/>
        <v>#DIV/0!</v>
      </c>
      <c r="P25" s="525"/>
      <c r="Q25" s="530"/>
      <c r="R25" s="164"/>
      <c r="S25" s="524"/>
      <c r="T25" s="527"/>
      <c r="U25" s="153" t="e">
        <f t="shared" si="16"/>
        <v>#DIV/0!</v>
      </c>
      <c r="V25" s="525"/>
      <c r="W25" s="530"/>
    </row>
    <row r="26" spans="2:23">
      <c r="B26" s="526">
        <f>B19+7</f>
        <v>46232</v>
      </c>
      <c r="C26" s="529"/>
      <c r="D26" s="80">
        <f t="shared" si="6"/>
        <v>46224</v>
      </c>
      <c r="E26" s="80" t="s">
        <v>118</v>
      </c>
      <c r="F26" s="163"/>
      <c r="G26" s="527">
        <f>SUM(F26:F32)</f>
        <v>0</v>
      </c>
      <c r="H26" s="527"/>
      <c r="I26" s="213"/>
      <c r="J26" s="528">
        <f t="shared" ref="J26" si="17">SUM(I26:I32)</f>
        <v>0</v>
      </c>
      <c r="K26" s="528"/>
      <c r="L26" s="163"/>
      <c r="M26" s="527">
        <f t="shared" ref="M26" si="18">SUM(L26:L32)</f>
        <v>0</v>
      </c>
      <c r="N26" s="527"/>
      <c r="O26" s="153" t="e">
        <f t="shared" si="14"/>
        <v>#DIV/0!</v>
      </c>
      <c r="P26" s="525" t="e">
        <f>M26/G26</f>
        <v>#DIV/0!</v>
      </c>
      <c r="Q26" s="530"/>
      <c r="R26" s="164"/>
      <c r="S26" s="524">
        <f t="shared" ref="S26" si="19">SUM(R26:R32)</f>
        <v>0</v>
      </c>
      <c r="T26" s="527"/>
      <c r="U26" s="153" t="e">
        <f t="shared" si="16"/>
        <v>#DIV/0!</v>
      </c>
      <c r="V26" s="525" t="e">
        <f>S26/G26</f>
        <v>#DIV/0!</v>
      </c>
      <c r="W26" s="530"/>
    </row>
    <row r="27" spans="2:23">
      <c r="B27" s="526"/>
      <c r="C27" s="529"/>
      <c r="D27" s="80">
        <f t="shared" si="6"/>
        <v>46225</v>
      </c>
      <c r="E27" s="80" t="s">
        <v>112</v>
      </c>
      <c r="F27" s="163"/>
      <c r="G27" s="527"/>
      <c r="H27" s="527"/>
      <c r="I27" s="213"/>
      <c r="J27" s="528"/>
      <c r="K27" s="528"/>
      <c r="L27" s="163"/>
      <c r="M27" s="527"/>
      <c r="N27" s="527"/>
      <c r="O27" s="153" t="e">
        <f t="shared" si="14"/>
        <v>#DIV/0!</v>
      </c>
      <c r="P27" s="525"/>
      <c r="Q27" s="530"/>
      <c r="R27" s="164"/>
      <c r="S27" s="524"/>
      <c r="T27" s="527"/>
      <c r="U27" s="153" t="e">
        <f t="shared" si="16"/>
        <v>#DIV/0!</v>
      </c>
      <c r="V27" s="525"/>
      <c r="W27" s="530"/>
    </row>
    <row r="28" spans="2:23">
      <c r="B28" s="526"/>
      <c r="C28" s="529"/>
      <c r="D28" s="80">
        <f t="shared" si="6"/>
        <v>46226</v>
      </c>
      <c r="E28" s="80" t="s">
        <v>113</v>
      </c>
      <c r="F28" s="163"/>
      <c r="G28" s="527"/>
      <c r="H28" s="527"/>
      <c r="I28" s="213"/>
      <c r="J28" s="528"/>
      <c r="K28" s="528"/>
      <c r="L28" s="163"/>
      <c r="M28" s="527"/>
      <c r="N28" s="527"/>
      <c r="O28" s="153" t="e">
        <f t="shared" si="14"/>
        <v>#DIV/0!</v>
      </c>
      <c r="P28" s="525"/>
      <c r="Q28" s="530"/>
      <c r="R28" s="164"/>
      <c r="S28" s="524"/>
      <c r="T28" s="527"/>
      <c r="U28" s="153" t="e">
        <f t="shared" si="16"/>
        <v>#DIV/0!</v>
      </c>
      <c r="V28" s="525"/>
      <c r="W28" s="530"/>
    </row>
    <row r="29" spans="2:23">
      <c r="B29" s="526"/>
      <c r="C29" s="529"/>
      <c r="D29" s="80">
        <f t="shared" si="6"/>
        <v>46227</v>
      </c>
      <c r="E29" s="80" t="s">
        <v>114</v>
      </c>
      <c r="F29" s="163"/>
      <c r="G29" s="527"/>
      <c r="H29" s="527"/>
      <c r="I29" s="213"/>
      <c r="J29" s="528"/>
      <c r="K29" s="528"/>
      <c r="L29" s="163"/>
      <c r="M29" s="527"/>
      <c r="N29" s="527"/>
      <c r="O29" s="153" t="e">
        <f t="shared" si="14"/>
        <v>#DIV/0!</v>
      </c>
      <c r="P29" s="525"/>
      <c r="Q29" s="530"/>
      <c r="R29" s="164"/>
      <c r="S29" s="524"/>
      <c r="T29" s="527"/>
      <c r="U29" s="153" t="e">
        <f t="shared" si="16"/>
        <v>#DIV/0!</v>
      </c>
      <c r="V29" s="525"/>
      <c r="W29" s="530"/>
    </row>
    <row r="30" spans="2:23">
      <c r="B30" s="526"/>
      <c r="C30" s="529"/>
      <c r="D30" s="80">
        <f t="shared" si="6"/>
        <v>46228</v>
      </c>
      <c r="E30" s="80" t="s">
        <v>115</v>
      </c>
      <c r="F30" s="163"/>
      <c r="G30" s="527"/>
      <c r="H30" s="527"/>
      <c r="I30" s="213"/>
      <c r="J30" s="528"/>
      <c r="K30" s="528"/>
      <c r="L30" s="163"/>
      <c r="M30" s="527"/>
      <c r="N30" s="527"/>
      <c r="O30" s="153" t="e">
        <f t="shared" si="14"/>
        <v>#DIV/0!</v>
      </c>
      <c r="P30" s="525"/>
      <c r="Q30" s="530"/>
      <c r="R30" s="164"/>
      <c r="S30" s="524"/>
      <c r="T30" s="527"/>
      <c r="U30" s="153" t="e">
        <f t="shared" si="16"/>
        <v>#DIV/0!</v>
      </c>
      <c r="V30" s="525"/>
      <c r="W30" s="530"/>
    </row>
    <row r="31" spans="2:23">
      <c r="B31" s="526"/>
      <c r="C31" s="529"/>
      <c r="D31" s="80">
        <f t="shared" si="6"/>
        <v>46229</v>
      </c>
      <c r="E31" s="80" t="s">
        <v>116</v>
      </c>
      <c r="F31" s="163"/>
      <c r="G31" s="527"/>
      <c r="H31" s="527"/>
      <c r="I31" s="213"/>
      <c r="J31" s="528"/>
      <c r="K31" s="528"/>
      <c r="L31" s="163"/>
      <c r="M31" s="527"/>
      <c r="N31" s="527"/>
      <c r="O31" s="153" t="e">
        <f t="shared" si="14"/>
        <v>#DIV/0!</v>
      </c>
      <c r="P31" s="525"/>
      <c r="Q31" s="530"/>
      <c r="R31" s="164"/>
      <c r="S31" s="524"/>
      <c r="T31" s="527"/>
      <c r="U31" s="153" t="e">
        <f t="shared" si="16"/>
        <v>#DIV/0!</v>
      </c>
      <c r="V31" s="525"/>
      <c r="W31" s="530"/>
    </row>
    <row r="32" spans="2:23">
      <c r="B32" s="526"/>
      <c r="C32" s="529"/>
      <c r="D32" s="80">
        <f t="shared" si="6"/>
        <v>46230</v>
      </c>
      <c r="E32" s="80" t="s">
        <v>117</v>
      </c>
      <c r="F32" s="163"/>
      <c r="G32" s="527"/>
      <c r="H32" s="527"/>
      <c r="I32" s="213"/>
      <c r="J32" s="528"/>
      <c r="K32" s="528"/>
      <c r="L32" s="163"/>
      <c r="M32" s="527"/>
      <c r="N32" s="527"/>
      <c r="O32" s="153" t="e">
        <f t="shared" si="14"/>
        <v>#DIV/0!</v>
      </c>
      <c r="P32" s="525"/>
      <c r="Q32" s="530"/>
      <c r="R32" s="164"/>
      <c r="S32" s="524"/>
      <c r="T32" s="527"/>
      <c r="U32" s="153" t="e">
        <f t="shared" si="16"/>
        <v>#DIV/0!</v>
      </c>
      <c r="V32" s="525"/>
      <c r="W32" s="530"/>
    </row>
    <row r="33" spans="2:23">
      <c r="B33" s="526">
        <f>B26+7</f>
        <v>46239</v>
      </c>
      <c r="C33" s="529"/>
      <c r="D33" s="80">
        <f t="shared" si="6"/>
        <v>46231</v>
      </c>
      <c r="E33" s="80" t="s">
        <v>118</v>
      </c>
      <c r="F33" s="163"/>
      <c r="G33" s="527">
        <f>SUM(F33:F39)</f>
        <v>0</v>
      </c>
      <c r="H33" s="527"/>
      <c r="I33" s="213"/>
      <c r="J33" s="528">
        <f t="shared" ref="J33" si="20">SUM(I33:I39)</f>
        <v>0</v>
      </c>
      <c r="K33" s="528"/>
      <c r="L33" s="163"/>
      <c r="M33" s="527">
        <f t="shared" ref="M33" si="21">SUM(L33:L39)</f>
        <v>0</v>
      </c>
      <c r="N33" s="527"/>
      <c r="O33" s="153" t="e">
        <f t="shared" ref="O33:O39" si="22">L33/F33</f>
        <v>#DIV/0!</v>
      </c>
      <c r="P33" s="525" t="e">
        <f>M33/G33</f>
        <v>#DIV/0!</v>
      </c>
      <c r="Q33" s="530"/>
      <c r="R33" s="164"/>
      <c r="S33" s="524">
        <f t="shared" ref="S33" si="23">SUM(R33:R39)</f>
        <v>0</v>
      </c>
      <c r="T33" s="527"/>
      <c r="U33" s="153" t="e">
        <f t="shared" ref="U33:U39" si="24">R33/F33</f>
        <v>#DIV/0!</v>
      </c>
      <c r="V33" s="525" t="e">
        <f>S33/G33</f>
        <v>#DIV/0!</v>
      </c>
      <c r="W33" s="530"/>
    </row>
    <row r="34" spans="2:23">
      <c r="B34" s="526"/>
      <c r="C34" s="529"/>
      <c r="D34" s="80">
        <f t="shared" si="6"/>
        <v>46232</v>
      </c>
      <c r="E34" s="80" t="s">
        <v>112</v>
      </c>
      <c r="F34" s="163"/>
      <c r="G34" s="527"/>
      <c r="H34" s="527"/>
      <c r="I34" s="213"/>
      <c r="J34" s="528"/>
      <c r="K34" s="528"/>
      <c r="L34" s="163"/>
      <c r="M34" s="527"/>
      <c r="N34" s="527"/>
      <c r="O34" s="153" t="e">
        <f t="shared" si="22"/>
        <v>#DIV/0!</v>
      </c>
      <c r="P34" s="525"/>
      <c r="Q34" s="530"/>
      <c r="R34" s="164"/>
      <c r="S34" s="524"/>
      <c r="T34" s="527"/>
      <c r="U34" s="153" t="e">
        <f t="shared" si="24"/>
        <v>#DIV/0!</v>
      </c>
      <c r="V34" s="525"/>
      <c r="W34" s="530"/>
    </row>
    <row r="35" spans="2:23">
      <c r="B35" s="526"/>
      <c r="C35" s="529"/>
      <c r="D35" s="80">
        <f t="shared" si="6"/>
        <v>46233</v>
      </c>
      <c r="E35" s="80" t="s">
        <v>113</v>
      </c>
      <c r="F35" s="163"/>
      <c r="G35" s="527"/>
      <c r="H35" s="527"/>
      <c r="I35" s="213"/>
      <c r="J35" s="528"/>
      <c r="K35" s="528"/>
      <c r="L35" s="163"/>
      <c r="M35" s="527"/>
      <c r="N35" s="527"/>
      <c r="O35" s="153" t="e">
        <f t="shared" si="22"/>
        <v>#DIV/0!</v>
      </c>
      <c r="P35" s="525"/>
      <c r="Q35" s="530"/>
      <c r="R35" s="164"/>
      <c r="S35" s="524"/>
      <c r="T35" s="527"/>
      <c r="U35" s="153" t="e">
        <f t="shared" si="24"/>
        <v>#DIV/0!</v>
      </c>
      <c r="V35" s="525"/>
      <c r="W35" s="530"/>
    </row>
    <row r="36" spans="2:23">
      <c r="B36" s="526"/>
      <c r="C36" s="529"/>
      <c r="D36" s="80">
        <f t="shared" si="6"/>
        <v>46234</v>
      </c>
      <c r="E36" s="80" t="s">
        <v>114</v>
      </c>
      <c r="F36" s="163"/>
      <c r="G36" s="527"/>
      <c r="H36" s="527"/>
      <c r="I36" s="213"/>
      <c r="J36" s="528"/>
      <c r="K36" s="528"/>
      <c r="L36" s="163"/>
      <c r="M36" s="527"/>
      <c r="N36" s="527"/>
      <c r="O36" s="153" t="e">
        <f t="shared" si="22"/>
        <v>#DIV/0!</v>
      </c>
      <c r="P36" s="525"/>
      <c r="Q36" s="530"/>
      <c r="R36" s="164"/>
      <c r="S36" s="524"/>
      <c r="T36" s="527"/>
      <c r="U36" s="153" t="e">
        <f t="shared" si="24"/>
        <v>#DIV/0!</v>
      </c>
      <c r="V36" s="525"/>
      <c r="W36" s="530"/>
    </row>
    <row r="37" spans="2:23">
      <c r="B37" s="526"/>
      <c r="D37" s="80">
        <f t="shared" si="6"/>
        <v>46235</v>
      </c>
      <c r="E37" s="80" t="s">
        <v>115</v>
      </c>
      <c r="F37" s="163"/>
      <c r="G37" s="527"/>
      <c r="I37" s="213"/>
      <c r="J37" s="528"/>
      <c r="L37" s="163"/>
      <c r="M37" s="527"/>
      <c r="O37" s="153" t="e">
        <f t="shared" si="22"/>
        <v>#DIV/0!</v>
      </c>
      <c r="P37" s="525"/>
      <c r="R37" s="164"/>
      <c r="S37" s="524"/>
      <c r="U37" s="153" t="e">
        <f t="shared" si="24"/>
        <v>#DIV/0!</v>
      </c>
      <c r="V37" s="525"/>
    </row>
    <row r="38" spans="2:23">
      <c r="B38" s="526"/>
      <c r="D38" s="80">
        <f t="shared" si="6"/>
        <v>46236</v>
      </c>
      <c r="E38" s="80" t="s">
        <v>116</v>
      </c>
      <c r="F38" s="163"/>
      <c r="G38" s="527"/>
      <c r="I38" s="213"/>
      <c r="J38" s="528"/>
      <c r="L38" s="163"/>
      <c r="M38" s="527"/>
      <c r="O38" s="153" t="e">
        <f t="shared" si="22"/>
        <v>#DIV/0!</v>
      </c>
      <c r="P38" s="525"/>
      <c r="R38" s="164"/>
      <c r="S38" s="524"/>
      <c r="U38" s="153" t="e">
        <f t="shared" si="24"/>
        <v>#DIV/0!</v>
      </c>
      <c r="V38" s="525"/>
    </row>
    <row r="39" spans="2:23">
      <c r="B39" s="526"/>
      <c r="D39" s="80">
        <f t="shared" si="6"/>
        <v>46237</v>
      </c>
      <c r="E39" s="80" t="s">
        <v>117</v>
      </c>
      <c r="F39" s="163"/>
      <c r="G39" s="527"/>
      <c r="I39" s="213"/>
      <c r="J39" s="528"/>
      <c r="L39" s="163"/>
      <c r="M39" s="527"/>
      <c r="O39" s="153" t="e">
        <f t="shared" si="22"/>
        <v>#DIV/0!</v>
      </c>
      <c r="P39" s="525"/>
      <c r="R39" s="164"/>
      <c r="S39" s="524"/>
      <c r="U39" s="153" t="e">
        <f t="shared" si="24"/>
        <v>#DIV/0!</v>
      </c>
      <c r="V39" s="525"/>
    </row>
  </sheetData>
  <mergeCells count="52"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26:B32"/>
    <mergeCell ref="G26:G32"/>
    <mergeCell ref="J26:J32"/>
    <mergeCell ref="V5:V11"/>
    <mergeCell ref="W6:W36"/>
    <mergeCell ref="S12:S18"/>
    <mergeCell ref="B5:B11"/>
    <mergeCell ref="M19:M25"/>
    <mergeCell ref="P19:P25"/>
    <mergeCell ref="G5:G11"/>
    <mergeCell ref="J5:J11"/>
    <mergeCell ref="M5:M11"/>
    <mergeCell ref="P5:P11"/>
    <mergeCell ref="H6:H36"/>
    <mergeCell ref="K6:K36"/>
    <mergeCell ref="B12:B18"/>
    <mergeCell ref="G12:G18"/>
    <mergeCell ref="J12:J18"/>
    <mergeCell ref="M12:M18"/>
    <mergeCell ref="P12:P18"/>
    <mergeCell ref="Q6:Q36"/>
    <mergeCell ref="T6:T36"/>
    <mergeCell ref="M26:M32"/>
    <mergeCell ref="P26:P32"/>
    <mergeCell ref="N6:N36"/>
    <mergeCell ref="P33:P39"/>
    <mergeCell ref="S26:S32"/>
    <mergeCell ref="S5:S11"/>
    <mergeCell ref="V26:V32"/>
    <mergeCell ref="B33:B39"/>
    <mergeCell ref="G33:G39"/>
    <mergeCell ref="J33:J39"/>
    <mergeCell ref="M33:M39"/>
    <mergeCell ref="S33:S39"/>
    <mergeCell ref="V33:V39"/>
    <mergeCell ref="C6:C36"/>
    <mergeCell ref="V12:V18"/>
    <mergeCell ref="B19:B25"/>
    <mergeCell ref="G19:G25"/>
    <mergeCell ref="J19:J25"/>
    <mergeCell ref="S19:S25"/>
    <mergeCell ref="V19:V25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39"/>
  <sheetViews>
    <sheetView zoomScale="80" zoomScaleNormal="80" workbookViewId="0">
      <selection activeCell="U12" sqref="U12:U18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7" customWidth="1"/>
    <col min="9" max="11" width="15" style="72" customWidth="1"/>
    <col min="12" max="12" width="14.54296875" style="167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2" t="s">
        <v>356</v>
      </c>
      <c r="C1" s="165">
        <v>442.4</v>
      </c>
    </row>
    <row r="2" spans="2:23" ht="38.15" customHeight="1">
      <c r="B2" s="532" t="s">
        <v>130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</row>
    <row r="3" spans="2:23" s="71" customFormat="1" ht="23.5" customHeight="1">
      <c r="B3" s="536" t="s">
        <v>122</v>
      </c>
      <c r="C3" s="537" t="s">
        <v>119</v>
      </c>
      <c r="D3" s="538" t="s">
        <v>105</v>
      </c>
      <c r="E3" s="538"/>
      <c r="F3" s="546" t="s">
        <v>107</v>
      </c>
      <c r="G3" s="546"/>
      <c r="H3" s="546"/>
      <c r="I3" s="548" t="s">
        <v>108</v>
      </c>
      <c r="J3" s="548"/>
      <c r="K3" s="548"/>
      <c r="L3" s="547" t="s">
        <v>324</v>
      </c>
      <c r="M3" s="547"/>
      <c r="N3" s="547"/>
      <c r="O3" s="547" t="s">
        <v>106</v>
      </c>
      <c r="P3" s="547"/>
      <c r="Q3" s="547"/>
      <c r="R3" s="547" t="s">
        <v>355</v>
      </c>
      <c r="S3" s="547"/>
      <c r="T3" s="547"/>
      <c r="U3" s="547" t="s">
        <v>425</v>
      </c>
      <c r="V3" s="547"/>
      <c r="W3" s="547"/>
    </row>
    <row r="4" spans="2:23" ht="15">
      <c r="B4" s="536"/>
      <c r="C4" s="537"/>
      <c r="D4" s="538"/>
      <c r="E4" s="538"/>
      <c r="F4" s="79" t="s">
        <v>116</v>
      </c>
      <c r="G4" s="89" t="s">
        <v>131</v>
      </c>
      <c r="H4" s="89" t="s">
        <v>132</v>
      </c>
      <c r="I4" s="79" t="s">
        <v>116</v>
      </c>
      <c r="J4" s="88" t="s">
        <v>131</v>
      </c>
      <c r="K4" s="88" t="s">
        <v>132</v>
      </c>
      <c r="L4" s="168" t="s">
        <v>116</v>
      </c>
      <c r="M4" s="88" t="s">
        <v>131</v>
      </c>
      <c r="N4" s="88" t="s">
        <v>132</v>
      </c>
      <c r="O4" s="166" t="s">
        <v>116</v>
      </c>
      <c r="P4" s="88" t="s">
        <v>131</v>
      </c>
      <c r="Q4" s="88" t="s">
        <v>132</v>
      </c>
      <c r="R4" s="79" t="s">
        <v>116</v>
      </c>
      <c r="S4" s="88" t="s">
        <v>131</v>
      </c>
      <c r="T4" s="88" t="s">
        <v>132</v>
      </c>
      <c r="U4" s="79" t="s">
        <v>116</v>
      </c>
      <c r="V4" s="88" t="s">
        <v>131</v>
      </c>
      <c r="W4" s="88" t="s">
        <v>132</v>
      </c>
    </row>
    <row r="5" spans="2:23">
      <c r="B5" s="526">
        <v>46211</v>
      </c>
      <c r="C5" s="476"/>
      <c r="D5" s="80">
        <v>46203</v>
      </c>
      <c r="E5" s="440" t="s">
        <v>118</v>
      </c>
      <c r="F5" s="87">
        <v>414.46181534434942</v>
      </c>
      <c r="G5" s="544">
        <f t="shared" ref="G5" si="0">AVERAGE(F5:F11)</f>
        <v>428.26228500709522</v>
      </c>
      <c r="H5" s="478"/>
      <c r="I5" s="153">
        <f t="shared" ref="I5:I11" si="1">F5/$C$1</f>
        <v>0.93684858802972293</v>
      </c>
      <c r="J5" s="543">
        <f t="shared" ref="J5" si="2">AVERAGE(I5:I11)</f>
        <v>0.9680431397086241</v>
      </c>
      <c r="K5" s="477"/>
      <c r="L5" s="161">
        <v>2.0100000000000001E-3</v>
      </c>
      <c r="M5" s="542">
        <f>AVERAGE(L5:L11)</f>
        <v>2.0078679563627412E-3</v>
      </c>
      <c r="N5" s="479"/>
      <c r="O5" s="84">
        <v>6.0000000000000001E-3</v>
      </c>
      <c r="P5" s="540">
        <f t="shared" ref="P5" si="3">AVERAGE(O5:O11)</f>
        <v>6.0119541038000657E-3</v>
      </c>
      <c r="Q5" s="479"/>
      <c r="R5" s="153">
        <v>0.9</v>
      </c>
      <c r="S5" s="543">
        <f t="shared" ref="S5" si="4">AVERAGE(R5:R11)</f>
        <v>0.90000000000000013</v>
      </c>
      <c r="T5" s="477"/>
      <c r="U5" s="153">
        <f>27/52*100%</f>
        <v>0.51923076923076927</v>
      </c>
      <c r="V5" s="525">
        <f t="shared" ref="V5" si="5">AVERAGE(U5:U11)</f>
        <v>0.51923076923076927</v>
      </c>
      <c r="W5" s="477"/>
    </row>
    <row r="6" spans="2:23">
      <c r="B6" s="526"/>
      <c r="C6" s="529" t="s">
        <v>731</v>
      </c>
      <c r="D6" s="80">
        <f t="shared" ref="D6:D7" si="6">D5+1</f>
        <v>46204</v>
      </c>
      <c r="E6" s="440" t="s">
        <v>112</v>
      </c>
      <c r="F6" s="87">
        <v>435.9796886499139</v>
      </c>
      <c r="G6" s="544"/>
      <c r="H6" s="541">
        <f>AVERAGEIF(F6:F36,"&lt;&gt;0")</f>
        <v>428.90741285896598</v>
      </c>
      <c r="I6" s="153">
        <f t="shared" si="1"/>
        <v>0.98548754215622492</v>
      </c>
      <c r="J6" s="543"/>
      <c r="K6" s="540">
        <f>AVERAGEIF(I6:I36,"&lt;&gt;0")</f>
        <v>0.96950138530507668</v>
      </c>
      <c r="L6" s="161">
        <v>2.0079059630564006E-3</v>
      </c>
      <c r="M6" s="542"/>
      <c r="N6" s="542">
        <f>AVERAGEIF(L6:L36,"&lt;&gt;0")</f>
        <v>2.0104075829599161E-3</v>
      </c>
      <c r="O6" s="84">
        <v>6.0181155680973713E-3</v>
      </c>
      <c r="P6" s="540"/>
      <c r="Q6" s="542">
        <f>AVERAGEIF(O6:O36,"&lt;&gt;0")</f>
        <v>6.0222623825172041E-3</v>
      </c>
      <c r="R6" s="153">
        <v>0.9</v>
      </c>
      <c r="S6" s="543"/>
      <c r="T6" s="540">
        <f>AVERAGEIF(R6:R36,"&lt;&gt;0")</f>
        <v>0.90000000000000024</v>
      </c>
      <c r="U6" s="153">
        <f t="shared" ref="U6:U11" si="7">27/52*100%</f>
        <v>0.51923076923076927</v>
      </c>
      <c r="V6" s="525"/>
      <c r="W6" s="540">
        <f>AVERAGEIF(U6:U36,"&lt;&gt;0")</f>
        <v>0.52958579881656798</v>
      </c>
    </row>
    <row r="7" spans="2:23">
      <c r="B7" s="526"/>
      <c r="C7" s="529"/>
      <c r="D7" s="80">
        <f t="shared" si="6"/>
        <v>46205</v>
      </c>
      <c r="E7" s="440" t="s">
        <v>113</v>
      </c>
      <c r="F7" s="87">
        <v>436.43136818362393</v>
      </c>
      <c r="G7" s="544"/>
      <c r="H7" s="541"/>
      <c r="I7" s="153">
        <f t="shared" si="1"/>
        <v>0.98650851759408664</v>
      </c>
      <c r="J7" s="543"/>
      <c r="K7" s="540"/>
      <c r="L7" s="161">
        <v>2.0058934872632561E-3</v>
      </c>
      <c r="M7" s="542"/>
      <c r="N7" s="542"/>
      <c r="O7" s="84">
        <v>6.0118097793846505E-3</v>
      </c>
      <c r="P7" s="540"/>
      <c r="Q7" s="542"/>
      <c r="R7" s="153">
        <v>0.9</v>
      </c>
      <c r="S7" s="543"/>
      <c r="T7" s="540"/>
      <c r="U7" s="153">
        <f t="shared" si="7"/>
        <v>0.51923076923076927</v>
      </c>
      <c r="V7" s="525"/>
      <c r="W7" s="540"/>
    </row>
    <row r="8" spans="2:23">
      <c r="B8" s="526"/>
      <c r="C8" s="529"/>
      <c r="D8" s="80">
        <f t="shared" ref="D8:D39" si="8">D7+1</f>
        <v>46206</v>
      </c>
      <c r="E8" s="440" t="s">
        <v>114</v>
      </c>
      <c r="F8" s="87">
        <v>437.68597176719646</v>
      </c>
      <c r="G8" s="544"/>
      <c r="H8" s="541"/>
      <c r="I8" s="153">
        <f t="shared" si="1"/>
        <v>0.98934442081192697</v>
      </c>
      <c r="J8" s="543"/>
      <c r="K8" s="540"/>
      <c r="L8" s="161">
        <v>2.0024104467497869E-3</v>
      </c>
      <c r="M8" s="542"/>
      <c r="N8" s="542"/>
      <c r="O8" s="84">
        <v>6.0083486609464661E-3</v>
      </c>
      <c r="P8" s="540"/>
      <c r="Q8" s="542"/>
      <c r="R8" s="153">
        <v>0.9</v>
      </c>
      <c r="S8" s="543"/>
      <c r="T8" s="540"/>
      <c r="U8" s="153">
        <f t="shared" si="7"/>
        <v>0.51923076923076927</v>
      </c>
      <c r="V8" s="525"/>
      <c r="W8" s="540"/>
    </row>
    <row r="9" spans="2:23">
      <c r="B9" s="526"/>
      <c r="C9" s="529"/>
      <c r="D9" s="80">
        <f t="shared" si="8"/>
        <v>46207</v>
      </c>
      <c r="E9" s="440" t="s">
        <v>115</v>
      </c>
      <c r="F9" s="87">
        <v>437.88829044195768</v>
      </c>
      <c r="G9" s="544"/>
      <c r="H9" s="541"/>
      <c r="I9" s="153">
        <f t="shared" si="1"/>
        <v>0.98980174150532929</v>
      </c>
      <c r="J9" s="543"/>
      <c r="K9" s="540"/>
      <c r="L9" s="161">
        <v>2.0044784852963531E-3</v>
      </c>
      <c r="M9" s="542"/>
      <c r="N9" s="542"/>
      <c r="O9" s="84">
        <v>6.0121683980489367E-3</v>
      </c>
      <c r="P9" s="540"/>
      <c r="Q9" s="542"/>
      <c r="R9" s="153">
        <v>0.9</v>
      </c>
      <c r="S9" s="543"/>
      <c r="T9" s="540"/>
      <c r="U9" s="153">
        <f t="shared" si="7"/>
        <v>0.51923076923076927</v>
      </c>
      <c r="V9" s="525"/>
      <c r="W9" s="540"/>
    </row>
    <row r="10" spans="2:23">
      <c r="B10" s="526"/>
      <c r="C10" s="529"/>
      <c r="D10" s="80">
        <f t="shared" si="8"/>
        <v>46208</v>
      </c>
      <c r="E10" s="440" t="s">
        <v>116</v>
      </c>
      <c r="F10" s="87">
        <v>417.67210073056992</v>
      </c>
      <c r="G10" s="544"/>
      <c r="H10" s="541"/>
      <c r="I10" s="153">
        <f t="shared" si="1"/>
        <v>0.9441051101504746</v>
      </c>
      <c r="J10" s="543"/>
      <c r="K10" s="540"/>
      <c r="L10" s="161">
        <v>2.0142457294361816E-3</v>
      </c>
      <c r="M10" s="542"/>
      <c r="N10" s="542"/>
      <c r="O10" s="84">
        <v>6.023704357396689E-3</v>
      </c>
      <c r="P10" s="540"/>
      <c r="Q10" s="542"/>
      <c r="R10" s="153">
        <v>0.9</v>
      </c>
      <c r="S10" s="543"/>
      <c r="T10" s="540"/>
      <c r="U10" s="153">
        <f t="shared" si="7"/>
        <v>0.51923076923076927</v>
      </c>
      <c r="V10" s="525"/>
      <c r="W10" s="540"/>
    </row>
    <row r="11" spans="2:23">
      <c r="B11" s="526"/>
      <c r="C11" s="529"/>
      <c r="D11" s="80">
        <f t="shared" si="8"/>
        <v>46209</v>
      </c>
      <c r="E11" s="440" t="s">
        <v>117</v>
      </c>
      <c r="F11" s="87">
        <v>417.71675993205571</v>
      </c>
      <c r="G11" s="544"/>
      <c r="H11" s="541"/>
      <c r="I11" s="153">
        <f t="shared" si="1"/>
        <v>0.94420605771260335</v>
      </c>
      <c r="J11" s="543"/>
      <c r="K11" s="540"/>
      <c r="L11" s="161">
        <v>2.0101415827372131E-3</v>
      </c>
      <c r="M11" s="542"/>
      <c r="N11" s="542"/>
      <c r="O11" s="84">
        <v>6.0095319627263477E-3</v>
      </c>
      <c r="P11" s="540"/>
      <c r="Q11" s="542"/>
      <c r="R11" s="153">
        <v>0.9</v>
      </c>
      <c r="S11" s="543"/>
      <c r="T11" s="540"/>
      <c r="U11" s="153">
        <f t="shared" si="7"/>
        <v>0.51923076923076927</v>
      </c>
      <c r="V11" s="525"/>
      <c r="W11" s="540"/>
    </row>
    <row r="12" spans="2:23">
      <c r="B12" s="526">
        <f t="shared" ref="B12:B26" si="9">B5+7</f>
        <v>46218</v>
      </c>
      <c r="C12" s="529"/>
      <c r="D12" s="80">
        <f t="shared" si="8"/>
        <v>46210</v>
      </c>
      <c r="E12" s="440" t="s">
        <v>118</v>
      </c>
      <c r="F12" s="87">
        <v>423.14212650917972</v>
      </c>
      <c r="G12" s="544">
        <f t="shared" ref="G12" si="10">AVERAGE(F12:F18)</f>
        <v>427.48888392303405</v>
      </c>
      <c r="H12" s="541"/>
      <c r="I12" s="153">
        <f t="shared" ref="I12:I32" si="11">F12/$C$1</f>
        <v>0.95646954455058708</v>
      </c>
      <c r="J12" s="543">
        <f t="shared" ref="J12" si="12">AVERAGE(I12:I18)</f>
        <v>0.96629494557647833</v>
      </c>
      <c r="K12" s="540"/>
      <c r="L12" s="161">
        <v>2.01997397309206E-3</v>
      </c>
      <c r="M12" s="542">
        <f t="shared" ref="M12" si="13">AVERAGE(L12:L18)</f>
        <v>2.0128889834199601E-3</v>
      </c>
      <c r="N12" s="542"/>
      <c r="O12" s="84">
        <v>6.0496513463566964E-3</v>
      </c>
      <c r="P12" s="540">
        <f t="shared" ref="P12" si="14">AVERAGE(O12:O18)</f>
        <v>6.0293903208747399E-3</v>
      </c>
      <c r="Q12" s="542"/>
      <c r="R12" s="153">
        <v>0.9</v>
      </c>
      <c r="S12" s="543">
        <f t="shared" ref="S12" si="15">AVERAGE(R12:R18)</f>
        <v>0.90000000000000013</v>
      </c>
      <c r="T12" s="540"/>
      <c r="U12" s="153">
        <f>28/52*100%</f>
        <v>0.53846153846153844</v>
      </c>
      <c r="V12" s="525">
        <f t="shared" ref="V12" si="16">AVERAGE(U12:U18)</f>
        <v>0.53846153846153844</v>
      </c>
      <c r="W12" s="540"/>
    </row>
    <row r="13" spans="2:23">
      <c r="B13" s="526"/>
      <c r="C13" s="529"/>
      <c r="D13" s="80">
        <f t="shared" si="8"/>
        <v>46211</v>
      </c>
      <c r="E13" s="440" t="s">
        <v>112</v>
      </c>
      <c r="F13" s="87">
        <v>423.43805459690589</v>
      </c>
      <c r="G13" s="544"/>
      <c r="H13" s="541"/>
      <c r="I13" s="153">
        <f t="shared" si="11"/>
        <v>0.95713845975792478</v>
      </c>
      <c r="J13" s="543"/>
      <c r="K13" s="540"/>
      <c r="L13" s="161">
        <v>2.0159882377606322E-3</v>
      </c>
      <c r="M13" s="542"/>
      <c r="N13" s="542"/>
      <c r="O13" s="84">
        <v>6.0363254110326649E-3</v>
      </c>
      <c r="P13" s="540"/>
      <c r="Q13" s="542"/>
      <c r="R13" s="153">
        <v>0.9</v>
      </c>
      <c r="S13" s="543"/>
      <c r="T13" s="540"/>
      <c r="U13" s="153">
        <f t="shared" ref="U13:U18" si="17">28/52*100%</f>
        <v>0.53846153846153844</v>
      </c>
      <c r="V13" s="525"/>
      <c r="W13" s="540"/>
    </row>
    <row r="14" spans="2:23">
      <c r="B14" s="526"/>
      <c r="C14" s="529"/>
      <c r="D14" s="80">
        <f t="shared" si="8"/>
        <v>46212</v>
      </c>
      <c r="E14" s="440" t="s">
        <v>113</v>
      </c>
      <c r="F14" s="87">
        <v>422.02496212665733</v>
      </c>
      <c r="G14" s="544"/>
      <c r="H14" s="541"/>
      <c r="I14" s="153">
        <f t="shared" si="11"/>
        <v>0.95394430860456003</v>
      </c>
      <c r="J14" s="543"/>
      <c r="K14" s="540"/>
      <c r="L14" s="161">
        <v>2.0104574943152777E-3</v>
      </c>
      <c r="M14" s="542"/>
      <c r="N14" s="542"/>
      <c r="O14" s="84">
        <v>5.9852622094669862E-3</v>
      </c>
      <c r="P14" s="540"/>
      <c r="Q14" s="542"/>
      <c r="R14" s="153">
        <v>0.9</v>
      </c>
      <c r="S14" s="543"/>
      <c r="T14" s="540"/>
      <c r="U14" s="153">
        <f t="shared" si="17"/>
        <v>0.53846153846153844</v>
      </c>
      <c r="V14" s="525"/>
      <c r="W14" s="540"/>
    </row>
    <row r="15" spans="2:23">
      <c r="B15" s="526"/>
      <c r="C15" s="529"/>
      <c r="D15" s="80">
        <f t="shared" si="8"/>
        <v>46213</v>
      </c>
      <c r="E15" s="440" t="s">
        <v>114</v>
      </c>
      <c r="F15" s="87">
        <v>443.36312463499223</v>
      </c>
      <c r="G15" s="544"/>
      <c r="H15" s="541"/>
      <c r="I15" s="153">
        <f t="shared" si="11"/>
        <v>1.0021770448349734</v>
      </c>
      <c r="J15" s="543"/>
      <c r="K15" s="540"/>
      <c r="L15" s="161">
        <v>2.0041492770200707E-3</v>
      </c>
      <c r="M15" s="542"/>
      <c r="N15" s="542"/>
      <c r="O15" s="84">
        <v>5.9880401793099454E-3</v>
      </c>
      <c r="P15" s="540"/>
      <c r="Q15" s="542"/>
      <c r="R15" s="153">
        <v>0.9</v>
      </c>
      <c r="S15" s="543"/>
      <c r="T15" s="540"/>
      <c r="U15" s="153">
        <f t="shared" si="17"/>
        <v>0.53846153846153844</v>
      </c>
      <c r="V15" s="525"/>
      <c r="W15" s="540"/>
    </row>
    <row r="16" spans="2:23">
      <c r="B16" s="526"/>
      <c r="C16" s="529"/>
      <c r="D16" s="80">
        <f t="shared" si="8"/>
        <v>46214</v>
      </c>
      <c r="E16" s="440" t="s">
        <v>115</v>
      </c>
      <c r="F16" s="87">
        <v>440.60112152835706</v>
      </c>
      <c r="G16" s="544"/>
      <c r="H16" s="541"/>
      <c r="I16" s="153">
        <f t="shared" si="11"/>
        <v>0.99593381900623212</v>
      </c>
      <c r="J16" s="543"/>
      <c r="K16" s="540"/>
      <c r="L16" s="161">
        <v>2.0097746684132772E-3</v>
      </c>
      <c r="M16" s="542"/>
      <c r="N16" s="542"/>
      <c r="O16" s="84">
        <v>6.0040976519718861E-3</v>
      </c>
      <c r="P16" s="540"/>
      <c r="Q16" s="542"/>
      <c r="R16" s="153">
        <v>0.9</v>
      </c>
      <c r="S16" s="543"/>
      <c r="T16" s="540"/>
      <c r="U16" s="153">
        <f t="shared" si="17"/>
        <v>0.53846153846153844</v>
      </c>
      <c r="V16" s="525"/>
      <c r="W16" s="540"/>
    </row>
    <row r="17" spans="2:23">
      <c r="B17" s="526"/>
      <c r="C17" s="529"/>
      <c r="D17" s="80">
        <f t="shared" si="8"/>
        <v>46215</v>
      </c>
      <c r="E17" s="440" t="s">
        <v>116</v>
      </c>
      <c r="F17" s="87">
        <v>420.01861021098057</v>
      </c>
      <c r="G17" s="544"/>
      <c r="H17" s="541"/>
      <c r="I17" s="153">
        <f t="shared" si="11"/>
        <v>0.94940915508811163</v>
      </c>
      <c r="J17" s="543"/>
      <c r="K17" s="540"/>
      <c r="L17" s="161">
        <v>2.0195443593012644E-3</v>
      </c>
      <c r="M17" s="542"/>
      <c r="N17" s="542"/>
      <c r="O17" s="84">
        <v>6.1082606383379553E-3</v>
      </c>
      <c r="P17" s="540"/>
      <c r="Q17" s="542"/>
      <c r="R17" s="153">
        <v>0.9</v>
      </c>
      <c r="S17" s="543"/>
      <c r="T17" s="540"/>
      <c r="U17" s="153">
        <f t="shared" si="17"/>
        <v>0.53846153846153844</v>
      </c>
      <c r="V17" s="525"/>
      <c r="W17" s="540"/>
    </row>
    <row r="18" spans="2:23">
      <c r="B18" s="526"/>
      <c r="C18" s="529"/>
      <c r="D18" s="80">
        <f t="shared" si="8"/>
        <v>46216</v>
      </c>
      <c r="E18" s="440" t="s">
        <v>117</v>
      </c>
      <c r="F18" s="87">
        <v>419.8341878541658</v>
      </c>
      <c r="G18" s="544"/>
      <c r="H18" s="541"/>
      <c r="I18" s="153">
        <f t="shared" si="11"/>
        <v>0.94899228719296069</v>
      </c>
      <c r="J18" s="543"/>
      <c r="K18" s="540"/>
      <c r="L18" s="161">
        <v>2.0103348740371399E-3</v>
      </c>
      <c r="M18" s="542"/>
      <c r="N18" s="542"/>
      <c r="O18" s="84">
        <v>6.0340948096470485E-3</v>
      </c>
      <c r="P18" s="540"/>
      <c r="Q18" s="542"/>
      <c r="R18" s="153">
        <v>0.9</v>
      </c>
      <c r="S18" s="543"/>
      <c r="T18" s="540"/>
      <c r="U18" s="153">
        <f t="shared" si="17"/>
        <v>0.53846153846153844</v>
      </c>
      <c r="V18" s="525"/>
      <c r="W18" s="540"/>
    </row>
    <row r="19" spans="2:23">
      <c r="B19" s="526">
        <f t="shared" si="9"/>
        <v>46225</v>
      </c>
      <c r="C19" s="529"/>
      <c r="D19" s="80">
        <f t="shared" si="8"/>
        <v>46217</v>
      </c>
      <c r="E19" s="440" t="s">
        <v>118</v>
      </c>
      <c r="G19" s="544" t="e">
        <f t="shared" ref="G19" si="18">AVERAGE(F19:F25)</f>
        <v>#DIV/0!</v>
      </c>
      <c r="H19" s="541"/>
      <c r="I19" s="153">
        <f t="shared" si="11"/>
        <v>0</v>
      </c>
      <c r="J19" s="543">
        <f t="shared" ref="J19" si="19">AVERAGE(I19:I25)</f>
        <v>0</v>
      </c>
      <c r="K19" s="540"/>
      <c r="L19" s="161"/>
      <c r="M19" s="542" t="e">
        <f t="shared" ref="M19" si="20">AVERAGE(L19:L25)</f>
        <v>#DIV/0!</v>
      </c>
      <c r="N19" s="542"/>
      <c r="O19" s="84"/>
      <c r="P19" s="540" t="e">
        <f t="shared" ref="P19" si="21">AVERAGE(O19:O25)</f>
        <v>#DIV/0!</v>
      </c>
      <c r="Q19" s="542"/>
      <c r="R19" s="153"/>
      <c r="S19" s="543" t="e">
        <f t="shared" ref="S19" si="22">AVERAGE(R19:R25)</f>
        <v>#DIV/0!</v>
      </c>
      <c r="T19" s="540"/>
      <c r="U19" s="153"/>
      <c r="V19" s="525" t="e">
        <f t="shared" ref="V19" si="23">AVERAGE(U19:U25)</f>
        <v>#DIV/0!</v>
      </c>
      <c r="W19" s="540"/>
    </row>
    <row r="20" spans="2:23">
      <c r="B20" s="526"/>
      <c r="C20" s="529"/>
      <c r="D20" s="80">
        <f t="shared" si="8"/>
        <v>46218</v>
      </c>
      <c r="E20" s="440" t="s">
        <v>112</v>
      </c>
      <c r="G20" s="544"/>
      <c r="H20" s="541"/>
      <c r="I20" s="153">
        <f t="shared" si="11"/>
        <v>0</v>
      </c>
      <c r="J20" s="543"/>
      <c r="K20" s="540"/>
      <c r="L20" s="161"/>
      <c r="M20" s="542"/>
      <c r="N20" s="542"/>
      <c r="O20" s="84"/>
      <c r="P20" s="540"/>
      <c r="Q20" s="542"/>
      <c r="R20" s="153"/>
      <c r="S20" s="543"/>
      <c r="T20" s="540"/>
      <c r="U20" s="153"/>
      <c r="V20" s="525"/>
      <c r="W20" s="540"/>
    </row>
    <row r="21" spans="2:23">
      <c r="B21" s="526"/>
      <c r="C21" s="529"/>
      <c r="D21" s="80">
        <f t="shared" si="8"/>
        <v>46219</v>
      </c>
      <c r="E21" s="440" t="s">
        <v>113</v>
      </c>
      <c r="G21" s="544"/>
      <c r="H21" s="541"/>
      <c r="I21" s="153">
        <f t="shared" si="11"/>
        <v>0</v>
      </c>
      <c r="J21" s="543"/>
      <c r="K21" s="540"/>
      <c r="L21" s="161"/>
      <c r="M21" s="542"/>
      <c r="N21" s="542"/>
      <c r="O21" s="84"/>
      <c r="P21" s="540"/>
      <c r="Q21" s="542"/>
      <c r="R21" s="153"/>
      <c r="S21" s="543"/>
      <c r="T21" s="540"/>
      <c r="U21" s="153"/>
      <c r="V21" s="525"/>
      <c r="W21" s="540"/>
    </row>
    <row r="22" spans="2:23">
      <c r="B22" s="526"/>
      <c r="C22" s="529"/>
      <c r="D22" s="80">
        <f t="shared" si="8"/>
        <v>46220</v>
      </c>
      <c r="E22" s="440" t="s">
        <v>114</v>
      </c>
      <c r="G22" s="544"/>
      <c r="H22" s="541"/>
      <c r="I22" s="153">
        <f t="shared" si="11"/>
        <v>0</v>
      </c>
      <c r="J22" s="543"/>
      <c r="K22" s="540"/>
      <c r="L22" s="161"/>
      <c r="M22" s="542"/>
      <c r="N22" s="542"/>
      <c r="O22" s="84"/>
      <c r="P22" s="540"/>
      <c r="Q22" s="542"/>
      <c r="R22" s="153"/>
      <c r="S22" s="543"/>
      <c r="T22" s="540"/>
      <c r="U22" s="153"/>
      <c r="V22" s="525"/>
      <c r="W22" s="540"/>
    </row>
    <row r="23" spans="2:23">
      <c r="B23" s="526"/>
      <c r="C23" s="529"/>
      <c r="D23" s="80">
        <f t="shared" si="8"/>
        <v>46221</v>
      </c>
      <c r="E23" s="440" t="s">
        <v>115</v>
      </c>
      <c r="G23" s="544"/>
      <c r="H23" s="541"/>
      <c r="I23" s="153">
        <f t="shared" si="11"/>
        <v>0</v>
      </c>
      <c r="J23" s="543"/>
      <c r="K23" s="540"/>
      <c r="L23" s="161"/>
      <c r="M23" s="542"/>
      <c r="N23" s="542"/>
      <c r="O23" s="84"/>
      <c r="P23" s="540"/>
      <c r="Q23" s="542"/>
      <c r="R23" s="153"/>
      <c r="S23" s="543"/>
      <c r="T23" s="540"/>
      <c r="U23" s="153"/>
      <c r="V23" s="525"/>
      <c r="W23" s="540"/>
    </row>
    <row r="24" spans="2:23">
      <c r="B24" s="526"/>
      <c r="C24" s="529"/>
      <c r="D24" s="80">
        <f t="shared" si="8"/>
        <v>46222</v>
      </c>
      <c r="E24" s="440" t="s">
        <v>116</v>
      </c>
      <c r="G24" s="544"/>
      <c r="H24" s="541"/>
      <c r="I24" s="153">
        <f t="shared" si="11"/>
        <v>0</v>
      </c>
      <c r="J24" s="543"/>
      <c r="K24" s="540"/>
      <c r="L24" s="161"/>
      <c r="M24" s="542"/>
      <c r="N24" s="542"/>
      <c r="O24" s="84"/>
      <c r="P24" s="540"/>
      <c r="Q24" s="542"/>
      <c r="R24" s="153"/>
      <c r="S24" s="543"/>
      <c r="T24" s="540"/>
      <c r="U24" s="153"/>
      <c r="V24" s="525"/>
      <c r="W24" s="540"/>
    </row>
    <row r="25" spans="2:23">
      <c r="B25" s="526"/>
      <c r="C25" s="529"/>
      <c r="D25" s="80">
        <f t="shared" si="8"/>
        <v>46223</v>
      </c>
      <c r="E25" s="440" t="s">
        <v>117</v>
      </c>
      <c r="G25" s="544"/>
      <c r="H25" s="541"/>
      <c r="I25" s="153">
        <f t="shared" si="11"/>
        <v>0</v>
      </c>
      <c r="J25" s="543"/>
      <c r="K25" s="540"/>
      <c r="L25" s="161"/>
      <c r="M25" s="542"/>
      <c r="N25" s="542"/>
      <c r="O25" s="84"/>
      <c r="P25" s="540"/>
      <c r="Q25" s="542"/>
      <c r="R25" s="153"/>
      <c r="S25" s="543"/>
      <c r="T25" s="540"/>
      <c r="U25" s="153"/>
      <c r="V25" s="525"/>
      <c r="W25" s="540"/>
    </row>
    <row r="26" spans="2:23">
      <c r="B26" s="526">
        <f t="shared" si="9"/>
        <v>46232</v>
      </c>
      <c r="C26" s="529"/>
      <c r="D26" s="80">
        <f t="shared" si="8"/>
        <v>46224</v>
      </c>
      <c r="E26" s="440" t="s">
        <v>118</v>
      </c>
      <c r="G26" s="544" t="e">
        <f t="shared" ref="G26" si="24">AVERAGE(F26:F32)</f>
        <v>#DIV/0!</v>
      </c>
      <c r="H26" s="541"/>
      <c r="I26" s="153">
        <f t="shared" si="11"/>
        <v>0</v>
      </c>
      <c r="J26" s="543">
        <f t="shared" ref="J26" si="25">AVERAGE(I26:I32)</f>
        <v>0</v>
      </c>
      <c r="K26" s="540"/>
      <c r="L26" s="161"/>
      <c r="M26" s="542" t="e">
        <f t="shared" ref="M26" si="26">AVERAGE(L26:L32)</f>
        <v>#DIV/0!</v>
      </c>
      <c r="N26" s="542"/>
      <c r="O26" s="84"/>
      <c r="P26" s="540" t="e">
        <f t="shared" ref="P26" si="27">AVERAGE(O26:O32)</f>
        <v>#DIV/0!</v>
      </c>
      <c r="Q26" s="542"/>
      <c r="R26" s="153"/>
      <c r="S26" s="543" t="e">
        <f t="shared" ref="S26" si="28">AVERAGE(R26:R32)</f>
        <v>#DIV/0!</v>
      </c>
      <c r="T26" s="540"/>
      <c r="U26" s="153"/>
      <c r="V26" s="525" t="e">
        <f t="shared" ref="V26" si="29">AVERAGE(U26:U32)</f>
        <v>#DIV/0!</v>
      </c>
      <c r="W26" s="540"/>
    </row>
    <row r="27" spans="2:23">
      <c r="B27" s="526"/>
      <c r="C27" s="529"/>
      <c r="D27" s="80">
        <f t="shared" si="8"/>
        <v>46225</v>
      </c>
      <c r="E27" s="440" t="s">
        <v>112</v>
      </c>
      <c r="G27" s="544"/>
      <c r="H27" s="541"/>
      <c r="I27" s="153">
        <f t="shared" si="11"/>
        <v>0</v>
      </c>
      <c r="J27" s="543"/>
      <c r="K27" s="540"/>
      <c r="L27" s="161"/>
      <c r="M27" s="542"/>
      <c r="N27" s="542"/>
      <c r="O27" s="84"/>
      <c r="P27" s="540"/>
      <c r="Q27" s="542"/>
      <c r="R27" s="153"/>
      <c r="S27" s="543"/>
      <c r="T27" s="540"/>
      <c r="U27" s="153"/>
      <c r="V27" s="525"/>
      <c r="W27" s="540"/>
    </row>
    <row r="28" spans="2:23">
      <c r="B28" s="526"/>
      <c r="C28" s="529"/>
      <c r="D28" s="80">
        <f t="shared" si="8"/>
        <v>46226</v>
      </c>
      <c r="E28" s="440" t="s">
        <v>113</v>
      </c>
      <c r="G28" s="544"/>
      <c r="H28" s="541"/>
      <c r="I28" s="153">
        <f t="shared" si="11"/>
        <v>0</v>
      </c>
      <c r="J28" s="543"/>
      <c r="K28" s="540"/>
      <c r="L28" s="161"/>
      <c r="M28" s="542"/>
      <c r="N28" s="542"/>
      <c r="O28" s="84"/>
      <c r="P28" s="540"/>
      <c r="Q28" s="542"/>
      <c r="R28" s="153"/>
      <c r="S28" s="543"/>
      <c r="T28" s="540"/>
      <c r="U28" s="153"/>
      <c r="V28" s="525"/>
      <c r="W28" s="540"/>
    </row>
    <row r="29" spans="2:23">
      <c r="B29" s="526"/>
      <c r="C29" s="529"/>
      <c r="D29" s="80">
        <f t="shared" si="8"/>
        <v>46227</v>
      </c>
      <c r="E29" s="440" t="s">
        <v>114</v>
      </c>
      <c r="G29" s="544"/>
      <c r="H29" s="541"/>
      <c r="I29" s="153">
        <f t="shared" si="11"/>
        <v>0</v>
      </c>
      <c r="J29" s="543"/>
      <c r="K29" s="540"/>
      <c r="L29" s="161"/>
      <c r="M29" s="542"/>
      <c r="N29" s="542"/>
      <c r="O29" s="84"/>
      <c r="P29" s="540"/>
      <c r="Q29" s="542"/>
      <c r="R29" s="153"/>
      <c r="S29" s="543"/>
      <c r="T29" s="540"/>
      <c r="U29" s="153"/>
      <c r="V29" s="525"/>
      <c r="W29" s="540"/>
    </row>
    <row r="30" spans="2:23">
      <c r="B30" s="526"/>
      <c r="C30" s="529"/>
      <c r="D30" s="80">
        <f t="shared" si="8"/>
        <v>46228</v>
      </c>
      <c r="E30" s="440" t="s">
        <v>115</v>
      </c>
      <c r="G30" s="544"/>
      <c r="H30" s="541"/>
      <c r="I30" s="153">
        <f t="shared" si="11"/>
        <v>0</v>
      </c>
      <c r="J30" s="543"/>
      <c r="K30" s="540"/>
      <c r="L30" s="161"/>
      <c r="M30" s="542"/>
      <c r="N30" s="542"/>
      <c r="O30" s="84"/>
      <c r="P30" s="540"/>
      <c r="Q30" s="542"/>
      <c r="R30" s="153"/>
      <c r="S30" s="543"/>
      <c r="T30" s="540"/>
      <c r="U30" s="153"/>
      <c r="V30" s="525"/>
      <c r="W30" s="540"/>
    </row>
    <row r="31" spans="2:23">
      <c r="B31" s="526"/>
      <c r="C31" s="529"/>
      <c r="D31" s="80">
        <f t="shared" si="8"/>
        <v>46229</v>
      </c>
      <c r="E31" s="440" t="s">
        <v>116</v>
      </c>
      <c r="G31" s="544"/>
      <c r="H31" s="541"/>
      <c r="I31" s="153">
        <f t="shared" si="11"/>
        <v>0</v>
      </c>
      <c r="J31" s="543"/>
      <c r="K31" s="540"/>
      <c r="L31" s="161"/>
      <c r="M31" s="542"/>
      <c r="N31" s="542"/>
      <c r="O31" s="84"/>
      <c r="P31" s="540"/>
      <c r="Q31" s="542"/>
      <c r="R31" s="153"/>
      <c r="S31" s="543"/>
      <c r="T31" s="540"/>
      <c r="U31" s="153"/>
      <c r="V31" s="525"/>
      <c r="W31" s="540"/>
    </row>
    <row r="32" spans="2:23">
      <c r="B32" s="526"/>
      <c r="C32" s="529"/>
      <c r="D32" s="80">
        <f t="shared" si="8"/>
        <v>46230</v>
      </c>
      <c r="E32" s="440" t="s">
        <v>117</v>
      </c>
      <c r="G32" s="544"/>
      <c r="H32" s="541"/>
      <c r="I32" s="153">
        <f t="shared" si="11"/>
        <v>0</v>
      </c>
      <c r="J32" s="543"/>
      <c r="K32" s="540"/>
      <c r="L32" s="161"/>
      <c r="M32" s="542"/>
      <c r="N32" s="542"/>
      <c r="O32" s="84"/>
      <c r="P32" s="540"/>
      <c r="Q32" s="542"/>
      <c r="R32" s="153"/>
      <c r="S32" s="543"/>
      <c r="T32" s="540"/>
      <c r="U32" s="153"/>
      <c r="V32" s="525"/>
      <c r="W32" s="540"/>
    </row>
    <row r="33" spans="2:23">
      <c r="B33" s="526">
        <f t="shared" ref="B33" si="30">B26+7</f>
        <v>46239</v>
      </c>
      <c r="C33" s="529"/>
      <c r="D33" s="80">
        <f t="shared" si="8"/>
        <v>46231</v>
      </c>
      <c r="E33" s="440" t="s">
        <v>118</v>
      </c>
      <c r="G33" s="544" t="e">
        <f t="shared" ref="G33" si="31">AVERAGE(F33:F39)</f>
        <v>#DIV/0!</v>
      </c>
      <c r="H33" s="541"/>
      <c r="I33" s="153">
        <f t="shared" ref="I33:I39" si="32">F33/$C$1</f>
        <v>0</v>
      </c>
      <c r="J33" s="543">
        <f t="shared" ref="J33" si="33">AVERAGE(I33:I39)</f>
        <v>0</v>
      </c>
      <c r="K33" s="540"/>
      <c r="L33" s="161"/>
      <c r="M33" s="542" t="e">
        <f t="shared" ref="M33" si="34">AVERAGE(L33:L39)</f>
        <v>#DIV/0!</v>
      </c>
      <c r="N33" s="542"/>
      <c r="O33" s="84"/>
      <c r="P33" s="540" t="e">
        <f t="shared" ref="P33" si="35">AVERAGE(O33:O39)</f>
        <v>#DIV/0!</v>
      </c>
      <c r="Q33" s="542"/>
      <c r="R33" s="153"/>
      <c r="S33" s="543" t="e">
        <f t="shared" ref="S33" si="36">AVERAGE(R33:R39)</f>
        <v>#DIV/0!</v>
      </c>
      <c r="T33" s="540"/>
      <c r="U33" s="153"/>
      <c r="V33" s="525" t="e">
        <f t="shared" ref="V33" si="37">AVERAGE(U33:U39)</f>
        <v>#DIV/0!</v>
      </c>
      <c r="W33" s="540"/>
    </row>
    <row r="34" spans="2:23">
      <c r="B34" s="526"/>
      <c r="C34" s="529"/>
      <c r="D34" s="80">
        <f t="shared" si="8"/>
        <v>46232</v>
      </c>
      <c r="E34" s="440" t="s">
        <v>112</v>
      </c>
      <c r="G34" s="544"/>
      <c r="H34" s="541"/>
      <c r="I34" s="153">
        <f t="shared" si="32"/>
        <v>0</v>
      </c>
      <c r="J34" s="543"/>
      <c r="K34" s="540"/>
      <c r="L34" s="161"/>
      <c r="M34" s="542"/>
      <c r="N34" s="542"/>
      <c r="O34" s="84"/>
      <c r="P34" s="540"/>
      <c r="Q34" s="542"/>
      <c r="R34" s="153"/>
      <c r="S34" s="543"/>
      <c r="T34" s="540"/>
      <c r="U34" s="153"/>
      <c r="V34" s="525"/>
      <c r="W34" s="540"/>
    </row>
    <row r="35" spans="2:23">
      <c r="B35" s="526"/>
      <c r="C35" s="529"/>
      <c r="D35" s="80">
        <f t="shared" si="8"/>
        <v>46233</v>
      </c>
      <c r="E35" s="440" t="s">
        <v>113</v>
      </c>
      <c r="G35" s="544"/>
      <c r="H35" s="541"/>
      <c r="I35" s="153">
        <f t="shared" si="32"/>
        <v>0</v>
      </c>
      <c r="J35" s="543"/>
      <c r="K35" s="540"/>
      <c r="L35" s="161"/>
      <c r="M35" s="542"/>
      <c r="N35" s="542"/>
      <c r="O35" s="84"/>
      <c r="P35" s="540"/>
      <c r="Q35" s="542"/>
      <c r="R35" s="153"/>
      <c r="S35" s="543"/>
      <c r="T35" s="540"/>
      <c r="U35" s="153"/>
      <c r="V35" s="525"/>
      <c r="W35" s="540"/>
    </row>
    <row r="36" spans="2:23">
      <c r="B36" s="526"/>
      <c r="C36" s="529"/>
      <c r="D36" s="80">
        <f t="shared" si="8"/>
        <v>46234</v>
      </c>
      <c r="E36" s="440" t="s">
        <v>114</v>
      </c>
      <c r="G36" s="544"/>
      <c r="H36" s="541"/>
      <c r="I36" s="153">
        <f t="shared" si="32"/>
        <v>0</v>
      </c>
      <c r="J36" s="543"/>
      <c r="K36" s="540"/>
      <c r="L36" s="161"/>
      <c r="M36" s="542"/>
      <c r="N36" s="542"/>
      <c r="O36" s="84"/>
      <c r="P36" s="540"/>
      <c r="Q36" s="542"/>
      <c r="R36" s="153"/>
      <c r="S36" s="543"/>
      <c r="T36" s="540"/>
      <c r="U36" s="153"/>
      <c r="V36" s="525"/>
      <c r="W36" s="540"/>
    </row>
    <row r="37" spans="2:23">
      <c r="B37" s="526"/>
      <c r="C37" s="73"/>
      <c r="D37" s="80">
        <f t="shared" si="8"/>
        <v>46235</v>
      </c>
      <c r="E37" s="440" t="s">
        <v>115</v>
      </c>
      <c r="G37" s="544"/>
      <c r="I37" s="153">
        <f t="shared" si="32"/>
        <v>0</v>
      </c>
      <c r="J37" s="543"/>
      <c r="L37" s="161"/>
      <c r="M37" s="542"/>
      <c r="O37" s="84"/>
      <c r="P37" s="540"/>
      <c r="R37" s="153"/>
      <c r="S37" s="543"/>
      <c r="U37" s="153"/>
      <c r="V37" s="525"/>
    </row>
    <row r="38" spans="2:23">
      <c r="B38" s="526"/>
      <c r="C38" s="73"/>
      <c r="D38" s="80">
        <f t="shared" si="8"/>
        <v>46236</v>
      </c>
      <c r="E38" s="440" t="s">
        <v>116</v>
      </c>
      <c r="G38" s="544"/>
      <c r="I38" s="153">
        <f t="shared" si="32"/>
        <v>0</v>
      </c>
      <c r="J38" s="543"/>
      <c r="L38" s="161"/>
      <c r="M38" s="542"/>
      <c r="O38" s="84"/>
      <c r="P38" s="540"/>
      <c r="R38" s="153"/>
      <c r="S38" s="543"/>
      <c r="U38" s="153"/>
      <c r="V38" s="525"/>
    </row>
    <row r="39" spans="2:23">
      <c r="B39" s="526"/>
      <c r="C39" s="73"/>
      <c r="D39" s="80">
        <f t="shared" si="8"/>
        <v>46237</v>
      </c>
      <c r="E39" s="440" t="s">
        <v>117</v>
      </c>
      <c r="G39" s="544"/>
      <c r="I39" s="153">
        <f t="shared" si="32"/>
        <v>0</v>
      </c>
      <c r="J39" s="543"/>
      <c r="L39" s="161"/>
      <c r="M39" s="542"/>
      <c r="O39" s="84"/>
      <c r="P39" s="540"/>
      <c r="R39" s="153"/>
      <c r="S39" s="543"/>
      <c r="U39" s="153"/>
      <c r="V39" s="525"/>
    </row>
  </sheetData>
  <mergeCells count="52">
    <mergeCell ref="B5:B11"/>
    <mergeCell ref="G5:G11"/>
    <mergeCell ref="J5:J11"/>
    <mergeCell ref="M5:M11"/>
    <mergeCell ref="P5:P11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B12:B18"/>
    <mergeCell ref="G12:G18"/>
    <mergeCell ref="J12:J18"/>
    <mergeCell ref="M12:M18"/>
    <mergeCell ref="P12:P18"/>
    <mergeCell ref="B33:B39"/>
    <mergeCell ref="G33:G39"/>
    <mergeCell ref="J33:J39"/>
    <mergeCell ref="M33:M39"/>
    <mergeCell ref="P33:P39"/>
    <mergeCell ref="C6:C36"/>
    <mergeCell ref="B26:B32"/>
    <mergeCell ref="G26:G32"/>
    <mergeCell ref="J26:J32"/>
    <mergeCell ref="M26:M32"/>
    <mergeCell ref="P26:P32"/>
    <mergeCell ref="B19:B25"/>
    <mergeCell ref="G19:G25"/>
    <mergeCell ref="J19:J25"/>
    <mergeCell ref="M19:M25"/>
    <mergeCell ref="P19:P25"/>
    <mergeCell ref="W6:W36"/>
    <mergeCell ref="H6:H36"/>
    <mergeCell ref="K6:K36"/>
    <mergeCell ref="N6:N36"/>
    <mergeCell ref="Q6:Q36"/>
    <mergeCell ref="T6:T36"/>
    <mergeCell ref="S26:S32"/>
    <mergeCell ref="V26:V32"/>
    <mergeCell ref="S33:S39"/>
    <mergeCell ref="V33:V39"/>
    <mergeCell ref="S12:S18"/>
    <mergeCell ref="V12:V18"/>
    <mergeCell ref="S19:S25"/>
    <mergeCell ref="V19:V25"/>
    <mergeCell ref="S5:S11"/>
    <mergeCell ref="V5:V11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41"/>
  <sheetViews>
    <sheetView topLeftCell="A4" zoomScale="85" zoomScaleNormal="85" workbookViewId="0">
      <selection activeCell="H39" sqref="H39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4"/>
    <col min="4" max="4" width="17" style="94" customWidth="1"/>
    <col min="5" max="5" width="8.54296875" style="77" customWidth="1"/>
    <col min="6" max="6" width="20.26953125" style="319" bestFit="1" customWidth="1"/>
    <col min="7" max="8" width="20.26953125" style="93" bestFit="1" customWidth="1"/>
    <col min="9" max="9" width="18.26953125" style="90" bestFit="1" customWidth="1"/>
    <col min="10" max="10" width="10.54296875" style="84" customWidth="1"/>
    <col min="11" max="11" width="18.26953125" style="90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0" bestFit="1" customWidth="1"/>
    <col min="16" max="16" width="10.54296875" style="84" customWidth="1"/>
    <col min="17" max="17" width="18.26953125" style="90" bestFit="1" customWidth="1"/>
    <col min="18" max="18" width="10.54296875" style="84" customWidth="1"/>
    <col min="19" max="19" width="18.26953125" style="90" bestFit="1" customWidth="1"/>
    <col min="20" max="20" width="10.54296875" style="84" customWidth="1"/>
    <col min="21" max="21" width="18.26953125" style="90" bestFit="1" customWidth="1"/>
    <col min="22" max="22" width="10.54296875" style="84" customWidth="1"/>
    <col min="23" max="23" width="17" style="90" bestFit="1" customWidth="1"/>
    <col min="24" max="24" width="10.54296875" style="84" customWidth="1"/>
    <col min="25" max="25" width="18.26953125" style="90" bestFit="1" customWidth="1"/>
    <col min="26" max="26" width="10.54296875" style="84" customWidth="1"/>
    <col min="27" max="27" width="18.26953125" style="90" bestFit="1" customWidth="1"/>
    <col min="28" max="28" width="10.54296875" style="84" customWidth="1"/>
    <col min="29" max="29" width="18.26953125" style="90" bestFit="1" customWidth="1"/>
    <col min="30" max="30" width="10.54296875" style="84" customWidth="1"/>
    <col min="31" max="31" width="20.26953125" style="90" bestFit="1" customWidth="1"/>
    <col min="32" max="32" width="10.54296875" style="84" customWidth="1"/>
    <col min="33" max="33" width="18.26953125" style="90" bestFit="1" customWidth="1"/>
    <col min="34" max="34" width="10.453125" style="84" customWidth="1"/>
    <col min="35" max="35" width="20.26953125" style="90" bestFit="1" customWidth="1"/>
    <col min="36" max="36" width="10.453125" style="84" customWidth="1"/>
    <col min="37" max="37" width="18.26953125" style="90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532" t="s">
        <v>322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  <c r="X2" s="532"/>
      <c r="Y2" s="532"/>
      <c r="Z2" s="532"/>
      <c r="AA2" s="532"/>
      <c r="AB2" s="532"/>
      <c r="AC2" s="532"/>
      <c r="AD2" s="532"/>
      <c r="AE2" s="532"/>
      <c r="AF2" s="532"/>
      <c r="AG2" s="532"/>
      <c r="AH2" s="532"/>
      <c r="AI2" s="532"/>
      <c r="AJ2" s="532"/>
      <c r="AK2" s="532"/>
      <c r="AL2" s="532"/>
    </row>
    <row r="3" spans="1:40" ht="25.4" customHeight="1">
      <c r="B3" s="561" t="s">
        <v>151</v>
      </c>
      <c r="C3" s="562" t="s">
        <v>144</v>
      </c>
      <c r="D3" s="563" t="s">
        <v>105</v>
      </c>
      <c r="E3" s="563"/>
      <c r="F3" s="565" t="s">
        <v>135</v>
      </c>
      <c r="G3" s="565"/>
      <c r="H3" s="565"/>
      <c r="I3" s="566" t="s">
        <v>109</v>
      </c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6"/>
      <c r="AF3" s="566"/>
      <c r="AG3" s="566"/>
      <c r="AH3" s="566"/>
      <c r="AI3" s="566"/>
      <c r="AJ3" s="566"/>
      <c r="AK3" s="566"/>
      <c r="AL3" s="566"/>
    </row>
    <row r="4" spans="1:40" ht="25.4" customHeight="1">
      <c r="B4" s="561"/>
      <c r="C4" s="562"/>
      <c r="D4" s="563"/>
      <c r="E4" s="563"/>
      <c r="F4" s="565"/>
      <c r="G4" s="565"/>
      <c r="H4" s="565"/>
      <c r="I4" s="559" t="s">
        <v>145</v>
      </c>
      <c r="J4" s="559"/>
      <c r="K4" s="559"/>
      <c r="L4" s="559"/>
      <c r="M4" s="559"/>
      <c r="N4" s="559"/>
      <c r="O4" s="559" t="s">
        <v>146</v>
      </c>
      <c r="P4" s="559"/>
      <c r="Q4" s="559"/>
      <c r="R4" s="559"/>
      <c r="S4" s="559"/>
      <c r="T4" s="559"/>
      <c r="U4" s="559" t="s">
        <v>147</v>
      </c>
      <c r="V4" s="559"/>
      <c r="W4" s="559" t="s">
        <v>148</v>
      </c>
      <c r="X4" s="559"/>
      <c r="Y4" s="559" t="s">
        <v>139</v>
      </c>
      <c r="Z4" s="559"/>
      <c r="AA4" s="559"/>
      <c r="AB4" s="559"/>
      <c r="AC4" s="559"/>
      <c r="AD4" s="559"/>
      <c r="AE4" s="559" t="s">
        <v>137</v>
      </c>
      <c r="AF4" s="559"/>
      <c r="AG4" s="559" t="s">
        <v>149</v>
      </c>
      <c r="AH4" s="559"/>
      <c r="AI4" s="559" t="s">
        <v>150</v>
      </c>
      <c r="AJ4" s="559"/>
      <c r="AK4" s="559" t="s">
        <v>143</v>
      </c>
      <c r="AL4" s="559"/>
    </row>
    <row r="5" spans="1:40" ht="25.4" customHeight="1">
      <c r="B5" s="561"/>
      <c r="C5" s="562"/>
      <c r="D5" s="563"/>
      <c r="E5" s="563"/>
      <c r="F5" s="567" t="s">
        <v>116</v>
      </c>
      <c r="G5" s="569" t="s">
        <v>120</v>
      </c>
      <c r="H5" s="569" t="s">
        <v>121</v>
      </c>
      <c r="I5" s="559" t="s">
        <v>133</v>
      </c>
      <c r="J5" s="559"/>
      <c r="K5" s="559" t="s">
        <v>134</v>
      </c>
      <c r="L5" s="559"/>
      <c r="M5" s="560" t="s">
        <v>152</v>
      </c>
      <c r="N5" s="559"/>
      <c r="O5" s="559" t="s">
        <v>133</v>
      </c>
      <c r="P5" s="559"/>
      <c r="Q5" s="559" t="s">
        <v>134</v>
      </c>
      <c r="R5" s="559"/>
      <c r="S5" s="560" t="s">
        <v>152</v>
      </c>
      <c r="T5" s="559"/>
      <c r="U5" s="559" t="s">
        <v>133</v>
      </c>
      <c r="V5" s="559"/>
      <c r="W5" s="559" t="s">
        <v>133</v>
      </c>
      <c r="X5" s="559"/>
      <c r="Y5" s="559" t="s">
        <v>133</v>
      </c>
      <c r="Z5" s="559"/>
      <c r="AA5" s="559" t="s">
        <v>134</v>
      </c>
      <c r="AB5" s="559"/>
      <c r="AC5" s="560" t="s">
        <v>152</v>
      </c>
      <c r="AD5" s="559"/>
      <c r="AE5" s="559" t="s">
        <v>133</v>
      </c>
      <c r="AF5" s="559"/>
      <c r="AG5" s="559" t="s">
        <v>133</v>
      </c>
      <c r="AH5" s="559"/>
      <c r="AI5" s="559" t="s">
        <v>133</v>
      </c>
      <c r="AJ5" s="559"/>
      <c r="AK5" s="559" t="s">
        <v>133</v>
      </c>
      <c r="AL5" s="559"/>
    </row>
    <row r="6" spans="1:40" s="77" customFormat="1" ht="23.5" customHeight="1">
      <c r="B6" s="561"/>
      <c r="C6" s="562"/>
      <c r="D6" s="564"/>
      <c r="E6" s="564"/>
      <c r="F6" s="568"/>
      <c r="G6" s="569"/>
      <c r="H6" s="569"/>
      <c r="I6" s="91" t="s">
        <v>110</v>
      </c>
      <c r="J6" s="92" t="s">
        <v>111</v>
      </c>
      <c r="K6" s="91" t="s">
        <v>110</v>
      </c>
      <c r="L6" s="92" t="s">
        <v>111</v>
      </c>
      <c r="M6" s="91" t="s">
        <v>110</v>
      </c>
      <c r="N6" s="92" t="s">
        <v>111</v>
      </c>
      <c r="O6" s="91" t="s">
        <v>110</v>
      </c>
      <c r="P6" s="92" t="s">
        <v>111</v>
      </c>
      <c r="Q6" s="91" t="s">
        <v>110</v>
      </c>
      <c r="R6" s="92" t="s">
        <v>111</v>
      </c>
      <c r="S6" s="91" t="s">
        <v>110</v>
      </c>
      <c r="T6" s="92" t="s">
        <v>111</v>
      </c>
      <c r="U6" s="91" t="s">
        <v>110</v>
      </c>
      <c r="V6" s="92" t="s">
        <v>111</v>
      </c>
      <c r="W6" s="91" t="s">
        <v>110</v>
      </c>
      <c r="X6" s="92" t="s">
        <v>111</v>
      </c>
      <c r="Y6" s="91" t="s">
        <v>110</v>
      </c>
      <c r="Z6" s="92" t="s">
        <v>111</v>
      </c>
      <c r="AA6" s="91" t="s">
        <v>110</v>
      </c>
      <c r="AB6" s="92" t="s">
        <v>111</v>
      </c>
      <c r="AC6" s="91" t="s">
        <v>110</v>
      </c>
      <c r="AD6" s="92" t="s">
        <v>111</v>
      </c>
      <c r="AE6" s="91" t="s">
        <v>110</v>
      </c>
      <c r="AF6" s="92" t="s">
        <v>111</v>
      </c>
      <c r="AG6" s="91" t="s">
        <v>110</v>
      </c>
      <c r="AH6" s="92" t="s">
        <v>111</v>
      </c>
      <c r="AI6" s="91" t="s">
        <v>110</v>
      </c>
      <c r="AJ6" s="92" t="s">
        <v>111</v>
      </c>
      <c r="AK6" s="91" t="s">
        <v>110</v>
      </c>
      <c r="AL6" s="92" t="s">
        <v>111</v>
      </c>
    </row>
    <row r="7" spans="1:40" s="73" customFormat="1" ht="14.25" customHeight="1">
      <c r="B7" s="552">
        <f>D8+7</f>
        <v>46211</v>
      </c>
      <c r="C7" s="481"/>
      <c r="D7" s="170">
        <v>46203</v>
      </c>
      <c r="E7" s="170" t="s">
        <v>118</v>
      </c>
      <c r="F7" s="320">
        <f t="shared" ref="F7:F20" si="0">SUM(M7,S7,U7,W7,AC7,AE7,AG7,AI7,AK7)</f>
        <v>7292751.3200000003</v>
      </c>
      <c r="G7" s="555">
        <f t="shared" ref="G7" si="1">SUM(F7:F13)</f>
        <v>46397166.829999998</v>
      </c>
      <c r="H7" s="480"/>
      <c r="I7" s="171">
        <v>870247.34</v>
      </c>
      <c r="J7" s="172">
        <f t="shared" ref="J7:J20" si="2">I7/$F7</f>
        <v>0.11933045593003985</v>
      </c>
      <c r="K7" s="171">
        <v>1296194.78</v>
      </c>
      <c r="L7" s="172">
        <f t="shared" ref="L7:L20" si="3">K7/$F7</f>
        <v>0.17773741666540194</v>
      </c>
      <c r="M7" s="171">
        <f t="shared" ref="M7:M20" si="4">I7+K7</f>
        <v>2166442.12</v>
      </c>
      <c r="N7" s="172">
        <f t="shared" ref="N7" si="5">M7/$F7</f>
        <v>0.29706787259544182</v>
      </c>
      <c r="O7" s="171">
        <v>243640.36</v>
      </c>
      <c r="P7" s="172">
        <f t="shared" ref="P7:P20" si="6">O7/$F7</f>
        <v>3.3408565479509586E-2</v>
      </c>
      <c r="Q7" s="171">
        <v>0</v>
      </c>
      <c r="R7" s="172">
        <f t="shared" ref="R7:R20" si="7">Q7/$F7</f>
        <v>0</v>
      </c>
      <c r="S7" s="171">
        <f t="shared" ref="S7:S20" si="8">O7+Q7</f>
        <v>243640.36</v>
      </c>
      <c r="T7" s="172">
        <f t="shared" ref="T7" si="9">S7/$F7</f>
        <v>3.3408565479509586E-2</v>
      </c>
      <c r="U7" s="171">
        <v>76932.989999999991</v>
      </c>
      <c r="V7" s="172">
        <f t="shared" ref="V7" si="10">U7/$F7</f>
        <v>1.0549240831648156E-2</v>
      </c>
      <c r="W7" s="171">
        <v>269176.06</v>
      </c>
      <c r="X7" s="172">
        <f t="shared" ref="X7:X20" si="11">W7/$F7</f>
        <v>3.6910083477246551E-2</v>
      </c>
      <c r="Y7" s="171">
        <v>267703.92</v>
      </c>
      <c r="Z7" s="172">
        <f t="shared" ref="Z7:Z20" si="12">Y7/$F7</f>
        <v>3.6708220019217655E-2</v>
      </c>
      <c r="AA7" s="171">
        <v>791291.01</v>
      </c>
      <c r="AB7" s="172">
        <f t="shared" ref="AB7:AB20" si="13">AA7/$F7</f>
        <v>0.10850376974049898</v>
      </c>
      <c r="AC7" s="171">
        <f t="shared" ref="AC7:AC20" si="14">Y7+AA7</f>
        <v>1058994.93</v>
      </c>
      <c r="AD7" s="172">
        <f t="shared" ref="AD7:AD20" si="15">AC7/$F7</f>
        <v>0.14521198975971664</v>
      </c>
      <c r="AE7" s="171">
        <v>1964192.27</v>
      </c>
      <c r="AF7" s="172">
        <f t="shared" ref="AF7:AF20" si="16">AE7/F7</f>
        <v>0.26933487566116543</v>
      </c>
      <c r="AG7" s="171">
        <v>0</v>
      </c>
      <c r="AH7" s="172">
        <f t="shared" ref="AH7:AH20" si="17">AG7/$F7</f>
        <v>0</v>
      </c>
      <c r="AI7" s="171">
        <v>1049909</v>
      </c>
      <c r="AJ7" s="172">
        <f t="shared" ref="AJ7:AJ20" si="18">AI7/$F7</f>
        <v>0.14396610468818233</v>
      </c>
      <c r="AK7" s="171">
        <v>463463.58999999997</v>
      </c>
      <c r="AL7" s="172">
        <f t="shared" ref="AL7:AL20" si="19">AK7/$F7</f>
        <v>6.355126750708949E-2</v>
      </c>
      <c r="AN7" s="72"/>
    </row>
    <row r="8" spans="1:40" s="73" customFormat="1" ht="14.25" customHeight="1">
      <c r="B8" s="553"/>
      <c r="C8" s="556" t="s">
        <v>731</v>
      </c>
      <c r="D8" s="170">
        <v>46204</v>
      </c>
      <c r="E8" s="170" t="s">
        <v>112</v>
      </c>
      <c r="F8" s="320">
        <f t="shared" si="0"/>
        <v>6821172.7800000003</v>
      </c>
      <c r="G8" s="555"/>
      <c r="H8" s="549">
        <f>SUM(F8:F38)</f>
        <v>87513817.459999993</v>
      </c>
      <c r="I8" s="467">
        <v>852518.15</v>
      </c>
      <c r="J8" s="172">
        <f t="shared" si="2"/>
        <v>0.12498116929388205</v>
      </c>
      <c r="K8" s="171">
        <v>1247636.73</v>
      </c>
      <c r="L8" s="172">
        <f t="shared" si="3"/>
        <v>0.18290648400787174</v>
      </c>
      <c r="M8" s="171">
        <f t="shared" si="4"/>
        <v>2100154.88</v>
      </c>
      <c r="N8" s="172">
        <f t="shared" ref="N8" si="20">M8/F8</f>
        <v>0.30788765330175377</v>
      </c>
      <c r="O8" s="171">
        <v>241584.82</v>
      </c>
      <c r="P8" s="172">
        <f t="shared" si="6"/>
        <v>3.5416903777652144E-2</v>
      </c>
      <c r="Q8" s="171">
        <v>0</v>
      </c>
      <c r="R8" s="172">
        <f t="shared" si="7"/>
        <v>0</v>
      </c>
      <c r="S8" s="171">
        <f t="shared" si="8"/>
        <v>241584.82</v>
      </c>
      <c r="T8" s="172">
        <f t="shared" ref="T8" si="21">S8/F8</f>
        <v>3.5416903777652144E-2</v>
      </c>
      <c r="U8" s="171">
        <v>69560.37</v>
      </c>
      <c r="V8" s="172">
        <f t="shared" ref="V8" si="22">U8/F8</f>
        <v>1.0197714123875337E-2</v>
      </c>
      <c r="W8" s="171">
        <v>266298.69</v>
      </c>
      <c r="X8" s="172">
        <f t="shared" si="11"/>
        <v>3.9040015344692675E-2</v>
      </c>
      <c r="Y8" s="171">
        <v>228710.79</v>
      </c>
      <c r="Z8" s="172">
        <f t="shared" si="12"/>
        <v>3.3529540648873576E-2</v>
      </c>
      <c r="AA8" s="171">
        <v>715486.28</v>
      </c>
      <c r="AB8" s="172">
        <f t="shared" si="13"/>
        <v>0.10489197430943832</v>
      </c>
      <c r="AC8" s="171">
        <f t="shared" si="14"/>
        <v>944197.07000000007</v>
      </c>
      <c r="AD8" s="172">
        <f t="shared" si="15"/>
        <v>0.1384215149583119</v>
      </c>
      <c r="AE8" s="171">
        <v>1635986.01</v>
      </c>
      <c r="AF8" s="172">
        <f t="shared" si="16"/>
        <v>0.23983940339361995</v>
      </c>
      <c r="AG8" s="171">
        <v>0</v>
      </c>
      <c r="AH8" s="172">
        <f t="shared" si="17"/>
        <v>0</v>
      </c>
      <c r="AI8" s="171">
        <v>1137140.79</v>
      </c>
      <c r="AJ8" s="172">
        <f t="shared" si="18"/>
        <v>0.1667075188791802</v>
      </c>
      <c r="AK8" s="171">
        <v>426250.15</v>
      </c>
      <c r="AL8" s="172">
        <f t="shared" si="19"/>
        <v>6.2489276220914027E-2</v>
      </c>
      <c r="AN8" s="72"/>
    </row>
    <row r="9" spans="1:40" s="73" customFormat="1" ht="14.25" customHeight="1">
      <c r="B9" s="553"/>
      <c r="C9" s="557"/>
      <c r="D9" s="170">
        <v>46205</v>
      </c>
      <c r="E9" s="170" t="s">
        <v>113</v>
      </c>
      <c r="F9" s="320">
        <f t="shared" si="0"/>
        <v>6343385.2199999997</v>
      </c>
      <c r="G9" s="555"/>
      <c r="H9" s="550"/>
      <c r="I9" s="467">
        <v>841060.58</v>
      </c>
      <c r="J9" s="172">
        <f t="shared" si="2"/>
        <v>0.13258860227315661</v>
      </c>
      <c r="K9" s="171">
        <v>1132330.29</v>
      </c>
      <c r="L9" s="172">
        <f t="shared" si="3"/>
        <v>0.17850567965348951</v>
      </c>
      <c r="M9" s="171">
        <f t="shared" si="4"/>
        <v>1973390.87</v>
      </c>
      <c r="N9" s="172">
        <f t="shared" ref="N9" si="23">M9/$F9</f>
        <v>0.31109428192664612</v>
      </c>
      <c r="O9" s="171">
        <v>241052.02000000002</v>
      </c>
      <c r="P9" s="172">
        <f t="shared" si="6"/>
        <v>3.8000533097058233E-2</v>
      </c>
      <c r="Q9" s="171">
        <v>0</v>
      </c>
      <c r="R9" s="172">
        <f t="shared" si="7"/>
        <v>0</v>
      </c>
      <c r="S9" s="171">
        <f t="shared" si="8"/>
        <v>241052.02000000002</v>
      </c>
      <c r="T9" s="172">
        <f t="shared" ref="T9" si="24">S9/$F9</f>
        <v>3.8000533097058233E-2</v>
      </c>
      <c r="U9" s="171">
        <v>68391.539999999994</v>
      </c>
      <c r="V9" s="172">
        <f t="shared" ref="V9" si="25">U9/$F9</f>
        <v>1.0781552377485912E-2</v>
      </c>
      <c r="W9" s="171">
        <v>263487.44</v>
      </c>
      <c r="X9" s="172">
        <f t="shared" si="11"/>
        <v>4.1537354403332297E-2</v>
      </c>
      <c r="Y9" s="171">
        <v>238868.19</v>
      </c>
      <c r="Z9" s="172">
        <f t="shared" si="12"/>
        <v>3.7656264236779237E-2</v>
      </c>
      <c r="AA9" s="171">
        <v>571313.38</v>
      </c>
      <c r="AB9" s="172">
        <f t="shared" si="13"/>
        <v>9.0064430928569722E-2</v>
      </c>
      <c r="AC9" s="171">
        <f t="shared" si="14"/>
        <v>810181.57000000007</v>
      </c>
      <c r="AD9" s="172">
        <f t="shared" si="15"/>
        <v>0.12772069516534898</v>
      </c>
      <c r="AE9" s="171">
        <v>1417335.47</v>
      </c>
      <c r="AF9" s="172">
        <f t="shared" si="16"/>
        <v>0.22343518812814589</v>
      </c>
      <c r="AG9" s="171">
        <v>0</v>
      </c>
      <c r="AH9" s="172">
        <f t="shared" si="17"/>
        <v>0</v>
      </c>
      <c r="AI9" s="171">
        <v>1172740.2799999998</v>
      </c>
      <c r="AJ9" s="172">
        <f t="shared" si="18"/>
        <v>0.18487609365145885</v>
      </c>
      <c r="AK9" s="171">
        <v>396806.02999999997</v>
      </c>
      <c r="AL9" s="172">
        <f t="shared" si="19"/>
        <v>6.2554301250523761E-2</v>
      </c>
      <c r="AN9" s="72"/>
    </row>
    <row r="10" spans="1:40" s="73" customFormat="1" ht="14.25" customHeight="1">
      <c r="B10" s="553"/>
      <c r="C10" s="557"/>
      <c r="D10" s="170">
        <v>46206</v>
      </c>
      <c r="E10" s="170" t="s">
        <v>114</v>
      </c>
      <c r="F10" s="320">
        <f t="shared" si="0"/>
        <v>5464679.9400000004</v>
      </c>
      <c r="G10" s="555"/>
      <c r="H10" s="550"/>
      <c r="I10" s="467">
        <v>647323.15999999992</v>
      </c>
      <c r="J10" s="172">
        <f t="shared" si="2"/>
        <v>0.11845582305045295</v>
      </c>
      <c r="K10" s="171">
        <v>1011868.26</v>
      </c>
      <c r="L10" s="172">
        <f t="shared" si="3"/>
        <v>0.18516514619518595</v>
      </c>
      <c r="M10" s="171">
        <f t="shared" si="4"/>
        <v>1659191.42</v>
      </c>
      <c r="N10" s="172">
        <f t="shared" ref="N10" si="26">M10/F10</f>
        <v>0.30362096924563892</v>
      </c>
      <c r="O10" s="171">
        <v>189998.62</v>
      </c>
      <c r="P10" s="172">
        <f t="shared" si="6"/>
        <v>3.476848087831471E-2</v>
      </c>
      <c r="Q10" s="171">
        <v>0</v>
      </c>
      <c r="R10" s="172">
        <f t="shared" si="7"/>
        <v>0</v>
      </c>
      <c r="S10" s="171">
        <f t="shared" si="8"/>
        <v>189998.62</v>
      </c>
      <c r="T10" s="172">
        <f t="shared" ref="T10" si="27">S10/F10</f>
        <v>3.476848087831471E-2</v>
      </c>
      <c r="U10" s="171">
        <v>52327.619999999995</v>
      </c>
      <c r="V10" s="172">
        <f t="shared" ref="V10" si="28">U10/F10</f>
        <v>9.5756056300709876E-3</v>
      </c>
      <c r="W10" s="171">
        <v>203624.02000000002</v>
      </c>
      <c r="X10" s="172">
        <f t="shared" si="11"/>
        <v>3.7261838247749236E-2</v>
      </c>
      <c r="Y10" s="171">
        <v>304834.86</v>
      </c>
      <c r="Z10" s="172">
        <f t="shared" si="12"/>
        <v>5.5782747269184071E-2</v>
      </c>
      <c r="AA10" s="171">
        <v>602529.19000000006</v>
      </c>
      <c r="AB10" s="172">
        <f t="shared" si="13"/>
        <v>0.11025882514905347</v>
      </c>
      <c r="AC10" s="171">
        <f t="shared" si="14"/>
        <v>907364.05</v>
      </c>
      <c r="AD10" s="172">
        <f t="shared" si="15"/>
        <v>0.16604157241823755</v>
      </c>
      <c r="AE10" s="171">
        <v>1049930.6099999999</v>
      </c>
      <c r="AF10" s="172">
        <f t="shared" si="16"/>
        <v>0.19213030251136717</v>
      </c>
      <c r="AG10" s="171">
        <v>0</v>
      </c>
      <c r="AH10" s="172">
        <f t="shared" si="17"/>
        <v>0</v>
      </c>
      <c r="AI10" s="171">
        <v>1060721.93</v>
      </c>
      <c r="AJ10" s="172">
        <f t="shared" si="18"/>
        <v>0.19410504213353799</v>
      </c>
      <c r="AK10" s="171">
        <v>341521.67</v>
      </c>
      <c r="AL10" s="172">
        <f t="shared" si="19"/>
        <v>6.2496188935083352E-2</v>
      </c>
      <c r="AN10" s="72"/>
    </row>
    <row r="11" spans="1:40" s="73" customFormat="1" ht="14.25" customHeight="1">
      <c r="B11" s="553"/>
      <c r="C11" s="557"/>
      <c r="D11" s="170">
        <v>46207</v>
      </c>
      <c r="E11" s="170" t="s">
        <v>115</v>
      </c>
      <c r="F11" s="320">
        <f t="shared" si="0"/>
        <v>6007602.6200000001</v>
      </c>
      <c r="G11" s="555"/>
      <c r="H11" s="550"/>
      <c r="I11" s="467">
        <v>628066.32000000007</v>
      </c>
      <c r="J11" s="172">
        <f t="shared" si="2"/>
        <v>0.10454525036477863</v>
      </c>
      <c r="K11" s="171">
        <v>1138095.6600000001</v>
      </c>
      <c r="L11" s="172">
        <f t="shared" si="3"/>
        <v>0.18944256669226903</v>
      </c>
      <c r="M11" s="171">
        <f t="shared" si="4"/>
        <v>1766161.9800000002</v>
      </c>
      <c r="N11" s="172">
        <f t="shared" ref="N11" si="29">M11/$F11</f>
        <v>0.29398781705704763</v>
      </c>
      <c r="O11" s="171">
        <v>182080.84999999998</v>
      </c>
      <c r="P11" s="172">
        <f t="shared" si="6"/>
        <v>3.0308404453022887E-2</v>
      </c>
      <c r="Q11" s="171">
        <v>0</v>
      </c>
      <c r="R11" s="172">
        <f t="shared" si="7"/>
        <v>0</v>
      </c>
      <c r="S11" s="171">
        <f t="shared" si="8"/>
        <v>182080.84999999998</v>
      </c>
      <c r="T11" s="172">
        <f t="shared" ref="T11" si="30">S11/$F11</f>
        <v>3.0308404453022887E-2</v>
      </c>
      <c r="U11" s="171">
        <v>58711.229999999996</v>
      </c>
      <c r="V11" s="172">
        <f t="shared" ref="V11" si="31">U11/$F11</f>
        <v>9.772821824889609E-3</v>
      </c>
      <c r="W11" s="171">
        <v>240534.61000000004</v>
      </c>
      <c r="X11" s="172">
        <f t="shared" si="11"/>
        <v>4.0038368915952041E-2</v>
      </c>
      <c r="Y11" s="171">
        <v>256248.63</v>
      </c>
      <c r="Z11" s="172">
        <f t="shared" si="12"/>
        <v>4.265405790105338E-2</v>
      </c>
      <c r="AA11" s="171">
        <v>720303.38</v>
      </c>
      <c r="AB11" s="172">
        <f t="shared" si="13"/>
        <v>0.11989863936772835</v>
      </c>
      <c r="AC11" s="171">
        <f t="shared" si="14"/>
        <v>976552.01</v>
      </c>
      <c r="AD11" s="172">
        <f t="shared" si="15"/>
        <v>0.16255269726878174</v>
      </c>
      <c r="AE11" s="171">
        <v>1274785.06</v>
      </c>
      <c r="AF11" s="172">
        <f t="shared" si="16"/>
        <v>0.21219530329054953</v>
      </c>
      <c r="AG11" s="171">
        <v>0</v>
      </c>
      <c r="AH11" s="172">
        <f t="shared" si="17"/>
        <v>0</v>
      </c>
      <c r="AI11" s="171">
        <v>1117715.3399999999</v>
      </c>
      <c r="AJ11" s="172">
        <f t="shared" si="18"/>
        <v>0.18605014524079821</v>
      </c>
      <c r="AK11" s="171">
        <v>391061.54</v>
      </c>
      <c r="AL11" s="172">
        <f t="shared" si="19"/>
        <v>6.5094441948958331E-2</v>
      </c>
      <c r="AN11" s="72"/>
    </row>
    <row r="12" spans="1:40" s="73" customFormat="1" ht="14.25" customHeight="1">
      <c r="B12" s="553"/>
      <c r="C12" s="557"/>
      <c r="D12" s="170">
        <v>46208</v>
      </c>
      <c r="E12" s="170" t="s">
        <v>116</v>
      </c>
      <c r="F12" s="320">
        <f t="shared" si="0"/>
        <v>7429288.9299999997</v>
      </c>
      <c r="G12" s="555"/>
      <c r="H12" s="550"/>
      <c r="I12" s="467">
        <v>898860.55</v>
      </c>
      <c r="J12" s="172">
        <f t="shared" si="2"/>
        <v>0.12098877274382706</v>
      </c>
      <c r="K12" s="171">
        <v>1280412.9099999999</v>
      </c>
      <c r="L12" s="172">
        <f t="shared" si="3"/>
        <v>0.172346629948608</v>
      </c>
      <c r="M12" s="171">
        <f t="shared" si="4"/>
        <v>2179273.46</v>
      </c>
      <c r="N12" s="172">
        <f t="shared" ref="N12" si="32">M12/F12</f>
        <v>0.29333540269243508</v>
      </c>
      <c r="O12" s="171">
        <v>252783.55</v>
      </c>
      <c r="P12" s="172">
        <f t="shared" si="6"/>
        <v>3.4025268418252243E-2</v>
      </c>
      <c r="Q12" s="171">
        <v>0</v>
      </c>
      <c r="R12" s="172">
        <f t="shared" si="7"/>
        <v>0</v>
      </c>
      <c r="S12" s="171">
        <f t="shared" si="8"/>
        <v>252783.55</v>
      </c>
      <c r="T12" s="172">
        <f t="shared" ref="T12" si="33">S12/F12</f>
        <v>3.4025268418252243E-2</v>
      </c>
      <c r="U12" s="171">
        <v>83136.78</v>
      </c>
      <c r="V12" s="172">
        <f t="shared" ref="V12" si="34">U12/F12</f>
        <v>1.1190408770385513E-2</v>
      </c>
      <c r="W12" s="171">
        <v>262650.2</v>
      </c>
      <c r="X12" s="172">
        <f t="shared" si="11"/>
        <v>3.5353343028482809E-2</v>
      </c>
      <c r="Y12" s="171">
        <v>291573.81</v>
      </c>
      <c r="Z12" s="172">
        <f t="shared" si="12"/>
        <v>3.9246529882907652E-2</v>
      </c>
      <c r="AA12" s="171">
        <v>778259.37999999989</v>
      </c>
      <c r="AB12" s="172">
        <f t="shared" si="13"/>
        <v>0.10475556777140985</v>
      </c>
      <c r="AC12" s="171">
        <f t="shared" si="14"/>
        <v>1069833.19</v>
      </c>
      <c r="AD12" s="172">
        <f t="shared" si="15"/>
        <v>0.14400209765431751</v>
      </c>
      <c r="AE12" s="171">
        <v>1901796.5699999998</v>
      </c>
      <c r="AF12" s="172">
        <f t="shared" si="16"/>
        <v>0.25598635184592289</v>
      </c>
      <c r="AG12" s="171">
        <v>0</v>
      </c>
      <c r="AH12" s="172">
        <f t="shared" si="17"/>
        <v>0</v>
      </c>
      <c r="AI12" s="171">
        <v>1246032.0899999999</v>
      </c>
      <c r="AJ12" s="172">
        <f t="shared" si="18"/>
        <v>0.16771888961922496</v>
      </c>
      <c r="AK12" s="171">
        <v>433783.09</v>
      </c>
      <c r="AL12" s="172">
        <f t="shared" si="19"/>
        <v>5.8388237970979015E-2</v>
      </c>
      <c r="AN12" s="72"/>
    </row>
    <row r="13" spans="1:40" s="73" customFormat="1" ht="14.25" customHeight="1">
      <c r="B13" s="554"/>
      <c r="C13" s="557"/>
      <c r="D13" s="170">
        <v>46209</v>
      </c>
      <c r="E13" s="170" t="s">
        <v>117</v>
      </c>
      <c r="F13" s="320">
        <f t="shared" si="0"/>
        <v>7038286.0199999996</v>
      </c>
      <c r="G13" s="555"/>
      <c r="H13" s="550"/>
      <c r="I13" s="467">
        <v>885803.67999999993</v>
      </c>
      <c r="J13" s="172">
        <f t="shared" si="2"/>
        <v>0.12585502741475688</v>
      </c>
      <c r="K13" s="171">
        <v>1266607.53</v>
      </c>
      <c r="L13" s="172">
        <f t="shared" si="3"/>
        <v>0.17995965585950996</v>
      </c>
      <c r="M13" s="171">
        <f t="shared" si="4"/>
        <v>2152411.21</v>
      </c>
      <c r="N13" s="172">
        <f t="shared" ref="N13:N14" si="35">M13/$F13</f>
        <v>0.30581468327426686</v>
      </c>
      <c r="O13" s="171">
        <v>250345.34999999998</v>
      </c>
      <c r="P13" s="172">
        <f t="shared" si="6"/>
        <v>3.5569078791145799E-2</v>
      </c>
      <c r="Q13" s="171">
        <v>0</v>
      </c>
      <c r="R13" s="172">
        <f t="shared" si="7"/>
        <v>0</v>
      </c>
      <c r="S13" s="171">
        <f t="shared" si="8"/>
        <v>250345.34999999998</v>
      </c>
      <c r="T13" s="172">
        <f t="shared" ref="T13:T14" si="36">S13/$F13</f>
        <v>3.5569078791145799E-2</v>
      </c>
      <c r="U13" s="171">
        <v>77682.239999999991</v>
      </c>
      <c r="V13" s="172">
        <f t="shared" ref="V13:V14" si="37">U13/$F13</f>
        <v>1.1037096216217708E-2</v>
      </c>
      <c r="W13" s="171">
        <v>286246.63</v>
      </c>
      <c r="X13" s="172">
        <f t="shared" si="11"/>
        <v>4.0669934297441354E-2</v>
      </c>
      <c r="Y13" s="171">
        <v>242197.56</v>
      </c>
      <c r="Z13" s="172">
        <f t="shared" si="12"/>
        <v>3.4411440414863957E-2</v>
      </c>
      <c r="AA13" s="171">
        <v>759357.09000000008</v>
      </c>
      <c r="AB13" s="172">
        <f t="shared" si="13"/>
        <v>0.10788949011765227</v>
      </c>
      <c r="AC13" s="171">
        <f t="shared" si="14"/>
        <v>1001554.6500000001</v>
      </c>
      <c r="AD13" s="172">
        <f t="shared" si="15"/>
        <v>0.14230093053251625</v>
      </c>
      <c r="AE13" s="171">
        <v>1659551.49</v>
      </c>
      <c r="AF13" s="172">
        <f t="shared" si="16"/>
        <v>0.23578915168895057</v>
      </c>
      <c r="AG13" s="171">
        <v>0</v>
      </c>
      <c r="AH13" s="172">
        <f t="shared" si="17"/>
        <v>0</v>
      </c>
      <c r="AI13" s="171">
        <v>1152323.1800000002</v>
      </c>
      <c r="AJ13" s="172">
        <f t="shared" si="18"/>
        <v>0.1637221301785062</v>
      </c>
      <c r="AK13" s="171">
        <v>458171.27</v>
      </c>
      <c r="AL13" s="172">
        <f t="shared" si="19"/>
        <v>6.5096995020955409E-2</v>
      </c>
      <c r="AN13" s="72"/>
    </row>
    <row r="14" spans="1:40" s="73" customFormat="1" ht="14.25" customHeight="1">
      <c r="B14" s="552">
        <f>D15+7</f>
        <v>46218</v>
      </c>
      <c r="C14" s="557"/>
      <c r="D14" s="170">
        <v>46210</v>
      </c>
      <c r="E14" s="170" t="s">
        <v>118</v>
      </c>
      <c r="F14" s="320">
        <f t="shared" si="0"/>
        <v>7860603.3600000013</v>
      </c>
      <c r="G14" s="555">
        <f>SUM(F14:F20)</f>
        <v>48409401.950000003</v>
      </c>
      <c r="H14" s="550"/>
      <c r="I14" s="171">
        <v>880930.33000000007</v>
      </c>
      <c r="J14" s="172">
        <f t="shared" si="2"/>
        <v>0.11206904733073822</v>
      </c>
      <c r="K14" s="171">
        <v>1233744.4300000004</v>
      </c>
      <c r="L14" s="172">
        <f t="shared" si="3"/>
        <v>0.15695289197240456</v>
      </c>
      <c r="M14" s="171">
        <f t="shared" si="4"/>
        <v>2114674.7600000007</v>
      </c>
      <c r="N14" s="172">
        <f t="shared" si="35"/>
        <v>0.26902193930314278</v>
      </c>
      <c r="O14" s="171">
        <v>249319.47</v>
      </c>
      <c r="P14" s="172">
        <f t="shared" si="6"/>
        <v>3.1717599601667215E-2</v>
      </c>
      <c r="Q14" s="171">
        <v>0</v>
      </c>
      <c r="R14" s="172">
        <f t="shared" si="7"/>
        <v>0</v>
      </c>
      <c r="S14" s="171">
        <f t="shared" si="8"/>
        <v>249319.47</v>
      </c>
      <c r="T14" s="172">
        <f t="shared" si="36"/>
        <v>3.1717599601667215E-2</v>
      </c>
      <c r="U14" s="171">
        <v>346715.9</v>
      </c>
      <c r="V14" s="172">
        <f t="shared" si="37"/>
        <v>4.4108051776829506E-2</v>
      </c>
      <c r="W14" s="171">
        <v>263397.84999999998</v>
      </c>
      <c r="X14" s="172">
        <f t="shared" si="11"/>
        <v>3.3508604611745721E-2</v>
      </c>
      <c r="Y14" s="171">
        <v>682575.13</v>
      </c>
      <c r="Z14" s="172">
        <f t="shared" si="12"/>
        <v>8.6834953850158381E-2</v>
      </c>
      <c r="AA14" s="171">
        <v>734119.83000000007</v>
      </c>
      <c r="AB14" s="172">
        <f t="shared" si="13"/>
        <v>9.3392300358989225E-2</v>
      </c>
      <c r="AC14" s="171">
        <f t="shared" si="14"/>
        <v>1416694.96</v>
      </c>
      <c r="AD14" s="172">
        <f t="shared" si="15"/>
        <v>0.18022725420914759</v>
      </c>
      <c r="AE14" s="171">
        <v>1550480.35</v>
      </c>
      <c r="AF14" s="172">
        <f t="shared" si="16"/>
        <v>0.1972469897018185</v>
      </c>
      <c r="AG14" s="171">
        <v>0</v>
      </c>
      <c r="AH14" s="172">
        <f t="shared" si="17"/>
        <v>0</v>
      </c>
      <c r="AI14" s="171">
        <v>1479142.7399999998</v>
      </c>
      <c r="AJ14" s="172">
        <f t="shared" si="18"/>
        <v>0.18817165454841109</v>
      </c>
      <c r="AK14" s="171">
        <v>440177.33</v>
      </c>
      <c r="AL14" s="172">
        <f t="shared" si="19"/>
        <v>5.5997906247237481E-2</v>
      </c>
      <c r="AN14" s="72"/>
    </row>
    <row r="15" spans="1:40" s="73" customFormat="1" ht="14.25" customHeight="1">
      <c r="B15" s="553"/>
      <c r="C15" s="557"/>
      <c r="D15" s="170">
        <v>46211</v>
      </c>
      <c r="E15" s="170" t="s">
        <v>112</v>
      </c>
      <c r="F15" s="320">
        <f t="shared" si="0"/>
        <v>7229874.9699999988</v>
      </c>
      <c r="G15" s="555"/>
      <c r="H15" s="550"/>
      <c r="I15" s="171">
        <v>854165.3899999999</v>
      </c>
      <c r="J15" s="172">
        <f t="shared" si="2"/>
        <v>0.11814386743122338</v>
      </c>
      <c r="K15" s="171">
        <v>1144811.96</v>
      </c>
      <c r="L15" s="172">
        <f t="shared" si="3"/>
        <v>0.15834464147033517</v>
      </c>
      <c r="M15" s="171">
        <f t="shared" si="4"/>
        <v>1998977.3499999999</v>
      </c>
      <c r="N15" s="172">
        <f t="shared" ref="N15" si="38">M15/F15</f>
        <v>0.27648850890155852</v>
      </c>
      <c r="O15" s="171">
        <v>246302.58000000002</v>
      </c>
      <c r="P15" s="172">
        <f t="shared" si="6"/>
        <v>3.4067336021994868E-2</v>
      </c>
      <c r="Q15" s="171">
        <v>0</v>
      </c>
      <c r="R15" s="172">
        <f t="shared" si="7"/>
        <v>0</v>
      </c>
      <c r="S15" s="171">
        <f t="shared" si="8"/>
        <v>246302.58000000002</v>
      </c>
      <c r="T15" s="172">
        <f t="shared" ref="T15" si="39">S15/F15</f>
        <v>3.4067336021994868E-2</v>
      </c>
      <c r="U15" s="171">
        <v>229547.26</v>
      </c>
      <c r="V15" s="172">
        <f t="shared" ref="V15" si="40">U15/F15</f>
        <v>3.1749824298828784E-2</v>
      </c>
      <c r="W15" s="171">
        <v>255314.84000000003</v>
      </c>
      <c r="X15" s="172">
        <f t="shared" si="11"/>
        <v>3.5313866568843312E-2</v>
      </c>
      <c r="Y15" s="171">
        <v>535980.38</v>
      </c>
      <c r="Z15" s="172">
        <f t="shared" si="12"/>
        <v>7.4134114659523645E-2</v>
      </c>
      <c r="AA15" s="171">
        <v>722118.41</v>
      </c>
      <c r="AB15" s="172">
        <f t="shared" si="13"/>
        <v>9.9879792250404595E-2</v>
      </c>
      <c r="AC15" s="171">
        <f t="shared" si="14"/>
        <v>1258098.79</v>
      </c>
      <c r="AD15" s="172">
        <f t="shared" si="15"/>
        <v>0.17401390690992824</v>
      </c>
      <c r="AE15" s="171">
        <v>1457285.7999999998</v>
      </c>
      <c r="AF15" s="172">
        <f t="shared" si="16"/>
        <v>0.20156445388709124</v>
      </c>
      <c r="AG15" s="171">
        <v>0</v>
      </c>
      <c r="AH15" s="172">
        <f t="shared" si="17"/>
        <v>0</v>
      </c>
      <c r="AI15" s="171">
        <v>1356785.8499999999</v>
      </c>
      <c r="AJ15" s="172">
        <f t="shared" si="18"/>
        <v>0.18766380547795283</v>
      </c>
      <c r="AK15" s="171">
        <v>427562.5</v>
      </c>
      <c r="AL15" s="172">
        <f t="shared" si="19"/>
        <v>5.9138297933802313E-2</v>
      </c>
      <c r="AN15" s="72"/>
    </row>
    <row r="16" spans="1:40" s="73" customFormat="1" ht="14.25" customHeight="1">
      <c r="B16" s="553"/>
      <c r="C16" s="557"/>
      <c r="D16" s="170">
        <v>46212</v>
      </c>
      <c r="E16" s="170" t="s">
        <v>113</v>
      </c>
      <c r="F16" s="320">
        <f t="shared" si="0"/>
        <v>6763681.4199999999</v>
      </c>
      <c r="G16" s="555"/>
      <c r="H16" s="550"/>
      <c r="I16" s="171">
        <v>765228.92999999993</v>
      </c>
      <c r="J16" s="172">
        <f t="shared" si="2"/>
        <v>0.11313793221207039</v>
      </c>
      <c r="K16" s="171">
        <v>992416.55999999994</v>
      </c>
      <c r="L16" s="172">
        <f t="shared" si="3"/>
        <v>0.14672727740627381</v>
      </c>
      <c r="M16" s="171">
        <f t="shared" si="4"/>
        <v>1757645.4899999998</v>
      </c>
      <c r="N16" s="172">
        <f t="shared" ref="N16" si="41">M16/$F16</f>
        <v>0.2598652096183442</v>
      </c>
      <c r="O16" s="171">
        <v>228745.53</v>
      </c>
      <c r="P16" s="172">
        <f t="shared" si="6"/>
        <v>3.3819678337244925E-2</v>
      </c>
      <c r="Q16" s="171">
        <v>0</v>
      </c>
      <c r="R16" s="172">
        <f t="shared" si="7"/>
        <v>0</v>
      </c>
      <c r="S16" s="171">
        <f t="shared" si="8"/>
        <v>228745.53</v>
      </c>
      <c r="T16" s="172">
        <f t="shared" ref="T16" si="42">S16/$F16</f>
        <v>3.3819678337244925E-2</v>
      </c>
      <c r="U16" s="171">
        <v>212758.88</v>
      </c>
      <c r="V16" s="172">
        <f t="shared" ref="V16" si="43">U16/$F16</f>
        <v>3.1456076474991636E-2</v>
      </c>
      <c r="W16" s="171">
        <v>247015.87000000002</v>
      </c>
      <c r="X16" s="172">
        <f t="shared" si="11"/>
        <v>3.6520920288998476E-2</v>
      </c>
      <c r="Y16" s="171">
        <v>496231.16000000003</v>
      </c>
      <c r="Z16" s="172">
        <f t="shared" si="12"/>
        <v>7.3367021476301295E-2</v>
      </c>
      <c r="AA16" s="171">
        <v>668808.42000000004</v>
      </c>
      <c r="AB16" s="172">
        <f t="shared" si="13"/>
        <v>9.888230661224727E-2</v>
      </c>
      <c r="AC16" s="171">
        <f t="shared" si="14"/>
        <v>1165039.58</v>
      </c>
      <c r="AD16" s="172">
        <f t="shared" si="15"/>
        <v>0.17224932808854856</v>
      </c>
      <c r="AE16" s="171">
        <v>1456308.1400000001</v>
      </c>
      <c r="AF16" s="172">
        <f t="shared" si="16"/>
        <v>0.21531294121774294</v>
      </c>
      <c r="AG16" s="171">
        <v>0</v>
      </c>
      <c r="AH16" s="172">
        <f t="shared" si="17"/>
        <v>0</v>
      </c>
      <c r="AI16" s="171">
        <v>1250972.55</v>
      </c>
      <c r="AJ16" s="172">
        <f t="shared" si="18"/>
        <v>0.18495438686702664</v>
      </c>
      <c r="AK16" s="171">
        <v>445195.38</v>
      </c>
      <c r="AL16" s="172">
        <f t="shared" si="19"/>
        <v>6.5821459107102659E-2</v>
      </c>
      <c r="AN16" s="72"/>
    </row>
    <row r="17" spans="2:40" s="73" customFormat="1" ht="14.25" customHeight="1">
      <c r="B17" s="553"/>
      <c r="C17" s="557"/>
      <c r="D17" s="170">
        <v>46213</v>
      </c>
      <c r="E17" s="170" t="s">
        <v>114</v>
      </c>
      <c r="F17" s="320">
        <f t="shared" si="0"/>
        <v>5383246.2599999998</v>
      </c>
      <c r="G17" s="555"/>
      <c r="H17" s="550"/>
      <c r="I17" s="171">
        <v>579909.59000000008</v>
      </c>
      <c r="J17" s="172">
        <f t="shared" si="2"/>
        <v>0.10772488606159364</v>
      </c>
      <c r="K17" s="171">
        <v>866974.10000000009</v>
      </c>
      <c r="L17" s="172">
        <f t="shared" si="3"/>
        <v>0.16105042536174077</v>
      </c>
      <c r="M17" s="171">
        <f t="shared" si="4"/>
        <v>1446883.6900000002</v>
      </c>
      <c r="N17" s="172">
        <f t="shared" ref="N17" si="44">M17/F17</f>
        <v>0.26877531142333438</v>
      </c>
      <c r="O17" s="171">
        <v>178415.97000000003</v>
      </c>
      <c r="P17" s="172">
        <f t="shared" si="6"/>
        <v>3.3142821521228355E-2</v>
      </c>
      <c r="Q17" s="171">
        <v>0</v>
      </c>
      <c r="R17" s="172">
        <f t="shared" si="7"/>
        <v>0</v>
      </c>
      <c r="S17" s="171">
        <f t="shared" si="8"/>
        <v>178415.97000000003</v>
      </c>
      <c r="T17" s="172">
        <f t="shared" ref="T17" si="45">S17/F17</f>
        <v>3.3142821521228355E-2</v>
      </c>
      <c r="U17" s="171">
        <v>182945.39</v>
      </c>
      <c r="V17" s="172">
        <f t="shared" ref="V17" si="46">U17/F17</f>
        <v>3.3984213458590692E-2</v>
      </c>
      <c r="W17" s="171">
        <v>183686.99</v>
      </c>
      <c r="X17" s="172">
        <f t="shared" si="11"/>
        <v>3.4121974200749271E-2</v>
      </c>
      <c r="Y17" s="171">
        <v>384734.26</v>
      </c>
      <c r="Z17" s="172">
        <f t="shared" si="12"/>
        <v>7.1468820376796222E-2</v>
      </c>
      <c r="AA17" s="171">
        <v>584000.57999999996</v>
      </c>
      <c r="AB17" s="172">
        <f t="shared" si="13"/>
        <v>0.10848483457637696</v>
      </c>
      <c r="AC17" s="171">
        <f t="shared" si="14"/>
        <v>968734.84</v>
      </c>
      <c r="AD17" s="172">
        <f t="shared" si="15"/>
        <v>0.17995365495317317</v>
      </c>
      <c r="AE17" s="171">
        <v>1171330.49</v>
      </c>
      <c r="AF17" s="172">
        <f t="shared" si="16"/>
        <v>0.21758813054931656</v>
      </c>
      <c r="AG17" s="171">
        <v>0</v>
      </c>
      <c r="AH17" s="172">
        <f t="shared" si="17"/>
        <v>0</v>
      </c>
      <c r="AI17" s="171">
        <v>917881.72</v>
      </c>
      <c r="AJ17" s="172">
        <f t="shared" si="18"/>
        <v>0.17050710215883752</v>
      </c>
      <c r="AK17" s="171">
        <v>333367.17</v>
      </c>
      <c r="AL17" s="172">
        <f t="shared" si="19"/>
        <v>6.1926791734770087E-2</v>
      </c>
      <c r="AN17" s="72"/>
    </row>
    <row r="18" spans="2:40" s="73" customFormat="1" ht="14.25" customHeight="1">
      <c r="B18" s="553"/>
      <c r="C18" s="557"/>
      <c r="D18" s="170">
        <v>46214</v>
      </c>
      <c r="E18" s="170" t="s">
        <v>115</v>
      </c>
      <c r="F18" s="320">
        <f t="shared" si="0"/>
        <v>6085802.3499999996</v>
      </c>
      <c r="G18" s="555"/>
      <c r="H18" s="550"/>
      <c r="I18" s="171">
        <v>575469.14999999991</v>
      </c>
      <c r="J18" s="172">
        <f t="shared" si="2"/>
        <v>9.4559290115624597E-2</v>
      </c>
      <c r="K18" s="171">
        <v>1056890.1599999999</v>
      </c>
      <c r="L18" s="172">
        <f t="shared" si="3"/>
        <v>0.17366488413807918</v>
      </c>
      <c r="M18" s="171">
        <f t="shared" si="4"/>
        <v>1632359.3099999998</v>
      </c>
      <c r="N18" s="172">
        <f t="shared" ref="N18" si="47">M18/$F18</f>
        <v>0.26822417425370376</v>
      </c>
      <c r="O18" s="171">
        <v>180329.65999999997</v>
      </c>
      <c r="P18" s="172">
        <f t="shared" si="6"/>
        <v>2.9631205489281127E-2</v>
      </c>
      <c r="Q18" s="171">
        <v>0</v>
      </c>
      <c r="R18" s="172">
        <f t="shared" si="7"/>
        <v>0</v>
      </c>
      <c r="S18" s="171">
        <f t="shared" si="8"/>
        <v>180329.65999999997</v>
      </c>
      <c r="T18" s="172">
        <f t="shared" ref="T18" si="48">S18/$F18</f>
        <v>2.9631205489281127E-2</v>
      </c>
      <c r="U18" s="171">
        <v>224454.94999999998</v>
      </c>
      <c r="V18" s="172">
        <f t="shared" ref="V18" si="49">U18/$F18</f>
        <v>3.6881735076394653E-2</v>
      </c>
      <c r="W18" s="171">
        <v>209800.09000000003</v>
      </c>
      <c r="X18" s="172">
        <f t="shared" si="11"/>
        <v>3.4473694335472468E-2</v>
      </c>
      <c r="Y18" s="171">
        <v>453560.67000000004</v>
      </c>
      <c r="Z18" s="172">
        <f t="shared" si="12"/>
        <v>7.4527670127177245E-2</v>
      </c>
      <c r="AA18" s="171">
        <v>671874.37</v>
      </c>
      <c r="AB18" s="172">
        <f t="shared" si="13"/>
        <v>0.11040029421921664</v>
      </c>
      <c r="AC18" s="171">
        <f t="shared" si="14"/>
        <v>1125435.04</v>
      </c>
      <c r="AD18" s="172">
        <f t="shared" si="15"/>
        <v>0.18492796434639389</v>
      </c>
      <c r="AE18" s="171">
        <v>1269917.0900000001</v>
      </c>
      <c r="AF18" s="172">
        <f t="shared" si="16"/>
        <v>0.20866880272574087</v>
      </c>
      <c r="AG18" s="171">
        <v>0</v>
      </c>
      <c r="AH18" s="172">
        <f t="shared" si="17"/>
        <v>0</v>
      </c>
      <c r="AI18" s="171">
        <v>1068018.8399999999</v>
      </c>
      <c r="AJ18" s="172">
        <f t="shared" si="18"/>
        <v>0.17549351401463112</v>
      </c>
      <c r="AK18" s="171">
        <v>375487.37</v>
      </c>
      <c r="AL18" s="172">
        <f t="shared" si="19"/>
        <v>6.1698909758382152E-2</v>
      </c>
      <c r="AN18" s="72"/>
    </row>
    <row r="19" spans="2:40" s="73" customFormat="1" ht="14.25" customHeight="1">
      <c r="B19" s="553"/>
      <c r="C19" s="557"/>
      <c r="D19" s="170">
        <v>46215</v>
      </c>
      <c r="E19" s="170" t="s">
        <v>116</v>
      </c>
      <c r="F19" s="320">
        <f t="shared" si="0"/>
        <v>7790002.0999999996</v>
      </c>
      <c r="G19" s="555"/>
      <c r="H19" s="550"/>
      <c r="I19" s="171">
        <v>825821.42000000027</v>
      </c>
      <c r="J19" s="172">
        <f t="shared" si="2"/>
        <v>0.10601042328345461</v>
      </c>
      <c r="K19" s="171">
        <v>1163118.6299999999</v>
      </c>
      <c r="L19" s="172">
        <f t="shared" si="3"/>
        <v>0.14930915487172974</v>
      </c>
      <c r="M19" s="171">
        <f t="shared" si="4"/>
        <v>1988940.0500000003</v>
      </c>
      <c r="N19" s="172">
        <f t="shared" ref="N19" si="50">M19/F19</f>
        <v>0.25531957815518436</v>
      </c>
      <c r="O19" s="171">
        <v>241261.93000000002</v>
      </c>
      <c r="P19" s="172">
        <f t="shared" si="6"/>
        <v>3.0970714372464681E-2</v>
      </c>
      <c r="Q19" s="171">
        <v>0</v>
      </c>
      <c r="R19" s="172">
        <f t="shared" si="7"/>
        <v>0</v>
      </c>
      <c r="S19" s="171">
        <f t="shared" si="8"/>
        <v>241261.93000000002</v>
      </c>
      <c r="T19" s="172">
        <f t="shared" ref="T19" si="51">S19/F19</f>
        <v>3.0970714372464681E-2</v>
      </c>
      <c r="U19" s="171">
        <v>263001.55</v>
      </c>
      <c r="V19" s="172">
        <f t="shared" ref="V19" si="52">U19/F19</f>
        <v>3.3761422220925971E-2</v>
      </c>
      <c r="W19" s="171">
        <v>231269.79</v>
      </c>
      <c r="X19" s="172">
        <f t="shared" si="11"/>
        <v>2.9688026656629531E-2</v>
      </c>
      <c r="Y19" s="171">
        <v>588890.14</v>
      </c>
      <c r="Z19" s="172">
        <f t="shared" si="12"/>
        <v>7.5595633023000083E-2</v>
      </c>
      <c r="AA19" s="171">
        <v>823525.12999999989</v>
      </c>
      <c r="AB19" s="172">
        <f t="shared" si="13"/>
        <v>0.10571564929359903</v>
      </c>
      <c r="AC19" s="171">
        <f t="shared" si="14"/>
        <v>1412415.27</v>
      </c>
      <c r="AD19" s="172">
        <f t="shared" si="15"/>
        <v>0.18131128231659913</v>
      </c>
      <c r="AE19" s="171">
        <v>1954760.6299999997</v>
      </c>
      <c r="AF19" s="172">
        <f t="shared" si="16"/>
        <v>0.25093197728406258</v>
      </c>
      <c r="AG19" s="171">
        <v>0</v>
      </c>
      <c r="AH19" s="172">
        <f t="shared" si="17"/>
        <v>0</v>
      </c>
      <c r="AI19" s="171">
        <v>1247470.8399999999</v>
      </c>
      <c r="AJ19" s="172">
        <f t="shared" si="18"/>
        <v>0.16013742024536809</v>
      </c>
      <c r="AK19" s="171">
        <v>450882.04000000004</v>
      </c>
      <c r="AL19" s="172">
        <f t="shared" si="19"/>
        <v>5.7879578748765682E-2</v>
      </c>
      <c r="AN19" s="72"/>
    </row>
    <row r="20" spans="2:40" s="73" customFormat="1" ht="14.25" customHeight="1">
      <c r="B20" s="554"/>
      <c r="C20" s="557"/>
      <c r="D20" s="170">
        <v>46216</v>
      </c>
      <c r="E20" s="170" t="s">
        <v>117</v>
      </c>
      <c r="F20" s="320">
        <f t="shared" si="0"/>
        <v>7296191.4900000002</v>
      </c>
      <c r="G20" s="555"/>
      <c r="H20" s="550"/>
      <c r="I20" s="171">
        <v>807393.35000000009</v>
      </c>
      <c r="J20" s="172">
        <f t="shared" si="2"/>
        <v>0.11065956137617765</v>
      </c>
      <c r="K20" s="171">
        <v>1127879.18</v>
      </c>
      <c r="L20" s="172">
        <f t="shared" si="3"/>
        <v>0.15458464618778803</v>
      </c>
      <c r="M20" s="171">
        <f t="shared" si="4"/>
        <v>1935272.53</v>
      </c>
      <c r="N20" s="172">
        <f t="shared" ref="N20" si="53">M20/$F20</f>
        <v>0.26524420756396566</v>
      </c>
      <c r="O20" s="171">
        <v>239605.71000000002</v>
      </c>
      <c r="P20" s="172">
        <f t="shared" si="6"/>
        <v>3.2839832990731996E-2</v>
      </c>
      <c r="Q20" s="171">
        <v>0</v>
      </c>
      <c r="R20" s="172">
        <f t="shared" si="7"/>
        <v>0</v>
      </c>
      <c r="S20" s="171">
        <f t="shared" si="8"/>
        <v>239605.71000000002</v>
      </c>
      <c r="T20" s="172">
        <f t="shared" ref="T20" si="54">S20/$F20</f>
        <v>3.2839832990731996E-2</v>
      </c>
      <c r="U20" s="171">
        <v>218053.58000000002</v>
      </c>
      <c r="V20" s="172">
        <f t="shared" ref="V20" si="55">U20/$F20</f>
        <v>2.9885945331733613E-2</v>
      </c>
      <c r="W20" s="171">
        <v>252968.04000000004</v>
      </c>
      <c r="X20" s="172">
        <f t="shared" si="11"/>
        <v>3.467124462765437E-2</v>
      </c>
      <c r="Y20" s="171">
        <v>496197.77</v>
      </c>
      <c r="Z20" s="172">
        <f t="shared" si="12"/>
        <v>6.80077778495915E-2</v>
      </c>
      <c r="AA20" s="171">
        <v>837797.55999999994</v>
      </c>
      <c r="AB20" s="172">
        <f t="shared" si="13"/>
        <v>0.11482669570121164</v>
      </c>
      <c r="AC20" s="171">
        <f t="shared" si="14"/>
        <v>1333995.33</v>
      </c>
      <c r="AD20" s="172">
        <f t="shared" si="15"/>
        <v>0.18283447355080315</v>
      </c>
      <c r="AE20" s="171">
        <v>1711630.5999999999</v>
      </c>
      <c r="AF20" s="172">
        <f t="shared" si="16"/>
        <v>0.23459233524036796</v>
      </c>
      <c r="AG20" s="171">
        <v>0</v>
      </c>
      <c r="AH20" s="172">
        <f t="shared" si="17"/>
        <v>0</v>
      </c>
      <c r="AI20" s="171">
        <v>1115033.67</v>
      </c>
      <c r="AJ20" s="172">
        <f t="shared" si="18"/>
        <v>0.15282406876632015</v>
      </c>
      <c r="AK20" s="171">
        <v>489632.03</v>
      </c>
      <c r="AL20" s="172">
        <f t="shared" si="19"/>
        <v>6.7107891928423063E-2</v>
      </c>
      <c r="AN20" s="72"/>
    </row>
    <row r="21" spans="2:40" ht="13.5">
      <c r="B21" s="552">
        <f>D22+7</f>
        <v>46225</v>
      </c>
      <c r="C21" s="557"/>
      <c r="D21" s="170">
        <v>46217</v>
      </c>
      <c r="E21" s="170" t="s">
        <v>118</v>
      </c>
      <c r="F21" s="320">
        <f t="shared" ref="F21:F41" si="56">SUM(M21,S21,U21,W21,AC21,AE21,AG21,AI21,AK21)</f>
        <v>0</v>
      </c>
      <c r="G21" s="555">
        <f t="shared" ref="G21" si="57">SUM(F21:F27)</f>
        <v>0</v>
      </c>
      <c r="H21" s="550"/>
    </row>
    <row r="22" spans="2:40" ht="13.5">
      <c r="B22" s="553"/>
      <c r="C22" s="557"/>
      <c r="D22" s="170">
        <v>46218</v>
      </c>
      <c r="E22" s="170" t="s">
        <v>112</v>
      </c>
      <c r="F22" s="320">
        <f t="shared" si="56"/>
        <v>0</v>
      </c>
      <c r="G22" s="555"/>
      <c r="H22" s="550"/>
    </row>
    <row r="23" spans="2:40" ht="13.5">
      <c r="B23" s="553"/>
      <c r="C23" s="557"/>
      <c r="D23" s="170">
        <v>46219</v>
      </c>
      <c r="E23" s="170" t="s">
        <v>113</v>
      </c>
      <c r="F23" s="320">
        <f t="shared" si="56"/>
        <v>0</v>
      </c>
      <c r="G23" s="555"/>
      <c r="H23" s="550"/>
    </row>
    <row r="24" spans="2:40" ht="13.5">
      <c r="B24" s="553"/>
      <c r="C24" s="557"/>
      <c r="D24" s="170">
        <v>46220</v>
      </c>
      <c r="E24" s="170" t="s">
        <v>114</v>
      </c>
      <c r="F24" s="320">
        <f t="shared" si="56"/>
        <v>0</v>
      </c>
      <c r="G24" s="555"/>
      <c r="H24" s="550"/>
    </row>
    <row r="25" spans="2:40" ht="13.5">
      <c r="B25" s="553"/>
      <c r="C25" s="557"/>
      <c r="D25" s="170">
        <v>46221</v>
      </c>
      <c r="E25" s="170" t="s">
        <v>115</v>
      </c>
      <c r="F25" s="320">
        <f t="shared" si="56"/>
        <v>0</v>
      </c>
      <c r="G25" s="555"/>
      <c r="H25" s="550"/>
    </row>
    <row r="26" spans="2:40" ht="13.5">
      <c r="B26" s="553"/>
      <c r="C26" s="557"/>
      <c r="D26" s="170">
        <v>46222</v>
      </c>
      <c r="E26" s="170" t="s">
        <v>116</v>
      </c>
      <c r="F26" s="320">
        <f t="shared" si="56"/>
        <v>0</v>
      </c>
      <c r="G26" s="555"/>
      <c r="H26" s="550"/>
    </row>
    <row r="27" spans="2:40" ht="13.5">
      <c r="B27" s="554"/>
      <c r="C27" s="557"/>
      <c r="D27" s="170">
        <v>46223</v>
      </c>
      <c r="E27" s="170" t="s">
        <v>117</v>
      </c>
      <c r="F27" s="320">
        <f t="shared" si="56"/>
        <v>0</v>
      </c>
      <c r="G27" s="555"/>
      <c r="H27" s="550"/>
    </row>
    <row r="28" spans="2:40" ht="13.5">
      <c r="B28" s="552">
        <f>D29+7</f>
        <v>46232</v>
      </c>
      <c r="C28" s="557"/>
      <c r="D28" s="170">
        <v>46224</v>
      </c>
      <c r="E28" s="170" t="s">
        <v>118</v>
      </c>
      <c r="F28" s="320">
        <f t="shared" si="56"/>
        <v>0</v>
      </c>
      <c r="G28" s="555">
        <f t="shared" ref="G28" si="58">SUM(F28:F34)</f>
        <v>0</v>
      </c>
      <c r="H28" s="550"/>
    </row>
    <row r="29" spans="2:40" ht="13.5">
      <c r="B29" s="553"/>
      <c r="C29" s="557"/>
      <c r="D29" s="170">
        <v>46225</v>
      </c>
      <c r="E29" s="170" t="s">
        <v>112</v>
      </c>
      <c r="F29" s="320">
        <f t="shared" si="56"/>
        <v>0</v>
      </c>
      <c r="G29" s="555"/>
      <c r="H29" s="550"/>
    </row>
    <row r="30" spans="2:40" ht="13.5">
      <c r="B30" s="553"/>
      <c r="C30" s="557"/>
      <c r="D30" s="170">
        <v>46226</v>
      </c>
      <c r="E30" s="170" t="s">
        <v>113</v>
      </c>
      <c r="F30" s="320">
        <f t="shared" si="56"/>
        <v>0</v>
      </c>
      <c r="G30" s="555"/>
      <c r="H30" s="550"/>
    </row>
    <row r="31" spans="2:40" ht="13.5">
      <c r="B31" s="553"/>
      <c r="C31" s="557"/>
      <c r="D31" s="170">
        <v>46227</v>
      </c>
      <c r="E31" s="170" t="s">
        <v>114</v>
      </c>
      <c r="F31" s="320">
        <f t="shared" si="56"/>
        <v>0</v>
      </c>
      <c r="G31" s="555"/>
      <c r="H31" s="550"/>
    </row>
    <row r="32" spans="2:40" ht="13.5">
      <c r="B32" s="553"/>
      <c r="C32" s="557"/>
      <c r="D32" s="170">
        <v>46228</v>
      </c>
      <c r="E32" s="170" t="s">
        <v>115</v>
      </c>
      <c r="F32" s="320">
        <f t="shared" si="56"/>
        <v>0</v>
      </c>
      <c r="G32" s="555"/>
      <c r="H32" s="550"/>
    </row>
    <row r="33" spans="2:8" ht="13.5">
      <c r="B33" s="553"/>
      <c r="C33" s="557"/>
      <c r="D33" s="170">
        <v>46229</v>
      </c>
      <c r="E33" s="170" t="s">
        <v>116</v>
      </c>
      <c r="F33" s="320">
        <f t="shared" si="56"/>
        <v>0</v>
      </c>
      <c r="G33" s="555"/>
      <c r="H33" s="550"/>
    </row>
    <row r="34" spans="2:8" ht="13.5">
      <c r="B34" s="554"/>
      <c r="C34" s="557"/>
      <c r="D34" s="170">
        <v>46230</v>
      </c>
      <c r="E34" s="170" t="s">
        <v>117</v>
      </c>
      <c r="F34" s="320">
        <f t="shared" si="56"/>
        <v>0</v>
      </c>
      <c r="G34" s="555"/>
      <c r="H34" s="550"/>
    </row>
    <row r="35" spans="2:8" ht="13.5">
      <c r="B35" s="552">
        <f>D36+7</f>
        <v>46239</v>
      </c>
      <c r="C35" s="557"/>
      <c r="D35" s="170">
        <v>46231</v>
      </c>
      <c r="E35" s="170" t="s">
        <v>118</v>
      </c>
      <c r="F35" s="320">
        <f t="shared" si="56"/>
        <v>0</v>
      </c>
      <c r="G35" s="555">
        <f t="shared" ref="G35" si="59">SUM(F35:F41)</f>
        <v>0</v>
      </c>
      <c r="H35" s="550"/>
    </row>
    <row r="36" spans="2:8" ht="14.25" customHeight="1">
      <c r="B36" s="553"/>
      <c r="C36" s="557"/>
      <c r="D36" s="170">
        <v>46232</v>
      </c>
      <c r="E36" s="170" t="s">
        <v>112</v>
      </c>
      <c r="F36" s="320">
        <f t="shared" si="56"/>
        <v>0</v>
      </c>
      <c r="G36" s="555"/>
      <c r="H36" s="550"/>
    </row>
    <row r="37" spans="2:8" ht="14.25" customHeight="1">
      <c r="B37" s="553"/>
      <c r="C37" s="557"/>
      <c r="D37" s="170">
        <v>46233</v>
      </c>
      <c r="E37" s="170" t="s">
        <v>113</v>
      </c>
      <c r="F37" s="320">
        <f t="shared" si="56"/>
        <v>0</v>
      </c>
      <c r="G37" s="555"/>
      <c r="H37" s="550"/>
    </row>
    <row r="38" spans="2:8" ht="14.25" customHeight="1">
      <c r="B38" s="553"/>
      <c r="C38" s="558"/>
      <c r="D38" s="170">
        <v>46234</v>
      </c>
      <c r="E38" s="170" t="s">
        <v>114</v>
      </c>
      <c r="F38" s="320">
        <f t="shared" si="56"/>
        <v>0</v>
      </c>
      <c r="G38" s="555"/>
      <c r="H38" s="551"/>
    </row>
    <row r="39" spans="2:8" ht="14.25" customHeight="1">
      <c r="B39" s="553"/>
      <c r="C39" s="557" t="s">
        <v>740</v>
      </c>
      <c r="D39" s="170">
        <v>46235</v>
      </c>
      <c r="E39" s="170" t="s">
        <v>115</v>
      </c>
      <c r="F39" s="320">
        <f t="shared" si="56"/>
        <v>0</v>
      </c>
      <c r="G39" s="555"/>
    </row>
    <row r="40" spans="2:8" ht="14.25" customHeight="1">
      <c r="B40" s="553"/>
      <c r="C40" s="557"/>
      <c r="D40" s="170">
        <v>46236</v>
      </c>
      <c r="E40" s="170" t="s">
        <v>116</v>
      </c>
      <c r="F40" s="320">
        <f t="shared" si="56"/>
        <v>0</v>
      </c>
      <c r="G40" s="555"/>
    </row>
    <row r="41" spans="2:8" ht="14.25" customHeight="1">
      <c r="B41" s="554"/>
      <c r="C41" s="558"/>
      <c r="D41" s="170">
        <v>46237</v>
      </c>
      <c r="E41" s="170" t="s">
        <v>117</v>
      </c>
      <c r="F41" s="320">
        <f t="shared" si="56"/>
        <v>0</v>
      </c>
      <c r="G41" s="555"/>
    </row>
  </sheetData>
  <mergeCells count="46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H8:H38"/>
    <mergeCell ref="B28:B34"/>
    <mergeCell ref="G28:G34"/>
    <mergeCell ref="B35:B41"/>
    <mergeCell ref="G35:G41"/>
    <mergeCell ref="C8:C38"/>
    <mergeCell ref="C39:C41"/>
    <mergeCell ref="B14:B20"/>
    <mergeCell ref="G14:G20"/>
    <mergeCell ref="B21:B27"/>
    <mergeCell ref="G21:G27"/>
    <mergeCell ref="B7:B13"/>
    <mergeCell ref="G7:G13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41"/>
  <sheetViews>
    <sheetView zoomScale="85" zoomScaleNormal="85" workbookViewId="0">
      <selection activeCell="G21" sqref="G21:G27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4"/>
    <col min="4" max="4" width="17" style="94" customWidth="1"/>
    <col min="5" max="5" width="8.54296875" style="77" customWidth="1"/>
    <col min="6" max="8" width="17.453125" style="95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532" t="s">
        <v>323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  <c r="X2" s="532"/>
      <c r="Y2" s="532"/>
      <c r="Z2" s="532"/>
      <c r="AA2" s="532"/>
      <c r="AB2" s="532"/>
      <c r="AC2" s="532"/>
      <c r="AD2" s="532"/>
      <c r="AE2" s="532"/>
      <c r="AF2" s="532"/>
      <c r="AG2" s="532"/>
      <c r="AH2" s="532"/>
      <c r="AI2" s="532"/>
      <c r="AJ2" s="532"/>
      <c r="AK2" s="532"/>
      <c r="AL2" s="532"/>
    </row>
    <row r="3" spans="1:38" ht="25.4" customHeight="1">
      <c r="B3" s="561" t="s">
        <v>409</v>
      </c>
      <c r="C3" s="562" t="s">
        <v>410</v>
      </c>
      <c r="D3" s="563" t="s">
        <v>105</v>
      </c>
      <c r="E3" s="563"/>
      <c r="F3" s="576" t="s">
        <v>153</v>
      </c>
      <c r="G3" s="576"/>
      <c r="H3" s="576"/>
      <c r="I3" s="578" t="s">
        <v>321</v>
      </c>
      <c r="J3" s="578"/>
      <c r="K3" s="578"/>
      <c r="L3" s="578"/>
      <c r="M3" s="578"/>
      <c r="N3" s="578"/>
      <c r="O3" s="578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8"/>
      <c r="AA3" s="578"/>
      <c r="AB3" s="578"/>
      <c r="AC3" s="578"/>
      <c r="AD3" s="578"/>
      <c r="AE3" s="578"/>
      <c r="AF3" s="578"/>
      <c r="AG3" s="578"/>
      <c r="AH3" s="578"/>
      <c r="AI3" s="578"/>
      <c r="AJ3" s="578"/>
      <c r="AK3" s="578"/>
      <c r="AL3" s="578"/>
    </row>
    <row r="4" spans="1:38" ht="25.4" customHeight="1">
      <c r="B4" s="561"/>
      <c r="C4" s="562"/>
      <c r="D4" s="563"/>
      <c r="E4" s="563"/>
      <c r="F4" s="576"/>
      <c r="G4" s="576"/>
      <c r="H4" s="576"/>
      <c r="I4" s="575" t="s">
        <v>411</v>
      </c>
      <c r="J4" s="575"/>
      <c r="K4" s="575"/>
      <c r="L4" s="575"/>
      <c r="M4" s="575"/>
      <c r="N4" s="575"/>
      <c r="O4" s="575" t="s">
        <v>412</v>
      </c>
      <c r="P4" s="575"/>
      <c r="Q4" s="575"/>
      <c r="R4" s="575"/>
      <c r="S4" s="575"/>
      <c r="T4" s="575"/>
      <c r="U4" s="575" t="s">
        <v>413</v>
      </c>
      <c r="V4" s="575"/>
      <c r="W4" s="575" t="s">
        <v>414</v>
      </c>
      <c r="X4" s="575"/>
      <c r="Y4" s="575" t="s">
        <v>139</v>
      </c>
      <c r="Z4" s="575"/>
      <c r="AA4" s="575"/>
      <c r="AB4" s="575"/>
      <c r="AC4" s="575"/>
      <c r="AD4" s="575"/>
      <c r="AE4" s="575" t="s">
        <v>137</v>
      </c>
      <c r="AF4" s="575"/>
      <c r="AG4" s="575" t="s">
        <v>415</v>
      </c>
      <c r="AH4" s="575"/>
      <c r="AI4" s="575" t="s">
        <v>416</v>
      </c>
      <c r="AJ4" s="575"/>
      <c r="AK4" s="575" t="s">
        <v>143</v>
      </c>
      <c r="AL4" s="575"/>
    </row>
    <row r="5" spans="1:38" ht="25.4" customHeight="1">
      <c r="B5" s="561"/>
      <c r="C5" s="562"/>
      <c r="D5" s="563"/>
      <c r="E5" s="563"/>
      <c r="F5" s="573" t="s">
        <v>116</v>
      </c>
      <c r="G5" s="573" t="s">
        <v>120</v>
      </c>
      <c r="H5" s="573" t="s">
        <v>121</v>
      </c>
      <c r="I5" s="575" t="s">
        <v>133</v>
      </c>
      <c r="J5" s="575"/>
      <c r="K5" s="575" t="s">
        <v>134</v>
      </c>
      <c r="L5" s="575"/>
      <c r="M5" s="575" t="s">
        <v>152</v>
      </c>
      <c r="N5" s="575"/>
      <c r="O5" s="575" t="s">
        <v>133</v>
      </c>
      <c r="P5" s="575"/>
      <c r="Q5" s="575" t="s">
        <v>134</v>
      </c>
      <c r="R5" s="575"/>
      <c r="S5" s="575" t="s">
        <v>152</v>
      </c>
      <c r="T5" s="575"/>
      <c r="U5" s="575" t="s">
        <v>133</v>
      </c>
      <c r="V5" s="575"/>
      <c r="W5" s="575" t="s">
        <v>133</v>
      </c>
      <c r="X5" s="575"/>
      <c r="Y5" s="575" t="s">
        <v>133</v>
      </c>
      <c r="Z5" s="575"/>
      <c r="AA5" s="575" t="s">
        <v>134</v>
      </c>
      <c r="AB5" s="575"/>
      <c r="AC5" s="575" t="s">
        <v>152</v>
      </c>
      <c r="AD5" s="575"/>
      <c r="AE5" s="575" t="s">
        <v>133</v>
      </c>
      <c r="AF5" s="575"/>
      <c r="AG5" s="575" t="s">
        <v>133</v>
      </c>
      <c r="AH5" s="575"/>
      <c r="AI5" s="575" t="s">
        <v>133</v>
      </c>
      <c r="AJ5" s="575"/>
      <c r="AK5" s="575" t="s">
        <v>133</v>
      </c>
      <c r="AL5" s="575"/>
    </row>
    <row r="6" spans="1:38" s="77" customFormat="1" ht="23.5" customHeight="1">
      <c r="B6" s="561"/>
      <c r="C6" s="574"/>
      <c r="D6" s="564"/>
      <c r="E6" s="564"/>
      <c r="F6" s="577"/>
      <c r="G6" s="573"/>
      <c r="H6" s="573"/>
      <c r="I6" s="214" t="s">
        <v>154</v>
      </c>
      <c r="J6" s="173" t="s">
        <v>111</v>
      </c>
      <c r="K6" s="214" t="s">
        <v>154</v>
      </c>
      <c r="L6" s="173" t="s">
        <v>111</v>
      </c>
      <c r="M6" s="214" t="s">
        <v>154</v>
      </c>
      <c r="N6" s="173" t="s">
        <v>111</v>
      </c>
      <c r="O6" s="214" t="s">
        <v>154</v>
      </c>
      <c r="P6" s="173" t="s">
        <v>111</v>
      </c>
      <c r="Q6" s="214" t="s">
        <v>154</v>
      </c>
      <c r="R6" s="173" t="s">
        <v>111</v>
      </c>
      <c r="S6" s="214" t="s">
        <v>154</v>
      </c>
      <c r="T6" s="173" t="s">
        <v>111</v>
      </c>
      <c r="U6" s="214" t="s">
        <v>154</v>
      </c>
      <c r="V6" s="173" t="s">
        <v>111</v>
      </c>
      <c r="W6" s="214" t="s">
        <v>154</v>
      </c>
      <c r="X6" s="173" t="s">
        <v>111</v>
      </c>
      <c r="Y6" s="214" t="s">
        <v>154</v>
      </c>
      <c r="Z6" s="173" t="s">
        <v>111</v>
      </c>
      <c r="AA6" s="214" t="s">
        <v>154</v>
      </c>
      <c r="AB6" s="173" t="s">
        <v>111</v>
      </c>
      <c r="AC6" s="214" t="s">
        <v>154</v>
      </c>
      <c r="AD6" s="173" t="s">
        <v>111</v>
      </c>
      <c r="AE6" s="214" t="s">
        <v>154</v>
      </c>
      <c r="AF6" s="173" t="s">
        <v>111</v>
      </c>
      <c r="AG6" s="214" t="s">
        <v>154</v>
      </c>
      <c r="AH6" s="173" t="s">
        <v>111</v>
      </c>
      <c r="AI6" s="214" t="s">
        <v>154</v>
      </c>
      <c r="AJ6" s="173" t="s">
        <v>111</v>
      </c>
      <c r="AK6" s="214" t="s">
        <v>154</v>
      </c>
      <c r="AL6" s="173" t="s">
        <v>111</v>
      </c>
    </row>
    <row r="7" spans="1:38" s="73" customFormat="1" ht="14.25" customHeight="1">
      <c r="B7" s="552">
        <v>46211</v>
      </c>
      <c r="C7" s="481"/>
      <c r="D7" s="170">
        <v>46203</v>
      </c>
      <c r="E7" s="170" t="s">
        <v>118</v>
      </c>
      <c r="F7" s="321">
        <f t="shared" ref="F7:F35" si="0">SUM(M7,S7,U7,W7,AC7,AE7,AG7,AI7,AK7)</f>
        <v>229980</v>
      </c>
      <c r="G7" s="572">
        <f t="shared" ref="G7" si="1">SUM(F7:F13)</f>
        <v>1487035</v>
      </c>
      <c r="H7" s="482"/>
      <c r="I7" s="308">
        <v>45550</v>
      </c>
      <c r="J7" s="230">
        <f t="shared" ref="J7:J20" si="2">I7/$F7</f>
        <v>0.1980607009305157</v>
      </c>
      <c r="K7" s="308">
        <v>69362</v>
      </c>
      <c r="L7" s="230">
        <f t="shared" ref="L7:L20" si="3">K7/$F7</f>
        <v>0.30160013914253414</v>
      </c>
      <c r="M7" s="308">
        <f t="shared" ref="M7:M20" si="4">I7+K7</f>
        <v>114912</v>
      </c>
      <c r="N7" s="230">
        <f t="shared" ref="N7:N20" si="5">M7/$F7</f>
        <v>0.49966084007304984</v>
      </c>
      <c r="O7" s="308">
        <v>8454</v>
      </c>
      <c r="P7" s="230">
        <f t="shared" ref="P7:P20" si="6">O7/$F7</f>
        <v>3.675971823636838E-2</v>
      </c>
      <c r="Q7" s="308">
        <v>0</v>
      </c>
      <c r="R7" s="230">
        <f t="shared" ref="R7:R20" si="7">Q7/$F7</f>
        <v>0</v>
      </c>
      <c r="S7" s="308">
        <f t="shared" ref="S7:S20" si="8">O7+Q7</f>
        <v>8454</v>
      </c>
      <c r="T7" s="230">
        <f t="shared" ref="T7:T20" si="9">S7/$F7</f>
        <v>3.675971823636838E-2</v>
      </c>
      <c r="U7" s="308">
        <v>2567</v>
      </c>
      <c r="V7" s="230">
        <f t="shared" ref="V7:V20" si="10">U7/$F7</f>
        <v>1.1161840160013915E-2</v>
      </c>
      <c r="W7" s="308">
        <v>11068</v>
      </c>
      <c r="X7" s="230">
        <f t="shared" ref="X7:X20" si="11">W7/$F7</f>
        <v>4.8125923993390732E-2</v>
      </c>
      <c r="Y7" s="308">
        <v>4744</v>
      </c>
      <c r="Z7" s="230">
        <f t="shared" ref="Z7:Z20" si="12">Y7/$F7</f>
        <v>2.0627880685276982E-2</v>
      </c>
      <c r="AA7" s="308">
        <v>14570</v>
      </c>
      <c r="AB7" s="230">
        <f t="shared" ref="AB7:AB20" si="13">AA7/$F7</f>
        <v>6.3353335072615008E-2</v>
      </c>
      <c r="AC7" s="308">
        <f t="shared" ref="AC7:AC20" si="14">Y7+AA7</f>
        <v>19314</v>
      </c>
      <c r="AD7" s="230">
        <f t="shared" ref="AD7:AD20" si="15">AC7/$F7</f>
        <v>8.3981215757891997E-2</v>
      </c>
      <c r="AE7" s="308">
        <v>31363</v>
      </c>
      <c r="AF7" s="230">
        <f t="shared" ref="AF7:AF20" si="16">AE7/$F7</f>
        <v>0.13637272806330986</v>
      </c>
      <c r="AG7" s="308">
        <v>0</v>
      </c>
      <c r="AH7" s="230">
        <f t="shared" ref="AH7:AH20" si="17">AG7/$F7</f>
        <v>0</v>
      </c>
      <c r="AI7" s="308">
        <v>28378</v>
      </c>
      <c r="AJ7" s="230">
        <f t="shared" ref="AJ7:AJ20" si="18">AI7/$F7</f>
        <v>0.12339333855117836</v>
      </c>
      <c r="AK7" s="308">
        <v>13924</v>
      </c>
      <c r="AL7" s="230">
        <f t="shared" ref="AL7:AL20" si="19">AK7/$F7</f>
        <v>6.0544395164796941E-2</v>
      </c>
    </row>
    <row r="8" spans="1:38" s="73" customFormat="1" ht="14.25" customHeight="1">
      <c r="B8" s="553"/>
      <c r="C8" s="556" t="s">
        <v>731</v>
      </c>
      <c r="D8" s="170">
        <f t="shared" ref="D8:D41" si="20">D7+1</f>
        <v>46204</v>
      </c>
      <c r="E8" s="170" t="s">
        <v>112</v>
      </c>
      <c r="F8" s="321">
        <f t="shared" si="0"/>
        <v>219467</v>
      </c>
      <c r="G8" s="572"/>
      <c r="H8" s="570">
        <f>SUM(F8:F38)</f>
        <v>2771151</v>
      </c>
      <c r="I8" s="308">
        <v>44534</v>
      </c>
      <c r="J8" s="230">
        <f t="shared" si="2"/>
        <v>0.20291888985587811</v>
      </c>
      <c r="K8" s="308">
        <v>66568</v>
      </c>
      <c r="L8" s="230">
        <f t="shared" si="3"/>
        <v>0.3033166717547513</v>
      </c>
      <c r="M8" s="308">
        <f t="shared" si="4"/>
        <v>111102</v>
      </c>
      <c r="N8" s="230">
        <f t="shared" si="5"/>
        <v>0.50623556161062944</v>
      </c>
      <c r="O8" s="308">
        <v>8378</v>
      </c>
      <c r="P8" s="230">
        <f t="shared" si="6"/>
        <v>3.8174304109501657E-2</v>
      </c>
      <c r="Q8" s="308">
        <v>0</v>
      </c>
      <c r="R8" s="230">
        <f t="shared" si="7"/>
        <v>0</v>
      </c>
      <c r="S8" s="308">
        <f t="shared" si="8"/>
        <v>8378</v>
      </c>
      <c r="T8" s="230">
        <f t="shared" si="9"/>
        <v>3.8174304109501657E-2</v>
      </c>
      <c r="U8" s="308">
        <v>2321</v>
      </c>
      <c r="V8" s="230">
        <f t="shared" si="10"/>
        <v>1.057562184747593E-2</v>
      </c>
      <c r="W8" s="308">
        <v>10915</v>
      </c>
      <c r="X8" s="230">
        <f t="shared" si="11"/>
        <v>4.9734128593364832E-2</v>
      </c>
      <c r="Y8" s="308">
        <v>4053</v>
      </c>
      <c r="Z8" s="230">
        <f t="shared" si="12"/>
        <v>1.8467468913321822E-2</v>
      </c>
      <c r="AA8" s="308">
        <v>13127</v>
      </c>
      <c r="AB8" s="230">
        <f t="shared" si="13"/>
        <v>5.981309262896016E-2</v>
      </c>
      <c r="AC8" s="308">
        <f t="shared" si="14"/>
        <v>17180</v>
      </c>
      <c r="AD8" s="230">
        <f t="shared" si="15"/>
        <v>7.8280561542281982E-2</v>
      </c>
      <c r="AE8" s="308">
        <v>26085</v>
      </c>
      <c r="AF8" s="230">
        <f t="shared" si="16"/>
        <v>0.11885613782482105</v>
      </c>
      <c r="AG8" s="308">
        <v>0</v>
      </c>
      <c r="AH8" s="230">
        <f t="shared" si="17"/>
        <v>0</v>
      </c>
      <c r="AI8" s="308">
        <v>30626</v>
      </c>
      <c r="AJ8" s="230">
        <f t="shared" si="18"/>
        <v>0.13954717565738814</v>
      </c>
      <c r="AK8" s="308">
        <v>12860</v>
      </c>
      <c r="AL8" s="230">
        <f t="shared" si="19"/>
        <v>5.8596508814537041E-2</v>
      </c>
    </row>
    <row r="9" spans="1:38" s="73" customFormat="1" ht="14.25" customHeight="1">
      <c r="B9" s="553"/>
      <c r="C9" s="557"/>
      <c r="D9" s="170">
        <f t="shared" si="20"/>
        <v>46205</v>
      </c>
      <c r="E9" s="170" t="s">
        <v>113</v>
      </c>
      <c r="F9" s="321">
        <f t="shared" si="0"/>
        <v>206563</v>
      </c>
      <c r="G9" s="572"/>
      <c r="H9" s="571"/>
      <c r="I9" s="308">
        <v>43894</v>
      </c>
      <c r="J9" s="230">
        <f t="shared" si="2"/>
        <v>0.21249691377449012</v>
      </c>
      <c r="K9" s="308">
        <v>60386</v>
      </c>
      <c r="L9" s="230">
        <f t="shared" si="3"/>
        <v>0.29233696257316172</v>
      </c>
      <c r="M9" s="308">
        <f t="shared" si="4"/>
        <v>104280</v>
      </c>
      <c r="N9" s="230">
        <f t="shared" si="5"/>
        <v>0.50483387634765176</v>
      </c>
      <c r="O9" s="308">
        <v>8359</v>
      </c>
      <c r="P9" s="230">
        <f t="shared" si="6"/>
        <v>4.046707299952073E-2</v>
      </c>
      <c r="Q9" s="308">
        <v>0</v>
      </c>
      <c r="R9" s="230">
        <f t="shared" si="7"/>
        <v>0</v>
      </c>
      <c r="S9" s="308">
        <f t="shared" si="8"/>
        <v>8359</v>
      </c>
      <c r="T9" s="230">
        <f t="shared" si="9"/>
        <v>4.046707299952073E-2</v>
      </c>
      <c r="U9" s="308">
        <v>2282</v>
      </c>
      <c r="V9" s="230">
        <f t="shared" si="10"/>
        <v>1.1047477040902776E-2</v>
      </c>
      <c r="W9" s="308">
        <v>10882</v>
      </c>
      <c r="X9" s="230">
        <f t="shared" si="11"/>
        <v>5.2681264311614372E-2</v>
      </c>
      <c r="Y9" s="308">
        <v>4233</v>
      </c>
      <c r="Z9" s="230">
        <f t="shared" si="12"/>
        <v>2.0492537385688629E-2</v>
      </c>
      <c r="AA9" s="308">
        <v>10501</v>
      </c>
      <c r="AB9" s="230">
        <f t="shared" si="13"/>
        <v>5.0836790712760753E-2</v>
      </c>
      <c r="AC9" s="308">
        <f t="shared" si="14"/>
        <v>14734</v>
      </c>
      <c r="AD9" s="230">
        <f t="shared" si="15"/>
        <v>7.1329328098449385E-2</v>
      </c>
      <c r="AE9" s="308">
        <v>22577</v>
      </c>
      <c r="AF9" s="230">
        <f t="shared" si="16"/>
        <v>0.10929837386172742</v>
      </c>
      <c r="AG9" s="308">
        <v>0</v>
      </c>
      <c r="AH9" s="230">
        <f t="shared" si="17"/>
        <v>0</v>
      </c>
      <c r="AI9" s="308">
        <v>31626</v>
      </c>
      <c r="AJ9" s="230">
        <f t="shared" si="18"/>
        <v>0.15310583211901455</v>
      </c>
      <c r="AK9" s="308">
        <v>11823</v>
      </c>
      <c r="AL9" s="230">
        <f t="shared" si="19"/>
        <v>5.7236775221118981E-2</v>
      </c>
    </row>
    <row r="10" spans="1:38" s="73" customFormat="1" ht="14.25" customHeight="1">
      <c r="B10" s="553"/>
      <c r="C10" s="557"/>
      <c r="D10" s="170">
        <f t="shared" si="20"/>
        <v>46206</v>
      </c>
      <c r="E10" s="170" t="s">
        <v>114</v>
      </c>
      <c r="F10" s="321">
        <f t="shared" si="0"/>
        <v>176725</v>
      </c>
      <c r="G10" s="572"/>
      <c r="H10" s="571"/>
      <c r="I10" s="308">
        <v>33752</v>
      </c>
      <c r="J10" s="230">
        <f t="shared" si="2"/>
        <v>0.19098599519026738</v>
      </c>
      <c r="K10" s="308">
        <v>54067</v>
      </c>
      <c r="L10" s="230">
        <f t="shared" si="3"/>
        <v>0.30593860517753574</v>
      </c>
      <c r="M10" s="308">
        <f t="shared" si="4"/>
        <v>87819</v>
      </c>
      <c r="N10" s="230">
        <f t="shared" si="5"/>
        <v>0.49692460036780306</v>
      </c>
      <c r="O10" s="308">
        <v>6604</v>
      </c>
      <c r="P10" s="230">
        <f t="shared" si="6"/>
        <v>3.73687933229594E-2</v>
      </c>
      <c r="Q10" s="308">
        <v>0</v>
      </c>
      <c r="R10" s="230">
        <f t="shared" si="7"/>
        <v>0</v>
      </c>
      <c r="S10" s="308">
        <f t="shared" si="8"/>
        <v>6604</v>
      </c>
      <c r="T10" s="230">
        <f t="shared" si="9"/>
        <v>3.73687933229594E-2</v>
      </c>
      <c r="U10" s="308">
        <v>1746</v>
      </c>
      <c r="V10" s="230">
        <f t="shared" si="10"/>
        <v>9.8797566841137361E-3</v>
      </c>
      <c r="W10" s="308">
        <v>8346</v>
      </c>
      <c r="X10" s="230">
        <f t="shared" si="11"/>
        <v>4.7225915971141605E-2</v>
      </c>
      <c r="Y10" s="308">
        <v>5402</v>
      </c>
      <c r="Z10" s="230">
        <f t="shared" si="12"/>
        <v>3.0567265525534022E-2</v>
      </c>
      <c r="AA10" s="308">
        <v>11076</v>
      </c>
      <c r="AB10" s="230">
        <f t="shared" si="13"/>
        <v>6.267364549441222E-2</v>
      </c>
      <c r="AC10" s="308">
        <f t="shared" si="14"/>
        <v>16478</v>
      </c>
      <c r="AD10" s="230">
        <f t="shared" si="15"/>
        <v>9.3240911019946249E-2</v>
      </c>
      <c r="AE10" s="308">
        <v>16756</v>
      </c>
      <c r="AF10" s="230">
        <f t="shared" si="16"/>
        <v>9.4813976517187717E-2</v>
      </c>
      <c r="AG10" s="308">
        <v>0</v>
      </c>
      <c r="AH10" s="230">
        <f t="shared" si="17"/>
        <v>0</v>
      </c>
      <c r="AI10" s="308">
        <v>28501</v>
      </c>
      <c r="AJ10" s="230">
        <f t="shared" si="18"/>
        <v>0.16127316452114868</v>
      </c>
      <c r="AK10" s="308">
        <v>10475</v>
      </c>
      <c r="AL10" s="230">
        <f t="shared" si="19"/>
        <v>5.9272881595699531E-2</v>
      </c>
    </row>
    <row r="11" spans="1:38" s="73" customFormat="1" ht="14.25" customHeight="1">
      <c r="B11" s="553"/>
      <c r="C11" s="557"/>
      <c r="D11" s="170">
        <f t="shared" si="20"/>
        <v>46207</v>
      </c>
      <c r="E11" s="170" t="s">
        <v>115</v>
      </c>
      <c r="F11" s="321">
        <f t="shared" si="0"/>
        <v>192415</v>
      </c>
      <c r="G11" s="572"/>
      <c r="H11" s="571"/>
      <c r="I11" s="308">
        <v>32941</v>
      </c>
      <c r="J11" s="230">
        <f t="shared" si="2"/>
        <v>0.17119767169919184</v>
      </c>
      <c r="K11" s="308">
        <v>61237</v>
      </c>
      <c r="L11" s="230">
        <f t="shared" si="3"/>
        <v>0.31825481381389187</v>
      </c>
      <c r="M11" s="308">
        <f t="shared" si="4"/>
        <v>94178</v>
      </c>
      <c r="N11" s="230">
        <f t="shared" si="5"/>
        <v>0.48945248551308368</v>
      </c>
      <c r="O11" s="308">
        <v>6326</v>
      </c>
      <c r="P11" s="230">
        <f t="shared" si="6"/>
        <v>3.2876854715068994E-2</v>
      </c>
      <c r="Q11" s="308">
        <v>0</v>
      </c>
      <c r="R11" s="230">
        <f t="shared" si="7"/>
        <v>0</v>
      </c>
      <c r="S11" s="308">
        <f t="shared" si="8"/>
        <v>6326</v>
      </c>
      <c r="T11" s="230">
        <f t="shared" si="9"/>
        <v>3.2876854715068994E-2</v>
      </c>
      <c r="U11" s="308">
        <v>1959</v>
      </c>
      <c r="V11" s="230">
        <f t="shared" si="10"/>
        <v>1.0181118935633917E-2</v>
      </c>
      <c r="W11" s="308">
        <v>9903</v>
      </c>
      <c r="X11" s="230">
        <f t="shared" si="11"/>
        <v>5.1466881480134084E-2</v>
      </c>
      <c r="Y11" s="308">
        <v>4541</v>
      </c>
      <c r="Z11" s="230">
        <f t="shared" si="12"/>
        <v>2.3600031182600109E-2</v>
      </c>
      <c r="AA11" s="308">
        <v>13213</v>
      </c>
      <c r="AB11" s="230">
        <f t="shared" si="13"/>
        <v>6.8669282540342491E-2</v>
      </c>
      <c r="AC11" s="308">
        <f t="shared" si="14"/>
        <v>17754</v>
      </c>
      <c r="AD11" s="230">
        <f t="shared" si="15"/>
        <v>9.22693137229426E-2</v>
      </c>
      <c r="AE11" s="308">
        <v>20362</v>
      </c>
      <c r="AF11" s="230">
        <f t="shared" si="16"/>
        <v>0.10582335057038172</v>
      </c>
      <c r="AG11" s="308">
        <v>0</v>
      </c>
      <c r="AH11" s="230">
        <f t="shared" si="17"/>
        <v>0</v>
      </c>
      <c r="AI11" s="308">
        <v>30085</v>
      </c>
      <c r="AJ11" s="230">
        <f t="shared" si="18"/>
        <v>0.15635475404724164</v>
      </c>
      <c r="AK11" s="308">
        <v>11848</v>
      </c>
      <c r="AL11" s="230">
        <f t="shared" si="19"/>
        <v>6.1575241015513343E-2</v>
      </c>
    </row>
    <row r="12" spans="1:38" s="73" customFormat="1" ht="14.25" customHeight="1">
      <c r="B12" s="553"/>
      <c r="C12" s="557"/>
      <c r="D12" s="170">
        <f t="shared" si="20"/>
        <v>46208</v>
      </c>
      <c r="E12" s="170" t="s">
        <v>116</v>
      </c>
      <c r="F12" s="321">
        <f t="shared" si="0"/>
        <v>234759</v>
      </c>
      <c r="G12" s="572"/>
      <c r="H12" s="571"/>
      <c r="I12" s="308">
        <v>47177</v>
      </c>
      <c r="J12" s="230">
        <f t="shared" si="2"/>
        <v>0.20095928164628407</v>
      </c>
      <c r="K12" s="308">
        <v>68899</v>
      </c>
      <c r="L12" s="230">
        <f t="shared" si="3"/>
        <v>0.2934882155742698</v>
      </c>
      <c r="M12" s="308">
        <f t="shared" si="4"/>
        <v>116076</v>
      </c>
      <c r="N12" s="230">
        <f t="shared" si="5"/>
        <v>0.49444749722055387</v>
      </c>
      <c r="O12" s="308">
        <v>8773</v>
      </c>
      <c r="P12" s="230">
        <f t="shared" si="6"/>
        <v>3.7370239266652186E-2</v>
      </c>
      <c r="Q12" s="308">
        <v>0</v>
      </c>
      <c r="R12" s="230">
        <f t="shared" si="7"/>
        <v>0</v>
      </c>
      <c r="S12" s="308">
        <f t="shared" si="8"/>
        <v>8773</v>
      </c>
      <c r="T12" s="230">
        <f t="shared" si="9"/>
        <v>3.7370239266652186E-2</v>
      </c>
      <c r="U12" s="308">
        <v>2774</v>
      </c>
      <c r="V12" s="230">
        <f t="shared" si="10"/>
        <v>1.1816373387175784E-2</v>
      </c>
      <c r="W12" s="308">
        <v>10858</v>
      </c>
      <c r="X12" s="230">
        <f t="shared" si="11"/>
        <v>4.6251687901209322E-2</v>
      </c>
      <c r="Y12" s="308">
        <v>5167</v>
      </c>
      <c r="Z12" s="230">
        <f t="shared" si="12"/>
        <v>2.2009805800842566E-2</v>
      </c>
      <c r="AA12" s="308">
        <v>14280</v>
      </c>
      <c r="AB12" s="230">
        <f t="shared" si="13"/>
        <v>6.0828338849628766E-2</v>
      </c>
      <c r="AC12" s="308">
        <f t="shared" si="14"/>
        <v>19447</v>
      </c>
      <c r="AD12" s="230">
        <f t="shared" si="15"/>
        <v>8.2838144650471332E-2</v>
      </c>
      <c r="AE12" s="308">
        <v>30337</v>
      </c>
      <c r="AF12" s="230">
        <f t="shared" si="16"/>
        <v>0.12922614255470505</v>
      </c>
      <c r="AG12" s="308">
        <v>0</v>
      </c>
      <c r="AH12" s="230">
        <f t="shared" si="17"/>
        <v>0</v>
      </c>
      <c r="AI12" s="308">
        <v>33607</v>
      </c>
      <c r="AJ12" s="230">
        <f t="shared" si="18"/>
        <v>0.14315532098875869</v>
      </c>
      <c r="AK12" s="308">
        <v>12887</v>
      </c>
      <c r="AL12" s="230">
        <f t="shared" si="19"/>
        <v>5.4894594030473802E-2</v>
      </c>
    </row>
    <row r="13" spans="1:38" s="73" customFormat="1" ht="14.25" customHeight="1">
      <c r="B13" s="554"/>
      <c r="C13" s="557"/>
      <c r="D13" s="170">
        <f t="shared" si="20"/>
        <v>46209</v>
      </c>
      <c r="E13" s="170" t="s">
        <v>117</v>
      </c>
      <c r="F13" s="321">
        <f t="shared" si="0"/>
        <v>227126</v>
      </c>
      <c r="G13" s="572"/>
      <c r="H13" s="571"/>
      <c r="I13" s="308">
        <v>46467</v>
      </c>
      <c r="J13" s="230">
        <f t="shared" si="2"/>
        <v>0.20458688129056118</v>
      </c>
      <c r="K13" s="308">
        <v>68106</v>
      </c>
      <c r="L13" s="230">
        <f t="shared" si="3"/>
        <v>0.29985998960929178</v>
      </c>
      <c r="M13" s="308">
        <f t="shared" si="4"/>
        <v>114573</v>
      </c>
      <c r="N13" s="230">
        <f t="shared" si="5"/>
        <v>0.50444687089985296</v>
      </c>
      <c r="O13" s="308">
        <v>8688</v>
      </c>
      <c r="P13" s="230">
        <f t="shared" si="6"/>
        <v>3.8251895423685532E-2</v>
      </c>
      <c r="Q13" s="308">
        <v>0</v>
      </c>
      <c r="R13" s="230">
        <f t="shared" si="7"/>
        <v>0</v>
      </c>
      <c r="S13" s="308">
        <f t="shared" si="8"/>
        <v>8688</v>
      </c>
      <c r="T13" s="230">
        <f t="shared" si="9"/>
        <v>3.8251895423685532E-2</v>
      </c>
      <c r="U13" s="308">
        <v>2592</v>
      </c>
      <c r="V13" s="230">
        <f t="shared" si="10"/>
        <v>1.1412167695464192E-2</v>
      </c>
      <c r="W13" s="308">
        <v>11801</v>
      </c>
      <c r="X13" s="230">
        <f t="shared" si="11"/>
        <v>5.1957944048677825E-2</v>
      </c>
      <c r="Y13" s="308">
        <v>4292</v>
      </c>
      <c r="Z13" s="230">
        <f t="shared" si="12"/>
        <v>1.8896999903137465E-2</v>
      </c>
      <c r="AA13" s="308">
        <v>13922</v>
      </c>
      <c r="AB13" s="230">
        <f t="shared" si="13"/>
        <v>6.1296372938369009E-2</v>
      </c>
      <c r="AC13" s="308">
        <f t="shared" si="14"/>
        <v>18214</v>
      </c>
      <c r="AD13" s="230">
        <f t="shared" si="15"/>
        <v>8.0193372841506474E-2</v>
      </c>
      <c r="AE13" s="308">
        <v>26496</v>
      </c>
      <c r="AF13" s="230">
        <f t="shared" si="16"/>
        <v>0.11665771422030062</v>
      </c>
      <c r="AG13" s="308">
        <v>0</v>
      </c>
      <c r="AH13" s="230">
        <f t="shared" si="17"/>
        <v>0</v>
      </c>
      <c r="AI13" s="308">
        <v>31068</v>
      </c>
      <c r="AJ13" s="230">
        <f t="shared" si="18"/>
        <v>0.13678751001646663</v>
      </c>
      <c r="AK13" s="308">
        <v>13694</v>
      </c>
      <c r="AL13" s="230">
        <f t="shared" si="19"/>
        <v>6.0292524854045772E-2</v>
      </c>
    </row>
    <row r="14" spans="1:38" s="73" customFormat="1" ht="14.25" customHeight="1">
      <c r="B14" s="552">
        <f>D15+7</f>
        <v>46218</v>
      </c>
      <c r="C14" s="557"/>
      <c r="D14" s="170">
        <f t="shared" si="20"/>
        <v>46210</v>
      </c>
      <c r="E14" s="170" t="s">
        <v>118</v>
      </c>
      <c r="F14" s="321">
        <f t="shared" si="0"/>
        <v>249215</v>
      </c>
      <c r="G14" s="572">
        <f>SUM(F14:F20)</f>
        <v>1514096</v>
      </c>
      <c r="H14" s="571"/>
      <c r="I14" s="308">
        <v>46233</v>
      </c>
      <c r="J14" s="230">
        <f t="shared" si="2"/>
        <v>0.18551451557891779</v>
      </c>
      <c r="K14" s="308">
        <v>66245</v>
      </c>
      <c r="L14" s="230">
        <f t="shared" si="3"/>
        <v>0.2658146580262023</v>
      </c>
      <c r="M14" s="308">
        <f t="shared" si="4"/>
        <v>112478</v>
      </c>
      <c r="N14" s="230">
        <f t="shared" si="5"/>
        <v>0.45132917360512009</v>
      </c>
      <c r="O14" s="308">
        <v>8659</v>
      </c>
      <c r="P14" s="230">
        <f t="shared" si="6"/>
        <v>3.4745099612784144E-2</v>
      </c>
      <c r="Q14" s="308">
        <v>0</v>
      </c>
      <c r="R14" s="230">
        <f t="shared" si="7"/>
        <v>0</v>
      </c>
      <c r="S14" s="308">
        <f t="shared" si="8"/>
        <v>8659</v>
      </c>
      <c r="T14" s="230">
        <f t="shared" si="9"/>
        <v>3.4745099612784144E-2</v>
      </c>
      <c r="U14" s="308">
        <v>11796</v>
      </c>
      <c r="V14" s="230">
        <f t="shared" si="10"/>
        <v>4.7332624440743938E-2</v>
      </c>
      <c r="W14" s="308">
        <v>10943</v>
      </c>
      <c r="X14" s="230">
        <f t="shared" si="11"/>
        <v>4.3909877013823408E-2</v>
      </c>
      <c r="Y14" s="308">
        <v>13734</v>
      </c>
      <c r="Z14" s="230">
        <f t="shared" si="12"/>
        <v>5.5109042393114378E-2</v>
      </c>
      <c r="AA14" s="308">
        <v>13478</v>
      </c>
      <c r="AB14" s="230">
        <f t="shared" si="13"/>
        <v>5.4081816905081959E-2</v>
      </c>
      <c r="AC14" s="308">
        <f t="shared" si="14"/>
        <v>27212</v>
      </c>
      <c r="AD14" s="230">
        <f t="shared" si="15"/>
        <v>0.10919085929819633</v>
      </c>
      <c r="AE14" s="308">
        <v>24810</v>
      </c>
      <c r="AF14" s="230">
        <f t="shared" si="16"/>
        <v>9.9552595148767131E-2</v>
      </c>
      <c r="AG14" s="308">
        <v>0</v>
      </c>
      <c r="AH14" s="230">
        <f t="shared" si="17"/>
        <v>0</v>
      </c>
      <c r="AI14" s="308">
        <v>40029</v>
      </c>
      <c r="AJ14" s="230">
        <f t="shared" si="18"/>
        <v>0.16062034789238208</v>
      </c>
      <c r="AK14" s="308">
        <v>13288</v>
      </c>
      <c r="AL14" s="230">
        <f t="shared" si="19"/>
        <v>5.3319422988182895E-2</v>
      </c>
    </row>
    <row r="15" spans="1:38" s="73" customFormat="1" ht="14.25" customHeight="1">
      <c r="B15" s="553"/>
      <c r="C15" s="557"/>
      <c r="D15" s="170">
        <f t="shared" si="20"/>
        <v>46211</v>
      </c>
      <c r="E15" s="170" t="s">
        <v>112</v>
      </c>
      <c r="F15" s="321">
        <f t="shared" si="0"/>
        <v>230160</v>
      </c>
      <c r="G15" s="572"/>
      <c r="H15" s="571"/>
      <c r="I15" s="308">
        <v>44805</v>
      </c>
      <c r="J15" s="230">
        <f t="shared" si="2"/>
        <v>0.19466892596454641</v>
      </c>
      <c r="K15" s="308">
        <v>61375</v>
      </c>
      <c r="L15" s="230">
        <f t="shared" si="3"/>
        <v>0.26666232186305178</v>
      </c>
      <c r="M15" s="308">
        <f t="shared" si="4"/>
        <v>106180</v>
      </c>
      <c r="N15" s="230">
        <f t="shared" si="5"/>
        <v>0.46133124782759821</v>
      </c>
      <c r="O15" s="308">
        <v>8552</v>
      </c>
      <c r="P15" s="230">
        <f t="shared" si="6"/>
        <v>3.715676051442475E-2</v>
      </c>
      <c r="Q15" s="308">
        <v>0</v>
      </c>
      <c r="R15" s="230">
        <f t="shared" si="7"/>
        <v>0</v>
      </c>
      <c r="S15" s="308">
        <f t="shared" si="8"/>
        <v>8552</v>
      </c>
      <c r="T15" s="230">
        <f t="shared" si="9"/>
        <v>3.715676051442475E-2</v>
      </c>
      <c r="U15" s="308">
        <v>7808</v>
      </c>
      <c r="V15" s="230">
        <f t="shared" si="10"/>
        <v>3.3924226624956554E-2</v>
      </c>
      <c r="W15" s="308">
        <v>10614</v>
      </c>
      <c r="X15" s="230">
        <f t="shared" si="11"/>
        <v>4.6115745568300316E-2</v>
      </c>
      <c r="Y15" s="308">
        <v>10532</v>
      </c>
      <c r="Z15" s="230">
        <f t="shared" si="12"/>
        <v>4.5759471671880429E-2</v>
      </c>
      <c r="AA15" s="308">
        <v>13276</v>
      </c>
      <c r="AB15" s="230">
        <f t="shared" si="13"/>
        <v>5.7681612791101844E-2</v>
      </c>
      <c r="AC15" s="308">
        <f t="shared" si="14"/>
        <v>23808</v>
      </c>
      <c r="AD15" s="230">
        <f t="shared" si="15"/>
        <v>0.10344108446298228</v>
      </c>
      <c r="AE15" s="308">
        <v>23380</v>
      </c>
      <c r="AF15" s="230">
        <f t="shared" si="16"/>
        <v>0.10158150851581509</v>
      </c>
      <c r="AG15" s="308">
        <v>0</v>
      </c>
      <c r="AH15" s="230">
        <f t="shared" si="17"/>
        <v>0</v>
      </c>
      <c r="AI15" s="308">
        <v>36686</v>
      </c>
      <c r="AJ15" s="230">
        <f t="shared" si="18"/>
        <v>0.15939346541536323</v>
      </c>
      <c r="AK15" s="308">
        <v>13132</v>
      </c>
      <c r="AL15" s="230">
        <f t="shared" si="19"/>
        <v>5.7055961070559609E-2</v>
      </c>
    </row>
    <row r="16" spans="1:38" s="73" customFormat="1" ht="14.25" customHeight="1">
      <c r="B16" s="553"/>
      <c r="C16" s="557"/>
      <c r="D16" s="170">
        <f t="shared" si="20"/>
        <v>46212</v>
      </c>
      <c r="E16" s="170" t="s">
        <v>113</v>
      </c>
      <c r="F16" s="321">
        <f t="shared" si="0"/>
        <v>211372</v>
      </c>
      <c r="G16" s="572"/>
      <c r="H16" s="571"/>
      <c r="I16" s="308">
        <v>40163</v>
      </c>
      <c r="J16" s="230">
        <f t="shared" si="2"/>
        <v>0.19001097590977045</v>
      </c>
      <c r="K16" s="308">
        <v>53139</v>
      </c>
      <c r="L16" s="230">
        <f t="shared" si="3"/>
        <v>0.25140037469485077</v>
      </c>
      <c r="M16" s="308">
        <f t="shared" si="4"/>
        <v>93302</v>
      </c>
      <c r="N16" s="230">
        <f t="shared" si="5"/>
        <v>0.44141135060462122</v>
      </c>
      <c r="O16" s="308">
        <v>7949</v>
      </c>
      <c r="P16" s="230">
        <f t="shared" si="6"/>
        <v>3.7606683950570555E-2</v>
      </c>
      <c r="Q16" s="308">
        <v>0</v>
      </c>
      <c r="R16" s="230">
        <f t="shared" si="7"/>
        <v>0</v>
      </c>
      <c r="S16" s="308">
        <f t="shared" si="8"/>
        <v>7949</v>
      </c>
      <c r="T16" s="230">
        <f t="shared" si="9"/>
        <v>3.7606683950570555E-2</v>
      </c>
      <c r="U16" s="308">
        <v>7232</v>
      </c>
      <c r="V16" s="230">
        <f t="shared" si="10"/>
        <v>3.4214560112029974E-2</v>
      </c>
      <c r="W16" s="308">
        <v>10237</v>
      </c>
      <c r="X16" s="230">
        <f t="shared" si="11"/>
        <v>4.8431201862119862E-2</v>
      </c>
      <c r="Y16" s="308">
        <v>9723</v>
      </c>
      <c r="Z16" s="230">
        <f t="shared" si="12"/>
        <v>4.5999470128493841E-2</v>
      </c>
      <c r="AA16" s="308">
        <v>12306</v>
      </c>
      <c r="AB16" s="230">
        <f t="shared" si="13"/>
        <v>5.8219631739303217E-2</v>
      </c>
      <c r="AC16" s="308">
        <f t="shared" si="14"/>
        <v>22029</v>
      </c>
      <c r="AD16" s="230">
        <f t="shared" si="15"/>
        <v>0.10421910186779706</v>
      </c>
      <c r="AE16" s="308">
        <v>23273</v>
      </c>
      <c r="AF16" s="230">
        <f t="shared" si="16"/>
        <v>0.11010446038264292</v>
      </c>
      <c r="AG16" s="308">
        <v>0</v>
      </c>
      <c r="AH16" s="230">
        <f t="shared" si="17"/>
        <v>0</v>
      </c>
      <c r="AI16" s="308">
        <v>33866</v>
      </c>
      <c r="AJ16" s="230">
        <f t="shared" si="18"/>
        <v>0.16021989667505629</v>
      </c>
      <c r="AK16" s="308">
        <v>13484</v>
      </c>
      <c r="AL16" s="230">
        <f t="shared" si="19"/>
        <v>6.3792744545162081E-2</v>
      </c>
    </row>
    <row r="17" spans="2:38" s="73" customFormat="1" ht="14.25" customHeight="1">
      <c r="B17" s="553"/>
      <c r="C17" s="557"/>
      <c r="D17" s="170">
        <f t="shared" si="20"/>
        <v>46213</v>
      </c>
      <c r="E17" s="170" t="s">
        <v>114</v>
      </c>
      <c r="F17" s="321">
        <f t="shared" si="0"/>
        <v>168721</v>
      </c>
      <c r="G17" s="572"/>
      <c r="H17" s="571"/>
      <c r="I17" s="308">
        <v>30451</v>
      </c>
      <c r="J17" s="230">
        <f t="shared" si="2"/>
        <v>0.18048138643085329</v>
      </c>
      <c r="K17" s="308">
        <v>46500</v>
      </c>
      <c r="L17" s="230">
        <f t="shared" si="3"/>
        <v>0.27560291842746309</v>
      </c>
      <c r="M17" s="308">
        <f t="shared" si="4"/>
        <v>76951</v>
      </c>
      <c r="N17" s="230">
        <f t="shared" si="5"/>
        <v>0.45608430485831641</v>
      </c>
      <c r="O17" s="308">
        <v>6208</v>
      </c>
      <c r="P17" s="230">
        <f t="shared" si="6"/>
        <v>3.6794471346186901E-2</v>
      </c>
      <c r="Q17" s="308">
        <v>0</v>
      </c>
      <c r="R17" s="230">
        <f t="shared" si="7"/>
        <v>0</v>
      </c>
      <c r="S17" s="308">
        <f t="shared" si="8"/>
        <v>6208</v>
      </c>
      <c r="T17" s="230">
        <f t="shared" si="9"/>
        <v>3.6794471346186901E-2</v>
      </c>
      <c r="U17" s="308">
        <v>6217</v>
      </c>
      <c r="V17" s="230">
        <f t="shared" si="10"/>
        <v>3.6847813846527702E-2</v>
      </c>
      <c r="W17" s="308">
        <v>7579</v>
      </c>
      <c r="X17" s="230">
        <f t="shared" si="11"/>
        <v>4.4920312231435326E-2</v>
      </c>
      <c r="Y17" s="308">
        <v>7492</v>
      </c>
      <c r="Z17" s="230">
        <f t="shared" si="12"/>
        <v>4.4404668061474271E-2</v>
      </c>
      <c r="AA17" s="308">
        <v>10740</v>
      </c>
      <c r="AB17" s="230">
        <f t="shared" si="13"/>
        <v>6.3655383740020513E-2</v>
      </c>
      <c r="AC17" s="308">
        <f t="shared" si="14"/>
        <v>18232</v>
      </c>
      <c r="AD17" s="230">
        <f t="shared" si="15"/>
        <v>0.10806005180149478</v>
      </c>
      <c r="AE17" s="308">
        <v>18753</v>
      </c>
      <c r="AF17" s="230">
        <f t="shared" si="16"/>
        <v>0.11114798987677882</v>
      </c>
      <c r="AG17" s="308">
        <v>0</v>
      </c>
      <c r="AH17" s="230">
        <f t="shared" si="17"/>
        <v>0</v>
      </c>
      <c r="AI17" s="308">
        <v>24332</v>
      </c>
      <c r="AJ17" s="230">
        <f t="shared" si="18"/>
        <v>0.1442144131435921</v>
      </c>
      <c r="AK17" s="308">
        <v>10449</v>
      </c>
      <c r="AL17" s="230">
        <f t="shared" si="19"/>
        <v>6.1930642895667999E-2</v>
      </c>
    </row>
    <row r="18" spans="2:38" s="73" customFormat="1" ht="14.25" customHeight="1">
      <c r="B18" s="553"/>
      <c r="C18" s="557"/>
      <c r="D18" s="170">
        <f t="shared" si="20"/>
        <v>46214</v>
      </c>
      <c r="E18" s="170" t="s">
        <v>115</v>
      </c>
      <c r="F18" s="321">
        <f t="shared" si="0"/>
        <v>191243</v>
      </c>
      <c r="G18" s="572"/>
      <c r="H18" s="571"/>
      <c r="I18" s="308">
        <v>30361</v>
      </c>
      <c r="J18" s="230">
        <f t="shared" si="2"/>
        <v>0.15875613747954173</v>
      </c>
      <c r="K18" s="308">
        <v>56798</v>
      </c>
      <c r="L18" s="230">
        <f t="shared" si="3"/>
        <v>0.29699387690006956</v>
      </c>
      <c r="M18" s="308">
        <f t="shared" si="4"/>
        <v>87159</v>
      </c>
      <c r="N18" s="230">
        <f t="shared" si="5"/>
        <v>0.45575001437961127</v>
      </c>
      <c r="O18" s="308">
        <v>6270</v>
      </c>
      <c r="P18" s="230">
        <f t="shared" si="6"/>
        <v>3.278551371814916E-2</v>
      </c>
      <c r="Q18" s="308">
        <v>0</v>
      </c>
      <c r="R18" s="230">
        <f t="shared" si="7"/>
        <v>0</v>
      </c>
      <c r="S18" s="308">
        <f t="shared" si="8"/>
        <v>6270</v>
      </c>
      <c r="T18" s="230">
        <f t="shared" si="9"/>
        <v>3.278551371814916E-2</v>
      </c>
      <c r="U18" s="308">
        <v>7631</v>
      </c>
      <c r="V18" s="230">
        <f t="shared" si="10"/>
        <v>3.9902114064305619E-2</v>
      </c>
      <c r="W18" s="308">
        <v>8687</v>
      </c>
      <c r="X18" s="230">
        <f t="shared" si="11"/>
        <v>4.5423884795783374E-2</v>
      </c>
      <c r="Y18" s="308">
        <v>8876</v>
      </c>
      <c r="Z18" s="230">
        <f t="shared" si="12"/>
        <v>4.6412156261928544E-2</v>
      </c>
      <c r="AA18" s="308">
        <v>12336</v>
      </c>
      <c r="AB18" s="230">
        <f t="shared" si="13"/>
        <v>6.4504321726808297E-2</v>
      </c>
      <c r="AC18" s="308">
        <f t="shared" si="14"/>
        <v>21212</v>
      </c>
      <c r="AD18" s="230">
        <f t="shared" si="15"/>
        <v>0.11091647798873684</v>
      </c>
      <c r="AE18" s="308">
        <v>20296</v>
      </c>
      <c r="AF18" s="230">
        <f t="shared" si="16"/>
        <v>0.1061267601951444</v>
      </c>
      <c r="AG18" s="308">
        <v>0</v>
      </c>
      <c r="AH18" s="230">
        <f t="shared" si="17"/>
        <v>0</v>
      </c>
      <c r="AI18" s="308">
        <v>28312</v>
      </c>
      <c r="AJ18" s="230">
        <f t="shared" si="18"/>
        <v>0.1480420198386346</v>
      </c>
      <c r="AK18" s="308">
        <v>11676</v>
      </c>
      <c r="AL18" s="230">
        <f t="shared" si="19"/>
        <v>6.1053215019634705E-2</v>
      </c>
    </row>
    <row r="19" spans="2:38" s="73" customFormat="1" ht="14.25" customHeight="1">
      <c r="B19" s="553"/>
      <c r="C19" s="557"/>
      <c r="D19" s="170">
        <f t="shared" si="20"/>
        <v>46215</v>
      </c>
      <c r="E19" s="170" t="s">
        <v>116</v>
      </c>
      <c r="F19" s="321">
        <f t="shared" si="0"/>
        <v>237620</v>
      </c>
      <c r="G19" s="572"/>
      <c r="H19" s="571"/>
      <c r="I19" s="308">
        <v>43521</v>
      </c>
      <c r="J19" s="230">
        <f t="shared" si="2"/>
        <v>0.18315377493476981</v>
      </c>
      <c r="K19" s="308">
        <v>62461</v>
      </c>
      <c r="L19" s="230">
        <f t="shared" si="3"/>
        <v>0.26286087029711303</v>
      </c>
      <c r="M19" s="308">
        <f t="shared" si="4"/>
        <v>105982</v>
      </c>
      <c r="N19" s="230">
        <f t="shared" si="5"/>
        <v>0.44601464523188283</v>
      </c>
      <c r="O19" s="308">
        <v>8389</v>
      </c>
      <c r="P19" s="230">
        <f t="shared" si="6"/>
        <v>3.5304267317565863E-2</v>
      </c>
      <c r="Q19" s="308">
        <v>0</v>
      </c>
      <c r="R19" s="230">
        <f t="shared" si="7"/>
        <v>0</v>
      </c>
      <c r="S19" s="308">
        <f t="shared" si="8"/>
        <v>8389</v>
      </c>
      <c r="T19" s="230">
        <f t="shared" si="9"/>
        <v>3.5304267317565863E-2</v>
      </c>
      <c r="U19" s="308">
        <v>8939</v>
      </c>
      <c r="V19" s="230">
        <f t="shared" si="10"/>
        <v>3.76188872990489E-2</v>
      </c>
      <c r="W19" s="308">
        <v>9563</v>
      </c>
      <c r="X19" s="230">
        <f t="shared" si="11"/>
        <v>4.024492887804057E-2</v>
      </c>
      <c r="Y19" s="308">
        <v>11598</v>
      </c>
      <c r="Z19" s="230">
        <f t="shared" si="12"/>
        <v>4.880902280952782E-2</v>
      </c>
      <c r="AA19" s="308">
        <v>15117</v>
      </c>
      <c r="AB19" s="230">
        <f t="shared" si="13"/>
        <v>6.3618382291052947E-2</v>
      </c>
      <c r="AC19" s="308">
        <f t="shared" si="14"/>
        <v>26715</v>
      </c>
      <c r="AD19" s="230">
        <f t="shared" si="15"/>
        <v>0.11242740510058076</v>
      </c>
      <c r="AE19" s="308">
        <v>31411</v>
      </c>
      <c r="AF19" s="230">
        <f t="shared" si="16"/>
        <v>0.1321900513424796</v>
      </c>
      <c r="AG19" s="308">
        <v>0</v>
      </c>
      <c r="AH19" s="230">
        <f t="shared" si="17"/>
        <v>0</v>
      </c>
      <c r="AI19" s="308">
        <v>33106</v>
      </c>
      <c r="AJ19" s="230">
        <f t="shared" si="18"/>
        <v>0.13932328928541368</v>
      </c>
      <c r="AK19" s="308">
        <v>13515</v>
      </c>
      <c r="AL19" s="230">
        <f t="shared" si="19"/>
        <v>5.6876525544987795E-2</v>
      </c>
    </row>
    <row r="20" spans="2:38" s="73" customFormat="1" ht="14.25" customHeight="1">
      <c r="B20" s="554"/>
      <c r="C20" s="557"/>
      <c r="D20" s="170">
        <f t="shared" si="20"/>
        <v>46216</v>
      </c>
      <c r="E20" s="170" t="s">
        <v>117</v>
      </c>
      <c r="F20" s="321">
        <f t="shared" si="0"/>
        <v>225765</v>
      </c>
      <c r="G20" s="572"/>
      <c r="H20" s="571"/>
      <c r="I20" s="308">
        <v>42515</v>
      </c>
      <c r="J20" s="230">
        <f t="shared" si="2"/>
        <v>0.18831528359134497</v>
      </c>
      <c r="K20" s="308">
        <v>60543</v>
      </c>
      <c r="L20" s="230">
        <f t="shared" si="3"/>
        <v>0.26816822802471596</v>
      </c>
      <c r="M20" s="308">
        <f t="shared" si="4"/>
        <v>103058</v>
      </c>
      <c r="N20" s="230">
        <f t="shared" si="5"/>
        <v>0.45648351161606093</v>
      </c>
      <c r="O20" s="308">
        <v>8327</v>
      </c>
      <c r="P20" s="230">
        <f t="shared" si="6"/>
        <v>3.6883485039753729E-2</v>
      </c>
      <c r="Q20" s="308">
        <v>0</v>
      </c>
      <c r="R20" s="230">
        <f t="shared" si="7"/>
        <v>0</v>
      </c>
      <c r="S20" s="308">
        <f t="shared" si="8"/>
        <v>8327</v>
      </c>
      <c r="T20" s="230">
        <f t="shared" si="9"/>
        <v>3.6883485039753729E-2</v>
      </c>
      <c r="U20" s="308">
        <v>7394</v>
      </c>
      <c r="V20" s="230">
        <f t="shared" si="10"/>
        <v>3.2750869266715388E-2</v>
      </c>
      <c r="W20" s="308">
        <v>10474</v>
      </c>
      <c r="X20" s="230">
        <f t="shared" si="11"/>
        <v>4.6393373640732621E-2</v>
      </c>
      <c r="Y20" s="308">
        <v>9547</v>
      </c>
      <c r="Z20" s="230">
        <f t="shared" si="12"/>
        <v>4.2287334174916397E-2</v>
      </c>
      <c r="AA20" s="308">
        <v>15380</v>
      </c>
      <c r="AB20" s="230">
        <f t="shared" si="13"/>
        <v>6.8123934179345785E-2</v>
      </c>
      <c r="AC20" s="308">
        <f t="shared" si="14"/>
        <v>24927</v>
      </c>
      <c r="AD20" s="230">
        <f t="shared" si="15"/>
        <v>0.11041126835426218</v>
      </c>
      <c r="AE20" s="308">
        <v>27381</v>
      </c>
      <c r="AF20" s="230">
        <f t="shared" si="16"/>
        <v>0.12128097800810578</v>
      </c>
      <c r="AG20" s="308">
        <v>0</v>
      </c>
      <c r="AH20" s="230">
        <f t="shared" si="17"/>
        <v>0</v>
      </c>
      <c r="AI20" s="308">
        <v>29527</v>
      </c>
      <c r="AJ20" s="230">
        <f t="shared" si="18"/>
        <v>0.13078643722454764</v>
      </c>
      <c r="AK20" s="308">
        <v>14677</v>
      </c>
      <c r="AL20" s="230">
        <f t="shared" si="19"/>
        <v>6.5010076849821713E-2</v>
      </c>
    </row>
    <row r="21" spans="2:38" ht="14.25" customHeight="1">
      <c r="B21" s="552">
        <f>D22+7</f>
        <v>46225</v>
      </c>
      <c r="C21" s="557"/>
      <c r="D21" s="170">
        <f t="shared" si="20"/>
        <v>46217</v>
      </c>
      <c r="E21" s="170" t="s">
        <v>118</v>
      </c>
      <c r="F21" s="321">
        <f t="shared" si="0"/>
        <v>0</v>
      </c>
      <c r="G21" s="572">
        <f t="shared" ref="G21" si="21">SUM(F21:F27)</f>
        <v>0</v>
      </c>
      <c r="H21" s="571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</row>
    <row r="22" spans="2:38" ht="14.25" customHeight="1">
      <c r="B22" s="553"/>
      <c r="C22" s="557"/>
      <c r="D22" s="170">
        <f t="shared" si="20"/>
        <v>46218</v>
      </c>
      <c r="E22" s="170" t="s">
        <v>112</v>
      </c>
      <c r="F22" s="321">
        <f t="shared" si="0"/>
        <v>0</v>
      </c>
      <c r="G22" s="572"/>
      <c r="H22" s="571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</row>
    <row r="23" spans="2:38" ht="14.25" customHeight="1">
      <c r="B23" s="553"/>
      <c r="C23" s="557"/>
      <c r="D23" s="170">
        <f t="shared" si="20"/>
        <v>46219</v>
      </c>
      <c r="E23" s="170" t="s">
        <v>113</v>
      </c>
      <c r="F23" s="321">
        <f t="shared" si="0"/>
        <v>0</v>
      </c>
      <c r="G23" s="572"/>
      <c r="H23" s="571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</row>
    <row r="24" spans="2:38" ht="14.25" customHeight="1">
      <c r="B24" s="553"/>
      <c r="C24" s="557"/>
      <c r="D24" s="170">
        <f t="shared" si="20"/>
        <v>46220</v>
      </c>
      <c r="E24" s="170" t="s">
        <v>114</v>
      </c>
      <c r="F24" s="321">
        <f t="shared" si="0"/>
        <v>0</v>
      </c>
      <c r="G24" s="572"/>
      <c r="H24" s="571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</row>
    <row r="25" spans="2:38" ht="14.25" customHeight="1">
      <c r="B25" s="553"/>
      <c r="C25" s="557"/>
      <c r="D25" s="170">
        <f t="shared" si="20"/>
        <v>46221</v>
      </c>
      <c r="E25" s="170" t="s">
        <v>115</v>
      </c>
      <c r="F25" s="321">
        <f t="shared" si="0"/>
        <v>0</v>
      </c>
      <c r="G25" s="572"/>
      <c r="H25" s="571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</row>
    <row r="26" spans="2:38" ht="14.25" customHeight="1">
      <c r="B26" s="553"/>
      <c r="C26" s="557"/>
      <c r="D26" s="170">
        <f t="shared" si="20"/>
        <v>46222</v>
      </c>
      <c r="E26" s="170" t="s">
        <v>116</v>
      </c>
      <c r="F26" s="321">
        <f t="shared" si="0"/>
        <v>0</v>
      </c>
      <c r="G26" s="572"/>
      <c r="H26" s="571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</row>
    <row r="27" spans="2:38" ht="14.25" customHeight="1">
      <c r="B27" s="554"/>
      <c r="C27" s="557"/>
      <c r="D27" s="170">
        <f t="shared" si="20"/>
        <v>46223</v>
      </c>
      <c r="E27" s="170" t="s">
        <v>117</v>
      </c>
      <c r="F27" s="321">
        <f t="shared" si="0"/>
        <v>0</v>
      </c>
      <c r="G27" s="572"/>
      <c r="H27" s="571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</row>
    <row r="28" spans="2:38" ht="14.25" customHeight="1">
      <c r="B28" s="552">
        <f>D29+7</f>
        <v>46232</v>
      </c>
      <c r="C28" s="557"/>
      <c r="D28" s="170">
        <f t="shared" si="20"/>
        <v>46224</v>
      </c>
      <c r="E28" s="170" t="s">
        <v>118</v>
      </c>
      <c r="F28" s="321">
        <f t="shared" si="0"/>
        <v>0</v>
      </c>
      <c r="G28" s="572">
        <f t="shared" ref="G28" si="22">SUM(F28:F34)</f>
        <v>0</v>
      </c>
      <c r="H28" s="571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</row>
    <row r="29" spans="2:38" ht="14.25" customHeight="1">
      <c r="B29" s="553"/>
      <c r="C29" s="557"/>
      <c r="D29" s="170">
        <f t="shared" si="20"/>
        <v>46225</v>
      </c>
      <c r="E29" s="170" t="s">
        <v>112</v>
      </c>
      <c r="F29" s="321">
        <f t="shared" si="0"/>
        <v>0</v>
      </c>
      <c r="G29" s="572"/>
      <c r="H29" s="571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</row>
    <row r="30" spans="2:38" ht="14.25" customHeight="1">
      <c r="B30" s="553"/>
      <c r="C30" s="557"/>
      <c r="D30" s="170">
        <f t="shared" si="20"/>
        <v>46226</v>
      </c>
      <c r="E30" s="170" t="s">
        <v>113</v>
      </c>
      <c r="F30" s="321">
        <f t="shared" si="0"/>
        <v>0</v>
      </c>
      <c r="G30" s="572"/>
      <c r="H30" s="571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</row>
    <row r="31" spans="2:38" ht="14.25" customHeight="1">
      <c r="B31" s="553"/>
      <c r="C31" s="557"/>
      <c r="D31" s="170">
        <f t="shared" si="20"/>
        <v>46227</v>
      </c>
      <c r="E31" s="170" t="s">
        <v>114</v>
      </c>
      <c r="F31" s="321">
        <f t="shared" si="0"/>
        <v>0</v>
      </c>
      <c r="G31" s="572"/>
      <c r="H31" s="571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</row>
    <row r="32" spans="2:38" ht="14.25" customHeight="1">
      <c r="B32" s="553"/>
      <c r="C32" s="557"/>
      <c r="D32" s="170">
        <f t="shared" si="20"/>
        <v>46228</v>
      </c>
      <c r="E32" s="170" t="s">
        <v>115</v>
      </c>
      <c r="F32" s="321">
        <f t="shared" si="0"/>
        <v>0</v>
      </c>
      <c r="G32" s="572"/>
      <c r="H32" s="571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</row>
    <row r="33" spans="2:38" ht="14.25" customHeight="1">
      <c r="B33" s="553"/>
      <c r="C33" s="557"/>
      <c r="D33" s="170">
        <f t="shared" si="20"/>
        <v>46229</v>
      </c>
      <c r="E33" s="170" t="s">
        <v>116</v>
      </c>
      <c r="F33" s="321">
        <f t="shared" si="0"/>
        <v>0</v>
      </c>
      <c r="G33" s="572"/>
      <c r="H33" s="571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</row>
    <row r="34" spans="2:38" ht="14.25" customHeight="1">
      <c r="B34" s="554"/>
      <c r="C34" s="557"/>
      <c r="D34" s="170">
        <f t="shared" si="20"/>
        <v>46230</v>
      </c>
      <c r="E34" s="170" t="s">
        <v>117</v>
      </c>
      <c r="F34" s="321">
        <f t="shared" si="0"/>
        <v>0</v>
      </c>
      <c r="G34" s="572"/>
      <c r="H34" s="571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</row>
    <row r="35" spans="2:38" ht="14.25" customHeight="1">
      <c r="B35" s="552">
        <f>D36+7</f>
        <v>46239</v>
      </c>
      <c r="C35" s="557"/>
      <c r="D35" s="170">
        <f t="shared" si="20"/>
        <v>46231</v>
      </c>
      <c r="E35" s="170" t="s">
        <v>118</v>
      </c>
      <c r="F35" s="321">
        <f t="shared" si="0"/>
        <v>0</v>
      </c>
      <c r="G35" s="572">
        <f t="shared" ref="G35" si="23">SUM(F35:F41)</f>
        <v>0</v>
      </c>
      <c r="H35" s="571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</row>
    <row r="36" spans="2:38" ht="14.25" customHeight="1">
      <c r="B36" s="553"/>
      <c r="C36" s="557"/>
      <c r="D36" s="170">
        <f t="shared" si="20"/>
        <v>46232</v>
      </c>
      <c r="E36" s="170" t="s">
        <v>112</v>
      </c>
      <c r="F36" s="321">
        <f t="shared" ref="F36:F41" si="24">SUM(M36,S36,U36,W36,AC36,AE36,AG36,AI36,AK36)</f>
        <v>0</v>
      </c>
      <c r="G36" s="572"/>
      <c r="H36" s="571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</row>
    <row r="37" spans="2:38" ht="14.25" customHeight="1">
      <c r="B37" s="553"/>
      <c r="C37" s="557"/>
      <c r="D37" s="170">
        <f t="shared" si="20"/>
        <v>46233</v>
      </c>
      <c r="E37" s="170" t="s">
        <v>113</v>
      </c>
      <c r="F37" s="321">
        <f t="shared" si="24"/>
        <v>0</v>
      </c>
      <c r="G37" s="572"/>
      <c r="H37" s="571"/>
    </row>
    <row r="38" spans="2:38" ht="14.25" customHeight="1">
      <c r="B38" s="553"/>
      <c r="C38" s="557"/>
      <c r="D38" s="170">
        <f t="shared" si="20"/>
        <v>46234</v>
      </c>
      <c r="E38" s="170" t="s">
        <v>114</v>
      </c>
      <c r="F38" s="321">
        <f t="shared" si="24"/>
        <v>0</v>
      </c>
      <c r="G38" s="572"/>
      <c r="H38" s="571"/>
    </row>
    <row r="39" spans="2:38" ht="14.25" customHeight="1">
      <c r="B39" s="553"/>
      <c r="C39" s="465"/>
      <c r="D39" s="170">
        <f t="shared" si="20"/>
        <v>46235</v>
      </c>
      <c r="E39" s="170" t="s">
        <v>115</v>
      </c>
      <c r="F39" s="321">
        <f t="shared" si="24"/>
        <v>0</v>
      </c>
      <c r="G39" s="572"/>
    </row>
    <row r="40" spans="2:38" ht="14.25" customHeight="1">
      <c r="B40" s="553"/>
      <c r="C40" s="465"/>
      <c r="D40" s="170">
        <f t="shared" si="20"/>
        <v>46236</v>
      </c>
      <c r="E40" s="170" t="s">
        <v>116</v>
      </c>
      <c r="F40" s="321">
        <f t="shared" si="24"/>
        <v>0</v>
      </c>
      <c r="G40" s="572"/>
    </row>
    <row r="41" spans="2:38" ht="14.25" customHeight="1">
      <c r="B41" s="554"/>
      <c r="C41" s="466"/>
      <c r="D41" s="170">
        <f t="shared" si="20"/>
        <v>46237</v>
      </c>
      <c r="E41" s="170" t="s">
        <v>117</v>
      </c>
      <c r="F41" s="321">
        <f t="shared" si="24"/>
        <v>0</v>
      </c>
      <c r="G41" s="572"/>
    </row>
  </sheetData>
  <mergeCells count="45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Q5:R5"/>
    <mergeCell ref="I3:AL3"/>
    <mergeCell ref="AI4:AJ4"/>
    <mergeCell ref="AK4:AL4"/>
    <mergeCell ref="O4:T4"/>
    <mergeCell ref="F3:H4"/>
    <mergeCell ref="I4:N4"/>
    <mergeCell ref="Y4:AD4"/>
    <mergeCell ref="O5:P5"/>
    <mergeCell ref="AI5:AJ5"/>
    <mergeCell ref="K5:L5"/>
    <mergeCell ref="S5:T5"/>
    <mergeCell ref="H5:H6"/>
    <mergeCell ref="AA5:AB5"/>
    <mergeCell ref="I5:J5"/>
    <mergeCell ref="M5:N5"/>
    <mergeCell ref="G5:G6"/>
    <mergeCell ref="B3:B6"/>
    <mergeCell ref="C3:C6"/>
    <mergeCell ref="D3:E6"/>
    <mergeCell ref="B7:B13"/>
    <mergeCell ref="G7:G13"/>
    <mergeCell ref="H8:H38"/>
    <mergeCell ref="B28:B34"/>
    <mergeCell ref="G28:G34"/>
    <mergeCell ref="B35:B41"/>
    <mergeCell ref="G35:G41"/>
    <mergeCell ref="C8:C38"/>
    <mergeCell ref="B14:B20"/>
    <mergeCell ref="G14:G20"/>
    <mergeCell ref="B21:B27"/>
    <mergeCell ref="G21:G27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85"/>
  <sheetViews>
    <sheetView zoomScale="85" zoomScaleNormal="85" workbookViewId="0">
      <pane xSplit="13" ySplit="1" topLeftCell="N32" activePane="bottomRight" state="frozen"/>
      <selection activeCell="E31" sqref="E31"/>
      <selection pane="topRight" activeCell="E31" sqref="E31"/>
      <selection pane="bottomLeft" activeCell="E31" sqref="E31"/>
      <selection pane="bottomRight" activeCell="L49" sqref="L49:L85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7" customWidth="1"/>
    <col min="15" max="15" width="7.1796875" style="177" customWidth="1" collapsed="1"/>
    <col min="16" max="16" width="7.7265625" style="177" customWidth="1"/>
    <col min="17" max="18" width="8.7265625" style="177" customWidth="1"/>
    <col min="19" max="19" width="5.453125" style="177" customWidth="1"/>
    <col min="20" max="20" width="10.7265625" style="177" customWidth="1"/>
    <col min="21" max="21" width="7.7265625" style="178" customWidth="1"/>
    <col min="22" max="23" width="8.7265625" style="178" customWidth="1"/>
    <col min="24" max="24" width="5.453125" style="177" customWidth="1"/>
    <col min="25" max="25" width="10.7265625" style="178" customWidth="1"/>
    <col min="26" max="26" width="7.7265625" style="178" customWidth="1"/>
    <col min="27" max="28" width="8.7265625" style="178" customWidth="1"/>
    <col min="29" max="29" width="5.453125" style="177" customWidth="1"/>
    <col min="30" max="30" width="10.7265625" style="178" customWidth="1"/>
    <col min="31" max="31" width="7.7265625" style="178" customWidth="1"/>
    <col min="32" max="33" width="8.7265625" style="178" customWidth="1"/>
    <col min="34" max="34" width="5.453125" style="177" customWidth="1"/>
    <col min="35" max="35" width="10.7265625" style="178" customWidth="1"/>
    <col min="36" max="36" width="7.7265625" style="178" customWidth="1"/>
    <col min="37" max="38" width="8.7265625" style="178" customWidth="1"/>
    <col min="39" max="39" width="5.453125" style="177" customWidth="1"/>
    <col min="40" max="40" width="10.7265625" style="178" customWidth="1"/>
    <col min="41" max="41" width="7.7265625" style="178" customWidth="1"/>
    <col min="42" max="43" width="8.7265625" style="178" customWidth="1"/>
    <col min="44" max="44" width="5.453125" style="178" customWidth="1"/>
    <col min="45" max="45" width="10.7265625" style="178" customWidth="1"/>
    <col min="46" max="46" width="7.7265625" style="178" customWidth="1"/>
    <col min="47" max="48" width="8.7265625" style="178" customWidth="1"/>
    <col min="49" max="49" width="5.453125" style="178" customWidth="1"/>
    <col min="50" max="50" width="10.7265625" style="178" customWidth="1"/>
    <col min="51" max="16384" width="8.81640625" style="78"/>
  </cols>
  <sheetData>
    <row r="1" spans="1:50" ht="24.5">
      <c r="A1" s="74"/>
      <c r="B1" s="468" t="s">
        <v>777</v>
      </c>
      <c r="C1" s="174">
        <f>AVERAGE(L7,L49)</f>
        <v>768.34473680095698</v>
      </c>
    </row>
    <row r="2" spans="1:50" ht="14.25" customHeight="1">
      <c r="B2" s="604" t="s">
        <v>741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5"/>
      <c r="N2" s="600" t="s">
        <v>363</v>
      </c>
      <c r="O2" s="600" t="s">
        <v>105</v>
      </c>
      <c r="P2" s="602">
        <v>46203</v>
      </c>
      <c r="Q2" s="603"/>
      <c r="R2" s="603"/>
      <c r="S2" s="603"/>
      <c r="T2" s="603"/>
      <c r="U2" s="594">
        <v>46204</v>
      </c>
      <c r="V2" s="595"/>
      <c r="W2" s="595"/>
      <c r="X2" s="595"/>
      <c r="Y2" s="595"/>
      <c r="Z2" s="602">
        <v>46205</v>
      </c>
      <c r="AA2" s="603"/>
      <c r="AB2" s="603"/>
      <c r="AC2" s="603"/>
      <c r="AD2" s="603"/>
      <c r="AE2" s="594">
        <v>46206</v>
      </c>
      <c r="AF2" s="595"/>
      <c r="AG2" s="595"/>
      <c r="AH2" s="595"/>
      <c r="AI2" s="595"/>
      <c r="AJ2" s="586">
        <v>46207</v>
      </c>
      <c r="AK2" s="587"/>
      <c r="AL2" s="587"/>
      <c r="AM2" s="587"/>
      <c r="AN2" s="588"/>
      <c r="AO2" s="594">
        <v>46208</v>
      </c>
      <c r="AP2" s="595"/>
      <c r="AQ2" s="595"/>
      <c r="AR2" s="595"/>
      <c r="AS2" s="595"/>
      <c r="AT2" s="586">
        <v>46209</v>
      </c>
      <c r="AU2" s="587"/>
      <c r="AV2" s="587"/>
      <c r="AW2" s="587"/>
      <c r="AX2" s="588"/>
    </row>
    <row r="3" spans="1:50" ht="14.25" customHeight="1"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7"/>
      <c r="N3" s="601"/>
      <c r="O3" s="601"/>
      <c r="P3" s="589">
        <v>46196</v>
      </c>
      <c r="Q3" s="589"/>
      <c r="R3" s="589"/>
      <c r="S3" s="589"/>
      <c r="T3" s="589"/>
      <c r="U3" s="590">
        <v>46197</v>
      </c>
      <c r="V3" s="590"/>
      <c r="W3" s="590"/>
      <c r="X3" s="590"/>
      <c r="Y3" s="590"/>
      <c r="Z3" s="589">
        <v>46198</v>
      </c>
      <c r="AA3" s="589"/>
      <c r="AB3" s="589"/>
      <c r="AC3" s="589"/>
      <c r="AD3" s="589"/>
      <c r="AE3" s="590">
        <v>46199</v>
      </c>
      <c r="AF3" s="590"/>
      <c r="AG3" s="590"/>
      <c r="AH3" s="590"/>
      <c r="AI3" s="590"/>
      <c r="AJ3" s="591">
        <v>46200</v>
      </c>
      <c r="AK3" s="592"/>
      <c r="AL3" s="592"/>
      <c r="AM3" s="592"/>
      <c r="AN3" s="593"/>
      <c r="AO3" s="590">
        <v>46201</v>
      </c>
      <c r="AP3" s="590"/>
      <c r="AQ3" s="590"/>
      <c r="AR3" s="590"/>
      <c r="AS3" s="590"/>
      <c r="AT3" s="591">
        <v>46202</v>
      </c>
      <c r="AU3" s="592"/>
      <c r="AV3" s="592"/>
      <c r="AW3" s="592"/>
      <c r="AX3" s="593"/>
    </row>
    <row r="4" spans="1:50" ht="14.25" customHeight="1">
      <c r="B4" s="580" t="s">
        <v>162</v>
      </c>
      <c r="C4" s="580" t="s">
        <v>157</v>
      </c>
      <c r="D4" s="580"/>
      <c r="E4" s="580" t="s">
        <v>158</v>
      </c>
      <c r="F4" s="580"/>
      <c r="G4" s="580"/>
      <c r="H4" s="580" t="s">
        <v>163</v>
      </c>
      <c r="I4" s="583" t="s">
        <v>364</v>
      </c>
      <c r="J4" s="583"/>
      <c r="K4" s="583"/>
      <c r="L4" s="583" t="s">
        <v>163</v>
      </c>
      <c r="M4" s="583" t="s">
        <v>165</v>
      </c>
      <c r="N4" s="585"/>
      <c r="O4" s="584" t="s">
        <v>164</v>
      </c>
      <c r="P4" s="584" t="s">
        <v>160</v>
      </c>
      <c r="Q4" s="584"/>
      <c r="R4" s="584"/>
      <c r="S4" s="584"/>
      <c r="T4" s="584" t="s">
        <v>163</v>
      </c>
      <c r="U4" s="584" t="s">
        <v>160</v>
      </c>
      <c r="V4" s="584"/>
      <c r="W4" s="584"/>
      <c r="X4" s="584"/>
      <c r="Y4" s="584" t="s">
        <v>163</v>
      </c>
      <c r="Z4" s="584" t="s">
        <v>160</v>
      </c>
      <c r="AA4" s="584"/>
      <c r="AB4" s="584"/>
      <c r="AC4" s="584"/>
      <c r="AD4" s="584" t="s">
        <v>163</v>
      </c>
      <c r="AE4" s="584" t="s">
        <v>160</v>
      </c>
      <c r="AF4" s="584"/>
      <c r="AG4" s="584"/>
      <c r="AH4" s="584"/>
      <c r="AI4" s="584" t="s">
        <v>163</v>
      </c>
      <c r="AJ4" s="584" t="s">
        <v>160</v>
      </c>
      <c r="AK4" s="584"/>
      <c r="AL4" s="584"/>
      <c r="AM4" s="584"/>
      <c r="AN4" s="584" t="s">
        <v>163</v>
      </c>
      <c r="AO4" s="584" t="s">
        <v>160</v>
      </c>
      <c r="AP4" s="584"/>
      <c r="AQ4" s="584"/>
      <c r="AR4" s="584"/>
      <c r="AS4" s="584" t="s">
        <v>163</v>
      </c>
      <c r="AT4" s="584" t="s">
        <v>160</v>
      </c>
      <c r="AU4" s="584"/>
      <c r="AV4" s="584"/>
      <c r="AW4" s="584"/>
      <c r="AX4" s="584" t="s">
        <v>163</v>
      </c>
    </row>
    <row r="5" spans="1:50" ht="14.25" customHeight="1">
      <c r="B5" s="580"/>
      <c r="C5" s="580"/>
      <c r="D5" s="580"/>
      <c r="E5" s="580" t="s">
        <v>365</v>
      </c>
      <c r="F5" s="580"/>
      <c r="G5" s="580"/>
      <c r="H5" s="580"/>
      <c r="I5" s="583" t="s">
        <v>365</v>
      </c>
      <c r="J5" s="583"/>
      <c r="K5" s="583"/>
      <c r="L5" s="583"/>
      <c r="M5" s="583"/>
      <c r="N5" s="585"/>
      <c r="O5" s="584"/>
      <c r="P5" s="584" t="s">
        <v>366</v>
      </c>
      <c r="Q5" s="584"/>
      <c r="R5" s="584"/>
      <c r="S5" s="584"/>
      <c r="T5" s="584"/>
      <c r="U5" s="584" t="s">
        <v>366</v>
      </c>
      <c r="V5" s="584"/>
      <c r="W5" s="584"/>
      <c r="X5" s="584"/>
      <c r="Y5" s="584"/>
      <c r="Z5" s="584" t="s">
        <v>366</v>
      </c>
      <c r="AA5" s="584"/>
      <c r="AB5" s="584"/>
      <c r="AC5" s="584"/>
      <c r="AD5" s="584"/>
      <c r="AE5" s="584" t="s">
        <v>366</v>
      </c>
      <c r="AF5" s="584"/>
      <c r="AG5" s="584"/>
      <c r="AH5" s="584"/>
      <c r="AI5" s="584"/>
      <c r="AJ5" s="584" t="s">
        <v>366</v>
      </c>
      <c r="AK5" s="584"/>
      <c r="AL5" s="584"/>
      <c r="AM5" s="584"/>
      <c r="AN5" s="584"/>
      <c r="AO5" s="584" t="s">
        <v>366</v>
      </c>
      <c r="AP5" s="584"/>
      <c r="AQ5" s="584"/>
      <c r="AR5" s="584"/>
      <c r="AS5" s="584"/>
      <c r="AT5" s="584" t="s">
        <v>366</v>
      </c>
      <c r="AU5" s="584"/>
      <c r="AV5" s="584"/>
      <c r="AW5" s="584"/>
      <c r="AX5" s="584"/>
    </row>
    <row r="6" spans="1:50" ht="14.25" customHeight="1">
      <c r="A6" s="176"/>
      <c r="B6" s="580"/>
      <c r="C6" s="580"/>
      <c r="D6" s="580"/>
      <c r="E6" s="179" t="s">
        <v>159</v>
      </c>
      <c r="F6" s="179" t="s">
        <v>367</v>
      </c>
      <c r="G6" s="179" t="s">
        <v>161</v>
      </c>
      <c r="H6" s="580"/>
      <c r="I6" s="180" t="s">
        <v>159</v>
      </c>
      <c r="J6" s="180" t="s">
        <v>367</v>
      </c>
      <c r="K6" s="180" t="s">
        <v>161</v>
      </c>
      <c r="L6" s="583"/>
      <c r="M6" s="583"/>
      <c r="N6" s="585"/>
      <c r="O6" s="584"/>
      <c r="P6" s="181" t="s">
        <v>159</v>
      </c>
      <c r="Q6" s="181" t="s">
        <v>367</v>
      </c>
      <c r="R6" s="181" t="s">
        <v>161</v>
      </c>
      <c r="S6" s="181" t="s">
        <v>165</v>
      </c>
      <c r="T6" s="584"/>
      <c r="U6" s="181" t="s">
        <v>159</v>
      </c>
      <c r="V6" s="181" t="s">
        <v>367</v>
      </c>
      <c r="W6" s="181" t="s">
        <v>161</v>
      </c>
      <c r="X6" s="181" t="s">
        <v>165</v>
      </c>
      <c r="Y6" s="584"/>
      <c r="Z6" s="181" t="s">
        <v>159</v>
      </c>
      <c r="AA6" s="181" t="s">
        <v>367</v>
      </c>
      <c r="AB6" s="181" t="s">
        <v>161</v>
      </c>
      <c r="AC6" s="181" t="s">
        <v>165</v>
      </c>
      <c r="AD6" s="584"/>
      <c r="AE6" s="181" t="s">
        <v>159</v>
      </c>
      <c r="AF6" s="181" t="s">
        <v>367</v>
      </c>
      <c r="AG6" s="181" t="s">
        <v>161</v>
      </c>
      <c r="AH6" s="181" t="s">
        <v>165</v>
      </c>
      <c r="AI6" s="584"/>
      <c r="AJ6" s="181" t="s">
        <v>159</v>
      </c>
      <c r="AK6" s="181" t="s">
        <v>367</v>
      </c>
      <c r="AL6" s="181" t="s">
        <v>161</v>
      </c>
      <c r="AM6" s="181" t="s">
        <v>165</v>
      </c>
      <c r="AN6" s="584"/>
      <c r="AO6" s="181" t="s">
        <v>159</v>
      </c>
      <c r="AP6" s="181" t="s">
        <v>367</v>
      </c>
      <c r="AQ6" s="181" t="s">
        <v>161</v>
      </c>
      <c r="AR6" s="181" t="s">
        <v>165</v>
      </c>
      <c r="AS6" s="584"/>
      <c r="AT6" s="181" t="s">
        <v>159</v>
      </c>
      <c r="AU6" s="181" t="s">
        <v>367</v>
      </c>
      <c r="AV6" s="181" t="s">
        <v>161</v>
      </c>
      <c r="AW6" s="181" t="s">
        <v>165</v>
      </c>
      <c r="AX6" s="584"/>
    </row>
    <row r="7" spans="1:50" ht="14.25" customHeight="1">
      <c r="B7" s="580" t="s">
        <v>368</v>
      </c>
      <c r="C7" s="179">
        <v>1</v>
      </c>
      <c r="D7" s="182" t="s">
        <v>393</v>
      </c>
      <c r="E7" s="183">
        <v>4</v>
      </c>
      <c r="F7" s="179">
        <v>3300</v>
      </c>
      <c r="G7" s="184">
        <f>IFERROR(F7/E7,"")</f>
        <v>825</v>
      </c>
      <c r="H7" s="581">
        <f>AVERAGE(G7:G43)</f>
        <v>863.52564102564111</v>
      </c>
      <c r="I7" s="185">
        <f>AVERAGE(P7,U7,Z7,AE7,AJ7,AO7,AT7)</f>
        <v>4</v>
      </c>
      <c r="J7" s="185">
        <f>AVERAGE(Q7,V7,AA7,AF7,AK7,AP7,AU7)</f>
        <v>2989.7999999999997</v>
      </c>
      <c r="K7" s="186">
        <f>AVERAGE(R7,W7,AB7,AG7,AL7,AQ7,AV7)</f>
        <v>747.44999999999993</v>
      </c>
      <c r="L7" s="582">
        <f>IFERROR(AVERAGE(K7:K43),"-")</f>
        <v>771.07940156126597</v>
      </c>
      <c r="M7" s="185">
        <f>RANK(K7, K$7:$K$43)</f>
        <v>18</v>
      </c>
      <c r="N7" s="585"/>
      <c r="O7" s="584"/>
      <c r="P7" s="187">
        <v>4</v>
      </c>
      <c r="Q7" s="187">
        <v>2989.7999999999997</v>
      </c>
      <c r="R7" s="184">
        <f>IFERROR(Q7/P7,"")</f>
        <v>747.44999999999993</v>
      </c>
      <c r="S7" s="181">
        <f>RANK(R7, R$7:R$43)</f>
        <v>19</v>
      </c>
      <c r="T7" s="579">
        <f>AVERAGE(R7:R43)</f>
        <v>769.35071954636487</v>
      </c>
      <c r="U7" s="187">
        <v>4</v>
      </c>
      <c r="V7" s="187">
        <v>2989.7999999999997</v>
      </c>
      <c r="W7" s="184">
        <f t="shared" ref="W7:W42" si="0">IFERROR(V7/U7,"")</f>
        <v>747.44999999999993</v>
      </c>
      <c r="X7" s="181">
        <f>RANK(W7, W$7:W$43)</f>
        <v>19</v>
      </c>
      <c r="Y7" s="579">
        <f>AVERAGE(W7:W43)</f>
        <v>770.09658537177802</v>
      </c>
      <c r="Z7" s="187">
        <v>4</v>
      </c>
      <c r="AA7" s="187">
        <v>2989.7999999999997</v>
      </c>
      <c r="AB7" s="184">
        <f>IFERROR(AA7/Z7,"")</f>
        <v>747.44999999999993</v>
      </c>
      <c r="AC7" s="181">
        <f>RANK(AB7, AB$7:AB$43)</f>
        <v>19</v>
      </c>
      <c r="AD7" s="579">
        <f>AVERAGE(AB7:AB43)</f>
        <v>770.80625006851346</v>
      </c>
      <c r="AE7" s="187">
        <v>4</v>
      </c>
      <c r="AF7" s="187">
        <v>2989.8</v>
      </c>
      <c r="AG7" s="184">
        <f>IFERROR(AF7/AE7,"")</f>
        <v>747.45</v>
      </c>
      <c r="AH7" s="181">
        <f>RANK(AG7, AG$7:AG$43)</f>
        <v>18</v>
      </c>
      <c r="AI7" s="579">
        <f>AVERAGE(AG7:AG43)</f>
        <v>771.42304701792227</v>
      </c>
      <c r="AJ7" s="187">
        <v>4</v>
      </c>
      <c r="AK7" s="187">
        <v>2989.8</v>
      </c>
      <c r="AL7" s="184">
        <f>IFERROR(AK7/AJ7,"")</f>
        <v>747.45</v>
      </c>
      <c r="AM7" s="181">
        <f>RANK(AL7, AL$7:AL$43)</f>
        <v>18</v>
      </c>
      <c r="AN7" s="579">
        <f>AVERAGE(AL7:AL43)</f>
        <v>771.95313915315751</v>
      </c>
      <c r="AO7" s="187">
        <v>4</v>
      </c>
      <c r="AP7" s="187">
        <v>2989.7999999999997</v>
      </c>
      <c r="AQ7" s="184">
        <f>IFERROR(AP7/AO7,"")</f>
        <v>747.44999999999993</v>
      </c>
      <c r="AR7" s="181">
        <f>RANK(AQ7, AQ$7:AQ$43)</f>
        <v>19</v>
      </c>
      <c r="AS7" s="579">
        <f>AVERAGE(AQ7:AQ43)</f>
        <v>771.96687563571732</v>
      </c>
      <c r="AT7" s="187">
        <v>4</v>
      </c>
      <c r="AU7" s="187">
        <v>2989.8</v>
      </c>
      <c r="AV7" s="184">
        <f>IFERROR(AU7/AT7,"")</f>
        <v>747.45</v>
      </c>
      <c r="AW7" s="181">
        <f>RANK(AV7, AV$7:AV$43)</f>
        <v>18</v>
      </c>
      <c r="AX7" s="579">
        <f>AVERAGE(AV7:AV43)</f>
        <v>771.95919413541026</v>
      </c>
    </row>
    <row r="8" spans="1:50" ht="14.25" customHeight="1">
      <c r="B8" s="580"/>
      <c r="C8" s="179">
        <v>2</v>
      </c>
      <c r="D8" s="182" t="s">
        <v>391</v>
      </c>
      <c r="E8" s="183">
        <v>3</v>
      </c>
      <c r="F8" s="179">
        <v>3600</v>
      </c>
      <c r="G8" s="184">
        <f t="shared" ref="G8:G42" si="1">IFERROR(F8/E8,"")</f>
        <v>1200</v>
      </c>
      <c r="H8" s="581"/>
      <c r="I8" s="185">
        <f>AVERAGE(P8,U8,Z8,AE8,AJ8,AO8,AT8)</f>
        <v>3</v>
      </c>
      <c r="J8" s="185">
        <f t="shared" ref="J8:K37" si="2">AVERAGE(Q8,V8,AA8,AF8,AK8,AP8,AU8)</f>
        <v>3187.3583778654879</v>
      </c>
      <c r="K8" s="186">
        <f t="shared" si="2"/>
        <v>1062.4527926218293</v>
      </c>
      <c r="L8" s="582"/>
      <c r="M8" s="185">
        <f>RANK(K8, K$7:$K$43)</f>
        <v>8</v>
      </c>
      <c r="N8" s="585"/>
      <c r="O8" s="584"/>
      <c r="P8" s="187">
        <v>3</v>
      </c>
      <c r="Q8" s="187">
        <v>3190.0840921512017</v>
      </c>
      <c r="R8" s="184">
        <f t="shared" ref="R8:R42" si="3">IFERROR(Q8/P8,"")</f>
        <v>1063.3613640504007</v>
      </c>
      <c r="S8" s="181">
        <f t="shared" ref="S8:S42" si="4">RANK(R8, R$7:R$43)</f>
        <v>6</v>
      </c>
      <c r="T8" s="579"/>
      <c r="U8" s="187">
        <v>3</v>
      </c>
      <c r="V8" s="187">
        <v>3189.0040921512018</v>
      </c>
      <c r="W8" s="184">
        <f t="shared" si="0"/>
        <v>1063.0013640504005</v>
      </c>
      <c r="X8" s="181">
        <f t="shared" ref="X8:X42" si="5">RANK(W8, W$7:W$43)</f>
        <v>7</v>
      </c>
      <c r="Y8" s="579"/>
      <c r="Z8" s="187">
        <v>3</v>
      </c>
      <c r="AA8" s="187">
        <v>3187.9240921512023</v>
      </c>
      <c r="AB8" s="184">
        <f t="shared" ref="AB8:AB42" si="6">IFERROR(AA8/Z8,"")</f>
        <v>1062.6413640504009</v>
      </c>
      <c r="AC8" s="181">
        <f t="shared" ref="AC8:AC42" si="7">RANK(AB8, AB$7:AB$43)</f>
        <v>8</v>
      </c>
      <c r="AD8" s="579"/>
      <c r="AE8" s="187">
        <v>3</v>
      </c>
      <c r="AF8" s="187">
        <v>3186.8440921512029</v>
      </c>
      <c r="AG8" s="184">
        <f t="shared" ref="AG8:AG42" si="8">IFERROR(AF8/AE8,"")</f>
        <v>1062.281364050401</v>
      </c>
      <c r="AH8" s="181">
        <f t="shared" ref="AH8:AH42" si="9">RANK(AG8, AG$7:AG$43)</f>
        <v>8</v>
      </c>
      <c r="AI8" s="579"/>
      <c r="AJ8" s="187">
        <v>3</v>
      </c>
      <c r="AK8" s="187">
        <v>3185.7640921512025</v>
      </c>
      <c r="AL8" s="184">
        <f t="shared" ref="AL8:AL42" si="10">IFERROR(AK8/AJ8,"")</f>
        <v>1061.9213640504008</v>
      </c>
      <c r="AM8" s="181">
        <f t="shared" ref="AM8:AM42" si="11">RANK(AL8, AL$7:AL$43)</f>
        <v>9</v>
      </c>
      <c r="AN8" s="579"/>
      <c r="AO8" s="187">
        <v>3</v>
      </c>
      <c r="AP8" s="187">
        <v>3185.0440921512022</v>
      </c>
      <c r="AQ8" s="184">
        <f t="shared" ref="AQ8:AQ42" si="12">IFERROR(AP8/AO8,"")</f>
        <v>1061.6813640504008</v>
      </c>
      <c r="AR8" s="181">
        <f t="shared" ref="AR8:AR42" si="13">RANK(AQ8, AQ$7:AQ$43)</f>
        <v>9</v>
      </c>
      <c r="AS8" s="579"/>
      <c r="AT8" s="187">
        <v>3</v>
      </c>
      <c r="AU8" s="187">
        <v>3186.8440921512024</v>
      </c>
      <c r="AV8" s="184">
        <f t="shared" ref="AV8:AV42" si="14">IFERROR(AU8/AT8,"")</f>
        <v>1062.2813640504007</v>
      </c>
      <c r="AW8" s="181">
        <f t="shared" ref="AW8:AW42" si="15">RANK(AV8, AV$7:AV$43)</f>
        <v>7</v>
      </c>
      <c r="AX8" s="579"/>
    </row>
    <row r="9" spans="1:50" ht="14.25" customHeight="1">
      <c r="B9" s="580"/>
      <c r="C9" s="179">
        <v>3</v>
      </c>
      <c r="D9" s="182" t="s">
        <v>392</v>
      </c>
      <c r="E9" s="183">
        <v>5</v>
      </c>
      <c r="F9" s="179">
        <v>3600</v>
      </c>
      <c r="G9" s="184">
        <f t="shared" si="1"/>
        <v>720</v>
      </c>
      <c r="H9" s="581"/>
      <c r="I9" s="185">
        <f t="shared" ref="I9:K38" si="16">AVERAGE(P9,U9,Z9,AE9,AJ9,AO9,AT9)</f>
        <v>5</v>
      </c>
      <c r="J9" s="185">
        <f t="shared" si="2"/>
        <v>3195.3929705264777</v>
      </c>
      <c r="K9" s="186">
        <f t="shared" si="2"/>
        <v>639.07859410529545</v>
      </c>
      <c r="L9" s="582"/>
      <c r="M9" s="185">
        <f>RANK(K9, K$7:$K$43)</f>
        <v>24</v>
      </c>
      <c r="N9" s="585"/>
      <c r="O9" s="584"/>
      <c r="P9" s="187">
        <v>5</v>
      </c>
      <c r="Q9" s="187">
        <v>3194.4158276693352</v>
      </c>
      <c r="R9" s="184">
        <f t="shared" si="3"/>
        <v>638.88316553386699</v>
      </c>
      <c r="S9" s="181">
        <f t="shared" si="4"/>
        <v>24</v>
      </c>
      <c r="T9" s="579"/>
      <c r="U9" s="187">
        <v>5</v>
      </c>
      <c r="V9" s="187">
        <v>3195.135827669335</v>
      </c>
      <c r="W9" s="184">
        <f t="shared" si="0"/>
        <v>639.02716553386699</v>
      </c>
      <c r="X9" s="181">
        <f t="shared" si="5"/>
        <v>23</v>
      </c>
      <c r="Y9" s="579"/>
      <c r="Z9" s="187">
        <v>5</v>
      </c>
      <c r="AA9" s="187">
        <v>3195.8558276693348</v>
      </c>
      <c r="AB9" s="184">
        <f t="shared" si="6"/>
        <v>639.171165533867</v>
      </c>
      <c r="AC9" s="181">
        <f t="shared" si="7"/>
        <v>24</v>
      </c>
      <c r="AD9" s="579"/>
      <c r="AE9" s="187">
        <v>5</v>
      </c>
      <c r="AF9" s="187">
        <v>3196.9358276693342</v>
      </c>
      <c r="AG9" s="184">
        <f t="shared" si="8"/>
        <v>639.38716553386689</v>
      </c>
      <c r="AH9" s="181">
        <f t="shared" si="9"/>
        <v>23</v>
      </c>
      <c r="AI9" s="579"/>
      <c r="AJ9" s="187">
        <v>5</v>
      </c>
      <c r="AK9" s="187">
        <v>3195.4958276693346</v>
      </c>
      <c r="AL9" s="184">
        <f t="shared" si="10"/>
        <v>639.09916553386688</v>
      </c>
      <c r="AM9" s="181">
        <f t="shared" si="11"/>
        <v>24</v>
      </c>
      <c r="AN9" s="579"/>
      <c r="AO9" s="187">
        <v>5</v>
      </c>
      <c r="AP9" s="187">
        <v>3195.1358276693345</v>
      </c>
      <c r="AQ9" s="184">
        <f t="shared" si="12"/>
        <v>639.02716553386688</v>
      </c>
      <c r="AR9" s="181">
        <f t="shared" si="13"/>
        <v>24</v>
      </c>
      <c r="AS9" s="579"/>
      <c r="AT9" s="187">
        <v>5</v>
      </c>
      <c r="AU9" s="187">
        <v>3194.7758276693344</v>
      </c>
      <c r="AV9" s="184">
        <f t="shared" si="14"/>
        <v>638.95516553386688</v>
      </c>
      <c r="AW9" s="181">
        <f t="shared" si="15"/>
        <v>25</v>
      </c>
      <c r="AX9" s="579"/>
    </row>
    <row r="10" spans="1:50" ht="14.25" customHeight="1">
      <c r="B10" s="580"/>
      <c r="C10" s="179">
        <v>4</v>
      </c>
      <c r="D10" s="182" t="s">
        <v>229</v>
      </c>
      <c r="E10" s="183">
        <v>5</v>
      </c>
      <c r="F10" s="179">
        <v>3300</v>
      </c>
      <c r="G10" s="184">
        <f t="shared" si="1"/>
        <v>660</v>
      </c>
      <c r="H10" s="581"/>
      <c r="I10" s="185">
        <f t="shared" si="16"/>
        <v>5</v>
      </c>
      <c r="J10" s="185">
        <f t="shared" si="2"/>
        <v>2989.8</v>
      </c>
      <c r="K10" s="186">
        <f t="shared" si="2"/>
        <v>597.96</v>
      </c>
      <c r="L10" s="582"/>
      <c r="M10" s="185">
        <f>RANK(K10, K$7:$K$43)</f>
        <v>29</v>
      </c>
      <c r="N10" s="585"/>
      <c r="O10" s="584"/>
      <c r="P10" s="187">
        <v>5</v>
      </c>
      <c r="Q10" s="187">
        <v>2989.8</v>
      </c>
      <c r="R10" s="184">
        <f t="shared" si="3"/>
        <v>597.96</v>
      </c>
      <c r="S10" s="181">
        <f t="shared" si="4"/>
        <v>29</v>
      </c>
      <c r="T10" s="579"/>
      <c r="U10" s="187">
        <v>5</v>
      </c>
      <c r="V10" s="187">
        <v>2989.8</v>
      </c>
      <c r="W10" s="184">
        <f t="shared" si="0"/>
        <v>597.96</v>
      </c>
      <c r="X10" s="181">
        <f t="shared" si="5"/>
        <v>29</v>
      </c>
      <c r="Y10" s="579"/>
      <c r="Z10" s="187">
        <v>5</v>
      </c>
      <c r="AA10" s="187">
        <v>2989.8</v>
      </c>
      <c r="AB10" s="184">
        <f t="shared" si="6"/>
        <v>597.96</v>
      </c>
      <c r="AC10" s="181">
        <f t="shared" si="7"/>
        <v>29</v>
      </c>
      <c r="AD10" s="579"/>
      <c r="AE10" s="187">
        <v>5</v>
      </c>
      <c r="AF10" s="187">
        <v>2989.8000000000006</v>
      </c>
      <c r="AG10" s="184">
        <f t="shared" si="8"/>
        <v>597.96000000000015</v>
      </c>
      <c r="AH10" s="181">
        <f t="shared" si="9"/>
        <v>29</v>
      </c>
      <c r="AI10" s="579"/>
      <c r="AJ10" s="187">
        <v>5</v>
      </c>
      <c r="AK10" s="187">
        <v>2989.7999999999997</v>
      </c>
      <c r="AL10" s="184">
        <f t="shared" si="10"/>
        <v>597.95999999999992</v>
      </c>
      <c r="AM10" s="181">
        <f t="shared" si="11"/>
        <v>30</v>
      </c>
      <c r="AN10" s="579"/>
      <c r="AO10" s="187">
        <v>5</v>
      </c>
      <c r="AP10" s="187">
        <v>2989.7999999999997</v>
      </c>
      <c r="AQ10" s="184">
        <f t="shared" si="12"/>
        <v>597.95999999999992</v>
      </c>
      <c r="AR10" s="181">
        <f t="shared" si="13"/>
        <v>30</v>
      </c>
      <c r="AS10" s="579"/>
      <c r="AT10" s="187">
        <v>5</v>
      </c>
      <c r="AU10" s="187">
        <v>2989.8</v>
      </c>
      <c r="AV10" s="184">
        <f t="shared" si="14"/>
        <v>597.96</v>
      </c>
      <c r="AW10" s="181">
        <f t="shared" si="15"/>
        <v>29</v>
      </c>
      <c r="AX10" s="579"/>
    </row>
    <row r="11" spans="1:50" ht="14.25" customHeight="1">
      <c r="B11" s="580"/>
      <c r="C11" s="179">
        <v>5</v>
      </c>
      <c r="D11" s="182" t="s">
        <v>388</v>
      </c>
      <c r="E11" s="183">
        <v>3</v>
      </c>
      <c r="F11" s="179">
        <v>3600</v>
      </c>
      <c r="G11" s="184">
        <f t="shared" si="1"/>
        <v>1200</v>
      </c>
      <c r="H11" s="581"/>
      <c r="I11" s="185">
        <f t="shared" si="16"/>
        <v>3</v>
      </c>
      <c r="J11" s="185">
        <f t="shared" si="2"/>
        <v>3194.3640007317154</v>
      </c>
      <c r="K11" s="186">
        <f t="shared" si="2"/>
        <v>1064.7880002439051</v>
      </c>
      <c r="L11" s="582"/>
      <c r="M11" s="185">
        <f>RANK(K11, K$7:$K$43)</f>
        <v>3</v>
      </c>
      <c r="N11" s="585"/>
      <c r="O11" s="584"/>
      <c r="P11" s="187">
        <v>3</v>
      </c>
      <c r="Q11" s="187">
        <v>3193.4382864460008</v>
      </c>
      <c r="R11" s="184">
        <f t="shared" si="3"/>
        <v>1064.4794288153337</v>
      </c>
      <c r="S11" s="181">
        <f t="shared" si="4"/>
        <v>3</v>
      </c>
      <c r="T11" s="579"/>
      <c r="U11" s="187">
        <v>3</v>
      </c>
      <c r="V11" s="187">
        <v>3193.7982864460009</v>
      </c>
      <c r="W11" s="184">
        <f t="shared" si="0"/>
        <v>1064.5994288153336</v>
      </c>
      <c r="X11" s="181">
        <f t="shared" si="5"/>
        <v>3</v>
      </c>
      <c r="Y11" s="579"/>
      <c r="Z11" s="187">
        <v>3</v>
      </c>
      <c r="AA11" s="187">
        <v>3193.4382864460008</v>
      </c>
      <c r="AB11" s="184">
        <f t="shared" si="6"/>
        <v>1064.4794288153337</v>
      </c>
      <c r="AC11" s="181">
        <f t="shared" si="7"/>
        <v>3</v>
      </c>
      <c r="AD11" s="579"/>
      <c r="AE11" s="187">
        <v>3</v>
      </c>
      <c r="AF11" s="187">
        <v>3193.4382864460008</v>
      </c>
      <c r="AG11" s="184">
        <f t="shared" si="8"/>
        <v>1064.4794288153337</v>
      </c>
      <c r="AH11" s="181">
        <f t="shared" si="9"/>
        <v>3</v>
      </c>
      <c r="AI11" s="579"/>
      <c r="AJ11" s="187">
        <v>3</v>
      </c>
      <c r="AK11" s="187">
        <v>3194.5182864460012</v>
      </c>
      <c r="AL11" s="184">
        <f t="shared" si="10"/>
        <v>1064.8394288153338</v>
      </c>
      <c r="AM11" s="181">
        <f t="shared" si="11"/>
        <v>3</v>
      </c>
      <c r="AN11" s="579"/>
      <c r="AO11" s="187">
        <v>3</v>
      </c>
      <c r="AP11" s="187">
        <v>3195.598286446002</v>
      </c>
      <c r="AQ11" s="184">
        <f t="shared" si="12"/>
        <v>1065.1994288153339</v>
      </c>
      <c r="AR11" s="181">
        <f t="shared" si="13"/>
        <v>3</v>
      </c>
      <c r="AS11" s="579"/>
      <c r="AT11" s="187">
        <v>3</v>
      </c>
      <c r="AU11" s="187">
        <v>3196.3182864460014</v>
      </c>
      <c r="AV11" s="184">
        <f t="shared" si="14"/>
        <v>1065.4394288153337</v>
      </c>
      <c r="AW11" s="181">
        <f t="shared" si="15"/>
        <v>2</v>
      </c>
      <c r="AX11" s="579"/>
    </row>
    <row r="12" spans="1:50" ht="14.25" customHeight="1">
      <c r="B12" s="580"/>
      <c r="C12" s="179">
        <v>6</v>
      </c>
      <c r="D12" s="182" t="s">
        <v>339</v>
      </c>
      <c r="E12" s="183">
        <v>4</v>
      </c>
      <c r="F12" s="179">
        <v>3600</v>
      </c>
      <c r="G12" s="184">
        <f t="shared" si="1"/>
        <v>900</v>
      </c>
      <c r="H12" s="581"/>
      <c r="I12" s="185">
        <f t="shared" si="16"/>
        <v>4</v>
      </c>
      <c r="J12" s="185">
        <f t="shared" si="2"/>
        <v>3192.4285714285734</v>
      </c>
      <c r="K12" s="186">
        <f t="shared" si="2"/>
        <v>798.10714285714334</v>
      </c>
      <c r="L12" s="582"/>
      <c r="M12" s="185">
        <f>RANK(K12, K$7:$K$43)</f>
        <v>17</v>
      </c>
      <c r="N12" s="585"/>
      <c r="O12" s="584"/>
      <c r="P12" s="187">
        <v>4</v>
      </c>
      <c r="Q12" s="187">
        <v>3193.2000000000021</v>
      </c>
      <c r="R12" s="184">
        <f t="shared" si="3"/>
        <v>798.30000000000052</v>
      </c>
      <c r="S12" s="181">
        <f t="shared" si="4"/>
        <v>17</v>
      </c>
      <c r="T12" s="579"/>
      <c r="U12" s="187">
        <v>4</v>
      </c>
      <c r="V12" s="187">
        <v>3193.2000000000021</v>
      </c>
      <c r="W12" s="184">
        <f t="shared" si="0"/>
        <v>798.30000000000052</v>
      </c>
      <c r="X12" s="181">
        <f t="shared" si="5"/>
        <v>16</v>
      </c>
      <c r="Y12" s="579"/>
      <c r="Z12" s="187">
        <v>4</v>
      </c>
      <c r="AA12" s="187">
        <v>3192.4800000000018</v>
      </c>
      <c r="AB12" s="184">
        <f t="shared" si="6"/>
        <v>798.12000000000046</v>
      </c>
      <c r="AC12" s="181">
        <f t="shared" si="7"/>
        <v>16</v>
      </c>
      <c r="AD12" s="579"/>
      <c r="AE12" s="187">
        <v>4</v>
      </c>
      <c r="AF12" s="187">
        <v>3191.4000000000019</v>
      </c>
      <c r="AG12" s="184">
        <f t="shared" si="8"/>
        <v>797.85000000000048</v>
      </c>
      <c r="AH12" s="181">
        <f t="shared" si="9"/>
        <v>17</v>
      </c>
      <c r="AI12" s="579"/>
      <c r="AJ12" s="187">
        <v>4</v>
      </c>
      <c r="AK12" s="187">
        <v>3191.7600000000016</v>
      </c>
      <c r="AL12" s="184">
        <f t="shared" si="10"/>
        <v>797.9400000000004</v>
      </c>
      <c r="AM12" s="181">
        <f t="shared" si="11"/>
        <v>17</v>
      </c>
      <c r="AN12" s="579"/>
      <c r="AO12" s="187">
        <v>4</v>
      </c>
      <c r="AP12" s="187">
        <v>3192.8400000000011</v>
      </c>
      <c r="AQ12" s="184">
        <f t="shared" si="12"/>
        <v>798.21000000000026</v>
      </c>
      <c r="AR12" s="181">
        <f t="shared" si="13"/>
        <v>17</v>
      </c>
      <c r="AS12" s="579"/>
      <c r="AT12" s="187">
        <v>4</v>
      </c>
      <c r="AU12" s="187">
        <v>3192.1200000000013</v>
      </c>
      <c r="AV12" s="184">
        <f t="shared" si="14"/>
        <v>798.03000000000031</v>
      </c>
      <c r="AW12" s="181">
        <f t="shared" si="15"/>
        <v>17</v>
      </c>
      <c r="AX12" s="579"/>
    </row>
    <row r="13" spans="1:50" ht="14.25" customHeight="1">
      <c r="B13" s="580"/>
      <c r="C13" s="179">
        <v>7</v>
      </c>
      <c r="D13" s="182" t="s">
        <v>390</v>
      </c>
      <c r="E13" s="183">
        <v>3</v>
      </c>
      <c r="F13" s="179">
        <v>3600</v>
      </c>
      <c r="G13" s="184">
        <f t="shared" si="1"/>
        <v>1200</v>
      </c>
      <c r="H13" s="581"/>
      <c r="I13" s="185">
        <f t="shared" si="16"/>
        <v>3</v>
      </c>
      <c r="J13" s="185">
        <f t="shared" si="2"/>
        <v>3187.6544787857465</v>
      </c>
      <c r="K13" s="186">
        <f t="shared" si="2"/>
        <v>1062.5514929285823</v>
      </c>
      <c r="L13" s="582"/>
      <c r="M13" s="185">
        <f>RANK(K13, K$7:$K$43)</f>
        <v>7</v>
      </c>
      <c r="N13" s="585"/>
      <c r="O13" s="584"/>
      <c r="P13" s="187">
        <v>3</v>
      </c>
      <c r="Q13" s="187">
        <v>3186.2659073571767</v>
      </c>
      <c r="R13" s="184">
        <f t="shared" si="3"/>
        <v>1062.0886357857255</v>
      </c>
      <c r="S13" s="181">
        <f t="shared" si="4"/>
        <v>8</v>
      </c>
      <c r="T13" s="579"/>
      <c r="U13" s="187">
        <v>3</v>
      </c>
      <c r="V13" s="187">
        <v>3187.3459073571762</v>
      </c>
      <c r="W13" s="184">
        <f t="shared" si="0"/>
        <v>1062.4486357857254</v>
      </c>
      <c r="X13" s="181">
        <f t="shared" si="5"/>
        <v>8</v>
      </c>
      <c r="Y13" s="579"/>
      <c r="Z13" s="187">
        <v>3</v>
      </c>
      <c r="AA13" s="187">
        <v>3188.4259073571761</v>
      </c>
      <c r="AB13" s="184">
        <f t="shared" si="6"/>
        <v>1062.8086357857253</v>
      </c>
      <c r="AC13" s="181">
        <f t="shared" si="7"/>
        <v>7</v>
      </c>
      <c r="AD13" s="579"/>
      <c r="AE13" s="187">
        <v>3</v>
      </c>
      <c r="AF13" s="187">
        <v>3187.7059073571754</v>
      </c>
      <c r="AG13" s="184">
        <f t="shared" si="8"/>
        <v>1062.5686357857251</v>
      </c>
      <c r="AH13" s="181">
        <f t="shared" si="9"/>
        <v>7</v>
      </c>
      <c r="AI13" s="579"/>
      <c r="AJ13" s="187">
        <v>3</v>
      </c>
      <c r="AK13" s="187">
        <v>3188.7859073571749</v>
      </c>
      <c r="AL13" s="184">
        <f t="shared" si="10"/>
        <v>1062.928635785725</v>
      </c>
      <c r="AM13" s="181">
        <f t="shared" si="11"/>
        <v>6</v>
      </c>
      <c r="AN13" s="579"/>
      <c r="AO13" s="187">
        <v>3</v>
      </c>
      <c r="AP13" s="187">
        <v>3188.0659073571751</v>
      </c>
      <c r="AQ13" s="184">
        <f t="shared" si="12"/>
        <v>1062.688635785725</v>
      </c>
      <c r="AR13" s="181">
        <f t="shared" si="13"/>
        <v>6</v>
      </c>
      <c r="AS13" s="579"/>
      <c r="AT13" s="187">
        <v>3</v>
      </c>
      <c r="AU13" s="187">
        <v>3186.9859073571752</v>
      </c>
      <c r="AV13" s="184">
        <f t="shared" si="14"/>
        <v>1062.3286357857251</v>
      </c>
      <c r="AW13" s="181">
        <f t="shared" si="15"/>
        <v>6</v>
      </c>
      <c r="AX13" s="579"/>
    </row>
    <row r="14" spans="1:50" ht="14.25" customHeight="1">
      <c r="B14" s="580"/>
      <c r="C14" s="179">
        <v>8</v>
      </c>
      <c r="D14" s="182" t="s">
        <v>389</v>
      </c>
      <c r="E14" s="183">
        <v>5</v>
      </c>
      <c r="F14" s="179">
        <v>3600</v>
      </c>
      <c r="G14" s="184">
        <f t="shared" si="1"/>
        <v>720</v>
      </c>
      <c r="H14" s="581"/>
      <c r="I14" s="185">
        <f t="shared" si="16"/>
        <v>5</v>
      </c>
      <c r="J14" s="185">
        <f t="shared" si="2"/>
        <v>3191.7990248403971</v>
      </c>
      <c r="K14" s="186">
        <f t="shared" si="2"/>
        <v>638.35980496807952</v>
      </c>
      <c r="L14" s="582"/>
      <c r="M14" s="185">
        <f>RANK(K14, K$7:$K$43)</f>
        <v>27</v>
      </c>
      <c r="N14" s="585"/>
      <c r="O14" s="584"/>
      <c r="P14" s="187">
        <v>5</v>
      </c>
      <c r="Q14" s="187">
        <v>3193.4961676975386</v>
      </c>
      <c r="R14" s="184">
        <f t="shared" si="3"/>
        <v>638.69923353950776</v>
      </c>
      <c r="S14" s="181">
        <f t="shared" si="4"/>
        <v>25</v>
      </c>
      <c r="T14" s="579"/>
      <c r="U14" s="187">
        <v>5</v>
      </c>
      <c r="V14" s="187">
        <v>3193.1361676975393</v>
      </c>
      <c r="W14" s="184">
        <f t="shared" si="0"/>
        <v>638.62723353950787</v>
      </c>
      <c r="X14" s="181">
        <f t="shared" si="5"/>
        <v>25</v>
      </c>
      <c r="Y14" s="579"/>
      <c r="Z14" s="187">
        <v>5</v>
      </c>
      <c r="AA14" s="187">
        <v>3191.6961676975397</v>
      </c>
      <c r="AB14" s="184">
        <f t="shared" si="6"/>
        <v>638.33923353950797</v>
      </c>
      <c r="AC14" s="181">
        <f t="shared" si="7"/>
        <v>28</v>
      </c>
      <c r="AD14" s="579"/>
      <c r="AE14" s="187">
        <v>5</v>
      </c>
      <c r="AF14" s="187">
        <v>3190.2561676975401</v>
      </c>
      <c r="AG14" s="184">
        <f t="shared" si="8"/>
        <v>638.05123353950808</v>
      </c>
      <c r="AH14" s="181">
        <f t="shared" si="9"/>
        <v>28</v>
      </c>
      <c r="AI14" s="579"/>
      <c r="AJ14" s="187">
        <v>5</v>
      </c>
      <c r="AK14" s="187">
        <v>3191.6961676975402</v>
      </c>
      <c r="AL14" s="184">
        <f t="shared" si="10"/>
        <v>638.33923353950809</v>
      </c>
      <c r="AM14" s="181">
        <f t="shared" si="11"/>
        <v>27</v>
      </c>
      <c r="AN14" s="579"/>
      <c r="AO14" s="187">
        <v>5</v>
      </c>
      <c r="AP14" s="187">
        <v>3190.9761676975404</v>
      </c>
      <c r="AQ14" s="184">
        <f t="shared" si="12"/>
        <v>638.19523353950808</v>
      </c>
      <c r="AR14" s="181">
        <f t="shared" si="13"/>
        <v>28</v>
      </c>
      <c r="AS14" s="579"/>
      <c r="AT14" s="187">
        <v>5</v>
      </c>
      <c r="AU14" s="187">
        <v>3191.3361676975405</v>
      </c>
      <c r="AV14" s="184">
        <f t="shared" si="14"/>
        <v>638.26723353950808</v>
      </c>
      <c r="AW14" s="181">
        <f t="shared" si="15"/>
        <v>28</v>
      </c>
      <c r="AX14" s="579"/>
    </row>
    <row r="15" spans="1:50" ht="14.25" customHeight="1">
      <c r="B15" s="580"/>
      <c r="C15" s="179">
        <v>9</v>
      </c>
      <c r="D15" s="182" t="s">
        <v>387</v>
      </c>
      <c r="E15" s="183">
        <v>5</v>
      </c>
      <c r="F15" s="179">
        <v>3600</v>
      </c>
      <c r="G15" s="184">
        <f t="shared" si="1"/>
        <v>720</v>
      </c>
      <c r="H15" s="581"/>
      <c r="I15" s="185">
        <f t="shared" si="16"/>
        <v>5</v>
      </c>
      <c r="J15" s="185">
        <f t="shared" si="2"/>
        <v>3197.9721358709162</v>
      </c>
      <c r="K15" s="186">
        <f t="shared" si="2"/>
        <v>639.59442717418301</v>
      </c>
      <c r="L15" s="582"/>
      <c r="M15" s="185">
        <f>RANK(K15, K$7:$K$43)</f>
        <v>23</v>
      </c>
      <c r="N15" s="585"/>
      <c r="O15" s="584"/>
      <c r="P15" s="187">
        <v>5</v>
      </c>
      <c r="Q15" s="187">
        <v>3200.78332875462</v>
      </c>
      <c r="R15" s="184">
        <f t="shared" si="3"/>
        <v>640.15666575092405</v>
      </c>
      <c r="S15" s="181">
        <f t="shared" si="4"/>
        <v>22</v>
      </c>
      <c r="T15" s="579"/>
      <c r="U15" s="187">
        <v>5</v>
      </c>
      <c r="V15" s="187">
        <v>3202.2233287546205</v>
      </c>
      <c r="W15" s="184">
        <f t="shared" si="0"/>
        <v>640.44466575092406</v>
      </c>
      <c r="X15" s="181">
        <f t="shared" si="5"/>
        <v>21</v>
      </c>
      <c r="Y15" s="579"/>
      <c r="Z15" s="187">
        <v>5</v>
      </c>
      <c r="AA15" s="187">
        <v>3196.8476587174341</v>
      </c>
      <c r="AB15" s="184">
        <f t="shared" si="6"/>
        <v>639.36953174348685</v>
      </c>
      <c r="AC15" s="181">
        <f t="shared" si="7"/>
        <v>22</v>
      </c>
      <c r="AD15" s="579"/>
      <c r="AE15" s="187">
        <v>5</v>
      </c>
      <c r="AF15" s="187">
        <v>3196.487658717434</v>
      </c>
      <c r="AG15" s="184">
        <f t="shared" si="8"/>
        <v>639.29753174348684</v>
      </c>
      <c r="AH15" s="181">
        <f t="shared" si="9"/>
        <v>24</v>
      </c>
      <c r="AI15" s="579"/>
      <c r="AJ15" s="187">
        <v>5</v>
      </c>
      <c r="AK15" s="187">
        <v>3196.8476587174341</v>
      </c>
      <c r="AL15" s="184">
        <f t="shared" si="10"/>
        <v>639.36953174348685</v>
      </c>
      <c r="AM15" s="181">
        <f t="shared" si="11"/>
        <v>23</v>
      </c>
      <c r="AN15" s="579"/>
      <c r="AO15" s="187">
        <v>5</v>
      </c>
      <c r="AP15" s="187">
        <v>3196.8476587174337</v>
      </c>
      <c r="AQ15" s="184">
        <f t="shared" si="12"/>
        <v>639.36953174348673</v>
      </c>
      <c r="AR15" s="181">
        <f t="shared" si="13"/>
        <v>23</v>
      </c>
      <c r="AS15" s="579"/>
      <c r="AT15" s="187">
        <v>5</v>
      </c>
      <c r="AU15" s="187">
        <v>3195.7676587174337</v>
      </c>
      <c r="AV15" s="184">
        <f t="shared" si="14"/>
        <v>639.15353174348672</v>
      </c>
      <c r="AW15" s="181">
        <f t="shared" si="15"/>
        <v>23</v>
      </c>
      <c r="AX15" s="579"/>
    </row>
    <row r="16" spans="1:50" ht="14.25" customHeight="1">
      <c r="B16" s="580"/>
      <c r="C16" s="179">
        <v>10</v>
      </c>
      <c r="D16" s="182" t="s">
        <v>228</v>
      </c>
      <c r="E16" s="183">
        <v>3</v>
      </c>
      <c r="F16" s="179">
        <v>3000</v>
      </c>
      <c r="G16" s="184">
        <f t="shared" si="1"/>
        <v>1000</v>
      </c>
      <c r="H16" s="581"/>
      <c r="I16" s="185">
        <f t="shared" si="16"/>
        <v>3</v>
      </c>
      <c r="J16" s="185">
        <f t="shared" si="2"/>
        <v>2718.2064514543795</v>
      </c>
      <c r="K16" s="186">
        <f t="shared" si="2"/>
        <v>906.06881715145994</v>
      </c>
      <c r="L16" s="582"/>
      <c r="M16" s="185">
        <f>RANK(K16, K$7:$K$43)</f>
        <v>13</v>
      </c>
      <c r="N16" s="585"/>
      <c r="O16" s="584"/>
      <c r="P16" s="187">
        <v>3</v>
      </c>
      <c r="Q16" s="187">
        <v>2717.9921657400932</v>
      </c>
      <c r="R16" s="184">
        <f t="shared" si="3"/>
        <v>905.99738858003104</v>
      </c>
      <c r="S16" s="181">
        <f t="shared" si="4"/>
        <v>13</v>
      </c>
      <c r="T16" s="579"/>
      <c r="U16" s="187">
        <v>3</v>
      </c>
      <c r="V16" s="187">
        <v>2719.1921657400931</v>
      </c>
      <c r="W16" s="184">
        <f t="shared" si="0"/>
        <v>906.39738858003102</v>
      </c>
      <c r="X16" s="181">
        <f t="shared" si="5"/>
        <v>13</v>
      </c>
      <c r="Y16" s="579"/>
      <c r="Z16" s="187">
        <v>3</v>
      </c>
      <c r="AA16" s="187">
        <v>2718.8921657400938</v>
      </c>
      <c r="AB16" s="184">
        <f t="shared" si="6"/>
        <v>906.29738858003122</v>
      </c>
      <c r="AC16" s="181">
        <f t="shared" si="7"/>
        <v>13</v>
      </c>
      <c r="AD16" s="579"/>
      <c r="AE16" s="187">
        <v>3</v>
      </c>
      <c r="AF16" s="187">
        <v>2717.9921657400937</v>
      </c>
      <c r="AG16" s="184">
        <f t="shared" si="8"/>
        <v>905.99738858003127</v>
      </c>
      <c r="AH16" s="181">
        <f t="shared" si="9"/>
        <v>13</v>
      </c>
      <c r="AI16" s="579"/>
      <c r="AJ16" s="187">
        <v>3</v>
      </c>
      <c r="AK16" s="187">
        <v>2718.2921657400939</v>
      </c>
      <c r="AL16" s="184">
        <f t="shared" si="10"/>
        <v>906.09738858003129</v>
      </c>
      <c r="AM16" s="181">
        <f t="shared" si="11"/>
        <v>14</v>
      </c>
      <c r="AN16" s="579"/>
      <c r="AO16" s="187">
        <v>3</v>
      </c>
      <c r="AP16" s="187">
        <v>2717.0921657400936</v>
      </c>
      <c r="AQ16" s="184">
        <f t="shared" si="12"/>
        <v>905.6973885800312</v>
      </c>
      <c r="AR16" s="181">
        <f t="shared" si="13"/>
        <v>15</v>
      </c>
      <c r="AS16" s="579"/>
      <c r="AT16" s="187">
        <v>3</v>
      </c>
      <c r="AU16" s="187">
        <v>2717.9921657400942</v>
      </c>
      <c r="AV16" s="184">
        <f t="shared" si="14"/>
        <v>905.99738858003138</v>
      </c>
      <c r="AW16" s="181">
        <f t="shared" si="15"/>
        <v>14</v>
      </c>
      <c r="AX16" s="579"/>
    </row>
    <row r="17" spans="2:50" ht="14.25" customHeight="1">
      <c r="B17" s="580"/>
      <c r="C17" s="179">
        <v>11</v>
      </c>
      <c r="D17" s="182" t="s">
        <v>440</v>
      </c>
      <c r="E17" s="183">
        <v>12</v>
      </c>
      <c r="F17" s="179">
        <v>3600</v>
      </c>
      <c r="G17" s="184">
        <f t="shared" si="1"/>
        <v>300</v>
      </c>
      <c r="H17" s="581"/>
      <c r="I17" s="185">
        <f t="shared" si="16"/>
        <v>12</v>
      </c>
      <c r="J17" s="185">
        <f t="shared" si="2"/>
        <v>3116.6325099237552</v>
      </c>
      <c r="K17" s="186">
        <f t="shared" si="2"/>
        <v>259.71937582697961</v>
      </c>
      <c r="L17" s="582"/>
      <c r="M17" s="185">
        <f>RANK(K17, K$7:$K$43)</f>
        <v>35</v>
      </c>
      <c r="N17" s="585"/>
      <c r="O17" s="584"/>
      <c r="P17" s="187">
        <v>12</v>
      </c>
      <c r="Q17" s="187">
        <v>3114.4210813523268</v>
      </c>
      <c r="R17" s="184">
        <f t="shared" si="3"/>
        <v>259.53509011269392</v>
      </c>
      <c r="S17" s="181">
        <f t="shared" si="4"/>
        <v>34</v>
      </c>
      <c r="T17" s="579"/>
      <c r="U17" s="187">
        <v>12</v>
      </c>
      <c r="V17" s="187">
        <v>3115.8610813523269</v>
      </c>
      <c r="W17" s="184">
        <f t="shared" si="0"/>
        <v>259.65509011269393</v>
      </c>
      <c r="X17" s="181">
        <f t="shared" si="5"/>
        <v>35</v>
      </c>
      <c r="Y17" s="579"/>
      <c r="Z17" s="187">
        <v>12</v>
      </c>
      <c r="AA17" s="187">
        <v>3116.9410813523268</v>
      </c>
      <c r="AB17" s="184">
        <f t="shared" si="6"/>
        <v>259.7450901126939</v>
      </c>
      <c r="AC17" s="181">
        <f t="shared" si="7"/>
        <v>34</v>
      </c>
      <c r="AD17" s="579"/>
      <c r="AE17" s="187">
        <v>12</v>
      </c>
      <c r="AF17" s="187">
        <v>3118.7410813523265</v>
      </c>
      <c r="AG17" s="184">
        <f t="shared" si="8"/>
        <v>259.89509011269388</v>
      </c>
      <c r="AH17" s="181">
        <f t="shared" si="9"/>
        <v>34</v>
      </c>
      <c r="AI17" s="579"/>
      <c r="AJ17" s="187">
        <v>12</v>
      </c>
      <c r="AK17" s="187">
        <v>3117.6610813523266</v>
      </c>
      <c r="AL17" s="184">
        <f t="shared" si="10"/>
        <v>259.8050901126939</v>
      </c>
      <c r="AM17" s="181">
        <f t="shared" si="11"/>
        <v>34</v>
      </c>
      <c r="AN17" s="579"/>
      <c r="AO17" s="187">
        <v>12</v>
      </c>
      <c r="AP17" s="187">
        <v>3115.8610813523269</v>
      </c>
      <c r="AQ17" s="184">
        <f t="shared" si="12"/>
        <v>259.65509011269393</v>
      </c>
      <c r="AR17" s="181">
        <f t="shared" si="13"/>
        <v>35</v>
      </c>
      <c r="AS17" s="579"/>
      <c r="AT17" s="187">
        <v>12</v>
      </c>
      <c r="AU17" s="187">
        <v>3116.9410813523264</v>
      </c>
      <c r="AV17" s="184">
        <f t="shared" si="14"/>
        <v>259.74509011269384</v>
      </c>
      <c r="AW17" s="181">
        <f t="shared" si="15"/>
        <v>35</v>
      </c>
      <c r="AX17" s="579"/>
    </row>
    <row r="18" spans="2:50" ht="14.25" customHeight="1">
      <c r="B18" s="580"/>
      <c r="C18" s="179">
        <v>12</v>
      </c>
      <c r="D18" s="182" t="s">
        <v>458</v>
      </c>
      <c r="E18" s="183">
        <v>3</v>
      </c>
      <c r="F18" s="179">
        <v>3300</v>
      </c>
      <c r="G18" s="184">
        <f t="shared" si="1"/>
        <v>1100</v>
      </c>
      <c r="H18" s="581"/>
      <c r="I18" s="185">
        <f t="shared" si="16"/>
        <v>3</v>
      </c>
      <c r="J18" s="185">
        <f t="shared" si="2"/>
        <v>2988.9164391041004</v>
      </c>
      <c r="K18" s="186">
        <f t="shared" si="2"/>
        <v>996.30547970136661</v>
      </c>
      <c r="L18" s="582"/>
      <c r="M18" s="185">
        <f>RANK(K18, K$7:$K$43)</f>
        <v>11</v>
      </c>
      <c r="N18" s="585"/>
      <c r="O18" s="584"/>
      <c r="P18" s="187">
        <v>3</v>
      </c>
      <c r="Q18" s="187">
        <v>2989.8592962469575</v>
      </c>
      <c r="R18" s="184">
        <f t="shared" si="3"/>
        <v>996.61976541565252</v>
      </c>
      <c r="S18" s="181">
        <f t="shared" si="4"/>
        <v>10</v>
      </c>
      <c r="T18" s="579"/>
      <c r="U18" s="187">
        <v>3</v>
      </c>
      <c r="V18" s="187">
        <v>2989.5292962469575</v>
      </c>
      <c r="W18" s="184">
        <f t="shared" si="0"/>
        <v>996.50976541565251</v>
      </c>
      <c r="X18" s="181">
        <f t="shared" si="5"/>
        <v>11</v>
      </c>
      <c r="Y18" s="579"/>
      <c r="Z18" s="187">
        <v>3</v>
      </c>
      <c r="AA18" s="187">
        <v>2989.1992962469576</v>
      </c>
      <c r="AB18" s="184">
        <f t="shared" si="6"/>
        <v>996.3997654156525</v>
      </c>
      <c r="AC18" s="181">
        <f t="shared" si="7"/>
        <v>10</v>
      </c>
      <c r="AD18" s="579"/>
      <c r="AE18" s="187">
        <v>3</v>
      </c>
      <c r="AF18" s="187">
        <v>2987.8792962469574</v>
      </c>
      <c r="AG18" s="184">
        <f t="shared" si="8"/>
        <v>995.95976541565244</v>
      </c>
      <c r="AH18" s="181">
        <f t="shared" si="9"/>
        <v>11</v>
      </c>
      <c r="AI18" s="579"/>
      <c r="AJ18" s="187">
        <v>3</v>
      </c>
      <c r="AK18" s="187">
        <v>2988.8692962469572</v>
      </c>
      <c r="AL18" s="184">
        <f t="shared" si="10"/>
        <v>996.28976541565237</v>
      </c>
      <c r="AM18" s="181">
        <f t="shared" si="11"/>
        <v>11</v>
      </c>
      <c r="AN18" s="579"/>
      <c r="AO18" s="187">
        <v>3</v>
      </c>
      <c r="AP18" s="187">
        <v>2989.1992962469571</v>
      </c>
      <c r="AQ18" s="184">
        <f t="shared" si="12"/>
        <v>996.39976541565238</v>
      </c>
      <c r="AR18" s="181">
        <f t="shared" si="13"/>
        <v>10</v>
      </c>
      <c r="AS18" s="579"/>
      <c r="AT18" s="187">
        <v>3</v>
      </c>
      <c r="AU18" s="187">
        <v>2987.8792962469574</v>
      </c>
      <c r="AV18" s="184">
        <f t="shared" si="14"/>
        <v>995.95976541565244</v>
      </c>
      <c r="AW18" s="181">
        <f t="shared" si="15"/>
        <v>11</v>
      </c>
      <c r="AX18" s="579"/>
    </row>
    <row r="19" spans="2:50" ht="14.25" customHeight="1">
      <c r="B19" s="580"/>
      <c r="C19" s="179">
        <v>13</v>
      </c>
      <c r="D19" s="182" t="s">
        <v>539</v>
      </c>
      <c r="E19" s="183">
        <v>3</v>
      </c>
      <c r="F19" s="179">
        <v>3600</v>
      </c>
      <c r="G19" s="184">
        <f t="shared" si="1"/>
        <v>1200</v>
      </c>
      <c r="H19" s="581"/>
      <c r="I19" s="185">
        <f t="shared" si="16"/>
        <v>3</v>
      </c>
      <c r="J19" s="185">
        <f t="shared" si="2"/>
        <v>3189.6593122287936</v>
      </c>
      <c r="K19" s="186">
        <f t="shared" si="2"/>
        <v>1063.2197707429314</v>
      </c>
      <c r="L19" s="582"/>
      <c r="M19" s="185">
        <f>RANK(K19, K$7:$K$43)</f>
        <v>5</v>
      </c>
      <c r="N19" s="585"/>
      <c r="O19" s="584"/>
      <c r="P19" s="187">
        <v>3</v>
      </c>
      <c r="Q19" s="187">
        <v>3187.7888959467377</v>
      </c>
      <c r="R19" s="184">
        <f t="shared" si="3"/>
        <v>1062.5962986489126</v>
      </c>
      <c r="S19" s="181">
        <f t="shared" si="4"/>
        <v>7</v>
      </c>
      <c r="T19" s="579"/>
      <c r="U19" s="187">
        <v>3</v>
      </c>
      <c r="V19" s="187">
        <v>3189.2288959467382</v>
      </c>
      <c r="W19" s="184">
        <f t="shared" si="0"/>
        <v>1063.0762986489128</v>
      </c>
      <c r="X19" s="181">
        <f t="shared" si="5"/>
        <v>6</v>
      </c>
      <c r="Y19" s="579"/>
      <c r="Z19" s="187">
        <v>3</v>
      </c>
      <c r="AA19" s="187">
        <v>3191.8474787416162</v>
      </c>
      <c r="AB19" s="184">
        <f t="shared" si="6"/>
        <v>1063.9491595805387</v>
      </c>
      <c r="AC19" s="181">
        <f t="shared" si="7"/>
        <v>4</v>
      </c>
      <c r="AD19" s="579"/>
      <c r="AE19" s="187">
        <v>3</v>
      </c>
      <c r="AF19" s="187">
        <v>3190.7674787416158</v>
      </c>
      <c r="AG19" s="184">
        <f t="shared" si="8"/>
        <v>1063.5891595805385</v>
      </c>
      <c r="AH19" s="181">
        <f t="shared" si="9"/>
        <v>5</v>
      </c>
      <c r="AI19" s="579"/>
      <c r="AJ19" s="187">
        <v>3</v>
      </c>
      <c r="AK19" s="187">
        <v>3189.6874787416164</v>
      </c>
      <c r="AL19" s="184">
        <f t="shared" si="10"/>
        <v>1063.2291595805389</v>
      </c>
      <c r="AM19" s="181">
        <f t="shared" si="11"/>
        <v>4</v>
      </c>
      <c r="AN19" s="579"/>
      <c r="AO19" s="187">
        <v>3</v>
      </c>
      <c r="AP19" s="187">
        <v>3188.9674787416166</v>
      </c>
      <c r="AQ19" s="184">
        <f t="shared" si="12"/>
        <v>1062.9891595805389</v>
      </c>
      <c r="AR19" s="181">
        <f t="shared" si="13"/>
        <v>5</v>
      </c>
      <c r="AS19" s="579"/>
      <c r="AT19" s="187">
        <v>3</v>
      </c>
      <c r="AU19" s="187">
        <v>3189.3274787416167</v>
      </c>
      <c r="AV19" s="184">
        <f t="shared" si="14"/>
        <v>1063.109159580539</v>
      </c>
      <c r="AW19" s="181">
        <f t="shared" si="15"/>
        <v>5</v>
      </c>
      <c r="AX19" s="579"/>
    </row>
    <row r="20" spans="2:50" ht="14.25" customHeight="1">
      <c r="B20" s="580"/>
      <c r="C20" s="179">
        <v>14</v>
      </c>
      <c r="D20" s="182" t="s">
        <v>531</v>
      </c>
      <c r="E20" s="183">
        <v>5</v>
      </c>
      <c r="F20" s="179">
        <v>3600</v>
      </c>
      <c r="G20" s="184">
        <f t="shared" si="1"/>
        <v>720</v>
      </c>
      <c r="H20" s="581"/>
      <c r="I20" s="185">
        <f t="shared" si="16"/>
        <v>5</v>
      </c>
      <c r="J20" s="185">
        <f t="shared" si="2"/>
        <v>3193.0825780563705</v>
      </c>
      <c r="K20" s="186">
        <f t="shared" si="2"/>
        <v>638.61651561127405</v>
      </c>
      <c r="L20" s="582"/>
      <c r="M20" s="185">
        <f>RANK(K20, K$7:$K$43)</f>
        <v>25</v>
      </c>
      <c r="N20" s="585"/>
      <c r="O20" s="584"/>
      <c r="P20" s="187">
        <v>5</v>
      </c>
      <c r="Q20" s="187">
        <v>3194.8311494849418</v>
      </c>
      <c r="R20" s="184">
        <f t="shared" si="3"/>
        <v>638.96622989698835</v>
      </c>
      <c r="S20" s="181">
        <f t="shared" si="4"/>
        <v>23</v>
      </c>
      <c r="T20" s="579"/>
      <c r="U20" s="187">
        <v>5</v>
      </c>
      <c r="V20" s="187">
        <v>3193.031149484942</v>
      </c>
      <c r="W20" s="184">
        <f t="shared" si="0"/>
        <v>638.60622989698845</v>
      </c>
      <c r="X20" s="181">
        <f t="shared" si="5"/>
        <v>26</v>
      </c>
      <c r="Y20" s="579"/>
      <c r="Z20" s="187">
        <v>5</v>
      </c>
      <c r="AA20" s="187">
        <v>3191.9511494849421</v>
      </c>
      <c r="AB20" s="184">
        <f t="shared" si="6"/>
        <v>638.39022989698844</v>
      </c>
      <c r="AC20" s="181">
        <f t="shared" si="7"/>
        <v>26</v>
      </c>
      <c r="AD20" s="579"/>
      <c r="AE20" s="187">
        <v>5</v>
      </c>
      <c r="AF20" s="187">
        <v>3191.5911494849424</v>
      </c>
      <c r="AG20" s="184">
        <f t="shared" si="8"/>
        <v>638.31822989698844</v>
      </c>
      <c r="AH20" s="181">
        <f t="shared" si="9"/>
        <v>27</v>
      </c>
      <c r="AI20" s="579"/>
      <c r="AJ20" s="187">
        <v>5</v>
      </c>
      <c r="AK20" s="187">
        <v>3191.9511494849421</v>
      </c>
      <c r="AL20" s="184">
        <f t="shared" si="10"/>
        <v>638.39022989698844</v>
      </c>
      <c r="AM20" s="181">
        <f t="shared" si="11"/>
        <v>25</v>
      </c>
      <c r="AN20" s="579"/>
      <c r="AO20" s="187">
        <v>5</v>
      </c>
      <c r="AP20" s="187">
        <v>3193.3911494849417</v>
      </c>
      <c r="AQ20" s="184">
        <f t="shared" si="12"/>
        <v>638.67822989698834</v>
      </c>
      <c r="AR20" s="181">
        <f t="shared" si="13"/>
        <v>25</v>
      </c>
      <c r="AS20" s="579"/>
      <c r="AT20" s="187">
        <v>5</v>
      </c>
      <c r="AU20" s="187">
        <v>3194.8311494849413</v>
      </c>
      <c r="AV20" s="184">
        <f t="shared" si="14"/>
        <v>638.96622989698824</v>
      </c>
      <c r="AW20" s="181">
        <f t="shared" si="15"/>
        <v>24</v>
      </c>
      <c r="AX20" s="579"/>
    </row>
    <row r="21" spans="2:50" ht="14.25" customHeight="1">
      <c r="B21" s="580"/>
      <c r="C21" s="179">
        <v>15</v>
      </c>
      <c r="D21" s="182" t="s">
        <v>599</v>
      </c>
      <c r="E21" s="183">
        <v>3</v>
      </c>
      <c r="F21" s="179">
        <v>3600</v>
      </c>
      <c r="G21" s="184">
        <f t="shared" si="1"/>
        <v>1200</v>
      </c>
      <c r="H21" s="581"/>
      <c r="I21" s="185">
        <f t="shared" si="16"/>
        <v>3</v>
      </c>
      <c r="J21" s="185">
        <f t="shared" si="2"/>
        <v>3197.3008393122423</v>
      </c>
      <c r="K21" s="186">
        <f t="shared" si="2"/>
        <v>1065.7669464374139</v>
      </c>
      <c r="L21" s="582"/>
      <c r="M21" s="185">
        <f>RANK(K21, K$7:$K$43)</f>
        <v>1</v>
      </c>
      <c r="N21" s="585"/>
      <c r="O21" s="584"/>
      <c r="P21" s="187">
        <v>3</v>
      </c>
      <c r="Q21" s="187">
        <v>3197.1979821693844</v>
      </c>
      <c r="R21" s="184">
        <f t="shared" si="3"/>
        <v>1065.7326607231282</v>
      </c>
      <c r="S21" s="181">
        <f t="shared" si="4"/>
        <v>1</v>
      </c>
      <c r="T21" s="579"/>
      <c r="U21" s="187">
        <v>3</v>
      </c>
      <c r="V21" s="187">
        <v>3198.2779821693848</v>
      </c>
      <c r="W21" s="184">
        <f t="shared" si="0"/>
        <v>1066.0926607231283</v>
      </c>
      <c r="X21" s="181">
        <f t="shared" si="5"/>
        <v>1</v>
      </c>
      <c r="Y21" s="579"/>
      <c r="Z21" s="187">
        <v>3</v>
      </c>
      <c r="AA21" s="187">
        <v>3199.7179821693849</v>
      </c>
      <c r="AB21" s="184">
        <f t="shared" si="6"/>
        <v>1066.5726607231284</v>
      </c>
      <c r="AC21" s="181">
        <f t="shared" si="7"/>
        <v>1</v>
      </c>
      <c r="AD21" s="579"/>
      <c r="AE21" s="187">
        <v>3</v>
      </c>
      <c r="AF21" s="187">
        <v>3198.2779821693853</v>
      </c>
      <c r="AG21" s="184">
        <f t="shared" si="8"/>
        <v>1066.0926607231283</v>
      </c>
      <c r="AH21" s="181">
        <f t="shared" si="9"/>
        <v>1</v>
      </c>
      <c r="AI21" s="579"/>
      <c r="AJ21" s="187">
        <v>3</v>
      </c>
      <c r="AK21" s="187">
        <v>3196.8379821693852</v>
      </c>
      <c r="AL21" s="184">
        <f t="shared" si="10"/>
        <v>1065.6126607231283</v>
      </c>
      <c r="AM21" s="181">
        <f t="shared" si="11"/>
        <v>2</v>
      </c>
      <c r="AN21" s="579"/>
      <c r="AO21" s="187">
        <v>3</v>
      </c>
      <c r="AP21" s="187">
        <v>3195.7579821693848</v>
      </c>
      <c r="AQ21" s="184">
        <f t="shared" si="12"/>
        <v>1065.2526607231282</v>
      </c>
      <c r="AR21" s="181">
        <f t="shared" si="13"/>
        <v>2</v>
      </c>
      <c r="AS21" s="579"/>
      <c r="AT21" s="187">
        <v>3</v>
      </c>
      <c r="AU21" s="187">
        <v>3195.0379821693846</v>
      </c>
      <c r="AV21" s="184">
        <f t="shared" si="14"/>
        <v>1065.0126607231282</v>
      </c>
      <c r="AW21" s="181">
        <f t="shared" si="15"/>
        <v>3</v>
      </c>
      <c r="AX21" s="579"/>
    </row>
    <row r="22" spans="2:50" ht="14.25" customHeight="1">
      <c r="B22" s="580"/>
      <c r="C22" s="179">
        <v>16</v>
      </c>
      <c r="D22" s="182" t="s">
        <v>580</v>
      </c>
      <c r="E22" s="183">
        <v>3</v>
      </c>
      <c r="F22" s="179">
        <v>3300</v>
      </c>
      <c r="G22" s="184">
        <f t="shared" si="1"/>
        <v>1100</v>
      </c>
      <c r="H22" s="581"/>
      <c r="I22" s="185">
        <f t="shared" si="16"/>
        <v>3</v>
      </c>
      <c r="J22" s="185">
        <f t="shared" si="2"/>
        <v>2976.3645245226871</v>
      </c>
      <c r="K22" s="186">
        <f t="shared" si="2"/>
        <v>992.12150817422901</v>
      </c>
      <c r="L22" s="582"/>
      <c r="M22" s="185">
        <f>RANK(K22, K$7:$K$43)</f>
        <v>12</v>
      </c>
      <c r="N22" s="585"/>
      <c r="O22" s="584"/>
      <c r="P22" s="187">
        <v>3</v>
      </c>
      <c r="Q22" s="187">
        <v>2976.4588102369735</v>
      </c>
      <c r="R22" s="184">
        <f t="shared" si="3"/>
        <v>992.15293674565783</v>
      </c>
      <c r="S22" s="181">
        <f t="shared" si="4"/>
        <v>12</v>
      </c>
      <c r="T22" s="579"/>
      <c r="U22" s="187">
        <v>3</v>
      </c>
      <c r="V22" s="187">
        <v>2976.7888102369734</v>
      </c>
      <c r="W22" s="184">
        <f t="shared" si="0"/>
        <v>992.26293674565784</v>
      </c>
      <c r="X22" s="181">
        <f t="shared" si="5"/>
        <v>12</v>
      </c>
      <c r="Y22" s="579"/>
      <c r="Z22" s="187">
        <v>3</v>
      </c>
      <c r="AA22" s="187">
        <v>2978.1088102369731</v>
      </c>
      <c r="AB22" s="184">
        <f t="shared" si="6"/>
        <v>992.70293674565767</v>
      </c>
      <c r="AC22" s="181">
        <f t="shared" si="7"/>
        <v>12</v>
      </c>
      <c r="AD22" s="579"/>
      <c r="AE22" s="187">
        <v>3</v>
      </c>
      <c r="AF22" s="187">
        <v>2977.1188102369724</v>
      </c>
      <c r="AG22" s="184">
        <f t="shared" si="8"/>
        <v>992.37293674565751</v>
      </c>
      <c r="AH22" s="181">
        <f t="shared" si="9"/>
        <v>12</v>
      </c>
      <c r="AI22" s="579"/>
      <c r="AJ22" s="187">
        <v>3</v>
      </c>
      <c r="AK22" s="187">
        <v>2976.788810236972</v>
      </c>
      <c r="AL22" s="184">
        <f t="shared" si="10"/>
        <v>992.26293674565738</v>
      </c>
      <c r="AM22" s="181">
        <f t="shared" si="11"/>
        <v>12</v>
      </c>
      <c r="AN22" s="579"/>
      <c r="AO22" s="187">
        <v>3</v>
      </c>
      <c r="AP22" s="187">
        <v>2975.1388102369719</v>
      </c>
      <c r="AQ22" s="184">
        <f t="shared" si="12"/>
        <v>991.71293674565732</v>
      </c>
      <c r="AR22" s="181">
        <f t="shared" si="13"/>
        <v>12</v>
      </c>
      <c r="AS22" s="579"/>
      <c r="AT22" s="187">
        <v>3</v>
      </c>
      <c r="AU22" s="187">
        <v>2974.1488102369722</v>
      </c>
      <c r="AV22" s="184">
        <f t="shared" si="14"/>
        <v>991.38293674565739</v>
      </c>
      <c r="AW22" s="181">
        <f t="shared" si="15"/>
        <v>12</v>
      </c>
      <c r="AX22" s="579"/>
    </row>
    <row r="23" spans="2:50" ht="14.25" customHeight="1">
      <c r="B23" s="580"/>
      <c r="C23" s="179">
        <v>17</v>
      </c>
      <c r="D23" s="182" t="s">
        <v>400</v>
      </c>
      <c r="E23" s="183">
        <v>5</v>
      </c>
      <c r="F23" s="179">
        <v>3600</v>
      </c>
      <c r="G23" s="184">
        <f t="shared" si="1"/>
        <v>720</v>
      </c>
      <c r="H23" s="581"/>
      <c r="I23" s="185">
        <f t="shared" si="16"/>
        <v>5</v>
      </c>
      <c r="J23" s="185">
        <f t="shared" si="2"/>
        <v>3192.2736116571677</v>
      </c>
      <c r="K23" s="186">
        <f t="shared" si="2"/>
        <v>638.45472233143357</v>
      </c>
      <c r="L23" s="582"/>
      <c r="M23" s="185">
        <f>RANK(K23, K$7:$K$43)</f>
        <v>26</v>
      </c>
      <c r="N23" s="585"/>
      <c r="O23" s="584"/>
      <c r="P23" s="187">
        <v>5</v>
      </c>
      <c r="Q23" s="187">
        <v>3192.0678973714535</v>
      </c>
      <c r="R23" s="184">
        <f t="shared" si="3"/>
        <v>638.41357947429071</v>
      </c>
      <c r="S23" s="181">
        <f t="shared" si="4"/>
        <v>26</v>
      </c>
      <c r="T23" s="579"/>
      <c r="U23" s="187">
        <v>5</v>
      </c>
      <c r="V23" s="187">
        <v>3193.1478973714534</v>
      </c>
      <c r="W23" s="184">
        <f t="shared" si="0"/>
        <v>638.62957947429072</v>
      </c>
      <c r="X23" s="181">
        <f t="shared" si="5"/>
        <v>24</v>
      </c>
      <c r="Y23" s="579"/>
      <c r="Z23" s="187">
        <v>5</v>
      </c>
      <c r="AA23" s="187">
        <v>3194.2278973714533</v>
      </c>
      <c r="AB23" s="184">
        <f t="shared" si="6"/>
        <v>638.84557947429062</v>
      </c>
      <c r="AC23" s="181">
        <f t="shared" si="7"/>
        <v>25</v>
      </c>
      <c r="AD23" s="579"/>
      <c r="AE23" s="187">
        <v>5</v>
      </c>
      <c r="AF23" s="187">
        <v>3192.7878973714528</v>
      </c>
      <c r="AG23" s="184">
        <f t="shared" si="8"/>
        <v>638.55757947429061</v>
      </c>
      <c r="AH23" s="181">
        <f t="shared" si="9"/>
        <v>25</v>
      </c>
      <c r="AI23" s="579"/>
      <c r="AJ23" s="187">
        <v>5</v>
      </c>
      <c r="AK23" s="187">
        <v>3191.3478973714537</v>
      </c>
      <c r="AL23" s="184">
        <f t="shared" si="10"/>
        <v>638.26957947429071</v>
      </c>
      <c r="AM23" s="181">
        <f t="shared" si="11"/>
        <v>28</v>
      </c>
      <c r="AN23" s="579"/>
      <c r="AO23" s="187">
        <v>5</v>
      </c>
      <c r="AP23" s="187">
        <v>3190.9878973714531</v>
      </c>
      <c r="AQ23" s="184">
        <f t="shared" si="12"/>
        <v>638.19757947429059</v>
      </c>
      <c r="AR23" s="181">
        <f t="shared" si="13"/>
        <v>27</v>
      </c>
      <c r="AS23" s="579"/>
      <c r="AT23" s="187">
        <v>5</v>
      </c>
      <c r="AU23" s="187">
        <v>3191.3478973714537</v>
      </c>
      <c r="AV23" s="184">
        <f t="shared" si="14"/>
        <v>638.26957947429071</v>
      </c>
      <c r="AW23" s="181">
        <f t="shared" si="15"/>
        <v>27</v>
      </c>
      <c r="AX23" s="579"/>
    </row>
    <row r="24" spans="2:50" ht="14.25" customHeight="1">
      <c r="B24" s="580"/>
      <c r="C24" s="179">
        <v>18</v>
      </c>
      <c r="D24" s="182" t="s">
        <v>399</v>
      </c>
      <c r="E24" s="183">
        <v>3</v>
      </c>
      <c r="F24" s="179">
        <v>3600</v>
      </c>
      <c r="G24" s="184">
        <f t="shared" si="1"/>
        <v>1200</v>
      </c>
      <c r="H24" s="581"/>
      <c r="I24" s="185">
        <f t="shared" si="16"/>
        <v>3</v>
      </c>
      <c r="J24" s="185">
        <f t="shared" si="2"/>
        <v>3185.8082678776441</v>
      </c>
      <c r="K24" s="186">
        <f t="shared" si="2"/>
        <v>1061.9360892925479</v>
      </c>
      <c r="L24" s="582"/>
      <c r="M24" s="185">
        <f>RANK(K24, K$7:$K$43)</f>
        <v>9</v>
      </c>
      <c r="N24" s="585"/>
      <c r="O24" s="584"/>
      <c r="P24" s="187">
        <v>3</v>
      </c>
      <c r="Q24" s="187">
        <v>3185.4482678776444</v>
      </c>
      <c r="R24" s="184">
        <f t="shared" si="3"/>
        <v>1061.8160892925482</v>
      </c>
      <c r="S24" s="181">
        <f t="shared" si="4"/>
        <v>9</v>
      </c>
      <c r="T24" s="579"/>
      <c r="U24" s="187">
        <v>3</v>
      </c>
      <c r="V24" s="187">
        <v>3184.7282678776446</v>
      </c>
      <c r="W24" s="184">
        <f t="shared" si="0"/>
        <v>1061.5760892925482</v>
      </c>
      <c r="X24" s="181">
        <f t="shared" si="5"/>
        <v>9</v>
      </c>
      <c r="Y24" s="579"/>
      <c r="Z24" s="187">
        <v>3</v>
      </c>
      <c r="AA24" s="187">
        <v>3186.1682678776438</v>
      </c>
      <c r="AB24" s="184">
        <f t="shared" si="6"/>
        <v>1062.056089292548</v>
      </c>
      <c r="AC24" s="181">
        <f t="shared" si="7"/>
        <v>9</v>
      </c>
      <c r="AD24" s="579"/>
      <c r="AE24" s="187">
        <v>3</v>
      </c>
      <c r="AF24" s="187">
        <v>3185.448267877644</v>
      </c>
      <c r="AG24" s="184">
        <f t="shared" si="8"/>
        <v>1061.816089292548</v>
      </c>
      <c r="AH24" s="181">
        <f t="shared" si="9"/>
        <v>9</v>
      </c>
      <c r="AI24" s="579"/>
      <c r="AJ24" s="187">
        <v>3</v>
      </c>
      <c r="AK24" s="187">
        <v>3186.5282678776439</v>
      </c>
      <c r="AL24" s="184">
        <f t="shared" si="10"/>
        <v>1062.1760892925479</v>
      </c>
      <c r="AM24" s="181">
        <f t="shared" si="11"/>
        <v>8</v>
      </c>
      <c r="AN24" s="579"/>
      <c r="AO24" s="187">
        <v>3</v>
      </c>
      <c r="AP24" s="187">
        <v>3186.1682678776438</v>
      </c>
      <c r="AQ24" s="184">
        <f t="shared" si="12"/>
        <v>1062.056089292548</v>
      </c>
      <c r="AR24" s="181">
        <f t="shared" si="13"/>
        <v>8</v>
      </c>
      <c r="AS24" s="579"/>
      <c r="AT24" s="187">
        <v>3</v>
      </c>
      <c r="AU24" s="187">
        <v>3186.1682678776438</v>
      </c>
      <c r="AV24" s="184">
        <f t="shared" si="14"/>
        <v>1062.056089292548</v>
      </c>
      <c r="AW24" s="181">
        <f t="shared" si="15"/>
        <v>9</v>
      </c>
      <c r="AX24" s="579"/>
    </row>
    <row r="25" spans="2:50" ht="14.25" customHeight="1">
      <c r="B25" s="580"/>
      <c r="C25" s="179">
        <v>19</v>
      </c>
      <c r="D25" s="182" t="s">
        <v>401</v>
      </c>
      <c r="E25" s="183">
        <v>4</v>
      </c>
      <c r="F25" s="179">
        <v>3300</v>
      </c>
      <c r="G25" s="184">
        <f t="shared" si="1"/>
        <v>825</v>
      </c>
      <c r="H25" s="581"/>
      <c r="I25" s="185">
        <f t="shared" si="16"/>
        <v>4</v>
      </c>
      <c r="J25" s="185">
        <f t="shared" si="2"/>
        <v>2989.7999999999997</v>
      </c>
      <c r="K25" s="186">
        <f t="shared" si="2"/>
        <v>747.44999999999993</v>
      </c>
      <c r="L25" s="582"/>
      <c r="M25" s="185">
        <f>RANK(K25, K$7:$K$43)</f>
        <v>18</v>
      </c>
      <c r="N25" s="585"/>
      <c r="O25" s="584"/>
      <c r="P25" s="187">
        <v>4</v>
      </c>
      <c r="Q25" s="187">
        <v>2989.8</v>
      </c>
      <c r="R25" s="184">
        <f t="shared" si="3"/>
        <v>747.45</v>
      </c>
      <c r="S25" s="181">
        <f t="shared" si="4"/>
        <v>18</v>
      </c>
      <c r="T25" s="579"/>
      <c r="U25" s="187">
        <v>4</v>
      </c>
      <c r="V25" s="187">
        <v>2989.8</v>
      </c>
      <c r="W25" s="184">
        <f t="shared" si="0"/>
        <v>747.45</v>
      </c>
      <c r="X25" s="181">
        <f t="shared" si="5"/>
        <v>18</v>
      </c>
      <c r="Y25" s="579"/>
      <c r="Z25" s="187">
        <v>4</v>
      </c>
      <c r="AA25" s="187">
        <v>2989.8</v>
      </c>
      <c r="AB25" s="184">
        <f t="shared" si="6"/>
        <v>747.45</v>
      </c>
      <c r="AC25" s="181">
        <f t="shared" si="7"/>
        <v>18</v>
      </c>
      <c r="AD25" s="579"/>
      <c r="AE25" s="187">
        <v>4</v>
      </c>
      <c r="AF25" s="187">
        <v>2989.7999999999997</v>
      </c>
      <c r="AG25" s="184">
        <f t="shared" si="8"/>
        <v>747.44999999999993</v>
      </c>
      <c r="AH25" s="181">
        <f t="shared" si="9"/>
        <v>19</v>
      </c>
      <c r="AI25" s="579"/>
      <c r="AJ25" s="187">
        <v>4</v>
      </c>
      <c r="AK25" s="187">
        <v>2989.8</v>
      </c>
      <c r="AL25" s="184">
        <f t="shared" si="10"/>
        <v>747.45</v>
      </c>
      <c r="AM25" s="181">
        <f t="shared" si="11"/>
        <v>18</v>
      </c>
      <c r="AN25" s="579"/>
      <c r="AO25" s="187">
        <v>4</v>
      </c>
      <c r="AP25" s="187">
        <v>2989.8</v>
      </c>
      <c r="AQ25" s="184">
        <f t="shared" si="12"/>
        <v>747.45</v>
      </c>
      <c r="AR25" s="181">
        <f t="shared" si="13"/>
        <v>18</v>
      </c>
      <c r="AS25" s="579"/>
      <c r="AT25" s="187">
        <v>4</v>
      </c>
      <c r="AU25" s="187">
        <v>2989.8</v>
      </c>
      <c r="AV25" s="184">
        <f t="shared" si="14"/>
        <v>747.45</v>
      </c>
      <c r="AW25" s="181">
        <f t="shared" si="15"/>
        <v>18</v>
      </c>
      <c r="AX25" s="579"/>
    </row>
    <row r="26" spans="2:50" ht="14.25" customHeight="1">
      <c r="B26" s="580"/>
      <c r="C26" s="179">
        <v>20</v>
      </c>
      <c r="D26" s="182" t="s">
        <v>344</v>
      </c>
      <c r="E26" s="183">
        <v>5</v>
      </c>
      <c r="F26" s="179">
        <v>3300</v>
      </c>
      <c r="G26" s="184">
        <f t="shared" si="1"/>
        <v>660</v>
      </c>
      <c r="H26" s="581"/>
      <c r="I26" s="185">
        <f t="shared" si="16"/>
        <v>5</v>
      </c>
      <c r="J26" s="185">
        <f t="shared" si="2"/>
        <v>2989.7999999999997</v>
      </c>
      <c r="K26" s="186">
        <f t="shared" si="2"/>
        <v>597.96</v>
      </c>
      <c r="L26" s="582"/>
      <c r="M26" s="185">
        <f>RANK(K26, K$7:$K$43)</f>
        <v>29</v>
      </c>
      <c r="N26" s="585"/>
      <c r="O26" s="584"/>
      <c r="P26" s="187">
        <v>5</v>
      </c>
      <c r="Q26" s="187">
        <v>2989.8</v>
      </c>
      <c r="R26" s="184">
        <f t="shared" si="3"/>
        <v>597.96</v>
      </c>
      <c r="S26" s="181">
        <f t="shared" si="4"/>
        <v>29</v>
      </c>
      <c r="T26" s="579"/>
      <c r="U26" s="187">
        <v>5</v>
      </c>
      <c r="V26" s="187">
        <v>2989.8</v>
      </c>
      <c r="W26" s="184">
        <f t="shared" si="0"/>
        <v>597.96</v>
      </c>
      <c r="X26" s="181">
        <f t="shared" si="5"/>
        <v>29</v>
      </c>
      <c r="Y26" s="579"/>
      <c r="Z26" s="187">
        <v>5</v>
      </c>
      <c r="AA26" s="187">
        <v>2989.7999999999997</v>
      </c>
      <c r="AB26" s="184">
        <f t="shared" si="6"/>
        <v>597.95999999999992</v>
      </c>
      <c r="AC26" s="181">
        <f t="shared" si="7"/>
        <v>30</v>
      </c>
      <c r="AD26" s="579"/>
      <c r="AE26" s="187">
        <v>5</v>
      </c>
      <c r="AF26" s="187">
        <v>2989.7999999999997</v>
      </c>
      <c r="AG26" s="184">
        <f t="shared" si="8"/>
        <v>597.95999999999992</v>
      </c>
      <c r="AH26" s="181">
        <f t="shared" si="9"/>
        <v>30</v>
      </c>
      <c r="AI26" s="579"/>
      <c r="AJ26" s="187">
        <v>5</v>
      </c>
      <c r="AK26" s="187">
        <v>2989.8000000000006</v>
      </c>
      <c r="AL26" s="184">
        <f t="shared" si="10"/>
        <v>597.96000000000015</v>
      </c>
      <c r="AM26" s="181">
        <f t="shared" si="11"/>
        <v>29</v>
      </c>
      <c r="AN26" s="579"/>
      <c r="AO26" s="187">
        <v>5</v>
      </c>
      <c r="AP26" s="187">
        <v>2989.8000000000006</v>
      </c>
      <c r="AQ26" s="184">
        <f t="shared" si="12"/>
        <v>597.96000000000015</v>
      </c>
      <c r="AR26" s="181">
        <f t="shared" si="13"/>
        <v>29</v>
      </c>
      <c r="AS26" s="579"/>
      <c r="AT26" s="187">
        <v>5</v>
      </c>
      <c r="AU26" s="187">
        <v>2989.7999999999997</v>
      </c>
      <c r="AV26" s="184">
        <f t="shared" si="14"/>
        <v>597.95999999999992</v>
      </c>
      <c r="AW26" s="181">
        <f t="shared" si="15"/>
        <v>30</v>
      </c>
      <c r="AX26" s="579"/>
    </row>
    <row r="27" spans="2:50" ht="14.25" customHeight="1">
      <c r="B27" s="580"/>
      <c r="C27" s="179">
        <v>21</v>
      </c>
      <c r="D27" s="182" t="s">
        <v>395</v>
      </c>
      <c r="E27" s="183">
        <v>3</v>
      </c>
      <c r="F27" s="179">
        <v>3600</v>
      </c>
      <c r="G27" s="184">
        <f t="shared" si="1"/>
        <v>1200</v>
      </c>
      <c r="H27" s="581"/>
      <c r="I27" s="185">
        <f t="shared" si="16"/>
        <v>3</v>
      </c>
      <c r="J27" s="185">
        <f t="shared" si="2"/>
        <v>3191.1263700988529</v>
      </c>
      <c r="K27" s="186">
        <f t="shared" si="2"/>
        <v>1063.7087900329511</v>
      </c>
      <c r="L27" s="582"/>
      <c r="M27" s="185">
        <f>RANK(K27, K$7:$K$43)</f>
        <v>4</v>
      </c>
      <c r="N27" s="585"/>
      <c r="O27" s="584"/>
      <c r="P27" s="187">
        <v>3</v>
      </c>
      <c r="Q27" s="187">
        <v>3193.3377986702817</v>
      </c>
      <c r="R27" s="184">
        <f t="shared" si="3"/>
        <v>1064.4459328900939</v>
      </c>
      <c r="S27" s="181">
        <f t="shared" si="4"/>
        <v>4</v>
      </c>
      <c r="T27" s="579"/>
      <c r="U27" s="187">
        <v>3</v>
      </c>
      <c r="V27" s="187">
        <v>3192.9777986702811</v>
      </c>
      <c r="W27" s="184">
        <f t="shared" si="0"/>
        <v>1064.3259328900938</v>
      </c>
      <c r="X27" s="181">
        <f t="shared" si="5"/>
        <v>4</v>
      </c>
      <c r="Y27" s="579"/>
      <c r="Z27" s="187">
        <v>3</v>
      </c>
      <c r="AA27" s="187">
        <v>3191.1777986702814</v>
      </c>
      <c r="AB27" s="184">
        <f t="shared" si="6"/>
        <v>1063.7259328900939</v>
      </c>
      <c r="AC27" s="181">
        <f t="shared" si="7"/>
        <v>5</v>
      </c>
      <c r="AD27" s="579"/>
      <c r="AE27" s="187">
        <v>3</v>
      </c>
      <c r="AF27" s="187">
        <v>3190.8177986702822</v>
      </c>
      <c r="AG27" s="184">
        <f t="shared" si="8"/>
        <v>1063.605932890094</v>
      </c>
      <c r="AH27" s="181">
        <f t="shared" si="9"/>
        <v>4</v>
      </c>
      <c r="AI27" s="579"/>
      <c r="AJ27" s="187">
        <v>3</v>
      </c>
      <c r="AK27" s="187">
        <v>3189.3777986702826</v>
      </c>
      <c r="AL27" s="184">
        <f t="shared" si="10"/>
        <v>1063.1259328900942</v>
      </c>
      <c r="AM27" s="181">
        <f t="shared" si="11"/>
        <v>5</v>
      </c>
      <c r="AN27" s="579"/>
      <c r="AO27" s="187">
        <v>3</v>
      </c>
      <c r="AP27" s="187">
        <v>3190.4577986702825</v>
      </c>
      <c r="AQ27" s="184">
        <f t="shared" si="12"/>
        <v>1063.4859328900941</v>
      </c>
      <c r="AR27" s="181">
        <f t="shared" si="13"/>
        <v>4</v>
      </c>
      <c r="AS27" s="579"/>
      <c r="AT27" s="187">
        <v>3</v>
      </c>
      <c r="AU27" s="187">
        <v>3189.7377986702822</v>
      </c>
      <c r="AV27" s="184">
        <f t="shared" si="14"/>
        <v>1063.2459328900941</v>
      </c>
      <c r="AW27" s="181">
        <f t="shared" si="15"/>
        <v>4</v>
      </c>
      <c r="AX27" s="579"/>
    </row>
    <row r="28" spans="2:50" ht="14.25" customHeight="1">
      <c r="B28" s="580"/>
      <c r="C28" s="179">
        <v>22</v>
      </c>
      <c r="D28" s="182" t="s">
        <v>520</v>
      </c>
      <c r="E28" s="183">
        <v>4</v>
      </c>
      <c r="F28" s="179">
        <v>3600</v>
      </c>
      <c r="G28" s="184">
        <f t="shared" si="1"/>
        <v>900</v>
      </c>
      <c r="H28" s="581"/>
      <c r="I28" s="185">
        <f t="shared" si="16"/>
        <v>4</v>
      </c>
      <c r="J28" s="185">
        <f t="shared" si="2"/>
        <v>3193.4057142857127</v>
      </c>
      <c r="K28" s="186">
        <f t="shared" si="2"/>
        <v>798.35142857142819</v>
      </c>
      <c r="L28" s="582"/>
      <c r="M28" s="185">
        <f>RANK(K28, K$7:$K$43)</f>
        <v>16</v>
      </c>
      <c r="N28" s="585"/>
      <c r="O28" s="584"/>
      <c r="P28" s="187">
        <v>4</v>
      </c>
      <c r="Q28" s="187">
        <v>3193.5599999999986</v>
      </c>
      <c r="R28" s="184">
        <f t="shared" si="3"/>
        <v>798.38999999999965</v>
      </c>
      <c r="S28" s="181">
        <f t="shared" si="4"/>
        <v>16</v>
      </c>
      <c r="T28" s="579"/>
      <c r="U28" s="187">
        <v>4</v>
      </c>
      <c r="V28" s="187">
        <v>3192.1199999999981</v>
      </c>
      <c r="W28" s="184">
        <f t="shared" si="0"/>
        <v>798.02999999999952</v>
      </c>
      <c r="X28" s="181">
        <f t="shared" si="5"/>
        <v>17</v>
      </c>
      <c r="Y28" s="579"/>
      <c r="Z28" s="187">
        <v>4</v>
      </c>
      <c r="AA28" s="187">
        <v>3192.4799999999982</v>
      </c>
      <c r="AB28" s="184">
        <f t="shared" si="6"/>
        <v>798.11999999999955</v>
      </c>
      <c r="AC28" s="181">
        <f t="shared" si="7"/>
        <v>17</v>
      </c>
      <c r="AD28" s="579"/>
      <c r="AE28" s="187">
        <v>4</v>
      </c>
      <c r="AF28" s="187">
        <v>3194.2799999999988</v>
      </c>
      <c r="AG28" s="184">
        <f t="shared" si="8"/>
        <v>798.56999999999971</v>
      </c>
      <c r="AH28" s="181">
        <f t="shared" si="9"/>
        <v>16</v>
      </c>
      <c r="AI28" s="579"/>
      <c r="AJ28" s="187">
        <v>4</v>
      </c>
      <c r="AK28" s="187">
        <v>3194.2799999999988</v>
      </c>
      <c r="AL28" s="184">
        <f t="shared" si="10"/>
        <v>798.56999999999971</v>
      </c>
      <c r="AM28" s="181">
        <f t="shared" si="11"/>
        <v>16</v>
      </c>
      <c r="AN28" s="579"/>
      <c r="AO28" s="187">
        <v>4</v>
      </c>
      <c r="AP28" s="187">
        <v>3193.9199999999992</v>
      </c>
      <c r="AQ28" s="184">
        <f t="shared" si="12"/>
        <v>798.47999999999979</v>
      </c>
      <c r="AR28" s="181">
        <f t="shared" si="13"/>
        <v>16</v>
      </c>
      <c r="AS28" s="579"/>
      <c r="AT28" s="187">
        <v>4</v>
      </c>
      <c r="AU28" s="187">
        <v>3193.1999999999989</v>
      </c>
      <c r="AV28" s="184">
        <f t="shared" si="14"/>
        <v>798.29999999999973</v>
      </c>
      <c r="AW28" s="181">
        <f t="shared" si="15"/>
        <v>16</v>
      </c>
      <c r="AX28" s="579"/>
    </row>
    <row r="29" spans="2:50" ht="14.25" customHeight="1">
      <c r="B29" s="580"/>
      <c r="C29" s="179">
        <v>23</v>
      </c>
      <c r="D29" s="182" t="s">
        <v>398</v>
      </c>
      <c r="E29" s="183">
        <v>3</v>
      </c>
      <c r="F29" s="179">
        <v>3600</v>
      </c>
      <c r="G29" s="184">
        <f t="shared" si="1"/>
        <v>1200</v>
      </c>
      <c r="H29" s="581"/>
      <c r="I29" s="185">
        <f t="shared" si="16"/>
        <v>3</v>
      </c>
      <c r="J29" s="185">
        <f t="shared" si="2"/>
        <v>3196.3160598015243</v>
      </c>
      <c r="K29" s="186">
        <f t="shared" si="2"/>
        <v>1065.4386866005082</v>
      </c>
      <c r="L29" s="582"/>
      <c r="M29" s="185">
        <f>RANK(K29, K$7:$K$43)</f>
        <v>2</v>
      </c>
      <c r="N29" s="585"/>
      <c r="O29" s="584"/>
      <c r="P29" s="187">
        <v>3</v>
      </c>
      <c r="Q29" s="187">
        <v>3194.1560598015249</v>
      </c>
      <c r="R29" s="184">
        <f t="shared" si="3"/>
        <v>1064.7186866005084</v>
      </c>
      <c r="S29" s="181">
        <f t="shared" si="4"/>
        <v>2</v>
      </c>
      <c r="T29" s="579"/>
      <c r="U29" s="187">
        <v>3</v>
      </c>
      <c r="V29" s="187">
        <v>3195.2360598015248</v>
      </c>
      <c r="W29" s="184">
        <f t="shared" si="0"/>
        <v>1065.0786866005083</v>
      </c>
      <c r="X29" s="181">
        <f t="shared" si="5"/>
        <v>2</v>
      </c>
      <c r="Y29" s="579"/>
      <c r="Z29" s="187">
        <v>3</v>
      </c>
      <c r="AA29" s="187">
        <v>3195.5960598015245</v>
      </c>
      <c r="AB29" s="184">
        <f t="shared" si="6"/>
        <v>1065.1986866005082</v>
      </c>
      <c r="AC29" s="181">
        <f t="shared" si="7"/>
        <v>2</v>
      </c>
      <c r="AD29" s="579"/>
      <c r="AE29" s="187">
        <v>3</v>
      </c>
      <c r="AF29" s="187">
        <v>3196.6760598015244</v>
      </c>
      <c r="AG29" s="184">
        <f t="shared" si="8"/>
        <v>1065.5586866005081</v>
      </c>
      <c r="AH29" s="181">
        <f t="shared" si="9"/>
        <v>2</v>
      </c>
      <c r="AI29" s="579"/>
      <c r="AJ29" s="187">
        <v>3</v>
      </c>
      <c r="AK29" s="187">
        <v>3197.0360598015241</v>
      </c>
      <c r="AL29" s="184">
        <f t="shared" si="10"/>
        <v>1065.6786866005079</v>
      </c>
      <c r="AM29" s="181">
        <f t="shared" si="11"/>
        <v>1</v>
      </c>
      <c r="AN29" s="579"/>
      <c r="AO29" s="187">
        <v>3</v>
      </c>
      <c r="AP29" s="187">
        <v>3198.116059801524</v>
      </c>
      <c r="AQ29" s="184">
        <f t="shared" si="12"/>
        <v>1066.0386866005081</v>
      </c>
      <c r="AR29" s="181">
        <f t="shared" si="13"/>
        <v>1</v>
      </c>
      <c r="AS29" s="579"/>
      <c r="AT29" s="187">
        <v>3</v>
      </c>
      <c r="AU29" s="187">
        <v>3197.3960598015246</v>
      </c>
      <c r="AV29" s="184">
        <f t="shared" si="14"/>
        <v>1065.7986866005083</v>
      </c>
      <c r="AW29" s="181">
        <f t="shared" si="15"/>
        <v>1</v>
      </c>
      <c r="AX29" s="579"/>
    </row>
    <row r="30" spans="2:50" ht="14.25" customHeight="1">
      <c r="B30" s="580"/>
      <c r="C30" s="179">
        <v>24</v>
      </c>
      <c r="D30" s="182" t="s">
        <v>397</v>
      </c>
      <c r="E30" s="183">
        <v>5</v>
      </c>
      <c r="F30" s="179">
        <v>3600</v>
      </c>
      <c r="G30" s="184">
        <f t="shared" si="1"/>
        <v>720</v>
      </c>
      <c r="H30" s="581"/>
      <c r="I30" s="185">
        <f t="shared" si="16"/>
        <v>5</v>
      </c>
      <c r="J30" s="185">
        <f t="shared" si="2"/>
        <v>3198.353182000897</v>
      </c>
      <c r="K30" s="186">
        <f t="shared" si="2"/>
        <v>639.67063640017943</v>
      </c>
      <c r="L30" s="582"/>
      <c r="M30" s="185">
        <f>RANK(K30, K$7:$K$43)</f>
        <v>22</v>
      </c>
      <c r="N30" s="585"/>
      <c r="O30" s="584"/>
      <c r="P30" s="187">
        <v>5</v>
      </c>
      <c r="Q30" s="187">
        <v>3201.2903265899226</v>
      </c>
      <c r="R30" s="184">
        <f t="shared" si="3"/>
        <v>640.25806531798457</v>
      </c>
      <c r="S30" s="181">
        <f t="shared" si="4"/>
        <v>21</v>
      </c>
      <c r="T30" s="579"/>
      <c r="U30" s="187">
        <v>5</v>
      </c>
      <c r="V30" s="187">
        <v>3202.0103265899229</v>
      </c>
      <c r="W30" s="184">
        <f t="shared" si="0"/>
        <v>640.40206531798458</v>
      </c>
      <c r="X30" s="181">
        <f t="shared" si="5"/>
        <v>22</v>
      </c>
      <c r="Y30" s="579"/>
      <c r="Z30" s="187">
        <v>5</v>
      </c>
      <c r="AA30" s="187">
        <v>3196.8166460265934</v>
      </c>
      <c r="AB30" s="184">
        <f t="shared" si="6"/>
        <v>639.36332920531868</v>
      </c>
      <c r="AC30" s="181">
        <f t="shared" si="7"/>
        <v>23</v>
      </c>
      <c r="AD30" s="579"/>
      <c r="AE30" s="187">
        <v>5</v>
      </c>
      <c r="AF30" s="187">
        <v>3197.6287436999605</v>
      </c>
      <c r="AG30" s="184">
        <f t="shared" si="8"/>
        <v>639.52574873999208</v>
      </c>
      <c r="AH30" s="181">
        <f t="shared" si="9"/>
        <v>22</v>
      </c>
      <c r="AI30" s="579"/>
      <c r="AJ30" s="187">
        <v>5</v>
      </c>
      <c r="AK30" s="187">
        <v>3197.2687436999604</v>
      </c>
      <c r="AL30" s="184">
        <f t="shared" si="10"/>
        <v>639.45374873999208</v>
      </c>
      <c r="AM30" s="181">
        <f t="shared" si="11"/>
        <v>22</v>
      </c>
      <c r="AN30" s="579"/>
      <c r="AO30" s="187">
        <v>5</v>
      </c>
      <c r="AP30" s="187">
        <v>3197.2687436999604</v>
      </c>
      <c r="AQ30" s="184">
        <f t="shared" si="12"/>
        <v>639.45374873999208</v>
      </c>
      <c r="AR30" s="181">
        <f t="shared" si="13"/>
        <v>22</v>
      </c>
      <c r="AS30" s="579"/>
      <c r="AT30" s="187">
        <v>5</v>
      </c>
      <c r="AU30" s="187">
        <v>3196.18874369996</v>
      </c>
      <c r="AV30" s="184">
        <f t="shared" si="14"/>
        <v>639.23774873999196</v>
      </c>
      <c r="AW30" s="181">
        <f t="shared" si="15"/>
        <v>22</v>
      </c>
      <c r="AX30" s="579"/>
    </row>
    <row r="31" spans="2:50" ht="14.25" customHeight="1">
      <c r="B31" s="580"/>
      <c r="C31" s="179">
        <v>25</v>
      </c>
      <c r="D31" s="182" t="s">
        <v>394</v>
      </c>
      <c r="E31" s="183">
        <v>5</v>
      </c>
      <c r="F31" s="179">
        <v>3600</v>
      </c>
      <c r="G31" s="184">
        <f t="shared" si="1"/>
        <v>720</v>
      </c>
      <c r="H31" s="581"/>
      <c r="I31" s="185">
        <f t="shared" si="16"/>
        <v>5</v>
      </c>
      <c r="J31" s="185">
        <f t="shared" si="2"/>
        <v>3191.3054312284366</v>
      </c>
      <c r="K31" s="186">
        <f t="shared" si="2"/>
        <v>638.26108624568747</v>
      </c>
      <c r="L31" s="582"/>
      <c r="M31" s="185">
        <f>RANK(K31, K$7:$K$43)</f>
        <v>28</v>
      </c>
      <c r="N31" s="585"/>
      <c r="O31" s="584"/>
      <c r="P31" s="187">
        <v>5</v>
      </c>
      <c r="Q31" s="187">
        <v>3189.9682883712944</v>
      </c>
      <c r="R31" s="184">
        <f t="shared" si="3"/>
        <v>637.99365767425888</v>
      </c>
      <c r="S31" s="181">
        <f t="shared" si="4"/>
        <v>27</v>
      </c>
      <c r="T31" s="579"/>
      <c r="U31" s="187">
        <v>5</v>
      </c>
      <c r="V31" s="187">
        <v>3190.6882883712938</v>
      </c>
      <c r="W31" s="184">
        <f t="shared" si="0"/>
        <v>638.13765767425878</v>
      </c>
      <c r="X31" s="181">
        <f t="shared" si="5"/>
        <v>27</v>
      </c>
      <c r="Y31" s="579"/>
      <c r="Z31" s="187">
        <v>5</v>
      </c>
      <c r="AA31" s="187">
        <v>3191.7682883712937</v>
      </c>
      <c r="AB31" s="184">
        <f t="shared" si="6"/>
        <v>638.35365767425878</v>
      </c>
      <c r="AC31" s="181">
        <f t="shared" si="7"/>
        <v>27</v>
      </c>
      <c r="AD31" s="579"/>
      <c r="AE31" s="187">
        <v>5</v>
      </c>
      <c r="AF31" s="187">
        <v>3191.7682883712941</v>
      </c>
      <c r="AG31" s="184">
        <f t="shared" si="8"/>
        <v>638.35365767425878</v>
      </c>
      <c r="AH31" s="181">
        <f t="shared" si="9"/>
        <v>26</v>
      </c>
      <c r="AI31" s="579"/>
      <c r="AJ31" s="187">
        <v>5</v>
      </c>
      <c r="AK31" s="187">
        <v>3191.7682883712937</v>
      </c>
      <c r="AL31" s="184">
        <f t="shared" si="10"/>
        <v>638.35365767425878</v>
      </c>
      <c r="AM31" s="181">
        <f t="shared" si="11"/>
        <v>26</v>
      </c>
      <c r="AN31" s="579"/>
      <c r="AO31" s="187">
        <v>5</v>
      </c>
      <c r="AP31" s="187">
        <v>3191.7682883712937</v>
      </c>
      <c r="AQ31" s="184">
        <f t="shared" si="12"/>
        <v>638.35365767425878</v>
      </c>
      <c r="AR31" s="181">
        <f t="shared" si="13"/>
        <v>26</v>
      </c>
      <c r="AS31" s="579"/>
      <c r="AT31" s="187">
        <v>5</v>
      </c>
      <c r="AU31" s="187">
        <v>3191.4082883712945</v>
      </c>
      <c r="AV31" s="184">
        <f t="shared" si="14"/>
        <v>638.28165767425889</v>
      </c>
      <c r="AW31" s="181">
        <f t="shared" si="15"/>
        <v>26</v>
      </c>
      <c r="AX31" s="579"/>
    </row>
    <row r="32" spans="2:50" ht="14.25" customHeight="1">
      <c r="B32" s="580"/>
      <c r="C32" s="179">
        <v>26</v>
      </c>
      <c r="D32" s="182" t="s">
        <v>396</v>
      </c>
      <c r="E32" s="183">
        <v>3</v>
      </c>
      <c r="F32" s="179">
        <v>3000</v>
      </c>
      <c r="G32" s="184">
        <f t="shared" si="1"/>
        <v>1000</v>
      </c>
      <c r="H32" s="581"/>
      <c r="I32" s="185">
        <f t="shared" si="16"/>
        <v>3</v>
      </c>
      <c r="J32" s="185">
        <f t="shared" si="2"/>
        <v>2717.1231661141105</v>
      </c>
      <c r="K32" s="186">
        <f t="shared" si="2"/>
        <v>905.70772203803676</v>
      </c>
      <c r="L32" s="582"/>
      <c r="M32" s="185">
        <f>RANK(K32, K$7:$K$43)</f>
        <v>15</v>
      </c>
      <c r="N32" s="585"/>
      <c r="O32" s="584"/>
      <c r="P32" s="187">
        <v>3</v>
      </c>
      <c r="Q32" s="187">
        <v>2716.0088803998251</v>
      </c>
      <c r="R32" s="184">
        <f t="shared" si="3"/>
        <v>905.33629346660837</v>
      </c>
      <c r="S32" s="181">
        <f t="shared" si="4"/>
        <v>14</v>
      </c>
      <c r="T32" s="579"/>
      <c r="U32" s="187">
        <v>3</v>
      </c>
      <c r="V32" s="187">
        <v>2717.2088803998249</v>
      </c>
      <c r="W32" s="184">
        <f t="shared" si="0"/>
        <v>905.73629346660834</v>
      </c>
      <c r="X32" s="181">
        <f t="shared" si="5"/>
        <v>14</v>
      </c>
      <c r="Y32" s="579"/>
      <c r="Z32" s="187">
        <v>3</v>
      </c>
      <c r="AA32" s="187">
        <v>2716.9088803998247</v>
      </c>
      <c r="AB32" s="184">
        <f t="shared" si="6"/>
        <v>905.63629346660821</v>
      </c>
      <c r="AC32" s="181">
        <f t="shared" si="7"/>
        <v>14</v>
      </c>
      <c r="AD32" s="579"/>
      <c r="AE32" s="187">
        <v>3</v>
      </c>
      <c r="AF32" s="187">
        <v>2716.3088803998253</v>
      </c>
      <c r="AG32" s="184">
        <f t="shared" si="8"/>
        <v>905.43629346660839</v>
      </c>
      <c r="AH32" s="181">
        <f t="shared" si="9"/>
        <v>15</v>
      </c>
      <c r="AI32" s="579"/>
      <c r="AJ32" s="187">
        <v>3</v>
      </c>
      <c r="AK32" s="187">
        <v>2717.5088803998246</v>
      </c>
      <c r="AL32" s="184">
        <f t="shared" si="10"/>
        <v>905.83629346660825</v>
      </c>
      <c r="AM32" s="181">
        <f t="shared" si="11"/>
        <v>15</v>
      </c>
      <c r="AN32" s="579"/>
      <c r="AO32" s="187">
        <v>3</v>
      </c>
      <c r="AP32" s="187">
        <v>2717.2088803998245</v>
      </c>
      <c r="AQ32" s="184">
        <f t="shared" si="12"/>
        <v>905.73629346660812</v>
      </c>
      <c r="AR32" s="181">
        <f t="shared" si="13"/>
        <v>14</v>
      </c>
      <c r="AS32" s="579"/>
      <c r="AT32" s="187">
        <v>3</v>
      </c>
      <c r="AU32" s="187">
        <v>2718.708880399824</v>
      </c>
      <c r="AV32" s="184">
        <f t="shared" si="14"/>
        <v>906.236293466608</v>
      </c>
      <c r="AW32" s="181">
        <f t="shared" si="15"/>
        <v>13</v>
      </c>
      <c r="AX32" s="579"/>
    </row>
    <row r="33" spans="1:50" ht="14.25" customHeight="1">
      <c r="B33" s="580"/>
      <c r="C33" s="179">
        <v>27</v>
      </c>
      <c r="D33" s="182" t="s">
        <v>435</v>
      </c>
      <c r="E33" s="183">
        <v>3</v>
      </c>
      <c r="F33" s="179">
        <v>3600</v>
      </c>
      <c r="G33" s="184">
        <f t="shared" si="1"/>
        <v>1200</v>
      </c>
      <c r="H33" s="581"/>
      <c r="I33" s="185">
        <f t="shared" si="16"/>
        <v>3</v>
      </c>
      <c r="J33" s="185">
        <f t="shared" si="2"/>
        <v>3188.599642251048</v>
      </c>
      <c r="K33" s="186">
        <f t="shared" si="2"/>
        <v>1062.8665474170159</v>
      </c>
      <c r="L33" s="582"/>
      <c r="M33" s="185">
        <f>RANK(K33, K$7:$K$43)</f>
        <v>6</v>
      </c>
      <c r="N33" s="585"/>
      <c r="O33" s="584"/>
      <c r="P33" s="187">
        <v>3</v>
      </c>
      <c r="Q33" s="187">
        <v>3190.6053565367615</v>
      </c>
      <c r="R33" s="184">
        <f t="shared" si="3"/>
        <v>1063.5351188455872</v>
      </c>
      <c r="S33" s="181">
        <f t="shared" si="4"/>
        <v>5</v>
      </c>
      <c r="T33" s="579"/>
      <c r="U33" s="187">
        <v>3</v>
      </c>
      <c r="V33" s="187">
        <v>3189.525356536762</v>
      </c>
      <c r="W33" s="184">
        <f t="shared" si="0"/>
        <v>1063.1751188455873</v>
      </c>
      <c r="X33" s="181">
        <f t="shared" si="5"/>
        <v>5</v>
      </c>
      <c r="Y33" s="579"/>
      <c r="Z33" s="187">
        <v>3</v>
      </c>
      <c r="AA33" s="187">
        <v>3189.8853565367617</v>
      </c>
      <c r="AB33" s="184">
        <f t="shared" si="6"/>
        <v>1063.2951188455872</v>
      </c>
      <c r="AC33" s="181">
        <f t="shared" si="7"/>
        <v>6</v>
      </c>
      <c r="AD33" s="579"/>
      <c r="AE33" s="187">
        <v>3</v>
      </c>
      <c r="AF33" s="187">
        <v>3188.8053565367618</v>
      </c>
      <c r="AG33" s="184">
        <f t="shared" si="8"/>
        <v>1062.9351188455873</v>
      </c>
      <c r="AH33" s="181">
        <f t="shared" si="9"/>
        <v>6</v>
      </c>
      <c r="AI33" s="579"/>
      <c r="AJ33" s="187">
        <v>3</v>
      </c>
      <c r="AK33" s="187">
        <v>3187.7253565367628</v>
      </c>
      <c r="AL33" s="184">
        <f t="shared" si="10"/>
        <v>1062.5751188455877</v>
      </c>
      <c r="AM33" s="181">
        <f t="shared" si="11"/>
        <v>7</v>
      </c>
      <c r="AN33" s="579"/>
      <c r="AO33" s="187">
        <v>3</v>
      </c>
      <c r="AP33" s="187">
        <v>3187.0053565367625</v>
      </c>
      <c r="AQ33" s="184">
        <f t="shared" si="12"/>
        <v>1062.3351188455874</v>
      </c>
      <c r="AR33" s="181">
        <f t="shared" si="13"/>
        <v>7</v>
      </c>
      <c r="AS33" s="579"/>
      <c r="AT33" s="187">
        <v>3</v>
      </c>
      <c r="AU33" s="187">
        <v>3186.6453565367624</v>
      </c>
      <c r="AV33" s="184">
        <f t="shared" si="14"/>
        <v>1062.2151188455875</v>
      </c>
      <c r="AW33" s="181">
        <f t="shared" si="15"/>
        <v>8</v>
      </c>
      <c r="AX33" s="579"/>
    </row>
    <row r="34" spans="1:50" ht="14.25" customHeight="1">
      <c r="B34" s="580"/>
      <c r="C34" s="179">
        <v>28</v>
      </c>
      <c r="D34" s="182" t="s">
        <v>441</v>
      </c>
      <c r="E34" s="183">
        <v>4</v>
      </c>
      <c r="F34" s="179">
        <v>3000</v>
      </c>
      <c r="G34" s="184">
        <f t="shared" si="1"/>
        <v>750</v>
      </c>
      <c r="H34" s="581"/>
      <c r="I34" s="185">
        <f t="shared" si="16"/>
        <v>4</v>
      </c>
      <c r="J34" s="185">
        <f t="shared" si="2"/>
        <v>2710.7000901652987</v>
      </c>
      <c r="K34" s="186">
        <f t="shared" si="2"/>
        <v>677.67502254132467</v>
      </c>
      <c r="L34" s="582"/>
      <c r="M34" s="185">
        <f>RANK(K34, K$7:$K$43)</f>
        <v>20</v>
      </c>
      <c r="N34" s="585"/>
      <c r="O34" s="584"/>
      <c r="P34" s="187">
        <v>4</v>
      </c>
      <c r="Q34" s="187">
        <v>2707.2757488864636</v>
      </c>
      <c r="R34" s="184">
        <f t="shared" si="3"/>
        <v>676.8189372216159</v>
      </c>
      <c r="S34" s="181">
        <f t="shared" si="4"/>
        <v>20</v>
      </c>
      <c r="T34" s="579"/>
      <c r="U34" s="187">
        <v>4</v>
      </c>
      <c r="V34" s="187">
        <v>2707.875748886464</v>
      </c>
      <c r="W34" s="184">
        <f t="shared" si="0"/>
        <v>676.96893722161599</v>
      </c>
      <c r="X34" s="181">
        <f t="shared" si="5"/>
        <v>20</v>
      </c>
      <c r="Y34" s="579"/>
      <c r="Z34" s="187">
        <v>4</v>
      </c>
      <c r="AA34" s="187">
        <v>2710.6806526204678</v>
      </c>
      <c r="AB34" s="184">
        <f t="shared" si="6"/>
        <v>677.67016315511694</v>
      </c>
      <c r="AC34" s="181">
        <f t="shared" si="7"/>
        <v>20</v>
      </c>
      <c r="AD34" s="579"/>
      <c r="AE34" s="187">
        <v>4</v>
      </c>
      <c r="AF34" s="187">
        <v>2710.380652620468</v>
      </c>
      <c r="AG34" s="184">
        <f t="shared" si="8"/>
        <v>677.59516315511701</v>
      </c>
      <c r="AH34" s="181">
        <f t="shared" si="9"/>
        <v>20</v>
      </c>
      <c r="AI34" s="579"/>
      <c r="AJ34" s="187">
        <v>4</v>
      </c>
      <c r="AK34" s="187">
        <v>2710.6806526204682</v>
      </c>
      <c r="AL34" s="184">
        <f t="shared" si="10"/>
        <v>677.67016315511705</v>
      </c>
      <c r="AM34" s="181">
        <f t="shared" si="11"/>
        <v>21</v>
      </c>
      <c r="AN34" s="579"/>
      <c r="AO34" s="187">
        <v>4</v>
      </c>
      <c r="AP34" s="187">
        <v>2714.4535877613812</v>
      </c>
      <c r="AQ34" s="184">
        <f t="shared" si="12"/>
        <v>678.6133969403453</v>
      </c>
      <c r="AR34" s="181">
        <f t="shared" si="13"/>
        <v>21</v>
      </c>
      <c r="AS34" s="579"/>
      <c r="AT34" s="187">
        <v>4</v>
      </c>
      <c r="AU34" s="187">
        <v>2713.5535877613806</v>
      </c>
      <c r="AV34" s="184">
        <f t="shared" si="14"/>
        <v>678.38839694034516</v>
      </c>
      <c r="AW34" s="181">
        <f t="shared" si="15"/>
        <v>21</v>
      </c>
      <c r="AX34" s="579"/>
    </row>
    <row r="35" spans="1:50" ht="14.25" customHeight="1">
      <c r="B35" s="580"/>
      <c r="C35" s="179">
        <v>29</v>
      </c>
      <c r="D35" s="182" t="s">
        <v>508</v>
      </c>
      <c r="E35" s="183">
        <v>5</v>
      </c>
      <c r="F35" s="179">
        <v>3000</v>
      </c>
      <c r="G35" s="184">
        <f t="shared" si="1"/>
        <v>600</v>
      </c>
      <c r="H35" s="581"/>
      <c r="I35" s="185">
        <f t="shared" si="16"/>
        <v>5</v>
      </c>
      <c r="J35" s="185">
        <f t="shared" si="2"/>
        <v>2712.3874695745867</v>
      </c>
      <c r="K35" s="186">
        <f t="shared" si="2"/>
        <v>542.47749391491732</v>
      </c>
      <c r="L35" s="582"/>
      <c r="M35" s="185">
        <f>RANK(K35, K$7:$K$43)</f>
        <v>32</v>
      </c>
      <c r="N35" s="585"/>
      <c r="O35" s="584"/>
      <c r="P35" s="187">
        <v>5</v>
      </c>
      <c r="Q35" s="187">
        <v>2710.2286603923676</v>
      </c>
      <c r="R35" s="184">
        <f t="shared" si="3"/>
        <v>542.04573207847352</v>
      </c>
      <c r="S35" s="181">
        <f t="shared" si="4"/>
        <v>32</v>
      </c>
      <c r="T35" s="579"/>
      <c r="U35" s="187">
        <v>5</v>
      </c>
      <c r="V35" s="187">
        <v>2710.8286603923675</v>
      </c>
      <c r="W35" s="184">
        <f t="shared" si="0"/>
        <v>542.16573207847352</v>
      </c>
      <c r="X35" s="181">
        <f t="shared" si="5"/>
        <v>32</v>
      </c>
      <c r="Y35" s="579"/>
      <c r="Z35" s="187">
        <v>5</v>
      </c>
      <c r="AA35" s="187">
        <v>2712.3286603923675</v>
      </c>
      <c r="AB35" s="184">
        <f t="shared" si="6"/>
        <v>542.46573207847348</v>
      </c>
      <c r="AC35" s="181">
        <f t="shared" si="7"/>
        <v>32</v>
      </c>
      <c r="AD35" s="579"/>
      <c r="AE35" s="187">
        <v>5</v>
      </c>
      <c r="AF35" s="187">
        <v>2711.1286603923677</v>
      </c>
      <c r="AG35" s="184">
        <f t="shared" si="8"/>
        <v>542.22573207847358</v>
      </c>
      <c r="AH35" s="181">
        <f t="shared" si="9"/>
        <v>32</v>
      </c>
      <c r="AI35" s="579"/>
      <c r="AJ35" s="187">
        <v>5</v>
      </c>
      <c r="AK35" s="187">
        <v>2711.1286603923672</v>
      </c>
      <c r="AL35" s="184">
        <f t="shared" si="10"/>
        <v>542.22573207847347</v>
      </c>
      <c r="AM35" s="181">
        <f t="shared" si="11"/>
        <v>33</v>
      </c>
      <c r="AN35" s="579"/>
      <c r="AO35" s="187">
        <v>5</v>
      </c>
      <c r="AP35" s="187">
        <v>2714.0485198654724</v>
      </c>
      <c r="AQ35" s="184">
        <f t="shared" si="12"/>
        <v>542.80970397309443</v>
      </c>
      <c r="AR35" s="181">
        <f t="shared" si="13"/>
        <v>33</v>
      </c>
      <c r="AS35" s="579"/>
      <c r="AT35" s="187">
        <v>5</v>
      </c>
      <c r="AU35" s="187">
        <v>2717.0204651947952</v>
      </c>
      <c r="AV35" s="184">
        <f t="shared" si="14"/>
        <v>543.40409303895899</v>
      </c>
      <c r="AW35" s="181">
        <f t="shared" si="15"/>
        <v>32</v>
      </c>
      <c r="AX35" s="579"/>
    </row>
    <row r="36" spans="1:50" ht="14.25" customHeight="1">
      <c r="B36" s="580"/>
      <c r="C36" s="179">
        <v>30</v>
      </c>
      <c r="D36" s="182" t="s">
        <v>521</v>
      </c>
      <c r="E36" s="183">
        <v>3</v>
      </c>
      <c r="F36" s="179">
        <v>3300</v>
      </c>
      <c r="G36" s="184">
        <f t="shared" si="1"/>
        <v>1100</v>
      </c>
      <c r="H36" s="581"/>
      <c r="I36" s="185">
        <f t="shared" si="16"/>
        <v>3</v>
      </c>
      <c r="J36" s="185">
        <f t="shared" si="2"/>
        <v>2989.7564000322418</v>
      </c>
      <c r="K36" s="186">
        <f t="shared" si="2"/>
        <v>996.58546667741382</v>
      </c>
      <c r="L36" s="582"/>
      <c r="M36" s="185">
        <f>RANK(K36, K$7:$K$43)</f>
        <v>10</v>
      </c>
      <c r="N36" s="585"/>
      <c r="O36" s="584"/>
      <c r="P36" s="187">
        <v>3</v>
      </c>
      <c r="Q36" s="187">
        <v>2989.4264000322419</v>
      </c>
      <c r="R36" s="184">
        <f t="shared" si="3"/>
        <v>996.47546667741392</v>
      </c>
      <c r="S36" s="181">
        <f t="shared" si="4"/>
        <v>11</v>
      </c>
      <c r="T36" s="579"/>
      <c r="U36" s="187">
        <v>3</v>
      </c>
      <c r="V36" s="187">
        <v>2990.4164000322417</v>
      </c>
      <c r="W36" s="184">
        <f t="shared" si="0"/>
        <v>996.80546667741385</v>
      </c>
      <c r="X36" s="181">
        <f t="shared" si="5"/>
        <v>10</v>
      </c>
      <c r="Y36" s="579"/>
      <c r="Z36" s="187">
        <v>3</v>
      </c>
      <c r="AA36" s="187">
        <v>2989.0964000322415</v>
      </c>
      <c r="AB36" s="184">
        <f t="shared" si="6"/>
        <v>996.36546667741379</v>
      </c>
      <c r="AC36" s="181">
        <f t="shared" si="7"/>
        <v>11</v>
      </c>
      <c r="AD36" s="579"/>
      <c r="AE36" s="187">
        <v>3</v>
      </c>
      <c r="AF36" s="187">
        <v>2990.4164000322417</v>
      </c>
      <c r="AG36" s="184">
        <f t="shared" si="8"/>
        <v>996.80546667741385</v>
      </c>
      <c r="AH36" s="181">
        <f t="shared" si="9"/>
        <v>10</v>
      </c>
      <c r="AI36" s="579"/>
      <c r="AJ36" s="187">
        <v>3</v>
      </c>
      <c r="AK36" s="187">
        <v>2990.0864000322413</v>
      </c>
      <c r="AL36" s="184">
        <f t="shared" si="10"/>
        <v>996.69546667741372</v>
      </c>
      <c r="AM36" s="181">
        <f t="shared" si="11"/>
        <v>10</v>
      </c>
      <c r="AN36" s="579"/>
      <c r="AO36" s="187">
        <v>3</v>
      </c>
      <c r="AP36" s="187">
        <v>2989.0964000322406</v>
      </c>
      <c r="AQ36" s="184">
        <f t="shared" si="12"/>
        <v>996.36546667741356</v>
      </c>
      <c r="AR36" s="181">
        <f t="shared" si="13"/>
        <v>11</v>
      </c>
      <c r="AS36" s="579"/>
      <c r="AT36" s="187">
        <v>3</v>
      </c>
      <c r="AU36" s="187">
        <v>2989.7564000322409</v>
      </c>
      <c r="AV36" s="184">
        <f t="shared" si="14"/>
        <v>996.58546667741359</v>
      </c>
      <c r="AW36" s="181">
        <f t="shared" si="15"/>
        <v>10</v>
      </c>
      <c r="AX36" s="579"/>
    </row>
    <row r="37" spans="1:50" ht="14.25" customHeight="1">
      <c r="B37" s="580"/>
      <c r="C37" s="179">
        <v>31</v>
      </c>
      <c r="D37" s="182" t="s">
        <v>694</v>
      </c>
      <c r="E37" s="179">
        <v>6</v>
      </c>
      <c r="F37" s="179">
        <v>3600</v>
      </c>
      <c r="G37" s="184">
        <f t="shared" si="1"/>
        <v>600</v>
      </c>
      <c r="H37" s="581"/>
      <c r="I37" s="185">
        <f t="shared" si="16"/>
        <v>6</v>
      </c>
      <c r="J37" s="185">
        <f t="shared" si="2"/>
        <v>3262.3717115807426</v>
      </c>
      <c r="K37" s="186">
        <f t="shared" si="2"/>
        <v>543.72861859679051</v>
      </c>
      <c r="L37" s="582"/>
      <c r="M37" s="185">
        <f>RANK(K37, K$7:$K$43)</f>
        <v>31</v>
      </c>
      <c r="N37" s="585"/>
      <c r="O37" s="584"/>
      <c r="P37" s="187">
        <v>6</v>
      </c>
      <c r="Q37" s="187">
        <v>3261.3892396527285</v>
      </c>
      <c r="R37" s="184">
        <f t="shared" si="3"/>
        <v>543.56487327545472</v>
      </c>
      <c r="S37" s="181">
        <f t="shared" si="4"/>
        <v>31</v>
      </c>
      <c r="T37" s="579"/>
      <c r="U37" s="187">
        <v>6</v>
      </c>
      <c r="V37" s="187">
        <v>3262.8292396527281</v>
      </c>
      <c r="W37" s="184">
        <f t="shared" si="0"/>
        <v>543.80487327545472</v>
      </c>
      <c r="X37" s="181">
        <f t="shared" si="5"/>
        <v>31</v>
      </c>
      <c r="Y37" s="579"/>
      <c r="Z37" s="187">
        <v>6</v>
      </c>
      <c r="AA37" s="187">
        <v>3264.2692396527282</v>
      </c>
      <c r="AB37" s="184">
        <f t="shared" si="6"/>
        <v>544.04487327545473</v>
      </c>
      <c r="AC37" s="181">
        <f t="shared" si="7"/>
        <v>31</v>
      </c>
      <c r="AD37" s="579"/>
      <c r="AE37" s="187">
        <v>6</v>
      </c>
      <c r="AF37" s="187">
        <v>3262.8292396527286</v>
      </c>
      <c r="AG37" s="184">
        <f t="shared" si="8"/>
        <v>543.80487327545472</v>
      </c>
      <c r="AH37" s="181">
        <f t="shared" si="9"/>
        <v>31</v>
      </c>
      <c r="AI37" s="579"/>
      <c r="AJ37" s="187">
        <v>6</v>
      </c>
      <c r="AK37" s="187">
        <v>3262.0016741514282</v>
      </c>
      <c r="AL37" s="184">
        <f t="shared" si="10"/>
        <v>543.66694569190474</v>
      </c>
      <c r="AM37" s="181">
        <f t="shared" si="11"/>
        <v>31</v>
      </c>
      <c r="AN37" s="579"/>
      <c r="AO37" s="187">
        <v>6</v>
      </c>
      <c r="AP37" s="187">
        <v>3262.0016741514287</v>
      </c>
      <c r="AQ37" s="184">
        <f t="shared" si="12"/>
        <v>543.66694569190474</v>
      </c>
      <c r="AR37" s="181">
        <f t="shared" si="13"/>
        <v>31</v>
      </c>
      <c r="AS37" s="579"/>
      <c r="AT37" s="187">
        <v>6</v>
      </c>
      <c r="AU37" s="187">
        <v>3261.2816741514289</v>
      </c>
      <c r="AV37" s="184">
        <f t="shared" si="14"/>
        <v>543.54694569190485</v>
      </c>
      <c r="AW37" s="181">
        <f t="shared" si="15"/>
        <v>31</v>
      </c>
      <c r="AX37" s="579"/>
    </row>
    <row r="38" spans="1:50" ht="14.25" customHeight="1">
      <c r="B38" s="580"/>
      <c r="C38" s="179">
        <v>32</v>
      </c>
      <c r="D38" s="182" t="s">
        <v>723</v>
      </c>
      <c r="E38" s="179">
        <v>4</v>
      </c>
      <c r="F38" s="179">
        <v>3000</v>
      </c>
      <c r="G38" s="184">
        <f t="shared" si="1"/>
        <v>750</v>
      </c>
      <c r="H38" s="581"/>
      <c r="I38" s="185">
        <f t="shared" si="16"/>
        <v>4</v>
      </c>
      <c r="J38" s="185">
        <f t="shared" si="16"/>
        <v>2638.7211402004082</v>
      </c>
      <c r="K38" s="186">
        <f t="shared" si="16"/>
        <v>659.68028505010204</v>
      </c>
      <c r="L38" s="582"/>
      <c r="M38" s="185">
        <f>RANK(K38, K$7:$K$43)</f>
        <v>21</v>
      </c>
      <c r="N38" s="585"/>
      <c r="O38" s="584"/>
      <c r="P38" s="187">
        <v>4</v>
      </c>
      <c r="Q38" s="187">
        <v>2500.9380000000001</v>
      </c>
      <c r="R38" s="184">
        <f t="shared" si="3"/>
        <v>625.23450000000003</v>
      </c>
      <c r="S38" s="181">
        <f t="shared" si="4"/>
        <v>28</v>
      </c>
      <c r="T38" s="579"/>
      <c r="U38" s="187">
        <v>4</v>
      </c>
      <c r="V38" s="187">
        <v>2550.95676</v>
      </c>
      <c r="W38" s="184">
        <f t="shared" si="0"/>
        <v>637.73919000000001</v>
      </c>
      <c r="X38" s="181">
        <f t="shared" si="5"/>
        <v>28</v>
      </c>
      <c r="Y38" s="579"/>
      <c r="Z38" s="187">
        <v>4</v>
      </c>
      <c r="AA38" s="187">
        <v>2605.7520519599998</v>
      </c>
      <c r="AB38" s="184">
        <f t="shared" si="6"/>
        <v>651.43801298999995</v>
      </c>
      <c r="AC38" s="181">
        <f t="shared" si="7"/>
        <v>21</v>
      </c>
      <c r="AD38" s="579"/>
      <c r="AE38" s="187">
        <v>4</v>
      </c>
      <c r="AF38" s="187">
        <v>2660.4728450511593</v>
      </c>
      <c r="AG38" s="184">
        <f t="shared" si="8"/>
        <v>665.11821126278983</v>
      </c>
      <c r="AH38" s="181">
        <f t="shared" si="9"/>
        <v>21</v>
      </c>
      <c r="AI38" s="579"/>
      <c r="AJ38" s="187">
        <v>4</v>
      </c>
      <c r="AK38" s="187">
        <v>2716.3427747972332</v>
      </c>
      <c r="AL38" s="184">
        <f t="shared" si="10"/>
        <v>679.08569369930831</v>
      </c>
      <c r="AM38" s="181">
        <f t="shared" si="11"/>
        <v>20</v>
      </c>
      <c r="AN38" s="579"/>
      <c r="AO38" s="187">
        <v>4</v>
      </c>
      <c r="AP38" s="187">
        <v>2717.8427747972328</v>
      </c>
      <c r="AQ38" s="184">
        <f t="shared" si="12"/>
        <v>679.46069369930819</v>
      </c>
      <c r="AR38" s="181">
        <f t="shared" si="13"/>
        <v>20</v>
      </c>
      <c r="AS38" s="579"/>
      <c r="AT38" s="187">
        <v>4</v>
      </c>
      <c r="AU38" s="187">
        <v>2718.7427747972324</v>
      </c>
      <c r="AV38" s="184">
        <f t="shared" si="14"/>
        <v>679.6856936993081</v>
      </c>
      <c r="AW38" s="181">
        <f t="shared" si="15"/>
        <v>20</v>
      </c>
      <c r="AX38" s="579"/>
    </row>
    <row r="39" spans="1:50" ht="14.25" customHeight="1">
      <c r="B39" s="580"/>
      <c r="C39" s="179">
        <v>33</v>
      </c>
      <c r="D39" s="182" t="s">
        <v>724</v>
      </c>
      <c r="E39" s="179">
        <v>6</v>
      </c>
      <c r="F39" s="179">
        <v>3600</v>
      </c>
      <c r="G39" s="184">
        <f t="shared" si="1"/>
        <v>600</v>
      </c>
      <c r="H39" s="581"/>
      <c r="I39" s="185">
        <f t="shared" ref="I39:K42" si="17">AVERAGE(P39,U39,Z39,AE39,AJ39,AO39,AT39)</f>
        <v>6</v>
      </c>
      <c r="J39" s="185">
        <f t="shared" si="17"/>
        <v>3182.8012443380135</v>
      </c>
      <c r="K39" s="186">
        <f t="shared" si="17"/>
        <v>530.46687405633566</v>
      </c>
      <c r="L39" s="582"/>
      <c r="M39" s="185">
        <f>RANK(K39, K$7:$K$43)</f>
        <v>33</v>
      </c>
      <c r="N39" s="585"/>
      <c r="O39" s="584"/>
      <c r="P39" s="187">
        <v>6</v>
      </c>
      <c r="Q39" s="187">
        <v>3023.3621600000001</v>
      </c>
      <c r="R39" s="184">
        <f t="shared" si="3"/>
        <v>503.89369333333337</v>
      </c>
      <c r="S39" s="181">
        <f t="shared" si="4"/>
        <v>33</v>
      </c>
      <c r="T39" s="579"/>
      <c r="U39" s="187">
        <v>6</v>
      </c>
      <c r="V39" s="187">
        <v>3091.3478075200001</v>
      </c>
      <c r="W39" s="184">
        <f t="shared" si="0"/>
        <v>515.22463458666664</v>
      </c>
      <c r="X39" s="181">
        <f t="shared" si="5"/>
        <v>33</v>
      </c>
      <c r="Y39" s="579"/>
      <c r="Z39" s="187">
        <v>6</v>
      </c>
      <c r="AA39" s="187">
        <v>3158.9306820661918</v>
      </c>
      <c r="AB39" s="184">
        <f t="shared" si="6"/>
        <v>526.48844701103201</v>
      </c>
      <c r="AC39" s="181">
        <f t="shared" si="7"/>
        <v>33</v>
      </c>
      <c r="AD39" s="579"/>
      <c r="AE39" s="187">
        <v>6</v>
      </c>
      <c r="AF39" s="187">
        <v>3226.9032701398551</v>
      </c>
      <c r="AG39" s="184">
        <f t="shared" si="8"/>
        <v>537.81721168997581</v>
      </c>
      <c r="AH39" s="181">
        <f t="shared" si="9"/>
        <v>33</v>
      </c>
      <c r="AI39" s="579"/>
      <c r="AJ39" s="187">
        <v>6</v>
      </c>
      <c r="AK39" s="187">
        <v>3260.0482635466824</v>
      </c>
      <c r="AL39" s="184">
        <f t="shared" si="10"/>
        <v>543.34137725778044</v>
      </c>
      <c r="AM39" s="181">
        <f t="shared" si="11"/>
        <v>32</v>
      </c>
      <c r="AN39" s="579"/>
      <c r="AO39" s="187">
        <v>6</v>
      </c>
      <c r="AP39" s="187">
        <v>3260.0482635466833</v>
      </c>
      <c r="AQ39" s="184">
        <f t="shared" si="12"/>
        <v>543.34137725778055</v>
      </c>
      <c r="AR39" s="181">
        <f t="shared" si="13"/>
        <v>32</v>
      </c>
      <c r="AS39" s="579"/>
      <c r="AT39" s="187">
        <v>6</v>
      </c>
      <c r="AU39" s="187">
        <v>3258.9682635466829</v>
      </c>
      <c r="AV39" s="184">
        <f t="shared" si="14"/>
        <v>543.16137725778049</v>
      </c>
      <c r="AW39" s="181">
        <f t="shared" si="15"/>
        <v>33</v>
      </c>
      <c r="AX39" s="579"/>
    </row>
    <row r="40" spans="1:50" ht="14.25" customHeight="1">
      <c r="B40" s="580"/>
      <c r="C40" s="179">
        <v>34</v>
      </c>
      <c r="D40" s="182" t="s">
        <v>485</v>
      </c>
      <c r="E40" s="179">
        <v>13</v>
      </c>
      <c r="F40" s="179">
        <v>3600</v>
      </c>
      <c r="G40" s="184">
        <f t="shared" si="1"/>
        <v>276.92307692307691</v>
      </c>
      <c r="H40" s="581"/>
      <c r="I40" s="185">
        <f t="shared" si="17"/>
        <v>13</v>
      </c>
      <c r="J40" s="185">
        <f t="shared" si="17"/>
        <v>3259.6066255692626</v>
      </c>
      <c r="K40" s="186">
        <f t="shared" si="17"/>
        <v>250.73897119763555</v>
      </c>
      <c r="L40" s="582"/>
      <c r="M40" s="185">
        <f>RANK(K40, K$7:$K$43)</f>
        <v>36</v>
      </c>
      <c r="N40" s="585"/>
      <c r="O40" s="584"/>
      <c r="P40" s="187">
        <v>13</v>
      </c>
      <c r="Q40" s="187">
        <v>3261.3037684264045</v>
      </c>
      <c r="R40" s="184">
        <f t="shared" si="3"/>
        <v>250.86952064818496</v>
      </c>
      <c r="S40" s="181">
        <f t="shared" si="4"/>
        <v>36</v>
      </c>
      <c r="T40" s="579"/>
      <c r="U40" s="187">
        <v>13</v>
      </c>
      <c r="V40" s="187">
        <v>3259.5037684264048</v>
      </c>
      <c r="W40" s="184">
        <f t="shared" si="0"/>
        <v>250.73105910972345</v>
      </c>
      <c r="X40" s="181">
        <f t="shared" si="5"/>
        <v>36</v>
      </c>
      <c r="Y40" s="579"/>
      <c r="Z40" s="187">
        <v>13</v>
      </c>
      <c r="AA40" s="187">
        <v>3260.5837684264043</v>
      </c>
      <c r="AB40" s="184">
        <f t="shared" si="6"/>
        <v>250.81413603280032</v>
      </c>
      <c r="AC40" s="181">
        <f t="shared" si="7"/>
        <v>36</v>
      </c>
      <c r="AD40" s="579"/>
      <c r="AE40" s="187">
        <v>13</v>
      </c>
      <c r="AF40" s="187">
        <v>3260.2237684264046</v>
      </c>
      <c r="AG40" s="184">
        <f t="shared" si="8"/>
        <v>250.78644372510806</v>
      </c>
      <c r="AH40" s="181">
        <f t="shared" si="9"/>
        <v>36</v>
      </c>
      <c r="AI40" s="579"/>
      <c r="AJ40" s="187">
        <v>13</v>
      </c>
      <c r="AK40" s="187">
        <v>3258.4237684264053</v>
      </c>
      <c r="AL40" s="184">
        <f t="shared" si="10"/>
        <v>250.64798218664657</v>
      </c>
      <c r="AM40" s="181">
        <f t="shared" si="11"/>
        <v>36</v>
      </c>
      <c r="AN40" s="579"/>
      <c r="AO40" s="187">
        <v>13</v>
      </c>
      <c r="AP40" s="187">
        <v>3258.0637684264061</v>
      </c>
      <c r="AQ40" s="184">
        <f t="shared" si="12"/>
        <v>250.62028987895431</v>
      </c>
      <c r="AR40" s="181">
        <f t="shared" si="13"/>
        <v>36</v>
      </c>
      <c r="AS40" s="579"/>
      <c r="AT40" s="187">
        <v>13</v>
      </c>
      <c r="AU40" s="187">
        <v>3259.143768426406</v>
      </c>
      <c r="AV40" s="184">
        <f t="shared" si="14"/>
        <v>250.70336680203124</v>
      </c>
      <c r="AW40" s="181">
        <f t="shared" si="15"/>
        <v>36</v>
      </c>
      <c r="AX40" s="579"/>
    </row>
    <row r="41" spans="1:50" ht="14.25" customHeight="1">
      <c r="B41" s="580"/>
      <c r="C41" s="179">
        <v>35</v>
      </c>
      <c r="D41" s="182" t="s">
        <v>345</v>
      </c>
      <c r="E41" s="179">
        <v>3</v>
      </c>
      <c r="F41" s="179">
        <v>3000</v>
      </c>
      <c r="G41" s="184">
        <f t="shared" si="1"/>
        <v>1000</v>
      </c>
      <c r="H41" s="581"/>
      <c r="I41" s="185">
        <f t="shared" si="17"/>
        <v>3</v>
      </c>
      <c r="J41" s="185">
        <f t="shared" si="17"/>
        <v>2717.2536075350808</v>
      </c>
      <c r="K41" s="186">
        <f t="shared" si="17"/>
        <v>905.75120251169369</v>
      </c>
      <c r="L41" s="582"/>
      <c r="M41" s="185">
        <f>RANK(K41, K$7:$K$43)</f>
        <v>14</v>
      </c>
      <c r="N41" s="585"/>
      <c r="O41" s="584"/>
      <c r="P41" s="187">
        <v>3</v>
      </c>
      <c r="Q41" s="187">
        <v>2714.7250361065094</v>
      </c>
      <c r="R41" s="184">
        <f t="shared" si="3"/>
        <v>904.90834536883642</v>
      </c>
      <c r="S41" s="181">
        <f t="shared" si="4"/>
        <v>15</v>
      </c>
      <c r="T41" s="579"/>
      <c r="U41" s="187">
        <v>3</v>
      </c>
      <c r="V41" s="187">
        <v>2716.2250361065094</v>
      </c>
      <c r="W41" s="184">
        <f t="shared" si="0"/>
        <v>905.40834536883642</v>
      </c>
      <c r="X41" s="181">
        <f t="shared" si="5"/>
        <v>15</v>
      </c>
      <c r="Y41" s="579"/>
      <c r="Z41" s="187">
        <v>3</v>
      </c>
      <c r="AA41" s="187">
        <v>2716.8250361065093</v>
      </c>
      <c r="AB41" s="184">
        <f t="shared" si="6"/>
        <v>905.60834536883647</v>
      </c>
      <c r="AC41" s="181">
        <f t="shared" si="7"/>
        <v>15</v>
      </c>
      <c r="AD41" s="579"/>
      <c r="AE41" s="187">
        <v>3</v>
      </c>
      <c r="AF41" s="187">
        <v>2717.7250361065094</v>
      </c>
      <c r="AG41" s="184">
        <f t="shared" si="8"/>
        <v>905.90834536883642</v>
      </c>
      <c r="AH41" s="181">
        <f t="shared" si="9"/>
        <v>14</v>
      </c>
      <c r="AI41" s="579"/>
      <c r="AJ41" s="187">
        <v>3</v>
      </c>
      <c r="AK41" s="187">
        <v>2718.6250361065095</v>
      </c>
      <c r="AL41" s="184">
        <f t="shared" si="10"/>
        <v>906.20834536883649</v>
      </c>
      <c r="AM41" s="181">
        <f t="shared" si="11"/>
        <v>13</v>
      </c>
      <c r="AN41" s="579"/>
      <c r="AO41" s="187">
        <v>3</v>
      </c>
      <c r="AP41" s="187">
        <v>2718.9250361065097</v>
      </c>
      <c r="AQ41" s="184">
        <f t="shared" si="12"/>
        <v>906.30834536883651</v>
      </c>
      <c r="AR41" s="181">
        <f t="shared" si="13"/>
        <v>13</v>
      </c>
      <c r="AS41" s="579"/>
      <c r="AT41" s="187">
        <v>3</v>
      </c>
      <c r="AU41" s="187">
        <v>2717.7250361065103</v>
      </c>
      <c r="AV41" s="184">
        <f t="shared" si="14"/>
        <v>905.90834536883676</v>
      </c>
      <c r="AW41" s="181">
        <f t="shared" si="15"/>
        <v>15</v>
      </c>
      <c r="AX41" s="579"/>
    </row>
    <row r="42" spans="1:50" ht="14.25" customHeight="1">
      <c r="B42" s="580"/>
      <c r="C42" s="179">
        <v>36</v>
      </c>
      <c r="D42" s="182" t="s">
        <v>437</v>
      </c>
      <c r="E42" s="179">
        <v>12</v>
      </c>
      <c r="F42" s="179">
        <v>3600</v>
      </c>
      <c r="G42" s="184">
        <f t="shared" si="1"/>
        <v>300</v>
      </c>
      <c r="H42" s="581"/>
      <c r="I42" s="185">
        <f t="shared" si="17"/>
        <v>12</v>
      </c>
      <c r="J42" s="185">
        <f t="shared" si="17"/>
        <v>3117.4577302189086</v>
      </c>
      <c r="K42" s="186">
        <f t="shared" si="17"/>
        <v>259.78814418490907</v>
      </c>
      <c r="L42" s="582"/>
      <c r="M42" s="185">
        <f>RANK(K42, K$7:$K$43)</f>
        <v>34</v>
      </c>
      <c r="N42" s="585"/>
      <c r="O42" s="584"/>
      <c r="P42" s="187">
        <v>12</v>
      </c>
      <c r="Q42" s="187">
        <v>3114.2225748615342</v>
      </c>
      <c r="R42" s="184">
        <f t="shared" si="3"/>
        <v>259.51854790512783</v>
      </c>
      <c r="S42" s="181">
        <f t="shared" si="4"/>
        <v>35</v>
      </c>
      <c r="T42" s="579"/>
      <c r="U42" s="187">
        <v>12</v>
      </c>
      <c r="V42" s="187">
        <v>3116.022574861533</v>
      </c>
      <c r="W42" s="184">
        <f t="shared" si="0"/>
        <v>259.66854790512775</v>
      </c>
      <c r="X42" s="181">
        <f t="shared" si="5"/>
        <v>34</v>
      </c>
      <c r="Y42" s="579"/>
      <c r="Z42" s="187">
        <v>12</v>
      </c>
      <c r="AA42" s="187">
        <v>3116.7425748615333</v>
      </c>
      <c r="AB42" s="184">
        <f t="shared" si="6"/>
        <v>259.72854790512775</v>
      </c>
      <c r="AC42" s="181">
        <f t="shared" si="7"/>
        <v>35</v>
      </c>
      <c r="AD42" s="579"/>
      <c r="AE42" s="187">
        <v>12</v>
      </c>
      <c r="AF42" s="187">
        <v>3118.1825748615329</v>
      </c>
      <c r="AG42" s="184">
        <f t="shared" si="8"/>
        <v>259.84854790512776</v>
      </c>
      <c r="AH42" s="181">
        <f t="shared" si="9"/>
        <v>35</v>
      </c>
      <c r="AI42" s="579"/>
      <c r="AJ42" s="187">
        <v>12</v>
      </c>
      <c r="AK42" s="187">
        <v>3117.4512706954083</v>
      </c>
      <c r="AL42" s="184">
        <f t="shared" si="10"/>
        <v>259.78760589128404</v>
      </c>
      <c r="AM42" s="181">
        <f t="shared" si="11"/>
        <v>35</v>
      </c>
      <c r="AN42" s="579"/>
      <c r="AO42" s="187">
        <v>12</v>
      </c>
      <c r="AP42" s="187">
        <v>3118.8912706954084</v>
      </c>
      <c r="AQ42" s="184">
        <f t="shared" si="12"/>
        <v>259.90760589128405</v>
      </c>
      <c r="AR42" s="181">
        <f t="shared" si="13"/>
        <v>34</v>
      </c>
      <c r="AS42" s="579"/>
      <c r="AT42" s="187">
        <v>12</v>
      </c>
      <c r="AU42" s="187">
        <v>3120.6912706954085</v>
      </c>
      <c r="AV42" s="184">
        <f t="shared" si="14"/>
        <v>260.05760589128403</v>
      </c>
      <c r="AW42" s="181">
        <f t="shared" si="15"/>
        <v>34</v>
      </c>
      <c r="AX42" s="579"/>
    </row>
    <row r="43" spans="1:50" ht="14.25" customHeight="1">
      <c r="B43" s="580"/>
      <c r="C43" s="179">
        <v>37</v>
      </c>
      <c r="D43" s="182"/>
      <c r="E43" s="179"/>
      <c r="F43" s="179"/>
      <c r="G43" s="184"/>
      <c r="H43" s="581"/>
      <c r="I43" s="185"/>
      <c r="J43" s="185"/>
      <c r="K43" s="186"/>
      <c r="L43" s="582"/>
      <c r="M43" s="185"/>
      <c r="N43" s="585"/>
      <c r="O43" s="584"/>
      <c r="P43" s="187"/>
      <c r="Q43" s="187"/>
      <c r="R43" s="184"/>
      <c r="S43" s="181"/>
      <c r="T43" s="579"/>
      <c r="U43" s="187"/>
      <c r="V43" s="187"/>
      <c r="W43" s="184"/>
      <c r="X43" s="181"/>
      <c r="Y43" s="579"/>
      <c r="Z43" s="187"/>
      <c r="AA43" s="187"/>
      <c r="AB43" s="184"/>
      <c r="AC43" s="181"/>
      <c r="AD43" s="579"/>
      <c r="AE43" s="187"/>
      <c r="AF43" s="187"/>
      <c r="AG43" s="184"/>
      <c r="AH43" s="181"/>
      <c r="AI43" s="579"/>
      <c r="AJ43" s="187"/>
      <c r="AK43" s="187"/>
      <c r="AL43" s="184"/>
      <c r="AM43" s="181"/>
      <c r="AN43" s="579"/>
      <c r="AO43" s="187"/>
      <c r="AP43" s="187"/>
      <c r="AQ43" s="184"/>
      <c r="AR43" s="181"/>
      <c r="AS43" s="579"/>
      <c r="AT43" s="187"/>
      <c r="AU43" s="187"/>
      <c r="AV43" s="184"/>
      <c r="AW43" s="181"/>
      <c r="AX43" s="579"/>
    </row>
    <row r="44" spans="1:50" ht="14.25" customHeight="1">
      <c r="B44" s="596" t="s">
        <v>806</v>
      </c>
      <c r="C44" s="596"/>
      <c r="D44" s="596"/>
      <c r="E44" s="596"/>
      <c r="F44" s="596"/>
      <c r="G44" s="596"/>
      <c r="H44" s="596"/>
      <c r="I44" s="596"/>
      <c r="J44" s="596"/>
      <c r="K44" s="596"/>
      <c r="L44" s="596"/>
      <c r="M44" s="597"/>
      <c r="N44" s="600" t="s">
        <v>363</v>
      </c>
      <c r="O44" s="600" t="s">
        <v>105</v>
      </c>
      <c r="P44" s="602">
        <v>46210</v>
      </c>
      <c r="Q44" s="603"/>
      <c r="R44" s="603"/>
      <c r="S44" s="603"/>
      <c r="T44" s="603"/>
      <c r="U44" s="594">
        <v>46211</v>
      </c>
      <c r="V44" s="595"/>
      <c r="W44" s="595"/>
      <c r="X44" s="595"/>
      <c r="Y44" s="595"/>
      <c r="Z44" s="602">
        <v>46212</v>
      </c>
      <c r="AA44" s="603"/>
      <c r="AB44" s="603"/>
      <c r="AC44" s="603"/>
      <c r="AD44" s="603"/>
      <c r="AE44" s="594">
        <v>46213</v>
      </c>
      <c r="AF44" s="595"/>
      <c r="AG44" s="595"/>
      <c r="AH44" s="595"/>
      <c r="AI44" s="595"/>
      <c r="AJ44" s="586">
        <v>46214</v>
      </c>
      <c r="AK44" s="587"/>
      <c r="AL44" s="587"/>
      <c r="AM44" s="587"/>
      <c r="AN44" s="588"/>
      <c r="AO44" s="594">
        <v>46215</v>
      </c>
      <c r="AP44" s="595"/>
      <c r="AQ44" s="595"/>
      <c r="AR44" s="595"/>
      <c r="AS44" s="595"/>
      <c r="AT44" s="586">
        <v>46216</v>
      </c>
      <c r="AU44" s="587"/>
      <c r="AV44" s="587"/>
      <c r="AW44" s="587"/>
      <c r="AX44" s="588"/>
    </row>
    <row r="45" spans="1:50" ht="14.25" customHeight="1">
      <c r="B45" s="598"/>
      <c r="C45" s="598"/>
      <c r="D45" s="598"/>
      <c r="E45" s="598"/>
      <c r="F45" s="598"/>
      <c r="G45" s="598"/>
      <c r="H45" s="598"/>
      <c r="I45" s="598"/>
      <c r="J45" s="598"/>
      <c r="K45" s="598"/>
      <c r="L45" s="598"/>
      <c r="M45" s="599"/>
      <c r="N45" s="601"/>
      <c r="O45" s="601"/>
      <c r="P45" s="589">
        <v>46196</v>
      </c>
      <c r="Q45" s="589"/>
      <c r="R45" s="589"/>
      <c r="S45" s="589"/>
      <c r="T45" s="589"/>
      <c r="U45" s="590">
        <v>46197</v>
      </c>
      <c r="V45" s="590"/>
      <c r="W45" s="590"/>
      <c r="X45" s="590"/>
      <c r="Y45" s="590"/>
      <c r="Z45" s="589">
        <v>46198</v>
      </c>
      <c r="AA45" s="589"/>
      <c r="AB45" s="589"/>
      <c r="AC45" s="589"/>
      <c r="AD45" s="589"/>
      <c r="AE45" s="590">
        <v>46199</v>
      </c>
      <c r="AF45" s="590"/>
      <c r="AG45" s="590"/>
      <c r="AH45" s="590"/>
      <c r="AI45" s="590"/>
      <c r="AJ45" s="591">
        <v>46200</v>
      </c>
      <c r="AK45" s="592"/>
      <c r="AL45" s="592"/>
      <c r="AM45" s="592"/>
      <c r="AN45" s="593"/>
      <c r="AO45" s="590">
        <v>46201</v>
      </c>
      <c r="AP45" s="590"/>
      <c r="AQ45" s="590"/>
      <c r="AR45" s="590"/>
      <c r="AS45" s="590"/>
      <c r="AT45" s="591">
        <v>46202</v>
      </c>
      <c r="AU45" s="592"/>
      <c r="AV45" s="592"/>
      <c r="AW45" s="592"/>
      <c r="AX45" s="593"/>
    </row>
    <row r="46" spans="1:50" ht="14.25" customHeight="1">
      <c r="B46" s="580" t="s">
        <v>162</v>
      </c>
      <c r="C46" s="580" t="s">
        <v>157</v>
      </c>
      <c r="D46" s="580"/>
      <c r="E46" s="580" t="s">
        <v>158</v>
      </c>
      <c r="F46" s="580"/>
      <c r="G46" s="580"/>
      <c r="H46" s="580" t="s">
        <v>163</v>
      </c>
      <c r="I46" s="583" t="s">
        <v>364</v>
      </c>
      <c r="J46" s="583"/>
      <c r="K46" s="583"/>
      <c r="L46" s="583" t="s">
        <v>163</v>
      </c>
      <c r="M46" s="583" t="s">
        <v>165</v>
      </c>
      <c r="N46" s="585"/>
      <c r="O46" s="584" t="s">
        <v>164</v>
      </c>
      <c r="P46" s="584" t="s">
        <v>160</v>
      </c>
      <c r="Q46" s="584"/>
      <c r="R46" s="584"/>
      <c r="S46" s="584"/>
      <c r="T46" s="584" t="s">
        <v>163</v>
      </c>
      <c r="U46" s="584" t="s">
        <v>160</v>
      </c>
      <c r="V46" s="584"/>
      <c r="W46" s="584"/>
      <c r="X46" s="584"/>
      <c r="Y46" s="584" t="s">
        <v>163</v>
      </c>
      <c r="Z46" s="584" t="s">
        <v>160</v>
      </c>
      <c r="AA46" s="584"/>
      <c r="AB46" s="584"/>
      <c r="AC46" s="584"/>
      <c r="AD46" s="584" t="s">
        <v>163</v>
      </c>
      <c r="AE46" s="584" t="s">
        <v>160</v>
      </c>
      <c r="AF46" s="584"/>
      <c r="AG46" s="584"/>
      <c r="AH46" s="584"/>
      <c r="AI46" s="584" t="s">
        <v>163</v>
      </c>
      <c r="AJ46" s="584" t="s">
        <v>160</v>
      </c>
      <c r="AK46" s="584"/>
      <c r="AL46" s="584"/>
      <c r="AM46" s="584"/>
      <c r="AN46" s="584" t="s">
        <v>163</v>
      </c>
      <c r="AO46" s="584" t="s">
        <v>160</v>
      </c>
      <c r="AP46" s="584"/>
      <c r="AQ46" s="584"/>
      <c r="AR46" s="584"/>
      <c r="AS46" s="584" t="s">
        <v>163</v>
      </c>
      <c r="AT46" s="584" t="s">
        <v>160</v>
      </c>
      <c r="AU46" s="584"/>
      <c r="AV46" s="584"/>
      <c r="AW46" s="584"/>
      <c r="AX46" s="584" t="s">
        <v>163</v>
      </c>
    </row>
    <row r="47" spans="1:50" ht="14.25" customHeight="1">
      <c r="B47" s="580"/>
      <c r="C47" s="580"/>
      <c r="D47" s="580"/>
      <c r="E47" s="580" t="s">
        <v>365</v>
      </c>
      <c r="F47" s="580"/>
      <c r="G47" s="580"/>
      <c r="H47" s="580"/>
      <c r="I47" s="583" t="s">
        <v>365</v>
      </c>
      <c r="J47" s="583"/>
      <c r="K47" s="583"/>
      <c r="L47" s="583"/>
      <c r="M47" s="583"/>
      <c r="N47" s="585"/>
      <c r="O47" s="584"/>
      <c r="P47" s="584" t="s">
        <v>366</v>
      </c>
      <c r="Q47" s="584"/>
      <c r="R47" s="584"/>
      <c r="S47" s="584"/>
      <c r="T47" s="584"/>
      <c r="U47" s="584" t="s">
        <v>366</v>
      </c>
      <c r="V47" s="584"/>
      <c r="W47" s="584"/>
      <c r="X47" s="584"/>
      <c r="Y47" s="584"/>
      <c r="Z47" s="584" t="s">
        <v>366</v>
      </c>
      <c r="AA47" s="584"/>
      <c r="AB47" s="584"/>
      <c r="AC47" s="584"/>
      <c r="AD47" s="584"/>
      <c r="AE47" s="584" t="s">
        <v>366</v>
      </c>
      <c r="AF47" s="584"/>
      <c r="AG47" s="584"/>
      <c r="AH47" s="584"/>
      <c r="AI47" s="584"/>
      <c r="AJ47" s="584" t="s">
        <v>366</v>
      </c>
      <c r="AK47" s="584"/>
      <c r="AL47" s="584"/>
      <c r="AM47" s="584"/>
      <c r="AN47" s="584"/>
      <c r="AO47" s="584" t="s">
        <v>366</v>
      </c>
      <c r="AP47" s="584"/>
      <c r="AQ47" s="584"/>
      <c r="AR47" s="584"/>
      <c r="AS47" s="584"/>
      <c r="AT47" s="584" t="s">
        <v>366</v>
      </c>
      <c r="AU47" s="584"/>
      <c r="AV47" s="584"/>
      <c r="AW47" s="584"/>
      <c r="AX47" s="584"/>
    </row>
    <row r="48" spans="1:50" ht="14.25" customHeight="1">
      <c r="A48" s="176"/>
      <c r="B48" s="580"/>
      <c r="C48" s="580"/>
      <c r="D48" s="580"/>
      <c r="E48" s="179" t="s">
        <v>159</v>
      </c>
      <c r="F48" s="179" t="s">
        <v>367</v>
      </c>
      <c r="G48" s="179" t="s">
        <v>161</v>
      </c>
      <c r="H48" s="580"/>
      <c r="I48" s="180" t="s">
        <v>159</v>
      </c>
      <c r="J48" s="180" t="s">
        <v>367</v>
      </c>
      <c r="K48" s="180" t="s">
        <v>161</v>
      </c>
      <c r="L48" s="583"/>
      <c r="M48" s="583"/>
      <c r="N48" s="585"/>
      <c r="O48" s="584"/>
      <c r="P48" s="181" t="s">
        <v>159</v>
      </c>
      <c r="Q48" s="181" t="s">
        <v>367</v>
      </c>
      <c r="R48" s="181" t="s">
        <v>161</v>
      </c>
      <c r="S48" s="181" t="s">
        <v>165</v>
      </c>
      <c r="T48" s="584"/>
      <c r="U48" s="181" t="s">
        <v>159</v>
      </c>
      <c r="V48" s="181" t="s">
        <v>367</v>
      </c>
      <c r="W48" s="181" t="s">
        <v>161</v>
      </c>
      <c r="X48" s="181" t="s">
        <v>165</v>
      </c>
      <c r="Y48" s="584"/>
      <c r="Z48" s="181" t="s">
        <v>159</v>
      </c>
      <c r="AA48" s="181" t="s">
        <v>367</v>
      </c>
      <c r="AB48" s="181" t="s">
        <v>161</v>
      </c>
      <c r="AC48" s="181" t="s">
        <v>165</v>
      </c>
      <c r="AD48" s="584"/>
      <c r="AE48" s="181" t="s">
        <v>159</v>
      </c>
      <c r="AF48" s="181" t="s">
        <v>367</v>
      </c>
      <c r="AG48" s="181" t="s">
        <v>161</v>
      </c>
      <c r="AH48" s="181" t="s">
        <v>165</v>
      </c>
      <c r="AI48" s="584"/>
      <c r="AJ48" s="181" t="s">
        <v>159</v>
      </c>
      <c r="AK48" s="181" t="s">
        <v>367</v>
      </c>
      <c r="AL48" s="181" t="s">
        <v>161</v>
      </c>
      <c r="AM48" s="181" t="s">
        <v>165</v>
      </c>
      <c r="AN48" s="584"/>
      <c r="AO48" s="181" t="s">
        <v>159</v>
      </c>
      <c r="AP48" s="181" t="s">
        <v>367</v>
      </c>
      <c r="AQ48" s="181" t="s">
        <v>161</v>
      </c>
      <c r="AR48" s="181" t="s">
        <v>165</v>
      </c>
      <c r="AS48" s="584"/>
      <c r="AT48" s="181" t="s">
        <v>159</v>
      </c>
      <c r="AU48" s="181" t="s">
        <v>367</v>
      </c>
      <c r="AV48" s="181" t="s">
        <v>161</v>
      </c>
      <c r="AW48" s="181" t="s">
        <v>165</v>
      </c>
      <c r="AX48" s="584"/>
    </row>
    <row r="49" spans="2:50" ht="14.25" customHeight="1">
      <c r="B49" s="580" t="s">
        <v>368</v>
      </c>
      <c r="C49" s="179">
        <v>1</v>
      </c>
      <c r="D49" s="182" t="s">
        <v>393</v>
      </c>
      <c r="E49" s="183">
        <v>4</v>
      </c>
      <c r="F49" s="179">
        <v>3300</v>
      </c>
      <c r="G49" s="184">
        <f>IFERROR(F49/E49,"")</f>
        <v>825</v>
      </c>
      <c r="H49" s="581">
        <f>AVERAGE(G49:G85)</f>
        <v>856.76923076923083</v>
      </c>
      <c r="I49" s="185">
        <f>AVERAGE(P49,U49,Z49,AE49,AJ49,AO49,AT49)</f>
        <v>4</v>
      </c>
      <c r="J49" s="185">
        <f>AVERAGE(Q49,V49,AA49,AF49,AK49,AP49,AU49)</f>
        <v>2989.7999999999993</v>
      </c>
      <c r="K49" s="186">
        <f>AVERAGE(R49,W49,AB49,AG49,AL49,AQ49,AV49)</f>
        <v>747.44999999999982</v>
      </c>
      <c r="L49" s="582">
        <f>IFERROR(AVERAGE(K49:K85),"-")</f>
        <v>765.61007204064788</v>
      </c>
      <c r="M49" s="185">
        <f>RANK(K49, K$49:$K$85)</f>
        <v>18</v>
      </c>
      <c r="N49" s="585"/>
      <c r="O49" s="584"/>
      <c r="P49" s="187">
        <v>4</v>
      </c>
      <c r="Q49" s="187">
        <v>2989.7999999999997</v>
      </c>
      <c r="R49" s="184">
        <f>IFERROR(Q49/P49,"")</f>
        <v>747.44999999999993</v>
      </c>
      <c r="S49" s="181">
        <f>RANK(R49, R$49:R$85)</f>
        <v>18</v>
      </c>
      <c r="T49" s="579">
        <f>AVERAGE(R49:R85)</f>
        <v>765.56827656378641</v>
      </c>
      <c r="U49" s="187">
        <v>4</v>
      </c>
      <c r="V49" s="187">
        <v>2989.7999999999993</v>
      </c>
      <c r="W49" s="184">
        <f t="shared" ref="W49:W83" si="18">IFERROR(V49/U49,"")</f>
        <v>747.44999999999982</v>
      </c>
      <c r="X49" s="181">
        <f>RANK(W49, W$49:W$85)</f>
        <v>18</v>
      </c>
      <c r="Y49" s="579">
        <f>AVERAGE(W49:W85)</f>
        <v>765.53823920114905</v>
      </c>
      <c r="Z49" s="187">
        <v>4</v>
      </c>
      <c r="AA49" s="187">
        <v>2989.8</v>
      </c>
      <c r="AB49" s="184">
        <f>IFERROR(AA49/Z49,"")</f>
        <v>747.45</v>
      </c>
      <c r="AC49" s="181">
        <f>RANK(AB49, AB$49:AB$85)</f>
        <v>17</v>
      </c>
      <c r="AD49" s="579">
        <f>AVERAGE(AB49:AB85)</f>
        <v>765.60832711323678</v>
      </c>
      <c r="AE49" s="187">
        <v>4</v>
      </c>
      <c r="AF49" s="187">
        <v>2989.8</v>
      </c>
      <c r="AG49" s="184">
        <f>IFERROR(AF49/AE49,"")</f>
        <v>747.45</v>
      </c>
      <c r="AH49" s="181">
        <f>RANK(AG49, AG$49:AG$85)</f>
        <v>17</v>
      </c>
      <c r="AI49" s="579">
        <f>AVERAGE(AG49:AG85)</f>
        <v>765.6200787615885</v>
      </c>
      <c r="AJ49" s="187">
        <v>4</v>
      </c>
      <c r="AK49" s="187">
        <v>2989.7999999999997</v>
      </c>
      <c r="AL49" s="184">
        <f>IFERROR(AK49/AJ49,"")</f>
        <v>747.44999999999993</v>
      </c>
      <c r="AM49" s="181">
        <f>RANK(AL49, AL$49:AL$85)</f>
        <v>18</v>
      </c>
      <c r="AN49" s="579">
        <f>AVERAGE(AL49:AL85)</f>
        <v>765.64865204219348</v>
      </c>
      <c r="AO49" s="187">
        <v>4</v>
      </c>
      <c r="AP49" s="187">
        <v>2989.8</v>
      </c>
      <c r="AQ49" s="184">
        <f>IFERROR(AP49/AO49,"")</f>
        <v>747.45</v>
      </c>
      <c r="AR49" s="181">
        <f>RANK(AQ49, AQ$49:AQ$85)</f>
        <v>17</v>
      </c>
      <c r="AS49" s="579">
        <f>AVERAGE(AQ49:AQ85)</f>
        <v>765.61713936417073</v>
      </c>
      <c r="AT49" s="187">
        <v>4</v>
      </c>
      <c r="AU49" s="187">
        <v>2989.8</v>
      </c>
      <c r="AV49" s="184">
        <f>IFERROR(AU49/AT49,"")</f>
        <v>747.45</v>
      </c>
      <c r="AW49" s="181">
        <f>RANK(AV49, AV$49:AV$85)</f>
        <v>17</v>
      </c>
      <c r="AX49" s="579">
        <f>AVERAGE(AV49:AV85)</f>
        <v>765.66979123840929</v>
      </c>
    </row>
    <row r="50" spans="2:50" ht="14.25" customHeight="1">
      <c r="B50" s="580"/>
      <c r="C50" s="179">
        <v>2</v>
      </c>
      <c r="D50" s="182" t="s">
        <v>391</v>
      </c>
      <c r="E50" s="183">
        <v>3</v>
      </c>
      <c r="F50" s="179">
        <v>3600</v>
      </c>
      <c r="G50" s="184">
        <f t="shared" ref="G50:G83" si="19">IFERROR(F50/E50,"")</f>
        <v>1200</v>
      </c>
      <c r="H50" s="581"/>
      <c r="I50" s="185">
        <f t="shared" ref="I50:K79" si="20">AVERAGE(P50,U50,Z50,AE50,AJ50,AO50,AT50)</f>
        <v>3</v>
      </c>
      <c r="J50" s="185">
        <f t="shared" si="20"/>
        <v>3185.3526635797739</v>
      </c>
      <c r="K50" s="186">
        <f t="shared" si="20"/>
        <v>1061.784221193258</v>
      </c>
      <c r="L50" s="582"/>
      <c r="M50" s="185">
        <f>RANK(K50, K$49:$K$85)</f>
        <v>9</v>
      </c>
      <c r="N50" s="585"/>
      <c r="O50" s="584"/>
      <c r="P50" s="187">
        <v>3</v>
      </c>
      <c r="Q50" s="187">
        <v>3185.7640921512025</v>
      </c>
      <c r="R50" s="184">
        <f t="shared" ref="R50:R83" si="21">IFERROR(Q50/P50,"")</f>
        <v>1061.9213640504008</v>
      </c>
      <c r="S50" s="181">
        <f t="shared" ref="S50:S83" si="22">RANK(R50, R$49:R$85)</f>
        <v>8</v>
      </c>
      <c r="T50" s="579"/>
      <c r="U50" s="187">
        <v>3</v>
      </c>
      <c r="V50" s="187">
        <v>3185.0440921512022</v>
      </c>
      <c r="W50" s="184">
        <f t="shared" si="18"/>
        <v>1061.6813640504008</v>
      </c>
      <c r="X50" s="181">
        <f t="shared" ref="X50:X83" si="23">RANK(W50, W$49:W$85)</f>
        <v>8</v>
      </c>
      <c r="Y50" s="579"/>
      <c r="Z50" s="187">
        <v>3</v>
      </c>
      <c r="AA50" s="187">
        <v>3184.6840921512025</v>
      </c>
      <c r="AB50" s="184">
        <f t="shared" ref="AB50:AB83" si="24">IFERROR(AA50/Z50,"")</f>
        <v>1061.5613640504009</v>
      </c>
      <c r="AC50" s="181">
        <f t="shared" ref="AC50:AC83" si="25">RANK(AB50, AB$49:AB$85)</f>
        <v>9</v>
      </c>
      <c r="AD50" s="579"/>
      <c r="AE50" s="187">
        <v>3</v>
      </c>
      <c r="AF50" s="187">
        <v>3186.4840921512027</v>
      </c>
      <c r="AG50" s="184">
        <f t="shared" ref="AG50:AG83" si="26">IFERROR(AF50/AE50,"")</f>
        <v>1062.1613640504008</v>
      </c>
      <c r="AH50" s="181">
        <f t="shared" ref="AH50:AH83" si="27">RANK(AG50, AG$49:AG$85)</f>
        <v>6</v>
      </c>
      <c r="AI50" s="579"/>
      <c r="AJ50" s="187">
        <v>3</v>
      </c>
      <c r="AK50" s="187">
        <v>3185.0440921512027</v>
      </c>
      <c r="AL50" s="184">
        <f t="shared" ref="AL50:AL83" si="28">IFERROR(AK50/AJ50,"")</f>
        <v>1061.6813640504008</v>
      </c>
      <c r="AM50" s="181">
        <f t="shared" ref="AM50:AM83" si="29">RANK(AL50, AL$49:AL$85)</f>
        <v>8</v>
      </c>
      <c r="AN50" s="579"/>
      <c r="AO50" s="187">
        <v>3</v>
      </c>
      <c r="AP50" s="187">
        <v>3184.3240921512024</v>
      </c>
      <c r="AQ50" s="184">
        <f t="shared" ref="AQ50:AQ83" si="30">IFERROR(AP50/AO50,"")</f>
        <v>1061.4413640504008</v>
      </c>
      <c r="AR50" s="181">
        <f t="shared" ref="AR50:AR83" si="31">RANK(AQ50, AQ$49:AQ$85)</f>
        <v>9</v>
      </c>
      <c r="AS50" s="579"/>
      <c r="AT50" s="187">
        <v>3</v>
      </c>
      <c r="AU50" s="187">
        <v>3186.1240921512021</v>
      </c>
      <c r="AV50" s="184">
        <f t="shared" ref="AV50:AV83" si="32">IFERROR(AU50/AT50,"")</f>
        <v>1062.0413640504007</v>
      </c>
      <c r="AW50" s="181">
        <f t="shared" ref="AW50:AW83" si="33">RANK(AV50, AV$49:AV$85)</f>
        <v>9</v>
      </c>
      <c r="AX50" s="579"/>
    </row>
    <row r="51" spans="2:50" ht="14.25" customHeight="1">
      <c r="B51" s="580"/>
      <c r="C51" s="179">
        <v>3</v>
      </c>
      <c r="D51" s="182" t="s">
        <v>392</v>
      </c>
      <c r="E51" s="183">
        <v>5</v>
      </c>
      <c r="F51" s="179">
        <v>3600</v>
      </c>
      <c r="G51" s="184">
        <f t="shared" si="19"/>
        <v>720</v>
      </c>
      <c r="H51" s="581"/>
      <c r="I51" s="185">
        <f t="shared" si="20"/>
        <v>5</v>
      </c>
      <c r="J51" s="185">
        <f t="shared" si="20"/>
        <v>3195.7015419550485</v>
      </c>
      <c r="K51" s="186">
        <f t="shared" si="20"/>
        <v>639.14030839100974</v>
      </c>
      <c r="L51" s="582"/>
      <c r="M51" s="185">
        <f>RANK(K51, K$49:$K$85)</f>
        <v>24</v>
      </c>
      <c r="N51" s="585"/>
      <c r="O51" s="584"/>
      <c r="P51" s="187">
        <v>5</v>
      </c>
      <c r="Q51" s="187">
        <v>3196.2158276693344</v>
      </c>
      <c r="R51" s="184">
        <f t="shared" si="21"/>
        <v>639.24316553386689</v>
      </c>
      <c r="S51" s="181">
        <f t="shared" si="22"/>
        <v>23</v>
      </c>
      <c r="T51" s="579"/>
      <c r="U51" s="187">
        <v>5</v>
      </c>
      <c r="V51" s="187">
        <v>3194.7758276693348</v>
      </c>
      <c r="W51" s="184">
        <f t="shared" si="18"/>
        <v>638.95516553386699</v>
      </c>
      <c r="X51" s="181">
        <f t="shared" si="23"/>
        <v>24</v>
      </c>
      <c r="Y51" s="579"/>
      <c r="Z51" s="187">
        <v>5</v>
      </c>
      <c r="AA51" s="187">
        <v>3195.1358276693345</v>
      </c>
      <c r="AB51" s="184">
        <f t="shared" si="24"/>
        <v>639.02716553386688</v>
      </c>
      <c r="AC51" s="181">
        <f t="shared" si="25"/>
        <v>24</v>
      </c>
      <c r="AD51" s="579"/>
      <c r="AE51" s="187">
        <v>5</v>
      </c>
      <c r="AF51" s="187">
        <v>3194.4158276693342</v>
      </c>
      <c r="AG51" s="184">
        <f t="shared" si="26"/>
        <v>638.88316553386687</v>
      </c>
      <c r="AH51" s="181">
        <f t="shared" si="27"/>
        <v>24</v>
      </c>
      <c r="AI51" s="579"/>
      <c r="AJ51" s="187">
        <v>5</v>
      </c>
      <c r="AK51" s="187">
        <v>3196.2158276693344</v>
      </c>
      <c r="AL51" s="184">
        <f t="shared" si="28"/>
        <v>639.24316553386689</v>
      </c>
      <c r="AM51" s="181">
        <f t="shared" si="29"/>
        <v>24</v>
      </c>
      <c r="AN51" s="579"/>
      <c r="AO51" s="187">
        <v>5</v>
      </c>
      <c r="AP51" s="187">
        <v>3196.2158276693344</v>
      </c>
      <c r="AQ51" s="184">
        <f t="shared" si="30"/>
        <v>639.24316553386689</v>
      </c>
      <c r="AR51" s="181">
        <f t="shared" si="31"/>
        <v>24</v>
      </c>
      <c r="AS51" s="579"/>
      <c r="AT51" s="187">
        <v>5</v>
      </c>
      <c r="AU51" s="187">
        <v>3196.9358276693342</v>
      </c>
      <c r="AV51" s="184">
        <f t="shared" si="32"/>
        <v>639.38716553386689</v>
      </c>
      <c r="AW51" s="181">
        <f t="shared" si="33"/>
        <v>22</v>
      </c>
      <c r="AX51" s="579"/>
    </row>
    <row r="52" spans="2:50" ht="14.25" customHeight="1">
      <c r="B52" s="580"/>
      <c r="C52" s="179">
        <v>4</v>
      </c>
      <c r="D52" s="182" t="s">
        <v>229</v>
      </c>
      <c r="E52" s="183">
        <v>5</v>
      </c>
      <c r="F52" s="179">
        <v>3300</v>
      </c>
      <c r="G52" s="184">
        <f t="shared" si="19"/>
        <v>660</v>
      </c>
      <c r="H52" s="581"/>
      <c r="I52" s="185">
        <f t="shared" si="20"/>
        <v>5</v>
      </c>
      <c r="J52" s="185">
        <f t="shared" si="20"/>
        <v>2989.7999999999997</v>
      </c>
      <c r="K52" s="186">
        <f t="shared" si="20"/>
        <v>597.96</v>
      </c>
      <c r="L52" s="582"/>
      <c r="M52" s="185">
        <f>RANK(K52, K$49:$K$85)</f>
        <v>28</v>
      </c>
      <c r="N52" s="585"/>
      <c r="O52" s="584"/>
      <c r="P52" s="187">
        <v>5</v>
      </c>
      <c r="Q52" s="187">
        <v>2989.7999999999997</v>
      </c>
      <c r="R52" s="184">
        <f t="shared" si="21"/>
        <v>597.95999999999992</v>
      </c>
      <c r="S52" s="181">
        <f t="shared" si="22"/>
        <v>28</v>
      </c>
      <c r="T52" s="579"/>
      <c r="U52" s="187">
        <v>5</v>
      </c>
      <c r="V52" s="187">
        <v>2989.8</v>
      </c>
      <c r="W52" s="184">
        <f t="shared" si="18"/>
        <v>597.96</v>
      </c>
      <c r="X52" s="181">
        <f t="shared" si="23"/>
        <v>28</v>
      </c>
      <c r="Y52" s="579"/>
      <c r="Z52" s="187">
        <v>5</v>
      </c>
      <c r="AA52" s="187">
        <v>2989.7999999999997</v>
      </c>
      <c r="AB52" s="184">
        <f t="shared" si="24"/>
        <v>597.95999999999992</v>
      </c>
      <c r="AC52" s="181">
        <f t="shared" si="25"/>
        <v>29</v>
      </c>
      <c r="AD52" s="579"/>
      <c r="AE52" s="187">
        <v>5</v>
      </c>
      <c r="AF52" s="187">
        <v>2989.8</v>
      </c>
      <c r="AG52" s="184">
        <f t="shared" si="26"/>
        <v>597.96</v>
      </c>
      <c r="AH52" s="181">
        <f t="shared" si="27"/>
        <v>28</v>
      </c>
      <c r="AI52" s="579"/>
      <c r="AJ52" s="187">
        <v>5</v>
      </c>
      <c r="AK52" s="187">
        <v>2989.7999999999997</v>
      </c>
      <c r="AL52" s="184">
        <f t="shared" si="28"/>
        <v>597.95999999999992</v>
      </c>
      <c r="AM52" s="181">
        <f t="shared" si="29"/>
        <v>29</v>
      </c>
      <c r="AN52" s="579"/>
      <c r="AO52" s="187">
        <v>5</v>
      </c>
      <c r="AP52" s="187">
        <v>2989.8</v>
      </c>
      <c r="AQ52" s="184">
        <f t="shared" si="30"/>
        <v>597.96</v>
      </c>
      <c r="AR52" s="181">
        <f t="shared" si="31"/>
        <v>28</v>
      </c>
      <c r="AS52" s="579"/>
      <c r="AT52" s="187">
        <v>5</v>
      </c>
      <c r="AU52" s="187">
        <v>2989.7999999999997</v>
      </c>
      <c r="AV52" s="184">
        <f t="shared" si="32"/>
        <v>597.95999999999992</v>
      </c>
      <c r="AW52" s="181">
        <f t="shared" si="33"/>
        <v>28</v>
      </c>
      <c r="AX52" s="579"/>
    </row>
    <row r="53" spans="2:50" ht="14.25" customHeight="1">
      <c r="B53" s="580"/>
      <c r="C53" s="179">
        <v>5</v>
      </c>
      <c r="D53" s="182" t="s">
        <v>388</v>
      </c>
      <c r="E53" s="183">
        <v>3</v>
      </c>
      <c r="F53" s="179">
        <v>3600</v>
      </c>
      <c r="G53" s="184">
        <f t="shared" si="19"/>
        <v>1200</v>
      </c>
      <c r="H53" s="581"/>
      <c r="I53" s="185">
        <f t="shared" si="20"/>
        <v>3</v>
      </c>
      <c r="J53" s="185">
        <f t="shared" si="20"/>
        <v>3197.0382864459998</v>
      </c>
      <c r="K53" s="186">
        <f t="shared" si="20"/>
        <v>1065.6794288153333</v>
      </c>
      <c r="L53" s="582"/>
      <c r="M53" s="185">
        <f>RANK(K53, K$49:$K$85)</f>
        <v>2</v>
      </c>
      <c r="N53" s="585"/>
      <c r="O53" s="584"/>
      <c r="P53" s="187">
        <v>3</v>
      </c>
      <c r="Q53" s="187">
        <v>3196.3182864460005</v>
      </c>
      <c r="R53" s="184">
        <f t="shared" si="21"/>
        <v>1065.4394288153335</v>
      </c>
      <c r="S53" s="181">
        <f t="shared" si="22"/>
        <v>2</v>
      </c>
      <c r="T53" s="579"/>
      <c r="U53" s="187">
        <v>3</v>
      </c>
      <c r="V53" s="187">
        <v>3196.6782864460001</v>
      </c>
      <c r="W53" s="184">
        <f t="shared" si="18"/>
        <v>1065.5594288153334</v>
      </c>
      <c r="X53" s="181">
        <f t="shared" si="23"/>
        <v>2</v>
      </c>
      <c r="Y53" s="579"/>
      <c r="Z53" s="187">
        <v>3</v>
      </c>
      <c r="AA53" s="187">
        <v>3196.6782864460001</v>
      </c>
      <c r="AB53" s="184">
        <f t="shared" si="24"/>
        <v>1065.5594288153334</v>
      </c>
      <c r="AC53" s="181">
        <f t="shared" si="25"/>
        <v>2</v>
      </c>
      <c r="AD53" s="579"/>
      <c r="AE53" s="187">
        <v>3</v>
      </c>
      <c r="AF53" s="187">
        <v>3198.4782864459999</v>
      </c>
      <c r="AG53" s="184">
        <f t="shared" si="26"/>
        <v>1066.1594288153333</v>
      </c>
      <c r="AH53" s="181">
        <f t="shared" si="27"/>
        <v>2</v>
      </c>
      <c r="AI53" s="579"/>
      <c r="AJ53" s="187">
        <v>3</v>
      </c>
      <c r="AK53" s="187">
        <v>3197.7582864460001</v>
      </c>
      <c r="AL53" s="184">
        <f t="shared" si="28"/>
        <v>1065.9194288153333</v>
      </c>
      <c r="AM53" s="181">
        <f t="shared" si="29"/>
        <v>2</v>
      </c>
      <c r="AN53" s="579"/>
      <c r="AO53" s="187">
        <v>3</v>
      </c>
      <c r="AP53" s="187">
        <v>3196.6782864459997</v>
      </c>
      <c r="AQ53" s="184">
        <f t="shared" si="30"/>
        <v>1065.5594288153331</v>
      </c>
      <c r="AR53" s="181">
        <f t="shared" si="31"/>
        <v>2</v>
      </c>
      <c r="AS53" s="579"/>
      <c r="AT53" s="187">
        <v>3</v>
      </c>
      <c r="AU53" s="187">
        <v>3196.6782864459992</v>
      </c>
      <c r="AV53" s="184">
        <f t="shared" si="32"/>
        <v>1065.5594288153331</v>
      </c>
      <c r="AW53" s="181">
        <f t="shared" si="33"/>
        <v>2</v>
      </c>
      <c r="AX53" s="579"/>
    </row>
    <row r="54" spans="2:50" ht="14.25" customHeight="1">
      <c r="B54" s="580"/>
      <c r="C54" s="179">
        <v>6</v>
      </c>
      <c r="D54" s="182" t="s">
        <v>339</v>
      </c>
      <c r="E54" s="183">
        <v>4</v>
      </c>
      <c r="F54" s="179">
        <v>3600</v>
      </c>
      <c r="G54" s="184">
        <f t="shared" si="19"/>
        <v>900</v>
      </c>
      <c r="H54" s="581"/>
      <c r="I54" s="185">
        <f t="shared" si="20"/>
        <v>4</v>
      </c>
      <c r="J54" s="185">
        <f t="shared" si="20"/>
        <v>3192.2228571428582</v>
      </c>
      <c r="K54" s="186">
        <f t="shared" si="20"/>
        <v>798.05571428571454</v>
      </c>
      <c r="L54" s="582"/>
      <c r="M54" s="185">
        <f>RANK(K54, K$49:$K$85)</f>
        <v>15</v>
      </c>
      <c r="N54" s="585"/>
      <c r="O54" s="584"/>
      <c r="P54" s="187">
        <v>4</v>
      </c>
      <c r="Q54" s="187">
        <v>3193.5600000000013</v>
      </c>
      <c r="R54" s="184">
        <f t="shared" si="21"/>
        <v>798.39000000000033</v>
      </c>
      <c r="S54" s="181">
        <f t="shared" si="22"/>
        <v>15</v>
      </c>
      <c r="T54" s="579"/>
      <c r="U54" s="187">
        <v>4</v>
      </c>
      <c r="V54" s="187">
        <v>3192.1200000000013</v>
      </c>
      <c r="W54" s="184">
        <f t="shared" si="18"/>
        <v>798.03000000000031</v>
      </c>
      <c r="X54" s="181">
        <f t="shared" si="23"/>
        <v>15</v>
      </c>
      <c r="Y54" s="579"/>
      <c r="Z54" s="187">
        <v>4</v>
      </c>
      <c r="AA54" s="187">
        <v>3192.1200000000017</v>
      </c>
      <c r="AB54" s="184">
        <f t="shared" si="24"/>
        <v>798.03000000000043</v>
      </c>
      <c r="AC54" s="181">
        <f t="shared" si="25"/>
        <v>15</v>
      </c>
      <c r="AD54" s="579"/>
      <c r="AE54" s="187">
        <v>4</v>
      </c>
      <c r="AF54" s="187">
        <v>3193.2000000000016</v>
      </c>
      <c r="AG54" s="184">
        <f t="shared" si="26"/>
        <v>798.30000000000041</v>
      </c>
      <c r="AH54" s="181">
        <f t="shared" si="27"/>
        <v>15</v>
      </c>
      <c r="AI54" s="579"/>
      <c r="AJ54" s="187">
        <v>4</v>
      </c>
      <c r="AK54" s="187">
        <v>3192.1200000000022</v>
      </c>
      <c r="AL54" s="184">
        <f t="shared" si="28"/>
        <v>798.03000000000054</v>
      </c>
      <c r="AM54" s="181">
        <f t="shared" si="29"/>
        <v>15</v>
      </c>
      <c r="AN54" s="579"/>
      <c r="AO54" s="187">
        <v>4</v>
      </c>
      <c r="AP54" s="187">
        <v>3191.4000000000024</v>
      </c>
      <c r="AQ54" s="184">
        <f t="shared" si="30"/>
        <v>797.85000000000059</v>
      </c>
      <c r="AR54" s="181">
        <f t="shared" si="31"/>
        <v>16</v>
      </c>
      <c r="AS54" s="579"/>
      <c r="AT54" s="187">
        <v>4</v>
      </c>
      <c r="AU54" s="187">
        <v>3191.0400000000018</v>
      </c>
      <c r="AV54" s="184">
        <f t="shared" si="32"/>
        <v>797.76000000000045</v>
      </c>
      <c r="AW54" s="181">
        <f t="shared" si="33"/>
        <v>16</v>
      </c>
      <c r="AX54" s="579"/>
    </row>
    <row r="55" spans="2:50" ht="14.25" customHeight="1">
      <c r="B55" s="580"/>
      <c r="C55" s="179">
        <v>7</v>
      </c>
      <c r="D55" s="182" t="s">
        <v>390</v>
      </c>
      <c r="E55" s="183">
        <v>3</v>
      </c>
      <c r="F55" s="179">
        <v>3600</v>
      </c>
      <c r="G55" s="184">
        <f t="shared" si="19"/>
        <v>1200</v>
      </c>
      <c r="H55" s="581"/>
      <c r="I55" s="185">
        <f t="shared" si="20"/>
        <v>3</v>
      </c>
      <c r="J55" s="185">
        <f t="shared" si="20"/>
        <v>3187.0173906044906</v>
      </c>
      <c r="K55" s="186">
        <f t="shared" si="20"/>
        <v>1062.3391302014968</v>
      </c>
      <c r="L55" s="582"/>
      <c r="M55" s="185">
        <f>RANK(K55, K$49:$K$85)</f>
        <v>6</v>
      </c>
      <c r="N55" s="585"/>
      <c r="O55" s="584"/>
      <c r="P55" s="187">
        <v>3</v>
      </c>
      <c r="Q55" s="187">
        <v>3186.625907357175</v>
      </c>
      <c r="R55" s="184">
        <f t="shared" si="21"/>
        <v>1062.2086357857249</v>
      </c>
      <c r="S55" s="181">
        <f t="shared" si="22"/>
        <v>6</v>
      </c>
      <c r="T55" s="579"/>
      <c r="U55" s="187">
        <v>3</v>
      </c>
      <c r="V55" s="187">
        <v>3186.2659073571749</v>
      </c>
      <c r="W55" s="184">
        <f t="shared" si="18"/>
        <v>1062.088635785725</v>
      </c>
      <c r="X55" s="181">
        <f t="shared" si="23"/>
        <v>6</v>
      </c>
      <c r="Y55" s="579"/>
      <c r="Z55" s="187">
        <v>3</v>
      </c>
      <c r="AA55" s="187">
        <v>3185.9059073571757</v>
      </c>
      <c r="AB55" s="184">
        <f t="shared" si="24"/>
        <v>1061.9686357857252</v>
      </c>
      <c r="AC55" s="181">
        <f t="shared" si="25"/>
        <v>7</v>
      </c>
      <c r="AD55" s="579"/>
      <c r="AE55" s="187">
        <v>3</v>
      </c>
      <c r="AF55" s="187">
        <v>3184.4659073571752</v>
      </c>
      <c r="AG55" s="184">
        <f t="shared" si="26"/>
        <v>1061.4886357857251</v>
      </c>
      <c r="AH55" s="181">
        <f t="shared" si="27"/>
        <v>9</v>
      </c>
      <c r="AI55" s="579"/>
      <c r="AJ55" s="187">
        <v>3</v>
      </c>
      <c r="AK55" s="187">
        <v>3188.8593682675787</v>
      </c>
      <c r="AL55" s="184">
        <f t="shared" si="28"/>
        <v>1062.9531227558596</v>
      </c>
      <c r="AM55" s="181">
        <f t="shared" si="29"/>
        <v>6</v>
      </c>
      <c r="AN55" s="579"/>
      <c r="AO55" s="187">
        <v>3</v>
      </c>
      <c r="AP55" s="187">
        <v>3188.499368267579</v>
      </c>
      <c r="AQ55" s="184">
        <f t="shared" si="30"/>
        <v>1062.8331227558597</v>
      </c>
      <c r="AR55" s="181">
        <f t="shared" si="31"/>
        <v>6</v>
      </c>
      <c r="AS55" s="579"/>
      <c r="AT55" s="187">
        <v>3</v>
      </c>
      <c r="AU55" s="187">
        <v>3188.499368267579</v>
      </c>
      <c r="AV55" s="184">
        <f t="shared" si="32"/>
        <v>1062.8331227558597</v>
      </c>
      <c r="AW55" s="181">
        <f t="shared" si="33"/>
        <v>6</v>
      </c>
      <c r="AX55" s="579"/>
    </row>
    <row r="56" spans="2:50" ht="14.25" customHeight="1">
      <c r="B56" s="580"/>
      <c r="C56" s="179">
        <v>8</v>
      </c>
      <c r="D56" s="182" t="s">
        <v>389</v>
      </c>
      <c r="E56" s="183">
        <v>5</v>
      </c>
      <c r="F56" s="179">
        <v>3600</v>
      </c>
      <c r="G56" s="184">
        <f t="shared" si="19"/>
        <v>720</v>
      </c>
      <c r="H56" s="581"/>
      <c r="I56" s="185">
        <f t="shared" si="20"/>
        <v>5</v>
      </c>
      <c r="J56" s="185">
        <f t="shared" si="20"/>
        <v>3192.7247391261103</v>
      </c>
      <c r="K56" s="186">
        <f t="shared" si="20"/>
        <v>638.54494782522204</v>
      </c>
      <c r="L56" s="582"/>
      <c r="M56" s="185">
        <f>RANK(K56, K$49:$K$85)</f>
        <v>25</v>
      </c>
      <c r="N56" s="585"/>
      <c r="O56" s="584"/>
      <c r="P56" s="187">
        <v>5</v>
      </c>
      <c r="Q56" s="187">
        <v>3192.7761676975401</v>
      </c>
      <c r="R56" s="184">
        <f t="shared" si="21"/>
        <v>638.55523353950798</v>
      </c>
      <c r="S56" s="181">
        <f t="shared" si="22"/>
        <v>25</v>
      </c>
      <c r="T56" s="579"/>
      <c r="U56" s="187">
        <v>5</v>
      </c>
      <c r="V56" s="187">
        <v>3191.3361676975396</v>
      </c>
      <c r="W56" s="184">
        <f t="shared" si="18"/>
        <v>638.26723353950797</v>
      </c>
      <c r="X56" s="181">
        <f t="shared" si="23"/>
        <v>25</v>
      </c>
      <c r="Y56" s="579"/>
      <c r="Z56" s="187">
        <v>5</v>
      </c>
      <c r="AA56" s="187">
        <v>3192.4161676975395</v>
      </c>
      <c r="AB56" s="184">
        <f t="shared" si="24"/>
        <v>638.48323353950786</v>
      </c>
      <c r="AC56" s="181">
        <f t="shared" si="25"/>
        <v>25</v>
      </c>
      <c r="AD56" s="579"/>
      <c r="AE56" s="187">
        <v>5</v>
      </c>
      <c r="AF56" s="187">
        <v>3193.496167697539</v>
      </c>
      <c r="AG56" s="184">
        <f t="shared" si="26"/>
        <v>638.69923353950776</v>
      </c>
      <c r="AH56" s="181">
        <f t="shared" si="27"/>
        <v>25</v>
      </c>
      <c r="AI56" s="579"/>
      <c r="AJ56" s="187">
        <v>5</v>
      </c>
      <c r="AK56" s="187">
        <v>3192.4161676975391</v>
      </c>
      <c r="AL56" s="184">
        <f t="shared" si="28"/>
        <v>638.48323353950786</v>
      </c>
      <c r="AM56" s="181">
        <f t="shared" si="29"/>
        <v>25</v>
      </c>
      <c r="AN56" s="579"/>
      <c r="AO56" s="187">
        <v>5</v>
      </c>
      <c r="AP56" s="187">
        <v>3192.7761676975388</v>
      </c>
      <c r="AQ56" s="184">
        <f t="shared" si="30"/>
        <v>638.55523353950775</v>
      </c>
      <c r="AR56" s="181">
        <f t="shared" si="31"/>
        <v>25</v>
      </c>
      <c r="AS56" s="579"/>
      <c r="AT56" s="187">
        <v>5</v>
      </c>
      <c r="AU56" s="187">
        <v>3193.8561676975382</v>
      </c>
      <c r="AV56" s="184">
        <f t="shared" si="32"/>
        <v>638.77123353950765</v>
      </c>
      <c r="AW56" s="181">
        <f t="shared" si="33"/>
        <v>25</v>
      </c>
      <c r="AX56" s="579"/>
    </row>
    <row r="57" spans="2:50" ht="14.25" customHeight="1">
      <c r="B57" s="580"/>
      <c r="C57" s="179">
        <v>9</v>
      </c>
      <c r="D57" s="182" t="s">
        <v>387</v>
      </c>
      <c r="E57" s="183">
        <v>5</v>
      </c>
      <c r="F57" s="179">
        <v>3600</v>
      </c>
      <c r="G57" s="184">
        <f t="shared" si="19"/>
        <v>720</v>
      </c>
      <c r="H57" s="581"/>
      <c r="I57" s="185">
        <f t="shared" si="20"/>
        <v>5</v>
      </c>
      <c r="J57" s="185">
        <f t="shared" si="20"/>
        <v>3198.493373003148</v>
      </c>
      <c r="K57" s="186">
        <f t="shared" si="20"/>
        <v>639.69867460062949</v>
      </c>
      <c r="L57" s="582"/>
      <c r="M57" s="185">
        <f>RANK(K57, K$49:$K$85)</f>
        <v>21</v>
      </c>
      <c r="N57" s="585"/>
      <c r="O57" s="584"/>
      <c r="P57" s="187">
        <v>5</v>
      </c>
      <c r="Q57" s="187">
        <v>3196.8476587174332</v>
      </c>
      <c r="R57" s="184">
        <f t="shared" si="21"/>
        <v>639.36953174348662</v>
      </c>
      <c r="S57" s="181">
        <f t="shared" si="22"/>
        <v>22</v>
      </c>
      <c r="T57" s="579"/>
      <c r="U57" s="187">
        <v>5</v>
      </c>
      <c r="V57" s="187">
        <v>3198.6476587174329</v>
      </c>
      <c r="W57" s="184">
        <f t="shared" si="18"/>
        <v>639.72953174348663</v>
      </c>
      <c r="X57" s="181">
        <f t="shared" si="23"/>
        <v>21</v>
      </c>
      <c r="Y57" s="579"/>
      <c r="Z57" s="187">
        <v>5</v>
      </c>
      <c r="AA57" s="187">
        <v>3199.0076587174331</v>
      </c>
      <c r="AB57" s="184">
        <f t="shared" si="24"/>
        <v>639.80153174348663</v>
      </c>
      <c r="AC57" s="181">
        <f t="shared" si="25"/>
        <v>21</v>
      </c>
      <c r="AD57" s="579"/>
      <c r="AE57" s="187">
        <v>5</v>
      </c>
      <c r="AF57" s="187">
        <v>3199.0076587174335</v>
      </c>
      <c r="AG57" s="184">
        <f t="shared" si="26"/>
        <v>639.80153174348675</v>
      </c>
      <c r="AH57" s="181">
        <f t="shared" si="27"/>
        <v>21</v>
      </c>
      <c r="AI57" s="579"/>
      <c r="AJ57" s="187">
        <v>5</v>
      </c>
      <c r="AK57" s="187">
        <v>3197.5676587174339</v>
      </c>
      <c r="AL57" s="184">
        <f t="shared" si="28"/>
        <v>639.51353174348674</v>
      </c>
      <c r="AM57" s="181">
        <f t="shared" si="29"/>
        <v>22</v>
      </c>
      <c r="AN57" s="579"/>
      <c r="AO57" s="187">
        <v>5</v>
      </c>
      <c r="AP57" s="187">
        <v>3199.3676587174336</v>
      </c>
      <c r="AQ57" s="184">
        <f t="shared" si="30"/>
        <v>639.87353174348675</v>
      </c>
      <c r="AR57" s="181">
        <f t="shared" si="31"/>
        <v>21</v>
      </c>
      <c r="AS57" s="579"/>
      <c r="AT57" s="187">
        <v>5</v>
      </c>
      <c r="AU57" s="187">
        <v>3199.007658717434</v>
      </c>
      <c r="AV57" s="184">
        <f t="shared" si="32"/>
        <v>639.80153174348675</v>
      </c>
      <c r="AW57" s="181">
        <f t="shared" si="33"/>
        <v>21</v>
      </c>
      <c r="AX57" s="579"/>
    </row>
    <row r="58" spans="2:50" ht="14.25" customHeight="1">
      <c r="B58" s="580"/>
      <c r="C58" s="179">
        <v>10</v>
      </c>
      <c r="D58" s="182" t="s">
        <v>228</v>
      </c>
      <c r="E58" s="183">
        <v>3</v>
      </c>
      <c r="F58" s="179">
        <v>3000</v>
      </c>
      <c r="G58" s="184">
        <f t="shared" si="19"/>
        <v>1000</v>
      </c>
      <c r="H58" s="581"/>
      <c r="I58" s="185">
        <f t="shared" si="20"/>
        <v>3</v>
      </c>
      <c r="J58" s="185">
        <f t="shared" si="20"/>
        <v>2719.6207371686655</v>
      </c>
      <c r="K58" s="186">
        <f t="shared" si="20"/>
        <v>906.54024572288859</v>
      </c>
      <c r="L58" s="582"/>
      <c r="M58" s="185">
        <f>RANK(K58, K$49:$K$85)</f>
        <v>12</v>
      </c>
      <c r="N58" s="585"/>
      <c r="O58" s="584"/>
      <c r="P58" s="187">
        <v>3</v>
      </c>
      <c r="Q58" s="187">
        <v>2717.9921657400942</v>
      </c>
      <c r="R58" s="184">
        <f t="shared" si="21"/>
        <v>905.99738858003138</v>
      </c>
      <c r="S58" s="181">
        <f t="shared" si="22"/>
        <v>12</v>
      </c>
      <c r="T58" s="579"/>
      <c r="U58" s="187">
        <v>3</v>
      </c>
      <c r="V58" s="187">
        <v>2717.6921657400944</v>
      </c>
      <c r="W58" s="184">
        <f t="shared" si="18"/>
        <v>905.89738858003147</v>
      </c>
      <c r="X58" s="181">
        <f t="shared" si="23"/>
        <v>13</v>
      </c>
      <c r="Y58" s="579"/>
      <c r="Z58" s="187">
        <v>3</v>
      </c>
      <c r="AA58" s="187">
        <v>2718.8921657400947</v>
      </c>
      <c r="AB58" s="184">
        <f t="shared" si="24"/>
        <v>906.29738858003157</v>
      </c>
      <c r="AC58" s="181">
        <f t="shared" si="25"/>
        <v>13</v>
      </c>
      <c r="AD58" s="579"/>
      <c r="AE58" s="187">
        <v>3</v>
      </c>
      <c r="AF58" s="187">
        <v>2720.0921657400945</v>
      </c>
      <c r="AG58" s="184">
        <f t="shared" si="26"/>
        <v>906.69738858003154</v>
      </c>
      <c r="AH58" s="181">
        <f t="shared" si="27"/>
        <v>12</v>
      </c>
      <c r="AI58" s="579"/>
      <c r="AJ58" s="187">
        <v>3</v>
      </c>
      <c r="AK58" s="187">
        <v>2720.692165740094</v>
      </c>
      <c r="AL58" s="184">
        <f t="shared" si="28"/>
        <v>906.89738858003136</v>
      </c>
      <c r="AM58" s="181">
        <f t="shared" si="29"/>
        <v>12</v>
      </c>
      <c r="AN58" s="579"/>
      <c r="AO58" s="187">
        <v>3</v>
      </c>
      <c r="AP58" s="187">
        <v>2721.5921657400936</v>
      </c>
      <c r="AQ58" s="184">
        <f t="shared" si="30"/>
        <v>907.1973885800312</v>
      </c>
      <c r="AR58" s="181">
        <f t="shared" si="31"/>
        <v>12</v>
      </c>
      <c r="AS58" s="579"/>
      <c r="AT58" s="187">
        <v>3</v>
      </c>
      <c r="AU58" s="187">
        <v>2720.3921657400938</v>
      </c>
      <c r="AV58" s="184">
        <f t="shared" si="32"/>
        <v>906.79738858003122</v>
      </c>
      <c r="AW58" s="181">
        <f t="shared" si="33"/>
        <v>12</v>
      </c>
      <c r="AX58" s="579"/>
    </row>
    <row r="59" spans="2:50" ht="14.25" customHeight="1">
      <c r="B59" s="580"/>
      <c r="C59" s="179">
        <v>11</v>
      </c>
      <c r="D59" s="182" t="s">
        <v>440</v>
      </c>
      <c r="E59" s="183">
        <v>12</v>
      </c>
      <c r="F59" s="179">
        <v>3600</v>
      </c>
      <c r="G59" s="184">
        <f t="shared" si="19"/>
        <v>300</v>
      </c>
      <c r="H59" s="581"/>
      <c r="I59" s="185">
        <f t="shared" si="20"/>
        <v>12</v>
      </c>
      <c r="J59" s="185">
        <f t="shared" si="20"/>
        <v>3118.8366160509859</v>
      </c>
      <c r="K59" s="186">
        <f t="shared" si="20"/>
        <v>259.90305133758216</v>
      </c>
      <c r="L59" s="582"/>
      <c r="M59" s="185">
        <f>RANK(K59, K$49:$K$85)</f>
        <v>34</v>
      </c>
      <c r="N59" s="585"/>
      <c r="O59" s="584"/>
      <c r="P59" s="187">
        <v>12</v>
      </c>
      <c r="Q59" s="187">
        <v>3118.381081352326</v>
      </c>
      <c r="R59" s="184">
        <f t="shared" si="21"/>
        <v>259.86509011269385</v>
      </c>
      <c r="S59" s="181">
        <f t="shared" si="22"/>
        <v>34</v>
      </c>
      <c r="T59" s="579"/>
      <c r="U59" s="187">
        <v>12</v>
      </c>
      <c r="V59" s="187">
        <v>3119.1010813523267</v>
      </c>
      <c r="W59" s="184">
        <f t="shared" si="18"/>
        <v>259.92509011269391</v>
      </c>
      <c r="X59" s="181">
        <f t="shared" si="23"/>
        <v>34</v>
      </c>
      <c r="Y59" s="579"/>
      <c r="Z59" s="187">
        <v>12</v>
      </c>
      <c r="AA59" s="187">
        <v>3117.6610813523266</v>
      </c>
      <c r="AB59" s="184">
        <f t="shared" si="24"/>
        <v>259.8050901126939</v>
      </c>
      <c r="AC59" s="181">
        <f t="shared" si="25"/>
        <v>34</v>
      </c>
      <c r="AD59" s="579"/>
      <c r="AE59" s="187">
        <v>12</v>
      </c>
      <c r="AF59" s="187">
        <v>3119.4610813523268</v>
      </c>
      <c r="AG59" s="184">
        <f t="shared" si="26"/>
        <v>259.95509011269388</v>
      </c>
      <c r="AH59" s="181">
        <f t="shared" si="27"/>
        <v>34</v>
      </c>
      <c r="AI59" s="579"/>
      <c r="AJ59" s="187">
        <v>12</v>
      </c>
      <c r="AK59" s="187">
        <v>3118.7410813523265</v>
      </c>
      <c r="AL59" s="184">
        <f t="shared" si="28"/>
        <v>259.89509011269388</v>
      </c>
      <c r="AM59" s="181">
        <f t="shared" si="29"/>
        <v>34</v>
      </c>
      <c r="AN59" s="579"/>
      <c r="AO59" s="187">
        <v>12</v>
      </c>
      <c r="AP59" s="187">
        <v>3117.6610813523266</v>
      </c>
      <c r="AQ59" s="184">
        <f t="shared" si="30"/>
        <v>259.8050901126939</v>
      </c>
      <c r="AR59" s="181">
        <f t="shared" si="31"/>
        <v>34</v>
      </c>
      <c r="AS59" s="579"/>
      <c r="AT59" s="187">
        <v>12</v>
      </c>
      <c r="AU59" s="187">
        <v>3120.84982424294</v>
      </c>
      <c r="AV59" s="184">
        <f t="shared" si="32"/>
        <v>260.07081868691165</v>
      </c>
      <c r="AW59" s="181">
        <f t="shared" si="33"/>
        <v>33</v>
      </c>
      <c r="AX59" s="579"/>
    </row>
    <row r="60" spans="2:50" ht="14.25" customHeight="1">
      <c r="B60" s="580"/>
      <c r="C60" s="179">
        <v>12</v>
      </c>
      <c r="D60" s="182" t="s">
        <v>458</v>
      </c>
      <c r="E60" s="183">
        <v>3</v>
      </c>
      <c r="F60" s="179">
        <v>3300</v>
      </c>
      <c r="G60" s="184">
        <f t="shared" si="19"/>
        <v>1100</v>
      </c>
      <c r="H60" s="581"/>
      <c r="I60" s="185">
        <f t="shared" si="20"/>
        <v>3</v>
      </c>
      <c r="J60" s="185">
        <f t="shared" si="20"/>
        <v>2987.0778676755285</v>
      </c>
      <c r="K60" s="186">
        <f t="shared" si="20"/>
        <v>995.69262255850947</v>
      </c>
      <c r="L60" s="582"/>
      <c r="M60" s="185">
        <f>RANK(K60, K$49:$K$85)</f>
        <v>10</v>
      </c>
      <c r="N60" s="585"/>
      <c r="O60" s="584"/>
      <c r="P60" s="187">
        <v>3</v>
      </c>
      <c r="Q60" s="187">
        <v>2988.2092962469574</v>
      </c>
      <c r="R60" s="184">
        <f t="shared" si="21"/>
        <v>996.06976541565245</v>
      </c>
      <c r="S60" s="181">
        <f t="shared" si="22"/>
        <v>10</v>
      </c>
      <c r="T60" s="579"/>
      <c r="U60" s="187">
        <v>3</v>
      </c>
      <c r="V60" s="187">
        <v>2986.5592962469573</v>
      </c>
      <c r="W60" s="184">
        <f t="shared" si="18"/>
        <v>995.51976541565239</v>
      </c>
      <c r="X60" s="181">
        <f t="shared" si="23"/>
        <v>10</v>
      </c>
      <c r="Y60" s="579"/>
      <c r="Z60" s="187">
        <v>3</v>
      </c>
      <c r="AA60" s="187">
        <v>2988.2092962469569</v>
      </c>
      <c r="AB60" s="184">
        <f t="shared" si="24"/>
        <v>996.06976541565234</v>
      </c>
      <c r="AC60" s="181">
        <f t="shared" si="25"/>
        <v>10</v>
      </c>
      <c r="AD60" s="579"/>
      <c r="AE60" s="187">
        <v>3</v>
      </c>
      <c r="AF60" s="187">
        <v>2986.5592962469573</v>
      </c>
      <c r="AG60" s="184">
        <f t="shared" si="26"/>
        <v>995.51976541565239</v>
      </c>
      <c r="AH60" s="181">
        <f t="shared" si="27"/>
        <v>10</v>
      </c>
      <c r="AI60" s="579"/>
      <c r="AJ60" s="187">
        <v>3</v>
      </c>
      <c r="AK60" s="187">
        <v>2986.5592962469573</v>
      </c>
      <c r="AL60" s="184">
        <f t="shared" si="28"/>
        <v>995.51976541565239</v>
      </c>
      <c r="AM60" s="181">
        <f t="shared" si="29"/>
        <v>10</v>
      </c>
      <c r="AN60" s="579"/>
      <c r="AO60" s="187">
        <v>3</v>
      </c>
      <c r="AP60" s="187">
        <v>2987.2192962469571</v>
      </c>
      <c r="AQ60" s="184">
        <f t="shared" si="30"/>
        <v>995.73976541565241</v>
      </c>
      <c r="AR60" s="181">
        <f t="shared" si="31"/>
        <v>10</v>
      </c>
      <c r="AS60" s="579"/>
      <c r="AT60" s="187">
        <v>3</v>
      </c>
      <c r="AU60" s="187">
        <v>2986.2292962469573</v>
      </c>
      <c r="AV60" s="184">
        <f t="shared" si="32"/>
        <v>995.40976541565249</v>
      </c>
      <c r="AW60" s="181">
        <f t="shared" si="33"/>
        <v>10</v>
      </c>
      <c r="AX60" s="579"/>
    </row>
    <row r="61" spans="2:50" ht="14.25" customHeight="1">
      <c r="B61" s="580"/>
      <c r="C61" s="179">
        <v>13</v>
      </c>
      <c r="D61" s="182" t="s">
        <v>539</v>
      </c>
      <c r="E61" s="183">
        <v>3</v>
      </c>
      <c r="F61" s="179">
        <v>3600</v>
      </c>
      <c r="G61" s="184">
        <f t="shared" si="19"/>
        <v>1200</v>
      </c>
      <c r="H61" s="581"/>
      <c r="I61" s="185">
        <f t="shared" si="20"/>
        <v>3</v>
      </c>
      <c r="J61" s="185">
        <f t="shared" si="20"/>
        <v>3190.4589073130455</v>
      </c>
      <c r="K61" s="186">
        <f t="shared" si="20"/>
        <v>1063.4863024376821</v>
      </c>
      <c r="L61" s="582"/>
      <c r="M61" s="185">
        <f>RANK(K61, K$49:$K$85)</f>
        <v>5</v>
      </c>
      <c r="N61" s="585"/>
      <c r="O61" s="584"/>
      <c r="P61" s="187">
        <v>3</v>
      </c>
      <c r="Q61" s="187">
        <v>3190.4074787416171</v>
      </c>
      <c r="R61" s="184">
        <f t="shared" si="21"/>
        <v>1063.4691595805391</v>
      </c>
      <c r="S61" s="181">
        <f t="shared" si="22"/>
        <v>5</v>
      </c>
      <c r="T61" s="579"/>
      <c r="U61" s="187">
        <v>3</v>
      </c>
      <c r="V61" s="187">
        <v>3190.0474787416174</v>
      </c>
      <c r="W61" s="184">
        <f t="shared" si="18"/>
        <v>1063.3491595805392</v>
      </c>
      <c r="X61" s="181">
        <f t="shared" si="23"/>
        <v>5</v>
      </c>
      <c r="Y61" s="579"/>
      <c r="Z61" s="187">
        <v>3</v>
      </c>
      <c r="AA61" s="187">
        <v>3189.3274787416176</v>
      </c>
      <c r="AB61" s="184">
        <f t="shared" si="24"/>
        <v>1063.1091595805392</v>
      </c>
      <c r="AC61" s="181">
        <f t="shared" si="25"/>
        <v>5</v>
      </c>
      <c r="AD61" s="579"/>
      <c r="AE61" s="187">
        <v>3</v>
      </c>
      <c r="AF61" s="187">
        <v>3190.0474787416174</v>
      </c>
      <c r="AG61" s="184">
        <f t="shared" si="26"/>
        <v>1063.3491595805392</v>
      </c>
      <c r="AH61" s="181">
        <f t="shared" si="27"/>
        <v>5</v>
      </c>
      <c r="AI61" s="579"/>
      <c r="AJ61" s="187">
        <v>3</v>
      </c>
      <c r="AK61" s="187">
        <v>3191.1274787416173</v>
      </c>
      <c r="AL61" s="184">
        <f t="shared" si="28"/>
        <v>1063.7091595805391</v>
      </c>
      <c r="AM61" s="181">
        <f t="shared" si="29"/>
        <v>5</v>
      </c>
      <c r="AN61" s="579"/>
      <c r="AO61" s="187">
        <v>3</v>
      </c>
      <c r="AP61" s="187">
        <v>3191.487478741617</v>
      </c>
      <c r="AQ61" s="184">
        <f t="shared" si="30"/>
        <v>1063.829159580539</v>
      </c>
      <c r="AR61" s="181">
        <f t="shared" si="31"/>
        <v>5</v>
      </c>
      <c r="AS61" s="579"/>
      <c r="AT61" s="187">
        <v>3</v>
      </c>
      <c r="AU61" s="187">
        <v>3190.7674787416172</v>
      </c>
      <c r="AV61" s="184">
        <f t="shared" si="32"/>
        <v>1063.589159580539</v>
      </c>
      <c r="AW61" s="181">
        <f t="shared" si="33"/>
        <v>5</v>
      </c>
      <c r="AX61" s="579"/>
    </row>
    <row r="62" spans="2:50" ht="14.25" customHeight="1">
      <c r="B62" s="580"/>
      <c r="C62" s="179">
        <v>14</v>
      </c>
      <c r="D62" s="182" t="s">
        <v>531</v>
      </c>
      <c r="E62" s="183">
        <v>5</v>
      </c>
      <c r="F62" s="179">
        <v>3600</v>
      </c>
      <c r="G62" s="184">
        <f t="shared" si="19"/>
        <v>720</v>
      </c>
      <c r="H62" s="581"/>
      <c r="I62" s="185">
        <f t="shared" si="20"/>
        <v>5</v>
      </c>
      <c r="J62" s="185">
        <f t="shared" si="20"/>
        <v>3196.6825780563695</v>
      </c>
      <c r="K62" s="186">
        <f t="shared" si="20"/>
        <v>639.33651561127385</v>
      </c>
      <c r="L62" s="582"/>
      <c r="M62" s="185">
        <f>RANK(K62, K$49:$K$85)</f>
        <v>23</v>
      </c>
      <c r="N62" s="585"/>
      <c r="O62" s="584"/>
      <c r="P62" s="187">
        <v>5</v>
      </c>
      <c r="Q62" s="187">
        <v>3195.5511494849411</v>
      </c>
      <c r="R62" s="184">
        <f t="shared" si="21"/>
        <v>639.11022989698824</v>
      </c>
      <c r="S62" s="181">
        <f t="shared" si="22"/>
        <v>24</v>
      </c>
      <c r="T62" s="579"/>
      <c r="U62" s="187">
        <v>5</v>
      </c>
      <c r="V62" s="187">
        <v>3196.2711494849409</v>
      </c>
      <c r="W62" s="184">
        <f t="shared" si="18"/>
        <v>639.25422989698814</v>
      </c>
      <c r="X62" s="181">
        <f t="shared" si="23"/>
        <v>22</v>
      </c>
      <c r="Y62" s="579"/>
      <c r="Z62" s="187">
        <v>5</v>
      </c>
      <c r="AA62" s="187">
        <v>3197.3511494849404</v>
      </c>
      <c r="AB62" s="184">
        <f t="shared" si="24"/>
        <v>639.47022989698803</v>
      </c>
      <c r="AC62" s="181">
        <f t="shared" si="25"/>
        <v>23</v>
      </c>
      <c r="AD62" s="579"/>
      <c r="AE62" s="187">
        <v>5</v>
      </c>
      <c r="AF62" s="187">
        <v>3196.27114948494</v>
      </c>
      <c r="AG62" s="184">
        <f t="shared" si="26"/>
        <v>639.25422989698802</v>
      </c>
      <c r="AH62" s="181">
        <f t="shared" si="27"/>
        <v>23</v>
      </c>
      <c r="AI62" s="579"/>
      <c r="AJ62" s="187">
        <v>5</v>
      </c>
      <c r="AK62" s="187">
        <v>3197.7111494849405</v>
      </c>
      <c r="AL62" s="184">
        <f t="shared" si="28"/>
        <v>639.54222989698815</v>
      </c>
      <c r="AM62" s="181">
        <f t="shared" si="29"/>
        <v>21</v>
      </c>
      <c r="AN62" s="579"/>
      <c r="AO62" s="187">
        <v>5</v>
      </c>
      <c r="AP62" s="187">
        <v>3196.9911494849407</v>
      </c>
      <c r="AQ62" s="184">
        <f t="shared" si="30"/>
        <v>639.39822989698814</v>
      </c>
      <c r="AR62" s="181">
        <f t="shared" si="31"/>
        <v>23</v>
      </c>
      <c r="AS62" s="579"/>
      <c r="AT62" s="187">
        <v>5</v>
      </c>
      <c r="AU62" s="187">
        <v>3196.6311494849406</v>
      </c>
      <c r="AV62" s="184">
        <f t="shared" si="32"/>
        <v>639.32622989698814</v>
      </c>
      <c r="AW62" s="181">
        <f t="shared" si="33"/>
        <v>23</v>
      </c>
      <c r="AX62" s="579"/>
    </row>
    <row r="63" spans="2:50" ht="14.25" customHeight="1">
      <c r="B63" s="580"/>
      <c r="C63" s="179">
        <v>15</v>
      </c>
      <c r="D63" s="182" t="s">
        <v>599</v>
      </c>
      <c r="E63" s="183">
        <v>3</v>
      </c>
      <c r="F63" s="179">
        <v>3600</v>
      </c>
      <c r="G63" s="184">
        <f t="shared" si="19"/>
        <v>1200</v>
      </c>
      <c r="H63" s="581"/>
      <c r="I63" s="185">
        <f t="shared" si="20"/>
        <v>3</v>
      </c>
      <c r="J63" s="185">
        <f t="shared" si="20"/>
        <v>3194.4208393122426</v>
      </c>
      <c r="K63" s="186">
        <f t="shared" si="20"/>
        <v>1064.8069464374144</v>
      </c>
      <c r="L63" s="582"/>
      <c r="M63" s="185">
        <f>RANK(K63, K$49:$K$85)</f>
        <v>3</v>
      </c>
      <c r="N63" s="585"/>
      <c r="O63" s="584"/>
      <c r="P63" s="187">
        <v>3</v>
      </c>
      <c r="Q63" s="187">
        <v>3195.3979821693847</v>
      </c>
      <c r="R63" s="184">
        <f t="shared" si="21"/>
        <v>1065.1326607231283</v>
      </c>
      <c r="S63" s="181">
        <f t="shared" si="22"/>
        <v>3</v>
      </c>
      <c r="T63" s="579"/>
      <c r="U63" s="187">
        <v>3</v>
      </c>
      <c r="V63" s="187">
        <v>3196.8379821693852</v>
      </c>
      <c r="W63" s="184">
        <f t="shared" si="18"/>
        <v>1065.6126607231283</v>
      </c>
      <c r="X63" s="181">
        <f t="shared" si="23"/>
        <v>1</v>
      </c>
      <c r="Y63" s="579"/>
      <c r="Z63" s="187">
        <v>3</v>
      </c>
      <c r="AA63" s="187">
        <v>3195.037982169385</v>
      </c>
      <c r="AB63" s="184">
        <f t="shared" si="24"/>
        <v>1065.0126607231284</v>
      </c>
      <c r="AC63" s="181">
        <f t="shared" si="25"/>
        <v>3</v>
      </c>
      <c r="AD63" s="579"/>
      <c r="AE63" s="187">
        <v>3</v>
      </c>
      <c r="AF63" s="187">
        <v>3195.037982169385</v>
      </c>
      <c r="AG63" s="184">
        <f t="shared" si="26"/>
        <v>1065.0126607231284</v>
      </c>
      <c r="AH63" s="181">
        <f t="shared" si="27"/>
        <v>3</v>
      </c>
      <c r="AI63" s="579"/>
      <c r="AJ63" s="187">
        <v>3</v>
      </c>
      <c r="AK63" s="187">
        <v>3193.5979821693859</v>
      </c>
      <c r="AL63" s="184">
        <f t="shared" si="28"/>
        <v>1064.5326607231286</v>
      </c>
      <c r="AM63" s="181">
        <f t="shared" si="29"/>
        <v>3</v>
      </c>
      <c r="AN63" s="579"/>
      <c r="AO63" s="187">
        <v>3</v>
      </c>
      <c r="AP63" s="187">
        <v>3192.5179821693855</v>
      </c>
      <c r="AQ63" s="184">
        <f t="shared" si="30"/>
        <v>1064.1726607231285</v>
      </c>
      <c r="AR63" s="181">
        <f t="shared" si="31"/>
        <v>3</v>
      </c>
      <c r="AS63" s="579"/>
      <c r="AT63" s="187">
        <v>3</v>
      </c>
      <c r="AU63" s="187">
        <v>3192.517982169385</v>
      </c>
      <c r="AV63" s="184">
        <f t="shared" si="32"/>
        <v>1064.1726607231283</v>
      </c>
      <c r="AW63" s="181">
        <f t="shared" si="33"/>
        <v>4</v>
      </c>
      <c r="AX63" s="579"/>
    </row>
    <row r="64" spans="2:50" ht="14.25" customHeight="1">
      <c r="B64" s="580"/>
      <c r="C64" s="179">
        <v>16</v>
      </c>
      <c r="D64" s="182" t="s">
        <v>580</v>
      </c>
      <c r="E64" s="183">
        <v>3</v>
      </c>
      <c r="F64" s="179">
        <v>3300</v>
      </c>
      <c r="G64" s="184">
        <f t="shared" si="19"/>
        <v>1100</v>
      </c>
      <c r="H64" s="581"/>
      <c r="I64" s="185">
        <f t="shared" si="20"/>
        <v>3</v>
      </c>
      <c r="J64" s="185">
        <f t="shared" si="20"/>
        <v>2972.5459530941157</v>
      </c>
      <c r="K64" s="186">
        <f t="shared" si="20"/>
        <v>990.84865103137167</v>
      </c>
      <c r="L64" s="582"/>
      <c r="M64" s="185">
        <f>RANK(K64, K$49:$K$85)</f>
        <v>11</v>
      </c>
      <c r="N64" s="585"/>
      <c r="O64" s="584"/>
      <c r="P64" s="187">
        <v>3</v>
      </c>
      <c r="Q64" s="187">
        <v>2973.4888102369723</v>
      </c>
      <c r="R64" s="184">
        <f t="shared" si="21"/>
        <v>991.16293674565748</v>
      </c>
      <c r="S64" s="181">
        <f t="shared" si="22"/>
        <v>11</v>
      </c>
      <c r="T64" s="579"/>
      <c r="U64" s="187">
        <v>3</v>
      </c>
      <c r="V64" s="187">
        <v>2972.1688102369726</v>
      </c>
      <c r="W64" s="184">
        <f t="shared" si="18"/>
        <v>990.72293674565753</v>
      </c>
      <c r="X64" s="181">
        <f t="shared" si="23"/>
        <v>11</v>
      </c>
      <c r="Y64" s="579"/>
      <c r="Z64" s="187">
        <v>3</v>
      </c>
      <c r="AA64" s="187">
        <v>2973.1588102369724</v>
      </c>
      <c r="AB64" s="184">
        <f t="shared" si="24"/>
        <v>991.05293674565746</v>
      </c>
      <c r="AC64" s="181">
        <f t="shared" si="25"/>
        <v>11</v>
      </c>
      <c r="AD64" s="579"/>
      <c r="AE64" s="187">
        <v>3</v>
      </c>
      <c r="AF64" s="187">
        <v>2973.4888102369723</v>
      </c>
      <c r="AG64" s="184">
        <f t="shared" si="26"/>
        <v>991.16293674565748</v>
      </c>
      <c r="AH64" s="181">
        <f t="shared" si="27"/>
        <v>11</v>
      </c>
      <c r="AI64" s="579"/>
      <c r="AJ64" s="187">
        <v>3</v>
      </c>
      <c r="AK64" s="187">
        <v>2971.8388102369722</v>
      </c>
      <c r="AL64" s="184">
        <f t="shared" si="28"/>
        <v>990.61293674565741</v>
      </c>
      <c r="AM64" s="181">
        <f t="shared" si="29"/>
        <v>11</v>
      </c>
      <c r="AN64" s="579"/>
      <c r="AO64" s="187">
        <v>3</v>
      </c>
      <c r="AP64" s="187">
        <v>2971.5088102369727</v>
      </c>
      <c r="AQ64" s="184">
        <f t="shared" si="30"/>
        <v>990.50293674565762</v>
      </c>
      <c r="AR64" s="181">
        <f t="shared" si="31"/>
        <v>11</v>
      </c>
      <c r="AS64" s="579"/>
      <c r="AT64" s="187">
        <v>3</v>
      </c>
      <c r="AU64" s="187">
        <v>2972.1688102369726</v>
      </c>
      <c r="AV64" s="184">
        <f t="shared" si="32"/>
        <v>990.72293674565753</v>
      </c>
      <c r="AW64" s="181">
        <f t="shared" si="33"/>
        <v>11</v>
      </c>
      <c r="AX64" s="579"/>
    </row>
    <row r="65" spans="2:50" ht="14.25" customHeight="1">
      <c r="B65" s="580"/>
      <c r="C65" s="179">
        <v>17</v>
      </c>
      <c r="D65" s="182" t="s">
        <v>400</v>
      </c>
      <c r="E65" s="183">
        <v>5</v>
      </c>
      <c r="F65" s="179">
        <v>3600</v>
      </c>
      <c r="G65" s="184">
        <f t="shared" si="19"/>
        <v>720</v>
      </c>
      <c r="H65" s="581"/>
      <c r="I65" s="185">
        <f t="shared" si="20"/>
        <v>5</v>
      </c>
      <c r="J65" s="185">
        <f t="shared" si="20"/>
        <v>3190.1136116571683</v>
      </c>
      <c r="K65" s="186">
        <f t="shared" si="20"/>
        <v>638.02272233143356</v>
      </c>
      <c r="L65" s="582"/>
      <c r="M65" s="185">
        <f>RANK(K65, K$49:$K$85)</f>
        <v>27</v>
      </c>
      <c r="N65" s="585"/>
      <c r="O65" s="584"/>
      <c r="P65" s="187">
        <v>5</v>
      </c>
      <c r="Q65" s="187">
        <v>3190.2678973714537</v>
      </c>
      <c r="R65" s="184">
        <f t="shared" si="21"/>
        <v>638.0535794742907</v>
      </c>
      <c r="S65" s="181">
        <f t="shared" si="22"/>
        <v>27</v>
      </c>
      <c r="T65" s="579"/>
      <c r="U65" s="187">
        <v>5</v>
      </c>
      <c r="V65" s="187">
        <v>3190.2678973714537</v>
      </c>
      <c r="W65" s="184">
        <f t="shared" si="18"/>
        <v>638.0535794742907</v>
      </c>
      <c r="X65" s="181">
        <f t="shared" si="23"/>
        <v>27</v>
      </c>
      <c r="Y65" s="579"/>
      <c r="Z65" s="187">
        <v>5</v>
      </c>
      <c r="AA65" s="187">
        <v>3191.7078973714538</v>
      </c>
      <c r="AB65" s="184">
        <f t="shared" si="24"/>
        <v>638.34157947429071</v>
      </c>
      <c r="AC65" s="181">
        <f t="shared" si="25"/>
        <v>26</v>
      </c>
      <c r="AD65" s="579"/>
      <c r="AE65" s="187">
        <v>5</v>
      </c>
      <c r="AF65" s="187">
        <v>3191.7078973714533</v>
      </c>
      <c r="AG65" s="184">
        <f t="shared" si="26"/>
        <v>638.34157947429071</v>
      </c>
      <c r="AH65" s="181">
        <f t="shared" si="27"/>
        <v>26</v>
      </c>
      <c r="AI65" s="579"/>
      <c r="AJ65" s="187">
        <v>5</v>
      </c>
      <c r="AK65" s="187">
        <v>3190.2678973714537</v>
      </c>
      <c r="AL65" s="184">
        <f t="shared" si="28"/>
        <v>638.0535794742907</v>
      </c>
      <c r="AM65" s="181">
        <f t="shared" si="29"/>
        <v>26</v>
      </c>
      <c r="AN65" s="579"/>
      <c r="AO65" s="187">
        <v>5</v>
      </c>
      <c r="AP65" s="187">
        <v>3188.8278973714532</v>
      </c>
      <c r="AQ65" s="184">
        <f t="shared" si="30"/>
        <v>637.76557947429069</v>
      </c>
      <c r="AR65" s="181">
        <f t="shared" si="31"/>
        <v>27</v>
      </c>
      <c r="AS65" s="579"/>
      <c r="AT65" s="187">
        <v>5</v>
      </c>
      <c r="AU65" s="187">
        <v>3187.7478973714528</v>
      </c>
      <c r="AV65" s="184">
        <f t="shared" si="32"/>
        <v>637.54957947429057</v>
      </c>
      <c r="AW65" s="181">
        <f t="shared" si="33"/>
        <v>27</v>
      </c>
      <c r="AX65" s="579"/>
    </row>
    <row r="66" spans="2:50" ht="14.25" customHeight="1">
      <c r="B66" s="580"/>
      <c r="C66" s="179">
        <v>18</v>
      </c>
      <c r="D66" s="182" t="s">
        <v>399</v>
      </c>
      <c r="E66" s="183">
        <v>3</v>
      </c>
      <c r="F66" s="179">
        <v>3600</v>
      </c>
      <c r="G66" s="184">
        <f t="shared" si="19"/>
        <v>1200</v>
      </c>
      <c r="H66" s="581"/>
      <c r="I66" s="185">
        <f t="shared" si="20"/>
        <v>3</v>
      </c>
      <c r="J66" s="185">
        <f t="shared" si="20"/>
        <v>3185.6233615783035</v>
      </c>
      <c r="K66" s="186">
        <f t="shared" si="20"/>
        <v>1061.8744538594344</v>
      </c>
      <c r="L66" s="582"/>
      <c r="M66" s="185">
        <f>RANK(K66, K$49:$K$85)</f>
        <v>8</v>
      </c>
      <c r="N66" s="585"/>
      <c r="O66" s="584"/>
      <c r="P66" s="187">
        <v>3</v>
      </c>
      <c r="Q66" s="187">
        <v>3184.7282678776442</v>
      </c>
      <c r="R66" s="184">
        <f t="shared" si="21"/>
        <v>1061.576089292548</v>
      </c>
      <c r="S66" s="181">
        <f t="shared" si="22"/>
        <v>9</v>
      </c>
      <c r="T66" s="579"/>
      <c r="U66" s="187">
        <v>3</v>
      </c>
      <c r="V66" s="187">
        <v>3185.0882678776434</v>
      </c>
      <c r="W66" s="184">
        <f t="shared" si="18"/>
        <v>1061.6960892925479</v>
      </c>
      <c r="X66" s="181">
        <f t="shared" si="23"/>
        <v>7</v>
      </c>
      <c r="Y66" s="579"/>
      <c r="Z66" s="187">
        <v>3</v>
      </c>
      <c r="AA66" s="187">
        <v>3185.448267877644</v>
      </c>
      <c r="AB66" s="184">
        <f t="shared" si="24"/>
        <v>1061.816089292548</v>
      </c>
      <c r="AC66" s="181">
        <f t="shared" si="25"/>
        <v>8</v>
      </c>
      <c r="AD66" s="579"/>
      <c r="AE66" s="187">
        <v>3</v>
      </c>
      <c r="AF66" s="187">
        <v>3184.7282678776428</v>
      </c>
      <c r="AG66" s="184">
        <f t="shared" si="26"/>
        <v>1061.5760892925475</v>
      </c>
      <c r="AH66" s="181">
        <f t="shared" si="27"/>
        <v>8</v>
      </c>
      <c r="AI66" s="579"/>
      <c r="AJ66" s="187">
        <v>3</v>
      </c>
      <c r="AK66" s="187">
        <v>3184.8715826984953</v>
      </c>
      <c r="AL66" s="184">
        <f t="shared" si="28"/>
        <v>1061.6238608994984</v>
      </c>
      <c r="AM66" s="181">
        <f t="shared" si="29"/>
        <v>9</v>
      </c>
      <c r="AN66" s="579"/>
      <c r="AO66" s="187">
        <v>3</v>
      </c>
      <c r="AP66" s="187">
        <v>3186.3494384195278</v>
      </c>
      <c r="AQ66" s="184">
        <f t="shared" si="30"/>
        <v>1062.116479473176</v>
      </c>
      <c r="AR66" s="181">
        <f t="shared" si="31"/>
        <v>8</v>
      </c>
      <c r="AS66" s="579"/>
      <c r="AT66" s="187">
        <v>3</v>
      </c>
      <c r="AU66" s="187">
        <v>3188.1494384195275</v>
      </c>
      <c r="AV66" s="184">
        <f t="shared" si="32"/>
        <v>1062.7164794731759</v>
      </c>
      <c r="AW66" s="181">
        <f t="shared" si="33"/>
        <v>7</v>
      </c>
      <c r="AX66" s="579"/>
    </row>
    <row r="67" spans="2:50" ht="14.25" customHeight="1">
      <c r="B67" s="580"/>
      <c r="C67" s="179">
        <v>19</v>
      </c>
      <c r="D67" s="182" t="s">
        <v>401</v>
      </c>
      <c r="E67" s="183">
        <v>4</v>
      </c>
      <c r="F67" s="179">
        <v>3300</v>
      </c>
      <c r="G67" s="184">
        <f t="shared" si="19"/>
        <v>825</v>
      </c>
      <c r="H67" s="581"/>
      <c r="I67" s="185">
        <f t="shared" si="20"/>
        <v>4</v>
      </c>
      <c r="J67" s="185">
        <f t="shared" si="20"/>
        <v>2989.7999999999997</v>
      </c>
      <c r="K67" s="186">
        <f t="shared" si="20"/>
        <v>747.44999999999993</v>
      </c>
      <c r="L67" s="582"/>
      <c r="M67" s="185">
        <f>RANK(K67, K$49:$K$85)</f>
        <v>17</v>
      </c>
      <c r="N67" s="585"/>
      <c r="O67" s="584"/>
      <c r="P67" s="187">
        <v>4</v>
      </c>
      <c r="Q67" s="187">
        <v>2989.8</v>
      </c>
      <c r="R67" s="184">
        <f t="shared" si="21"/>
        <v>747.45</v>
      </c>
      <c r="S67" s="181">
        <f t="shared" si="22"/>
        <v>17</v>
      </c>
      <c r="T67" s="579"/>
      <c r="U67" s="187">
        <v>4</v>
      </c>
      <c r="V67" s="187">
        <v>2989.8</v>
      </c>
      <c r="W67" s="184">
        <f t="shared" si="18"/>
        <v>747.45</v>
      </c>
      <c r="X67" s="181">
        <f t="shared" si="23"/>
        <v>17</v>
      </c>
      <c r="Y67" s="579"/>
      <c r="Z67" s="187">
        <v>4</v>
      </c>
      <c r="AA67" s="187">
        <v>2989.8</v>
      </c>
      <c r="AB67" s="184">
        <f t="shared" si="24"/>
        <v>747.45</v>
      </c>
      <c r="AC67" s="181">
        <f t="shared" si="25"/>
        <v>17</v>
      </c>
      <c r="AD67" s="579"/>
      <c r="AE67" s="187">
        <v>4</v>
      </c>
      <c r="AF67" s="187">
        <v>2989.7999999999997</v>
      </c>
      <c r="AG67" s="184">
        <f t="shared" si="26"/>
        <v>747.44999999999993</v>
      </c>
      <c r="AH67" s="181">
        <f t="shared" si="27"/>
        <v>18</v>
      </c>
      <c r="AI67" s="579"/>
      <c r="AJ67" s="187">
        <v>4</v>
      </c>
      <c r="AK67" s="187">
        <v>2989.8</v>
      </c>
      <c r="AL67" s="184">
        <f t="shared" si="28"/>
        <v>747.45</v>
      </c>
      <c r="AM67" s="181">
        <f t="shared" si="29"/>
        <v>17</v>
      </c>
      <c r="AN67" s="579"/>
      <c r="AO67" s="187">
        <v>4</v>
      </c>
      <c r="AP67" s="187">
        <v>2989.8</v>
      </c>
      <c r="AQ67" s="184">
        <f t="shared" si="30"/>
        <v>747.45</v>
      </c>
      <c r="AR67" s="181">
        <f t="shared" si="31"/>
        <v>17</v>
      </c>
      <c r="AS67" s="579"/>
      <c r="AT67" s="187">
        <v>4</v>
      </c>
      <c r="AU67" s="187">
        <v>2989.7999999999997</v>
      </c>
      <c r="AV67" s="184">
        <f t="shared" si="32"/>
        <v>747.44999999999993</v>
      </c>
      <c r="AW67" s="181">
        <f t="shared" si="33"/>
        <v>18</v>
      </c>
      <c r="AX67" s="579"/>
    </row>
    <row r="68" spans="2:50" ht="14.25" customHeight="1">
      <c r="B68" s="580"/>
      <c r="C68" s="179">
        <v>20</v>
      </c>
      <c r="D68" s="182" t="s">
        <v>344</v>
      </c>
      <c r="E68" s="183">
        <v>5</v>
      </c>
      <c r="F68" s="179">
        <v>3300</v>
      </c>
      <c r="G68" s="184">
        <f t="shared" si="19"/>
        <v>660</v>
      </c>
      <c r="H68" s="581"/>
      <c r="I68" s="185">
        <f t="shared" si="20"/>
        <v>5</v>
      </c>
      <c r="J68" s="185">
        <f t="shared" si="20"/>
        <v>2989.7999999999997</v>
      </c>
      <c r="K68" s="186">
        <f t="shared" si="20"/>
        <v>597.96</v>
      </c>
      <c r="L68" s="582"/>
      <c r="M68" s="185">
        <f>RANK(K68, K$49:$K$85)</f>
        <v>28</v>
      </c>
      <c r="N68" s="585"/>
      <c r="O68" s="584"/>
      <c r="P68" s="187">
        <v>5</v>
      </c>
      <c r="Q68" s="187">
        <v>2989.7999999999997</v>
      </c>
      <c r="R68" s="184">
        <f t="shared" si="21"/>
        <v>597.95999999999992</v>
      </c>
      <c r="S68" s="181">
        <f t="shared" si="22"/>
        <v>28</v>
      </c>
      <c r="T68" s="579"/>
      <c r="U68" s="187">
        <v>5</v>
      </c>
      <c r="V68" s="187">
        <v>2989.8</v>
      </c>
      <c r="W68" s="184">
        <f t="shared" si="18"/>
        <v>597.96</v>
      </c>
      <c r="X68" s="181">
        <f t="shared" si="23"/>
        <v>28</v>
      </c>
      <c r="Y68" s="579"/>
      <c r="Z68" s="187">
        <v>5</v>
      </c>
      <c r="AA68" s="187">
        <v>2989.8</v>
      </c>
      <c r="AB68" s="184">
        <f t="shared" si="24"/>
        <v>597.96</v>
      </c>
      <c r="AC68" s="181">
        <f t="shared" si="25"/>
        <v>28</v>
      </c>
      <c r="AD68" s="579"/>
      <c r="AE68" s="187">
        <v>5</v>
      </c>
      <c r="AF68" s="187">
        <v>2989.8</v>
      </c>
      <c r="AG68" s="184">
        <f t="shared" si="26"/>
        <v>597.96</v>
      </c>
      <c r="AH68" s="181">
        <f t="shared" si="27"/>
        <v>28</v>
      </c>
      <c r="AI68" s="579"/>
      <c r="AJ68" s="187">
        <v>5</v>
      </c>
      <c r="AK68" s="187">
        <v>2989.8</v>
      </c>
      <c r="AL68" s="184">
        <f t="shared" si="28"/>
        <v>597.96</v>
      </c>
      <c r="AM68" s="181">
        <f t="shared" si="29"/>
        <v>28</v>
      </c>
      <c r="AN68" s="579"/>
      <c r="AO68" s="187">
        <v>5</v>
      </c>
      <c r="AP68" s="187">
        <v>2989.7999999999997</v>
      </c>
      <c r="AQ68" s="184">
        <f t="shared" si="30"/>
        <v>597.95999999999992</v>
      </c>
      <c r="AR68" s="181">
        <f t="shared" si="31"/>
        <v>29</v>
      </c>
      <c r="AS68" s="579"/>
      <c r="AT68" s="187">
        <v>5</v>
      </c>
      <c r="AU68" s="187">
        <v>2989.7999999999997</v>
      </c>
      <c r="AV68" s="184">
        <f t="shared" si="32"/>
        <v>597.95999999999992</v>
      </c>
      <c r="AW68" s="181">
        <f t="shared" si="33"/>
        <v>28</v>
      </c>
      <c r="AX68" s="579"/>
    </row>
    <row r="69" spans="2:50" ht="14.25" customHeight="1">
      <c r="B69" s="580"/>
      <c r="C69" s="179">
        <v>21</v>
      </c>
      <c r="D69" s="182" t="s">
        <v>395</v>
      </c>
      <c r="E69" s="183">
        <v>3</v>
      </c>
      <c r="F69" s="179">
        <v>3600</v>
      </c>
      <c r="G69" s="184">
        <f t="shared" si="19"/>
        <v>1200</v>
      </c>
      <c r="H69" s="581"/>
      <c r="I69" s="185">
        <f t="shared" si="20"/>
        <v>3</v>
      </c>
      <c r="J69" s="185">
        <f t="shared" si="20"/>
        <v>3191.6406558131393</v>
      </c>
      <c r="K69" s="186">
        <f t="shared" si="20"/>
        <v>1063.8802186043797</v>
      </c>
      <c r="L69" s="582"/>
      <c r="M69" s="185">
        <f>RANK(K69, K$49:$K$85)</f>
        <v>4</v>
      </c>
      <c r="N69" s="585"/>
      <c r="O69" s="584"/>
      <c r="P69" s="187">
        <v>3</v>
      </c>
      <c r="Q69" s="187">
        <v>3190.8177986702822</v>
      </c>
      <c r="R69" s="184">
        <f t="shared" si="21"/>
        <v>1063.605932890094</v>
      </c>
      <c r="S69" s="181">
        <f t="shared" si="22"/>
        <v>4</v>
      </c>
      <c r="T69" s="579"/>
      <c r="U69" s="187">
        <v>3</v>
      </c>
      <c r="V69" s="187">
        <v>3192.2577986702818</v>
      </c>
      <c r="W69" s="184">
        <f t="shared" si="18"/>
        <v>1064.085932890094</v>
      </c>
      <c r="X69" s="181">
        <f t="shared" si="23"/>
        <v>4</v>
      </c>
      <c r="Y69" s="579"/>
      <c r="Z69" s="187">
        <v>3</v>
      </c>
      <c r="AA69" s="187">
        <v>3190.8177986702822</v>
      </c>
      <c r="AB69" s="184">
        <f t="shared" si="24"/>
        <v>1063.605932890094</v>
      </c>
      <c r="AC69" s="181">
        <f t="shared" si="25"/>
        <v>4</v>
      </c>
      <c r="AD69" s="579"/>
      <c r="AE69" s="187">
        <v>3</v>
      </c>
      <c r="AF69" s="187">
        <v>3191.1777986702823</v>
      </c>
      <c r="AG69" s="184">
        <f t="shared" si="26"/>
        <v>1063.7259328900941</v>
      </c>
      <c r="AH69" s="181">
        <f t="shared" si="27"/>
        <v>4</v>
      </c>
      <c r="AI69" s="579"/>
      <c r="AJ69" s="187">
        <v>3</v>
      </c>
      <c r="AK69" s="187">
        <v>3191.5377986702824</v>
      </c>
      <c r="AL69" s="184">
        <f t="shared" si="28"/>
        <v>1063.8459328900942</v>
      </c>
      <c r="AM69" s="181">
        <f t="shared" si="29"/>
        <v>4</v>
      </c>
      <c r="AN69" s="579"/>
      <c r="AO69" s="187">
        <v>3</v>
      </c>
      <c r="AP69" s="187">
        <v>3192.2577986702827</v>
      </c>
      <c r="AQ69" s="184">
        <f t="shared" si="30"/>
        <v>1064.0859328900942</v>
      </c>
      <c r="AR69" s="181">
        <f t="shared" si="31"/>
        <v>4</v>
      </c>
      <c r="AS69" s="579"/>
      <c r="AT69" s="187">
        <v>3</v>
      </c>
      <c r="AU69" s="187">
        <v>3192.6177986702833</v>
      </c>
      <c r="AV69" s="184">
        <f t="shared" si="32"/>
        <v>1064.2059328900943</v>
      </c>
      <c r="AW69" s="181">
        <f t="shared" si="33"/>
        <v>3</v>
      </c>
      <c r="AX69" s="579"/>
    </row>
    <row r="70" spans="2:50" ht="14.25" customHeight="1">
      <c r="B70" s="580"/>
      <c r="C70" s="179">
        <v>22</v>
      </c>
      <c r="D70" s="182" t="s">
        <v>520</v>
      </c>
      <c r="E70" s="183">
        <v>4</v>
      </c>
      <c r="F70" s="179">
        <v>3600</v>
      </c>
      <c r="G70" s="184">
        <f t="shared" si="19"/>
        <v>900</v>
      </c>
      <c r="H70" s="581"/>
      <c r="I70" s="185">
        <f t="shared" si="20"/>
        <v>4</v>
      </c>
      <c r="J70" s="185">
        <f t="shared" si="20"/>
        <v>3192.119999999999</v>
      </c>
      <c r="K70" s="186">
        <f t="shared" si="20"/>
        <v>798.02999999999975</v>
      </c>
      <c r="L70" s="582"/>
      <c r="M70" s="185">
        <f>RANK(K70, K$49:$K$85)</f>
        <v>16</v>
      </c>
      <c r="N70" s="585"/>
      <c r="O70" s="584"/>
      <c r="P70" s="187">
        <v>4</v>
      </c>
      <c r="Q70" s="187">
        <v>3192.4799999999996</v>
      </c>
      <c r="R70" s="184">
        <f t="shared" si="21"/>
        <v>798.11999999999989</v>
      </c>
      <c r="S70" s="181">
        <f t="shared" si="22"/>
        <v>16</v>
      </c>
      <c r="T70" s="579"/>
      <c r="U70" s="187">
        <v>4</v>
      </c>
      <c r="V70" s="187">
        <v>3192.119999999999</v>
      </c>
      <c r="W70" s="184">
        <f t="shared" si="18"/>
        <v>798.02999999999975</v>
      </c>
      <c r="X70" s="181">
        <f t="shared" si="23"/>
        <v>16</v>
      </c>
      <c r="Y70" s="579"/>
      <c r="Z70" s="187">
        <v>4</v>
      </c>
      <c r="AA70" s="187">
        <v>3191.7599999999984</v>
      </c>
      <c r="AB70" s="184">
        <f t="shared" si="24"/>
        <v>797.9399999999996</v>
      </c>
      <c r="AC70" s="181">
        <f t="shared" si="25"/>
        <v>16</v>
      </c>
      <c r="AD70" s="579"/>
      <c r="AE70" s="187">
        <v>4</v>
      </c>
      <c r="AF70" s="187">
        <v>3191.7599999999984</v>
      </c>
      <c r="AG70" s="184">
        <f t="shared" si="26"/>
        <v>797.9399999999996</v>
      </c>
      <c r="AH70" s="181">
        <f t="shared" si="27"/>
        <v>16</v>
      </c>
      <c r="AI70" s="579"/>
      <c r="AJ70" s="187">
        <v>4</v>
      </c>
      <c r="AK70" s="187">
        <v>3191.7599999999984</v>
      </c>
      <c r="AL70" s="184">
        <f t="shared" si="28"/>
        <v>797.9399999999996</v>
      </c>
      <c r="AM70" s="181">
        <f t="shared" si="29"/>
        <v>16</v>
      </c>
      <c r="AN70" s="579"/>
      <c r="AO70" s="187">
        <v>4</v>
      </c>
      <c r="AP70" s="187">
        <v>3192.8399999999992</v>
      </c>
      <c r="AQ70" s="184">
        <f t="shared" si="30"/>
        <v>798.20999999999981</v>
      </c>
      <c r="AR70" s="181">
        <f t="shared" si="31"/>
        <v>15</v>
      </c>
      <c r="AS70" s="579"/>
      <c r="AT70" s="187">
        <v>4</v>
      </c>
      <c r="AU70" s="187">
        <v>3192.1199999999994</v>
      </c>
      <c r="AV70" s="184">
        <f t="shared" si="32"/>
        <v>798.02999999999986</v>
      </c>
      <c r="AW70" s="181">
        <f t="shared" si="33"/>
        <v>15</v>
      </c>
      <c r="AX70" s="579"/>
    </row>
    <row r="71" spans="2:50" ht="14.25" customHeight="1">
      <c r="B71" s="580"/>
      <c r="C71" s="179">
        <v>23</v>
      </c>
      <c r="D71" s="182" t="s">
        <v>398</v>
      </c>
      <c r="E71" s="183">
        <v>3</v>
      </c>
      <c r="F71" s="179">
        <v>3600</v>
      </c>
      <c r="G71" s="184">
        <f t="shared" si="19"/>
        <v>1200</v>
      </c>
      <c r="H71" s="581"/>
      <c r="I71" s="185">
        <f t="shared" si="20"/>
        <v>3</v>
      </c>
      <c r="J71" s="185">
        <f t="shared" si="20"/>
        <v>3199.2559230366583</v>
      </c>
      <c r="K71" s="186">
        <f t="shared" si="20"/>
        <v>1066.4186410122195</v>
      </c>
      <c r="L71" s="582"/>
      <c r="M71" s="185">
        <f>RANK(K71, K$49:$K$85)</f>
        <v>1</v>
      </c>
      <c r="N71" s="585"/>
      <c r="O71" s="584"/>
      <c r="P71" s="187">
        <v>3</v>
      </c>
      <c r="Q71" s="187">
        <v>3197.0360598015241</v>
      </c>
      <c r="R71" s="184">
        <f t="shared" si="21"/>
        <v>1065.6786866005079</v>
      </c>
      <c r="S71" s="181">
        <f t="shared" si="22"/>
        <v>1</v>
      </c>
      <c r="T71" s="579"/>
      <c r="U71" s="187">
        <v>3</v>
      </c>
      <c r="V71" s="187">
        <v>3196.6760598015239</v>
      </c>
      <c r="W71" s="184">
        <f t="shared" si="18"/>
        <v>1065.5586866005081</v>
      </c>
      <c r="X71" s="181">
        <f t="shared" si="23"/>
        <v>3</v>
      </c>
      <c r="Y71" s="579"/>
      <c r="Z71" s="187">
        <v>3</v>
      </c>
      <c r="AA71" s="187">
        <v>3198.4760598015241</v>
      </c>
      <c r="AB71" s="184">
        <f t="shared" si="24"/>
        <v>1066.158686600508</v>
      </c>
      <c r="AC71" s="181">
        <f t="shared" si="25"/>
        <v>1</v>
      </c>
      <c r="AD71" s="579"/>
      <c r="AE71" s="187">
        <v>3</v>
      </c>
      <c r="AF71" s="187">
        <v>3199.9160598015237</v>
      </c>
      <c r="AG71" s="184">
        <f t="shared" si="26"/>
        <v>1066.638686600508</v>
      </c>
      <c r="AH71" s="181">
        <f t="shared" si="27"/>
        <v>1</v>
      </c>
      <c r="AI71" s="579"/>
      <c r="AJ71" s="187">
        <v>3</v>
      </c>
      <c r="AK71" s="187">
        <v>3201.3560598015238</v>
      </c>
      <c r="AL71" s="184">
        <f t="shared" si="28"/>
        <v>1067.118686600508</v>
      </c>
      <c r="AM71" s="181">
        <f t="shared" si="29"/>
        <v>1</v>
      </c>
      <c r="AN71" s="579"/>
      <c r="AO71" s="187">
        <v>3</v>
      </c>
      <c r="AP71" s="187">
        <v>3198.6448148423783</v>
      </c>
      <c r="AQ71" s="184">
        <f t="shared" si="30"/>
        <v>1066.2149382807927</v>
      </c>
      <c r="AR71" s="181">
        <f t="shared" si="31"/>
        <v>1</v>
      </c>
      <c r="AS71" s="579"/>
      <c r="AT71" s="187">
        <v>3</v>
      </c>
      <c r="AU71" s="187">
        <v>3202.6863474066131</v>
      </c>
      <c r="AV71" s="184">
        <f t="shared" si="32"/>
        <v>1067.5621158022043</v>
      </c>
      <c r="AW71" s="181">
        <f t="shared" si="33"/>
        <v>1</v>
      </c>
      <c r="AX71" s="579"/>
    </row>
    <row r="72" spans="2:50" ht="14.25" customHeight="1">
      <c r="B72" s="580"/>
      <c r="C72" s="179">
        <v>24</v>
      </c>
      <c r="D72" s="182" t="s">
        <v>397</v>
      </c>
      <c r="E72" s="183">
        <v>5</v>
      </c>
      <c r="F72" s="179">
        <v>3600</v>
      </c>
      <c r="G72" s="184">
        <f t="shared" si="19"/>
        <v>720</v>
      </c>
      <c r="H72" s="581"/>
      <c r="I72" s="185">
        <f t="shared" si="20"/>
        <v>5</v>
      </c>
      <c r="J72" s="185">
        <f t="shared" si="20"/>
        <v>3196.9601722713887</v>
      </c>
      <c r="K72" s="186">
        <f t="shared" si="20"/>
        <v>639.39203445427768</v>
      </c>
      <c r="L72" s="582"/>
      <c r="M72" s="185">
        <f>RANK(K72, K$49:$K$85)</f>
        <v>22</v>
      </c>
      <c r="N72" s="585"/>
      <c r="O72" s="584"/>
      <c r="P72" s="187">
        <v>5</v>
      </c>
      <c r="Q72" s="187">
        <v>3197.6287436999596</v>
      </c>
      <c r="R72" s="184">
        <f t="shared" si="21"/>
        <v>639.52574873999197</v>
      </c>
      <c r="S72" s="181">
        <f t="shared" si="22"/>
        <v>21</v>
      </c>
      <c r="T72" s="579"/>
      <c r="U72" s="187">
        <v>5</v>
      </c>
      <c r="V72" s="187">
        <v>3196.18874369996</v>
      </c>
      <c r="W72" s="184">
        <f t="shared" si="18"/>
        <v>639.23774873999196</v>
      </c>
      <c r="X72" s="181">
        <f t="shared" si="23"/>
        <v>23</v>
      </c>
      <c r="Y72" s="579"/>
      <c r="Z72" s="187">
        <v>5</v>
      </c>
      <c r="AA72" s="187">
        <v>3197.6287436999596</v>
      </c>
      <c r="AB72" s="184">
        <f t="shared" si="24"/>
        <v>639.52574873999197</v>
      </c>
      <c r="AC72" s="181">
        <f t="shared" si="25"/>
        <v>22</v>
      </c>
      <c r="AD72" s="579"/>
      <c r="AE72" s="187">
        <v>5</v>
      </c>
      <c r="AF72" s="187">
        <v>3196.5487436999601</v>
      </c>
      <c r="AG72" s="184">
        <f t="shared" si="26"/>
        <v>639.30974873999207</v>
      </c>
      <c r="AH72" s="181">
        <f t="shared" si="27"/>
        <v>22</v>
      </c>
      <c r="AI72" s="579"/>
      <c r="AJ72" s="187">
        <v>5</v>
      </c>
      <c r="AK72" s="187">
        <v>3196.5487436999606</v>
      </c>
      <c r="AL72" s="184">
        <f t="shared" si="28"/>
        <v>639.30974873999207</v>
      </c>
      <c r="AM72" s="181">
        <f t="shared" si="29"/>
        <v>23</v>
      </c>
      <c r="AN72" s="579"/>
      <c r="AO72" s="187">
        <v>5</v>
      </c>
      <c r="AP72" s="187">
        <v>3197.6287436999601</v>
      </c>
      <c r="AQ72" s="184">
        <f t="shared" si="30"/>
        <v>639.52574873999197</v>
      </c>
      <c r="AR72" s="181">
        <f t="shared" si="31"/>
        <v>22</v>
      </c>
      <c r="AS72" s="579"/>
      <c r="AT72" s="187">
        <v>5</v>
      </c>
      <c r="AU72" s="187">
        <v>3196.5487436999601</v>
      </c>
      <c r="AV72" s="184">
        <f t="shared" si="32"/>
        <v>639.30974873999207</v>
      </c>
      <c r="AW72" s="181">
        <f t="shared" si="33"/>
        <v>24</v>
      </c>
      <c r="AX72" s="579"/>
    </row>
    <row r="73" spans="2:50" ht="14.25" customHeight="1">
      <c r="B73" s="580"/>
      <c r="C73" s="179">
        <v>25</v>
      </c>
      <c r="D73" s="182" t="s">
        <v>394</v>
      </c>
      <c r="E73" s="183">
        <v>5</v>
      </c>
      <c r="F73" s="179">
        <v>3600</v>
      </c>
      <c r="G73" s="184">
        <f t="shared" si="19"/>
        <v>720</v>
      </c>
      <c r="H73" s="581"/>
      <c r="I73" s="185">
        <f t="shared" si="20"/>
        <v>5</v>
      </c>
      <c r="J73" s="185">
        <f t="shared" si="20"/>
        <v>3190.3282883712955</v>
      </c>
      <c r="K73" s="186">
        <f t="shared" si="20"/>
        <v>638.06565767425889</v>
      </c>
      <c r="L73" s="582"/>
      <c r="M73" s="185">
        <f>RANK(K73, K$49:$K$85)</f>
        <v>26</v>
      </c>
      <c r="N73" s="585"/>
      <c r="O73" s="584"/>
      <c r="P73" s="187">
        <v>5</v>
      </c>
      <c r="Q73" s="187">
        <v>3191.4082883712945</v>
      </c>
      <c r="R73" s="184">
        <f t="shared" si="21"/>
        <v>638.28165767425889</v>
      </c>
      <c r="S73" s="181">
        <f t="shared" si="22"/>
        <v>26</v>
      </c>
      <c r="T73" s="579"/>
      <c r="U73" s="187">
        <v>5</v>
      </c>
      <c r="V73" s="187">
        <v>3190.6882883712951</v>
      </c>
      <c r="W73" s="184">
        <f t="shared" si="18"/>
        <v>638.137657674259</v>
      </c>
      <c r="X73" s="181">
        <f t="shared" si="23"/>
        <v>26</v>
      </c>
      <c r="Y73" s="579"/>
      <c r="Z73" s="187">
        <v>5</v>
      </c>
      <c r="AA73" s="187">
        <v>3190.3282883712955</v>
      </c>
      <c r="AB73" s="184">
        <f t="shared" si="24"/>
        <v>638.06565767425911</v>
      </c>
      <c r="AC73" s="181">
        <f t="shared" si="25"/>
        <v>27</v>
      </c>
      <c r="AD73" s="579"/>
      <c r="AE73" s="187">
        <v>5</v>
      </c>
      <c r="AF73" s="187">
        <v>3189.2482883712951</v>
      </c>
      <c r="AG73" s="184">
        <f t="shared" si="26"/>
        <v>637.84965767425899</v>
      </c>
      <c r="AH73" s="181">
        <f t="shared" si="27"/>
        <v>27</v>
      </c>
      <c r="AI73" s="579"/>
      <c r="AJ73" s="187">
        <v>5</v>
      </c>
      <c r="AK73" s="187">
        <v>3189.9682883712949</v>
      </c>
      <c r="AL73" s="184">
        <f t="shared" si="28"/>
        <v>637.993657674259</v>
      </c>
      <c r="AM73" s="181">
        <f t="shared" si="29"/>
        <v>27</v>
      </c>
      <c r="AN73" s="579"/>
      <c r="AO73" s="187">
        <v>5</v>
      </c>
      <c r="AP73" s="187">
        <v>3189.9682883712958</v>
      </c>
      <c r="AQ73" s="184">
        <f t="shared" si="30"/>
        <v>637.99365767425911</v>
      </c>
      <c r="AR73" s="181">
        <f t="shared" si="31"/>
        <v>26</v>
      </c>
      <c r="AS73" s="579"/>
      <c r="AT73" s="187">
        <v>5</v>
      </c>
      <c r="AU73" s="187">
        <v>3190.6882883712951</v>
      </c>
      <c r="AV73" s="184">
        <f t="shared" si="32"/>
        <v>638.137657674259</v>
      </c>
      <c r="AW73" s="181">
        <f t="shared" si="33"/>
        <v>26</v>
      </c>
      <c r="AX73" s="579"/>
    </row>
    <row r="74" spans="2:50" ht="14.25" customHeight="1">
      <c r="B74" s="580"/>
      <c r="C74" s="179">
        <v>26</v>
      </c>
      <c r="D74" s="182" t="s">
        <v>396</v>
      </c>
      <c r="E74" s="183">
        <v>3</v>
      </c>
      <c r="F74" s="179">
        <v>3000</v>
      </c>
      <c r="G74" s="184">
        <f t="shared" si="19"/>
        <v>1000</v>
      </c>
      <c r="H74" s="581"/>
      <c r="I74" s="185">
        <f t="shared" si="20"/>
        <v>3</v>
      </c>
      <c r="J74" s="185">
        <f t="shared" si="20"/>
        <v>2718.2374518283964</v>
      </c>
      <c r="K74" s="186">
        <f t="shared" si="20"/>
        <v>906.07915060946527</v>
      </c>
      <c r="L74" s="582"/>
      <c r="M74" s="185">
        <f>RANK(K74, K$49:$K$85)</f>
        <v>13</v>
      </c>
      <c r="N74" s="585"/>
      <c r="O74" s="584"/>
      <c r="P74" s="187">
        <v>3</v>
      </c>
      <c r="Q74" s="187">
        <v>2717.8088803998244</v>
      </c>
      <c r="R74" s="184">
        <f t="shared" si="21"/>
        <v>905.93629346660816</v>
      </c>
      <c r="S74" s="181">
        <f t="shared" si="22"/>
        <v>13</v>
      </c>
      <c r="T74" s="579"/>
      <c r="U74" s="187">
        <v>3</v>
      </c>
      <c r="V74" s="187">
        <v>2716.9088803998247</v>
      </c>
      <c r="W74" s="184">
        <f t="shared" si="18"/>
        <v>905.63629346660821</v>
      </c>
      <c r="X74" s="181">
        <f t="shared" si="23"/>
        <v>14</v>
      </c>
      <c r="Y74" s="579"/>
      <c r="Z74" s="187">
        <v>3</v>
      </c>
      <c r="AA74" s="187">
        <v>2718.1088803998246</v>
      </c>
      <c r="AB74" s="184">
        <f t="shared" si="24"/>
        <v>906.03629346660819</v>
      </c>
      <c r="AC74" s="181">
        <f t="shared" si="25"/>
        <v>14</v>
      </c>
      <c r="AD74" s="579"/>
      <c r="AE74" s="187">
        <v>3</v>
      </c>
      <c r="AF74" s="187">
        <v>2717.2088803998249</v>
      </c>
      <c r="AG74" s="184">
        <f t="shared" si="26"/>
        <v>905.73629346660834</v>
      </c>
      <c r="AH74" s="181">
        <f t="shared" si="27"/>
        <v>14</v>
      </c>
      <c r="AI74" s="579"/>
      <c r="AJ74" s="187">
        <v>3</v>
      </c>
      <c r="AK74" s="187">
        <v>2718.4088803998247</v>
      </c>
      <c r="AL74" s="184">
        <f t="shared" si="28"/>
        <v>906.13629346660821</v>
      </c>
      <c r="AM74" s="181">
        <f t="shared" si="29"/>
        <v>13</v>
      </c>
      <c r="AN74" s="579"/>
      <c r="AO74" s="187">
        <v>3</v>
      </c>
      <c r="AP74" s="187">
        <v>2719.3088803998244</v>
      </c>
      <c r="AQ74" s="184">
        <f t="shared" si="30"/>
        <v>906.43629346660816</v>
      </c>
      <c r="AR74" s="181">
        <f t="shared" si="31"/>
        <v>13</v>
      </c>
      <c r="AS74" s="579"/>
      <c r="AT74" s="187">
        <v>3</v>
      </c>
      <c r="AU74" s="187">
        <v>2719.9088803998238</v>
      </c>
      <c r="AV74" s="184">
        <f t="shared" si="32"/>
        <v>906.63629346660798</v>
      </c>
      <c r="AW74" s="181">
        <f t="shared" si="33"/>
        <v>13</v>
      </c>
      <c r="AX74" s="579"/>
    </row>
    <row r="75" spans="2:50" ht="14.25" customHeight="1">
      <c r="B75" s="580"/>
      <c r="C75" s="179">
        <v>27</v>
      </c>
      <c r="D75" s="182" t="s">
        <v>435</v>
      </c>
      <c r="E75" s="183">
        <v>3</v>
      </c>
      <c r="F75" s="179">
        <v>3600</v>
      </c>
      <c r="G75" s="184">
        <f t="shared" si="19"/>
        <v>1200</v>
      </c>
      <c r="H75" s="581"/>
      <c r="I75" s="185">
        <f t="shared" si="20"/>
        <v>3</v>
      </c>
      <c r="J75" s="185">
        <f t="shared" si="20"/>
        <v>3186.2017901564077</v>
      </c>
      <c r="K75" s="186">
        <f t="shared" si="20"/>
        <v>1062.067263385469</v>
      </c>
      <c r="L75" s="582"/>
      <c r="M75" s="185">
        <f>RANK(K75, K$49:$K$85)</f>
        <v>7</v>
      </c>
      <c r="N75" s="585"/>
      <c r="O75" s="584"/>
      <c r="P75" s="187">
        <v>3</v>
      </c>
      <c r="Q75" s="187">
        <v>3185.925356536763</v>
      </c>
      <c r="R75" s="184">
        <f t="shared" si="21"/>
        <v>1061.9751188455878</v>
      </c>
      <c r="S75" s="181">
        <f t="shared" si="22"/>
        <v>7</v>
      </c>
      <c r="T75" s="579"/>
      <c r="U75" s="187">
        <v>3</v>
      </c>
      <c r="V75" s="187">
        <v>3184.8453565367636</v>
      </c>
      <c r="W75" s="184">
        <f t="shared" si="18"/>
        <v>1061.6151188455879</v>
      </c>
      <c r="X75" s="181">
        <f t="shared" si="23"/>
        <v>9</v>
      </c>
      <c r="Y75" s="579"/>
      <c r="Z75" s="187">
        <v>3</v>
      </c>
      <c r="AA75" s="187">
        <v>3186.2853565367632</v>
      </c>
      <c r="AB75" s="184">
        <f t="shared" si="24"/>
        <v>1062.0951188455876</v>
      </c>
      <c r="AC75" s="181">
        <f t="shared" si="25"/>
        <v>6</v>
      </c>
      <c r="AD75" s="579"/>
      <c r="AE75" s="187">
        <v>3</v>
      </c>
      <c r="AF75" s="187">
        <v>3185.5653565367629</v>
      </c>
      <c r="AG75" s="184">
        <f t="shared" si="26"/>
        <v>1061.8551188455876</v>
      </c>
      <c r="AH75" s="181">
        <f t="shared" si="27"/>
        <v>7</v>
      </c>
      <c r="AI75" s="579"/>
      <c r="AJ75" s="187">
        <v>3</v>
      </c>
      <c r="AK75" s="187">
        <v>3187.2041598844153</v>
      </c>
      <c r="AL75" s="184">
        <f t="shared" si="28"/>
        <v>1062.4013866281384</v>
      </c>
      <c r="AM75" s="181">
        <f t="shared" si="29"/>
        <v>7</v>
      </c>
      <c r="AN75" s="579"/>
      <c r="AO75" s="187">
        <v>3</v>
      </c>
      <c r="AP75" s="187">
        <v>3186.6134725316933</v>
      </c>
      <c r="AQ75" s="184">
        <f t="shared" si="30"/>
        <v>1062.2044908438977</v>
      </c>
      <c r="AR75" s="181">
        <f t="shared" si="31"/>
        <v>7</v>
      </c>
      <c r="AS75" s="579"/>
      <c r="AT75" s="187">
        <v>3</v>
      </c>
      <c r="AU75" s="187">
        <v>3186.9734725316926</v>
      </c>
      <c r="AV75" s="184">
        <f t="shared" si="32"/>
        <v>1062.3244908438976</v>
      </c>
      <c r="AW75" s="181">
        <f t="shared" si="33"/>
        <v>8</v>
      </c>
      <c r="AX75" s="579"/>
    </row>
    <row r="76" spans="2:50" ht="14.25" customHeight="1">
      <c r="B76" s="580"/>
      <c r="C76" s="179">
        <v>28</v>
      </c>
      <c r="D76" s="182" t="s">
        <v>441</v>
      </c>
      <c r="E76" s="183">
        <v>4</v>
      </c>
      <c r="F76" s="179">
        <v>3000</v>
      </c>
      <c r="G76" s="184">
        <f t="shared" si="19"/>
        <v>750</v>
      </c>
      <c r="H76" s="581"/>
      <c r="I76" s="185">
        <f t="shared" si="20"/>
        <v>4</v>
      </c>
      <c r="J76" s="185">
        <f t="shared" si="20"/>
        <v>2718.1132340090921</v>
      </c>
      <c r="K76" s="186">
        <f t="shared" si="20"/>
        <v>679.52830850227303</v>
      </c>
      <c r="L76" s="582"/>
      <c r="M76" s="185">
        <f>RANK(K76, K$49:$K$85)</f>
        <v>20</v>
      </c>
      <c r="N76" s="585"/>
      <c r="O76" s="584"/>
      <c r="P76" s="187">
        <v>4</v>
      </c>
      <c r="Q76" s="187">
        <v>2715.8043717482201</v>
      </c>
      <c r="R76" s="184">
        <f t="shared" si="21"/>
        <v>678.95109293705502</v>
      </c>
      <c r="S76" s="181">
        <f t="shared" si="22"/>
        <v>20</v>
      </c>
      <c r="T76" s="579"/>
      <c r="U76" s="187">
        <v>4</v>
      </c>
      <c r="V76" s="187">
        <v>2717.3043717482201</v>
      </c>
      <c r="W76" s="184">
        <f t="shared" si="18"/>
        <v>679.32609293705502</v>
      </c>
      <c r="X76" s="181">
        <f t="shared" si="23"/>
        <v>20</v>
      </c>
      <c r="Y76" s="579"/>
      <c r="Z76" s="187">
        <v>4</v>
      </c>
      <c r="AA76" s="187">
        <v>2718.2043717482197</v>
      </c>
      <c r="AB76" s="184">
        <f t="shared" si="24"/>
        <v>679.55109293705493</v>
      </c>
      <c r="AC76" s="181">
        <f t="shared" si="25"/>
        <v>20</v>
      </c>
      <c r="AD76" s="579"/>
      <c r="AE76" s="187">
        <v>4</v>
      </c>
      <c r="AF76" s="187">
        <v>2718.5043717482199</v>
      </c>
      <c r="AG76" s="184">
        <f t="shared" si="26"/>
        <v>679.62609293705498</v>
      </c>
      <c r="AH76" s="181">
        <f t="shared" si="27"/>
        <v>20</v>
      </c>
      <c r="AI76" s="579"/>
      <c r="AJ76" s="187">
        <v>4</v>
      </c>
      <c r="AK76" s="187">
        <v>2719.40437174822</v>
      </c>
      <c r="AL76" s="184">
        <f t="shared" si="28"/>
        <v>679.851092937055</v>
      </c>
      <c r="AM76" s="181">
        <f t="shared" si="29"/>
        <v>19</v>
      </c>
      <c r="AN76" s="579"/>
      <c r="AO76" s="187">
        <v>4</v>
      </c>
      <c r="AP76" s="187">
        <v>2718.7853896612728</v>
      </c>
      <c r="AQ76" s="184">
        <f t="shared" si="30"/>
        <v>679.6963474153182</v>
      </c>
      <c r="AR76" s="181">
        <f t="shared" si="31"/>
        <v>19</v>
      </c>
      <c r="AS76" s="579"/>
      <c r="AT76" s="187">
        <v>4</v>
      </c>
      <c r="AU76" s="187">
        <v>2718.7853896612723</v>
      </c>
      <c r="AV76" s="184">
        <f t="shared" si="32"/>
        <v>679.69634741531809</v>
      </c>
      <c r="AW76" s="181">
        <f t="shared" si="33"/>
        <v>19</v>
      </c>
      <c r="AX76" s="579"/>
    </row>
    <row r="77" spans="2:50" ht="14.25" customHeight="1">
      <c r="B77" s="580"/>
      <c r="C77" s="179">
        <v>29</v>
      </c>
      <c r="D77" s="182" t="s">
        <v>508</v>
      </c>
      <c r="E77" s="183">
        <v>5</v>
      </c>
      <c r="F77" s="179">
        <v>3000</v>
      </c>
      <c r="G77" s="184">
        <f t="shared" si="19"/>
        <v>600</v>
      </c>
      <c r="H77" s="581"/>
      <c r="I77" s="185">
        <f t="shared" si="20"/>
        <v>5</v>
      </c>
      <c r="J77" s="185">
        <f t="shared" si="20"/>
        <v>2714.706179480509</v>
      </c>
      <c r="K77" s="186">
        <f t="shared" si="20"/>
        <v>542.94123589610194</v>
      </c>
      <c r="L77" s="582"/>
      <c r="M77" s="185">
        <f>RANK(K77, K$49:$K$85)</f>
        <v>32</v>
      </c>
      <c r="N77" s="585"/>
      <c r="O77" s="584"/>
      <c r="P77" s="187">
        <v>5</v>
      </c>
      <c r="Q77" s="187">
        <v>2717.0204651947952</v>
      </c>
      <c r="R77" s="184">
        <f t="shared" si="21"/>
        <v>543.40409303895899</v>
      </c>
      <c r="S77" s="181">
        <f t="shared" si="22"/>
        <v>31</v>
      </c>
      <c r="T77" s="579"/>
      <c r="U77" s="187">
        <v>5</v>
      </c>
      <c r="V77" s="187">
        <v>2715.5204651947952</v>
      </c>
      <c r="W77" s="184">
        <f t="shared" si="18"/>
        <v>543.10409303895904</v>
      </c>
      <c r="X77" s="181">
        <f t="shared" si="23"/>
        <v>32</v>
      </c>
      <c r="Y77" s="579"/>
      <c r="Z77" s="187">
        <v>5</v>
      </c>
      <c r="AA77" s="187">
        <v>2714.6204651947946</v>
      </c>
      <c r="AB77" s="184">
        <f t="shared" si="24"/>
        <v>542.92409303895897</v>
      </c>
      <c r="AC77" s="181">
        <f t="shared" si="25"/>
        <v>32</v>
      </c>
      <c r="AD77" s="579"/>
      <c r="AE77" s="187">
        <v>5</v>
      </c>
      <c r="AF77" s="187">
        <v>2713.720465194795</v>
      </c>
      <c r="AG77" s="184">
        <f t="shared" si="26"/>
        <v>542.74409303895902</v>
      </c>
      <c r="AH77" s="181">
        <f t="shared" si="27"/>
        <v>32</v>
      </c>
      <c r="AI77" s="579"/>
      <c r="AJ77" s="187">
        <v>5</v>
      </c>
      <c r="AK77" s="187">
        <v>2714.0204651947952</v>
      </c>
      <c r="AL77" s="184">
        <f t="shared" si="28"/>
        <v>542.80409303895908</v>
      </c>
      <c r="AM77" s="181">
        <f t="shared" si="29"/>
        <v>32</v>
      </c>
      <c r="AN77" s="579"/>
      <c r="AO77" s="187">
        <v>5</v>
      </c>
      <c r="AP77" s="187">
        <v>2714.3204651947954</v>
      </c>
      <c r="AQ77" s="184">
        <f t="shared" si="30"/>
        <v>542.86409303895903</v>
      </c>
      <c r="AR77" s="181">
        <f t="shared" si="31"/>
        <v>32</v>
      </c>
      <c r="AS77" s="579"/>
      <c r="AT77" s="187">
        <v>5</v>
      </c>
      <c r="AU77" s="187">
        <v>2713.7204651947955</v>
      </c>
      <c r="AV77" s="184">
        <f t="shared" si="32"/>
        <v>542.74409303895914</v>
      </c>
      <c r="AW77" s="181">
        <f t="shared" si="33"/>
        <v>32</v>
      </c>
      <c r="AX77" s="579"/>
    </row>
    <row r="78" spans="2:50" ht="14.25" customHeight="1">
      <c r="B78" s="580"/>
      <c r="C78" s="179">
        <v>30</v>
      </c>
      <c r="D78" s="182" t="s">
        <v>694</v>
      </c>
      <c r="E78" s="183">
        <v>6</v>
      </c>
      <c r="F78" s="179">
        <v>3600</v>
      </c>
      <c r="G78" s="184">
        <f t="shared" si="19"/>
        <v>600</v>
      </c>
      <c r="H78" s="581"/>
      <c r="I78" s="185">
        <f t="shared" si="20"/>
        <v>6</v>
      </c>
      <c r="J78" s="185">
        <f t="shared" si="20"/>
        <v>3261.7906528559424</v>
      </c>
      <c r="K78" s="186">
        <f t="shared" si="20"/>
        <v>543.63177547599037</v>
      </c>
      <c r="L78" s="582"/>
      <c r="M78" s="185">
        <f>RANK(K78, K$49:$K$85)</f>
        <v>30</v>
      </c>
      <c r="N78" s="585"/>
      <c r="O78" s="584"/>
      <c r="P78" s="187">
        <v>6</v>
      </c>
      <c r="Q78" s="187">
        <v>3261.2816741514289</v>
      </c>
      <c r="R78" s="184">
        <f t="shared" si="21"/>
        <v>543.54694569190485</v>
      </c>
      <c r="S78" s="181">
        <f t="shared" si="22"/>
        <v>30</v>
      </c>
      <c r="T78" s="579"/>
      <c r="U78" s="187">
        <v>6</v>
      </c>
      <c r="V78" s="187">
        <v>3261.6416741514286</v>
      </c>
      <c r="W78" s="184">
        <f t="shared" si="18"/>
        <v>543.6069456919048</v>
      </c>
      <c r="X78" s="181">
        <f t="shared" si="23"/>
        <v>30</v>
      </c>
      <c r="Y78" s="579"/>
      <c r="Z78" s="187">
        <v>6</v>
      </c>
      <c r="AA78" s="187">
        <v>3261.6416741514286</v>
      </c>
      <c r="AB78" s="184">
        <f t="shared" si="24"/>
        <v>543.6069456919048</v>
      </c>
      <c r="AC78" s="181">
        <f t="shared" si="25"/>
        <v>30</v>
      </c>
      <c r="AD78" s="579"/>
      <c r="AE78" s="187">
        <v>6</v>
      </c>
      <c r="AF78" s="187">
        <v>3263.4416741514283</v>
      </c>
      <c r="AG78" s="184">
        <f t="shared" si="26"/>
        <v>543.90694569190475</v>
      </c>
      <c r="AH78" s="181">
        <f t="shared" si="27"/>
        <v>30</v>
      </c>
      <c r="AI78" s="579"/>
      <c r="AJ78" s="187">
        <v>6</v>
      </c>
      <c r="AK78" s="187">
        <v>3262.7216741514285</v>
      </c>
      <c r="AL78" s="184">
        <f t="shared" si="28"/>
        <v>543.78694569190475</v>
      </c>
      <c r="AM78" s="181">
        <f t="shared" si="29"/>
        <v>30</v>
      </c>
      <c r="AN78" s="579"/>
      <c r="AO78" s="187">
        <v>6</v>
      </c>
      <c r="AP78" s="187">
        <v>3261.6230996172253</v>
      </c>
      <c r="AQ78" s="184">
        <f t="shared" si="30"/>
        <v>543.60384993620426</v>
      </c>
      <c r="AR78" s="181">
        <f t="shared" si="31"/>
        <v>30</v>
      </c>
      <c r="AS78" s="579"/>
      <c r="AT78" s="187">
        <v>6</v>
      </c>
      <c r="AU78" s="187">
        <v>3260.1830996172253</v>
      </c>
      <c r="AV78" s="184">
        <f t="shared" si="32"/>
        <v>543.36384993620425</v>
      </c>
      <c r="AW78" s="181">
        <f t="shared" si="33"/>
        <v>30</v>
      </c>
      <c r="AX78" s="579"/>
    </row>
    <row r="79" spans="2:50" ht="14.25" customHeight="1">
      <c r="B79" s="580"/>
      <c r="C79" s="179">
        <v>31</v>
      </c>
      <c r="D79" s="182" t="s">
        <v>723</v>
      </c>
      <c r="E79" s="179">
        <v>4</v>
      </c>
      <c r="F79" s="179">
        <v>3000</v>
      </c>
      <c r="G79" s="184">
        <f t="shared" si="19"/>
        <v>750</v>
      </c>
      <c r="H79" s="581"/>
      <c r="I79" s="185">
        <f t="shared" si="20"/>
        <v>4</v>
      </c>
      <c r="J79" s="185">
        <f t="shared" si="20"/>
        <v>2718.7856319400894</v>
      </c>
      <c r="K79" s="186">
        <f t="shared" si="20"/>
        <v>679.69640798502235</v>
      </c>
      <c r="L79" s="582"/>
      <c r="M79" s="185">
        <f>RANK(K79, K$49:$K$85)</f>
        <v>19</v>
      </c>
      <c r="N79" s="585"/>
      <c r="O79" s="584"/>
      <c r="P79" s="187">
        <v>4</v>
      </c>
      <c r="Q79" s="187">
        <v>2718.4427747972322</v>
      </c>
      <c r="R79" s="184">
        <f t="shared" si="21"/>
        <v>679.61069369930806</v>
      </c>
      <c r="S79" s="181">
        <f t="shared" si="22"/>
        <v>19</v>
      </c>
      <c r="T79" s="579"/>
      <c r="U79" s="187">
        <v>4</v>
      </c>
      <c r="V79" s="187">
        <v>2718.4427747972322</v>
      </c>
      <c r="W79" s="184">
        <f t="shared" si="18"/>
        <v>679.61069369930806</v>
      </c>
      <c r="X79" s="181">
        <f t="shared" si="23"/>
        <v>19</v>
      </c>
      <c r="Y79" s="579"/>
      <c r="Z79" s="187">
        <v>4</v>
      </c>
      <c r="AA79" s="187">
        <v>2719.3427747972323</v>
      </c>
      <c r="AB79" s="184">
        <f t="shared" si="24"/>
        <v>679.83569369930808</v>
      </c>
      <c r="AC79" s="181">
        <f t="shared" si="25"/>
        <v>19</v>
      </c>
      <c r="AD79" s="579"/>
      <c r="AE79" s="187">
        <v>4</v>
      </c>
      <c r="AF79" s="187">
        <v>2719.9427747972322</v>
      </c>
      <c r="AG79" s="184">
        <f t="shared" si="26"/>
        <v>679.98569369930806</v>
      </c>
      <c r="AH79" s="181">
        <f t="shared" si="27"/>
        <v>19</v>
      </c>
      <c r="AI79" s="579"/>
      <c r="AJ79" s="187">
        <v>4</v>
      </c>
      <c r="AK79" s="187">
        <v>2719.0427747972317</v>
      </c>
      <c r="AL79" s="184">
        <f t="shared" si="28"/>
        <v>679.76069369930792</v>
      </c>
      <c r="AM79" s="181">
        <f t="shared" si="29"/>
        <v>20</v>
      </c>
      <c r="AN79" s="579"/>
      <c r="AO79" s="187">
        <v>4</v>
      </c>
      <c r="AP79" s="187">
        <v>2718.4427747972322</v>
      </c>
      <c r="AQ79" s="184">
        <f t="shared" si="30"/>
        <v>679.61069369930806</v>
      </c>
      <c r="AR79" s="181">
        <f t="shared" si="31"/>
        <v>20</v>
      </c>
      <c r="AS79" s="579"/>
      <c r="AT79" s="187">
        <v>4</v>
      </c>
      <c r="AU79" s="187">
        <v>2717.8427747972323</v>
      </c>
      <c r="AV79" s="184">
        <f t="shared" si="32"/>
        <v>679.46069369930808</v>
      </c>
      <c r="AW79" s="181">
        <f t="shared" si="33"/>
        <v>20</v>
      </c>
      <c r="AX79" s="579"/>
    </row>
    <row r="80" spans="2:50" ht="14.25" customHeight="1">
      <c r="B80" s="580"/>
      <c r="C80" s="179">
        <v>32</v>
      </c>
      <c r="D80" s="182" t="s">
        <v>724</v>
      </c>
      <c r="E80" s="179">
        <v>6</v>
      </c>
      <c r="F80" s="179">
        <v>3600</v>
      </c>
      <c r="G80" s="184">
        <f t="shared" si="19"/>
        <v>600</v>
      </c>
      <c r="H80" s="581"/>
      <c r="I80" s="185">
        <f t="shared" ref="I80:K83" si="34">AVERAGE(P80,U80,Z80,AE80,AJ80,AO80,AT80)</f>
        <v>6</v>
      </c>
      <c r="J80" s="185">
        <f t="shared" si="34"/>
        <v>3259.7911206895401</v>
      </c>
      <c r="K80" s="186">
        <f t="shared" si="34"/>
        <v>543.29852011492335</v>
      </c>
      <c r="L80" s="582"/>
      <c r="M80" s="185">
        <f>RANK(K80, K$49:$K$85)</f>
        <v>31</v>
      </c>
      <c r="N80" s="585"/>
      <c r="O80" s="584"/>
      <c r="P80" s="187">
        <v>6</v>
      </c>
      <c r="Q80" s="187">
        <v>3259.328263546683</v>
      </c>
      <c r="R80" s="184">
        <f t="shared" si="21"/>
        <v>543.22137725778055</v>
      </c>
      <c r="S80" s="181">
        <f t="shared" si="22"/>
        <v>32</v>
      </c>
      <c r="T80" s="579"/>
      <c r="U80" s="187">
        <v>6</v>
      </c>
      <c r="V80" s="187">
        <v>3261.1282635466832</v>
      </c>
      <c r="W80" s="184">
        <f t="shared" si="18"/>
        <v>543.5213772577805</v>
      </c>
      <c r="X80" s="181">
        <f t="shared" si="23"/>
        <v>31</v>
      </c>
      <c r="Y80" s="579"/>
      <c r="Z80" s="187">
        <v>6</v>
      </c>
      <c r="AA80" s="187">
        <v>3260.7682635466836</v>
      </c>
      <c r="AB80" s="184">
        <f t="shared" si="24"/>
        <v>543.46137725778055</v>
      </c>
      <c r="AC80" s="181">
        <f t="shared" si="25"/>
        <v>31</v>
      </c>
      <c r="AD80" s="579"/>
      <c r="AE80" s="187">
        <v>6</v>
      </c>
      <c r="AF80" s="187">
        <v>3259.6882635466832</v>
      </c>
      <c r="AG80" s="184">
        <f t="shared" si="26"/>
        <v>543.28137725778049</v>
      </c>
      <c r="AH80" s="181">
        <f t="shared" si="27"/>
        <v>31</v>
      </c>
      <c r="AI80" s="579"/>
      <c r="AJ80" s="187">
        <v>6</v>
      </c>
      <c r="AK80" s="187">
        <v>3260.0482635466828</v>
      </c>
      <c r="AL80" s="184">
        <f t="shared" si="28"/>
        <v>543.34137725778044</v>
      </c>
      <c r="AM80" s="181">
        <f t="shared" si="29"/>
        <v>31</v>
      </c>
      <c r="AN80" s="579"/>
      <c r="AO80" s="187">
        <v>6</v>
      </c>
      <c r="AP80" s="187">
        <v>3258.9682635466825</v>
      </c>
      <c r="AQ80" s="184">
        <f t="shared" si="30"/>
        <v>543.16137725778037</v>
      </c>
      <c r="AR80" s="181">
        <f t="shared" si="31"/>
        <v>31</v>
      </c>
      <c r="AS80" s="579"/>
      <c r="AT80" s="187">
        <v>6</v>
      </c>
      <c r="AU80" s="187">
        <v>3258.6082635466823</v>
      </c>
      <c r="AV80" s="184">
        <f t="shared" si="32"/>
        <v>543.10137725778043</v>
      </c>
      <c r="AW80" s="181">
        <f t="shared" si="33"/>
        <v>31</v>
      </c>
      <c r="AX80" s="579"/>
    </row>
    <row r="81" spans="2:50" ht="14.25" customHeight="1">
      <c r="B81" s="580"/>
      <c r="C81" s="179">
        <v>33</v>
      </c>
      <c r="D81" s="182" t="s">
        <v>485</v>
      </c>
      <c r="E81" s="179">
        <v>13</v>
      </c>
      <c r="F81" s="179">
        <v>3600</v>
      </c>
      <c r="G81" s="184">
        <f t="shared" si="19"/>
        <v>276.92307692307691</v>
      </c>
      <c r="H81" s="581"/>
      <c r="I81" s="185">
        <f t="shared" si="34"/>
        <v>13</v>
      </c>
      <c r="J81" s="185">
        <f t="shared" si="34"/>
        <v>3260.8923398549782</v>
      </c>
      <c r="K81" s="186">
        <f t="shared" si="34"/>
        <v>250.83787229653686</v>
      </c>
      <c r="L81" s="582"/>
      <c r="M81" s="185">
        <f>RANK(K81, K$49:$K$85)</f>
        <v>35</v>
      </c>
      <c r="N81" s="585"/>
      <c r="O81" s="584"/>
      <c r="P81" s="187">
        <v>13</v>
      </c>
      <c r="Q81" s="187">
        <v>3260.9437684264062</v>
      </c>
      <c r="R81" s="184">
        <f t="shared" si="21"/>
        <v>250.84182834049278</v>
      </c>
      <c r="S81" s="181">
        <f t="shared" si="22"/>
        <v>35</v>
      </c>
      <c r="T81" s="579"/>
      <c r="U81" s="187">
        <v>13</v>
      </c>
      <c r="V81" s="187">
        <v>3261.3037684264064</v>
      </c>
      <c r="W81" s="184">
        <f t="shared" si="18"/>
        <v>250.8695206481851</v>
      </c>
      <c r="X81" s="181">
        <f t="shared" si="23"/>
        <v>35</v>
      </c>
      <c r="Y81" s="579"/>
      <c r="Z81" s="187">
        <v>13</v>
      </c>
      <c r="AA81" s="187">
        <v>3262.3837684264067</v>
      </c>
      <c r="AB81" s="184">
        <f t="shared" si="24"/>
        <v>250.95259757126206</v>
      </c>
      <c r="AC81" s="181">
        <f t="shared" si="25"/>
        <v>35</v>
      </c>
      <c r="AD81" s="579"/>
      <c r="AE81" s="187">
        <v>13</v>
      </c>
      <c r="AF81" s="187">
        <v>3262.0237684264071</v>
      </c>
      <c r="AG81" s="184">
        <f t="shared" si="26"/>
        <v>250.92490526356977</v>
      </c>
      <c r="AH81" s="181">
        <f t="shared" si="27"/>
        <v>35</v>
      </c>
      <c r="AI81" s="579"/>
      <c r="AJ81" s="187">
        <v>13</v>
      </c>
      <c r="AK81" s="187">
        <v>3260.2237684264073</v>
      </c>
      <c r="AL81" s="184">
        <f t="shared" si="28"/>
        <v>250.78644372510826</v>
      </c>
      <c r="AM81" s="181">
        <f t="shared" si="29"/>
        <v>35</v>
      </c>
      <c r="AN81" s="579"/>
      <c r="AO81" s="187">
        <v>13</v>
      </c>
      <c r="AP81" s="187">
        <v>3259.1437684264083</v>
      </c>
      <c r="AQ81" s="184">
        <f t="shared" si="30"/>
        <v>250.70336680203141</v>
      </c>
      <c r="AR81" s="181">
        <f t="shared" si="31"/>
        <v>35</v>
      </c>
      <c r="AS81" s="579"/>
      <c r="AT81" s="187">
        <v>13</v>
      </c>
      <c r="AU81" s="187">
        <v>3260.2237684264087</v>
      </c>
      <c r="AV81" s="184">
        <f t="shared" si="32"/>
        <v>250.78644372510837</v>
      </c>
      <c r="AW81" s="181">
        <f t="shared" si="33"/>
        <v>35</v>
      </c>
      <c r="AX81" s="579"/>
    </row>
    <row r="82" spans="2:50" ht="14.25" customHeight="1">
      <c r="B82" s="580"/>
      <c r="C82" s="179">
        <v>34</v>
      </c>
      <c r="D82" s="182" t="s">
        <v>345</v>
      </c>
      <c r="E82" s="179">
        <v>3</v>
      </c>
      <c r="F82" s="179">
        <v>3000</v>
      </c>
      <c r="G82" s="184">
        <f t="shared" si="19"/>
        <v>1000</v>
      </c>
      <c r="H82" s="581"/>
      <c r="I82" s="185">
        <f t="shared" si="34"/>
        <v>3</v>
      </c>
      <c r="J82" s="185">
        <f t="shared" si="34"/>
        <v>2717.548821497784</v>
      </c>
      <c r="K82" s="186">
        <f t="shared" si="34"/>
        <v>905.84960716592775</v>
      </c>
      <c r="L82" s="582"/>
      <c r="M82" s="185">
        <f>RANK(K82, K$49:$K$85)</f>
        <v>14</v>
      </c>
      <c r="N82" s="585"/>
      <c r="O82" s="584"/>
      <c r="P82" s="187">
        <v>3</v>
      </c>
      <c r="Q82" s="187">
        <v>2717.4250361065106</v>
      </c>
      <c r="R82" s="184">
        <f t="shared" si="21"/>
        <v>905.80834536883685</v>
      </c>
      <c r="S82" s="181">
        <f t="shared" si="22"/>
        <v>14</v>
      </c>
      <c r="T82" s="579"/>
      <c r="U82" s="187">
        <v>3</v>
      </c>
      <c r="V82" s="187">
        <v>2718.9250361065101</v>
      </c>
      <c r="W82" s="184">
        <f t="shared" si="18"/>
        <v>906.30834536883674</v>
      </c>
      <c r="X82" s="181">
        <f t="shared" si="23"/>
        <v>12</v>
      </c>
      <c r="Y82" s="579"/>
      <c r="Z82" s="187">
        <v>3</v>
      </c>
      <c r="AA82" s="187">
        <v>2718.9250361065097</v>
      </c>
      <c r="AB82" s="184">
        <f t="shared" si="24"/>
        <v>906.30834536883651</v>
      </c>
      <c r="AC82" s="181">
        <f t="shared" si="25"/>
        <v>12</v>
      </c>
      <c r="AD82" s="579"/>
      <c r="AE82" s="187">
        <v>3</v>
      </c>
      <c r="AF82" s="187">
        <v>2717.7250361065098</v>
      </c>
      <c r="AG82" s="184">
        <f t="shared" si="26"/>
        <v>905.90834536883665</v>
      </c>
      <c r="AH82" s="181">
        <f t="shared" si="27"/>
        <v>13</v>
      </c>
      <c r="AI82" s="579"/>
      <c r="AJ82" s="187">
        <v>3</v>
      </c>
      <c r="AK82" s="187">
        <v>2716.52503610651</v>
      </c>
      <c r="AL82" s="184">
        <f t="shared" si="28"/>
        <v>905.50834536883667</v>
      </c>
      <c r="AM82" s="181">
        <f t="shared" si="29"/>
        <v>14</v>
      </c>
      <c r="AN82" s="579"/>
      <c r="AO82" s="187">
        <v>3</v>
      </c>
      <c r="AP82" s="187">
        <v>2716.2250361065098</v>
      </c>
      <c r="AQ82" s="184">
        <f t="shared" si="30"/>
        <v>905.40834536883665</v>
      </c>
      <c r="AR82" s="181">
        <f t="shared" si="31"/>
        <v>14</v>
      </c>
      <c r="AS82" s="579"/>
      <c r="AT82" s="187">
        <v>3</v>
      </c>
      <c r="AU82" s="187">
        <v>2717.0915338454242</v>
      </c>
      <c r="AV82" s="184">
        <f t="shared" si="32"/>
        <v>905.69717794847475</v>
      </c>
      <c r="AW82" s="181">
        <f t="shared" si="33"/>
        <v>14</v>
      </c>
      <c r="AX82" s="579"/>
    </row>
    <row r="83" spans="2:50" ht="14.25" customHeight="1">
      <c r="B83" s="580"/>
      <c r="C83" s="179">
        <v>35</v>
      </c>
      <c r="D83" s="182" t="s">
        <v>437</v>
      </c>
      <c r="E83" s="179">
        <v>12</v>
      </c>
      <c r="F83" s="179">
        <v>3600</v>
      </c>
      <c r="G83" s="184">
        <f t="shared" si="19"/>
        <v>300</v>
      </c>
      <c r="H83" s="581"/>
      <c r="I83" s="185">
        <f t="shared" si="34"/>
        <v>12</v>
      </c>
      <c r="J83" s="185">
        <f t="shared" si="34"/>
        <v>3120.7426992668366</v>
      </c>
      <c r="K83" s="186">
        <f t="shared" si="34"/>
        <v>260.06189160556971</v>
      </c>
      <c r="L83" s="582"/>
      <c r="M83" s="185">
        <f>RANK(K83, K$49:$K$85)</f>
        <v>33</v>
      </c>
      <c r="N83" s="585"/>
      <c r="O83" s="584"/>
      <c r="P83" s="187">
        <v>12</v>
      </c>
      <c r="Q83" s="187">
        <v>3119.9712706954078</v>
      </c>
      <c r="R83" s="184">
        <f t="shared" si="21"/>
        <v>259.99760589128397</v>
      </c>
      <c r="S83" s="181">
        <f t="shared" si="22"/>
        <v>33</v>
      </c>
      <c r="T83" s="579"/>
      <c r="U83" s="187">
        <v>12</v>
      </c>
      <c r="V83" s="187">
        <v>3120.3312706954075</v>
      </c>
      <c r="W83" s="184">
        <f t="shared" si="18"/>
        <v>260.02760589128394</v>
      </c>
      <c r="X83" s="181">
        <f t="shared" si="23"/>
        <v>33</v>
      </c>
      <c r="Y83" s="579"/>
      <c r="Z83" s="187">
        <v>12</v>
      </c>
      <c r="AA83" s="187">
        <v>3119.9712706954074</v>
      </c>
      <c r="AB83" s="184">
        <f t="shared" si="24"/>
        <v>259.99760589128397</v>
      </c>
      <c r="AC83" s="181">
        <f t="shared" si="25"/>
        <v>33</v>
      </c>
      <c r="AD83" s="579"/>
      <c r="AE83" s="187">
        <v>12</v>
      </c>
      <c r="AF83" s="187">
        <v>3121.0512706954078</v>
      </c>
      <c r="AG83" s="184">
        <f t="shared" si="26"/>
        <v>260.087605891284</v>
      </c>
      <c r="AH83" s="181">
        <f t="shared" si="27"/>
        <v>33</v>
      </c>
      <c r="AI83" s="579"/>
      <c r="AJ83" s="187">
        <v>12</v>
      </c>
      <c r="AK83" s="187">
        <v>3121.0512706954078</v>
      </c>
      <c r="AL83" s="184">
        <f t="shared" si="28"/>
        <v>260.087605891284</v>
      </c>
      <c r="AM83" s="181">
        <f t="shared" si="29"/>
        <v>33</v>
      </c>
      <c r="AN83" s="579"/>
      <c r="AO83" s="187">
        <v>12</v>
      </c>
      <c r="AP83" s="187">
        <v>3122.1312706954077</v>
      </c>
      <c r="AQ83" s="184">
        <f t="shared" si="30"/>
        <v>260.17760589128397</v>
      </c>
      <c r="AR83" s="181">
        <f t="shared" si="31"/>
        <v>33</v>
      </c>
      <c r="AS83" s="579"/>
      <c r="AT83" s="187">
        <v>12</v>
      </c>
      <c r="AU83" s="187">
        <v>3120.6912706954081</v>
      </c>
      <c r="AV83" s="184">
        <f t="shared" si="32"/>
        <v>260.05760589128403</v>
      </c>
      <c r="AW83" s="181">
        <f t="shared" si="33"/>
        <v>34</v>
      </c>
      <c r="AX83" s="579"/>
    </row>
    <row r="84" spans="2:50" ht="14.25" customHeight="1">
      <c r="B84" s="580"/>
      <c r="C84" s="179">
        <v>36</v>
      </c>
      <c r="D84" s="182"/>
      <c r="E84" s="179"/>
      <c r="F84" s="179"/>
      <c r="G84" s="184"/>
      <c r="H84" s="581"/>
      <c r="I84" s="185"/>
      <c r="J84" s="185"/>
      <c r="K84" s="186"/>
      <c r="L84" s="582"/>
      <c r="M84" s="185"/>
      <c r="N84" s="585"/>
      <c r="O84" s="584"/>
      <c r="P84" s="187"/>
      <c r="Q84" s="187"/>
      <c r="R84" s="184"/>
      <c r="S84" s="181"/>
      <c r="T84" s="579"/>
      <c r="U84" s="187"/>
      <c r="V84" s="187"/>
      <c r="W84" s="184"/>
      <c r="X84" s="181"/>
      <c r="Y84" s="579"/>
      <c r="Z84" s="187"/>
      <c r="AA84" s="187"/>
      <c r="AB84" s="184"/>
      <c r="AC84" s="181"/>
      <c r="AD84" s="579"/>
      <c r="AE84" s="187"/>
      <c r="AF84" s="187"/>
      <c r="AG84" s="184"/>
      <c r="AH84" s="181"/>
      <c r="AI84" s="579"/>
      <c r="AJ84" s="187"/>
      <c r="AK84" s="187"/>
      <c r="AL84" s="184"/>
      <c r="AM84" s="181"/>
      <c r="AN84" s="579"/>
      <c r="AO84" s="187"/>
      <c r="AP84" s="187"/>
      <c r="AQ84" s="184"/>
      <c r="AR84" s="181"/>
      <c r="AS84" s="579"/>
      <c r="AT84" s="187"/>
      <c r="AU84" s="187"/>
      <c r="AV84" s="184"/>
      <c r="AW84" s="181"/>
      <c r="AX84" s="579"/>
    </row>
    <row r="85" spans="2:50" ht="14.25" customHeight="1">
      <c r="B85" s="580"/>
      <c r="C85" s="179">
        <v>37</v>
      </c>
      <c r="D85" s="182"/>
      <c r="E85" s="179"/>
      <c r="F85" s="179"/>
      <c r="G85" s="184"/>
      <c r="H85" s="581"/>
      <c r="I85" s="185"/>
      <c r="J85" s="185"/>
      <c r="K85" s="186"/>
      <c r="L85" s="582"/>
      <c r="M85" s="185"/>
      <c r="N85" s="585"/>
      <c r="O85" s="584"/>
      <c r="P85" s="187"/>
      <c r="Q85" s="187"/>
      <c r="R85" s="184"/>
      <c r="S85" s="181"/>
      <c r="T85" s="579"/>
      <c r="U85" s="187"/>
      <c r="V85" s="187"/>
      <c r="W85" s="184"/>
      <c r="X85" s="181"/>
      <c r="Y85" s="579"/>
      <c r="Z85" s="187"/>
      <c r="AA85" s="187"/>
      <c r="AB85" s="184"/>
      <c r="AC85" s="181"/>
      <c r="AD85" s="579"/>
      <c r="AE85" s="187"/>
      <c r="AF85" s="187"/>
      <c r="AG85" s="184"/>
      <c r="AH85" s="181"/>
      <c r="AI85" s="579"/>
      <c r="AJ85" s="187"/>
      <c r="AK85" s="187"/>
      <c r="AL85" s="184"/>
      <c r="AM85" s="181"/>
      <c r="AN85" s="579"/>
      <c r="AO85" s="187"/>
      <c r="AP85" s="187"/>
      <c r="AQ85" s="184"/>
      <c r="AR85" s="181"/>
      <c r="AS85" s="579"/>
      <c r="AT85" s="187"/>
      <c r="AU85" s="187"/>
      <c r="AV85" s="184"/>
      <c r="AW85" s="181"/>
      <c r="AX85" s="579"/>
    </row>
  </sheetData>
  <mergeCells count="118">
    <mergeCell ref="AD49:AD85"/>
    <mergeCell ref="AI49:AI85"/>
    <mergeCell ref="AN49:AN85"/>
    <mergeCell ref="AS49:AS85"/>
    <mergeCell ref="AX49:AX85"/>
    <mergeCell ref="B49:B85"/>
    <mergeCell ref="H49:H85"/>
    <mergeCell ref="L49:L85"/>
    <mergeCell ref="T49:T85"/>
    <mergeCell ref="Y49:Y85"/>
    <mergeCell ref="N46:N85"/>
    <mergeCell ref="O46:O85"/>
    <mergeCell ref="P46:S46"/>
    <mergeCell ref="B46:B48"/>
    <mergeCell ref="C46:D48"/>
    <mergeCell ref="E46:G46"/>
    <mergeCell ref="H46:H48"/>
    <mergeCell ref="I46:K46"/>
    <mergeCell ref="AS46:AS48"/>
    <mergeCell ref="AT46:AW46"/>
    <mergeCell ref="AX46:AX48"/>
    <mergeCell ref="E47:G47"/>
    <mergeCell ref="I47:K47"/>
    <mergeCell ref="P47:S47"/>
    <mergeCell ref="U47:X47"/>
    <mergeCell ref="Z47:AC47"/>
    <mergeCell ref="AE47:AH47"/>
    <mergeCell ref="AJ47:AM47"/>
    <mergeCell ref="AO47:AR47"/>
    <mergeCell ref="AT47:AW47"/>
    <mergeCell ref="AE46:AH46"/>
    <mergeCell ref="AI46:AI48"/>
    <mergeCell ref="AJ46:AM46"/>
    <mergeCell ref="AN46:AN48"/>
    <mergeCell ref="AO46:AR46"/>
    <mergeCell ref="T46:T48"/>
    <mergeCell ref="U46:X46"/>
    <mergeCell ref="Y46:Y48"/>
    <mergeCell ref="Z46:AC46"/>
    <mergeCell ref="AD46:AD48"/>
    <mergeCell ref="L46:L48"/>
    <mergeCell ref="M46:M48"/>
    <mergeCell ref="B2:M3"/>
    <mergeCell ref="N2:N3"/>
    <mergeCell ref="O2:O3"/>
    <mergeCell ref="P2:T2"/>
    <mergeCell ref="U2:Y2"/>
    <mergeCell ref="Z2:AD2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X4:AX6"/>
    <mergeCell ref="B44:M45"/>
    <mergeCell ref="N44:N45"/>
    <mergeCell ref="O44:O45"/>
    <mergeCell ref="P44:T44"/>
    <mergeCell ref="U44:Y44"/>
    <mergeCell ref="P45:T45"/>
    <mergeCell ref="U45:Y45"/>
    <mergeCell ref="AE4:AH4"/>
    <mergeCell ref="Z45:AD45"/>
    <mergeCell ref="AE45:AI45"/>
    <mergeCell ref="AJ45:AN45"/>
    <mergeCell ref="AO45:AS45"/>
    <mergeCell ref="AT45:AX45"/>
    <mergeCell ref="Z44:AD44"/>
    <mergeCell ref="AE44:AI44"/>
    <mergeCell ref="AJ44:AN44"/>
    <mergeCell ref="AO44:AS44"/>
    <mergeCell ref="AT44:AX4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L4:L6"/>
    <mergeCell ref="M4:M6"/>
    <mergeCell ref="N4:N43"/>
    <mergeCell ref="O4:O43"/>
    <mergeCell ref="P4:S4"/>
    <mergeCell ref="AI4:AI6"/>
    <mergeCell ref="AJ4:AM4"/>
    <mergeCell ref="AN4:AN6"/>
    <mergeCell ref="AO4:AR4"/>
    <mergeCell ref="AS4:AS6"/>
    <mergeCell ref="I4:K4"/>
    <mergeCell ref="AT4:AW4"/>
    <mergeCell ref="AX7:AX43"/>
    <mergeCell ref="B7:B43"/>
    <mergeCell ref="H7:H43"/>
    <mergeCell ref="L7:L43"/>
    <mergeCell ref="T7:T43"/>
    <mergeCell ref="Y7:Y43"/>
    <mergeCell ref="AD7:AD43"/>
    <mergeCell ref="AI7:AI43"/>
    <mergeCell ref="AN7:AN43"/>
    <mergeCell ref="AS7:AS4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41"/>
  <sheetViews>
    <sheetView zoomScaleNormal="100" workbookViewId="0">
      <pane xSplit="13" ySplit="1" topLeftCell="N14" activePane="bottomRight" state="frozen"/>
      <selection activeCell="B1" sqref="B1"/>
      <selection pane="topRight" activeCell="B1" sqref="B1"/>
      <selection pane="bottomLeft" activeCell="B1" sqref="B1"/>
      <selection pane="bottomRight" activeCell="L27" sqref="L27:L4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68" t="s">
        <v>777</v>
      </c>
      <c r="C1" s="174">
        <f>AVERAGE(L7,L27)</f>
        <v>298.85363769822607</v>
      </c>
    </row>
    <row r="2" spans="1:50" ht="14.25" customHeight="1">
      <c r="B2" s="608" t="s">
        <v>742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10"/>
      <c r="N2" s="613" t="s">
        <v>363</v>
      </c>
      <c r="O2" s="600" t="s">
        <v>105</v>
      </c>
      <c r="P2" s="602">
        <v>46203</v>
      </c>
      <c r="Q2" s="603"/>
      <c r="R2" s="603"/>
      <c r="S2" s="603"/>
      <c r="T2" s="603"/>
      <c r="U2" s="594">
        <v>46204</v>
      </c>
      <c r="V2" s="595"/>
      <c r="W2" s="595"/>
      <c r="X2" s="595"/>
      <c r="Y2" s="595"/>
      <c r="Z2" s="602">
        <v>46205</v>
      </c>
      <c r="AA2" s="603"/>
      <c r="AB2" s="603"/>
      <c r="AC2" s="603"/>
      <c r="AD2" s="603"/>
      <c r="AE2" s="594">
        <v>46206</v>
      </c>
      <c r="AF2" s="595"/>
      <c r="AG2" s="595"/>
      <c r="AH2" s="595"/>
      <c r="AI2" s="595"/>
      <c r="AJ2" s="586">
        <v>46207</v>
      </c>
      <c r="AK2" s="587"/>
      <c r="AL2" s="587"/>
      <c r="AM2" s="587"/>
      <c r="AN2" s="588"/>
      <c r="AO2" s="594">
        <v>46208</v>
      </c>
      <c r="AP2" s="595"/>
      <c r="AQ2" s="595"/>
      <c r="AR2" s="595"/>
      <c r="AS2" s="595"/>
      <c r="AT2" s="586">
        <v>46209</v>
      </c>
      <c r="AU2" s="587"/>
      <c r="AV2" s="587"/>
      <c r="AW2" s="587"/>
      <c r="AX2" s="588"/>
    </row>
    <row r="3" spans="1:50" ht="14.25" customHeight="1"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2"/>
      <c r="N3" s="614"/>
      <c r="O3" s="601"/>
      <c r="P3" s="589">
        <v>46196</v>
      </c>
      <c r="Q3" s="589"/>
      <c r="R3" s="589"/>
      <c r="S3" s="589"/>
      <c r="T3" s="589"/>
      <c r="U3" s="590">
        <v>46197</v>
      </c>
      <c r="V3" s="590"/>
      <c r="W3" s="590"/>
      <c r="X3" s="590"/>
      <c r="Y3" s="590"/>
      <c r="Z3" s="589">
        <v>46198</v>
      </c>
      <c r="AA3" s="589"/>
      <c r="AB3" s="589"/>
      <c r="AC3" s="589"/>
      <c r="AD3" s="589"/>
      <c r="AE3" s="590">
        <v>46199</v>
      </c>
      <c r="AF3" s="590"/>
      <c r="AG3" s="590"/>
      <c r="AH3" s="590"/>
      <c r="AI3" s="590"/>
      <c r="AJ3" s="591">
        <v>46200</v>
      </c>
      <c r="AK3" s="592"/>
      <c r="AL3" s="592"/>
      <c r="AM3" s="592"/>
      <c r="AN3" s="593"/>
      <c r="AO3" s="590">
        <v>46201</v>
      </c>
      <c r="AP3" s="590"/>
      <c r="AQ3" s="590"/>
      <c r="AR3" s="590"/>
      <c r="AS3" s="590"/>
      <c r="AT3" s="591">
        <v>46202</v>
      </c>
      <c r="AU3" s="592"/>
      <c r="AV3" s="592"/>
      <c r="AW3" s="592"/>
      <c r="AX3" s="593"/>
    </row>
    <row r="4" spans="1:50" ht="14.25" customHeight="1">
      <c r="B4" s="580" t="s">
        <v>162</v>
      </c>
      <c r="C4" s="580" t="s">
        <v>157</v>
      </c>
      <c r="D4" s="580"/>
      <c r="E4" s="580" t="s">
        <v>158</v>
      </c>
      <c r="F4" s="580"/>
      <c r="G4" s="580"/>
      <c r="H4" s="580" t="s">
        <v>163</v>
      </c>
      <c r="I4" s="583" t="s">
        <v>364</v>
      </c>
      <c r="J4" s="583"/>
      <c r="K4" s="583"/>
      <c r="L4" s="583" t="s">
        <v>163</v>
      </c>
      <c r="M4" s="583" t="s">
        <v>165</v>
      </c>
      <c r="N4" s="580"/>
      <c r="O4" s="580" t="s">
        <v>164</v>
      </c>
      <c r="P4" s="580" t="s">
        <v>160</v>
      </c>
      <c r="Q4" s="580"/>
      <c r="R4" s="580"/>
      <c r="S4" s="580"/>
      <c r="T4" s="580" t="s">
        <v>163</v>
      </c>
      <c r="U4" s="580" t="s">
        <v>160</v>
      </c>
      <c r="V4" s="580"/>
      <c r="W4" s="580"/>
      <c r="X4" s="580"/>
      <c r="Y4" s="580" t="s">
        <v>163</v>
      </c>
      <c r="Z4" s="580" t="s">
        <v>160</v>
      </c>
      <c r="AA4" s="580"/>
      <c r="AB4" s="580"/>
      <c r="AC4" s="580"/>
      <c r="AD4" s="580" t="s">
        <v>163</v>
      </c>
      <c r="AE4" s="580" t="s">
        <v>160</v>
      </c>
      <c r="AF4" s="580"/>
      <c r="AG4" s="580"/>
      <c r="AH4" s="580"/>
      <c r="AI4" s="580" t="s">
        <v>163</v>
      </c>
      <c r="AJ4" s="580" t="s">
        <v>160</v>
      </c>
      <c r="AK4" s="580"/>
      <c r="AL4" s="580"/>
      <c r="AM4" s="580"/>
      <c r="AN4" s="580" t="s">
        <v>163</v>
      </c>
      <c r="AO4" s="580" t="s">
        <v>160</v>
      </c>
      <c r="AP4" s="580"/>
      <c r="AQ4" s="580"/>
      <c r="AR4" s="580"/>
      <c r="AS4" s="580" t="s">
        <v>163</v>
      </c>
      <c r="AT4" s="580" t="s">
        <v>160</v>
      </c>
      <c r="AU4" s="580"/>
      <c r="AV4" s="580"/>
      <c r="AW4" s="580"/>
      <c r="AX4" s="580" t="s">
        <v>163</v>
      </c>
    </row>
    <row r="5" spans="1:50" ht="14.25" customHeight="1">
      <c r="B5" s="580"/>
      <c r="C5" s="580"/>
      <c r="D5" s="580"/>
      <c r="E5" s="580" t="s">
        <v>365</v>
      </c>
      <c r="F5" s="580"/>
      <c r="G5" s="580"/>
      <c r="H5" s="580"/>
      <c r="I5" s="583" t="s">
        <v>365</v>
      </c>
      <c r="J5" s="583"/>
      <c r="K5" s="583"/>
      <c r="L5" s="583"/>
      <c r="M5" s="583"/>
      <c r="N5" s="580"/>
      <c r="O5" s="580"/>
      <c r="P5" s="580" t="s">
        <v>366</v>
      </c>
      <c r="Q5" s="580"/>
      <c r="R5" s="580"/>
      <c r="S5" s="580"/>
      <c r="T5" s="580"/>
      <c r="U5" s="580" t="s">
        <v>366</v>
      </c>
      <c r="V5" s="580"/>
      <c r="W5" s="580"/>
      <c r="X5" s="580"/>
      <c r="Y5" s="580"/>
      <c r="Z5" s="580" t="s">
        <v>366</v>
      </c>
      <c r="AA5" s="580"/>
      <c r="AB5" s="580"/>
      <c r="AC5" s="580"/>
      <c r="AD5" s="580"/>
      <c r="AE5" s="580" t="s">
        <v>366</v>
      </c>
      <c r="AF5" s="580"/>
      <c r="AG5" s="580"/>
      <c r="AH5" s="580"/>
      <c r="AI5" s="580"/>
      <c r="AJ5" s="580" t="s">
        <v>366</v>
      </c>
      <c r="AK5" s="580"/>
      <c r="AL5" s="580"/>
      <c r="AM5" s="580"/>
      <c r="AN5" s="580"/>
      <c r="AO5" s="580" t="s">
        <v>366</v>
      </c>
      <c r="AP5" s="580"/>
      <c r="AQ5" s="580"/>
      <c r="AR5" s="580"/>
      <c r="AS5" s="580"/>
      <c r="AT5" s="580" t="s">
        <v>366</v>
      </c>
      <c r="AU5" s="580"/>
      <c r="AV5" s="580"/>
      <c r="AW5" s="580"/>
      <c r="AX5" s="580"/>
    </row>
    <row r="6" spans="1:50" ht="14.25" customHeight="1">
      <c r="B6" s="580"/>
      <c r="C6" s="580"/>
      <c r="D6" s="580"/>
      <c r="E6" s="179" t="s">
        <v>159</v>
      </c>
      <c r="F6" s="179" t="s">
        <v>367</v>
      </c>
      <c r="G6" s="179" t="s">
        <v>161</v>
      </c>
      <c r="H6" s="580"/>
      <c r="I6" s="180" t="s">
        <v>159</v>
      </c>
      <c r="J6" s="180" t="s">
        <v>367</v>
      </c>
      <c r="K6" s="180" t="s">
        <v>161</v>
      </c>
      <c r="L6" s="583"/>
      <c r="M6" s="583"/>
      <c r="N6" s="580"/>
      <c r="O6" s="580"/>
      <c r="P6" s="179" t="s">
        <v>159</v>
      </c>
      <c r="Q6" s="179" t="s">
        <v>367</v>
      </c>
      <c r="R6" s="179" t="s">
        <v>161</v>
      </c>
      <c r="S6" s="181" t="s">
        <v>165</v>
      </c>
      <c r="T6" s="580"/>
      <c r="U6" s="179" t="s">
        <v>159</v>
      </c>
      <c r="V6" s="179" t="s">
        <v>367</v>
      </c>
      <c r="W6" s="179" t="s">
        <v>161</v>
      </c>
      <c r="X6" s="181" t="s">
        <v>165</v>
      </c>
      <c r="Y6" s="580"/>
      <c r="Z6" s="179" t="s">
        <v>159</v>
      </c>
      <c r="AA6" s="179" t="s">
        <v>367</v>
      </c>
      <c r="AB6" s="179" t="s">
        <v>161</v>
      </c>
      <c r="AC6" s="181" t="s">
        <v>165</v>
      </c>
      <c r="AD6" s="580"/>
      <c r="AE6" s="179" t="s">
        <v>159</v>
      </c>
      <c r="AF6" s="179" t="s">
        <v>367</v>
      </c>
      <c r="AG6" s="179" t="s">
        <v>161</v>
      </c>
      <c r="AH6" s="181" t="s">
        <v>165</v>
      </c>
      <c r="AI6" s="580"/>
      <c r="AJ6" s="179" t="s">
        <v>159</v>
      </c>
      <c r="AK6" s="179" t="s">
        <v>367</v>
      </c>
      <c r="AL6" s="179" t="s">
        <v>161</v>
      </c>
      <c r="AM6" s="181" t="s">
        <v>165</v>
      </c>
      <c r="AN6" s="580"/>
      <c r="AO6" s="179" t="s">
        <v>159</v>
      </c>
      <c r="AP6" s="179" t="s">
        <v>367</v>
      </c>
      <c r="AQ6" s="179" t="s">
        <v>161</v>
      </c>
      <c r="AR6" s="181" t="s">
        <v>165</v>
      </c>
      <c r="AS6" s="580"/>
      <c r="AT6" s="179" t="s">
        <v>159</v>
      </c>
      <c r="AU6" s="179" t="s">
        <v>367</v>
      </c>
      <c r="AV6" s="179" t="s">
        <v>161</v>
      </c>
      <c r="AW6" s="181" t="s">
        <v>165</v>
      </c>
      <c r="AX6" s="580"/>
    </row>
    <row r="7" spans="1:50" ht="14.25" customHeight="1">
      <c r="B7" s="580" t="s">
        <v>369</v>
      </c>
      <c r="C7" s="179">
        <v>1</v>
      </c>
      <c r="D7" s="182" t="s">
        <v>346</v>
      </c>
      <c r="E7" s="183">
        <v>10</v>
      </c>
      <c r="F7" s="179">
        <v>3600</v>
      </c>
      <c r="G7" s="184">
        <f>IFERROR(F7/E7,"")</f>
        <v>360</v>
      </c>
      <c r="H7" s="581">
        <f>AVERAGE(G7:G21)</f>
        <v>338.18181818181819</v>
      </c>
      <c r="I7" s="185">
        <f>AVERAGE(P7,U7,Z7,AE7,AJ7,AO7,AT7)</f>
        <v>10</v>
      </c>
      <c r="J7" s="185">
        <f>AVERAGE(Q7,V7,AA7,AF7,AK7,AP7,AU7)</f>
        <v>3214.6266940103314</v>
      </c>
      <c r="K7" s="186">
        <f>AVERAGE(R7,W7,AB7,AG7,AL7,AQ7,AV7)</f>
        <v>321.46266940103317</v>
      </c>
      <c r="L7" s="582">
        <f>IFERROR(AVERAGE(K7:K21),"-")</f>
        <v>298.7349159971597</v>
      </c>
      <c r="M7" s="185">
        <f>RANK(K7, K$7:$K$21)</f>
        <v>1</v>
      </c>
      <c r="N7" s="580"/>
      <c r="O7" s="580"/>
      <c r="P7" s="187">
        <v>10</v>
      </c>
      <c r="Q7" s="187">
        <v>3214.0095511531895</v>
      </c>
      <c r="R7" s="184">
        <f>IFERROR(Q7/P7,"")</f>
        <v>321.40095511531894</v>
      </c>
      <c r="S7" s="181">
        <f>RANK(R7, R$7:R$21)</f>
        <v>1</v>
      </c>
      <c r="T7" s="581">
        <f>AVERAGE(R7:R21)</f>
        <v>298.65610207937124</v>
      </c>
      <c r="U7" s="187">
        <v>10</v>
      </c>
      <c r="V7" s="187">
        <v>3214.7295511531888</v>
      </c>
      <c r="W7" s="184">
        <f t="shared" ref="W7:W9" si="0">IFERROR(V7/U7,"")</f>
        <v>321.47295511531888</v>
      </c>
      <c r="X7" s="181">
        <f>RANK(W7, W$7:W$21)</f>
        <v>1</v>
      </c>
      <c r="Y7" s="581">
        <f>AVERAGE(W7:W21)</f>
        <v>298.72373844300751</v>
      </c>
      <c r="Z7" s="187">
        <v>10</v>
      </c>
      <c r="AA7" s="187">
        <v>3214.0095511531886</v>
      </c>
      <c r="AB7" s="184">
        <f>IFERROR(AA7/Z7,"")</f>
        <v>321.40095511531888</v>
      </c>
      <c r="AC7" s="181">
        <f>RANK(AB7, AB$7:AB$21)</f>
        <v>1</v>
      </c>
      <c r="AD7" s="581">
        <f>AVERAGE(AB7:AB21)</f>
        <v>298.69973844300756</v>
      </c>
      <c r="AE7" s="187">
        <v>10</v>
      </c>
      <c r="AF7" s="187">
        <v>3215.089551153188</v>
      </c>
      <c r="AG7" s="184">
        <f>IFERROR(AF7/AE7,"")</f>
        <v>321.50895511531883</v>
      </c>
      <c r="AH7" s="181">
        <f>RANK(AG7, AG$7:AG$21)</f>
        <v>1</v>
      </c>
      <c r="AI7" s="581">
        <f>AVERAGE(AG7:AG21)</f>
        <v>298.77937480664383</v>
      </c>
      <c r="AJ7" s="187">
        <v>10</v>
      </c>
      <c r="AK7" s="187">
        <v>3215.089551153188</v>
      </c>
      <c r="AL7" s="184">
        <f>IFERROR(AK7/AJ7,"")</f>
        <v>321.50895511531883</v>
      </c>
      <c r="AM7" s="181">
        <f>RANK(AL7, AL$7:AL$21)</f>
        <v>1</v>
      </c>
      <c r="AN7" s="581">
        <f>AVERAGE(AL7:AL21)</f>
        <v>298.73573844300751</v>
      </c>
      <c r="AO7" s="187">
        <v>10</v>
      </c>
      <c r="AP7" s="187">
        <v>3215.4495511531882</v>
      </c>
      <c r="AQ7" s="184">
        <f>IFERROR(AP7/AO7,"")</f>
        <v>321.54495511531883</v>
      </c>
      <c r="AR7" s="181">
        <f>RANK(AQ7, AQ$7:AQ$21)</f>
        <v>1</v>
      </c>
      <c r="AS7" s="581">
        <f>AVERAGE(AQ7:AQ21)</f>
        <v>298.74773844300756</v>
      </c>
      <c r="AT7" s="187">
        <v>10</v>
      </c>
      <c r="AU7" s="187">
        <v>3214.009551153189</v>
      </c>
      <c r="AV7" s="184">
        <f>IFERROR(AU7/AT7,"")</f>
        <v>321.40095511531888</v>
      </c>
      <c r="AW7" s="181">
        <f>RANK(AV7, AV$7:AV$21)</f>
        <v>1</v>
      </c>
      <c r="AX7" s="581">
        <f>AVERAGE(AV7:AV21)</f>
        <v>298.80198132207244</v>
      </c>
    </row>
    <row r="8" spans="1:50" ht="14.25" customHeight="1">
      <c r="B8" s="580"/>
      <c r="C8" s="179">
        <v>2</v>
      </c>
      <c r="D8" s="182" t="s">
        <v>522</v>
      </c>
      <c r="E8" s="179">
        <v>11</v>
      </c>
      <c r="F8" s="179">
        <v>3600</v>
      </c>
      <c r="G8" s="184">
        <f t="shared" ref="G8:G9" si="1">IFERROR(F8/E8,"")</f>
        <v>327.27272727272725</v>
      </c>
      <c r="H8" s="581"/>
      <c r="I8" s="185">
        <f>AVERAGE(P8,U8,Z8,AE8,AJ8,AO8,AT8)</f>
        <v>11</v>
      </c>
      <c r="J8" s="185">
        <f t="shared" ref="J8:K9" si="2">AVERAGE(Q8,V8,AA8,AF8,AK8,AP8,AU8)</f>
        <v>3160.251814885316</v>
      </c>
      <c r="K8" s="186">
        <f t="shared" si="2"/>
        <v>287.29561953502878</v>
      </c>
      <c r="L8" s="582"/>
      <c r="M8" s="185">
        <f>RANK(K8, K$7:$K$21)</f>
        <v>3</v>
      </c>
      <c r="N8" s="580"/>
      <c r="O8" s="580"/>
      <c r="P8" s="187">
        <v>11</v>
      </c>
      <c r="Q8" s="187">
        <v>3159.2040984554387</v>
      </c>
      <c r="R8" s="184">
        <f t="shared" ref="R8:R9" si="3">IFERROR(Q8/P8,"")</f>
        <v>287.20037258685807</v>
      </c>
      <c r="S8" s="181">
        <f t="shared" ref="S8:S9" si="4">RANK(R8, R$7:R$21)</f>
        <v>3</v>
      </c>
      <c r="T8" s="581"/>
      <c r="U8" s="187">
        <v>11</v>
      </c>
      <c r="V8" s="187">
        <v>3160.6440984554388</v>
      </c>
      <c r="W8" s="184">
        <f t="shared" si="0"/>
        <v>287.33128167776715</v>
      </c>
      <c r="X8" s="181">
        <f t="shared" ref="X8:X9" si="5">RANK(W8, W$7:W$21)</f>
        <v>3</v>
      </c>
      <c r="Y8" s="581"/>
      <c r="Z8" s="187">
        <v>11</v>
      </c>
      <c r="AA8" s="187">
        <v>3160.6440984554383</v>
      </c>
      <c r="AB8" s="184">
        <f t="shared" ref="AB8:AB9" si="6">IFERROR(AA8/Z8,"")</f>
        <v>287.33128167776709</v>
      </c>
      <c r="AC8" s="181">
        <f t="shared" ref="AC8:AC9" si="7">RANK(AB8, AB$7:AB$21)</f>
        <v>3</v>
      </c>
      <c r="AD8" s="581"/>
      <c r="AE8" s="187">
        <v>11</v>
      </c>
      <c r="AF8" s="187">
        <v>3161.0040984554385</v>
      </c>
      <c r="AG8" s="184">
        <f t="shared" ref="AG8:AG9" si="8">IFERROR(AF8/AE8,"")</f>
        <v>287.36400895049439</v>
      </c>
      <c r="AH8" s="181">
        <f t="shared" ref="AH8:AH9" si="9">RANK(AG8, AG$7:AG$21)</f>
        <v>3</v>
      </c>
      <c r="AI8" s="581"/>
      <c r="AJ8" s="187">
        <v>11</v>
      </c>
      <c r="AK8" s="187">
        <v>3159.5640984554384</v>
      </c>
      <c r="AL8" s="184">
        <f t="shared" ref="AL8:AL9" si="10">IFERROR(AK8/AJ8,"")</f>
        <v>287.23309985958531</v>
      </c>
      <c r="AM8" s="181">
        <f t="shared" ref="AM8:AM9" si="11">RANK(AL8, AL$7:AL$21)</f>
        <v>3</v>
      </c>
      <c r="AN8" s="581"/>
      <c r="AO8" s="187">
        <v>11</v>
      </c>
      <c r="AP8" s="187">
        <v>3159.5640984554389</v>
      </c>
      <c r="AQ8" s="184">
        <f t="shared" ref="AQ8:AQ9" si="12">IFERROR(AP8/AO8,"")</f>
        <v>287.23309985958537</v>
      </c>
      <c r="AR8" s="181">
        <f t="shared" ref="AR8:AR9" si="13">RANK(AQ8, AQ$7:AQ$21)</f>
        <v>3</v>
      </c>
      <c r="AS8" s="581"/>
      <c r="AT8" s="187">
        <v>11</v>
      </c>
      <c r="AU8" s="187">
        <v>3161.1381134645817</v>
      </c>
      <c r="AV8" s="184">
        <f t="shared" ref="AV8:AV9" si="14">IFERROR(AU8/AT8,"")</f>
        <v>287.37619213314377</v>
      </c>
      <c r="AW8" s="181">
        <f t="shared" ref="AW8:AW9" si="15">RANK(AV8, AV$7:AV$21)</f>
        <v>3</v>
      </c>
      <c r="AX8" s="581"/>
    </row>
    <row r="9" spans="1:50" ht="14.25" customHeight="1">
      <c r="B9" s="580"/>
      <c r="C9" s="179">
        <v>3</v>
      </c>
      <c r="D9" s="182" t="s">
        <v>523</v>
      </c>
      <c r="E9" s="179">
        <v>11</v>
      </c>
      <c r="F9" s="179">
        <v>3600</v>
      </c>
      <c r="G9" s="184">
        <f t="shared" si="1"/>
        <v>327.27272727272725</v>
      </c>
      <c r="H9" s="581"/>
      <c r="I9" s="185">
        <f>AVERAGE(P9,U9,Z9,AE9,AJ9,AO9,AT9)</f>
        <v>11</v>
      </c>
      <c r="J9" s="185">
        <f t="shared" si="2"/>
        <v>3161.9110496095886</v>
      </c>
      <c r="K9" s="186">
        <f t="shared" si="2"/>
        <v>287.44645905541705</v>
      </c>
      <c r="L9" s="582"/>
      <c r="M9" s="185">
        <f>RANK(K9, K$7:$K$21)</f>
        <v>2</v>
      </c>
      <c r="N9" s="580"/>
      <c r="O9" s="580"/>
      <c r="P9" s="187">
        <v>11</v>
      </c>
      <c r="Q9" s="187">
        <v>3161.0367638953021</v>
      </c>
      <c r="R9" s="184">
        <f t="shared" si="3"/>
        <v>287.36697853593654</v>
      </c>
      <c r="S9" s="181">
        <f t="shared" si="4"/>
        <v>2</v>
      </c>
      <c r="T9" s="581"/>
      <c r="U9" s="187">
        <v>11</v>
      </c>
      <c r="V9" s="187">
        <v>3161.0367638953021</v>
      </c>
      <c r="W9" s="184">
        <f t="shared" si="0"/>
        <v>287.36697853593654</v>
      </c>
      <c r="X9" s="181">
        <f t="shared" si="5"/>
        <v>2</v>
      </c>
      <c r="Y9" s="581"/>
      <c r="Z9" s="187">
        <v>11</v>
      </c>
      <c r="AA9" s="187">
        <v>3161.0367638953026</v>
      </c>
      <c r="AB9" s="184">
        <f t="shared" si="6"/>
        <v>287.3669785359366</v>
      </c>
      <c r="AC9" s="181">
        <f t="shared" si="7"/>
        <v>2</v>
      </c>
      <c r="AD9" s="581"/>
      <c r="AE9" s="187">
        <v>11</v>
      </c>
      <c r="AF9" s="187">
        <v>3162.1167638953025</v>
      </c>
      <c r="AG9" s="184">
        <f t="shared" si="8"/>
        <v>287.46516035411838</v>
      </c>
      <c r="AH9" s="181">
        <f t="shared" si="9"/>
        <v>2</v>
      </c>
      <c r="AI9" s="581"/>
      <c r="AJ9" s="187">
        <v>11</v>
      </c>
      <c r="AK9" s="187">
        <v>3162.1167638953029</v>
      </c>
      <c r="AL9" s="184">
        <f t="shared" si="10"/>
        <v>287.46516035411844</v>
      </c>
      <c r="AM9" s="181">
        <f t="shared" si="11"/>
        <v>2</v>
      </c>
      <c r="AN9" s="581"/>
      <c r="AO9" s="187">
        <v>11</v>
      </c>
      <c r="AP9" s="187">
        <v>3162.1167638953029</v>
      </c>
      <c r="AQ9" s="184">
        <f t="shared" si="12"/>
        <v>287.46516035411844</v>
      </c>
      <c r="AR9" s="181">
        <f t="shared" si="13"/>
        <v>2</v>
      </c>
      <c r="AS9" s="581"/>
      <c r="AT9" s="187">
        <v>11</v>
      </c>
      <c r="AU9" s="187">
        <v>3163.9167638953031</v>
      </c>
      <c r="AV9" s="184">
        <f t="shared" si="14"/>
        <v>287.62879671775482</v>
      </c>
      <c r="AW9" s="181">
        <f t="shared" si="15"/>
        <v>2</v>
      </c>
      <c r="AX9" s="581"/>
    </row>
    <row r="10" spans="1:50" ht="14.25" customHeight="1">
      <c r="B10" s="580"/>
      <c r="C10" s="179">
        <v>4</v>
      </c>
      <c r="D10" s="182"/>
      <c r="E10" s="179"/>
      <c r="F10" s="179"/>
      <c r="G10" s="184"/>
      <c r="H10" s="581"/>
      <c r="I10" s="185"/>
      <c r="J10" s="185"/>
      <c r="K10" s="186"/>
      <c r="L10" s="582"/>
      <c r="M10" s="185"/>
      <c r="N10" s="580"/>
      <c r="O10" s="580"/>
      <c r="P10" s="187"/>
      <c r="Q10" s="187"/>
      <c r="R10" s="184"/>
      <c r="S10" s="181"/>
      <c r="T10" s="581"/>
      <c r="U10" s="187"/>
      <c r="V10" s="187"/>
      <c r="W10" s="184"/>
      <c r="X10" s="181"/>
      <c r="Y10" s="581"/>
      <c r="Z10" s="187"/>
      <c r="AA10" s="187"/>
      <c r="AB10" s="184"/>
      <c r="AC10" s="181"/>
      <c r="AD10" s="581"/>
      <c r="AE10" s="187"/>
      <c r="AF10" s="187"/>
      <c r="AG10" s="184"/>
      <c r="AH10" s="181"/>
      <c r="AI10" s="581"/>
      <c r="AJ10" s="187"/>
      <c r="AK10" s="187"/>
      <c r="AL10" s="184"/>
      <c r="AM10" s="181"/>
      <c r="AN10" s="581"/>
      <c r="AO10" s="187"/>
      <c r="AP10" s="187"/>
      <c r="AQ10" s="184"/>
      <c r="AR10" s="181"/>
      <c r="AS10" s="581"/>
      <c r="AT10" s="187"/>
      <c r="AU10" s="187"/>
      <c r="AV10" s="184"/>
      <c r="AW10" s="181"/>
      <c r="AX10" s="581"/>
    </row>
    <row r="11" spans="1:50" ht="14.25" customHeight="1">
      <c r="B11" s="580"/>
      <c r="C11" s="179">
        <v>5</v>
      </c>
      <c r="D11" s="182"/>
      <c r="E11" s="179"/>
      <c r="F11" s="179"/>
      <c r="G11" s="184"/>
      <c r="H11" s="581"/>
      <c r="I11" s="185"/>
      <c r="J11" s="185"/>
      <c r="K11" s="186"/>
      <c r="L11" s="582"/>
      <c r="M11" s="185"/>
      <c r="N11" s="580"/>
      <c r="O11" s="580"/>
      <c r="P11" s="187"/>
      <c r="Q11" s="187"/>
      <c r="R11" s="184"/>
      <c r="S11" s="181"/>
      <c r="T11" s="581"/>
      <c r="U11" s="187"/>
      <c r="V11" s="187"/>
      <c r="W11" s="184"/>
      <c r="X11" s="181"/>
      <c r="Y11" s="581"/>
      <c r="Z11" s="187"/>
      <c r="AA11" s="187"/>
      <c r="AB11" s="184"/>
      <c r="AC11" s="181"/>
      <c r="AD11" s="581"/>
      <c r="AE11" s="187"/>
      <c r="AF11" s="187"/>
      <c r="AG11" s="184"/>
      <c r="AH11" s="181"/>
      <c r="AI11" s="581"/>
      <c r="AJ11" s="187"/>
      <c r="AK11" s="187"/>
      <c r="AL11" s="184"/>
      <c r="AM11" s="181"/>
      <c r="AN11" s="581"/>
      <c r="AO11" s="187"/>
      <c r="AP11" s="187"/>
      <c r="AQ11" s="184"/>
      <c r="AR11" s="181"/>
      <c r="AS11" s="581"/>
      <c r="AT11" s="187"/>
      <c r="AU11" s="187"/>
      <c r="AV11" s="184"/>
      <c r="AW11" s="181"/>
      <c r="AX11" s="581"/>
    </row>
    <row r="12" spans="1:50" ht="14.25" customHeight="1">
      <c r="B12" s="580"/>
      <c r="C12" s="179">
        <v>6</v>
      </c>
      <c r="D12" s="182"/>
      <c r="E12" s="179"/>
      <c r="F12" s="179"/>
      <c r="G12" s="184"/>
      <c r="H12" s="581"/>
      <c r="I12" s="185"/>
      <c r="J12" s="185"/>
      <c r="K12" s="186"/>
      <c r="L12" s="582"/>
      <c r="M12" s="185"/>
      <c r="N12" s="580"/>
      <c r="O12" s="580"/>
      <c r="P12" s="187"/>
      <c r="Q12" s="187"/>
      <c r="R12" s="184"/>
      <c r="S12" s="181"/>
      <c r="T12" s="581"/>
      <c r="U12" s="187"/>
      <c r="V12" s="187"/>
      <c r="W12" s="184"/>
      <c r="X12" s="181"/>
      <c r="Y12" s="581"/>
      <c r="Z12" s="187"/>
      <c r="AA12" s="187"/>
      <c r="AB12" s="184"/>
      <c r="AC12" s="181"/>
      <c r="AD12" s="581"/>
      <c r="AE12" s="187"/>
      <c r="AF12" s="187"/>
      <c r="AG12" s="184"/>
      <c r="AH12" s="181"/>
      <c r="AI12" s="581"/>
      <c r="AJ12" s="187"/>
      <c r="AK12" s="187"/>
      <c r="AL12" s="184"/>
      <c r="AM12" s="181"/>
      <c r="AN12" s="581"/>
      <c r="AO12" s="187"/>
      <c r="AP12" s="187"/>
      <c r="AQ12" s="184"/>
      <c r="AR12" s="181"/>
      <c r="AS12" s="581"/>
      <c r="AT12" s="187"/>
      <c r="AU12" s="187"/>
      <c r="AV12" s="184"/>
      <c r="AW12" s="181"/>
      <c r="AX12" s="581"/>
    </row>
    <row r="13" spans="1:50" ht="14.25" customHeight="1">
      <c r="B13" s="580"/>
      <c r="C13" s="179">
        <v>7</v>
      </c>
      <c r="D13" s="182"/>
      <c r="E13" s="179"/>
      <c r="F13" s="179"/>
      <c r="G13" s="184"/>
      <c r="H13" s="581"/>
      <c r="I13" s="185"/>
      <c r="J13" s="185"/>
      <c r="K13" s="186"/>
      <c r="L13" s="582"/>
      <c r="M13" s="185"/>
      <c r="N13" s="580"/>
      <c r="O13" s="580"/>
      <c r="P13" s="187"/>
      <c r="Q13" s="187"/>
      <c r="R13" s="184"/>
      <c r="S13" s="181"/>
      <c r="T13" s="581"/>
      <c r="U13" s="187"/>
      <c r="V13" s="187"/>
      <c r="W13" s="184"/>
      <c r="X13" s="181"/>
      <c r="Y13" s="581"/>
      <c r="Z13" s="187"/>
      <c r="AA13" s="187"/>
      <c r="AB13" s="184"/>
      <c r="AC13" s="181"/>
      <c r="AD13" s="581"/>
      <c r="AE13" s="187"/>
      <c r="AF13" s="187"/>
      <c r="AG13" s="184"/>
      <c r="AH13" s="181"/>
      <c r="AI13" s="581"/>
      <c r="AJ13" s="187"/>
      <c r="AK13" s="187"/>
      <c r="AL13" s="184"/>
      <c r="AM13" s="181"/>
      <c r="AN13" s="581"/>
      <c r="AO13" s="187"/>
      <c r="AP13" s="187"/>
      <c r="AQ13" s="184"/>
      <c r="AR13" s="181"/>
      <c r="AS13" s="581"/>
      <c r="AT13" s="187"/>
      <c r="AU13" s="187"/>
      <c r="AV13" s="184"/>
      <c r="AW13" s="181"/>
      <c r="AX13" s="581"/>
    </row>
    <row r="14" spans="1:50" ht="14.25" customHeight="1">
      <c r="B14" s="580"/>
      <c r="C14" s="179">
        <v>8</v>
      </c>
      <c r="D14" s="182"/>
      <c r="E14" s="179"/>
      <c r="F14" s="179"/>
      <c r="G14" s="184"/>
      <c r="H14" s="581"/>
      <c r="I14" s="185"/>
      <c r="J14" s="185"/>
      <c r="K14" s="186"/>
      <c r="L14" s="582"/>
      <c r="M14" s="185"/>
      <c r="N14" s="580"/>
      <c r="O14" s="580"/>
      <c r="P14" s="187"/>
      <c r="Q14" s="187"/>
      <c r="R14" s="184"/>
      <c r="S14" s="181"/>
      <c r="T14" s="581"/>
      <c r="U14" s="187"/>
      <c r="V14" s="187"/>
      <c r="W14" s="184"/>
      <c r="X14" s="181"/>
      <c r="Y14" s="581"/>
      <c r="Z14" s="187"/>
      <c r="AA14" s="187"/>
      <c r="AB14" s="184"/>
      <c r="AC14" s="181"/>
      <c r="AD14" s="581"/>
      <c r="AE14" s="187"/>
      <c r="AF14" s="187"/>
      <c r="AG14" s="184"/>
      <c r="AH14" s="181"/>
      <c r="AI14" s="581"/>
      <c r="AJ14" s="187"/>
      <c r="AK14" s="187"/>
      <c r="AL14" s="184"/>
      <c r="AM14" s="181"/>
      <c r="AN14" s="581"/>
      <c r="AO14" s="187"/>
      <c r="AP14" s="187"/>
      <c r="AQ14" s="184"/>
      <c r="AR14" s="181"/>
      <c r="AS14" s="581"/>
      <c r="AT14" s="187"/>
      <c r="AU14" s="187"/>
      <c r="AV14" s="184"/>
      <c r="AW14" s="181"/>
      <c r="AX14" s="581"/>
    </row>
    <row r="15" spans="1:50" ht="14.25" customHeight="1">
      <c r="B15" s="580"/>
      <c r="C15" s="179">
        <v>9</v>
      </c>
      <c r="D15" s="182"/>
      <c r="E15" s="179"/>
      <c r="F15" s="179"/>
      <c r="G15" s="184"/>
      <c r="H15" s="581"/>
      <c r="I15" s="185"/>
      <c r="J15" s="185"/>
      <c r="K15" s="186"/>
      <c r="L15" s="582"/>
      <c r="M15" s="185"/>
      <c r="N15" s="580"/>
      <c r="O15" s="580"/>
      <c r="P15" s="187"/>
      <c r="Q15" s="187"/>
      <c r="R15" s="184"/>
      <c r="S15" s="181"/>
      <c r="T15" s="581"/>
      <c r="U15" s="187"/>
      <c r="V15" s="187"/>
      <c r="W15" s="184"/>
      <c r="X15" s="181"/>
      <c r="Y15" s="581"/>
      <c r="Z15" s="187"/>
      <c r="AA15" s="187"/>
      <c r="AB15" s="184"/>
      <c r="AC15" s="181"/>
      <c r="AD15" s="581"/>
      <c r="AE15" s="187"/>
      <c r="AF15" s="187"/>
      <c r="AG15" s="184"/>
      <c r="AH15" s="181"/>
      <c r="AI15" s="581"/>
      <c r="AJ15" s="187"/>
      <c r="AK15" s="187"/>
      <c r="AL15" s="184"/>
      <c r="AM15" s="181"/>
      <c r="AN15" s="581"/>
      <c r="AO15" s="187"/>
      <c r="AP15" s="187"/>
      <c r="AQ15" s="184"/>
      <c r="AR15" s="181"/>
      <c r="AS15" s="581"/>
      <c r="AT15" s="187"/>
      <c r="AU15" s="187"/>
      <c r="AV15" s="184"/>
      <c r="AW15" s="181"/>
      <c r="AX15" s="581"/>
    </row>
    <row r="16" spans="1:50" ht="14.25" customHeight="1">
      <c r="B16" s="580"/>
      <c r="C16" s="179">
        <v>10</v>
      </c>
      <c r="D16" s="182"/>
      <c r="E16" s="179"/>
      <c r="F16" s="179"/>
      <c r="G16" s="184"/>
      <c r="H16" s="581"/>
      <c r="I16" s="185"/>
      <c r="J16" s="185"/>
      <c r="K16" s="186"/>
      <c r="L16" s="582"/>
      <c r="M16" s="185"/>
      <c r="N16" s="580"/>
      <c r="O16" s="580"/>
      <c r="P16" s="187"/>
      <c r="Q16" s="187"/>
      <c r="R16" s="184"/>
      <c r="S16" s="181"/>
      <c r="T16" s="581"/>
      <c r="U16" s="187"/>
      <c r="V16" s="187"/>
      <c r="W16" s="184"/>
      <c r="X16" s="181"/>
      <c r="Y16" s="581"/>
      <c r="Z16" s="187"/>
      <c r="AA16" s="187"/>
      <c r="AB16" s="184"/>
      <c r="AC16" s="181"/>
      <c r="AD16" s="581"/>
      <c r="AE16" s="187"/>
      <c r="AF16" s="187"/>
      <c r="AG16" s="184"/>
      <c r="AH16" s="181"/>
      <c r="AI16" s="581"/>
      <c r="AJ16" s="187"/>
      <c r="AK16" s="187"/>
      <c r="AL16" s="184"/>
      <c r="AM16" s="181"/>
      <c r="AN16" s="581"/>
      <c r="AO16" s="187"/>
      <c r="AP16" s="187"/>
      <c r="AQ16" s="184"/>
      <c r="AR16" s="181"/>
      <c r="AS16" s="581"/>
      <c r="AT16" s="187"/>
      <c r="AU16" s="187"/>
      <c r="AV16" s="184"/>
      <c r="AW16" s="181"/>
      <c r="AX16" s="581"/>
    </row>
    <row r="17" spans="2:50" ht="14.25" customHeight="1">
      <c r="B17" s="580"/>
      <c r="C17" s="179">
        <v>11</v>
      </c>
      <c r="D17" s="182"/>
      <c r="E17" s="179"/>
      <c r="F17" s="179"/>
      <c r="G17" s="184"/>
      <c r="H17" s="581"/>
      <c r="I17" s="185"/>
      <c r="J17" s="185"/>
      <c r="K17" s="186"/>
      <c r="L17" s="582"/>
      <c r="M17" s="185"/>
      <c r="N17" s="580"/>
      <c r="O17" s="580"/>
      <c r="P17" s="187"/>
      <c r="Q17" s="187"/>
      <c r="R17" s="184"/>
      <c r="S17" s="181"/>
      <c r="T17" s="581"/>
      <c r="U17" s="187"/>
      <c r="V17" s="187"/>
      <c r="W17" s="184"/>
      <c r="X17" s="181"/>
      <c r="Y17" s="581"/>
      <c r="Z17" s="187"/>
      <c r="AA17" s="187"/>
      <c r="AB17" s="184"/>
      <c r="AC17" s="181"/>
      <c r="AD17" s="581"/>
      <c r="AE17" s="187"/>
      <c r="AF17" s="187"/>
      <c r="AG17" s="184"/>
      <c r="AH17" s="181"/>
      <c r="AI17" s="581"/>
      <c r="AJ17" s="187"/>
      <c r="AK17" s="187"/>
      <c r="AL17" s="184"/>
      <c r="AM17" s="181"/>
      <c r="AN17" s="581"/>
      <c r="AO17" s="187"/>
      <c r="AP17" s="187"/>
      <c r="AQ17" s="184"/>
      <c r="AR17" s="181"/>
      <c r="AS17" s="581"/>
      <c r="AT17" s="187"/>
      <c r="AU17" s="187"/>
      <c r="AV17" s="184"/>
      <c r="AW17" s="181"/>
      <c r="AX17" s="581"/>
    </row>
    <row r="18" spans="2:50" ht="14.25" customHeight="1">
      <c r="B18" s="580"/>
      <c r="C18" s="179">
        <v>12</v>
      </c>
      <c r="D18" s="182"/>
      <c r="E18" s="179"/>
      <c r="F18" s="179"/>
      <c r="G18" s="184"/>
      <c r="H18" s="581"/>
      <c r="I18" s="185"/>
      <c r="J18" s="185"/>
      <c r="K18" s="186"/>
      <c r="L18" s="582"/>
      <c r="M18" s="185"/>
      <c r="N18" s="580"/>
      <c r="O18" s="580"/>
      <c r="P18" s="187"/>
      <c r="Q18" s="187"/>
      <c r="R18" s="184"/>
      <c r="S18" s="181"/>
      <c r="T18" s="581"/>
      <c r="U18" s="187"/>
      <c r="V18" s="187"/>
      <c r="W18" s="184"/>
      <c r="X18" s="181"/>
      <c r="Y18" s="581"/>
      <c r="Z18" s="187"/>
      <c r="AA18" s="187"/>
      <c r="AB18" s="184"/>
      <c r="AC18" s="181"/>
      <c r="AD18" s="581"/>
      <c r="AE18" s="187"/>
      <c r="AF18" s="187"/>
      <c r="AG18" s="184"/>
      <c r="AH18" s="181"/>
      <c r="AI18" s="581"/>
      <c r="AJ18" s="187"/>
      <c r="AK18" s="187"/>
      <c r="AL18" s="184"/>
      <c r="AM18" s="181"/>
      <c r="AN18" s="581"/>
      <c r="AO18" s="187"/>
      <c r="AP18" s="187"/>
      <c r="AQ18" s="184"/>
      <c r="AR18" s="181"/>
      <c r="AS18" s="581"/>
      <c r="AT18" s="187"/>
      <c r="AU18" s="187"/>
      <c r="AV18" s="184"/>
      <c r="AW18" s="181"/>
      <c r="AX18" s="581"/>
    </row>
    <row r="19" spans="2:50" ht="14.25" customHeight="1">
      <c r="B19" s="580"/>
      <c r="C19" s="179">
        <v>13</v>
      </c>
      <c r="D19" s="182"/>
      <c r="E19" s="179"/>
      <c r="F19" s="179"/>
      <c r="G19" s="184"/>
      <c r="H19" s="581"/>
      <c r="I19" s="185"/>
      <c r="J19" s="185"/>
      <c r="K19" s="186"/>
      <c r="L19" s="582"/>
      <c r="M19" s="185"/>
      <c r="N19" s="580"/>
      <c r="O19" s="580"/>
      <c r="P19" s="187"/>
      <c r="Q19" s="187"/>
      <c r="R19" s="184"/>
      <c r="S19" s="181"/>
      <c r="T19" s="581"/>
      <c r="U19" s="187"/>
      <c r="V19" s="187"/>
      <c r="W19" s="184"/>
      <c r="X19" s="181"/>
      <c r="Y19" s="581"/>
      <c r="Z19" s="187"/>
      <c r="AA19" s="187"/>
      <c r="AB19" s="184"/>
      <c r="AC19" s="181"/>
      <c r="AD19" s="581"/>
      <c r="AE19" s="187"/>
      <c r="AF19" s="187"/>
      <c r="AG19" s="184"/>
      <c r="AH19" s="181"/>
      <c r="AI19" s="581"/>
      <c r="AJ19" s="187"/>
      <c r="AK19" s="187"/>
      <c r="AL19" s="184"/>
      <c r="AM19" s="181"/>
      <c r="AN19" s="581"/>
      <c r="AO19" s="187"/>
      <c r="AP19" s="187"/>
      <c r="AQ19" s="184"/>
      <c r="AR19" s="181"/>
      <c r="AS19" s="581"/>
      <c r="AT19" s="187"/>
      <c r="AU19" s="187"/>
      <c r="AV19" s="184"/>
      <c r="AW19" s="181"/>
      <c r="AX19" s="581"/>
    </row>
    <row r="20" spans="2:50" ht="14.25" customHeight="1">
      <c r="B20" s="580"/>
      <c r="C20" s="179">
        <v>14</v>
      </c>
      <c r="D20" s="182"/>
      <c r="E20" s="179"/>
      <c r="F20" s="179"/>
      <c r="G20" s="184"/>
      <c r="H20" s="581"/>
      <c r="I20" s="185"/>
      <c r="J20" s="185"/>
      <c r="K20" s="186"/>
      <c r="L20" s="582"/>
      <c r="M20" s="185"/>
      <c r="N20" s="580"/>
      <c r="O20" s="580"/>
      <c r="P20" s="187"/>
      <c r="Q20" s="187"/>
      <c r="R20" s="184"/>
      <c r="S20" s="181"/>
      <c r="T20" s="581"/>
      <c r="U20" s="187"/>
      <c r="V20" s="187"/>
      <c r="W20" s="184"/>
      <c r="X20" s="181"/>
      <c r="Y20" s="581"/>
      <c r="Z20" s="187"/>
      <c r="AA20" s="187"/>
      <c r="AB20" s="184"/>
      <c r="AC20" s="181"/>
      <c r="AD20" s="581"/>
      <c r="AE20" s="187"/>
      <c r="AF20" s="187"/>
      <c r="AG20" s="184"/>
      <c r="AH20" s="181"/>
      <c r="AI20" s="581"/>
      <c r="AJ20" s="187"/>
      <c r="AK20" s="187"/>
      <c r="AL20" s="184"/>
      <c r="AM20" s="181"/>
      <c r="AN20" s="581"/>
      <c r="AO20" s="187"/>
      <c r="AP20" s="187"/>
      <c r="AQ20" s="184"/>
      <c r="AR20" s="181"/>
      <c r="AS20" s="581"/>
      <c r="AT20" s="187"/>
      <c r="AU20" s="187"/>
      <c r="AV20" s="184"/>
      <c r="AW20" s="181"/>
      <c r="AX20" s="581"/>
    </row>
    <row r="21" spans="2:50" ht="14.25" customHeight="1">
      <c r="B21" s="580"/>
      <c r="C21" s="179">
        <v>15</v>
      </c>
      <c r="D21" s="182"/>
      <c r="E21" s="179"/>
      <c r="F21" s="179"/>
      <c r="G21" s="184"/>
      <c r="H21" s="581"/>
      <c r="I21" s="185"/>
      <c r="J21" s="185"/>
      <c r="K21" s="186"/>
      <c r="L21" s="582"/>
      <c r="M21" s="185"/>
      <c r="N21" s="580"/>
      <c r="O21" s="580"/>
      <c r="P21" s="187"/>
      <c r="Q21" s="187"/>
      <c r="R21" s="184"/>
      <c r="S21" s="181"/>
      <c r="T21" s="581"/>
      <c r="U21" s="187"/>
      <c r="V21" s="187"/>
      <c r="W21" s="184"/>
      <c r="X21" s="181"/>
      <c r="Y21" s="581"/>
      <c r="Z21" s="187"/>
      <c r="AA21" s="187"/>
      <c r="AB21" s="184"/>
      <c r="AC21" s="181"/>
      <c r="AD21" s="581"/>
      <c r="AE21" s="187"/>
      <c r="AF21" s="187"/>
      <c r="AG21" s="184"/>
      <c r="AH21" s="181"/>
      <c r="AI21" s="581"/>
      <c r="AJ21" s="187"/>
      <c r="AK21" s="187"/>
      <c r="AL21" s="184"/>
      <c r="AM21" s="181"/>
      <c r="AN21" s="581"/>
      <c r="AO21" s="187"/>
      <c r="AP21" s="187"/>
      <c r="AQ21" s="184"/>
      <c r="AR21" s="181"/>
      <c r="AS21" s="581"/>
      <c r="AT21" s="187"/>
      <c r="AU21" s="187"/>
      <c r="AV21" s="184"/>
      <c r="AW21" s="181"/>
      <c r="AX21" s="581"/>
    </row>
    <row r="22" spans="2:50" ht="14.25" customHeight="1">
      <c r="B22" s="608" t="s">
        <v>807</v>
      </c>
      <c r="C22" s="609"/>
      <c r="D22" s="609"/>
      <c r="E22" s="609"/>
      <c r="F22" s="609"/>
      <c r="G22" s="609"/>
      <c r="H22" s="609"/>
      <c r="I22" s="609"/>
      <c r="J22" s="609"/>
      <c r="K22" s="609"/>
      <c r="L22" s="609"/>
      <c r="M22" s="610"/>
      <c r="N22" s="613" t="s">
        <v>363</v>
      </c>
      <c r="O22" s="613" t="s">
        <v>105</v>
      </c>
      <c r="P22" s="602">
        <v>46210</v>
      </c>
      <c r="Q22" s="603"/>
      <c r="R22" s="603"/>
      <c r="S22" s="603"/>
      <c r="T22" s="603"/>
      <c r="U22" s="594">
        <v>46211</v>
      </c>
      <c r="V22" s="595"/>
      <c r="W22" s="595"/>
      <c r="X22" s="595"/>
      <c r="Y22" s="595"/>
      <c r="Z22" s="602">
        <v>46212</v>
      </c>
      <c r="AA22" s="603"/>
      <c r="AB22" s="603"/>
      <c r="AC22" s="603"/>
      <c r="AD22" s="603"/>
      <c r="AE22" s="594">
        <v>46213</v>
      </c>
      <c r="AF22" s="595"/>
      <c r="AG22" s="595"/>
      <c r="AH22" s="595"/>
      <c r="AI22" s="595"/>
      <c r="AJ22" s="586">
        <v>46214</v>
      </c>
      <c r="AK22" s="587"/>
      <c r="AL22" s="587"/>
      <c r="AM22" s="587"/>
      <c r="AN22" s="588"/>
      <c r="AO22" s="594">
        <v>46215</v>
      </c>
      <c r="AP22" s="595"/>
      <c r="AQ22" s="595"/>
      <c r="AR22" s="595"/>
      <c r="AS22" s="595"/>
      <c r="AT22" s="586">
        <v>46216</v>
      </c>
      <c r="AU22" s="587"/>
      <c r="AV22" s="587"/>
      <c r="AW22" s="587"/>
      <c r="AX22" s="588"/>
    </row>
    <row r="23" spans="2:50" ht="14.25" customHeight="1">
      <c r="B23" s="611"/>
      <c r="C23" s="611"/>
      <c r="D23" s="611"/>
      <c r="E23" s="611"/>
      <c r="F23" s="611"/>
      <c r="G23" s="611"/>
      <c r="H23" s="611"/>
      <c r="I23" s="611"/>
      <c r="J23" s="611"/>
      <c r="K23" s="611"/>
      <c r="L23" s="611"/>
      <c r="M23" s="612"/>
      <c r="N23" s="614"/>
      <c r="O23" s="614"/>
      <c r="P23" s="589">
        <v>46196</v>
      </c>
      <c r="Q23" s="589"/>
      <c r="R23" s="589"/>
      <c r="S23" s="589"/>
      <c r="T23" s="589"/>
      <c r="U23" s="590">
        <v>46197</v>
      </c>
      <c r="V23" s="590"/>
      <c r="W23" s="590"/>
      <c r="X23" s="590"/>
      <c r="Y23" s="590"/>
      <c r="Z23" s="589">
        <v>46198</v>
      </c>
      <c r="AA23" s="589"/>
      <c r="AB23" s="589"/>
      <c r="AC23" s="589"/>
      <c r="AD23" s="589"/>
      <c r="AE23" s="590">
        <v>46199</v>
      </c>
      <c r="AF23" s="590"/>
      <c r="AG23" s="590"/>
      <c r="AH23" s="590"/>
      <c r="AI23" s="590"/>
      <c r="AJ23" s="591">
        <v>46200</v>
      </c>
      <c r="AK23" s="592"/>
      <c r="AL23" s="592"/>
      <c r="AM23" s="592"/>
      <c r="AN23" s="593"/>
      <c r="AO23" s="590">
        <v>46201</v>
      </c>
      <c r="AP23" s="590"/>
      <c r="AQ23" s="590"/>
      <c r="AR23" s="590"/>
      <c r="AS23" s="590"/>
      <c r="AT23" s="591">
        <v>46202</v>
      </c>
      <c r="AU23" s="592"/>
      <c r="AV23" s="592"/>
      <c r="AW23" s="592"/>
      <c r="AX23" s="593"/>
    </row>
    <row r="24" spans="2:50" ht="14.25" customHeight="1">
      <c r="B24" s="580" t="s">
        <v>162</v>
      </c>
      <c r="C24" s="580" t="s">
        <v>157</v>
      </c>
      <c r="D24" s="580"/>
      <c r="E24" s="580" t="s">
        <v>158</v>
      </c>
      <c r="F24" s="580"/>
      <c r="G24" s="580"/>
      <c r="H24" s="580" t="s">
        <v>163</v>
      </c>
      <c r="I24" s="583" t="s">
        <v>364</v>
      </c>
      <c r="J24" s="583"/>
      <c r="K24" s="583"/>
      <c r="L24" s="583" t="s">
        <v>163</v>
      </c>
      <c r="M24" s="583" t="s">
        <v>165</v>
      </c>
      <c r="N24" s="580"/>
      <c r="O24" s="580" t="s">
        <v>164</v>
      </c>
      <c r="P24" s="580" t="s">
        <v>160</v>
      </c>
      <c r="Q24" s="580"/>
      <c r="R24" s="580"/>
      <c r="S24" s="580"/>
      <c r="T24" s="580" t="s">
        <v>163</v>
      </c>
      <c r="U24" s="580" t="s">
        <v>160</v>
      </c>
      <c r="V24" s="580"/>
      <c r="W24" s="580"/>
      <c r="X24" s="580"/>
      <c r="Y24" s="580" t="s">
        <v>163</v>
      </c>
      <c r="Z24" s="580" t="s">
        <v>160</v>
      </c>
      <c r="AA24" s="580"/>
      <c r="AB24" s="580"/>
      <c r="AC24" s="580"/>
      <c r="AD24" s="580" t="s">
        <v>163</v>
      </c>
      <c r="AE24" s="580" t="s">
        <v>160</v>
      </c>
      <c r="AF24" s="580"/>
      <c r="AG24" s="580"/>
      <c r="AH24" s="580"/>
      <c r="AI24" s="580" t="s">
        <v>163</v>
      </c>
      <c r="AJ24" s="580" t="s">
        <v>160</v>
      </c>
      <c r="AK24" s="580"/>
      <c r="AL24" s="580"/>
      <c r="AM24" s="580"/>
      <c r="AN24" s="580" t="s">
        <v>163</v>
      </c>
      <c r="AO24" s="580" t="s">
        <v>160</v>
      </c>
      <c r="AP24" s="580"/>
      <c r="AQ24" s="580"/>
      <c r="AR24" s="580"/>
      <c r="AS24" s="580" t="s">
        <v>163</v>
      </c>
      <c r="AT24" s="580" t="s">
        <v>160</v>
      </c>
      <c r="AU24" s="580"/>
      <c r="AV24" s="580"/>
      <c r="AW24" s="580"/>
      <c r="AX24" s="580" t="s">
        <v>163</v>
      </c>
    </row>
    <row r="25" spans="2:50" ht="14.25" customHeight="1">
      <c r="B25" s="580"/>
      <c r="C25" s="580"/>
      <c r="D25" s="580"/>
      <c r="E25" s="580" t="s">
        <v>365</v>
      </c>
      <c r="F25" s="580"/>
      <c r="G25" s="580"/>
      <c r="H25" s="580"/>
      <c r="I25" s="583" t="s">
        <v>365</v>
      </c>
      <c r="J25" s="583"/>
      <c r="K25" s="583"/>
      <c r="L25" s="583"/>
      <c r="M25" s="583"/>
      <c r="N25" s="580"/>
      <c r="O25" s="580"/>
      <c r="P25" s="580" t="s">
        <v>366</v>
      </c>
      <c r="Q25" s="580"/>
      <c r="R25" s="580"/>
      <c r="S25" s="580"/>
      <c r="T25" s="580"/>
      <c r="U25" s="580" t="s">
        <v>366</v>
      </c>
      <c r="V25" s="580"/>
      <c r="W25" s="580"/>
      <c r="X25" s="580"/>
      <c r="Y25" s="580"/>
      <c r="Z25" s="580" t="s">
        <v>366</v>
      </c>
      <c r="AA25" s="580"/>
      <c r="AB25" s="580"/>
      <c r="AC25" s="580"/>
      <c r="AD25" s="580"/>
      <c r="AE25" s="580" t="s">
        <v>366</v>
      </c>
      <c r="AF25" s="580"/>
      <c r="AG25" s="580"/>
      <c r="AH25" s="580"/>
      <c r="AI25" s="580"/>
      <c r="AJ25" s="580" t="s">
        <v>366</v>
      </c>
      <c r="AK25" s="580"/>
      <c r="AL25" s="580"/>
      <c r="AM25" s="580"/>
      <c r="AN25" s="580"/>
      <c r="AO25" s="580" t="s">
        <v>366</v>
      </c>
      <c r="AP25" s="580"/>
      <c r="AQ25" s="580"/>
      <c r="AR25" s="580"/>
      <c r="AS25" s="580"/>
      <c r="AT25" s="580" t="s">
        <v>366</v>
      </c>
      <c r="AU25" s="580"/>
      <c r="AV25" s="580"/>
      <c r="AW25" s="580"/>
      <c r="AX25" s="580"/>
    </row>
    <row r="26" spans="2:50" ht="14.25" customHeight="1">
      <c r="B26" s="580"/>
      <c r="C26" s="580"/>
      <c r="D26" s="580"/>
      <c r="E26" s="179" t="s">
        <v>159</v>
      </c>
      <c r="F26" s="179" t="s">
        <v>367</v>
      </c>
      <c r="G26" s="179" t="s">
        <v>161</v>
      </c>
      <c r="H26" s="580"/>
      <c r="I26" s="180" t="s">
        <v>159</v>
      </c>
      <c r="J26" s="180" t="s">
        <v>367</v>
      </c>
      <c r="K26" s="180" t="s">
        <v>161</v>
      </c>
      <c r="L26" s="583"/>
      <c r="M26" s="583"/>
      <c r="N26" s="580"/>
      <c r="O26" s="580"/>
      <c r="P26" s="179" t="s">
        <v>159</v>
      </c>
      <c r="Q26" s="179" t="s">
        <v>367</v>
      </c>
      <c r="R26" s="179" t="s">
        <v>161</v>
      </c>
      <c r="S26" s="181" t="s">
        <v>165</v>
      </c>
      <c r="T26" s="580"/>
      <c r="U26" s="179" t="s">
        <v>159</v>
      </c>
      <c r="V26" s="179" t="s">
        <v>367</v>
      </c>
      <c r="W26" s="179" t="s">
        <v>161</v>
      </c>
      <c r="X26" s="181" t="s">
        <v>165</v>
      </c>
      <c r="Y26" s="580"/>
      <c r="Z26" s="179" t="s">
        <v>159</v>
      </c>
      <c r="AA26" s="179" t="s">
        <v>367</v>
      </c>
      <c r="AB26" s="179" t="s">
        <v>161</v>
      </c>
      <c r="AC26" s="181" t="s">
        <v>165</v>
      </c>
      <c r="AD26" s="580"/>
      <c r="AE26" s="179" t="s">
        <v>159</v>
      </c>
      <c r="AF26" s="179" t="s">
        <v>367</v>
      </c>
      <c r="AG26" s="179" t="s">
        <v>161</v>
      </c>
      <c r="AH26" s="181" t="s">
        <v>165</v>
      </c>
      <c r="AI26" s="580"/>
      <c r="AJ26" s="179" t="s">
        <v>159</v>
      </c>
      <c r="AK26" s="179" t="s">
        <v>367</v>
      </c>
      <c r="AL26" s="179" t="s">
        <v>161</v>
      </c>
      <c r="AM26" s="181" t="s">
        <v>165</v>
      </c>
      <c r="AN26" s="580"/>
      <c r="AO26" s="179" t="s">
        <v>159</v>
      </c>
      <c r="AP26" s="179" t="s">
        <v>367</v>
      </c>
      <c r="AQ26" s="179" t="s">
        <v>161</v>
      </c>
      <c r="AR26" s="181" t="s">
        <v>165</v>
      </c>
      <c r="AS26" s="580"/>
      <c r="AT26" s="179" t="s">
        <v>159</v>
      </c>
      <c r="AU26" s="179" t="s">
        <v>367</v>
      </c>
      <c r="AV26" s="179" t="s">
        <v>161</v>
      </c>
      <c r="AW26" s="181" t="s">
        <v>165</v>
      </c>
      <c r="AX26" s="580"/>
    </row>
    <row r="27" spans="2:50" ht="14.25" customHeight="1">
      <c r="B27" s="580" t="s">
        <v>369</v>
      </c>
      <c r="C27" s="179">
        <v>1</v>
      </c>
      <c r="D27" s="182" t="s">
        <v>346</v>
      </c>
      <c r="E27" s="183">
        <v>10</v>
      </c>
      <c r="F27" s="179">
        <v>3600</v>
      </c>
      <c r="G27" s="184">
        <f t="shared" ref="G27:G29" si="16">IFERROR(F27/E27,"")</f>
        <v>360</v>
      </c>
      <c r="H27" s="581">
        <f>AVERAGE(G27:G41)</f>
        <v>338.18181818181819</v>
      </c>
      <c r="I27" s="185">
        <f>AVERAGE(P27,U27,Z27,AE27,AJ27,AO27,AT27)</f>
        <v>10</v>
      </c>
      <c r="J27" s="185">
        <f>AVERAGE(Q27,V27,AA27,AF27,AK27,AP27,AU27)</f>
        <v>3216.015265438903</v>
      </c>
      <c r="K27" s="186">
        <f>AVERAGE(R27,W27,AB27,AG27,AL27,AQ27,AV27)</f>
        <v>321.60152654389032</v>
      </c>
      <c r="L27" s="582">
        <f>IFERROR(AVERAGE(K27:K41),"-")</f>
        <v>298.97235939929243</v>
      </c>
      <c r="M27" s="185">
        <f>RANK(K27, K$27:$K$41)</f>
        <v>1</v>
      </c>
      <c r="N27" s="580"/>
      <c r="O27" s="580"/>
      <c r="P27" s="187">
        <v>10</v>
      </c>
      <c r="Q27" s="187">
        <v>3213.2895511531888</v>
      </c>
      <c r="R27" s="184">
        <f>IFERROR(Q27/P27,"")</f>
        <v>321.32895511531888</v>
      </c>
      <c r="S27" s="181">
        <f>RANK(R27, R$27:R$41)</f>
        <v>1</v>
      </c>
      <c r="T27" s="581">
        <f>AVERAGE(R27:R41)</f>
        <v>298.8652540493452</v>
      </c>
      <c r="U27" s="187">
        <v>10</v>
      </c>
      <c r="V27" s="187">
        <v>3213.2895511531888</v>
      </c>
      <c r="W27" s="184">
        <f t="shared" ref="W27:W29" si="17">IFERROR(V27/U27,"")</f>
        <v>321.32895511531888</v>
      </c>
      <c r="X27" s="181">
        <f>RANK(W27, W$27:W$41)</f>
        <v>1</v>
      </c>
      <c r="Y27" s="581">
        <f>AVERAGE(W27:W41)</f>
        <v>298.83252677661795</v>
      </c>
      <c r="Z27" s="187">
        <v>10</v>
      </c>
      <c r="AA27" s="187">
        <v>3214.7295511531888</v>
      </c>
      <c r="AB27" s="184">
        <f>IFERROR(AA27/Z27,"")</f>
        <v>321.47295511531888</v>
      </c>
      <c r="AC27" s="181">
        <f>RANK(AB27, AB$27:AB$41)</f>
        <v>1</v>
      </c>
      <c r="AD27" s="581">
        <f>AVERAGE(AB27:AB41)</f>
        <v>298.94598132207256</v>
      </c>
      <c r="AE27" s="187">
        <v>10</v>
      </c>
      <c r="AF27" s="187">
        <v>3216.1695511531884</v>
      </c>
      <c r="AG27" s="184">
        <f>IFERROR(AF27/AE27,"")</f>
        <v>321.61695511531883</v>
      </c>
      <c r="AH27" s="181">
        <f>RANK(AG27, AG$27:AG$41)</f>
        <v>1</v>
      </c>
      <c r="AI27" s="581">
        <f>AVERAGE(AG27:AG41)</f>
        <v>299.06528235000678</v>
      </c>
      <c r="AJ27" s="187">
        <v>10</v>
      </c>
      <c r="AK27" s="187">
        <v>3217.6095511531885</v>
      </c>
      <c r="AL27" s="184">
        <f>IFERROR(AK27/AJ27,"")</f>
        <v>321.76095511531884</v>
      </c>
      <c r="AM27" s="181">
        <f>RANK(AL27, AL$27:AL$41)</f>
        <v>1</v>
      </c>
      <c r="AN27" s="581">
        <f>AVERAGE(AL27:AL41)</f>
        <v>299.09283417281046</v>
      </c>
      <c r="AO27" s="187">
        <v>10</v>
      </c>
      <c r="AP27" s="187">
        <v>3217.6095511531889</v>
      </c>
      <c r="AQ27" s="184">
        <f>IFERROR(AP27/AO27,"")</f>
        <v>321.76095511531889</v>
      </c>
      <c r="AR27" s="181">
        <f>RANK(AQ27, AQ$27:AQ$41)</f>
        <v>1</v>
      </c>
      <c r="AS27" s="581">
        <f>AVERAGE(AQ27:AQ41)</f>
        <v>299.02252906549398</v>
      </c>
      <c r="AT27" s="187">
        <v>10</v>
      </c>
      <c r="AU27" s="187">
        <v>3219.4095511531887</v>
      </c>
      <c r="AV27" s="184">
        <f>IFERROR(AU27/AT27,"")</f>
        <v>321.94095511531884</v>
      </c>
      <c r="AW27" s="181">
        <f>RANK(AV27, AV$27:AV$41)</f>
        <v>1</v>
      </c>
      <c r="AX27" s="581">
        <f>AVERAGE(AV27:AV41)</f>
        <v>298.98210805869957</v>
      </c>
    </row>
    <row r="28" spans="2:50" ht="14.25" customHeight="1">
      <c r="B28" s="580"/>
      <c r="C28" s="179">
        <v>2</v>
      </c>
      <c r="D28" s="182" t="s">
        <v>522</v>
      </c>
      <c r="E28" s="179">
        <v>11</v>
      </c>
      <c r="F28" s="179">
        <v>3600</v>
      </c>
      <c r="G28" s="184">
        <f t="shared" si="16"/>
        <v>327.27272727272725</v>
      </c>
      <c r="H28" s="581"/>
      <c r="I28" s="185">
        <f t="shared" ref="I28:K29" si="18">AVERAGE(P28,U28,Z28,AE28,AJ28,AO28,AT28)</f>
        <v>11</v>
      </c>
      <c r="J28" s="185">
        <f t="shared" si="18"/>
        <v>3163.7063411407507</v>
      </c>
      <c r="K28" s="186">
        <f t="shared" si="18"/>
        <v>287.60966737643196</v>
      </c>
      <c r="L28" s="582"/>
      <c r="M28" s="185">
        <f>RANK(K28, K$27:$K$41)</f>
        <v>3</v>
      </c>
      <c r="N28" s="580"/>
      <c r="O28" s="580"/>
      <c r="P28" s="187">
        <v>11</v>
      </c>
      <c r="Q28" s="187">
        <v>3162.5781134645813</v>
      </c>
      <c r="R28" s="184">
        <f t="shared" ref="R28:R29" si="19">IFERROR(Q28/P28,"")</f>
        <v>287.50710122405286</v>
      </c>
      <c r="S28" s="181">
        <f t="shared" ref="S28:S29" si="20">RANK(R28, R$27:R$41)</f>
        <v>3</v>
      </c>
      <c r="T28" s="581"/>
      <c r="U28" s="187">
        <v>11</v>
      </c>
      <c r="V28" s="187">
        <v>3161.8581134645819</v>
      </c>
      <c r="W28" s="184">
        <f t="shared" si="17"/>
        <v>287.44164667859837</v>
      </c>
      <c r="X28" s="181">
        <f t="shared" ref="X28:X29" si="21">RANK(W28, W$27:W$41)</f>
        <v>3</v>
      </c>
      <c r="Y28" s="581"/>
      <c r="Z28" s="187">
        <v>11</v>
      </c>
      <c r="AA28" s="187">
        <v>3163.2981134645825</v>
      </c>
      <c r="AB28" s="184">
        <f t="shared" ref="AB28:AB29" si="22">IFERROR(AA28/Z28,"")</f>
        <v>287.57255576950752</v>
      </c>
      <c r="AC28" s="181">
        <f t="shared" ref="AC28:AC29" si="23">RANK(AB28, AB$27:AB$41)</f>
        <v>3</v>
      </c>
      <c r="AD28" s="581"/>
      <c r="AE28" s="187">
        <v>11</v>
      </c>
      <c r="AF28" s="187">
        <v>3165.6510473864128</v>
      </c>
      <c r="AG28" s="184">
        <f t="shared" ref="AG28:AG29" si="24">IFERROR(AF28/AE28,"")</f>
        <v>287.78645885331025</v>
      </c>
      <c r="AH28" s="181">
        <f t="shared" ref="AH28:AH29" si="25">RANK(AG28, AG$27:AG$41)</f>
        <v>3</v>
      </c>
      <c r="AI28" s="581"/>
      <c r="AJ28" s="187">
        <v>11</v>
      </c>
      <c r="AK28" s="187">
        <v>3164.8109644764381</v>
      </c>
      <c r="AL28" s="184">
        <f t="shared" ref="AL28:AL29" si="26">IFERROR(AK28/AJ28,"")</f>
        <v>287.71008767967618</v>
      </c>
      <c r="AM28" s="181">
        <f t="shared" ref="AM28:AM29" si="27">RANK(AL28, AL$27:AL$41)</f>
        <v>3</v>
      </c>
      <c r="AN28" s="581"/>
      <c r="AO28" s="187">
        <v>11</v>
      </c>
      <c r="AP28" s="187">
        <v>3165.1709644764383</v>
      </c>
      <c r="AQ28" s="184">
        <f t="shared" ref="AQ28:AQ29" si="28">IFERROR(AP28/AO28,"")</f>
        <v>287.74281495240348</v>
      </c>
      <c r="AR28" s="181">
        <f t="shared" ref="AR28:AR29" si="29">RANK(AQ28, AQ$27:AQ$41)</f>
        <v>2</v>
      </c>
      <c r="AS28" s="581"/>
      <c r="AT28" s="187">
        <v>11</v>
      </c>
      <c r="AU28" s="187">
        <v>3162.5770712522226</v>
      </c>
      <c r="AV28" s="184">
        <f t="shared" ref="AV28:AV29" si="30">IFERROR(AU28/AT28,"")</f>
        <v>287.50700647747476</v>
      </c>
      <c r="AW28" s="181">
        <f t="shared" ref="AW28:AW29" si="31">RANK(AV28, AV$27:AV$41)</f>
        <v>2</v>
      </c>
      <c r="AX28" s="581"/>
    </row>
    <row r="29" spans="2:50" ht="14.25" customHeight="1">
      <c r="B29" s="580"/>
      <c r="C29" s="179">
        <v>3</v>
      </c>
      <c r="D29" s="182" t="s">
        <v>523</v>
      </c>
      <c r="E29" s="179">
        <v>11</v>
      </c>
      <c r="F29" s="179">
        <v>3600</v>
      </c>
      <c r="G29" s="184">
        <f t="shared" si="16"/>
        <v>327.27272727272725</v>
      </c>
      <c r="H29" s="581"/>
      <c r="I29" s="185">
        <f t="shared" si="18"/>
        <v>11</v>
      </c>
      <c r="J29" s="185">
        <f t="shared" si="18"/>
        <v>3164.7647270531038</v>
      </c>
      <c r="K29" s="186">
        <f t="shared" si="18"/>
        <v>287.7058842775549</v>
      </c>
      <c r="L29" s="582"/>
      <c r="M29" s="185">
        <f>RANK(K29, K$27:$K$41)</f>
        <v>2</v>
      </c>
      <c r="N29" s="580"/>
      <c r="O29" s="580"/>
      <c r="P29" s="187">
        <v>11</v>
      </c>
      <c r="Q29" s="187">
        <v>3165.3567638953032</v>
      </c>
      <c r="R29" s="184">
        <f t="shared" si="19"/>
        <v>287.75970580866391</v>
      </c>
      <c r="S29" s="181">
        <f t="shared" si="20"/>
        <v>2</v>
      </c>
      <c r="T29" s="581"/>
      <c r="U29" s="187">
        <v>11</v>
      </c>
      <c r="V29" s="187">
        <v>3164.9967638953035</v>
      </c>
      <c r="W29" s="184">
        <f t="shared" si="17"/>
        <v>287.72697853593667</v>
      </c>
      <c r="X29" s="181">
        <f t="shared" si="21"/>
        <v>2</v>
      </c>
      <c r="Y29" s="581"/>
      <c r="Z29" s="187">
        <v>11</v>
      </c>
      <c r="AA29" s="187">
        <v>3165.7167638953033</v>
      </c>
      <c r="AB29" s="184">
        <f t="shared" si="22"/>
        <v>287.79243308139121</v>
      </c>
      <c r="AC29" s="181">
        <f t="shared" si="23"/>
        <v>2</v>
      </c>
      <c r="AD29" s="581"/>
      <c r="AE29" s="187">
        <v>11</v>
      </c>
      <c r="AF29" s="187">
        <v>3165.7167638953038</v>
      </c>
      <c r="AG29" s="184">
        <f t="shared" si="24"/>
        <v>287.79243308139127</v>
      </c>
      <c r="AH29" s="181">
        <f t="shared" si="25"/>
        <v>2</v>
      </c>
      <c r="AI29" s="581"/>
      <c r="AJ29" s="187">
        <v>11</v>
      </c>
      <c r="AK29" s="187">
        <v>3165.8820569578006</v>
      </c>
      <c r="AL29" s="184">
        <f t="shared" si="26"/>
        <v>287.80745972343641</v>
      </c>
      <c r="AM29" s="181">
        <f t="shared" si="27"/>
        <v>2</v>
      </c>
      <c r="AN29" s="581"/>
      <c r="AO29" s="187">
        <v>11</v>
      </c>
      <c r="AP29" s="187">
        <v>3163.2019884163569</v>
      </c>
      <c r="AQ29" s="184">
        <f t="shared" si="28"/>
        <v>287.56381712875969</v>
      </c>
      <c r="AR29" s="181">
        <f t="shared" si="29"/>
        <v>3</v>
      </c>
      <c r="AS29" s="581"/>
      <c r="AT29" s="187">
        <v>11</v>
      </c>
      <c r="AU29" s="187">
        <v>3162.4819884163567</v>
      </c>
      <c r="AV29" s="184">
        <f t="shared" si="30"/>
        <v>287.49836258330515</v>
      </c>
      <c r="AW29" s="181">
        <f t="shared" si="31"/>
        <v>3</v>
      </c>
      <c r="AX29" s="581"/>
    </row>
    <row r="30" spans="2:50" ht="14.25" customHeight="1">
      <c r="B30" s="580"/>
      <c r="C30" s="179">
        <v>4</v>
      </c>
      <c r="D30" s="182"/>
      <c r="E30" s="179"/>
      <c r="F30" s="179"/>
      <c r="G30" s="184"/>
      <c r="H30" s="581"/>
      <c r="I30" s="185"/>
      <c r="J30" s="185"/>
      <c r="K30" s="186"/>
      <c r="L30" s="582"/>
      <c r="M30" s="185"/>
      <c r="N30" s="580"/>
      <c r="O30" s="580"/>
      <c r="P30" s="187"/>
      <c r="Q30" s="187"/>
      <c r="R30" s="184"/>
      <c r="S30" s="181"/>
      <c r="T30" s="581"/>
      <c r="U30" s="187"/>
      <c r="V30" s="187"/>
      <c r="W30" s="184"/>
      <c r="X30" s="181"/>
      <c r="Y30" s="581"/>
      <c r="Z30" s="187"/>
      <c r="AA30" s="187"/>
      <c r="AB30" s="184"/>
      <c r="AC30" s="181"/>
      <c r="AD30" s="581"/>
      <c r="AE30" s="187"/>
      <c r="AF30" s="187"/>
      <c r="AG30" s="184"/>
      <c r="AH30" s="181"/>
      <c r="AI30" s="581"/>
      <c r="AJ30" s="187"/>
      <c r="AK30" s="187"/>
      <c r="AL30" s="184"/>
      <c r="AM30" s="181"/>
      <c r="AN30" s="581"/>
      <c r="AO30" s="187"/>
      <c r="AP30" s="187"/>
      <c r="AQ30" s="184"/>
      <c r="AR30" s="181"/>
      <c r="AS30" s="581"/>
      <c r="AT30" s="187"/>
      <c r="AU30" s="187"/>
      <c r="AV30" s="184"/>
      <c r="AW30" s="181"/>
      <c r="AX30" s="581"/>
    </row>
    <row r="31" spans="2:50" ht="14.25" customHeight="1">
      <c r="B31" s="580"/>
      <c r="C31" s="179">
        <v>5</v>
      </c>
      <c r="D31" s="182"/>
      <c r="E31" s="179"/>
      <c r="F31" s="179"/>
      <c r="G31" s="184"/>
      <c r="H31" s="581"/>
      <c r="I31" s="185"/>
      <c r="J31" s="185"/>
      <c r="K31" s="186"/>
      <c r="L31" s="582"/>
      <c r="M31" s="185"/>
      <c r="N31" s="580"/>
      <c r="O31" s="580"/>
      <c r="P31" s="187"/>
      <c r="Q31" s="187"/>
      <c r="R31" s="184"/>
      <c r="S31" s="181"/>
      <c r="T31" s="581"/>
      <c r="U31" s="187"/>
      <c r="V31" s="187"/>
      <c r="W31" s="184"/>
      <c r="X31" s="181"/>
      <c r="Y31" s="581"/>
      <c r="Z31" s="187"/>
      <c r="AA31" s="187"/>
      <c r="AB31" s="184"/>
      <c r="AC31" s="181"/>
      <c r="AD31" s="581"/>
      <c r="AE31" s="187"/>
      <c r="AF31" s="187"/>
      <c r="AG31" s="184"/>
      <c r="AH31" s="181"/>
      <c r="AI31" s="581"/>
      <c r="AJ31" s="187"/>
      <c r="AK31" s="187"/>
      <c r="AL31" s="184"/>
      <c r="AM31" s="181"/>
      <c r="AN31" s="581"/>
      <c r="AO31" s="187"/>
      <c r="AP31" s="187"/>
      <c r="AQ31" s="184"/>
      <c r="AR31" s="181"/>
      <c r="AS31" s="581"/>
      <c r="AT31" s="187"/>
      <c r="AU31" s="187"/>
      <c r="AV31" s="184"/>
      <c r="AW31" s="181"/>
      <c r="AX31" s="581"/>
    </row>
    <row r="32" spans="2:50" ht="14.25" customHeight="1">
      <c r="B32" s="580"/>
      <c r="C32" s="179">
        <v>6</v>
      </c>
      <c r="D32" s="182"/>
      <c r="E32" s="179"/>
      <c r="F32" s="179"/>
      <c r="G32" s="184"/>
      <c r="H32" s="581"/>
      <c r="I32" s="185"/>
      <c r="J32" s="185"/>
      <c r="K32" s="186"/>
      <c r="L32" s="582"/>
      <c r="M32" s="185"/>
      <c r="N32" s="580"/>
      <c r="O32" s="580"/>
      <c r="P32" s="187"/>
      <c r="Q32" s="187"/>
      <c r="R32" s="184"/>
      <c r="S32" s="181"/>
      <c r="T32" s="581"/>
      <c r="U32" s="187"/>
      <c r="V32" s="187"/>
      <c r="W32" s="184"/>
      <c r="X32" s="181"/>
      <c r="Y32" s="581"/>
      <c r="Z32" s="187"/>
      <c r="AA32" s="187"/>
      <c r="AB32" s="184"/>
      <c r="AC32" s="181"/>
      <c r="AD32" s="581"/>
      <c r="AE32" s="187"/>
      <c r="AF32" s="187"/>
      <c r="AG32" s="184"/>
      <c r="AH32" s="181"/>
      <c r="AI32" s="581"/>
      <c r="AJ32" s="187"/>
      <c r="AK32" s="187"/>
      <c r="AL32" s="184"/>
      <c r="AM32" s="181"/>
      <c r="AN32" s="581"/>
      <c r="AO32" s="187"/>
      <c r="AP32" s="187"/>
      <c r="AQ32" s="184"/>
      <c r="AR32" s="181"/>
      <c r="AS32" s="581"/>
      <c r="AT32" s="187"/>
      <c r="AU32" s="187"/>
      <c r="AV32" s="184"/>
      <c r="AW32" s="181"/>
      <c r="AX32" s="581"/>
    </row>
    <row r="33" spans="2:50" ht="14.25" customHeight="1">
      <c r="B33" s="580"/>
      <c r="C33" s="179">
        <v>7</v>
      </c>
      <c r="D33" s="182"/>
      <c r="E33" s="179"/>
      <c r="F33" s="179"/>
      <c r="G33" s="184"/>
      <c r="H33" s="581"/>
      <c r="I33" s="185"/>
      <c r="J33" s="185"/>
      <c r="K33" s="186"/>
      <c r="L33" s="582"/>
      <c r="M33" s="185"/>
      <c r="N33" s="580"/>
      <c r="O33" s="580"/>
      <c r="P33" s="187"/>
      <c r="Q33" s="187"/>
      <c r="R33" s="184"/>
      <c r="S33" s="181"/>
      <c r="T33" s="581"/>
      <c r="U33" s="187"/>
      <c r="V33" s="187"/>
      <c r="W33" s="184"/>
      <c r="X33" s="181"/>
      <c r="Y33" s="581"/>
      <c r="Z33" s="187"/>
      <c r="AA33" s="187"/>
      <c r="AB33" s="184"/>
      <c r="AC33" s="181"/>
      <c r="AD33" s="581"/>
      <c r="AE33" s="187"/>
      <c r="AF33" s="187"/>
      <c r="AG33" s="184"/>
      <c r="AH33" s="181"/>
      <c r="AI33" s="581"/>
      <c r="AJ33" s="187"/>
      <c r="AK33" s="187"/>
      <c r="AL33" s="184"/>
      <c r="AM33" s="181"/>
      <c r="AN33" s="581"/>
      <c r="AO33" s="187"/>
      <c r="AP33" s="187"/>
      <c r="AQ33" s="184"/>
      <c r="AR33" s="181"/>
      <c r="AS33" s="581"/>
      <c r="AT33" s="187"/>
      <c r="AU33" s="187"/>
      <c r="AV33" s="184"/>
      <c r="AW33" s="181"/>
      <c r="AX33" s="581"/>
    </row>
    <row r="34" spans="2:50" ht="14.25" customHeight="1">
      <c r="B34" s="580"/>
      <c r="C34" s="179">
        <v>8</v>
      </c>
      <c r="D34" s="182"/>
      <c r="E34" s="179"/>
      <c r="F34" s="179"/>
      <c r="G34" s="184"/>
      <c r="H34" s="581"/>
      <c r="I34" s="185"/>
      <c r="J34" s="185"/>
      <c r="K34" s="186"/>
      <c r="L34" s="582"/>
      <c r="M34" s="185"/>
      <c r="N34" s="580"/>
      <c r="O34" s="580"/>
      <c r="P34" s="187"/>
      <c r="Q34" s="187"/>
      <c r="R34" s="184"/>
      <c r="S34" s="181"/>
      <c r="T34" s="581"/>
      <c r="U34" s="187"/>
      <c r="V34" s="187"/>
      <c r="W34" s="184"/>
      <c r="X34" s="181"/>
      <c r="Y34" s="581"/>
      <c r="Z34" s="187"/>
      <c r="AA34" s="187"/>
      <c r="AB34" s="184"/>
      <c r="AC34" s="181"/>
      <c r="AD34" s="581"/>
      <c r="AE34" s="187"/>
      <c r="AF34" s="187"/>
      <c r="AG34" s="184"/>
      <c r="AH34" s="181"/>
      <c r="AI34" s="581"/>
      <c r="AJ34" s="187"/>
      <c r="AK34" s="187"/>
      <c r="AL34" s="184"/>
      <c r="AM34" s="181"/>
      <c r="AN34" s="581"/>
      <c r="AO34" s="187"/>
      <c r="AP34" s="187"/>
      <c r="AQ34" s="184"/>
      <c r="AR34" s="181"/>
      <c r="AS34" s="581"/>
      <c r="AT34" s="187"/>
      <c r="AU34" s="187"/>
      <c r="AV34" s="184"/>
      <c r="AW34" s="181"/>
      <c r="AX34" s="581"/>
    </row>
    <row r="35" spans="2:50" ht="14.25" customHeight="1">
      <c r="B35" s="580"/>
      <c r="C35" s="179">
        <v>9</v>
      </c>
      <c r="D35" s="182"/>
      <c r="E35" s="179"/>
      <c r="F35" s="179"/>
      <c r="G35" s="184"/>
      <c r="H35" s="581"/>
      <c r="I35" s="185"/>
      <c r="J35" s="185"/>
      <c r="K35" s="186"/>
      <c r="L35" s="582"/>
      <c r="M35" s="185"/>
      <c r="N35" s="580"/>
      <c r="O35" s="580"/>
      <c r="P35" s="187"/>
      <c r="Q35" s="187"/>
      <c r="R35" s="184"/>
      <c r="S35" s="181"/>
      <c r="T35" s="581"/>
      <c r="U35" s="187"/>
      <c r="V35" s="187"/>
      <c r="W35" s="184"/>
      <c r="X35" s="181"/>
      <c r="Y35" s="581"/>
      <c r="Z35" s="187"/>
      <c r="AA35" s="187"/>
      <c r="AB35" s="184"/>
      <c r="AC35" s="181"/>
      <c r="AD35" s="581"/>
      <c r="AE35" s="187"/>
      <c r="AF35" s="187"/>
      <c r="AG35" s="184"/>
      <c r="AH35" s="181"/>
      <c r="AI35" s="581"/>
      <c r="AJ35" s="187"/>
      <c r="AK35" s="187"/>
      <c r="AL35" s="184"/>
      <c r="AM35" s="181"/>
      <c r="AN35" s="581"/>
      <c r="AO35" s="187"/>
      <c r="AP35" s="187"/>
      <c r="AQ35" s="184"/>
      <c r="AR35" s="181"/>
      <c r="AS35" s="581"/>
      <c r="AT35" s="187"/>
      <c r="AU35" s="187"/>
      <c r="AV35" s="184"/>
      <c r="AW35" s="181"/>
      <c r="AX35" s="581"/>
    </row>
    <row r="36" spans="2:50" ht="14.25" customHeight="1">
      <c r="B36" s="580"/>
      <c r="C36" s="179">
        <v>10</v>
      </c>
      <c r="D36" s="182"/>
      <c r="E36" s="179"/>
      <c r="F36" s="179"/>
      <c r="G36" s="184"/>
      <c r="H36" s="581"/>
      <c r="I36" s="185"/>
      <c r="J36" s="185"/>
      <c r="K36" s="186"/>
      <c r="L36" s="582"/>
      <c r="M36" s="185"/>
      <c r="N36" s="580"/>
      <c r="O36" s="580"/>
      <c r="P36" s="187"/>
      <c r="Q36" s="187"/>
      <c r="R36" s="184"/>
      <c r="S36" s="181"/>
      <c r="T36" s="581"/>
      <c r="U36" s="187"/>
      <c r="V36" s="187"/>
      <c r="W36" s="184"/>
      <c r="X36" s="181"/>
      <c r="Y36" s="581"/>
      <c r="Z36" s="187"/>
      <c r="AA36" s="187"/>
      <c r="AB36" s="184"/>
      <c r="AC36" s="181"/>
      <c r="AD36" s="581"/>
      <c r="AE36" s="187"/>
      <c r="AF36" s="187"/>
      <c r="AG36" s="184"/>
      <c r="AH36" s="181"/>
      <c r="AI36" s="581"/>
      <c r="AJ36" s="187"/>
      <c r="AK36" s="187"/>
      <c r="AL36" s="184"/>
      <c r="AM36" s="181"/>
      <c r="AN36" s="581"/>
      <c r="AO36" s="187"/>
      <c r="AP36" s="187"/>
      <c r="AQ36" s="184"/>
      <c r="AR36" s="181"/>
      <c r="AS36" s="581"/>
      <c r="AT36" s="187"/>
      <c r="AU36" s="187"/>
      <c r="AV36" s="184"/>
      <c r="AW36" s="181"/>
      <c r="AX36" s="581"/>
    </row>
    <row r="37" spans="2:50" ht="14.25" customHeight="1">
      <c r="B37" s="580"/>
      <c r="C37" s="179">
        <v>11</v>
      </c>
      <c r="D37" s="182"/>
      <c r="E37" s="179"/>
      <c r="F37" s="179"/>
      <c r="G37" s="184"/>
      <c r="H37" s="581"/>
      <c r="I37" s="185"/>
      <c r="J37" s="185"/>
      <c r="K37" s="186"/>
      <c r="L37" s="582"/>
      <c r="M37" s="185"/>
      <c r="N37" s="580"/>
      <c r="O37" s="580"/>
      <c r="P37" s="187"/>
      <c r="Q37" s="187"/>
      <c r="R37" s="184"/>
      <c r="S37" s="181"/>
      <c r="T37" s="581"/>
      <c r="U37" s="187"/>
      <c r="V37" s="187"/>
      <c r="W37" s="184"/>
      <c r="X37" s="181"/>
      <c r="Y37" s="581"/>
      <c r="Z37" s="187"/>
      <c r="AA37" s="187"/>
      <c r="AB37" s="184"/>
      <c r="AC37" s="181"/>
      <c r="AD37" s="581"/>
      <c r="AE37" s="187"/>
      <c r="AF37" s="187"/>
      <c r="AG37" s="184"/>
      <c r="AH37" s="181"/>
      <c r="AI37" s="581"/>
      <c r="AJ37" s="187"/>
      <c r="AK37" s="187"/>
      <c r="AL37" s="184"/>
      <c r="AM37" s="181"/>
      <c r="AN37" s="581"/>
      <c r="AO37" s="187"/>
      <c r="AP37" s="187"/>
      <c r="AQ37" s="184"/>
      <c r="AR37" s="181"/>
      <c r="AS37" s="581"/>
      <c r="AT37" s="187"/>
      <c r="AU37" s="187"/>
      <c r="AV37" s="184"/>
      <c r="AW37" s="181"/>
      <c r="AX37" s="581"/>
    </row>
    <row r="38" spans="2:50" ht="14.25" customHeight="1">
      <c r="B38" s="580"/>
      <c r="C38" s="179">
        <v>12</v>
      </c>
      <c r="D38" s="182"/>
      <c r="E38" s="179"/>
      <c r="F38" s="179"/>
      <c r="G38" s="184"/>
      <c r="H38" s="581"/>
      <c r="I38" s="185"/>
      <c r="J38" s="185"/>
      <c r="K38" s="186"/>
      <c r="L38" s="582"/>
      <c r="M38" s="185"/>
      <c r="N38" s="580"/>
      <c r="O38" s="580"/>
      <c r="P38" s="187"/>
      <c r="Q38" s="187"/>
      <c r="R38" s="184"/>
      <c r="S38" s="181"/>
      <c r="T38" s="581"/>
      <c r="U38" s="187"/>
      <c r="V38" s="187"/>
      <c r="W38" s="184"/>
      <c r="X38" s="181"/>
      <c r="Y38" s="581"/>
      <c r="Z38" s="187"/>
      <c r="AA38" s="187"/>
      <c r="AB38" s="184"/>
      <c r="AC38" s="181"/>
      <c r="AD38" s="581"/>
      <c r="AE38" s="187"/>
      <c r="AF38" s="187"/>
      <c r="AG38" s="184"/>
      <c r="AH38" s="181"/>
      <c r="AI38" s="581"/>
      <c r="AJ38" s="187"/>
      <c r="AK38" s="187"/>
      <c r="AL38" s="184"/>
      <c r="AM38" s="181"/>
      <c r="AN38" s="581"/>
      <c r="AO38" s="187"/>
      <c r="AP38" s="187"/>
      <c r="AQ38" s="184"/>
      <c r="AR38" s="181"/>
      <c r="AS38" s="581"/>
      <c r="AT38" s="187"/>
      <c r="AU38" s="187"/>
      <c r="AV38" s="184"/>
      <c r="AW38" s="181"/>
      <c r="AX38" s="581"/>
    </row>
    <row r="39" spans="2:50" ht="14.25" customHeight="1">
      <c r="B39" s="580"/>
      <c r="C39" s="179">
        <v>13</v>
      </c>
      <c r="D39" s="182"/>
      <c r="E39" s="179"/>
      <c r="F39" s="179"/>
      <c r="G39" s="184"/>
      <c r="H39" s="581"/>
      <c r="I39" s="185"/>
      <c r="J39" s="185"/>
      <c r="K39" s="186"/>
      <c r="L39" s="582"/>
      <c r="M39" s="185"/>
      <c r="N39" s="580"/>
      <c r="O39" s="580"/>
      <c r="P39" s="187"/>
      <c r="Q39" s="187"/>
      <c r="R39" s="184"/>
      <c r="S39" s="181"/>
      <c r="T39" s="581"/>
      <c r="U39" s="187"/>
      <c r="V39" s="187"/>
      <c r="W39" s="184"/>
      <c r="X39" s="181"/>
      <c r="Y39" s="581"/>
      <c r="Z39" s="187"/>
      <c r="AA39" s="187"/>
      <c r="AB39" s="184"/>
      <c r="AC39" s="181"/>
      <c r="AD39" s="581"/>
      <c r="AE39" s="187"/>
      <c r="AF39" s="187"/>
      <c r="AG39" s="184"/>
      <c r="AH39" s="181"/>
      <c r="AI39" s="581"/>
      <c r="AJ39" s="187"/>
      <c r="AK39" s="187"/>
      <c r="AL39" s="184"/>
      <c r="AM39" s="181"/>
      <c r="AN39" s="581"/>
      <c r="AO39" s="187"/>
      <c r="AP39" s="187"/>
      <c r="AQ39" s="184"/>
      <c r="AR39" s="181"/>
      <c r="AS39" s="581"/>
      <c r="AT39" s="187"/>
      <c r="AU39" s="187"/>
      <c r="AV39" s="184"/>
      <c r="AW39" s="181"/>
      <c r="AX39" s="581"/>
    </row>
    <row r="40" spans="2:50" ht="14.25" customHeight="1">
      <c r="B40" s="580"/>
      <c r="C40" s="179">
        <v>14</v>
      </c>
      <c r="D40" s="182"/>
      <c r="E40" s="179"/>
      <c r="F40" s="179"/>
      <c r="G40" s="184"/>
      <c r="H40" s="581"/>
      <c r="I40" s="185"/>
      <c r="J40" s="185"/>
      <c r="K40" s="186"/>
      <c r="L40" s="582"/>
      <c r="M40" s="185"/>
      <c r="N40" s="580"/>
      <c r="O40" s="580"/>
      <c r="P40" s="187"/>
      <c r="Q40" s="187"/>
      <c r="R40" s="184"/>
      <c r="S40" s="181"/>
      <c r="T40" s="581"/>
      <c r="U40" s="187"/>
      <c r="V40" s="187"/>
      <c r="W40" s="184"/>
      <c r="X40" s="181"/>
      <c r="Y40" s="581"/>
      <c r="Z40" s="187"/>
      <c r="AA40" s="187"/>
      <c r="AB40" s="184"/>
      <c r="AC40" s="181"/>
      <c r="AD40" s="581"/>
      <c r="AE40" s="187"/>
      <c r="AF40" s="187"/>
      <c r="AG40" s="184"/>
      <c r="AH40" s="181"/>
      <c r="AI40" s="581"/>
      <c r="AJ40" s="187"/>
      <c r="AK40" s="187"/>
      <c r="AL40" s="184"/>
      <c r="AM40" s="181"/>
      <c r="AN40" s="581"/>
      <c r="AO40" s="187"/>
      <c r="AP40" s="187"/>
      <c r="AQ40" s="184"/>
      <c r="AR40" s="181"/>
      <c r="AS40" s="581"/>
      <c r="AT40" s="187"/>
      <c r="AU40" s="187"/>
      <c r="AV40" s="184"/>
      <c r="AW40" s="181"/>
      <c r="AX40" s="581"/>
    </row>
    <row r="41" spans="2:50" ht="14.25" customHeight="1">
      <c r="B41" s="580"/>
      <c r="C41" s="179">
        <v>15</v>
      </c>
      <c r="D41" s="182"/>
      <c r="E41" s="179"/>
      <c r="F41" s="179"/>
      <c r="G41" s="184"/>
      <c r="H41" s="581"/>
      <c r="I41" s="185"/>
      <c r="J41" s="185"/>
      <c r="K41" s="186"/>
      <c r="L41" s="582"/>
      <c r="M41" s="185"/>
      <c r="N41" s="580"/>
      <c r="O41" s="580"/>
      <c r="P41" s="187"/>
      <c r="Q41" s="187"/>
      <c r="R41" s="184"/>
      <c r="S41" s="181"/>
      <c r="T41" s="581"/>
      <c r="U41" s="187"/>
      <c r="V41" s="187"/>
      <c r="W41" s="184"/>
      <c r="X41" s="181"/>
      <c r="Y41" s="581"/>
      <c r="Z41" s="187"/>
      <c r="AA41" s="187"/>
      <c r="AB41" s="184"/>
      <c r="AC41" s="181"/>
      <c r="AD41" s="581"/>
      <c r="AE41" s="187"/>
      <c r="AF41" s="187"/>
      <c r="AG41" s="184"/>
      <c r="AH41" s="181"/>
      <c r="AI41" s="581"/>
      <c r="AJ41" s="187"/>
      <c r="AK41" s="187"/>
      <c r="AL41" s="184"/>
      <c r="AM41" s="181"/>
      <c r="AN41" s="581"/>
      <c r="AO41" s="187"/>
      <c r="AP41" s="187"/>
      <c r="AQ41" s="184"/>
      <c r="AR41" s="181"/>
      <c r="AS41" s="581"/>
      <c r="AT41" s="187"/>
      <c r="AU41" s="187"/>
      <c r="AV41" s="184"/>
      <c r="AW41" s="181"/>
      <c r="AX41" s="581"/>
    </row>
  </sheetData>
  <mergeCells count="118"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I4:K4"/>
    <mergeCell ref="AT4:AW4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41"/>
  <sheetViews>
    <sheetView zoomScaleNormal="100" workbookViewId="0">
      <pane xSplit="13" ySplit="1" topLeftCell="AI8" activePane="bottomRight" state="frozen"/>
      <selection activeCell="B1" sqref="B1"/>
      <selection pane="topRight" activeCell="B1" sqref="B1"/>
      <selection pane="bottomLeft" activeCell="B1" sqref="B1"/>
      <selection pane="bottomRight" activeCell="C1" sqref="C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68" t="s">
        <v>777</v>
      </c>
      <c r="C1" s="174">
        <f>AVERAGE(L7,L27)</f>
        <v>116.39044695249585</v>
      </c>
    </row>
    <row r="2" spans="1:50" ht="14.25" customHeight="1">
      <c r="B2" s="608" t="s">
        <v>742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10"/>
      <c r="N2" s="613" t="s">
        <v>363</v>
      </c>
      <c r="O2" s="600" t="s">
        <v>105</v>
      </c>
      <c r="P2" s="602">
        <v>46203</v>
      </c>
      <c r="Q2" s="603"/>
      <c r="R2" s="603"/>
      <c r="S2" s="603"/>
      <c r="T2" s="603"/>
      <c r="U2" s="594">
        <v>46204</v>
      </c>
      <c r="V2" s="595"/>
      <c r="W2" s="595"/>
      <c r="X2" s="595"/>
      <c r="Y2" s="595"/>
      <c r="Z2" s="602">
        <v>46205</v>
      </c>
      <c r="AA2" s="603"/>
      <c r="AB2" s="603"/>
      <c r="AC2" s="603"/>
      <c r="AD2" s="603"/>
      <c r="AE2" s="594">
        <v>46206</v>
      </c>
      <c r="AF2" s="595"/>
      <c r="AG2" s="595"/>
      <c r="AH2" s="595"/>
      <c r="AI2" s="595"/>
      <c r="AJ2" s="586">
        <v>46207</v>
      </c>
      <c r="AK2" s="587"/>
      <c r="AL2" s="587"/>
      <c r="AM2" s="587"/>
      <c r="AN2" s="588"/>
      <c r="AO2" s="594">
        <v>46208</v>
      </c>
      <c r="AP2" s="595"/>
      <c r="AQ2" s="595"/>
      <c r="AR2" s="595"/>
      <c r="AS2" s="595"/>
      <c r="AT2" s="586">
        <v>46209</v>
      </c>
      <c r="AU2" s="587"/>
      <c r="AV2" s="587"/>
      <c r="AW2" s="587"/>
      <c r="AX2" s="588"/>
    </row>
    <row r="3" spans="1:50" ht="14.25" customHeight="1"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2"/>
      <c r="N3" s="614"/>
      <c r="O3" s="601"/>
      <c r="P3" s="589">
        <v>46196</v>
      </c>
      <c r="Q3" s="589"/>
      <c r="R3" s="589"/>
      <c r="S3" s="589"/>
      <c r="T3" s="589"/>
      <c r="U3" s="590">
        <v>46197</v>
      </c>
      <c r="V3" s="590"/>
      <c r="W3" s="590"/>
      <c r="X3" s="590"/>
      <c r="Y3" s="590"/>
      <c r="Z3" s="589">
        <v>46198</v>
      </c>
      <c r="AA3" s="589"/>
      <c r="AB3" s="589"/>
      <c r="AC3" s="589"/>
      <c r="AD3" s="589"/>
      <c r="AE3" s="590">
        <v>46199</v>
      </c>
      <c r="AF3" s="590"/>
      <c r="AG3" s="590"/>
      <c r="AH3" s="590"/>
      <c r="AI3" s="590"/>
      <c r="AJ3" s="591">
        <v>46200</v>
      </c>
      <c r="AK3" s="592"/>
      <c r="AL3" s="592"/>
      <c r="AM3" s="592"/>
      <c r="AN3" s="593"/>
      <c r="AO3" s="590">
        <v>46201</v>
      </c>
      <c r="AP3" s="590"/>
      <c r="AQ3" s="590"/>
      <c r="AR3" s="590"/>
      <c r="AS3" s="590"/>
      <c r="AT3" s="591">
        <v>46202</v>
      </c>
      <c r="AU3" s="592"/>
      <c r="AV3" s="592"/>
      <c r="AW3" s="592"/>
      <c r="AX3" s="593"/>
    </row>
    <row r="4" spans="1:50" ht="14.25" customHeight="1">
      <c r="B4" s="580" t="s">
        <v>162</v>
      </c>
      <c r="C4" s="580" t="s">
        <v>157</v>
      </c>
      <c r="D4" s="580"/>
      <c r="E4" s="580" t="s">
        <v>158</v>
      </c>
      <c r="F4" s="580"/>
      <c r="G4" s="580"/>
      <c r="H4" s="580" t="s">
        <v>163</v>
      </c>
      <c r="I4" s="583" t="s">
        <v>364</v>
      </c>
      <c r="J4" s="583"/>
      <c r="K4" s="583"/>
      <c r="L4" s="583" t="s">
        <v>163</v>
      </c>
      <c r="M4" s="583" t="s">
        <v>165</v>
      </c>
      <c r="N4" s="580"/>
      <c r="O4" s="580" t="s">
        <v>164</v>
      </c>
      <c r="P4" s="580" t="s">
        <v>160</v>
      </c>
      <c r="Q4" s="580"/>
      <c r="R4" s="580"/>
      <c r="S4" s="580"/>
      <c r="T4" s="580" t="s">
        <v>163</v>
      </c>
      <c r="U4" s="580" t="s">
        <v>160</v>
      </c>
      <c r="V4" s="580"/>
      <c r="W4" s="580"/>
      <c r="X4" s="580"/>
      <c r="Y4" s="580" t="s">
        <v>163</v>
      </c>
      <c r="Z4" s="580" t="s">
        <v>160</v>
      </c>
      <c r="AA4" s="580"/>
      <c r="AB4" s="580"/>
      <c r="AC4" s="580"/>
      <c r="AD4" s="580" t="s">
        <v>163</v>
      </c>
      <c r="AE4" s="580" t="s">
        <v>160</v>
      </c>
      <c r="AF4" s="580"/>
      <c r="AG4" s="580"/>
      <c r="AH4" s="580"/>
      <c r="AI4" s="580" t="s">
        <v>163</v>
      </c>
      <c r="AJ4" s="580" t="s">
        <v>160</v>
      </c>
      <c r="AK4" s="580"/>
      <c r="AL4" s="580"/>
      <c r="AM4" s="580"/>
      <c r="AN4" s="580" t="s">
        <v>163</v>
      </c>
      <c r="AO4" s="580" t="s">
        <v>160</v>
      </c>
      <c r="AP4" s="580"/>
      <c r="AQ4" s="580"/>
      <c r="AR4" s="580"/>
      <c r="AS4" s="580" t="s">
        <v>163</v>
      </c>
      <c r="AT4" s="580" t="s">
        <v>160</v>
      </c>
      <c r="AU4" s="580"/>
      <c r="AV4" s="580"/>
      <c r="AW4" s="580"/>
      <c r="AX4" s="580" t="s">
        <v>163</v>
      </c>
    </row>
    <row r="5" spans="1:50" ht="14.25" customHeight="1">
      <c r="B5" s="580"/>
      <c r="C5" s="580"/>
      <c r="D5" s="580"/>
      <c r="E5" s="580" t="s">
        <v>365</v>
      </c>
      <c r="F5" s="580"/>
      <c r="G5" s="580"/>
      <c r="H5" s="580"/>
      <c r="I5" s="583" t="s">
        <v>365</v>
      </c>
      <c r="J5" s="583"/>
      <c r="K5" s="583"/>
      <c r="L5" s="583"/>
      <c r="M5" s="583"/>
      <c r="N5" s="580"/>
      <c r="O5" s="580"/>
      <c r="P5" s="580" t="s">
        <v>366</v>
      </c>
      <c r="Q5" s="580"/>
      <c r="R5" s="580"/>
      <c r="S5" s="580"/>
      <c r="T5" s="580"/>
      <c r="U5" s="580" t="s">
        <v>366</v>
      </c>
      <c r="V5" s="580"/>
      <c r="W5" s="580"/>
      <c r="X5" s="580"/>
      <c r="Y5" s="580"/>
      <c r="Z5" s="580" t="s">
        <v>366</v>
      </c>
      <c r="AA5" s="580"/>
      <c r="AB5" s="580"/>
      <c r="AC5" s="580"/>
      <c r="AD5" s="580"/>
      <c r="AE5" s="580" t="s">
        <v>366</v>
      </c>
      <c r="AF5" s="580"/>
      <c r="AG5" s="580"/>
      <c r="AH5" s="580"/>
      <c r="AI5" s="580"/>
      <c r="AJ5" s="580" t="s">
        <v>366</v>
      </c>
      <c r="AK5" s="580"/>
      <c r="AL5" s="580"/>
      <c r="AM5" s="580"/>
      <c r="AN5" s="580"/>
      <c r="AO5" s="580" t="s">
        <v>366</v>
      </c>
      <c r="AP5" s="580"/>
      <c r="AQ5" s="580"/>
      <c r="AR5" s="580"/>
      <c r="AS5" s="580"/>
      <c r="AT5" s="580" t="s">
        <v>366</v>
      </c>
      <c r="AU5" s="580"/>
      <c r="AV5" s="580"/>
      <c r="AW5" s="580"/>
      <c r="AX5" s="580"/>
    </row>
    <row r="6" spans="1:50" ht="14.25" customHeight="1">
      <c r="B6" s="580"/>
      <c r="C6" s="580"/>
      <c r="D6" s="580"/>
      <c r="E6" s="179" t="s">
        <v>159</v>
      </c>
      <c r="F6" s="179" t="s">
        <v>367</v>
      </c>
      <c r="G6" s="179" t="s">
        <v>161</v>
      </c>
      <c r="H6" s="580"/>
      <c r="I6" s="180" t="s">
        <v>159</v>
      </c>
      <c r="J6" s="180" t="s">
        <v>367</v>
      </c>
      <c r="K6" s="180" t="s">
        <v>161</v>
      </c>
      <c r="L6" s="583"/>
      <c r="M6" s="583"/>
      <c r="N6" s="580"/>
      <c r="O6" s="580"/>
      <c r="P6" s="179" t="s">
        <v>159</v>
      </c>
      <c r="Q6" s="179" t="s">
        <v>367</v>
      </c>
      <c r="R6" s="179" t="s">
        <v>161</v>
      </c>
      <c r="S6" s="181" t="s">
        <v>165</v>
      </c>
      <c r="T6" s="580"/>
      <c r="U6" s="179" t="s">
        <v>159</v>
      </c>
      <c r="V6" s="179" t="s">
        <v>367</v>
      </c>
      <c r="W6" s="179" t="s">
        <v>161</v>
      </c>
      <c r="X6" s="181" t="s">
        <v>165</v>
      </c>
      <c r="Y6" s="580"/>
      <c r="Z6" s="179" t="s">
        <v>159</v>
      </c>
      <c r="AA6" s="179" t="s">
        <v>367</v>
      </c>
      <c r="AB6" s="179" t="s">
        <v>161</v>
      </c>
      <c r="AC6" s="181" t="s">
        <v>165</v>
      </c>
      <c r="AD6" s="580"/>
      <c r="AE6" s="179" t="s">
        <v>159</v>
      </c>
      <c r="AF6" s="179" t="s">
        <v>367</v>
      </c>
      <c r="AG6" s="179" t="s">
        <v>161</v>
      </c>
      <c r="AH6" s="181" t="s">
        <v>165</v>
      </c>
      <c r="AI6" s="580"/>
      <c r="AJ6" s="179" t="s">
        <v>159</v>
      </c>
      <c r="AK6" s="179" t="s">
        <v>367</v>
      </c>
      <c r="AL6" s="179" t="s">
        <v>161</v>
      </c>
      <c r="AM6" s="181" t="s">
        <v>165</v>
      </c>
      <c r="AN6" s="580"/>
      <c r="AO6" s="179" t="s">
        <v>159</v>
      </c>
      <c r="AP6" s="179" t="s">
        <v>367</v>
      </c>
      <c r="AQ6" s="179" t="s">
        <v>161</v>
      </c>
      <c r="AR6" s="181" t="s">
        <v>165</v>
      </c>
      <c r="AS6" s="580"/>
      <c r="AT6" s="179" t="s">
        <v>159</v>
      </c>
      <c r="AU6" s="179" t="s">
        <v>367</v>
      </c>
      <c r="AV6" s="179" t="s">
        <v>161</v>
      </c>
      <c r="AW6" s="181" t="s">
        <v>165</v>
      </c>
      <c r="AX6" s="580"/>
    </row>
    <row r="7" spans="1:50" ht="14.25" customHeight="1">
      <c r="B7" s="615" t="s">
        <v>426</v>
      </c>
      <c r="C7" s="179">
        <v>1</v>
      </c>
      <c r="D7" s="182" t="s">
        <v>347</v>
      </c>
      <c r="E7" s="183">
        <v>21</v>
      </c>
      <c r="F7" s="179">
        <v>2790</v>
      </c>
      <c r="G7" s="184">
        <f>IFERROR(F7/E7,"")</f>
        <v>132.85714285714286</v>
      </c>
      <c r="H7" s="581">
        <f>AVERAGE(G7:G21)</f>
        <v>132.85714285714286</v>
      </c>
      <c r="I7" s="185">
        <f>AVERAGE(P7,U7,Z7,AE7,AJ7,AO7,AT7)</f>
        <v>22</v>
      </c>
      <c r="J7" s="185">
        <f>AVERAGE(Q7,V7,AA7,AF7,AK7,AP7,AU7)</f>
        <v>2626.6346153846148</v>
      </c>
      <c r="K7" s="186">
        <f>AVERAGE(R7,W7,AB7,AG7,AL7,AQ7,AV7)</f>
        <v>119.39248251748248</v>
      </c>
      <c r="L7" s="582">
        <f>IFERROR(AVERAGE(K7:K21),"-")</f>
        <v>119.39248251748248</v>
      </c>
      <c r="M7" s="185">
        <f>RANK(K7, K$7:$K$21)</f>
        <v>1</v>
      </c>
      <c r="N7" s="580"/>
      <c r="O7" s="580"/>
      <c r="P7" s="187">
        <v>22</v>
      </c>
      <c r="Q7" s="187">
        <v>2626.6346153846152</v>
      </c>
      <c r="R7" s="184">
        <f>IFERROR(Q7/P7,"")</f>
        <v>119.39248251748251</v>
      </c>
      <c r="S7" s="181">
        <f>RANK(R7, R$7:R$21)</f>
        <v>1</v>
      </c>
      <c r="T7" s="581">
        <f>AVERAGE(R7:R21)</f>
        <v>119.39248251748251</v>
      </c>
      <c r="U7" s="187">
        <v>22</v>
      </c>
      <c r="V7" s="187">
        <v>2626.6346153846152</v>
      </c>
      <c r="W7" s="184">
        <f t="shared" ref="W7" si="0">IFERROR(V7/U7,"")</f>
        <v>119.39248251748251</v>
      </c>
      <c r="X7" s="181">
        <f>RANK(W7, W$7:W$21)</f>
        <v>1</v>
      </c>
      <c r="Y7" s="581">
        <f>AVERAGE(W7:W21)</f>
        <v>119.39248251748251</v>
      </c>
      <c r="Z7" s="187">
        <v>22</v>
      </c>
      <c r="AA7" s="187">
        <v>2626.6346153846152</v>
      </c>
      <c r="AB7" s="184">
        <f>IFERROR(AA7/Z7,"")</f>
        <v>119.39248251748251</v>
      </c>
      <c r="AC7" s="181">
        <f>RANK(AB7, AB$7:AB$21)</f>
        <v>1</v>
      </c>
      <c r="AD7" s="581">
        <f>AVERAGE(AB7:AB21)</f>
        <v>119.39248251748251</v>
      </c>
      <c r="AE7" s="187">
        <v>22</v>
      </c>
      <c r="AF7" s="187">
        <v>2626.6346153846152</v>
      </c>
      <c r="AG7" s="184">
        <f>IFERROR(AF7/AE7,"")</f>
        <v>119.39248251748251</v>
      </c>
      <c r="AH7" s="181">
        <f>RANK(AG7, AG$7:AG$21)</f>
        <v>1</v>
      </c>
      <c r="AI7" s="581">
        <f>AVERAGE(AG7:AG21)</f>
        <v>119.39248251748251</v>
      </c>
      <c r="AJ7" s="187">
        <v>22</v>
      </c>
      <c r="AK7" s="187">
        <v>2626.6346153846152</v>
      </c>
      <c r="AL7" s="184">
        <f>IFERROR(AK7/AJ7,"")</f>
        <v>119.39248251748251</v>
      </c>
      <c r="AM7" s="181">
        <f>RANK(AL7, AL$7:AL$21)</f>
        <v>1</v>
      </c>
      <c r="AN7" s="581">
        <f>AVERAGE(AL7:AL21)</f>
        <v>119.39248251748251</v>
      </c>
      <c r="AO7" s="187">
        <v>22</v>
      </c>
      <c r="AP7" s="187">
        <v>2626.6346153846152</v>
      </c>
      <c r="AQ7" s="184">
        <f>IFERROR(AP7/AO7,"")</f>
        <v>119.39248251748251</v>
      </c>
      <c r="AR7" s="181">
        <f>RANK(AQ7, AQ$7:AQ$21)</f>
        <v>1</v>
      </c>
      <c r="AS7" s="581">
        <f>AVERAGE(AQ7:AQ21)</f>
        <v>119.39248251748251</v>
      </c>
      <c r="AT7" s="187">
        <v>22</v>
      </c>
      <c r="AU7" s="187">
        <v>2626.6346153846152</v>
      </c>
      <c r="AV7" s="184">
        <f>IFERROR(AU7/AT7,"")</f>
        <v>119.39248251748251</v>
      </c>
      <c r="AW7" s="181">
        <f>RANK(AV7, AV$7:AV$21)</f>
        <v>1</v>
      </c>
      <c r="AX7" s="581">
        <f>AVERAGE(AV7:AV21)</f>
        <v>119.39248251748251</v>
      </c>
    </row>
    <row r="8" spans="1:50" ht="14.25" customHeight="1">
      <c r="B8" s="580"/>
      <c r="C8" s="179">
        <v>2</v>
      </c>
      <c r="D8" s="182"/>
      <c r="E8" s="179"/>
      <c r="F8" s="179"/>
      <c r="G8" s="184"/>
      <c r="H8" s="581"/>
      <c r="I8" s="185"/>
      <c r="J8" s="185"/>
      <c r="K8" s="186"/>
      <c r="L8" s="582"/>
      <c r="M8" s="185"/>
      <c r="N8" s="580"/>
      <c r="O8" s="580"/>
      <c r="P8" s="187"/>
      <c r="Q8" s="187"/>
      <c r="R8" s="184"/>
      <c r="S8" s="181"/>
      <c r="T8" s="581"/>
      <c r="U8" s="187"/>
      <c r="V8" s="187"/>
      <c r="W8" s="184"/>
      <c r="X8" s="181"/>
      <c r="Y8" s="581"/>
      <c r="Z8" s="187"/>
      <c r="AA8" s="187"/>
      <c r="AB8" s="184"/>
      <c r="AC8" s="181"/>
      <c r="AD8" s="581"/>
      <c r="AE8" s="187"/>
      <c r="AF8" s="187"/>
      <c r="AG8" s="184"/>
      <c r="AH8" s="181"/>
      <c r="AI8" s="581"/>
      <c r="AJ8" s="187"/>
      <c r="AK8" s="187"/>
      <c r="AL8" s="184"/>
      <c r="AM8" s="181"/>
      <c r="AN8" s="581"/>
      <c r="AO8" s="187"/>
      <c r="AP8" s="187"/>
      <c r="AQ8" s="184"/>
      <c r="AR8" s="181"/>
      <c r="AS8" s="581"/>
      <c r="AT8" s="187"/>
      <c r="AU8" s="187"/>
      <c r="AV8" s="184"/>
      <c r="AW8" s="181"/>
      <c r="AX8" s="581"/>
    </row>
    <row r="9" spans="1:50" ht="14.25" customHeight="1">
      <c r="B9" s="580"/>
      <c r="C9" s="179">
        <v>3</v>
      </c>
      <c r="D9" s="182"/>
      <c r="E9" s="179"/>
      <c r="F9" s="179"/>
      <c r="G9" s="184"/>
      <c r="H9" s="581"/>
      <c r="I9" s="185"/>
      <c r="J9" s="185"/>
      <c r="K9" s="186"/>
      <c r="L9" s="582"/>
      <c r="M9" s="185"/>
      <c r="N9" s="580"/>
      <c r="O9" s="580"/>
      <c r="P9" s="187"/>
      <c r="Q9" s="187"/>
      <c r="R9" s="184"/>
      <c r="S9" s="181"/>
      <c r="T9" s="581"/>
      <c r="U9" s="187"/>
      <c r="V9" s="187"/>
      <c r="W9" s="184"/>
      <c r="X9" s="181"/>
      <c r="Y9" s="581"/>
      <c r="Z9" s="187"/>
      <c r="AA9" s="187"/>
      <c r="AB9" s="184"/>
      <c r="AC9" s="181"/>
      <c r="AD9" s="581"/>
      <c r="AE9" s="187"/>
      <c r="AF9" s="187"/>
      <c r="AG9" s="184"/>
      <c r="AH9" s="181"/>
      <c r="AI9" s="581"/>
      <c r="AJ9" s="187"/>
      <c r="AK9" s="187"/>
      <c r="AL9" s="184"/>
      <c r="AM9" s="181"/>
      <c r="AN9" s="581"/>
      <c r="AO9" s="187"/>
      <c r="AP9" s="187"/>
      <c r="AQ9" s="184"/>
      <c r="AR9" s="181"/>
      <c r="AS9" s="581"/>
      <c r="AT9" s="187"/>
      <c r="AU9" s="187"/>
      <c r="AV9" s="184"/>
      <c r="AW9" s="181"/>
      <c r="AX9" s="581"/>
    </row>
    <row r="10" spans="1:50" ht="14.25" customHeight="1">
      <c r="B10" s="580"/>
      <c r="C10" s="179">
        <v>4</v>
      </c>
      <c r="D10" s="182"/>
      <c r="E10" s="179"/>
      <c r="F10" s="179"/>
      <c r="G10" s="184"/>
      <c r="H10" s="581"/>
      <c r="I10" s="185"/>
      <c r="J10" s="185"/>
      <c r="K10" s="186"/>
      <c r="L10" s="582"/>
      <c r="M10" s="185"/>
      <c r="N10" s="580"/>
      <c r="O10" s="580"/>
      <c r="P10" s="187"/>
      <c r="Q10" s="187"/>
      <c r="R10" s="184"/>
      <c r="S10" s="181"/>
      <c r="T10" s="581"/>
      <c r="U10" s="187"/>
      <c r="V10" s="187"/>
      <c r="W10" s="184"/>
      <c r="X10" s="181"/>
      <c r="Y10" s="581"/>
      <c r="Z10" s="187"/>
      <c r="AA10" s="187"/>
      <c r="AB10" s="184"/>
      <c r="AC10" s="181"/>
      <c r="AD10" s="581"/>
      <c r="AE10" s="187"/>
      <c r="AF10" s="187"/>
      <c r="AG10" s="184"/>
      <c r="AH10" s="181"/>
      <c r="AI10" s="581"/>
      <c r="AJ10" s="187"/>
      <c r="AK10" s="187"/>
      <c r="AL10" s="184"/>
      <c r="AM10" s="181"/>
      <c r="AN10" s="581"/>
      <c r="AO10" s="187"/>
      <c r="AP10" s="187"/>
      <c r="AQ10" s="184"/>
      <c r="AR10" s="181"/>
      <c r="AS10" s="581"/>
      <c r="AT10" s="187"/>
      <c r="AU10" s="187"/>
      <c r="AV10" s="184"/>
      <c r="AW10" s="181"/>
      <c r="AX10" s="581"/>
    </row>
    <row r="11" spans="1:50" ht="14.25" customHeight="1">
      <c r="B11" s="580"/>
      <c r="C11" s="179">
        <v>5</v>
      </c>
      <c r="D11" s="182"/>
      <c r="E11" s="179"/>
      <c r="F11" s="179"/>
      <c r="G11" s="184"/>
      <c r="H11" s="581"/>
      <c r="I11" s="185"/>
      <c r="J11" s="185"/>
      <c r="K11" s="186"/>
      <c r="L11" s="582"/>
      <c r="M11" s="185"/>
      <c r="N11" s="580"/>
      <c r="O11" s="580"/>
      <c r="P11" s="187"/>
      <c r="Q11" s="187"/>
      <c r="R11" s="184"/>
      <c r="S11" s="181"/>
      <c r="T11" s="581"/>
      <c r="U11" s="187"/>
      <c r="V11" s="187"/>
      <c r="W11" s="184"/>
      <c r="X11" s="181"/>
      <c r="Y11" s="581"/>
      <c r="Z11" s="187"/>
      <c r="AA11" s="187"/>
      <c r="AB11" s="184"/>
      <c r="AC11" s="181"/>
      <c r="AD11" s="581"/>
      <c r="AE11" s="187"/>
      <c r="AF11" s="187"/>
      <c r="AG11" s="184"/>
      <c r="AH11" s="181"/>
      <c r="AI11" s="581"/>
      <c r="AJ11" s="187"/>
      <c r="AK11" s="187"/>
      <c r="AL11" s="184"/>
      <c r="AM11" s="181"/>
      <c r="AN11" s="581"/>
      <c r="AO11" s="187"/>
      <c r="AP11" s="187"/>
      <c r="AQ11" s="184"/>
      <c r="AR11" s="181"/>
      <c r="AS11" s="581"/>
      <c r="AT11" s="187"/>
      <c r="AU11" s="187"/>
      <c r="AV11" s="184"/>
      <c r="AW11" s="181"/>
      <c r="AX11" s="581"/>
    </row>
    <row r="12" spans="1:50" ht="14.25" customHeight="1">
      <c r="B12" s="580"/>
      <c r="C12" s="179">
        <v>6</v>
      </c>
      <c r="D12" s="182"/>
      <c r="E12" s="179"/>
      <c r="F12" s="179"/>
      <c r="G12" s="184"/>
      <c r="H12" s="581"/>
      <c r="I12" s="185"/>
      <c r="J12" s="185"/>
      <c r="K12" s="186"/>
      <c r="L12" s="582"/>
      <c r="M12" s="185"/>
      <c r="N12" s="580"/>
      <c r="O12" s="580"/>
      <c r="P12" s="187"/>
      <c r="Q12" s="187"/>
      <c r="R12" s="184"/>
      <c r="S12" s="181"/>
      <c r="T12" s="581"/>
      <c r="U12" s="187"/>
      <c r="V12" s="187"/>
      <c r="W12" s="184"/>
      <c r="X12" s="181"/>
      <c r="Y12" s="581"/>
      <c r="Z12" s="187"/>
      <c r="AA12" s="187"/>
      <c r="AB12" s="184"/>
      <c r="AC12" s="181"/>
      <c r="AD12" s="581"/>
      <c r="AE12" s="187"/>
      <c r="AF12" s="187"/>
      <c r="AG12" s="184"/>
      <c r="AH12" s="181"/>
      <c r="AI12" s="581"/>
      <c r="AJ12" s="187"/>
      <c r="AK12" s="187"/>
      <c r="AL12" s="184"/>
      <c r="AM12" s="181"/>
      <c r="AN12" s="581"/>
      <c r="AO12" s="187"/>
      <c r="AP12" s="187"/>
      <c r="AQ12" s="184"/>
      <c r="AR12" s="181"/>
      <c r="AS12" s="581"/>
      <c r="AT12" s="187"/>
      <c r="AU12" s="187"/>
      <c r="AV12" s="184"/>
      <c r="AW12" s="181"/>
      <c r="AX12" s="581"/>
    </row>
    <row r="13" spans="1:50" ht="14.25" customHeight="1">
      <c r="B13" s="580"/>
      <c r="C13" s="179">
        <v>7</v>
      </c>
      <c r="D13" s="182"/>
      <c r="E13" s="179"/>
      <c r="F13" s="179"/>
      <c r="G13" s="184"/>
      <c r="H13" s="581"/>
      <c r="I13" s="185"/>
      <c r="J13" s="185"/>
      <c r="K13" s="186"/>
      <c r="L13" s="582"/>
      <c r="M13" s="185"/>
      <c r="N13" s="580"/>
      <c r="O13" s="580"/>
      <c r="P13" s="187"/>
      <c r="Q13" s="187"/>
      <c r="R13" s="184"/>
      <c r="S13" s="181"/>
      <c r="T13" s="581"/>
      <c r="U13" s="187"/>
      <c r="V13" s="187"/>
      <c r="W13" s="184"/>
      <c r="X13" s="181"/>
      <c r="Y13" s="581"/>
      <c r="Z13" s="187"/>
      <c r="AA13" s="187"/>
      <c r="AB13" s="184"/>
      <c r="AC13" s="181"/>
      <c r="AD13" s="581"/>
      <c r="AE13" s="187"/>
      <c r="AF13" s="187"/>
      <c r="AG13" s="184"/>
      <c r="AH13" s="181"/>
      <c r="AI13" s="581"/>
      <c r="AJ13" s="187"/>
      <c r="AK13" s="187"/>
      <c r="AL13" s="184"/>
      <c r="AM13" s="181"/>
      <c r="AN13" s="581"/>
      <c r="AO13" s="187"/>
      <c r="AP13" s="187"/>
      <c r="AQ13" s="184"/>
      <c r="AR13" s="181"/>
      <c r="AS13" s="581"/>
      <c r="AT13" s="187"/>
      <c r="AU13" s="187"/>
      <c r="AV13" s="184"/>
      <c r="AW13" s="181"/>
      <c r="AX13" s="581"/>
    </row>
    <row r="14" spans="1:50" ht="14.25" customHeight="1">
      <c r="B14" s="580"/>
      <c r="C14" s="179">
        <v>8</v>
      </c>
      <c r="D14" s="182"/>
      <c r="E14" s="179"/>
      <c r="F14" s="179"/>
      <c r="G14" s="184"/>
      <c r="H14" s="581"/>
      <c r="I14" s="185"/>
      <c r="J14" s="185"/>
      <c r="K14" s="186"/>
      <c r="L14" s="582"/>
      <c r="M14" s="185"/>
      <c r="N14" s="580"/>
      <c r="O14" s="580"/>
      <c r="P14" s="187"/>
      <c r="Q14" s="187"/>
      <c r="R14" s="184"/>
      <c r="S14" s="181"/>
      <c r="T14" s="581"/>
      <c r="U14" s="187"/>
      <c r="V14" s="187"/>
      <c r="W14" s="184"/>
      <c r="X14" s="181"/>
      <c r="Y14" s="581"/>
      <c r="Z14" s="187"/>
      <c r="AA14" s="187"/>
      <c r="AB14" s="184"/>
      <c r="AC14" s="181"/>
      <c r="AD14" s="581"/>
      <c r="AE14" s="187"/>
      <c r="AF14" s="187"/>
      <c r="AG14" s="184"/>
      <c r="AH14" s="181"/>
      <c r="AI14" s="581"/>
      <c r="AJ14" s="187"/>
      <c r="AK14" s="187"/>
      <c r="AL14" s="184"/>
      <c r="AM14" s="181"/>
      <c r="AN14" s="581"/>
      <c r="AO14" s="187"/>
      <c r="AP14" s="187"/>
      <c r="AQ14" s="184"/>
      <c r="AR14" s="181"/>
      <c r="AS14" s="581"/>
      <c r="AT14" s="187"/>
      <c r="AU14" s="187"/>
      <c r="AV14" s="184"/>
      <c r="AW14" s="181"/>
      <c r="AX14" s="581"/>
    </row>
    <row r="15" spans="1:50" ht="14.25" customHeight="1">
      <c r="B15" s="580"/>
      <c r="C15" s="179">
        <v>9</v>
      </c>
      <c r="D15" s="182"/>
      <c r="E15" s="179"/>
      <c r="F15" s="179"/>
      <c r="G15" s="184"/>
      <c r="H15" s="581"/>
      <c r="I15" s="185"/>
      <c r="J15" s="185"/>
      <c r="K15" s="186"/>
      <c r="L15" s="582"/>
      <c r="M15" s="185"/>
      <c r="N15" s="580"/>
      <c r="O15" s="580"/>
      <c r="P15" s="187"/>
      <c r="Q15" s="187"/>
      <c r="R15" s="184"/>
      <c r="S15" s="181"/>
      <c r="T15" s="581"/>
      <c r="U15" s="187"/>
      <c r="V15" s="187"/>
      <c r="W15" s="184"/>
      <c r="X15" s="181"/>
      <c r="Y15" s="581"/>
      <c r="Z15" s="187"/>
      <c r="AA15" s="187"/>
      <c r="AB15" s="184"/>
      <c r="AC15" s="181"/>
      <c r="AD15" s="581"/>
      <c r="AE15" s="187"/>
      <c r="AF15" s="187"/>
      <c r="AG15" s="184"/>
      <c r="AH15" s="181"/>
      <c r="AI15" s="581"/>
      <c r="AJ15" s="187"/>
      <c r="AK15" s="187"/>
      <c r="AL15" s="184"/>
      <c r="AM15" s="181"/>
      <c r="AN15" s="581"/>
      <c r="AO15" s="187"/>
      <c r="AP15" s="187"/>
      <c r="AQ15" s="184"/>
      <c r="AR15" s="181"/>
      <c r="AS15" s="581"/>
      <c r="AT15" s="187"/>
      <c r="AU15" s="187"/>
      <c r="AV15" s="184"/>
      <c r="AW15" s="181"/>
      <c r="AX15" s="581"/>
    </row>
    <row r="16" spans="1:50" ht="14.25" customHeight="1">
      <c r="B16" s="580"/>
      <c r="C16" s="179">
        <v>10</v>
      </c>
      <c r="D16" s="182"/>
      <c r="E16" s="179"/>
      <c r="F16" s="179"/>
      <c r="G16" s="184"/>
      <c r="H16" s="581"/>
      <c r="I16" s="185"/>
      <c r="J16" s="185"/>
      <c r="K16" s="186"/>
      <c r="L16" s="582"/>
      <c r="M16" s="185"/>
      <c r="N16" s="580"/>
      <c r="O16" s="580"/>
      <c r="P16" s="187"/>
      <c r="Q16" s="187"/>
      <c r="R16" s="184"/>
      <c r="S16" s="181"/>
      <c r="T16" s="581"/>
      <c r="U16" s="187"/>
      <c r="V16" s="187"/>
      <c r="W16" s="184"/>
      <c r="X16" s="181"/>
      <c r="Y16" s="581"/>
      <c r="Z16" s="187"/>
      <c r="AA16" s="187"/>
      <c r="AB16" s="184"/>
      <c r="AC16" s="181"/>
      <c r="AD16" s="581"/>
      <c r="AE16" s="187"/>
      <c r="AF16" s="187"/>
      <c r="AG16" s="184"/>
      <c r="AH16" s="181"/>
      <c r="AI16" s="581"/>
      <c r="AJ16" s="187"/>
      <c r="AK16" s="187"/>
      <c r="AL16" s="184"/>
      <c r="AM16" s="181"/>
      <c r="AN16" s="581"/>
      <c r="AO16" s="187"/>
      <c r="AP16" s="187"/>
      <c r="AQ16" s="184"/>
      <c r="AR16" s="181"/>
      <c r="AS16" s="581"/>
      <c r="AT16" s="187"/>
      <c r="AU16" s="187"/>
      <c r="AV16" s="184"/>
      <c r="AW16" s="181"/>
      <c r="AX16" s="581"/>
    </row>
    <row r="17" spans="2:50" ht="14.25" customHeight="1">
      <c r="B17" s="580"/>
      <c r="C17" s="179">
        <v>11</v>
      </c>
      <c r="D17" s="182"/>
      <c r="E17" s="179"/>
      <c r="F17" s="179"/>
      <c r="G17" s="184"/>
      <c r="H17" s="581"/>
      <c r="I17" s="185"/>
      <c r="J17" s="185"/>
      <c r="K17" s="186"/>
      <c r="L17" s="582"/>
      <c r="M17" s="185"/>
      <c r="N17" s="580"/>
      <c r="O17" s="580"/>
      <c r="P17" s="187"/>
      <c r="Q17" s="187"/>
      <c r="R17" s="184"/>
      <c r="S17" s="181"/>
      <c r="T17" s="581"/>
      <c r="U17" s="187"/>
      <c r="V17" s="187"/>
      <c r="W17" s="184"/>
      <c r="X17" s="181"/>
      <c r="Y17" s="581"/>
      <c r="Z17" s="187"/>
      <c r="AA17" s="187"/>
      <c r="AB17" s="184"/>
      <c r="AC17" s="181"/>
      <c r="AD17" s="581"/>
      <c r="AE17" s="187"/>
      <c r="AF17" s="187"/>
      <c r="AG17" s="184"/>
      <c r="AH17" s="181"/>
      <c r="AI17" s="581"/>
      <c r="AJ17" s="187"/>
      <c r="AK17" s="187"/>
      <c r="AL17" s="184"/>
      <c r="AM17" s="181"/>
      <c r="AN17" s="581"/>
      <c r="AO17" s="187"/>
      <c r="AP17" s="187"/>
      <c r="AQ17" s="184"/>
      <c r="AR17" s="181"/>
      <c r="AS17" s="581"/>
      <c r="AT17" s="187"/>
      <c r="AU17" s="187"/>
      <c r="AV17" s="184"/>
      <c r="AW17" s="181"/>
      <c r="AX17" s="581"/>
    </row>
    <row r="18" spans="2:50" ht="14.25" customHeight="1">
      <c r="B18" s="580"/>
      <c r="C18" s="179">
        <v>12</v>
      </c>
      <c r="D18" s="182"/>
      <c r="E18" s="179"/>
      <c r="F18" s="179"/>
      <c r="G18" s="184"/>
      <c r="H18" s="581"/>
      <c r="I18" s="185"/>
      <c r="J18" s="185"/>
      <c r="K18" s="186"/>
      <c r="L18" s="582"/>
      <c r="M18" s="185"/>
      <c r="N18" s="580"/>
      <c r="O18" s="580"/>
      <c r="P18" s="187"/>
      <c r="Q18" s="187"/>
      <c r="R18" s="184"/>
      <c r="S18" s="181"/>
      <c r="T18" s="581"/>
      <c r="U18" s="187"/>
      <c r="V18" s="187"/>
      <c r="W18" s="184"/>
      <c r="X18" s="181"/>
      <c r="Y18" s="581"/>
      <c r="Z18" s="187"/>
      <c r="AA18" s="187"/>
      <c r="AB18" s="184"/>
      <c r="AC18" s="181"/>
      <c r="AD18" s="581"/>
      <c r="AE18" s="187"/>
      <c r="AF18" s="187"/>
      <c r="AG18" s="184"/>
      <c r="AH18" s="181"/>
      <c r="AI18" s="581"/>
      <c r="AJ18" s="187"/>
      <c r="AK18" s="187"/>
      <c r="AL18" s="184"/>
      <c r="AM18" s="181"/>
      <c r="AN18" s="581"/>
      <c r="AO18" s="187"/>
      <c r="AP18" s="187"/>
      <c r="AQ18" s="184"/>
      <c r="AR18" s="181"/>
      <c r="AS18" s="581"/>
      <c r="AT18" s="187"/>
      <c r="AU18" s="187"/>
      <c r="AV18" s="184"/>
      <c r="AW18" s="181"/>
      <c r="AX18" s="581"/>
    </row>
    <row r="19" spans="2:50" ht="14.25" customHeight="1">
      <c r="B19" s="580"/>
      <c r="C19" s="179">
        <v>13</v>
      </c>
      <c r="D19" s="182"/>
      <c r="E19" s="179"/>
      <c r="F19" s="179"/>
      <c r="G19" s="184"/>
      <c r="H19" s="581"/>
      <c r="I19" s="185"/>
      <c r="J19" s="185"/>
      <c r="K19" s="186"/>
      <c r="L19" s="582"/>
      <c r="M19" s="185"/>
      <c r="N19" s="580"/>
      <c r="O19" s="580"/>
      <c r="P19" s="187"/>
      <c r="Q19" s="187"/>
      <c r="R19" s="184"/>
      <c r="S19" s="181"/>
      <c r="T19" s="581"/>
      <c r="U19" s="187"/>
      <c r="V19" s="187"/>
      <c r="W19" s="184"/>
      <c r="X19" s="181"/>
      <c r="Y19" s="581"/>
      <c r="Z19" s="187"/>
      <c r="AA19" s="187"/>
      <c r="AB19" s="184"/>
      <c r="AC19" s="181"/>
      <c r="AD19" s="581"/>
      <c r="AE19" s="187"/>
      <c r="AF19" s="187"/>
      <c r="AG19" s="184"/>
      <c r="AH19" s="181"/>
      <c r="AI19" s="581"/>
      <c r="AJ19" s="187"/>
      <c r="AK19" s="187"/>
      <c r="AL19" s="184"/>
      <c r="AM19" s="181"/>
      <c r="AN19" s="581"/>
      <c r="AO19" s="187"/>
      <c r="AP19" s="187"/>
      <c r="AQ19" s="184"/>
      <c r="AR19" s="181"/>
      <c r="AS19" s="581"/>
      <c r="AT19" s="187"/>
      <c r="AU19" s="187"/>
      <c r="AV19" s="184"/>
      <c r="AW19" s="181"/>
      <c r="AX19" s="581"/>
    </row>
    <row r="20" spans="2:50" ht="14.25" customHeight="1">
      <c r="B20" s="580"/>
      <c r="C20" s="179">
        <v>14</v>
      </c>
      <c r="D20" s="182"/>
      <c r="E20" s="179"/>
      <c r="F20" s="179"/>
      <c r="G20" s="184"/>
      <c r="H20" s="581"/>
      <c r="I20" s="185"/>
      <c r="J20" s="185"/>
      <c r="K20" s="186"/>
      <c r="L20" s="582"/>
      <c r="M20" s="185"/>
      <c r="N20" s="580"/>
      <c r="O20" s="580"/>
      <c r="P20" s="187"/>
      <c r="Q20" s="187"/>
      <c r="R20" s="184"/>
      <c r="S20" s="181"/>
      <c r="T20" s="581"/>
      <c r="U20" s="187"/>
      <c r="V20" s="187"/>
      <c r="W20" s="184"/>
      <c r="X20" s="181"/>
      <c r="Y20" s="581"/>
      <c r="Z20" s="187"/>
      <c r="AA20" s="187"/>
      <c r="AB20" s="184"/>
      <c r="AC20" s="181"/>
      <c r="AD20" s="581"/>
      <c r="AE20" s="187"/>
      <c r="AF20" s="187"/>
      <c r="AG20" s="184"/>
      <c r="AH20" s="181"/>
      <c r="AI20" s="581"/>
      <c r="AJ20" s="187"/>
      <c r="AK20" s="187"/>
      <c r="AL20" s="184"/>
      <c r="AM20" s="181"/>
      <c r="AN20" s="581"/>
      <c r="AO20" s="187"/>
      <c r="AP20" s="187"/>
      <c r="AQ20" s="184"/>
      <c r="AR20" s="181"/>
      <c r="AS20" s="581"/>
      <c r="AT20" s="187"/>
      <c r="AU20" s="187"/>
      <c r="AV20" s="184"/>
      <c r="AW20" s="181"/>
      <c r="AX20" s="581"/>
    </row>
    <row r="21" spans="2:50" ht="14.25" customHeight="1">
      <c r="B21" s="580"/>
      <c r="C21" s="179">
        <v>15</v>
      </c>
      <c r="D21" s="182"/>
      <c r="E21" s="179"/>
      <c r="F21" s="179"/>
      <c r="G21" s="184"/>
      <c r="H21" s="581"/>
      <c r="I21" s="185"/>
      <c r="J21" s="185"/>
      <c r="K21" s="186"/>
      <c r="L21" s="582"/>
      <c r="M21" s="185"/>
      <c r="N21" s="580"/>
      <c r="O21" s="580"/>
      <c r="P21" s="187"/>
      <c r="Q21" s="187"/>
      <c r="R21" s="184"/>
      <c r="S21" s="181"/>
      <c r="T21" s="581"/>
      <c r="U21" s="187"/>
      <c r="V21" s="187"/>
      <c r="W21" s="184"/>
      <c r="X21" s="181"/>
      <c r="Y21" s="581"/>
      <c r="Z21" s="187"/>
      <c r="AA21" s="187"/>
      <c r="AB21" s="184"/>
      <c r="AC21" s="181"/>
      <c r="AD21" s="581"/>
      <c r="AE21" s="187"/>
      <c r="AF21" s="187"/>
      <c r="AG21" s="184"/>
      <c r="AH21" s="181"/>
      <c r="AI21" s="581"/>
      <c r="AJ21" s="187"/>
      <c r="AK21" s="187"/>
      <c r="AL21" s="184"/>
      <c r="AM21" s="181"/>
      <c r="AN21" s="581"/>
      <c r="AO21" s="187"/>
      <c r="AP21" s="187"/>
      <c r="AQ21" s="184"/>
      <c r="AR21" s="181"/>
      <c r="AS21" s="581"/>
      <c r="AT21" s="187"/>
      <c r="AU21" s="187"/>
      <c r="AV21" s="184"/>
      <c r="AW21" s="181"/>
      <c r="AX21" s="581"/>
    </row>
    <row r="22" spans="2:50" ht="14.25" customHeight="1">
      <c r="B22" s="608" t="s">
        <v>807</v>
      </c>
      <c r="C22" s="609"/>
      <c r="D22" s="609"/>
      <c r="E22" s="609"/>
      <c r="F22" s="609"/>
      <c r="G22" s="609"/>
      <c r="H22" s="609"/>
      <c r="I22" s="609"/>
      <c r="J22" s="609"/>
      <c r="K22" s="609"/>
      <c r="L22" s="609"/>
      <c r="M22" s="610"/>
      <c r="N22" s="613" t="s">
        <v>363</v>
      </c>
      <c r="O22" s="613" t="s">
        <v>105</v>
      </c>
      <c r="P22" s="602">
        <v>46210</v>
      </c>
      <c r="Q22" s="603"/>
      <c r="R22" s="603"/>
      <c r="S22" s="603"/>
      <c r="T22" s="603"/>
      <c r="U22" s="594">
        <v>46211</v>
      </c>
      <c r="V22" s="595"/>
      <c r="W22" s="595"/>
      <c r="X22" s="595"/>
      <c r="Y22" s="595"/>
      <c r="Z22" s="602">
        <v>46212</v>
      </c>
      <c r="AA22" s="603"/>
      <c r="AB22" s="603"/>
      <c r="AC22" s="603"/>
      <c r="AD22" s="603"/>
      <c r="AE22" s="594">
        <v>46213</v>
      </c>
      <c r="AF22" s="595"/>
      <c r="AG22" s="595"/>
      <c r="AH22" s="595"/>
      <c r="AI22" s="595"/>
      <c r="AJ22" s="586">
        <v>46214</v>
      </c>
      <c r="AK22" s="587"/>
      <c r="AL22" s="587"/>
      <c r="AM22" s="587"/>
      <c r="AN22" s="588"/>
      <c r="AO22" s="594">
        <v>46215</v>
      </c>
      <c r="AP22" s="595"/>
      <c r="AQ22" s="595"/>
      <c r="AR22" s="595"/>
      <c r="AS22" s="595"/>
      <c r="AT22" s="586">
        <v>46216</v>
      </c>
      <c r="AU22" s="587"/>
      <c r="AV22" s="587"/>
      <c r="AW22" s="587"/>
      <c r="AX22" s="588"/>
    </row>
    <row r="23" spans="2:50" ht="14.25" customHeight="1">
      <c r="B23" s="611"/>
      <c r="C23" s="611"/>
      <c r="D23" s="611"/>
      <c r="E23" s="611"/>
      <c r="F23" s="611"/>
      <c r="G23" s="611"/>
      <c r="H23" s="611"/>
      <c r="I23" s="611"/>
      <c r="J23" s="611"/>
      <c r="K23" s="611"/>
      <c r="L23" s="611"/>
      <c r="M23" s="612"/>
      <c r="N23" s="614"/>
      <c r="O23" s="614"/>
      <c r="P23" s="589">
        <v>46196</v>
      </c>
      <c r="Q23" s="589"/>
      <c r="R23" s="589"/>
      <c r="S23" s="589"/>
      <c r="T23" s="589"/>
      <c r="U23" s="590">
        <v>46197</v>
      </c>
      <c r="V23" s="590"/>
      <c r="W23" s="590"/>
      <c r="X23" s="590"/>
      <c r="Y23" s="590"/>
      <c r="Z23" s="589">
        <v>46198</v>
      </c>
      <c r="AA23" s="589"/>
      <c r="AB23" s="589"/>
      <c r="AC23" s="589"/>
      <c r="AD23" s="589"/>
      <c r="AE23" s="590">
        <v>46199</v>
      </c>
      <c r="AF23" s="590"/>
      <c r="AG23" s="590"/>
      <c r="AH23" s="590"/>
      <c r="AI23" s="590"/>
      <c r="AJ23" s="591">
        <v>46200</v>
      </c>
      <c r="AK23" s="592"/>
      <c r="AL23" s="592"/>
      <c r="AM23" s="592"/>
      <c r="AN23" s="593"/>
      <c r="AO23" s="590">
        <v>46201</v>
      </c>
      <c r="AP23" s="590"/>
      <c r="AQ23" s="590"/>
      <c r="AR23" s="590"/>
      <c r="AS23" s="590"/>
      <c r="AT23" s="591">
        <v>46202</v>
      </c>
      <c r="AU23" s="592"/>
      <c r="AV23" s="592"/>
      <c r="AW23" s="592"/>
      <c r="AX23" s="593"/>
    </row>
    <row r="24" spans="2:50" ht="14.25" customHeight="1">
      <c r="B24" s="580" t="s">
        <v>162</v>
      </c>
      <c r="C24" s="580" t="s">
        <v>157</v>
      </c>
      <c r="D24" s="580"/>
      <c r="E24" s="580" t="s">
        <v>158</v>
      </c>
      <c r="F24" s="580"/>
      <c r="G24" s="580"/>
      <c r="H24" s="580" t="s">
        <v>163</v>
      </c>
      <c r="I24" s="583" t="s">
        <v>364</v>
      </c>
      <c r="J24" s="583"/>
      <c r="K24" s="583"/>
      <c r="L24" s="583" t="s">
        <v>163</v>
      </c>
      <c r="M24" s="583" t="s">
        <v>165</v>
      </c>
      <c r="N24" s="580"/>
      <c r="O24" s="580" t="s">
        <v>164</v>
      </c>
      <c r="P24" s="580" t="s">
        <v>160</v>
      </c>
      <c r="Q24" s="580"/>
      <c r="R24" s="580"/>
      <c r="S24" s="580"/>
      <c r="T24" s="580" t="s">
        <v>163</v>
      </c>
      <c r="U24" s="580" t="s">
        <v>160</v>
      </c>
      <c r="V24" s="580"/>
      <c r="W24" s="580"/>
      <c r="X24" s="580"/>
      <c r="Y24" s="580" t="s">
        <v>163</v>
      </c>
      <c r="Z24" s="580" t="s">
        <v>160</v>
      </c>
      <c r="AA24" s="580"/>
      <c r="AB24" s="580"/>
      <c r="AC24" s="580"/>
      <c r="AD24" s="580" t="s">
        <v>163</v>
      </c>
      <c r="AE24" s="580" t="s">
        <v>160</v>
      </c>
      <c r="AF24" s="580"/>
      <c r="AG24" s="580"/>
      <c r="AH24" s="580"/>
      <c r="AI24" s="580" t="s">
        <v>163</v>
      </c>
      <c r="AJ24" s="580" t="s">
        <v>160</v>
      </c>
      <c r="AK24" s="580"/>
      <c r="AL24" s="580"/>
      <c r="AM24" s="580"/>
      <c r="AN24" s="580" t="s">
        <v>163</v>
      </c>
      <c r="AO24" s="580" t="s">
        <v>160</v>
      </c>
      <c r="AP24" s="580"/>
      <c r="AQ24" s="580"/>
      <c r="AR24" s="580"/>
      <c r="AS24" s="580" t="s">
        <v>163</v>
      </c>
      <c r="AT24" s="580" t="s">
        <v>160</v>
      </c>
      <c r="AU24" s="580"/>
      <c r="AV24" s="580"/>
      <c r="AW24" s="580"/>
      <c r="AX24" s="580" t="s">
        <v>163</v>
      </c>
    </row>
    <row r="25" spans="2:50" ht="14.25" customHeight="1">
      <c r="B25" s="580"/>
      <c r="C25" s="580"/>
      <c r="D25" s="580"/>
      <c r="E25" s="580" t="s">
        <v>365</v>
      </c>
      <c r="F25" s="580"/>
      <c r="G25" s="580"/>
      <c r="H25" s="580"/>
      <c r="I25" s="583" t="s">
        <v>365</v>
      </c>
      <c r="J25" s="583"/>
      <c r="K25" s="583"/>
      <c r="L25" s="583"/>
      <c r="M25" s="583"/>
      <c r="N25" s="580"/>
      <c r="O25" s="580"/>
      <c r="P25" s="580" t="s">
        <v>366</v>
      </c>
      <c r="Q25" s="580"/>
      <c r="R25" s="580"/>
      <c r="S25" s="580"/>
      <c r="T25" s="580"/>
      <c r="U25" s="580" t="s">
        <v>366</v>
      </c>
      <c r="V25" s="580"/>
      <c r="W25" s="580"/>
      <c r="X25" s="580"/>
      <c r="Y25" s="580"/>
      <c r="Z25" s="580" t="s">
        <v>366</v>
      </c>
      <c r="AA25" s="580"/>
      <c r="AB25" s="580"/>
      <c r="AC25" s="580"/>
      <c r="AD25" s="580"/>
      <c r="AE25" s="580" t="s">
        <v>366</v>
      </c>
      <c r="AF25" s="580"/>
      <c r="AG25" s="580"/>
      <c r="AH25" s="580"/>
      <c r="AI25" s="580"/>
      <c r="AJ25" s="580" t="s">
        <v>366</v>
      </c>
      <c r="AK25" s="580"/>
      <c r="AL25" s="580"/>
      <c r="AM25" s="580"/>
      <c r="AN25" s="580"/>
      <c r="AO25" s="580" t="s">
        <v>366</v>
      </c>
      <c r="AP25" s="580"/>
      <c r="AQ25" s="580"/>
      <c r="AR25" s="580"/>
      <c r="AS25" s="580"/>
      <c r="AT25" s="580" t="s">
        <v>366</v>
      </c>
      <c r="AU25" s="580"/>
      <c r="AV25" s="580"/>
      <c r="AW25" s="580"/>
      <c r="AX25" s="580"/>
    </row>
    <row r="26" spans="2:50" ht="14.25" customHeight="1">
      <c r="B26" s="580"/>
      <c r="C26" s="580"/>
      <c r="D26" s="580"/>
      <c r="E26" s="179" t="s">
        <v>159</v>
      </c>
      <c r="F26" s="179" t="s">
        <v>367</v>
      </c>
      <c r="G26" s="179" t="s">
        <v>161</v>
      </c>
      <c r="H26" s="580"/>
      <c r="I26" s="180" t="s">
        <v>159</v>
      </c>
      <c r="J26" s="180" t="s">
        <v>367</v>
      </c>
      <c r="K26" s="180" t="s">
        <v>161</v>
      </c>
      <c r="L26" s="583"/>
      <c r="M26" s="583"/>
      <c r="N26" s="580"/>
      <c r="O26" s="580"/>
      <c r="P26" s="179" t="s">
        <v>159</v>
      </c>
      <c r="Q26" s="179" t="s">
        <v>367</v>
      </c>
      <c r="R26" s="179" t="s">
        <v>161</v>
      </c>
      <c r="S26" s="181" t="s">
        <v>165</v>
      </c>
      <c r="T26" s="580"/>
      <c r="U26" s="179" t="s">
        <v>159</v>
      </c>
      <c r="V26" s="179" t="s">
        <v>367</v>
      </c>
      <c r="W26" s="179" t="s">
        <v>161</v>
      </c>
      <c r="X26" s="181" t="s">
        <v>165</v>
      </c>
      <c r="Y26" s="580"/>
      <c r="Z26" s="179" t="s">
        <v>159</v>
      </c>
      <c r="AA26" s="179" t="s">
        <v>367</v>
      </c>
      <c r="AB26" s="179" t="s">
        <v>161</v>
      </c>
      <c r="AC26" s="181" t="s">
        <v>165</v>
      </c>
      <c r="AD26" s="580"/>
      <c r="AE26" s="179" t="s">
        <v>159</v>
      </c>
      <c r="AF26" s="179" t="s">
        <v>367</v>
      </c>
      <c r="AG26" s="179" t="s">
        <v>161</v>
      </c>
      <c r="AH26" s="181" t="s">
        <v>165</v>
      </c>
      <c r="AI26" s="580"/>
      <c r="AJ26" s="179" t="s">
        <v>159</v>
      </c>
      <c r="AK26" s="179" t="s">
        <v>367</v>
      </c>
      <c r="AL26" s="179" t="s">
        <v>161</v>
      </c>
      <c r="AM26" s="181" t="s">
        <v>165</v>
      </c>
      <c r="AN26" s="580"/>
      <c r="AO26" s="179" t="s">
        <v>159</v>
      </c>
      <c r="AP26" s="179" t="s">
        <v>367</v>
      </c>
      <c r="AQ26" s="179" t="s">
        <v>161</v>
      </c>
      <c r="AR26" s="181" t="s">
        <v>165</v>
      </c>
      <c r="AS26" s="580"/>
      <c r="AT26" s="179" t="s">
        <v>159</v>
      </c>
      <c r="AU26" s="179" t="s">
        <v>367</v>
      </c>
      <c r="AV26" s="179" t="s">
        <v>161</v>
      </c>
      <c r="AW26" s="181" t="s">
        <v>165</v>
      </c>
      <c r="AX26" s="580"/>
    </row>
    <row r="27" spans="2:50" ht="14.25" customHeight="1">
      <c r="B27" s="615" t="s">
        <v>426</v>
      </c>
      <c r="C27" s="179">
        <v>1</v>
      </c>
      <c r="D27" s="182" t="s">
        <v>347</v>
      </c>
      <c r="E27" s="183">
        <v>21</v>
      </c>
      <c r="F27" s="179">
        <v>2790</v>
      </c>
      <c r="G27" s="184">
        <f t="shared" ref="G27:G28" si="1">IFERROR(F27/E27,"")</f>
        <v>132.85714285714286</v>
      </c>
      <c r="H27" s="581">
        <f>AVERAGE(G27:G41)</f>
        <v>132.85714285714286</v>
      </c>
      <c r="I27" s="185">
        <f>AVERAGE(P27,U27,Z27,AE27,AJ27,AO27,AT27)</f>
        <v>23</v>
      </c>
      <c r="J27" s="185">
        <f>AVERAGE(Q27,V27,AA27,AF27,AK27,AP27,AU27)</f>
        <v>2786.9038461538466</v>
      </c>
      <c r="K27" s="186">
        <f>AVERAGE(R27,W27,AB27,AG27,AL27,AQ27,AV27)</f>
        <v>121.16973244147157</v>
      </c>
      <c r="L27" s="582">
        <f>IFERROR(AVERAGE(K27:K41),"-")</f>
        <v>113.38841138750922</v>
      </c>
      <c r="M27" s="185">
        <f>RANK(K27, K$27:$K$41)</f>
        <v>1</v>
      </c>
      <c r="N27" s="580"/>
      <c r="O27" s="580"/>
      <c r="P27" s="187">
        <v>23</v>
      </c>
      <c r="Q27" s="187">
        <v>2786.9038461538466</v>
      </c>
      <c r="R27" s="184">
        <f>IFERROR(Q27/P27,"")</f>
        <v>121.1697324414716</v>
      </c>
      <c r="S27" s="181">
        <f>RANK(R27, R$27:R$41)</f>
        <v>1</v>
      </c>
      <c r="T27" s="581">
        <f>AVERAGE(R27:R41)</f>
        <v>109.05801333612041</v>
      </c>
      <c r="U27" s="187">
        <v>23</v>
      </c>
      <c r="V27" s="187">
        <v>2786.9038461538457</v>
      </c>
      <c r="W27" s="184">
        <f t="shared" ref="W27:W28" si="2">IFERROR(V27/U27,"")</f>
        <v>121.16973244147155</v>
      </c>
      <c r="X27" s="181">
        <f>RANK(W27, W$27:W$41)</f>
        <v>1</v>
      </c>
      <c r="Y27" s="581">
        <f>AVERAGE(W27:W41)</f>
        <v>110.02337924156912</v>
      </c>
      <c r="Z27" s="187">
        <v>23</v>
      </c>
      <c r="AA27" s="187">
        <v>2786.9038461538462</v>
      </c>
      <c r="AB27" s="184">
        <f>IFERROR(AA27/Z27,"")</f>
        <v>121.16973244147157</v>
      </c>
      <c r="AC27" s="181">
        <f>RANK(AB27, AB$27:AB$41)</f>
        <v>1</v>
      </c>
      <c r="AD27" s="581">
        <f>AVERAGE(AB27:AB41)</f>
        <v>111.01040768708194</v>
      </c>
      <c r="AE27" s="187">
        <v>23</v>
      </c>
      <c r="AF27" s="187">
        <v>2786.9038461538462</v>
      </c>
      <c r="AG27" s="184">
        <f>IFERROR(AF27/AE27,"")</f>
        <v>121.16973244147157</v>
      </c>
      <c r="AH27" s="181">
        <f>RANK(AG27, AG$27:AG$41)</f>
        <v>1</v>
      </c>
      <c r="AI27" s="581">
        <f>AVERAGE(AG27:AG41)</f>
        <v>113.93995067418385</v>
      </c>
      <c r="AJ27" s="187">
        <v>23</v>
      </c>
      <c r="AK27" s="187">
        <v>2786.9038461538466</v>
      </c>
      <c r="AL27" s="184">
        <f>IFERROR(AK27/AJ27,"")</f>
        <v>121.1697324414716</v>
      </c>
      <c r="AM27" s="181">
        <f>RANK(AL27, AL$27:AL$41)</f>
        <v>1</v>
      </c>
      <c r="AN27" s="581">
        <f>AVERAGE(AL27:AL41)</f>
        <v>116.39866905941042</v>
      </c>
      <c r="AO27" s="187">
        <v>23</v>
      </c>
      <c r="AP27" s="187">
        <v>2786.9038461538462</v>
      </c>
      <c r="AQ27" s="184">
        <f>IFERROR(AP27/AO27,"")</f>
        <v>121.16973244147157</v>
      </c>
      <c r="AR27" s="181">
        <f>RANK(AQ27, AQ$27:AQ$41)</f>
        <v>1</v>
      </c>
      <c r="AS27" s="581">
        <f>AVERAGE(AQ27:AQ41)</f>
        <v>116.24904803891761</v>
      </c>
      <c r="AT27" s="187">
        <v>23</v>
      </c>
      <c r="AU27" s="187">
        <v>2786.9038461538462</v>
      </c>
      <c r="AV27" s="184">
        <f>IFERROR(AU27/AT27,"")</f>
        <v>121.16973244147157</v>
      </c>
      <c r="AW27" s="181">
        <f>RANK(AV27, AV$27:AV$41)</f>
        <v>1</v>
      </c>
      <c r="AX27" s="581">
        <f>AVERAGE(AV27:AV41)</f>
        <v>117.03941167528123</v>
      </c>
    </row>
    <row r="28" spans="2:50" ht="14.25" customHeight="1">
      <c r="B28" s="580"/>
      <c r="C28" s="179">
        <v>2</v>
      </c>
      <c r="D28" s="182" t="s">
        <v>808</v>
      </c>
      <c r="E28" s="179">
        <v>21</v>
      </c>
      <c r="F28" s="179">
        <v>2790</v>
      </c>
      <c r="G28" s="184">
        <f t="shared" si="1"/>
        <v>132.85714285714286</v>
      </c>
      <c r="H28" s="581"/>
      <c r="I28" s="185">
        <f t="shared" ref="I28:K28" si="3">AVERAGE(P28,U28,Z28,AE28,AJ28,AO28,AT28)</f>
        <v>23.571428571428573</v>
      </c>
      <c r="J28" s="185">
        <f t="shared" si="3"/>
        <v>2484.3517944536766</v>
      </c>
      <c r="K28" s="186">
        <f t="shared" si="3"/>
        <v>105.60709033354688</v>
      </c>
      <c r="L28" s="582"/>
      <c r="M28" s="185">
        <f>RANK(K28, K$27:$K$41)</f>
        <v>2</v>
      </c>
      <c r="N28" s="580"/>
      <c r="O28" s="580"/>
      <c r="P28" s="187">
        <v>25</v>
      </c>
      <c r="Q28" s="187">
        <v>2423.6573557692309</v>
      </c>
      <c r="R28" s="184">
        <f t="shared" ref="R28" si="4">IFERROR(Q28/P28,"")</f>
        <v>96.94629423076924</v>
      </c>
      <c r="S28" s="181">
        <f>RANK(R28, R$27:R$41)</f>
        <v>2</v>
      </c>
      <c r="T28" s="581"/>
      <c r="U28" s="187">
        <v>24</v>
      </c>
      <c r="V28" s="187">
        <v>2373.0486250000004</v>
      </c>
      <c r="W28" s="184">
        <f t="shared" si="2"/>
        <v>98.877026041666682</v>
      </c>
      <c r="X28" s="181">
        <f>RANK(W28, W$27:W$41)</f>
        <v>2</v>
      </c>
      <c r="Y28" s="581"/>
      <c r="Z28" s="187">
        <v>24</v>
      </c>
      <c r="AA28" s="187">
        <v>2420.425990384615</v>
      </c>
      <c r="AB28" s="184">
        <f t="shared" ref="AB28" si="5">IFERROR(AA28/Z28,"")</f>
        <v>100.85108293269229</v>
      </c>
      <c r="AC28" s="181">
        <f>RANK(AB28, AB$27:AB$41)</f>
        <v>2</v>
      </c>
      <c r="AD28" s="581"/>
      <c r="AE28" s="187">
        <v>24</v>
      </c>
      <c r="AF28" s="187">
        <v>2561.0440537655068</v>
      </c>
      <c r="AG28" s="184">
        <f t="shared" ref="AG28" si="6">IFERROR(AF28/AE28,"")</f>
        <v>106.71016890689612</v>
      </c>
      <c r="AH28" s="181">
        <f>RANK(AG28, AG$27:AG$41)</f>
        <v>2</v>
      </c>
      <c r="AI28" s="581"/>
      <c r="AJ28" s="187">
        <v>24</v>
      </c>
      <c r="AK28" s="187">
        <v>2679.0625362563819</v>
      </c>
      <c r="AL28" s="184">
        <f t="shared" ref="AL28" si="7">IFERROR(AK28/AJ28,"")</f>
        <v>111.62760567734925</v>
      </c>
      <c r="AM28" s="181">
        <f>RANK(AL28, AL$27:AL$41)</f>
        <v>2</v>
      </c>
      <c r="AN28" s="581"/>
      <c r="AO28" s="187">
        <v>22</v>
      </c>
      <c r="AP28" s="187">
        <v>2449.2240000000002</v>
      </c>
      <c r="AQ28" s="184">
        <f t="shared" ref="AQ28" si="8">IFERROR(AP28/AO28,"")</f>
        <v>111.32836363636365</v>
      </c>
      <c r="AR28" s="181">
        <f>RANK(AQ28, AQ$27:AQ$41)</f>
        <v>2</v>
      </c>
      <c r="AS28" s="581"/>
      <c r="AT28" s="187">
        <v>22</v>
      </c>
      <c r="AU28" s="187">
        <v>2484</v>
      </c>
      <c r="AV28" s="184">
        <f t="shared" ref="AV28" si="9">IFERROR(AU28/AT28,"")</f>
        <v>112.90909090909091</v>
      </c>
      <c r="AW28" s="181">
        <f>RANK(AV28, AV$27:AV$41)</f>
        <v>2</v>
      </c>
      <c r="AX28" s="581"/>
    </row>
    <row r="29" spans="2:50" ht="14.25" customHeight="1">
      <c r="B29" s="580"/>
      <c r="C29" s="179">
        <v>3</v>
      </c>
      <c r="D29" s="182"/>
      <c r="E29" s="179"/>
      <c r="F29" s="179"/>
      <c r="G29" s="184"/>
      <c r="H29" s="581"/>
      <c r="I29" s="185"/>
      <c r="J29" s="185"/>
      <c r="K29" s="186"/>
      <c r="L29" s="582"/>
      <c r="M29" s="185"/>
      <c r="N29" s="580"/>
      <c r="O29" s="580"/>
      <c r="P29" s="187"/>
      <c r="Q29" s="187"/>
      <c r="R29" s="184"/>
      <c r="S29" s="181"/>
      <c r="T29" s="581"/>
      <c r="U29" s="187"/>
      <c r="V29" s="187"/>
      <c r="W29" s="184"/>
      <c r="X29" s="181"/>
      <c r="Y29" s="581"/>
      <c r="Z29" s="187"/>
      <c r="AA29" s="187"/>
      <c r="AB29" s="184"/>
      <c r="AC29" s="181"/>
      <c r="AD29" s="581"/>
      <c r="AE29" s="187"/>
      <c r="AF29" s="187"/>
      <c r="AG29" s="184"/>
      <c r="AH29" s="181"/>
      <c r="AI29" s="581"/>
      <c r="AJ29" s="187"/>
      <c r="AK29" s="187"/>
      <c r="AL29" s="184"/>
      <c r="AM29" s="181"/>
      <c r="AN29" s="581"/>
      <c r="AO29" s="187"/>
      <c r="AP29" s="187"/>
      <c r="AQ29" s="184"/>
      <c r="AR29" s="181"/>
      <c r="AS29" s="581"/>
      <c r="AT29" s="187"/>
      <c r="AU29" s="187"/>
      <c r="AV29" s="184"/>
      <c r="AW29" s="181"/>
      <c r="AX29" s="581"/>
    </row>
    <row r="30" spans="2:50" ht="14.25" customHeight="1">
      <c r="B30" s="580"/>
      <c r="C30" s="179">
        <v>4</v>
      </c>
      <c r="D30" s="182"/>
      <c r="E30" s="179"/>
      <c r="F30" s="179"/>
      <c r="G30" s="184"/>
      <c r="H30" s="581"/>
      <c r="I30" s="185"/>
      <c r="J30" s="185"/>
      <c r="K30" s="186"/>
      <c r="L30" s="582"/>
      <c r="M30" s="185"/>
      <c r="N30" s="580"/>
      <c r="O30" s="580"/>
      <c r="P30" s="187"/>
      <c r="Q30" s="187"/>
      <c r="R30" s="184"/>
      <c r="S30" s="181"/>
      <c r="T30" s="581"/>
      <c r="U30" s="187"/>
      <c r="V30" s="187"/>
      <c r="W30" s="184"/>
      <c r="X30" s="181"/>
      <c r="Y30" s="581"/>
      <c r="Z30" s="187"/>
      <c r="AA30" s="187"/>
      <c r="AB30" s="184"/>
      <c r="AC30" s="181"/>
      <c r="AD30" s="581"/>
      <c r="AE30" s="187"/>
      <c r="AF30" s="187"/>
      <c r="AG30" s="184"/>
      <c r="AH30" s="181"/>
      <c r="AI30" s="581"/>
      <c r="AJ30" s="187"/>
      <c r="AK30" s="187"/>
      <c r="AL30" s="184"/>
      <c r="AM30" s="181"/>
      <c r="AN30" s="581"/>
      <c r="AO30" s="187"/>
      <c r="AP30" s="187"/>
      <c r="AQ30" s="184"/>
      <c r="AR30" s="181"/>
      <c r="AS30" s="581"/>
      <c r="AT30" s="187"/>
      <c r="AU30" s="187"/>
      <c r="AV30" s="184"/>
      <c r="AW30" s="181"/>
      <c r="AX30" s="581"/>
    </row>
    <row r="31" spans="2:50" ht="14.25" customHeight="1">
      <c r="B31" s="580"/>
      <c r="C31" s="179">
        <v>5</v>
      </c>
      <c r="D31" s="182"/>
      <c r="E31" s="179"/>
      <c r="F31" s="179"/>
      <c r="G31" s="184"/>
      <c r="H31" s="581"/>
      <c r="I31" s="185"/>
      <c r="J31" s="185"/>
      <c r="K31" s="186"/>
      <c r="L31" s="582"/>
      <c r="M31" s="185"/>
      <c r="N31" s="580"/>
      <c r="O31" s="580"/>
      <c r="P31" s="187"/>
      <c r="Q31" s="187"/>
      <c r="R31" s="184"/>
      <c r="S31" s="181"/>
      <c r="T31" s="581"/>
      <c r="U31" s="187"/>
      <c r="V31" s="187"/>
      <c r="W31" s="184"/>
      <c r="X31" s="181"/>
      <c r="Y31" s="581"/>
      <c r="Z31" s="187"/>
      <c r="AA31" s="187"/>
      <c r="AB31" s="184"/>
      <c r="AC31" s="181"/>
      <c r="AD31" s="581"/>
      <c r="AE31" s="187"/>
      <c r="AF31" s="187"/>
      <c r="AG31" s="184"/>
      <c r="AH31" s="181"/>
      <c r="AI31" s="581"/>
      <c r="AJ31" s="187"/>
      <c r="AK31" s="187"/>
      <c r="AL31" s="184"/>
      <c r="AM31" s="181"/>
      <c r="AN31" s="581"/>
      <c r="AO31" s="187"/>
      <c r="AP31" s="187"/>
      <c r="AQ31" s="184"/>
      <c r="AR31" s="181"/>
      <c r="AS31" s="581"/>
      <c r="AT31" s="187"/>
      <c r="AU31" s="187"/>
      <c r="AV31" s="184"/>
      <c r="AW31" s="181"/>
      <c r="AX31" s="581"/>
    </row>
    <row r="32" spans="2:50" ht="14.25" customHeight="1">
      <c r="B32" s="580"/>
      <c r="C32" s="179">
        <v>6</v>
      </c>
      <c r="D32" s="182"/>
      <c r="E32" s="179"/>
      <c r="F32" s="179"/>
      <c r="G32" s="184"/>
      <c r="H32" s="581"/>
      <c r="I32" s="185"/>
      <c r="J32" s="185"/>
      <c r="K32" s="186"/>
      <c r="L32" s="582"/>
      <c r="M32" s="185"/>
      <c r="N32" s="580"/>
      <c r="O32" s="580"/>
      <c r="P32" s="187"/>
      <c r="Q32" s="187"/>
      <c r="R32" s="184"/>
      <c r="S32" s="181"/>
      <c r="T32" s="581"/>
      <c r="U32" s="187"/>
      <c r="V32" s="187"/>
      <c r="W32" s="184"/>
      <c r="X32" s="181"/>
      <c r="Y32" s="581"/>
      <c r="Z32" s="187"/>
      <c r="AA32" s="187"/>
      <c r="AB32" s="184"/>
      <c r="AC32" s="181"/>
      <c r="AD32" s="581"/>
      <c r="AE32" s="187"/>
      <c r="AF32" s="187"/>
      <c r="AG32" s="184"/>
      <c r="AH32" s="181"/>
      <c r="AI32" s="581"/>
      <c r="AJ32" s="187"/>
      <c r="AK32" s="187"/>
      <c r="AL32" s="184"/>
      <c r="AM32" s="181"/>
      <c r="AN32" s="581"/>
      <c r="AO32" s="187"/>
      <c r="AP32" s="187"/>
      <c r="AQ32" s="184"/>
      <c r="AR32" s="181"/>
      <c r="AS32" s="581"/>
      <c r="AT32" s="187"/>
      <c r="AU32" s="187"/>
      <c r="AV32" s="184"/>
      <c r="AW32" s="181"/>
      <c r="AX32" s="581"/>
    </row>
    <row r="33" spans="2:50" ht="14.25" customHeight="1">
      <c r="B33" s="580"/>
      <c r="C33" s="179">
        <v>7</v>
      </c>
      <c r="D33" s="182"/>
      <c r="E33" s="179"/>
      <c r="F33" s="179"/>
      <c r="G33" s="184"/>
      <c r="H33" s="581"/>
      <c r="I33" s="185"/>
      <c r="J33" s="185"/>
      <c r="K33" s="186"/>
      <c r="L33" s="582"/>
      <c r="M33" s="185"/>
      <c r="N33" s="580"/>
      <c r="O33" s="580"/>
      <c r="P33" s="187"/>
      <c r="Q33" s="187"/>
      <c r="R33" s="184"/>
      <c r="S33" s="181"/>
      <c r="T33" s="581"/>
      <c r="U33" s="187"/>
      <c r="V33" s="187"/>
      <c r="W33" s="184"/>
      <c r="X33" s="181"/>
      <c r="Y33" s="581"/>
      <c r="Z33" s="187"/>
      <c r="AA33" s="187"/>
      <c r="AB33" s="184"/>
      <c r="AC33" s="181"/>
      <c r="AD33" s="581"/>
      <c r="AE33" s="187"/>
      <c r="AF33" s="187"/>
      <c r="AG33" s="184"/>
      <c r="AH33" s="181"/>
      <c r="AI33" s="581"/>
      <c r="AJ33" s="187"/>
      <c r="AK33" s="187"/>
      <c r="AL33" s="184"/>
      <c r="AM33" s="181"/>
      <c r="AN33" s="581"/>
      <c r="AO33" s="187"/>
      <c r="AP33" s="187"/>
      <c r="AQ33" s="184"/>
      <c r="AR33" s="181"/>
      <c r="AS33" s="581"/>
      <c r="AT33" s="187"/>
      <c r="AU33" s="187"/>
      <c r="AV33" s="184"/>
      <c r="AW33" s="181"/>
      <c r="AX33" s="581"/>
    </row>
    <row r="34" spans="2:50" ht="14.25" customHeight="1">
      <c r="B34" s="580"/>
      <c r="C34" s="179">
        <v>8</v>
      </c>
      <c r="D34" s="182"/>
      <c r="E34" s="179"/>
      <c r="F34" s="179"/>
      <c r="G34" s="184"/>
      <c r="H34" s="581"/>
      <c r="I34" s="185"/>
      <c r="J34" s="185"/>
      <c r="K34" s="186"/>
      <c r="L34" s="582"/>
      <c r="M34" s="185"/>
      <c r="N34" s="580"/>
      <c r="O34" s="580"/>
      <c r="P34" s="187"/>
      <c r="Q34" s="187"/>
      <c r="R34" s="184"/>
      <c r="S34" s="181"/>
      <c r="T34" s="581"/>
      <c r="U34" s="187"/>
      <c r="V34" s="187"/>
      <c r="W34" s="184"/>
      <c r="X34" s="181"/>
      <c r="Y34" s="581"/>
      <c r="Z34" s="187"/>
      <c r="AA34" s="187"/>
      <c r="AB34" s="184"/>
      <c r="AC34" s="181"/>
      <c r="AD34" s="581"/>
      <c r="AE34" s="187"/>
      <c r="AF34" s="187"/>
      <c r="AG34" s="184"/>
      <c r="AH34" s="181"/>
      <c r="AI34" s="581"/>
      <c r="AJ34" s="187"/>
      <c r="AK34" s="187"/>
      <c r="AL34" s="184"/>
      <c r="AM34" s="181"/>
      <c r="AN34" s="581"/>
      <c r="AO34" s="187"/>
      <c r="AP34" s="187"/>
      <c r="AQ34" s="184"/>
      <c r="AR34" s="181"/>
      <c r="AS34" s="581"/>
      <c r="AT34" s="187"/>
      <c r="AU34" s="187"/>
      <c r="AV34" s="184"/>
      <c r="AW34" s="181"/>
      <c r="AX34" s="581"/>
    </row>
    <row r="35" spans="2:50" ht="14.25" customHeight="1">
      <c r="B35" s="580"/>
      <c r="C35" s="179">
        <v>9</v>
      </c>
      <c r="D35" s="182"/>
      <c r="E35" s="179"/>
      <c r="F35" s="179"/>
      <c r="G35" s="184"/>
      <c r="H35" s="581"/>
      <c r="I35" s="185"/>
      <c r="J35" s="185"/>
      <c r="K35" s="186"/>
      <c r="L35" s="582"/>
      <c r="M35" s="185"/>
      <c r="N35" s="580"/>
      <c r="O35" s="580"/>
      <c r="P35" s="187"/>
      <c r="Q35" s="187"/>
      <c r="R35" s="184"/>
      <c r="S35" s="181"/>
      <c r="T35" s="581"/>
      <c r="U35" s="187"/>
      <c r="V35" s="187"/>
      <c r="W35" s="184"/>
      <c r="X35" s="181"/>
      <c r="Y35" s="581"/>
      <c r="Z35" s="187"/>
      <c r="AA35" s="187"/>
      <c r="AB35" s="184"/>
      <c r="AC35" s="181"/>
      <c r="AD35" s="581"/>
      <c r="AE35" s="187"/>
      <c r="AF35" s="187"/>
      <c r="AG35" s="184"/>
      <c r="AH35" s="181"/>
      <c r="AI35" s="581"/>
      <c r="AJ35" s="187"/>
      <c r="AK35" s="187"/>
      <c r="AL35" s="184"/>
      <c r="AM35" s="181"/>
      <c r="AN35" s="581"/>
      <c r="AO35" s="187"/>
      <c r="AP35" s="187"/>
      <c r="AQ35" s="184"/>
      <c r="AR35" s="181"/>
      <c r="AS35" s="581"/>
      <c r="AT35" s="187"/>
      <c r="AU35" s="187"/>
      <c r="AV35" s="184"/>
      <c r="AW35" s="181"/>
      <c r="AX35" s="581"/>
    </row>
    <row r="36" spans="2:50" ht="14.25" customHeight="1">
      <c r="B36" s="580"/>
      <c r="C36" s="179">
        <v>10</v>
      </c>
      <c r="D36" s="182"/>
      <c r="E36" s="179"/>
      <c r="F36" s="179"/>
      <c r="G36" s="184"/>
      <c r="H36" s="581"/>
      <c r="I36" s="185"/>
      <c r="J36" s="185"/>
      <c r="K36" s="186"/>
      <c r="L36" s="582"/>
      <c r="M36" s="185"/>
      <c r="N36" s="580"/>
      <c r="O36" s="580"/>
      <c r="P36" s="187"/>
      <c r="Q36" s="187"/>
      <c r="R36" s="184"/>
      <c r="S36" s="181"/>
      <c r="T36" s="581"/>
      <c r="U36" s="187"/>
      <c r="V36" s="187"/>
      <c r="W36" s="184"/>
      <c r="X36" s="181"/>
      <c r="Y36" s="581"/>
      <c r="Z36" s="187"/>
      <c r="AA36" s="187"/>
      <c r="AB36" s="184"/>
      <c r="AC36" s="181"/>
      <c r="AD36" s="581"/>
      <c r="AE36" s="187"/>
      <c r="AF36" s="187"/>
      <c r="AG36" s="184"/>
      <c r="AH36" s="181"/>
      <c r="AI36" s="581"/>
      <c r="AJ36" s="187"/>
      <c r="AK36" s="187"/>
      <c r="AL36" s="184"/>
      <c r="AM36" s="181"/>
      <c r="AN36" s="581"/>
      <c r="AO36" s="187"/>
      <c r="AP36" s="187"/>
      <c r="AQ36" s="184"/>
      <c r="AR36" s="181"/>
      <c r="AS36" s="581"/>
      <c r="AT36" s="187"/>
      <c r="AU36" s="187"/>
      <c r="AV36" s="184"/>
      <c r="AW36" s="181"/>
      <c r="AX36" s="581"/>
    </row>
    <row r="37" spans="2:50" ht="14.25" customHeight="1">
      <c r="B37" s="580"/>
      <c r="C37" s="179">
        <v>11</v>
      </c>
      <c r="D37" s="182"/>
      <c r="E37" s="179"/>
      <c r="F37" s="179"/>
      <c r="G37" s="184"/>
      <c r="H37" s="581"/>
      <c r="I37" s="185"/>
      <c r="J37" s="185"/>
      <c r="K37" s="186"/>
      <c r="L37" s="582"/>
      <c r="M37" s="185"/>
      <c r="N37" s="580"/>
      <c r="O37" s="580"/>
      <c r="P37" s="187"/>
      <c r="Q37" s="187"/>
      <c r="R37" s="184"/>
      <c r="S37" s="181"/>
      <c r="T37" s="581"/>
      <c r="U37" s="187"/>
      <c r="V37" s="187"/>
      <c r="W37" s="184"/>
      <c r="X37" s="181"/>
      <c r="Y37" s="581"/>
      <c r="Z37" s="187"/>
      <c r="AA37" s="187"/>
      <c r="AB37" s="184"/>
      <c r="AC37" s="181"/>
      <c r="AD37" s="581"/>
      <c r="AE37" s="187"/>
      <c r="AF37" s="187"/>
      <c r="AG37" s="184"/>
      <c r="AH37" s="181"/>
      <c r="AI37" s="581"/>
      <c r="AJ37" s="187"/>
      <c r="AK37" s="187"/>
      <c r="AL37" s="184"/>
      <c r="AM37" s="181"/>
      <c r="AN37" s="581"/>
      <c r="AO37" s="187"/>
      <c r="AP37" s="187"/>
      <c r="AQ37" s="184"/>
      <c r="AR37" s="181"/>
      <c r="AS37" s="581"/>
      <c r="AT37" s="187"/>
      <c r="AU37" s="187"/>
      <c r="AV37" s="184"/>
      <c r="AW37" s="181"/>
      <c r="AX37" s="581"/>
    </row>
    <row r="38" spans="2:50" ht="14.25" customHeight="1">
      <c r="B38" s="580"/>
      <c r="C38" s="179">
        <v>12</v>
      </c>
      <c r="D38" s="182"/>
      <c r="E38" s="179"/>
      <c r="F38" s="179"/>
      <c r="G38" s="184"/>
      <c r="H38" s="581"/>
      <c r="I38" s="185"/>
      <c r="J38" s="185"/>
      <c r="K38" s="186"/>
      <c r="L38" s="582"/>
      <c r="M38" s="185"/>
      <c r="N38" s="580"/>
      <c r="O38" s="580"/>
      <c r="P38" s="187"/>
      <c r="Q38" s="187"/>
      <c r="R38" s="184"/>
      <c r="S38" s="181"/>
      <c r="T38" s="581"/>
      <c r="U38" s="187"/>
      <c r="V38" s="187"/>
      <c r="W38" s="184"/>
      <c r="X38" s="181"/>
      <c r="Y38" s="581"/>
      <c r="Z38" s="187"/>
      <c r="AA38" s="187"/>
      <c r="AB38" s="184"/>
      <c r="AC38" s="181"/>
      <c r="AD38" s="581"/>
      <c r="AE38" s="187"/>
      <c r="AF38" s="187"/>
      <c r="AG38" s="184"/>
      <c r="AH38" s="181"/>
      <c r="AI38" s="581"/>
      <c r="AJ38" s="187"/>
      <c r="AK38" s="187"/>
      <c r="AL38" s="184"/>
      <c r="AM38" s="181"/>
      <c r="AN38" s="581"/>
      <c r="AO38" s="187"/>
      <c r="AP38" s="187"/>
      <c r="AQ38" s="184"/>
      <c r="AR38" s="181"/>
      <c r="AS38" s="581"/>
      <c r="AT38" s="187"/>
      <c r="AU38" s="187"/>
      <c r="AV38" s="184"/>
      <c r="AW38" s="181"/>
      <c r="AX38" s="581"/>
    </row>
    <row r="39" spans="2:50" ht="14.25" customHeight="1">
      <c r="B39" s="580"/>
      <c r="C39" s="179">
        <v>13</v>
      </c>
      <c r="D39" s="182"/>
      <c r="E39" s="179"/>
      <c r="F39" s="179"/>
      <c r="G39" s="184"/>
      <c r="H39" s="581"/>
      <c r="I39" s="185"/>
      <c r="J39" s="185"/>
      <c r="K39" s="186"/>
      <c r="L39" s="582"/>
      <c r="M39" s="185"/>
      <c r="N39" s="580"/>
      <c r="O39" s="580"/>
      <c r="P39" s="187"/>
      <c r="Q39" s="187"/>
      <c r="R39" s="184"/>
      <c r="S39" s="181"/>
      <c r="T39" s="581"/>
      <c r="U39" s="187"/>
      <c r="V39" s="187"/>
      <c r="W39" s="184"/>
      <c r="X39" s="181"/>
      <c r="Y39" s="581"/>
      <c r="Z39" s="187"/>
      <c r="AA39" s="187"/>
      <c r="AB39" s="184"/>
      <c r="AC39" s="181"/>
      <c r="AD39" s="581"/>
      <c r="AE39" s="187"/>
      <c r="AF39" s="187"/>
      <c r="AG39" s="184"/>
      <c r="AH39" s="181"/>
      <c r="AI39" s="581"/>
      <c r="AJ39" s="187"/>
      <c r="AK39" s="187"/>
      <c r="AL39" s="184"/>
      <c r="AM39" s="181"/>
      <c r="AN39" s="581"/>
      <c r="AO39" s="187"/>
      <c r="AP39" s="187"/>
      <c r="AQ39" s="184"/>
      <c r="AR39" s="181"/>
      <c r="AS39" s="581"/>
      <c r="AT39" s="187"/>
      <c r="AU39" s="187"/>
      <c r="AV39" s="184"/>
      <c r="AW39" s="181"/>
      <c r="AX39" s="581"/>
    </row>
    <row r="40" spans="2:50" ht="14.25" customHeight="1">
      <c r="B40" s="580"/>
      <c r="C40" s="179">
        <v>14</v>
      </c>
      <c r="D40" s="182"/>
      <c r="E40" s="179"/>
      <c r="F40" s="179"/>
      <c r="G40" s="184"/>
      <c r="H40" s="581"/>
      <c r="I40" s="185"/>
      <c r="J40" s="185"/>
      <c r="K40" s="186"/>
      <c r="L40" s="582"/>
      <c r="M40" s="185"/>
      <c r="N40" s="580"/>
      <c r="O40" s="580"/>
      <c r="P40" s="187"/>
      <c r="Q40" s="187"/>
      <c r="R40" s="184"/>
      <c r="S40" s="181"/>
      <c r="T40" s="581"/>
      <c r="U40" s="187"/>
      <c r="V40" s="187"/>
      <c r="W40" s="184"/>
      <c r="X40" s="181"/>
      <c r="Y40" s="581"/>
      <c r="Z40" s="187"/>
      <c r="AA40" s="187"/>
      <c r="AB40" s="184"/>
      <c r="AC40" s="181"/>
      <c r="AD40" s="581"/>
      <c r="AE40" s="187"/>
      <c r="AF40" s="187"/>
      <c r="AG40" s="184"/>
      <c r="AH40" s="181"/>
      <c r="AI40" s="581"/>
      <c r="AJ40" s="187"/>
      <c r="AK40" s="187"/>
      <c r="AL40" s="184"/>
      <c r="AM40" s="181"/>
      <c r="AN40" s="581"/>
      <c r="AO40" s="187"/>
      <c r="AP40" s="187"/>
      <c r="AQ40" s="184"/>
      <c r="AR40" s="181"/>
      <c r="AS40" s="581"/>
      <c r="AT40" s="187"/>
      <c r="AU40" s="187"/>
      <c r="AV40" s="184"/>
      <c r="AW40" s="181"/>
      <c r="AX40" s="581"/>
    </row>
    <row r="41" spans="2:50" ht="14.25" customHeight="1">
      <c r="B41" s="580"/>
      <c r="C41" s="179">
        <v>15</v>
      </c>
      <c r="D41" s="182"/>
      <c r="E41" s="179"/>
      <c r="F41" s="179"/>
      <c r="G41" s="184"/>
      <c r="H41" s="581"/>
      <c r="I41" s="185"/>
      <c r="J41" s="185"/>
      <c r="K41" s="186"/>
      <c r="L41" s="582"/>
      <c r="M41" s="185"/>
      <c r="N41" s="580"/>
      <c r="O41" s="580"/>
      <c r="P41" s="187"/>
      <c r="Q41" s="187"/>
      <c r="R41" s="184"/>
      <c r="S41" s="181"/>
      <c r="T41" s="581"/>
      <c r="U41" s="187"/>
      <c r="V41" s="187"/>
      <c r="W41" s="184"/>
      <c r="X41" s="181"/>
      <c r="Y41" s="581"/>
      <c r="Z41" s="187"/>
      <c r="AA41" s="187"/>
      <c r="AB41" s="184"/>
      <c r="AC41" s="181"/>
      <c r="AD41" s="581"/>
      <c r="AE41" s="187"/>
      <c r="AF41" s="187"/>
      <c r="AG41" s="184"/>
      <c r="AH41" s="181"/>
      <c r="AI41" s="581"/>
      <c r="AJ41" s="187"/>
      <c r="AK41" s="187"/>
      <c r="AL41" s="184"/>
      <c r="AM41" s="181"/>
      <c r="AN41" s="581"/>
      <c r="AO41" s="187"/>
      <c r="AP41" s="187"/>
      <c r="AQ41" s="184"/>
      <c r="AR41" s="181"/>
      <c r="AS41" s="581"/>
      <c r="AT41" s="187"/>
      <c r="AU41" s="187"/>
      <c r="AV41" s="184"/>
      <c r="AW41" s="181"/>
      <c r="AX41" s="581"/>
    </row>
  </sheetData>
  <mergeCells count="118"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I4:K4"/>
    <mergeCell ref="AT4:AW4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41"/>
  <sheetViews>
    <sheetView zoomScaleNormal="100" workbookViewId="0">
      <pane xSplit="13" ySplit="1" topLeftCell="N11" activePane="bottomRight" state="frozen"/>
      <selection activeCell="B1" sqref="B1"/>
      <selection pane="topRight" activeCell="B1" sqref="B1"/>
      <selection pane="bottomLeft" activeCell="B1" sqref="B1"/>
      <selection pane="bottomRight" activeCell="B2" sqref="B2:M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68" t="s">
        <v>777</v>
      </c>
      <c r="C1" s="174">
        <f>AVERAGE(L7,L27)</f>
        <v>422.17784620234789</v>
      </c>
    </row>
    <row r="2" spans="1:50" ht="14.25" customHeight="1" collapsed="1">
      <c r="B2" s="608" t="s">
        <v>742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10"/>
      <c r="N2" s="613" t="s">
        <v>363</v>
      </c>
      <c r="O2" s="600" t="s">
        <v>105</v>
      </c>
      <c r="P2" s="602">
        <v>46203</v>
      </c>
      <c r="Q2" s="603"/>
      <c r="R2" s="603"/>
      <c r="S2" s="603"/>
      <c r="T2" s="603"/>
      <c r="U2" s="594">
        <v>46204</v>
      </c>
      <c r="V2" s="595"/>
      <c r="W2" s="595"/>
      <c r="X2" s="595"/>
      <c r="Y2" s="595"/>
      <c r="Z2" s="602">
        <v>46205</v>
      </c>
      <c r="AA2" s="603"/>
      <c r="AB2" s="603"/>
      <c r="AC2" s="603"/>
      <c r="AD2" s="603"/>
      <c r="AE2" s="594">
        <v>46206</v>
      </c>
      <c r="AF2" s="595"/>
      <c r="AG2" s="595"/>
      <c r="AH2" s="595"/>
      <c r="AI2" s="595"/>
      <c r="AJ2" s="586">
        <v>46207</v>
      </c>
      <c r="AK2" s="587"/>
      <c r="AL2" s="587"/>
      <c r="AM2" s="587"/>
      <c r="AN2" s="588"/>
      <c r="AO2" s="594">
        <v>46208</v>
      </c>
      <c r="AP2" s="595"/>
      <c r="AQ2" s="595"/>
      <c r="AR2" s="595"/>
      <c r="AS2" s="595"/>
      <c r="AT2" s="586">
        <v>46209</v>
      </c>
      <c r="AU2" s="587"/>
      <c r="AV2" s="587"/>
      <c r="AW2" s="587"/>
      <c r="AX2" s="588"/>
    </row>
    <row r="3" spans="1:50" ht="14.25" customHeight="1"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2"/>
      <c r="N3" s="614"/>
      <c r="O3" s="601"/>
      <c r="P3" s="589">
        <v>46196</v>
      </c>
      <c r="Q3" s="589"/>
      <c r="R3" s="589"/>
      <c r="S3" s="589"/>
      <c r="T3" s="589"/>
      <c r="U3" s="590">
        <v>46197</v>
      </c>
      <c r="V3" s="590"/>
      <c r="W3" s="590"/>
      <c r="X3" s="590"/>
      <c r="Y3" s="590"/>
      <c r="Z3" s="589">
        <v>46198</v>
      </c>
      <c r="AA3" s="589"/>
      <c r="AB3" s="589"/>
      <c r="AC3" s="589"/>
      <c r="AD3" s="589"/>
      <c r="AE3" s="590">
        <v>46199</v>
      </c>
      <c r="AF3" s="590"/>
      <c r="AG3" s="590"/>
      <c r="AH3" s="590"/>
      <c r="AI3" s="590"/>
      <c r="AJ3" s="591">
        <v>46200</v>
      </c>
      <c r="AK3" s="592"/>
      <c r="AL3" s="592"/>
      <c r="AM3" s="592"/>
      <c r="AN3" s="593"/>
      <c r="AO3" s="590">
        <v>46201</v>
      </c>
      <c r="AP3" s="590"/>
      <c r="AQ3" s="590"/>
      <c r="AR3" s="590"/>
      <c r="AS3" s="590"/>
      <c r="AT3" s="591">
        <v>46202</v>
      </c>
      <c r="AU3" s="592"/>
      <c r="AV3" s="592"/>
      <c r="AW3" s="592"/>
      <c r="AX3" s="593"/>
    </row>
    <row r="4" spans="1:50" ht="14.25" customHeight="1">
      <c r="B4" s="580" t="s">
        <v>162</v>
      </c>
      <c r="C4" s="580" t="s">
        <v>157</v>
      </c>
      <c r="D4" s="580"/>
      <c r="E4" s="580" t="s">
        <v>158</v>
      </c>
      <c r="F4" s="580"/>
      <c r="G4" s="580"/>
      <c r="H4" s="580" t="s">
        <v>163</v>
      </c>
      <c r="I4" s="583" t="s">
        <v>364</v>
      </c>
      <c r="J4" s="583"/>
      <c r="K4" s="583"/>
      <c r="L4" s="583" t="s">
        <v>163</v>
      </c>
      <c r="M4" s="583" t="s">
        <v>165</v>
      </c>
      <c r="N4" s="580"/>
      <c r="O4" s="580" t="s">
        <v>164</v>
      </c>
      <c r="P4" s="580" t="s">
        <v>160</v>
      </c>
      <c r="Q4" s="580"/>
      <c r="R4" s="580"/>
      <c r="S4" s="580"/>
      <c r="T4" s="580" t="s">
        <v>163</v>
      </c>
      <c r="U4" s="580" t="s">
        <v>160</v>
      </c>
      <c r="V4" s="580"/>
      <c r="W4" s="580"/>
      <c r="X4" s="580"/>
      <c r="Y4" s="580" t="s">
        <v>163</v>
      </c>
      <c r="Z4" s="580" t="s">
        <v>160</v>
      </c>
      <c r="AA4" s="580"/>
      <c r="AB4" s="580"/>
      <c r="AC4" s="580"/>
      <c r="AD4" s="580" t="s">
        <v>163</v>
      </c>
      <c r="AE4" s="580" t="s">
        <v>160</v>
      </c>
      <c r="AF4" s="580"/>
      <c r="AG4" s="580"/>
      <c r="AH4" s="580"/>
      <c r="AI4" s="580" t="s">
        <v>163</v>
      </c>
      <c r="AJ4" s="580" t="s">
        <v>160</v>
      </c>
      <c r="AK4" s="580"/>
      <c r="AL4" s="580"/>
      <c r="AM4" s="580"/>
      <c r="AN4" s="580" t="s">
        <v>163</v>
      </c>
      <c r="AO4" s="580" t="s">
        <v>160</v>
      </c>
      <c r="AP4" s="580"/>
      <c r="AQ4" s="580"/>
      <c r="AR4" s="580"/>
      <c r="AS4" s="580" t="s">
        <v>163</v>
      </c>
      <c r="AT4" s="580" t="s">
        <v>160</v>
      </c>
      <c r="AU4" s="580"/>
      <c r="AV4" s="580"/>
      <c r="AW4" s="580"/>
      <c r="AX4" s="580" t="s">
        <v>163</v>
      </c>
    </row>
    <row r="5" spans="1:50" ht="14.25" customHeight="1">
      <c r="B5" s="580"/>
      <c r="C5" s="580"/>
      <c r="D5" s="580"/>
      <c r="E5" s="580" t="s">
        <v>365</v>
      </c>
      <c r="F5" s="580"/>
      <c r="G5" s="580"/>
      <c r="H5" s="580"/>
      <c r="I5" s="583" t="s">
        <v>365</v>
      </c>
      <c r="J5" s="583"/>
      <c r="K5" s="583"/>
      <c r="L5" s="583"/>
      <c r="M5" s="583"/>
      <c r="N5" s="580"/>
      <c r="O5" s="580"/>
      <c r="P5" s="580" t="s">
        <v>366</v>
      </c>
      <c r="Q5" s="580"/>
      <c r="R5" s="580"/>
      <c r="S5" s="580"/>
      <c r="T5" s="580"/>
      <c r="U5" s="580" t="s">
        <v>366</v>
      </c>
      <c r="V5" s="580"/>
      <c r="W5" s="580"/>
      <c r="X5" s="580"/>
      <c r="Y5" s="580"/>
      <c r="Z5" s="580" t="s">
        <v>366</v>
      </c>
      <c r="AA5" s="580"/>
      <c r="AB5" s="580"/>
      <c r="AC5" s="580"/>
      <c r="AD5" s="580"/>
      <c r="AE5" s="580" t="s">
        <v>366</v>
      </c>
      <c r="AF5" s="580"/>
      <c r="AG5" s="580"/>
      <c r="AH5" s="580"/>
      <c r="AI5" s="580"/>
      <c r="AJ5" s="580" t="s">
        <v>366</v>
      </c>
      <c r="AK5" s="580"/>
      <c r="AL5" s="580"/>
      <c r="AM5" s="580"/>
      <c r="AN5" s="580"/>
      <c r="AO5" s="580" t="s">
        <v>366</v>
      </c>
      <c r="AP5" s="580"/>
      <c r="AQ5" s="580"/>
      <c r="AR5" s="580"/>
      <c r="AS5" s="580"/>
      <c r="AT5" s="580" t="s">
        <v>366</v>
      </c>
      <c r="AU5" s="580"/>
      <c r="AV5" s="580"/>
      <c r="AW5" s="580"/>
      <c r="AX5" s="580"/>
    </row>
    <row r="6" spans="1:50" ht="14.25" customHeight="1">
      <c r="B6" s="580"/>
      <c r="C6" s="580"/>
      <c r="D6" s="580"/>
      <c r="E6" s="179" t="s">
        <v>159</v>
      </c>
      <c r="F6" s="179" t="s">
        <v>367</v>
      </c>
      <c r="G6" s="179" t="s">
        <v>161</v>
      </c>
      <c r="H6" s="580"/>
      <c r="I6" s="180" t="s">
        <v>159</v>
      </c>
      <c r="J6" s="180" t="s">
        <v>367</v>
      </c>
      <c r="K6" s="180" t="s">
        <v>161</v>
      </c>
      <c r="L6" s="583"/>
      <c r="M6" s="583"/>
      <c r="N6" s="580"/>
      <c r="O6" s="580"/>
      <c r="P6" s="179" t="s">
        <v>159</v>
      </c>
      <c r="Q6" s="179" t="s">
        <v>367</v>
      </c>
      <c r="R6" s="179" t="s">
        <v>161</v>
      </c>
      <c r="S6" s="181" t="s">
        <v>165</v>
      </c>
      <c r="T6" s="580"/>
      <c r="U6" s="179" t="s">
        <v>159</v>
      </c>
      <c r="V6" s="179" t="s">
        <v>367</v>
      </c>
      <c r="W6" s="179" t="s">
        <v>161</v>
      </c>
      <c r="X6" s="181" t="s">
        <v>165</v>
      </c>
      <c r="Y6" s="580"/>
      <c r="Z6" s="179" t="s">
        <v>159</v>
      </c>
      <c r="AA6" s="179" t="s">
        <v>367</v>
      </c>
      <c r="AB6" s="179" t="s">
        <v>161</v>
      </c>
      <c r="AC6" s="181" t="s">
        <v>165</v>
      </c>
      <c r="AD6" s="580"/>
      <c r="AE6" s="179" t="s">
        <v>159</v>
      </c>
      <c r="AF6" s="179" t="s">
        <v>367</v>
      </c>
      <c r="AG6" s="179" t="s">
        <v>161</v>
      </c>
      <c r="AH6" s="181" t="s">
        <v>165</v>
      </c>
      <c r="AI6" s="580"/>
      <c r="AJ6" s="179" t="s">
        <v>159</v>
      </c>
      <c r="AK6" s="179" t="s">
        <v>367</v>
      </c>
      <c r="AL6" s="179" t="s">
        <v>161</v>
      </c>
      <c r="AM6" s="181" t="s">
        <v>165</v>
      </c>
      <c r="AN6" s="580"/>
      <c r="AO6" s="179" t="s">
        <v>159</v>
      </c>
      <c r="AP6" s="179" t="s">
        <v>367</v>
      </c>
      <c r="AQ6" s="179" t="s">
        <v>161</v>
      </c>
      <c r="AR6" s="181" t="s">
        <v>165</v>
      </c>
      <c r="AS6" s="580"/>
      <c r="AT6" s="179" t="s">
        <v>159</v>
      </c>
      <c r="AU6" s="179" t="s">
        <v>367</v>
      </c>
      <c r="AV6" s="179" t="s">
        <v>161</v>
      </c>
      <c r="AW6" s="181" t="s">
        <v>165</v>
      </c>
      <c r="AX6" s="580"/>
    </row>
    <row r="7" spans="1:50" ht="14.25" customHeight="1">
      <c r="B7" s="580" t="s">
        <v>370</v>
      </c>
      <c r="C7" s="179">
        <v>1</v>
      </c>
      <c r="D7" s="182" t="s">
        <v>600</v>
      </c>
      <c r="E7" s="183">
        <v>5</v>
      </c>
      <c r="F7" s="179">
        <v>3273</v>
      </c>
      <c r="G7" s="184">
        <f>IFERROR(F7/E7,"")</f>
        <v>654.6</v>
      </c>
      <c r="H7" s="581">
        <f>AVERAGE(G7:G21)</f>
        <v>456.17333333333335</v>
      </c>
      <c r="I7" s="185">
        <f>AVERAGE(P7,U7,Z7,AE7,AJ7,AO7,AT7)</f>
        <v>6</v>
      </c>
      <c r="J7" s="185">
        <f>AVERAGE(Q7,V7,AA7,AF7,AK7,AP7,AU7)</f>
        <v>2961.6418775921857</v>
      </c>
      <c r="K7" s="186">
        <f>AVERAGE(R7,W7,AB7,AG7,AL7,AQ7,AV7)</f>
        <v>493.60697959869776</v>
      </c>
      <c r="L7" s="582">
        <f>IFERROR(AVERAGE(K7:K21),"-")</f>
        <v>393.22072339151038</v>
      </c>
      <c r="M7" s="185">
        <f>RANK(K7, K$7:$K$21)</f>
        <v>2</v>
      </c>
      <c r="N7" s="580"/>
      <c r="O7" s="580"/>
      <c r="P7" s="187">
        <v>6</v>
      </c>
      <c r="Q7" s="187">
        <v>2961.6418775921861</v>
      </c>
      <c r="R7" s="184">
        <f>IFERROR(Q7/P7,"")</f>
        <v>493.60697959869771</v>
      </c>
      <c r="S7" s="181">
        <f>RANK(R7, R$7:R$21)</f>
        <v>2</v>
      </c>
      <c r="T7" s="581">
        <f>AVERAGE(R7:R21)</f>
        <v>393.15172008544533</v>
      </c>
      <c r="U7" s="187">
        <v>6</v>
      </c>
      <c r="V7" s="187">
        <v>2961.6418775921866</v>
      </c>
      <c r="W7" s="184">
        <f t="shared" ref="W7:W11" si="0">IFERROR(V7/U7,"")</f>
        <v>493.60697959869776</v>
      </c>
      <c r="X7" s="181">
        <f>RANK(W7, W$7:W$21)</f>
        <v>2</v>
      </c>
      <c r="Y7" s="581">
        <f>AVERAGE(W7:W21)</f>
        <v>393.199294752112</v>
      </c>
      <c r="Z7" s="187">
        <v>6</v>
      </c>
      <c r="AA7" s="187">
        <v>2961.6418775921861</v>
      </c>
      <c r="AB7" s="184">
        <f>IFERROR(AA7/Z7,"")</f>
        <v>493.60697959869771</v>
      </c>
      <c r="AC7" s="181">
        <f>RANK(AB7, AB$7:AB$21)</f>
        <v>2</v>
      </c>
      <c r="AD7" s="581">
        <f>AVERAGE(AB7:AB21)</f>
        <v>393.14737741877866</v>
      </c>
      <c r="AE7" s="187">
        <v>6</v>
      </c>
      <c r="AF7" s="187">
        <v>2961.6418775921866</v>
      </c>
      <c r="AG7" s="184">
        <f>IFERROR(AF7/AE7,"")</f>
        <v>493.60697959869776</v>
      </c>
      <c r="AH7" s="181">
        <f>RANK(AG7, AG$7:AG$21)</f>
        <v>2</v>
      </c>
      <c r="AI7" s="581">
        <f>AVERAGE(AG7:AG21)</f>
        <v>393.20610853772581</v>
      </c>
      <c r="AJ7" s="187">
        <v>6</v>
      </c>
      <c r="AK7" s="187">
        <v>2961.6418775921857</v>
      </c>
      <c r="AL7" s="184">
        <f>IFERROR(AK7/AJ7,"")</f>
        <v>493.60697959869759</v>
      </c>
      <c r="AM7" s="181">
        <f>RANK(AL7, AL$7:AL$21)</f>
        <v>2</v>
      </c>
      <c r="AN7" s="581">
        <f>AVERAGE(AL7:AL21)</f>
        <v>393.26714320439248</v>
      </c>
      <c r="AO7" s="187">
        <v>6</v>
      </c>
      <c r="AP7" s="187">
        <v>2961.6418775921861</v>
      </c>
      <c r="AQ7" s="184">
        <f>IFERROR(AP7/AO7,"")</f>
        <v>493.60697959869771</v>
      </c>
      <c r="AR7" s="181">
        <f>RANK(AQ7, AQ$7:AQ$21)</f>
        <v>2</v>
      </c>
      <c r="AS7" s="581">
        <f>AVERAGE(AQ7:AQ21)</f>
        <v>393.30409387105914</v>
      </c>
      <c r="AT7" s="187">
        <v>6</v>
      </c>
      <c r="AU7" s="187">
        <v>2961.6418775921861</v>
      </c>
      <c r="AV7" s="184">
        <f>IFERROR(AU7/AT7,"")</f>
        <v>493.60697959869771</v>
      </c>
      <c r="AW7" s="181">
        <f>RANK(AV7, AV$7:AV$21)</f>
        <v>2</v>
      </c>
      <c r="AX7" s="581">
        <f>AVERAGE(AV7:AV21)</f>
        <v>393.26932587105915</v>
      </c>
    </row>
    <row r="8" spans="1:50" ht="14.25" customHeight="1">
      <c r="B8" s="580"/>
      <c r="C8" s="179">
        <v>2</v>
      </c>
      <c r="D8" s="182" t="s">
        <v>581</v>
      </c>
      <c r="E8" s="179">
        <v>6</v>
      </c>
      <c r="F8" s="179">
        <v>2600</v>
      </c>
      <c r="G8" s="184">
        <f t="shared" ref="G8:G11" si="1">IFERROR(F8/E8,"")</f>
        <v>433.33333333333331</v>
      </c>
      <c r="H8" s="581"/>
      <c r="I8" s="185">
        <f>AVERAGE(P8,U8,Z8,AE8,AJ8,AO8,AT8)</f>
        <v>6</v>
      </c>
      <c r="J8" s="185">
        <f t="shared" ref="J8:K11" si="2">AVERAGE(Q8,V8,AA8,AF8,AK8,AP8,AU8)</f>
        <v>2354.7348409049814</v>
      </c>
      <c r="K8" s="186">
        <f t="shared" si="2"/>
        <v>392.45580681749692</v>
      </c>
      <c r="L8" s="582"/>
      <c r="M8" s="185">
        <f>RANK(K8, K$7:$K$21)</f>
        <v>3</v>
      </c>
      <c r="N8" s="580"/>
      <c r="O8" s="580"/>
      <c r="P8" s="187">
        <v>6</v>
      </c>
      <c r="Q8" s="187">
        <v>2353.211983762124</v>
      </c>
      <c r="R8" s="184">
        <f t="shared" ref="R8:R11" si="3">IFERROR(Q8/P8,"")</f>
        <v>392.20199729368733</v>
      </c>
      <c r="S8" s="181">
        <f t="shared" ref="S8:S11" si="4">RANK(R8, R$7:R$21)</f>
        <v>3</v>
      </c>
      <c r="T8" s="581"/>
      <c r="U8" s="187">
        <v>6</v>
      </c>
      <c r="V8" s="187">
        <v>2353.7319837621239</v>
      </c>
      <c r="W8" s="184">
        <f t="shared" si="0"/>
        <v>392.28866396035397</v>
      </c>
      <c r="X8" s="181">
        <f t="shared" ref="X8:X11" si="5">RANK(W8, W$7:W$21)</f>
        <v>3</v>
      </c>
      <c r="Y8" s="581"/>
      <c r="Z8" s="187">
        <v>6</v>
      </c>
      <c r="AA8" s="187">
        <v>2354.2519837621239</v>
      </c>
      <c r="AB8" s="184">
        <f t="shared" ref="AB8:AB11" si="6">IFERROR(AA8/Z8,"")</f>
        <v>392.37533062702067</v>
      </c>
      <c r="AC8" s="181">
        <f t="shared" ref="AC8:AC11" si="7">RANK(AB8, AB$7:AB$21)</f>
        <v>3</v>
      </c>
      <c r="AD8" s="581"/>
      <c r="AE8" s="187">
        <v>6</v>
      </c>
      <c r="AF8" s="187">
        <v>2355.5519837621241</v>
      </c>
      <c r="AG8" s="184">
        <f t="shared" ref="AG8:AG11" si="8">IFERROR(AF8/AE8,"")</f>
        <v>392.59199729368737</v>
      </c>
      <c r="AH8" s="181">
        <f t="shared" ref="AH8:AH11" si="9">RANK(AG8, AG$7:AG$21)</f>
        <v>3</v>
      </c>
      <c r="AI8" s="581"/>
      <c r="AJ8" s="187">
        <v>6</v>
      </c>
      <c r="AK8" s="187">
        <v>2355.0319837621246</v>
      </c>
      <c r="AL8" s="184">
        <f t="shared" ref="AL8:AL11" si="10">IFERROR(AK8/AJ8,"")</f>
        <v>392.50533062702078</v>
      </c>
      <c r="AM8" s="181">
        <f t="shared" ref="AM8:AM11" si="11">RANK(AL8, AL$7:AL$21)</f>
        <v>3</v>
      </c>
      <c r="AN8" s="581"/>
      <c r="AO8" s="187">
        <v>6</v>
      </c>
      <c r="AP8" s="187">
        <v>2355.8119837621243</v>
      </c>
      <c r="AQ8" s="184">
        <f t="shared" ref="AQ8:AQ11" si="12">IFERROR(AP8/AO8,"")</f>
        <v>392.63533062702072</v>
      </c>
      <c r="AR8" s="181">
        <f t="shared" ref="AR8:AR11" si="13">RANK(AQ8, AQ$7:AQ$21)</f>
        <v>3</v>
      </c>
      <c r="AS8" s="581"/>
      <c r="AT8" s="187">
        <v>6</v>
      </c>
      <c r="AU8" s="187">
        <v>2355.5519837621241</v>
      </c>
      <c r="AV8" s="184">
        <f t="shared" ref="AV8:AV11" si="14">IFERROR(AU8/AT8,"")</f>
        <v>392.59199729368737</v>
      </c>
      <c r="AW8" s="181">
        <f t="shared" ref="AW8:AW11" si="15">RANK(AV8, AV$7:AV$21)</f>
        <v>3</v>
      </c>
      <c r="AX8" s="581"/>
    </row>
    <row r="9" spans="1:50" ht="14.25" customHeight="1">
      <c r="B9" s="580"/>
      <c r="C9" s="179">
        <v>3</v>
      </c>
      <c r="D9" s="182" t="s">
        <v>582</v>
      </c>
      <c r="E9" s="179">
        <v>6</v>
      </c>
      <c r="F9" s="179">
        <v>2600</v>
      </c>
      <c r="G9" s="184">
        <f t="shared" si="1"/>
        <v>433.33333333333331</v>
      </c>
      <c r="H9" s="581"/>
      <c r="I9" s="185">
        <f>AVERAGE(P9,U9,Z9,AE9,AJ9,AO9,AT9)</f>
        <v>6</v>
      </c>
      <c r="J9" s="185">
        <f t="shared" si="2"/>
        <v>2351.5642285625245</v>
      </c>
      <c r="K9" s="186">
        <f t="shared" si="2"/>
        <v>391.92737142708739</v>
      </c>
      <c r="L9" s="582"/>
      <c r="M9" s="185">
        <f>RANK(K9, K$7:$K$21)</f>
        <v>4</v>
      </c>
      <c r="N9" s="580"/>
      <c r="O9" s="580"/>
      <c r="P9" s="187">
        <v>6</v>
      </c>
      <c r="Q9" s="187">
        <v>2349.7772493805733</v>
      </c>
      <c r="R9" s="184">
        <f t="shared" si="3"/>
        <v>391.62954156342886</v>
      </c>
      <c r="S9" s="181">
        <f t="shared" si="4"/>
        <v>4</v>
      </c>
      <c r="T9" s="581"/>
      <c r="U9" s="187">
        <v>6</v>
      </c>
      <c r="V9" s="187">
        <v>2351.077249380573</v>
      </c>
      <c r="W9" s="184">
        <f t="shared" si="0"/>
        <v>391.8462082300955</v>
      </c>
      <c r="X9" s="181">
        <f t="shared" si="5"/>
        <v>4</v>
      </c>
      <c r="Y9" s="581"/>
      <c r="Z9" s="187">
        <v>6</v>
      </c>
      <c r="AA9" s="187">
        <v>2350.037249380573</v>
      </c>
      <c r="AB9" s="184">
        <f t="shared" si="6"/>
        <v>391.67287489676215</v>
      </c>
      <c r="AC9" s="181">
        <f t="shared" si="7"/>
        <v>4</v>
      </c>
      <c r="AD9" s="581"/>
      <c r="AE9" s="187">
        <v>6</v>
      </c>
      <c r="AF9" s="187">
        <v>2351.9294629489873</v>
      </c>
      <c r="AG9" s="184">
        <f t="shared" si="8"/>
        <v>391.98824382483122</v>
      </c>
      <c r="AH9" s="181">
        <f t="shared" si="9"/>
        <v>4</v>
      </c>
      <c r="AI9" s="581"/>
      <c r="AJ9" s="187">
        <v>6</v>
      </c>
      <c r="AK9" s="187">
        <v>2352.7094629489879</v>
      </c>
      <c r="AL9" s="184">
        <f t="shared" si="10"/>
        <v>392.11824382483132</v>
      </c>
      <c r="AM9" s="181">
        <f t="shared" si="11"/>
        <v>4</v>
      </c>
      <c r="AN9" s="581"/>
      <c r="AO9" s="187">
        <v>6</v>
      </c>
      <c r="AP9" s="187">
        <v>2352.1894629489884</v>
      </c>
      <c r="AQ9" s="184">
        <f t="shared" si="12"/>
        <v>392.03157715816474</v>
      </c>
      <c r="AR9" s="181">
        <f t="shared" si="13"/>
        <v>4</v>
      </c>
      <c r="AS9" s="581"/>
      <c r="AT9" s="187">
        <v>6</v>
      </c>
      <c r="AU9" s="187">
        <v>2353.2294629489884</v>
      </c>
      <c r="AV9" s="184">
        <f t="shared" si="14"/>
        <v>392.20491049149808</v>
      </c>
      <c r="AW9" s="181">
        <f t="shared" si="15"/>
        <v>4</v>
      </c>
      <c r="AX9" s="581"/>
    </row>
    <row r="10" spans="1:50" ht="14.25" customHeight="1">
      <c r="B10" s="580"/>
      <c r="C10" s="179">
        <v>4</v>
      </c>
      <c r="D10" s="182" t="s">
        <v>620</v>
      </c>
      <c r="E10" s="179">
        <v>20</v>
      </c>
      <c r="F10" s="179">
        <v>2100</v>
      </c>
      <c r="G10" s="184">
        <f t="shared" si="1"/>
        <v>105</v>
      </c>
      <c r="H10" s="581"/>
      <c r="I10" s="185">
        <f t="shared" ref="I10:I11" si="16">AVERAGE(P10,U10,Z10,AE10,AJ10,AO10,AT10)</f>
        <v>20</v>
      </c>
      <c r="J10" s="185">
        <f t="shared" si="2"/>
        <v>1897.3883422374979</v>
      </c>
      <c r="K10" s="186">
        <f t="shared" si="2"/>
        <v>94.869417111874881</v>
      </c>
      <c r="L10" s="582"/>
      <c r="M10" s="185">
        <f>RANK(K10, K$7:$K$21)</f>
        <v>5</v>
      </c>
      <c r="N10" s="580"/>
      <c r="O10" s="580"/>
      <c r="P10" s="187">
        <v>20</v>
      </c>
      <c r="Q10" s="187">
        <v>1898.528342237498</v>
      </c>
      <c r="R10" s="184">
        <f t="shared" si="3"/>
        <v>94.926417111874898</v>
      </c>
      <c r="S10" s="181">
        <f t="shared" si="4"/>
        <v>5</v>
      </c>
      <c r="T10" s="581"/>
      <c r="U10" s="187">
        <v>20</v>
      </c>
      <c r="V10" s="187">
        <v>1898.5283422374978</v>
      </c>
      <c r="W10" s="184">
        <f t="shared" si="0"/>
        <v>94.926417111874883</v>
      </c>
      <c r="X10" s="181">
        <f t="shared" si="5"/>
        <v>5</v>
      </c>
      <c r="Y10" s="581"/>
      <c r="Z10" s="187">
        <v>20</v>
      </c>
      <c r="AA10" s="187">
        <v>1897.6883422374976</v>
      </c>
      <c r="AB10" s="184">
        <f t="shared" si="6"/>
        <v>94.884417111874882</v>
      </c>
      <c r="AC10" s="181">
        <f t="shared" si="7"/>
        <v>5</v>
      </c>
      <c r="AD10" s="581"/>
      <c r="AE10" s="187">
        <v>20</v>
      </c>
      <c r="AF10" s="187">
        <v>1896.8483422374975</v>
      </c>
      <c r="AG10" s="184">
        <f t="shared" si="8"/>
        <v>94.84241711187488</v>
      </c>
      <c r="AH10" s="181">
        <f t="shared" si="9"/>
        <v>5</v>
      </c>
      <c r="AI10" s="581"/>
      <c r="AJ10" s="187">
        <v>20</v>
      </c>
      <c r="AK10" s="187">
        <v>1896.8483422374977</v>
      </c>
      <c r="AL10" s="184">
        <f t="shared" si="10"/>
        <v>94.84241711187488</v>
      </c>
      <c r="AM10" s="181">
        <f t="shared" si="11"/>
        <v>5</v>
      </c>
      <c r="AN10" s="581"/>
      <c r="AO10" s="187">
        <v>20</v>
      </c>
      <c r="AP10" s="187">
        <v>1897.0583422374978</v>
      </c>
      <c r="AQ10" s="184">
        <f t="shared" si="12"/>
        <v>94.852917111874888</v>
      </c>
      <c r="AR10" s="181">
        <f t="shared" si="13"/>
        <v>5</v>
      </c>
      <c r="AS10" s="581"/>
      <c r="AT10" s="187">
        <v>20</v>
      </c>
      <c r="AU10" s="187">
        <v>1896.2183422374978</v>
      </c>
      <c r="AV10" s="184">
        <f t="shared" si="14"/>
        <v>94.810917111874886</v>
      </c>
      <c r="AW10" s="181">
        <f t="shared" si="15"/>
        <v>5</v>
      </c>
      <c r="AX10" s="581"/>
    </row>
    <row r="11" spans="1:50" ht="14.25" customHeight="1">
      <c r="B11" s="580"/>
      <c r="C11" s="179">
        <v>5</v>
      </c>
      <c r="D11" s="182" t="s">
        <v>641</v>
      </c>
      <c r="E11" s="179">
        <v>5</v>
      </c>
      <c r="F11" s="179">
        <v>3273</v>
      </c>
      <c r="G11" s="184">
        <f t="shared" si="1"/>
        <v>654.6</v>
      </c>
      <c r="H11" s="581"/>
      <c r="I11" s="185">
        <f t="shared" si="16"/>
        <v>5</v>
      </c>
      <c r="J11" s="185">
        <f t="shared" si="2"/>
        <v>2966.2202100119753</v>
      </c>
      <c r="K11" s="186">
        <f t="shared" si="2"/>
        <v>593.24404200239496</v>
      </c>
      <c r="L11" s="582"/>
      <c r="M11" s="185">
        <f>RANK(K11, K$7:$K$21)</f>
        <v>1</v>
      </c>
      <c r="N11" s="580"/>
      <c r="O11" s="580"/>
      <c r="P11" s="187">
        <v>5</v>
      </c>
      <c r="Q11" s="187">
        <v>2966.9683242976903</v>
      </c>
      <c r="R11" s="184">
        <f t="shared" si="3"/>
        <v>593.39366485953803</v>
      </c>
      <c r="S11" s="181">
        <f t="shared" si="4"/>
        <v>1</v>
      </c>
      <c r="T11" s="581"/>
      <c r="U11" s="187">
        <v>5</v>
      </c>
      <c r="V11" s="187">
        <v>2966.6410242976895</v>
      </c>
      <c r="W11" s="184">
        <f t="shared" si="0"/>
        <v>593.32820485953789</v>
      </c>
      <c r="X11" s="181">
        <f t="shared" si="5"/>
        <v>1</v>
      </c>
      <c r="Y11" s="581"/>
      <c r="Z11" s="187">
        <v>5</v>
      </c>
      <c r="AA11" s="187">
        <v>2965.9864242976892</v>
      </c>
      <c r="AB11" s="184">
        <f t="shared" si="6"/>
        <v>593.19728485953783</v>
      </c>
      <c r="AC11" s="181">
        <f t="shared" si="7"/>
        <v>1</v>
      </c>
      <c r="AD11" s="581"/>
      <c r="AE11" s="187">
        <v>5</v>
      </c>
      <c r="AF11" s="187">
        <v>2965.0045242976885</v>
      </c>
      <c r="AG11" s="184">
        <f t="shared" si="8"/>
        <v>593.00090485953774</v>
      </c>
      <c r="AH11" s="181">
        <f t="shared" si="9"/>
        <v>1</v>
      </c>
      <c r="AI11" s="581"/>
      <c r="AJ11" s="187">
        <v>5</v>
      </c>
      <c r="AK11" s="187">
        <v>2966.3137242976886</v>
      </c>
      <c r="AL11" s="184">
        <f t="shared" si="10"/>
        <v>593.26274485953775</v>
      </c>
      <c r="AM11" s="181">
        <f t="shared" si="11"/>
        <v>1</v>
      </c>
      <c r="AN11" s="581"/>
      <c r="AO11" s="187">
        <v>5</v>
      </c>
      <c r="AP11" s="187">
        <v>2966.9683242976885</v>
      </c>
      <c r="AQ11" s="184">
        <f t="shared" si="12"/>
        <v>593.39366485953769</v>
      </c>
      <c r="AR11" s="181">
        <f t="shared" si="13"/>
        <v>1</v>
      </c>
      <c r="AS11" s="581"/>
      <c r="AT11" s="187">
        <v>5</v>
      </c>
      <c r="AU11" s="187">
        <v>2965.6591242976892</v>
      </c>
      <c r="AV11" s="184">
        <f t="shared" si="14"/>
        <v>593.1318248595378</v>
      </c>
      <c r="AW11" s="181">
        <f t="shared" si="15"/>
        <v>1</v>
      </c>
      <c r="AX11" s="581"/>
    </row>
    <row r="12" spans="1:50" ht="14.25" customHeight="1">
      <c r="B12" s="580"/>
      <c r="C12" s="179">
        <v>6</v>
      </c>
      <c r="D12" s="182"/>
      <c r="E12" s="179"/>
      <c r="F12" s="179"/>
      <c r="G12" s="184"/>
      <c r="H12" s="581"/>
      <c r="I12" s="185"/>
      <c r="J12" s="185"/>
      <c r="K12" s="186"/>
      <c r="L12" s="582"/>
      <c r="M12" s="185"/>
      <c r="N12" s="580"/>
      <c r="O12" s="580"/>
      <c r="P12" s="187"/>
      <c r="Q12" s="187"/>
      <c r="R12" s="184"/>
      <c r="S12" s="181"/>
      <c r="T12" s="581"/>
      <c r="U12" s="187"/>
      <c r="V12" s="187"/>
      <c r="W12" s="184"/>
      <c r="X12" s="181"/>
      <c r="Y12" s="581"/>
      <c r="Z12" s="187"/>
      <c r="AA12" s="187"/>
      <c r="AB12" s="184"/>
      <c r="AC12" s="181"/>
      <c r="AD12" s="581"/>
      <c r="AE12" s="187"/>
      <c r="AF12" s="187"/>
      <c r="AG12" s="184"/>
      <c r="AH12" s="181"/>
      <c r="AI12" s="581"/>
      <c r="AJ12" s="187"/>
      <c r="AK12" s="187"/>
      <c r="AL12" s="184"/>
      <c r="AM12" s="181"/>
      <c r="AN12" s="581"/>
      <c r="AO12" s="187"/>
      <c r="AP12" s="187"/>
      <c r="AQ12" s="184"/>
      <c r="AR12" s="181"/>
      <c r="AS12" s="581"/>
      <c r="AT12" s="187"/>
      <c r="AU12" s="187"/>
      <c r="AV12" s="184"/>
      <c r="AW12" s="181"/>
      <c r="AX12" s="581"/>
    </row>
    <row r="13" spans="1:50" ht="14.25" customHeight="1">
      <c r="B13" s="580"/>
      <c r="C13" s="179">
        <v>7</v>
      </c>
      <c r="D13" s="182"/>
      <c r="E13" s="179"/>
      <c r="F13" s="179"/>
      <c r="G13" s="184"/>
      <c r="H13" s="581"/>
      <c r="I13" s="185"/>
      <c r="J13" s="185"/>
      <c r="K13" s="186"/>
      <c r="L13" s="582"/>
      <c r="M13" s="185"/>
      <c r="N13" s="580"/>
      <c r="O13" s="580"/>
      <c r="P13" s="187"/>
      <c r="Q13" s="187"/>
      <c r="R13" s="184"/>
      <c r="S13" s="181"/>
      <c r="T13" s="581"/>
      <c r="U13" s="187"/>
      <c r="V13" s="187"/>
      <c r="W13" s="184"/>
      <c r="X13" s="181"/>
      <c r="Y13" s="581"/>
      <c r="Z13" s="187"/>
      <c r="AA13" s="187"/>
      <c r="AB13" s="184"/>
      <c r="AC13" s="181"/>
      <c r="AD13" s="581"/>
      <c r="AE13" s="187"/>
      <c r="AF13" s="187"/>
      <c r="AG13" s="184"/>
      <c r="AH13" s="181"/>
      <c r="AI13" s="581"/>
      <c r="AJ13" s="187"/>
      <c r="AK13" s="187"/>
      <c r="AL13" s="184"/>
      <c r="AM13" s="181"/>
      <c r="AN13" s="581"/>
      <c r="AO13" s="187"/>
      <c r="AP13" s="187"/>
      <c r="AQ13" s="184"/>
      <c r="AR13" s="181"/>
      <c r="AS13" s="581"/>
      <c r="AT13" s="187"/>
      <c r="AU13" s="187"/>
      <c r="AV13" s="184"/>
      <c r="AW13" s="181"/>
      <c r="AX13" s="581"/>
    </row>
    <row r="14" spans="1:50" ht="14.25" customHeight="1">
      <c r="B14" s="580"/>
      <c r="C14" s="179">
        <v>8</v>
      </c>
      <c r="D14" s="182"/>
      <c r="E14" s="179"/>
      <c r="F14" s="179"/>
      <c r="G14" s="184"/>
      <c r="H14" s="581"/>
      <c r="I14" s="185"/>
      <c r="J14" s="185"/>
      <c r="K14" s="186"/>
      <c r="L14" s="582"/>
      <c r="M14" s="185"/>
      <c r="N14" s="580"/>
      <c r="O14" s="580"/>
      <c r="P14" s="187"/>
      <c r="Q14" s="187"/>
      <c r="R14" s="184"/>
      <c r="S14" s="181"/>
      <c r="T14" s="581"/>
      <c r="U14" s="187"/>
      <c r="V14" s="187"/>
      <c r="W14" s="184"/>
      <c r="X14" s="181"/>
      <c r="Y14" s="581"/>
      <c r="Z14" s="187"/>
      <c r="AA14" s="187"/>
      <c r="AB14" s="184"/>
      <c r="AC14" s="181"/>
      <c r="AD14" s="581"/>
      <c r="AE14" s="187"/>
      <c r="AF14" s="187"/>
      <c r="AG14" s="184"/>
      <c r="AH14" s="181"/>
      <c r="AI14" s="581"/>
      <c r="AJ14" s="187"/>
      <c r="AK14" s="187"/>
      <c r="AL14" s="184"/>
      <c r="AM14" s="181"/>
      <c r="AN14" s="581"/>
      <c r="AO14" s="187"/>
      <c r="AP14" s="187"/>
      <c r="AQ14" s="184"/>
      <c r="AR14" s="181"/>
      <c r="AS14" s="581"/>
      <c r="AT14" s="187"/>
      <c r="AU14" s="187"/>
      <c r="AV14" s="184"/>
      <c r="AW14" s="181"/>
      <c r="AX14" s="581"/>
    </row>
    <row r="15" spans="1:50" ht="14.25" customHeight="1">
      <c r="B15" s="580"/>
      <c r="C15" s="179">
        <v>9</v>
      </c>
      <c r="D15" s="182"/>
      <c r="E15" s="179"/>
      <c r="F15" s="179"/>
      <c r="G15" s="184"/>
      <c r="H15" s="581"/>
      <c r="I15" s="185"/>
      <c r="J15" s="185"/>
      <c r="K15" s="186"/>
      <c r="L15" s="582"/>
      <c r="M15" s="185"/>
      <c r="N15" s="580"/>
      <c r="O15" s="580"/>
      <c r="P15" s="187"/>
      <c r="Q15" s="187"/>
      <c r="R15" s="184"/>
      <c r="S15" s="181"/>
      <c r="T15" s="581"/>
      <c r="U15" s="187"/>
      <c r="V15" s="187"/>
      <c r="W15" s="184"/>
      <c r="X15" s="181"/>
      <c r="Y15" s="581"/>
      <c r="Z15" s="187"/>
      <c r="AA15" s="187"/>
      <c r="AB15" s="184"/>
      <c r="AC15" s="181"/>
      <c r="AD15" s="581"/>
      <c r="AE15" s="187"/>
      <c r="AF15" s="187"/>
      <c r="AG15" s="184"/>
      <c r="AH15" s="181"/>
      <c r="AI15" s="581"/>
      <c r="AJ15" s="187"/>
      <c r="AK15" s="187"/>
      <c r="AL15" s="184"/>
      <c r="AM15" s="181"/>
      <c r="AN15" s="581"/>
      <c r="AO15" s="187"/>
      <c r="AP15" s="187"/>
      <c r="AQ15" s="184"/>
      <c r="AR15" s="181"/>
      <c r="AS15" s="581"/>
      <c r="AT15" s="187"/>
      <c r="AU15" s="187"/>
      <c r="AV15" s="184"/>
      <c r="AW15" s="181"/>
      <c r="AX15" s="581"/>
    </row>
    <row r="16" spans="1:50" ht="14.25" customHeight="1">
      <c r="B16" s="580"/>
      <c r="C16" s="179">
        <v>10</v>
      </c>
      <c r="D16" s="182"/>
      <c r="E16" s="179"/>
      <c r="F16" s="179"/>
      <c r="G16" s="184"/>
      <c r="H16" s="581"/>
      <c r="I16" s="185"/>
      <c r="J16" s="185"/>
      <c r="K16" s="186"/>
      <c r="L16" s="582"/>
      <c r="M16" s="185"/>
      <c r="N16" s="580"/>
      <c r="O16" s="580"/>
      <c r="P16" s="187"/>
      <c r="Q16" s="187"/>
      <c r="R16" s="184"/>
      <c r="S16" s="181"/>
      <c r="T16" s="581"/>
      <c r="U16" s="187"/>
      <c r="V16" s="187"/>
      <c r="W16" s="184"/>
      <c r="X16" s="181"/>
      <c r="Y16" s="581"/>
      <c r="Z16" s="187"/>
      <c r="AA16" s="187"/>
      <c r="AB16" s="184"/>
      <c r="AC16" s="181"/>
      <c r="AD16" s="581"/>
      <c r="AE16" s="187"/>
      <c r="AF16" s="187"/>
      <c r="AG16" s="184"/>
      <c r="AH16" s="181"/>
      <c r="AI16" s="581"/>
      <c r="AJ16" s="187"/>
      <c r="AK16" s="187"/>
      <c r="AL16" s="184"/>
      <c r="AM16" s="181"/>
      <c r="AN16" s="581"/>
      <c r="AO16" s="187"/>
      <c r="AP16" s="187"/>
      <c r="AQ16" s="184"/>
      <c r="AR16" s="181"/>
      <c r="AS16" s="581"/>
      <c r="AT16" s="187"/>
      <c r="AU16" s="187"/>
      <c r="AV16" s="184"/>
      <c r="AW16" s="181"/>
      <c r="AX16" s="581"/>
    </row>
    <row r="17" spans="2:50" ht="14.25" customHeight="1">
      <c r="B17" s="580"/>
      <c r="C17" s="179">
        <v>11</v>
      </c>
      <c r="D17" s="182"/>
      <c r="E17" s="179"/>
      <c r="F17" s="179"/>
      <c r="G17" s="184"/>
      <c r="H17" s="581"/>
      <c r="I17" s="185"/>
      <c r="J17" s="185"/>
      <c r="K17" s="186"/>
      <c r="L17" s="582"/>
      <c r="M17" s="185"/>
      <c r="N17" s="580"/>
      <c r="O17" s="580"/>
      <c r="P17" s="187"/>
      <c r="Q17" s="187"/>
      <c r="R17" s="184"/>
      <c r="S17" s="181"/>
      <c r="T17" s="581"/>
      <c r="U17" s="187"/>
      <c r="V17" s="187"/>
      <c r="W17" s="184"/>
      <c r="X17" s="181"/>
      <c r="Y17" s="581"/>
      <c r="Z17" s="187"/>
      <c r="AA17" s="187"/>
      <c r="AB17" s="184"/>
      <c r="AC17" s="181"/>
      <c r="AD17" s="581"/>
      <c r="AE17" s="187"/>
      <c r="AF17" s="187"/>
      <c r="AG17" s="184"/>
      <c r="AH17" s="181"/>
      <c r="AI17" s="581"/>
      <c r="AJ17" s="187"/>
      <c r="AK17" s="187"/>
      <c r="AL17" s="184"/>
      <c r="AM17" s="181"/>
      <c r="AN17" s="581"/>
      <c r="AO17" s="187"/>
      <c r="AP17" s="187"/>
      <c r="AQ17" s="184"/>
      <c r="AR17" s="181"/>
      <c r="AS17" s="581"/>
      <c r="AT17" s="187"/>
      <c r="AU17" s="187"/>
      <c r="AV17" s="184"/>
      <c r="AW17" s="181"/>
      <c r="AX17" s="581"/>
    </row>
    <row r="18" spans="2:50" ht="14.25" customHeight="1">
      <c r="B18" s="580"/>
      <c r="C18" s="179">
        <v>12</v>
      </c>
      <c r="D18" s="182"/>
      <c r="E18" s="179"/>
      <c r="F18" s="179"/>
      <c r="G18" s="184"/>
      <c r="H18" s="581"/>
      <c r="I18" s="185"/>
      <c r="J18" s="185"/>
      <c r="K18" s="186"/>
      <c r="L18" s="582"/>
      <c r="M18" s="185"/>
      <c r="N18" s="580"/>
      <c r="O18" s="580"/>
      <c r="P18" s="187"/>
      <c r="Q18" s="187"/>
      <c r="R18" s="184"/>
      <c r="S18" s="181"/>
      <c r="T18" s="581"/>
      <c r="U18" s="187"/>
      <c r="V18" s="187"/>
      <c r="W18" s="184"/>
      <c r="X18" s="181"/>
      <c r="Y18" s="581"/>
      <c r="Z18" s="187"/>
      <c r="AA18" s="187"/>
      <c r="AB18" s="184"/>
      <c r="AC18" s="181"/>
      <c r="AD18" s="581"/>
      <c r="AE18" s="187"/>
      <c r="AF18" s="187"/>
      <c r="AG18" s="184"/>
      <c r="AH18" s="181"/>
      <c r="AI18" s="581"/>
      <c r="AJ18" s="187"/>
      <c r="AK18" s="187"/>
      <c r="AL18" s="184"/>
      <c r="AM18" s="181"/>
      <c r="AN18" s="581"/>
      <c r="AO18" s="187"/>
      <c r="AP18" s="187"/>
      <c r="AQ18" s="184"/>
      <c r="AR18" s="181"/>
      <c r="AS18" s="581"/>
      <c r="AT18" s="187"/>
      <c r="AU18" s="187"/>
      <c r="AV18" s="184"/>
      <c r="AW18" s="181"/>
      <c r="AX18" s="581"/>
    </row>
    <row r="19" spans="2:50" ht="14.25" customHeight="1">
      <c r="B19" s="580"/>
      <c r="C19" s="179">
        <v>13</v>
      </c>
      <c r="D19" s="182"/>
      <c r="E19" s="179"/>
      <c r="F19" s="179"/>
      <c r="G19" s="184"/>
      <c r="H19" s="581"/>
      <c r="I19" s="185"/>
      <c r="J19" s="185"/>
      <c r="K19" s="186"/>
      <c r="L19" s="582"/>
      <c r="M19" s="185"/>
      <c r="N19" s="580"/>
      <c r="O19" s="580"/>
      <c r="P19" s="187"/>
      <c r="Q19" s="187"/>
      <c r="R19" s="184"/>
      <c r="S19" s="181"/>
      <c r="T19" s="581"/>
      <c r="U19" s="187"/>
      <c r="V19" s="187"/>
      <c r="W19" s="184"/>
      <c r="X19" s="181"/>
      <c r="Y19" s="581"/>
      <c r="Z19" s="187"/>
      <c r="AA19" s="187"/>
      <c r="AB19" s="184"/>
      <c r="AC19" s="181"/>
      <c r="AD19" s="581"/>
      <c r="AE19" s="187"/>
      <c r="AF19" s="187"/>
      <c r="AG19" s="184"/>
      <c r="AH19" s="181"/>
      <c r="AI19" s="581"/>
      <c r="AJ19" s="187"/>
      <c r="AK19" s="187"/>
      <c r="AL19" s="184"/>
      <c r="AM19" s="181"/>
      <c r="AN19" s="581"/>
      <c r="AO19" s="187"/>
      <c r="AP19" s="187"/>
      <c r="AQ19" s="184"/>
      <c r="AR19" s="181"/>
      <c r="AS19" s="581"/>
      <c r="AT19" s="187"/>
      <c r="AU19" s="187"/>
      <c r="AV19" s="184"/>
      <c r="AW19" s="181"/>
      <c r="AX19" s="581"/>
    </row>
    <row r="20" spans="2:50" ht="14.25" customHeight="1">
      <c r="B20" s="580"/>
      <c r="C20" s="179">
        <v>14</v>
      </c>
      <c r="D20" s="182"/>
      <c r="E20" s="179"/>
      <c r="F20" s="179"/>
      <c r="G20" s="184"/>
      <c r="H20" s="581"/>
      <c r="I20" s="185"/>
      <c r="J20" s="185"/>
      <c r="K20" s="186"/>
      <c r="L20" s="582"/>
      <c r="M20" s="185"/>
      <c r="N20" s="580"/>
      <c r="O20" s="580"/>
      <c r="P20" s="187"/>
      <c r="Q20" s="187"/>
      <c r="R20" s="184"/>
      <c r="S20" s="181"/>
      <c r="T20" s="581"/>
      <c r="U20" s="187"/>
      <c r="V20" s="187"/>
      <c r="W20" s="184"/>
      <c r="X20" s="181"/>
      <c r="Y20" s="581"/>
      <c r="Z20" s="187"/>
      <c r="AA20" s="187"/>
      <c r="AB20" s="184"/>
      <c r="AC20" s="181"/>
      <c r="AD20" s="581"/>
      <c r="AE20" s="187"/>
      <c r="AF20" s="187"/>
      <c r="AG20" s="184"/>
      <c r="AH20" s="181"/>
      <c r="AI20" s="581"/>
      <c r="AJ20" s="187"/>
      <c r="AK20" s="187"/>
      <c r="AL20" s="184"/>
      <c r="AM20" s="181"/>
      <c r="AN20" s="581"/>
      <c r="AO20" s="187"/>
      <c r="AP20" s="187"/>
      <c r="AQ20" s="184"/>
      <c r="AR20" s="181"/>
      <c r="AS20" s="581"/>
      <c r="AT20" s="187"/>
      <c r="AU20" s="187"/>
      <c r="AV20" s="184"/>
      <c r="AW20" s="181"/>
      <c r="AX20" s="581"/>
    </row>
    <row r="21" spans="2:50" ht="14.25" customHeight="1">
      <c r="B21" s="580"/>
      <c r="C21" s="179">
        <v>15</v>
      </c>
      <c r="D21" s="182"/>
      <c r="E21" s="179"/>
      <c r="F21" s="179"/>
      <c r="G21" s="184"/>
      <c r="H21" s="581"/>
      <c r="I21" s="185"/>
      <c r="J21" s="185"/>
      <c r="K21" s="186"/>
      <c r="L21" s="582"/>
      <c r="M21" s="185"/>
      <c r="N21" s="580"/>
      <c r="O21" s="580"/>
      <c r="P21" s="187"/>
      <c r="Q21" s="187"/>
      <c r="R21" s="184"/>
      <c r="S21" s="181"/>
      <c r="T21" s="581"/>
      <c r="U21" s="187"/>
      <c r="V21" s="187"/>
      <c r="W21" s="184"/>
      <c r="X21" s="181"/>
      <c r="Y21" s="581"/>
      <c r="Z21" s="187"/>
      <c r="AA21" s="187"/>
      <c r="AB21" s="184"/>
      <c r="AC21" s="181"/>
      <c r="AD21" s="581"/>
      <c r="AE21" s="187"/>
      <c r="AF21" s="187"/>
      <c r="AG21" s="184"/>
      <c r="AH21" s="181"/>
      <c r="AI21" s="581"/>
      <c r="AJ21" s="187"/>
      <c r="AK21" s="187"/>
      <c r="AL21" s="184"/>
      <c r="AM21" s="181"/>
      <c r="AN21" s="581"/>
      <c r="AO21" s="187"/>
      <c r="AP21" s="187"/>
      <c r="AQ21" s="184"/>
      <c r="AR21" s="181"/>
      <c r="AS21" s="581"/>
      <c r="AT21" s="187"/>
      <c r="AU21" s="187"/>
      <c r="AV21" s="184"/>
      <c r="AW21" s="181"/>
      <c r="AX21" s="581"/>
    </row>
    <row r="22" spans="2:50" ht="14.25" customHeight="1" collapsed="1">
      <c r="B22" s="608" t="s">
        <v>807</v>
      </c>
      <c r="C22" s="609"/>
      <c r="D22" s="609"/>
      <c r="E22" s="609"/>
      <c r="F22" s="609"/>
      <c r="G22" s="609"/>
      <c r="H22" s="609"/>
      <c r="I22" s="609"/>
      <c r="J22" s="609"/>
      <c r="K22" s="609"/>
      <c r="L22" s="609"/>
      <c r="M22" s="610"/>
      <c r="N22" s="613" t="s">
        <v>363</v>
      </c>
      <c r="O22" s="613" t="s">
        <v>105</v>
      </c>
      <c r="P22" s="602">
        <v>46210</v>
      </c>
      <c r="Q22" s="603"/>
      <c r="R22" s="603"/>
      <c r="S22" s="603"/>
      <c r="T22" s="603"/>
      <c r="U22" s="594">
        <v>46211</v>
      </c>
      <c r="V22" s="595"/>
      <c r="W22" s="595"/>
      <c r="X22" s="595"/>
      <c r="Y22" s="595"/>
      <c r="Z22" s="602">
        <v>46212</v>
      </c>
      <c r="AA22" s="603"/>
      <c r="AB22" s="603"/>
      <c r="AC22" s="603"/>
      <c r="AD22" s="603"/>
      <c r="AE22" s="594">
        <v>46213</v>
      </c>
      <c r="AF22" s="595"/>
      <c r="AG22" s="595"/>
      <c r="AH22" s="595"/>
      <c r="AI22" s="595"/>
      <c r="AJ22" s="586">
        <v>46214</v>
      </c>
      <c r="AK22" s="587"/>
      <c r="AL22" s="587"/>
      <c r="AM22" s="587"/>
      <c r="AN22" s="588"/>
      <c r="AO22" s="594">
        <v>46215</v>
      </c>
      <c r="AP22" s="595"/>
      <c r="AQ22" s="595"/>
      <c r="AR22" s="595"/>
      <c r="AS22" s="595"/>
      <c r="AT22" s="586">
        <v>46216</v>
      </c>
      <c r="AU22" s="587"/>
      <c r="AV22" s="587"/>
      <c r="AW22" s="587"/>
      <c r="AX22" s="588"/>
    </row>
    <row r="23" spans="2:50" ht="14.25" customHeight="1">
      <c r="B23" s="611"/>
      <c r="C23" s="611"/>
      <c r="D23" s="611"/>
      <c r="E23" s="611"/>
      <c r="F23" s="611"/>
      <c r="G23" s="611"/>
      <c r="H23" s="611"/>
      <c r="I23" s="611"/>
      <c r="J23" s="611"/>
      <c r="K23" s="611"/>
      <c r="L23" s="611"/>
      <c r="M23" s="612"/>
      <c r="N23" s="614"/>
      <c r="O23" s="614"/>
      <c r="P23" s="589">
        <v>46196</v>
      </c>
      <c r="Q23" s="589"/>
      <c r="R23" s="589"/>
      <c r="S23" s="589"/>
      <c r="T23" s="589"/>
      <c r="U23" s="590">
        <v>46197</v>
      </c>
      <c r="V23" s="590"/>
      <c r="W23" s="590"/>
      <c r="X23" s="590"/>
      <c r="Y23" s="590"/>
      <c r="Z23" s="589">
        <v>46198</v>
      </c>
      <c r="AA23" s="589"/>
      <c r="AB23" s="589"/>
      <c r="AC23" s="589"/>
      <c r="AD23" s="589"/>
      <c r="AE23" s="590">
        <v>46199</v>
      </c>
      <c r="AF23" s="590"/>
      <c r="AG23" s="590"/>
      <c r="AH23" s="590"/>
      <c r="AI23" s="590"/>
      <c r="AJ23" s="591">
        <v>46200</v>
      </c>
      <c r="AK23" s="592"/>
      <c r="AL23" s="592"/>
      <c r="AM23" s="592"/>
      <c r="AN23" s="593"/>
      <c r="AO23" s="590">
        <v>46201</v>
      </c>
      <c r="AP23" s="590"/>
      <c r="AQ23" s="590"/>
      <c r="AR23" s="590"/>
      <c r="AS23" s="590"/>
      <c r="AT23" s="591">
        <v>46202</v>
      </c>
      <c r="AU23" s="592"/>
      <c r="AV23" s="592"/>
      <c r="AW23" s="592"/>
      <c r="AX23" s="593"/>
    </row>
    <row r="24" spans="2:50" ht="14.25" customHeight="1">
      <c r="B24" s="580" t="s">
        <v>162</v>
      </c>
      <c r="C24" s="580" t="s">
        <v>157</v>
      </c>
      <c r="D24" s="580"/>
      <c r="E24" s="580" t="s">
        <v>158</v>
      </c>
      <c r="F24" s="580"/>
      <c r="G24" s="580"/>
      <c r="H24" s="580" t="s">
        <v>163</v>
      </c>
      <c r="I24" s="583" t="s">
        <v>364</v>
      </c>
      <c r="J24" s="583"/>
      <c r="K24" s="583"/>
      <c r="L24" s="583" t="s">
        <v>163</v>
      </c>
      <c r="M24" s="583" t="s">
        <v>165</v>
      </c>
      <c r="N24" s="580"/>
      <c r="O24" s="580" t="s">
        <v>164</v>
      </c>
      <c r="P24" s="580" t="s">
        <v>160</v>
      </c>
      <c r="Q24" s="580"/>
      <c r="R24" s="580"/>
      <c r="S24" s="580"/>
      <c r="T24" s="580" t="s">
        <v>163</v>
      </c>
      <c r="U24" s="580" t="s">
        <v>160</v>
      </c>
      <c r="V24" s="580"/>
      <c r="W24" s="580"/>
      <c r="X24" s="580"/>
      <c r="Y24" s="580" t="s">
        <v>163</v>
      </c>
      <c r="Z24" s="580" t="s">
        <v>160</v>
      </c>
      <c r="AA24" s="580"/>
      <c r="AB24" s="580"/>
      <c r="AC24" s="580"/>
      <c r="AD24" s="580" t="s">
        <v>163</v>
      </c>
      <c r="AE24" s="580" t="s">
        <v>160</v>
      </c>
      <c r="AF24" s="580"/>
      <c r="AG24" s="580"/>
      <c r="AH24" s="580"/>
      <c r="AI24" s="580" t="s">
        <v>163</v>
      </c>
      <c r="AJ24" s="580" t="s">
        <v>160</v>
      </c>
      <c r="AK24" s="580"/>
      <c r="AL24" s="580"/>
      <c r="AM24" s="580"/>
      <c r="AN24" s="580" t="s">
        <v>163</v>
      </c>
      <c r="AO24" s="580" t="s">
        <v>160</v>
      </c>
      <c r="AP24" s="580"/>
      <c r="AQ24" s="580"/>
      <c r="AR24" s="580"/>
      <c r="AS24" s="580" t="s">
        <v>163</v>
      </c>
      <c r="AT24" s="580" t="s">
        <v>160</v>
      </c>
      <c r="AU24" s="580"/>
      <c r="AV24" s="580"/>
      <c r="AW24" s="580"/>
      <c r="AX24" s="580" t="s">
        <v>163</v>
      </c>
    </row>
    <row r="25" spans="2:50" ht="14.25" customHeight="1">
      <c r="B25" s="580"/>
      <c r="C25" s="580"/>
      <c r="D25" s="580"/>
      <c r="E25" s="580" t="s">
        <v>365</v>
      </c>
      <c r="F25" s="580"/>
      <c r="G25" s="580"/>
      <c r="H25" s="580"/>
      <c r="I25" s="583" t="s">
        <v>365</v>
      </c>
      <c r="J25" s="583"/>
      <c r="K25" s="583"/>
      <c r="L25" s="583"/>
      <c r="M25" s="583"/>
      <c r="N25" s="580"/>
      <c r="O25" s="580"/>
      <c r="P25" s="580" t="s">
        <v>366</v>
      </c>
      <c r="Q25" s="580"/>
      <c r="R25" s="580"/>
      <c r="S25" s="580"/>
      <c r="T25" s="580"/>
      <c r="U25" s="580" t="s">
        <v>366</v>
      </c>
      <c r="V25" s="580"/>
      <c r="W25" s="580"/>
      <c r="X25" s="580"/>
      <c r="Y25" s="580"/>
      <c r="Z25" s="580" t="s">
        <v>366</v>
      </c>
      <c r="AA25" s="580"/>
      <c r="AB25" s="580"/>
      <c r="AC25" s="580"/>
      <c r="AD25" s="580"/>
      <c r="AE25" s="580" t="s">
        <v>366</v>
      </c>
      <c r="AF25" s="580"/>
      <c r="AG25" s="580"/>
      <c r="AH25" s="580"/>
      <c r="AI25" s="580"/>
      <c r="AJ25" s="580" t="s">
        <v>366</v>
      </c>
      <c r="AK25" s="580"/>
      <c r="AL25" s="580"/>
      <c r="AM25" s="580"/>
      <c r="AN25" s="580"/>
      <c r="AO25" s="580" t="s">
        <v>366</v>
      </c>
      <c r="AP25" s="580"/>
      <c r="AQ25" s="580"/>
      <c r="AR25" s="580"/>
      <c r="AS25" s="580"/>
      <c r="AT25" s="580" t="s">
        <v>366</v>
      </c>
      <c r="AU25" s="580"/>
      <c r="AV25" s="580"/>
      <c r="AW25" s="580"/>
      <c r="AX25" s="580"/>
    </row>
    <row r="26" spans="2:50" ht="14.25" customHeight="1">
      <c r="B26" s="580"/>
      <c r="C26" s="580"/>
      <c r="D26" s="580"/>
      <c r="E26" s="179" t="s">
        <v>159</v>
      </c>
      <c r="F26" s="179" t="s">
        <v>367</v>
      </c>
      <c r="G26" s="179" t="s">
        <v>161</v>
      </c>
      <c r="H26" s="580"/>
      <c r="I26" s="180" t="s">
        <v>159</v>
      </c>
      <c r="J26" s="180" t="s">
        <v>367</v>
      </c>
      <c r="K26" s="180" t="s">
        <v>161</v>
      </c>
      <c r="L26" s="583"/>
      <c r="M26" s="583"/>
      <c r="N26" s="580"/>
      <c r="O26" s="580"/>
      <c r="P26" s="179" t="s">
        <v>159</v>
      </c>
      <c r="Q26" s="179" t="s">
        <v>367</v>
      </c>
      <c r="R26" s="179" t="s">
        <v>161</v>
      </c>
      <c r="S26" s="181" t="s">
        <v>165</v>
      </c>
      <c r="T26" s="580"/>
      <c r="U26" s="179" t="s">
        <v>159</v>
      </c>
      <c r="V26" s="179" t="s">
        <v>367</v>
      </c>
      <c r="W26" s="179" t="s">
        <v>161</v>
      </c>
      <c r="X26" s="181" t="s">
        <v>165</v>
      </c>
      <c r="Y26" s="580"/>
      <c r="Z26" s="179" t="s">
        <v>159</v>
      </c>
      <c r="AA26" s="179" t="s">
        <v>367</v>
      </c>
      <c r="AB26" s="179" t="s">
        <v>161</v>
      </c>
      <c r="AC26" s="181" t="s">
        <v>165</v>
      </c>
      <c r="AD26" s="580"/>
      <c r="AE26" s="179" t="s">
        <v>159</v>
      </c>
      <c r="AF26" s="179" t="s">
        <v>367</v>
      </c>
      <c r="AG26" s="179" t="s">
        <v>161</v>
      </c>
      <c r="AH26" s="181" t="s">
        <v>165</v>
      </c>
      <c r="AI26" s="580"/>
      <c r="AJ26" s="179" t="s">
        <v>159</v>
      </c>
      <c r="AK26" s="179" t="s">
        <v>367</v>
      </c>
      <c r="AL26" s="179" t="s">
        <v>161</v>
      </c>
      <c r="AM26" s="181" t="s">
        <v>165</v>
      </c>
      <c r="AN26" s="580"/>
      <c r="AO26" s="179" t="s">
        <v>159</v>
      </c>
      <c r="AP26" s="179" t="s">
        <v>367</v>
      </c>
      <c r="AQ26" s="179" t="s">
        <v>161</v>
      </c>
      <c r="AR26" s="181" t="s">
        <v>165</v>
      </c>
      <c r="AS26" s="580"/>
      <c r="AT26" s="179" t="s">
        <v>159</v>
      </c>
      <c r="AU26" s="179" t="s">
        <v>367</v>
      </c>
      <c r="AV26" s="179" t="s">
        <v>161</v>
      </c>
      <c r="AW26" s="181" t="s">
        <v>165</v>
      </c>
      <c r="AX26" s="580"/>
    </row>
    <row r="27" spans="2:50" ht="14.25" customHeight="1">
      <c r="B27" s="580" t="s">
        <v>370</v>
      </c>
      <c r="C27" s="179">
        <v>1</v>
      </c>
      <c r="D27" s="182" t="s">
        <v>600</v>
      </c>
      <c r="E27" s="183">
        <v>5</v>
      </c>
      <c r="F27" s="179">
        <v>3273</v>
      </c>
      <c r="G27" s="184">
        <f t="shared" ref="G27:G31" si="17">IFERROR(F27/E27,"")</f>
        <v>654.6</v>
      </c>
      <c r="H27" s="581">
        <f>AVERAGE(G27:G41)</f>
        <v>522.83999999999992</v>
      </c>
      <c r="I27" s="185">
        <f>AVERAGE(P27,U27,Z27,AE27,AJ27,AO27,AT27)</f>
        <v>6</v>
      </c>
      <c r="J27" s="185">
        <f>AVERAGE(Q27,V27,AA27,AF27,AK27,AP27,AU27)</f>
        <v>2961.6418775921857</v>
      </c>
      <c r="K27" s="186">
        <f>AVERAGE(R27,W27,AB27,AG27,AL27,AQ27,AV27)</f>
        <v>493.60697959869776</v>
      </c>
      <c r="L27" s="582">
        <f>IFERROR(AVERAGE(K27:K41),"-")</f>
        <v>451.13496901318541</v>
      </c>
      <c r="M27" s="185">
        <f>RANK(K27, K$27:$K$41)</f>
        <v>4</v>
      </c>
      <c r="N27" s="580"/>
      <c r="O27" s="580"/>
      <c r="P27" s="187">
        <v>6</v>
      </c>
      <c r="Q27" s="187">
        <v>2961.6418775921861</v>
      </c>
      <c r="R27" s="184">
        <f>IFERROR(Q27/P27,"")</f>
        <v>493.60697959869771</v>
      </c>
      <c r="S27" s="181">
        <f>RANK(R27, R$27:R$41)</f>
        <v>4</v>
      </c>
      <c r="T27" s="581">
        <f>AVERAGE(R27:R41)</f>
        <v>445.69810536420044</v>
      </c>
      <c r="U27" s="187">
        <v>6</v>
      </c>
      <c r="V27" s="187">
        <v>2961.6418775921861</v>
      </c>
      <c r="W27" s="184">
        <f t="shared" ref="W27:W31" si="18">IFERROR(V27/U27,"")</f>
        <v>493.60697959869771</v>
      </c>
      <c r="X27" s="181">
        <f>RANK(W27, W$27:W$41)</f>
        <v>4</v>
      </c>
      <c r="Y27" s="581">
        <f>AVERAGE(W27:W41)</f>
        <v>448.46105231402208</v>
      </c>
      <c r="Z27" s="187">
        <v>6</v>
      </c>
      <c r="AA27" s="187">
        <v>2961.6418775921861</v>
      </c>
      <c r="AB27" s="184">
        <f>IFERROR(AA27/Z27,"")</f>
        <v>493.60697959869771</v>
      </c>
      <c r="AC27" s="181">
        <f>RANK(AB27, AB$27:AB$41)</f>
        <v>4</v>
      </c>
      <c r="AD27" s="581">
        <f>AVERAGE(AB27:AB41)</f>
        <v>451.1707123140219</v>
      </c>
      <c r="AE27" s="187">
        <v>6</v>
      </c>
      <c r="AF27" s="187">
        <v>2961.6418775921861</v>
      </c>
      <c r="AG27" s="184">
        <f>IFERROR(AF27/AE27,"")</f>
        <v>493.60697959869771</v>
      </c>
      <c r="AH27" s="181">
        <f>RANK(AG27, AG$27:AG$41)</f>
        <v>4</v>
      </c>
      <c r="AI27" s="581">
        <f>AVERAGE(AG27:AG41)</f>
        <v>453.27564815798689</v>
      </c>
      <c r="AJ27" s="187">
        <v>6</v>
      </c>
      <c r="AK27" s="187">
        <v>2961.6418775921866</v>
      </c>
      <c r="AL27" s="184">
        <f>IFERROR(AK27/AJ27,"")</f>
        <v>493.60697959869776</v>
      </c>
      <c r="AM27" s="181">
        <f>RANK(AL27, AL$27:AL$41)</f>
        <v>4</v>
      </c>
      <c r="AN27" s="581">
        <f>AVERAGE(AL27:AL41)</f>
        <v>453.10590431402215</v>
      </c>
      <c r="AO27" s="187">
        <v>6</v>
      </c>
      <c r="AP27" s="187">
        <v>2961.6418775921861</v>
      </c>
      <c r="AQ27" s="184">
        <f>IFERROR(AP27/AO27,"")</f>
        <v>493.60697959869771</v>
      </c>
      <c r="AR27" s="181">
        <f>RANK(AQ27, AQ$27:AQ$41)</f>
        <v>4</v>
      </c>
      <c r="AS27" s="581">
        <f>AVERAGE(AQ27:AQ41)</f>
        <v>453.14106431402206</v>
      </c>
      <c r="AT27" s="187">
        <v>6</v>
      </c>
      <c r="AU27" s="187">
        <v>2961.6418775921861</v>
      </c>
      <c r="AV27" s="184">
        <f>IFERROR(AU27/AT27,"")</f>
        <v>493.60697959869771</v>
      </c>
      <c r="AW27" s="181">
        <f>RANK(AV27, AV$27:AV$41)</f>
        <v>4</v>
      </c>
      <c r="AX27" s="581">
        <f>AVERAGE(AV27:AV41)</f>
        <v>453.09229631402212</v>
      </c>
    </row>
    <row r="28" spans="2:50" ht="14.25" customHeight="1">
      <c r="B28" s="580"/>
      <c r="C28" s="179">
        <v>2</v>
      </c>
      <c r="D28" s="182" t="s">
        <v>581</v>
      </c>
      <c r="E28" s="179">
        <v>6</v>
      </c>
      <c r="F28" s="179">
        <v>3600</v>
      </c>
      <c r="G28" s="184">
        <f t="shared" si="17"/>
        <v>600</v>
      </c>
      <c r="H28" s="581"/>
      <c r="I28" s="185">
        <f t="shared" ref="I28:K31" si="19">AVERAGE(P28,U28,Z28,AE28,AJ28,AO28,AT28)</f>
        <v>6</v>
      </c>
      <c r="J28" s="185">
        <f t="shared" si="19"/>
        <v>3221.004969973023</v>
      </c>
      <c r="K28" s="186">
        <f t="shared" si="19"/>
        <v>536.83416166217046</v>
      </c>
      <c r="L28" s="582"/>
      <c r="M28" s="185">
        <f>RANK(K28, K$27:$K$41)</f>
        <v>3</v>
      </c>
      <c r="N28" s="580"/>
      <c r="O28" s="580"/>
      <c r="P28" s="187">
        <v>6</v>
      </c>
      <c r="Q28" s="187">
        <v>3139.2</v>
      </c>
      <c r="R28" s="184">
        <f t="shared" ref="R28:R31" si="20">IFERROR(Q28/P28,"")</f>
        <v>523.19999999999993</v>
      </c>
      <c r="S28" s="181">
        <f t="shared" ref="S28:S31" si="21">RANK(R28, R$27:R$41)</f>
        <v>3</v>
      </c>
      <c r="T28" s="581"/>
      <c r="U28" s="187">
        <v>6</v>
      </c>
      <c r="V28" s="187">
        <v>3182.4000000000005</v>
      </c>
      <c r="W28" s="184">
        <f t="shared" si="18"/>
        <v>530.40000000000009</v>
      </c>
      <c r="X28" s="181">
        <f t="shared" ref="X28:X31" si="22">RANK(W28, W$27:W$41)</f>
        <v>2</v>
      </c>
      <c r="Y28" s="581"/>
      <c r="Z28" s="187">
        <v>6</v>
      </c>
      <c r="AA28" s="187">
        <v>3221.9999999999995</v>
      </c>
      <c r="AB28" s="184">
        <f t="shared" ref="AB28:AB31" si="23">IFERROR(AA28/Z28,"")</f>
        <v>536.99999999999989</v>
      </c>
      <c r="AC28" s="181">
        <f t="shared" ref="AC28:AC31" si="24">RANK(AB28, AB$27:AB$41)</f>
        <v>2</v>
      </c>
      <c r="AD28" s="581"/>
      <c r="AE28" s="187">
        <v>6</v>
      </c>
      <c r="AF28" s="187">
        <v>3253.914789811161</v>
      </c>
      <c r="AG28" s="184">
        <f t="shared" ref="AG28:AG31" si="25">IFERROR(AF28/AE28,"")</f>
        <v>542.31913163519346</v>
      </c>
      <c r="AH28" s="181">
        <f t="shared" ref="AH28:AH31" si="26">RANK(AG28, AG$27:AG$41)</f>
        <v>2</v>
      </c>
      <c r="AI28" s="581"/>
      <c r="AJ28" s="187">
        <v>6</v>
      </c>
      <c r="AK28" s="187">
        <v>3250.8</v>
      </c>
      <c r="AL28" s="184">
        <f t="shared" ref="AL28:AL31" si="27">IFERROR(AK28/AJ28,"")</f>
        <v>541.80000000000007</v>
      </c>
      <c r="AM28" s="181">
        <f t="shared" ref="AM28:AM31" si="28">RANK(AL28, AL$27:AL$41)</f>
        <v>2</v>
      </c>
      <c r="AN28" s="581"/>
      <c r="AO28" s="187">
        <v>6</v>
      </c>
      <c r="AP28" s="187">
        <v>3249.7200000000007</v>
      </c>
      <c r="AQ28" s="184">
        <f t="shared" ref="AQ28:AQ31" si="29">IFERROR(AP28/AO28,"")</f>
        <v>541.62000000000012</v>
      </c>
      <c r="AR28" s="181">
        <f t="shared" ref="AR28:AR31" si="30">RANK(AQ28, AQ$27:AQ$41)</f>
        <v>3</v>
      </c>
      <c r="AS28" s="581"/>
      <c r="AT28" s="187">
        <v>6</v>
      </c>
      <c r="AU28" s="187">
        <v>3249.0000000000014</v>
      </c>
      <c r="AV28" s="184">
        <f t="shared" ref="AV28:AV31" si="31">IFERROR(AU28/AT28,"")</f>
        <v>541.50000000000023</v>
      </c>
      <c r="AW28" s="181">
        <f t="shared" ref="AW28:AW31" si="32">RANK(AV28, AV$27:AV$41)</f>
        <v>3</v>
      </c>
      <c r="AX28" s="581"/>
    </row>
    <row r="29" spans="2:50" ht="14.25" customHeight="1">
      <c r="B29" s="580"/>
      <c r="C29" s="179">
        <v>3</v>
      </c>
      <c r="D29" s="182" t="s">
        <v>582</v>
      </c>
      <c r="E29" s="179">
        <v>6</v>
      </c>
      <c r="F29" s="179">
        <v>3600</v>
      </c>
      <c r="G29" s="184">
        <f t="shared" si="17"/>
        <v>600</v>
      </c>
      <c r="H29" s="581"/>
      <c r="I29" s="185">
        <f t="shared" si="19"/>
        <v>6</v>
      </c>
      <c r="J29" s="185">
        <f t="shared" si="19"/>
        <v>3221.7612967161626</v>
      </c>
      <c r="K29" s="186">
        <f t="shared" si="19"/>
        <v>536.96021611936044</v>
      </c>
      <c r="L29" s="582"/>
      <c r="M29" s="185">
        <f>RANK(K29, K$27:$K$41)</f>
        <v>2</v>
      </c>
      <c r="N29" s="580"/>
      <c r="O29" s="580"/>
      <c r="P29" s="187">
        <v>6</v>
      </c>
      <c r="Q29" s="187">
        <v>3141.0145515053509</v>
      </c>
      <c r="R29" s="184">
        <f t="shared" si="20"/>
        <v>523.50242525089186</v>
      </c>
      <c r="S29" s="181">
        <f t="shared" si="21"/>
        <v>2</v>
      </c>
      <c r="T29" s="581"/>
      <c r="U29" s="187">
        <v>6</v>
      </c>
      <c r="V29" s="187">
        <v>3182.4</v>
      </c>
      <c r="W29" s="184">
        <f t="shared" si="18"/>
        <v>530.4</v>
      </c>
      <c r="X29" s="181">
        <f t="shared" si="22"/>
        <v>3</v>
      </c>
      <c r="Y29" s="581"/>
      <c r="Z29" s="187">
        <v>6</v>
      </c>
      <c r="AA29" s="187">
        <v>3221.9999999999995</v>
      </c>
      <c r="AB29" s="184">
        <f t="shared" si="23"/>
        <v>536.99999999999989</v>
      </c>
      <c r="AC29" s="181">
        <f t="shared" si="24"/>
        <v>2</v>
      </c>
      <c r="AD29" s="581"/>
      <c r="AE29" s="187">
        <v>6</v>
      </c>
      <c r="AF29" s="187">
        <v>3252.7145255077871</v>
      </c>
      <c r="AG29" s="184">
        <f t="shared" si="25"/>
        <v>542.11908758463119</v>
      </c>
      <c r="AH29" s="181">
        <f t="shared" si="26"/>
        <v>3</v>
      </c>
      <c r="AI29" s="581"/>
      <c r="AJ29" s="187">
        <v>6</v>
      </c>
      <c r="AK29" s="187">
        <v>3250.8</v>
      </c>
      <c r="AL29" s="184">
        <f t="shared" si="27"/>
        <v>541.80000000000007</v>
      </c>
      <c r="AM29" s="181">
        <f t="shared" si="28"/>
        <v>2</v>
      </c>
      <c r="AN29" s="581"/>
      <c r="AO29" s="187">
        <v>6</v>
      </c>
      <c r="AP29" s="187">
        <v>3251.1600000000003</v>
      </c>
      <c r="AQ29" s="184">
        <f t="shared" si="29"/>
        <v>541.86</v>
      </c>
      <c r="AR29" s="181">
        <f t="shared" si="30"/>
        <v>2</v>
      </c>
      <c r="AS29" s="581"/>
      <c r="AT29" s="187">
        <v>6</v>
      </c>
      <c r="AU29" s="187">
        <v>3252.2400000000002</v>
      </c>
      <c r="AV29" s="184">
        <f t="shared" si="31"/>
        <v>542.04000000000008</v>
      </c>
      <c r="AW29" s="181">
        <f t="shared" si="32"/>
        <v>2</v>
      </c>
      <c r="AX29" s="581"/>
    </row>
    <row r="30" spans="2:50" ht="14.25" customHeight="1">
      <c r="B30" s="580"/>
      <c r="C30" s="179">
        <v>4</v>
      </c>
      <c r="D30" s="182" t="s">
        <v>620</v>
      </c>
      <c r="E30" s="179">
        <v>20</v>
      </c>
      <c r="F30" s="179">
        <v>2100</v>
      </c>
      <c r="G30" s="184">
        <f t="shared" si="17"/>
        <v>105</v>
      </c>
      <c r="H30" s="581"/>
      <c r="I30" s="185">
        <f t="shared" si="19"/>
        <v>20</v>
      </c>
      <c r="J30" s="185">
        <f t="shared" si="19"/>
        <v>1896.8483422374977</v>
      </c>
      <c r="K30" s="186">
        <f t="shared" si="19"/>
        <v>94.84241711187488</v>
      </c>
      <c r="L30" s="582"/>
      <c r="M30" s="185">
        <f>RANK(K30, K$27:$K$41)</f>
        <v>5</v>
      </c>
      <c r="N30" s="580"/>
      <c r="O30" s="580"/>
      <c r="P30" s="187">
        <v>20</v>
      </c>
      <c r="Q30" s="187">
        <v>1897.0583422374978</v>
      </c>
      <c r="R30" s="184">
        <f t="shared" si="20"/>
        <v>94.852917111874888</v>
      </c>
      <c r="S30" s="181">
        <f t="shared" si="21"/>
        <v>5</v>
      </c>
      <c r="T30" s="581"/>
      <c r="U30" s="187">
        <v>20</v>
      </c>
      <c r="V30" s="187">
        <v>1896.6383422374979</v>
      </c>
      <c r="W30" s="184">
        <f t="shared" si="18"/>
        <v>94.831917111874901</v>
      </c>
      <c r="X30" s="181">
        <f t="shared" si="22"/>
        <v>5</v>
      </c>
      <c r="Y30" s="581"/>
      <c r="Z30" s="187">
        <v>20</v>
      </c>
      <c r="AA30" s="187">
        <v>1897.0583422374978</v>
      </c>
      <c r="AB30" s="184">
        <f t="shared" si="23"/>
        <v>94.852917111874888</v>
      </c>
      <c r="AC30" s="181">
        <f t="shared" si="24"/>
        <v>5</v>
      </c>
      <c r="AD30" s="581"/>
      <c r="AE30" s="187">
        <v>20</v>
      </c>
      <c r="AF30" s="187">
        <v>1897.4783422374978</v>
      </c>
      <c r="AG30" s="184">
        <f t="shared" si="25"/>
        <v>94.873917111874889</v>
      </c>
      <c r="AH30" s="181">
        <f t="shared" si="26"/>
        <v>5</v>
      </c>
      <c r="AI30" s="581"/>
      <c r="AJ30" s="187">
        <v>20</v>
      </c>
      <c r="AK30" s="187">
        <v>1897.2683422374976</v>
      </c>
      <c r="AL30" s="184">
        <f t="shared" si="27"/>
        <v>94.863417111874881</v>
      </c>
      <c r="AM30" s="181">
        <f t="shared" si="28"/>
        <v>5</v>
      </c>
      <c r="AN30" s="581"/>
      <c r="AO30" s="187">
        <v>20</v>
      </c>
      <c r="AP30" s="187">
        <v>1896.6383422374977</v>
      </c>
      <c r="AQ30" s="184">
        <f t="shared" si="29"/>
        <v>94.831917111874887</v>
      </c>
      <c r="AR30" s="181">
        <f t="shared" si="30"/>
        <v>5</v>
      </c>
      <c r="AS30" s="581"/>
      <c r="AT30" s="187">
        <v>20</v>
      </c>
      <c r="AU30" s="187">
        <v>1895.7983422374978</v>
      </c>
      <c r="AV30" s="184">
        <f t="shared" si="31"/>
        <v>94.789917111874885</v>
      </c>
      <c r="AW30" s="181">
        <f t="shared" si="32"/>
        <v>5</v>
      </c>
      <c r="AX30" s="581"/>
    </row>
    <row r="31" spans="2:50" ht="14.25" customHeight="1">
      <c r="B31" s="580"/>
      <c r="C31" s="179">
        <v>5</v>
      </c>
      <c r="D31" s="182" t="s">
        <v>641</v>
      </c>
      <c r="E31" s="179">
        <v>5</v>
      </c>
      <c r="F31" s="179">
        <v>3273</v>
      </c>
      <c r="G31" s="184">
        <f t="shared" si="17"/>
        <v>654.6</v>
      </c>
      <c r="H31" s="581"/>
      <c r="I31" s="185">
        <f t="shared" si="19"/>
        <v>5</v>
      </c>
      <c r="J31" s="185">
        <f t="shared" si="19"/>
        <v>2967.1553528691161</v>
      </c>
      <c r="K31" s="186">
        <f t="shared" si="19"/>
        <v>593.43107057382326</v>
      </c>
      <c r="L31" s="582"/>
      <c r="M31" s="185">
        <f>RANK(K31, K$27:$K$41)</f>
        <v>1</v>
      </c>
      <c r="N31" s="580"/>
      <c r="O31" s="580"/>
      <c r="P31" s="187">
        <v>5</v>
      </c>
      <c r="Q31" s="187">
        <v>2966.6410242976885</v>
      </c>
      <c r="R31" s="184">
        <f t="shared" si="20"/>
        <v>593.32820485953766</v>
      </c>
      <c r="S31" s="181">
        <f t="shared" si="21"/>
        <v>1</v>
      </c>
      <c r="T31" s="581"/>
      <c r="U31" s="187">
        <v>5</v>
      </c>
      <c r="V31" s="187">
        <v>2965.3318242976879</v>
      </c>
      <c r="W31" s="184">
        <f t="shared" si="18"/>
        <v>593.06636485953754</v>
      </c>
      <c r="X31" s="181">
        <f t="shared" si="22"/>
        <v>1</v>
      </c>
      <c r="Y31" s="581"/>
      <c r="Z31" s="187">
        <v>5</v>
      </c>
      <c r="AA31" s="187">
        <v>2966.9683242976876</v>
      </c>
      <c r="AB31" s="184">
        <f t="shared" si="23"/>
        <v>593.39366485953747</v>
      </c>
      <c r="AC31" s="181">
        <f t="shared" si="24"/>
        <v>1</v>
      </c>
      <c r="AD31" s="581"/>
      <c r="AE31" s="187">
        <v>5</v>
      </c>
      <c r="AF31" s="187">
        <v>2967.2956242976875</v>
      </c>
      <c r="AG31" s="184">
        <f t="shared" si="25"/>
        <v>593.4591248595375</v>
      </c>
      <c r="AH31" s="181">
        <f t="shared" si="26"/>
        <v>1</v>
      </c>
      <c r="AI31" s="581"/>
      <c r="AJ31" s="187">
        <v>5</v>
      </c>
      <c r="AK31" s="187">
        <v>2967.2956242976875</v>
      </c>
      <c r="AL31" s="184">
        <f t="shared" si="27"/>
        <v>593.4591248595375</v>
      </c>
      <c r="AM31" s="181">
        <f t="shared" si="28"/>
        <v>1</v>
      </c>
      <c r="AN31" s="581"/>
      <c r="AO31" s="187">
        <v>5</v>
      </c>
      <c r="AP31" s="187">
        <v>2968.9321242976876</v>
      </c>
      <c r="AQ31" s="184">
        <f t="shared" si="29"/>
        <v>593.78642485953753</v>
      </c>
      <c r="AR31" s="181">
        <f t="shared" si="30"/>
        <v>1</v>
      </c>
      <c r="AS31" s="581"/>
      <c r="AT31" s="187">
        <v>5</v>
      </c>
      <c r="AU31" s="187">
        <v>2967.6229242976879</v>
      </c>
      <c r="AV31" s="184">
        <f t="shared" si="31"/>
        <v>593.52458485953753</v>
      </c>
      <c r="AW31" s="181">
        <f t="shared" si="32"/>
        <v>1</v>
      </c>
      <c r="AX31" s="581"/>
    </row>
    <row r="32" spans="2:50" ht="14.25" customHeight="1">
      <c r="B32" s="580"/>
      <c r="C32" s="179">
        <v>6</v>
      </c>
      <c r="D32" s="182"/>
      <c r="E32" s="179"/>
      <c r="F32" s="179"/>
      <c r="G32" s="184"/>
      <c r="H32" s="581"/>
      <c r="I32" s="185"/>
      <c r="J32" s="185"/>
      <c r="K32" s="186"/>
      <c r="L32" s="582"/>
      <c r="M32" s="185"/>
      <c r="N32" s="580"/>
      <c r="O32" s="580"/>
      <c r="P32" s="187"/>
      <c r="Q32" s="187"/>
      <c r="R32" s="184"/>
      <c r="S32" s="181"/>
      <c r="T32" s="581"/>
      <c r="U32" s="187"/>
      <c r="V32" s="187"/>
      <c r="W32" s="184"/>
      <c r="X32" s="181"/>
      <c r="Y32" s="581"/>
      <c r="Z32" s="187"/>
      <c r="AA32" s="187"/>
      <c r="AB32" s="184"/>
      <c r="AC32" s="181"/>
      <c r="AD32" s="581"/>
      <c r="AE32" s="187"/>
      <c r="AF32" s="187"/>
      <c r="AG32" s="184"/>
      <c r="AH32" s="181"/>
      <c r="AI32" s="581"/>
      <c r="AJ32" s="187"/>
      <c r="AK32" s="187"/>
      <c r="AL32" s="184"/>
      <c r="AM32" s="181"/>
      <c r="AN32" s="581"/>
      <c r="AO32" s="187"/>
      <c r="AP32" s="187"/>
      <c r="AQ32" s="184"/>
      <c r="AR32" s="181"/>
      <c r="AS32" s="581"/>
      <c r="AT32" s="187"/>
      <c r="AU32" s="187"/>
      <c r="AV32" s="184"/>
      <c r="AW32" s="181"/>
      <c r="AX32" s="581"/>
    </row>
    <row r="33" spans="2:50" ht="14.25" customHeight="1">
      <c r="B33" s="580"/>
      <c r="C33" s="179">
        <v>7</v>
      </c>
      <c r="D33" s="182"/>
      <c r="E33" s="179"/>
      <c r="F33" s="179"/>
      <c r="G33" s="184"/>
      <c r="H33" s="581"/>
      <c r="I33" s="185"/>
      <c r="J33" s="185"/>
      <c r="K33" s="186"/>
      <c r="L33" s="582"/>
      <c r="M33" s="185"/>
      <c r="N33" s="580"/>
      <c r="O33" s="580"/>
      <c r="P33" s="187"/>
      <c r="Q33" s="187"/>
      <c r="R33" s="184"/>
      <c r="S33" s="181"/>
      <c r="T33" s="581"/>
      <c r="U33" s="187"/>
      <c r="V33" s="187"/>
      <c r="W33" s="184"/>
      <c r="X33" s="181"/>
      <c r="Y33" s="581"/>
      <c r="Z33" s="187"/>
      <c r="AA33" s="187"/>
      <c r="AB33" s="184"/>
      <c r="AC33" s="181"/>
      <c r="AD33" s="581"/>
      <c r="AE33" s="187"/>
      <c r="AF33" s="187"/>
      <c r="AG33" s="184"/>
      <c r="AH33" s="181"/>
      <c r="AI33" s="581"/>
      <c r="AJ33" s="187"/>
      <c r="AK33" s="187"/>
      <c r="AL33" s="184"/>
      <c r="AM33" s="181"/>
      <c r="AN33" s="581"/>
      <c r="AO33" s="187"/>
      <c r="AP33" s="187"/>
      <c r="AQ33" s="184"/>
      <c r="AR33" s="181"/>
      <c r="AS33" s="581"/>
      <c r="AT33" s="187"/>
      <c r="AU33" s="187"/>
      <c r="AV33" s="184"/>
      <c r="AW33" s="181"/>
      <c r="AX33" s="581"/>
    </row>
    <row r="34" spans="2:50" ht="14.25" customHeight="1">
      <c r="B34" s="580"/>
      <c r="C34" s="179">
        <v>8</v>
      </c>
      <c r="D34" s="182"/>
      <c r="E34" s="179"/>
      <c r="F34" s="179"/>
      <c r="G34" s="184"/>
      <c r="H34" s="581"/>
      <c r="I34" s="185"/>
      <c r="J34" s="185"/>
      <c r="K34" s="186"/>
      <c r="L34" s="582"/>
      <c r="M34" s="185"/>
      <c r="N34" s="580"/>
      <c r="O34" s="580"/>
      <c r="P34" s="187"/>
      <c r="Q34" s="187"/>
      <c r="R34" s="184"/>
      <c r="S34" s="181"/>
      <c r="T34" s="581"/>
      <c r="U34" s="187"/>
      <c r="V34" s="187"/>
      <c r="W34" s="184"/>
      <c r="X34" s="181"/>
      <c r="Y34" s="581"/>
      <c r="Z34" s="187"/>
      <c r="AA34" s="187"/>
      <c r="AB34" s="184"/>
      <c r="AC34" s="181"/>
      <c r="AD34" s="581"/>
      <c r="AE34" s="187"/>
      <c r="AF34" s="187"/>
      <c r="AG34" s="184"/>
      <c r="AH34" s="181"/>
      <c r="AI34" s="581"/>
      <c r="AJ34" s="187"/>
      <c r="AK34" s="187"/>
      <c r="AL34" s="184"/>
      <c r="AM34" s="181"/>
      <c r="AN34" s="581"/>
      <c r="AO34" s="187"/>
      <c r="AP34" s="187"/>
      <c r="AQ34" s="184"/>
      <c r="AR34" s="181"/>
      <c r="AS34" s="581"/>
      <c r="AT34" s="187"/>
      <c r="AU34" s="187"/>
      <c r="AV34" s="184"/>
      <c r="AW34" s="181"/>
      <c r="AX34" s="581"/>
    </row>
    <row r="35" spans="2:50" ht="14.25" customHeight="1">
      <c r="B35" s="580"/>
      <c r="C35" s="179">
        <v>9</v>
      </c>
      <c r="D35" s="182"/>
      <c r="E35" s="179"/>
      <c r="F35" s="179"/>
      <c r="G35" s="184"/>
      <c r="H35" s="581"/>
      <c r="I35" s="185"/>
      <c r="J35" s="185"/>
      <c r="K35" s="186"/>
      <c r="L35" s="582"/>
      <c r="M35" s="185"/>
      <c r="N35" s="580"/>
      <c r="O35" s="580"/>
      <c r="P35" s="187"/>
      <c r="Q35" s="187"/>
      <c r="R35" s="184"/>
      <c r="S35" s="181"/>
      <c r="T35" s="581"/>
      <c r="U35" s="187"/>
      <c r="V35" s="187"/>
      <c r="W35" s="184"/>
      <c r="X35" s="181"/>
      <c r="Y35" s="581"/>
      <c r="Z35" s="187"/>
      <c r="AA35" s="187"/>
      <c r="AB35" s="184"/>
      <c r="AC35" s="181"/>
      <c r="AD35" s="581"/>
      <c r="AE35" s="187"/>
      <c r="AF35" s="187"/>
      <c r="AG35" s="184"/>
      <c r="AH35" s="181"/>
      <c r="AI35" s="581"/>
      <c r="AJ35" s="187"/>
      <c r="AK35" s="187"/>
      <c r="AL35" s="184"/>
      <c r="AM35" s="181"/>
      <c r="AN35" s="581"/>
      <c r="AO35" s="187"/>
      <c r="AP35" s="187"/>
      <c r="AQ35" s="184"/>
      <c r="AR35" s="181"/>
      <c r="AS35" s="581"/>
      <c r="AT35" s="187"/>
      <c r="AU35" s="187"/>
      <c r="AV35" s="184"/>
      <c r="AW35" s="181"/>
      <c r="AX35" s="581"/>
    </row>
    <row r="36" spans="2:50" ht="14.25" customHeight="1">
      <c r="B36" s="580"/>
      <c r="C36" s="179">
        <v>10</v>
      </c>
      <c r="D36" s="182"/>
      <c r="E36" s="179"/>
      <c r="F36" s="179"/>
      <c r="G36" s="184"/>
      <c r="H36" s="581"/>
      <c r="I36" s="185"/>
      <c r="J36" s="185"/>
      <c r="K36" s="186"/>
      <c r="L36" s="582"/>
      <c r="M36" s="185"/>
      <c r="N36" s="580"/>
      <c r="O36" s="580"/>
      <c r="P36" s="187"/>
      <c r="Q36" s="187"/>
      <c r="R36" s="184"/>
      <c r="S36" s="181"/>
      <c r="T36" s="581"/>
      <c r="U36" s="187"/>
      <c r="V36" s="187"/>
      <c r="W36" s="184"/>
      <c r="X36" s="181"/>
      <c r="Y36" s="581"/>
      <c r="Z36" s="187"/>
      <c r="AA36" s="187"/>
      <c r="AB36" s="184"/>
      <c r="AC36" s="181"/>
      <c r="AD36" s="581"/>
      <c r="AE36" s="187"/>
      <c r="AF36" s="187"/>
      <c r="AG36" s="184"/>
      <c r="AH36" s="181"/>
      <c r="AI36" s="581"/>
      <c r="AJ36" s="187"/>
      <c r="AK36" s="187"/>
      <c r="AL36" s="184"/>
      <c r="AM36" s="181"/>
      <c r="AN36" s="581"/>
      <c r="AO36" s="187"/>
      <c r="AP36" s="187"/>
      <c r="AQ36" s="184"/>
      <c r="AR36" s="181"/>
      <c r="AS36" s="581"/>
      <c r="AT36" s="187"/>
      <c r="AU36" s="187"/>
      <c r="AV36" s="184"/>
      <c r="AW36" s="181"/>
      <c r="AX36" s="581"/>
    </row>
    <row r="37" spans="2:50" ht="14.25" customHeight="1">
      <c r="B37" s="580"/>
      <c r="C37" s="179">
        <v>11</v>
      </c>
      <c r="D37" s="182"/>
      <c r="E37" s="179"/>
      <c r="F37" s="179"/>
      <c r="G37" s="184"/>
      <c r="H37" s="581"/>
      <c r="I37" s="185"/>
      <c r="J37" s="185"/>
      <c r="K37" s="186"/>
      <c r="L37" s="582"/>
      <c r="M37" s="185"/>
      <c r="N37" s="580"/>
      <c r="O37" s="580"/>
      <c r="P37" s="187"/>
      <c r="Q37" s="187"/>
      <c r="R37" s="184"/>
      <c r="S37" s="181"/>
      <c r="T37" s="581"/>
      <c r="U37" s="187"/>
      <c r="V37" s="187"/>
      <c r="W37" s="184"/>
      <c r="X37" s="181"/>
      <c r="Y37" s="581"/>
      <c r="Z37" s="187"/>
      <c r="AA37" s="187"/>
      <c r="AB37" s="184"/>
      <c r="AC37" s="181"/>
      <c r="AD37" s="581"/>
      <c r="AE37" s="187"/>
      <c r="AF37" s="187"/>
      <c r="AG37" s="184"/>
      <c r="AH37" s="181"/>
      <c r="AI37" s="581"/>
      <c r="AJ37" s="187"/>
      <c r="AK37" s="187"/>
      <c r="AL37" s="184"/>
      <c r="AM37" s="181"/>
      <c r="AN37" s="581"/>
      <c r="AO37" s="187"/>
      <c r="AP37" s="187"/>
      <c r="AQ37" s="184"/>
      <c r="AR37" s="181"/>
      <c r="AS37" s="581"/>
      <c r="AT37" s="187"/>
      <c r="AU37" s="187"/>
      <c r="AV37" s="184"/>
      <c r="AW37" s="181"/>
      <c r="AX37" s="581"/>
    </row>
    <row r="38" spans="2:50" ht="14.25" customHeight="1">
      <c r="B38" s="580"/>
      <c r="C38" s="179">
        <v>12</v>
      </c>
      <c r="D38" s="182"/>
      <c r="E38" s="179"/>
      <c r="F38" s="179"/>
      <c r="G38" s="184"/>
      <c r="H38" s="581"/>
      <c r="I38" s="185"/>
      <c r="J38" s="185"/>
      <c r="K38" s="186"/>
      <c r="L38" s="582"/>
      <c r="M38" s="185"/>
      <c r="N38" s="580"/>
      <c r="O38" s="580"/>
      <c r="P38" s="187"/>
      <c r="Q38" s="187"/>
      <c r="R38" s="184"/>
      <c r="S38" s="181"/>
      <c r="T38" s="581"/>
      <c r="U38" s="187"/>
      <c r="V38" s="187"/>
      <c r="W38" s="184"/>
      <c r="X38" s="181"/>
      <c r="Y38" s="581"/>
      <c r="Z38" s="187"/>
      <c r="AA38" s="187"/>
      <c r="AB38" s="184"/>
      <c r="AC38" s="181"/>
      <c r="AD38" s="581"/>
      <c r="AE38" s="187"/>
      <c r="AF38" s="187"/>
      <c r="AG38" s="184"/>
      <c r="AH38" s="181"/>
      <c r="AI38" s="581"/>
      <c r="AJ38" s="187"/>
      <c r="AK38" s="187"/>
      <c r="AL38" s="184"/>
      <c r="AM38" s="181"/>
      <c r="AN38" s="581"/>
      <c r="AO38" s="187"/>
      <c r="AP38" s="187"/>
      <c r="AQ38" s="184"/>
      <c r="AR38" s="181"/>
      <c r="AS38" s="581"/>
      <c r="AT38" s="187"/>
      <c r="AU38" s="187"/>
      <c r="AV38" s="184"/>
      <c r="AW38" s="181"/>
      <c r="AX38" s="581"/>
    </row>
    <row r="39" spans="2:50" ht="14.25" customHeight="1">
      <c r="B39" s="580"/>
      <c r="C39" s="179">
        <v>13</v>
      </c>
      <c r="D39" s="182"/>
      <c r="E39" s="179"/>
      <c r="F39" s="179"/>
      <c r="G39" s="184"/>
      <c r="H39" s="581"/>
      <c r="I39" s="185"/>
      <c r="J39" s="185"/>
      <c r="K39" s="186"/>
      <c r="L39" s="582"/>
      <c r="M39" s="185"/>
      <c r="N39" s="580"/>
      <c r="O39" s="580"/>
      <c r="P39" s="187"/>
      <c r="Q39" s="187"/>
      <c r="R39" s="184"/>
      <c r="S39" s="181"/>
      <c r="T39" s="581"/>
      <c r="U39" s="187"/>
      <c r="V39" s="187"/>
      <c r="W39" s="184"/>
      <c r="X39" s="181"/>
      <c r="Y39" s="581"/>
      <c r="Z39" s="187"/>
      <c r="AA39" s="187"/>
      <c r="AB39" s="184"/>
      <c r="AC39" s="181"/>
      <c r="AD39" s="581"/>
      <c r="AE39" s="187"/>
      <c r="AF39" s="187"/>
      <c r="AG39" s="184"/>
      <c r="AH39" s="181"/>
      <c r="AI39" s="581"/>
      <c r="AJ39" s="187"/>
      <c r="AK39" s="187"/>
      <c r="AL39" s="184"/>
      <c r="AM39" s="181"/>
      <c r="AN39" s="581"/>
      <c r="AO39" s="187"/>
      <c r="AP39" s="187"/>
      <c r="AQ39" s="184"/>
      <c r="AR39" s="181"/>
      <c r="AS39" s="581"/>
      <c r="AT39" s="187"/>
      <c r="AU39" s="187"/>
      <c r="AV39" s="184"/>
      <c r="AW39" s="181"/>
      <c r="AX39" s="581"/>
    </row>
    <row r="40" spans="2:50" ht="14.25" customHeight="1">
      <c r="B40" s="580"/>
      <c r="C40" s="179">
        <v>14</v>
      </c>
      <c r="D40" s="182"/>
      <c r="E40" s="179"/>
      <c r="F40" s="179"/>
      <c r="G40" s="184"/>
      <c r="H40" s="581"/>
      <c r="I40" s="185"/>
      <c r="J40" s="185"/>
      <c r="K40" s="186"/>
      <c r="L40" s="582"/>
      <c r="M40" s="185"/>
      <c r="N40" s="580"/>
      <c r="O40" s="580"/>
      <c r="P40" s="187"/>
      <c r="Q40" s="187"/>
      <c r="R40" s="184"/>
      <c r="S40" s="181"/>
      <c r="T40" s="581"/>
      <c r="U40" s="187"/>
      <c r="V40" s="187"/>
      <c r="W40" s="184"/>
      <c r="X40" s="181"/>
      <c r="Y40" s="581"/>
      <c r="Z40" s="187"/>
      <c r="AA40" s="187"/>
      <c r="AB40" s="184"/>
      <c r="AC40" s="181"/>
      <c r="AD40" s="581"/>
      <c r="AE40" s="187"/>
      <c r="AF40" s="187"/>
      <c r="AG40" s="184"/>
      <c r="AH40" s="181"/>
      <c r="AI40" s="581"/>
      <c r="AJ40" s="187"/>
      <c r="AK40" s="187"/>
      <c r="AL40" s="184"/>
      <c r="AM40" s="181"/>
      <c r="AN40" s="581"/>
      <c r="AO40" s="187"/>
      <c r="AP40" s="187"/>
      <c r="AQ40" s="184"/>
      <c r="AR40" s="181"/>
      <c r="AS40" s="581"/>
      <c r="AT40" s="187"/>
      <c r="AU40" s="187"/>
      <c r="AV40" s="184"/>
      <c r="AW40" s="181"/>
      <c r="AX40" s="581"/>
    </row>
    <row r="41" spans="2:50" ht="14.25" customHeight="1">
      <c r="B41" s="580"/>
      <c r="C41" s="179">
        <v>15</v>
      </c>
      <c r="D41" s="182"/>
      <c r="E41" s="179"/>
      <c r="F41" s="179"/>
      <c r="G41" s="184"/>
      <c r="H41" s="581"/>
      <c r="I41" s="185"/>
      <c r="J41" s="185"/>
      <c r="K41" s="186"/>
      <c r="L41" s="582"/>
      <c r="M41" s="185"/>
      <c r="N41" s="580"/>
      <c r="O41" s="580"/>
      <c r="P41" s="187"/>
      <c r="Q41" s="187"/>
      <c r="R41" s="184"/>
      <c r="S41" s="181"/>
      <c r="T41" s="581"/>
      <c r="U41" s="187"/>
      <c r="V41" s="187"/>
      <c r="W41" s="184"/>
      <c r="X41" s="181"/>
      <c r="Y41" s="581"/>
      <c r="Z41" s="187"/>
      <c r="AA41" s="187"/>
      <c r="AB41" s="184"/>
      <c r="AC41" s="181"/>
      <c r="AD41" s="581"/>
      <c r="AE41" s="187"/>
      <c r="AF41" s="187"/>
      <c r="AG41" s="184"/>
      <c r="AH41" s="181"/>
      <c r="AI41" s="581"/>
      <c r="AJ41" s="187"/>
      <c r="AK41" s="187"/>
      <c r="AL41" s="184"/>
      <c r="AM41" s="181"/>
      <c r="AN41" s="581"/>
      <c r="AO41" s="187"/>
      <c r="AP41" s="187"/>
      <c r="AQ41" s="184"/>
      <c r="AR41" s="181"/>
      <c r="AS41" s="581"/>
      <c r="AT41" s="187"/>
      <c r="AU41" s="187"/>
      <c r="AV41" s="184"/>
      <c r="AW41" s="181"/>
      <c r="AX41" s="581"/>
    </row>
  </sheetData>
  <mergeCells count="118"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I4:K4"/>
    <mergeCell ref="AT4:AW4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41"/>
  <sheetViews>
    <sheetView zoomScaleNormal="100" workbookViewId="0">
      <pane xSplit="13" ySplit="1" topLeftCell="N8" activePane="bottomRight" state="frozen"/>
      <selection activeCell="B1" sqref="B1"/>
      <selection pane="topRight" activeCell="B1" sqref="B1"/>
      <selection pane="bottomLeft" activeCell="B1" sqref="B1"/>
      <selection pane="bottomRight" activeCell="C1" sqref="C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68" t="s">
        <v>777</v>
      </c>
      <c r="C1" s="174">
        <f>AVERAGE(L7,L27)</f>
        <v>84.97638476813836</v>
      </c>
    </row>
    <row r="2" spans="1:50" ht="14.25" customHeight="1">
      <c r="B2" s="608" t="s">
        <v>742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10"/>
      <c r="N2" s="613" t="s">
        <v>363</v>
      </c>
      <c r="O2" s="600" t="s">
        <v>105</v>
      </c>
      <c r="P2" s="602">
        <v>46203</v>
      </c>
      <c r="Q2" s="603"/>
      <c r="R2" s="603"/>
      <c r="S2" s="603"/>
      <c r="T2" s="603"/>
      <c r="U2" s="594">
        <v>46204</v>
      </c>
      <c r="V2" s="595"/>
      <c r="W2" s="595"/>
      <c r="X2" s="595"/>
      <c r="Y2" s="595"/>
      <c r="Z2" s="602">
        <v>46205</v>
      </c>
      <c r="AA2" s="603"/>
      <c r="AB2" s="603"/>
      <c r="AC2" s="603"/>
      <c r="AD2" s="603"/>
      <c r="AE2" s="594">
        <v>46206</v>
      </c>
      <c r="AF2" s="595"/>
      <c r="AG2" s="595"/>
      <c r="AH2" s="595"/>
      <c r="AI2" s="595"/>
      <c r="AJ2" s="586">
        <v>46207</v>
      </c>
      <c r="AK2" s="587"/>
      <c r="AL2" s="587"/>
      <c r="AM2" s="587"/>
      <c r="AN2" s="588"/>
      <c r="AO2" s="594">
        <v>46208</v>
      </c>
      <c r="AP2" s="595"/>
      <c r="AQ2" s="595"/>
      <c r="AR2" s="595"/>
      <c r="AS2" s="595"/>
      <c r="AT2" s="586">
        <v>46209</v>
      </c>
      <c r="AU2" s="587"/>
      <c r="AV2" s="587"/>
      <c r="AW2" s="587"/>
      <c r="AX2" s="588"/>
    </row>
    <row r="3" spans="1:50" ht="14.25" customHeight="1"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2"/>
      <c r="N3" s="614"/>
      <c r="O3" s="601"/>
      <c r="P3" s="589">
        <v>46196</v>
      </c>
      <c r="Q3" s="589"/>
      <c r="R3" s="589"/>
      <c r="S3" s="589"/>
      <c r="T3" s="589"/>
      <c r="U3" s="590">
        <v>46197</v>
      </c>
      <c r="V3" s="590"/>
      <c r="W3" s="590"/>
      <c r="X3" s="590"/>
      <c r="Y3" s="590"/>
      <c r="Z3" s="589">
        <v>46198</v>
      </c>
      <c r="AA3" s="589"/>
      <c r="AB3" s="589"/>
      <c r="AC3" s="589"/>
      <c r="AD3" s="589"/>
      <c r="AE3" s="590">
        <v>46199</v>
      </c>
      <c r="AF3" s="590"/>
      <c r="AG3" s="590"/>
      <c r="AH3" s="590"/>
      <c r="AI3" s="590"/>
      <c r="AJ3" s="591">
        <v>46200</v>
      </c>
      <c r="AK3" s="592"/>
      <c r="AL3" s="592"/>
      <c r="AM3" s="592"/>
      <c r="AN3" s="593"/>
      <c r="AO3" s="590">
        <v>46201</v>
      </c>
      <c r="AP3" s="590"/>
      <c r="AQ3" s="590"/>
      <c r="AR3" s="590"/>
      <c r="AS3" s="590"/>
      <c r="AT3" s="591">
        <v>46202</v>
      </c>
      <c r="AU3" s="592"/>
      <c r="AV3" s="592"/>
      <c r="AW3" s="592"/>
      <c r="AX3" s="593"/>
    </row>
    <row r="4" spans="1:50" ht="14.25" customHeight="1">
      <c r="B4" s="580" t="s">
        <v>162</v>
      </c>
      <c r="C4" s="580" t="s">
        <v>157</v>
      </c>
      <c r="D4" s="580"/>
      <c r="E4" s="580" t="s">
        <v>158</v>
      </c>
      <c r="F4" s="580"/>
      <c r="G4" s="580"/>
      <c r="H4" s="580" t="s">
        <v>163</v>
      </c>
      <c r="I4" s="583" t="s">
        <v>364</v>
      </c>
      <c r="J4" s="583"/>
      <c r="K4" s="583"/>
      <c r="L4" s="583" t="s">
        <v>163</v>
      </c>
      <c r="M4" s="583" t="s">
        <v>165</v>
      </c>
      <c r="N4" s="580"/>
      <c r="O4" s="580" t="s">
        <v>164</v>
      </c>
      <c r="P4" s="580" t="s">
        <v>160</v>
      </c>
      <c r="Q4" s="580"/>
      <c r="R4" s="580"/>
      <c r="S4" s="580"/>
      <c r="T4" s="580" t="s">
        <v>163</v>
      </c>
      <c r="U4" s="580" t="s">
        <v>160</v>
      </c>
      <c r="V4" s="580"/>
      <c r="W4" s="580"/>
      <c r="X4" s="580"/>
      <c r="Y4" s="580" t="s">
        <v>163</v>
      </c>
      <c r="Z4" s="580" t="s">
        <v>160</v>
      </c>
      <c r="AA4" s="580"/>
      <c r="AB4" s="580"/>
      <c r="AC4" s="580"/>
      <c r="AD4" s="580" t="s">
        <v>163</v>
      </c>
      <c r="AE4" s="580" t="s">
        <v>160</v>
      </c>
      <c r="AF4" s="580"/>
      <c r="AG4" s="580"/>
      <c r="AH4" s="580"/>
      <c r="AI4" s="580" t="s">
        <v>163</v>
      </c>
      <c r="AJ4" s="580" t="s">
        <v>160</v>
      </c>
      <c r="AK4" s="580"/>
      <c r="AL4" s="580"/>
      <c r="AM4" s="580"/>
      <c r="AN4" s="580" t="s">
        <v>163</v>
      </c>
      <c r="AO4" s="580" t="s">
        <v>160</v>
      </c>
      <c r="AP4" s="580"/>
      <c r="AQ4" s="580"/>
      <c r="AR4" s="580"/>
      <c r="AS4" s="580" t="s">
        <v>163</v>
      </c>
      <c r="AT4" s="580" t="s">
        <v>160</v>
      </c>
      <c r="AU4" s="580"/>
      <c r="AV4" s="580"/>
      <c r="AW4" s="580"/>
      <c r="AX4" s="580" t="s">
        <v>163</v>
      </c>
    </row>
    <row r="5" spans="1:50" ht="14.25" customHeight="1">
      <c r="B5" s="580"/>
      <c r="C5" s="580"/>
      <c r="D5" s="580"/>
      <c r="E5" s="580" t="s">
        <v>365</v>
      </c>
      <c r="F5" s="580"/>
      <c r="G5" s="580"/>
      <c r="H5" s="580"/>
      <c r="I5" s="583" t="s">
        <v>365</v>
      </c>
      <c r="J5" s="583"/>
      <c r="K5" s="583"/>
      <c r="L5" s="583"/>
      <c r="M5" s="583"/>
      <c r="N5" s="580"/>
      <c r="O5" s="580"/>
      <c r="P5" s="580" t="s">
        <v>366</v>
      </c>
      <c r="Q5" s="580"/>
      <c r="R5" s="580"/>
      <c r="S5" s="580"/>
      <c r="T5" s="580"/>
      <c r="U5" s="580" t="s">
        <v>366</v>
      </c>
      <c r="V5" s="580"/>
      <c r="W5" s="580"/>
      <c r="X5" s="580"/>
      <c r="Y5" s="580"/>
      <c r="Z5" s="580" t="s">
        <v>366</v>
      </c>
      <c r="AA5" s="580"/>
      <c r="AB5" s="580"/>
      <c r="AC5" s="580"/>
      <c r="AD5" s="580"/>
      <c r="AE5" s="580" t="s">
        <v>366</v>
      </c>
      <c r="AF5" s="580"/>
      <c r="AG5" s="580"/>
      <c r="AH5" s="580"/>
      <c r="AI5" s="580"/>
      <c r="AJ5" s="580" t="s">
        <v>366</v>
      </c>
      <c r="AK5" s="580"/>
      <c r="AL5" s="580"/>
      <c r="AM5" s="580"/>
      <c r="AN5" s="580"/>
      <c r="AO5" s="580" t="s">
        <v>366</v>
      </c>
      <c r="AP5" s="580"/>
      <c r="AQ5" s="580"/>
      <c r="AR5" s="580"/>
      <c r="AS5" s="580"/>
      <c r="AT5" s="580" t="s">
        <v>366</v>
      </c>
      <c r="AU5" s="580"/>
      <c r="AV5" s="580"/>
      <c r="AW5" s="580"/>
      <c r="AX5" s="580"/>
    </row>
    <row r="6" spans="1:50" ht="14.25" customHeight="1">
      <c r="B6" s="580"/>
      <c r="C6" s="580"/>
      <c r="D6" s="580"/>
      <c r="E6" s="179" t="s">
        <v>159</v>
      </c>
      <c r="F6" s="179" t="s">
        <v>367</v>
      </c>
      <c r="G6" s="179" t="s">
        <v>161</v>
      </c>
      <c r="H6" s="580"/>
      <c r="I6" s="180" t="s">
        <v>159</v>
      </c>
      <c r="J6" s="180" t="s">
        <v>367</v>
      </c>
      <c r="K6" s="180" t="s">
        <v>161</v>
      </c>
      <c r="L6" s="583"/>
      <c r="M6" s="583"/>
      <c r="N6" s="580"/>
      <c r="O6" s="580"/>
      <c r="P6" s="179" t="s">
        <v>159</v>
      </c>
      <c r="Q6" s="179" t="s">
        <v>367</v>
      </c>
      <c r="R6" s="179" t="s">
        <v>161</v>
      </c>
      <c r="S6" s="181" t="s">
        <v>165</v>
      </c>
      <c r="T6" s="580"/>
      <c r="U6" s="179" t="s">
        <v>159</v>
      </c>
      <c r="V6" s="179" t="s">
        <v>367</v>
      </c>
      <c r="W6" s="179" t="s">
        <v>161</v>
      </c>
      <c r="X6" s="181" t="s">
        <v>165</v>
      </c>
      <c r="Y6" s="580"/>
      <c r="Z6" s="179" t="s">
        <v>159</v>
      </c>
      <c r="AA6" s="179" t="s">
        <v>367</v>
      </c>
      <c r="AB6" s="179" t="s">
        <v>161</v>
      </c>
      <c r="AC6" s="181" t="s">
        <v>165</v>
      </c>
      <c r="AD6" s="580"/>
      <c r="AE6" s="179" t="s">
        <v>159</v>
      </c>
      <c r="AF6" s="179" t="s">
        <v>367</v>
      </c>
      <c r="AG6" s="179" t="s">
        <v>161</v>
      </c>
      <c r="AH6" s="181" t="s">
        <v>165</v>
      </c>
      <c r="AI6" s="580"/>
      <c r="AJ6" s="179" t="s">
        <v>159</v>
      </c>
      <c r="AK6" s="179" t="s">
        <v>367</v>
      </c>
      <c r="AL6" s="179" t="s">
        <v>161</v>
      </c>
      <c r="AM6" s="181" t="s">
        <v>165</v>
      </c>
      <c r="AN6" s="580"/>
      <c r="AO6" s="179" t="s">
        <v>159</v>
      </c>
      <c r="AP6" s="179" t="s">
        <v>367</v>
      </c>
      <c r="AQ6" s="179" t="s">
        <v>161</v>
      </c>
      <c r="AR6" s="181" t="s">
        <v>165</v>
      </c>
      <c r="AS6" s="580"/>
      <c r="AT6" s="179" t="s">
        <v>159</v>
      </c>
      <c r="AU6" s="179" t="s">
        <v>367</v>
      </c>
      <c r="AV6" s="179" t="s">
        <v>161</v>
      </c>
      <c r="AW6" s="181" t="s">
        <v>165</v>
      </c>
      <c r="AX6" s="580"/>
    </row>
    <row r="7" spans="1:50" ht="14.25" customHeight="1">
      <c r="B7" s="580" t="s">
        <v>348</v>
      </c>
      <c r="C7" s="179">
        <v>1</v>
      </c>
      <c r="D7" s="182" t="s">
        <v>342</v>
      </c>
      <c r="E7" s="183">
        <v>24</v>
      </c>
      <c r="F7" s="179">
        <v>2000</v>
      </c>
      <c r="G7" s="184">
        <f>IFERROR(F7/E7,"")</f>
        <v>83.333333333333329</v>
      </c>
      <c r="H7" s="581">
        <f>AVERAGE(G7:G21)</f>
        <v>94.153055747258634</v>
      </c>
      <c r="I7" s="185">
        <f>AVERAGE(P7,U7,Z7,AE7,AJ7,AO7,AT7)</f>
        <v>24</v>
      </c>
      <c r="J7" s="185">
        <f>AVERAGE(Q7,V7,AA7,AF7,AK7,AP7,AU7)</f>
        <v>1791.7403014463873</v>
      </c>
      <c r="K7" s="186">
        <f>AVERAGE(R7,W7,AB7,AG7,AL7,AQ7,AV7)</f>
        <v>74.655845893599462</v>
      </c>
      <c r="L7" s="582">
        <f>IFERROR(AVERAGE(K7:K21),"-")</f>
        <v>85.751394400063603</v>
      </c>
      <c r="M7" s="185">
        <f>RANK(K7, K$7:$K$21)</f>
        <v>9</v>
      </c>
      <c r="N7" s="580"/>
      <c r="O7" s="580"/>
      <c r="P7" s="187">
        <v>24</v>
      </c>
      <c r="Q7" s="187">
        <v>1791.9403014463874</v>
      </c>
      <c r="R7" s="184">
        <f>IFERROR(Q7/P7,"")</f>
        <v>74.664179226932802</v>
      </c>
      <c r="S7" s="181">
        <f>RANK(R7, R$7:R$21)</f>
        <v>9</v>
      </c>
      <c r="T7" s="581">
        <f>AVERAGE(R7:R21)</f>
        <v>84.719637654739515</v>
      </c>
      <c r="U7" s="187">
        <v>24</v>
      </c>
      <c r="V7" s="187">
        <v>1792.5403014463873</v>
      </c>
      <c r="W7" s="184">
        <f t="shared" ref="W7:W15" si="0">IFERROR(V7/U7,"")</f>
        <v>74.689179226932808</v>
      </c>
      <c r="X7" s="181">
        <f>RANK(W7, W$7:W$21)</f>
        <v>8</v>
      </c>
      <c r="Y7" s="581">
        <f>AVERAGE(W7:W21)</f>
        <v>87.073084239881723</v>
      </c>
      <c r="Z7" s="187">
        <v>24</v>
      </c>
      <c r="AA7" s="187">
        <v>1792.1403014463872</v>
      </c>
      <c r="AB7" s="184">
        <f>IFERROR(AA7/Z7,"")</f>
        <v>74.672512560266128</v>
      </c>
      <c r="AC7" s="181">
        <f>RANK(AB7, AB$7:AB$21)</f>
        <v>8</v>
      </c>
      <c r="AD7" s="581">
        <f>AVERAGE(AB7:AB21)</f>
        <v>87.108379984614061</v>
      </c>
      <c r="AE7" s="187">
        <v>24</v>
      </c>
      <c r="AF7" s="187">
        <v>1791.5403014463873</v>
      </c>
      <c r="AG7" s="184">
        <f>IFERROR(AF7/AE7,"")</f>
        <v>74.647512560266136</v>
      </c>
      <c r="AH7" s="181">
        <f>RANK(AG7, AG$7:AG$21)</f>
        <v>8</v>
      </c>
      <c r="AI7" s="581">
        <f>AVERAGE(AG7:AG21)</f>
        <v>87.096325632465195</v>
      </c>
      <c r="AJ7" s="187">
        <v>24</v>
      </c>
      <c r="AK7" s="187">
        <v>1792.1403014463872</v>
      </c>
      <c r="AL7" s="184">
        <f>IFERROR(AK7/AJ7,"")</f>
        <v>74.672512560266128</v>
      </c>
      <c r="AM7" s="181">
        <f>RANK(AL7, AL$7:AL$21)</f>
        <v>8</v>
      </c>
      <c r="AN7" s="581">
        <f>AVERAGE(AL7:AL21)</f>
        <v>87.101805704928964</v>
      </c>
      <c r="AO7" s="187">
        <v>24</v>
      </c>
      <c r="AP7" s="187">
        <v>1791.3403014463872</v>
      </c>
      <c r="AQ7" s="184">
        <f>IFERROR(AP7/AO7,"")</f>
        <v>74.639179226932796</v>
      </c>
      <c r="AR7" s="181">
        <f>RANK(AQ7, AQ$7:AQ$21)</f>
        <v>8</v>
      </c>
      <c r="AS7" s="581">
        <f>AVERAGE(AQ7:AQ21)</f>
        <v>87.091419231499003</v>
      </c>
      <c r="AT7" s="187">
        <v>24</v>
      </c>
      <c r="AU7" s="187">
        <v>1790.5403014463873</v>
      </c>
      <c r="AV7" s="184">
        <f>IFERROR(AU7/AT7,"")</f>
        <v>74.605845893599465</v>
      </c>
      <c r="AW7" s="181">
        <f>RANK(AV7, AV$7:AV$21)</f>
        <v>8</v>
      </c>
      <c r="AX7" s="581">
        <f>AVERAGE(AV7:AV21)</f>
        <v>87.083568989953122</v>
      </c>
    </row>
    <row r="8" spans="1:50" ht="14.25" customHeight="1">
      <c r="B8" s="580"/>
      <c r="C8" s="179">
        <v>2</v>
      </c>
      <c r="D8" s="182" t="s">
        <v>341</v>
      </c>
      <c r="E8" s="179">
        <v>23</v>
      </c>
      <c r="F8" s="179">
        <v>2000</v>
      </c>
      <c r="G8" s="184">
        <f t="shared" ref="G8:G15" si="1">IFERROR(F8/E8,"")</f>
        <v>86.956521739130437</v>
      </c>
      <c r="H8" s="581"/>
      <c r="I8" s="185">
        <f>AVERAGE(P8,U8,Z8,AE8,AJ8,AO8,AT8)</f>
        <v>23</v>
      </c>
      <c r="J8" s="185">
        <f t="shared" ref="J8:K15" si="2">AVERAGE(Q8,V8,AA8,AF8,AK8,AP8,AU8)</f>
        <v>1790.0145229523434</v>
      </c>
      <c r="K8" s="186">
        <f t="shared" si="2"/>
        <v>77.826718389232312</v>
      </c>
      <c r="L8" s="582"/>
      <c r="M8" s="185">
        <f>RANK(K8, K$7:$K$21)</f>
        <v>7</v>
      </c>
      <c r="N8" s="580"/>
      <c r="O8" s="580"/>
      <c r="P8" s="187">
        <v>23</v>
      </c>
      <c r="Q8" s="187">
        <v>1790.4716658094867</v>
      </c>
      <c r="R8" s="184">
        <f t="shared" ref="R8:R15" si="3">IFERROR(Q8/P8,"")</f>
        <v>77.846594165629853</v>
      </c>
      <c r="S8" s="181">
        <f t="shared" ref="S8:S15" si="4">RANK(R8, R$7:R$21)</f>
        <v>7</v>
      </c>
      <c r="T8" s="581"/>
      <c r="U8" s="187">
        <v>23</v>
      </c>
      <c r="V8" s="187">
        <v>1789.8716658094866</v>
      </c>
      <c r="W8" s="184">
        <f t="shared" si="0"/>
        <v>77.820507209108115</v>
      </c>
      <c r="X8" s="181">
        <f t="shared" ref="X8:X15" si="5">RANK(W8, W$7:W$21)</f>
        <v>6</v>
      </c>
      <c r="Y8" s="581"/>
      <c r="Z8" s="187">
        <v>23</v>
      </c>
      <c r="AA8" s="187">
        <v>1790.0716658094864</v>
      </c>
      <c r="AB8" s="184">
        <f t="shared" ref="AB8:AB15" si="6">IFERROR(AA8/Z8,"")</f>
        <v>77.829202861282013</v>
      </c>
      <c r="AC8" s="181">
        <f t="shared" ref="AC8:AC15" si="7">RANK(AB8, AB$7:AB$21)</f>
        <v>7</v>
      </c>
      <c r="AD8" s="581"/>
      <c r="AE8" s="187">
        <v>23</v>
      </c>
      <c r="AF8" s="187">
        <v>1789.8716658094861</v>
      </c>
      <c r="AG8" s="184">
        <f t="shared" ref="AG8:AG15" si="8">IFERROR(AF8/AE8,"")</f>
        <v>77.820507209108086</v>
      </c>
      <c r="AH8" s="181">
        <f t="shared" ref="AH8:AH15" si="9">RANK(AG8, AG$7:AG$21)</f>
        <v>7</v>
      </c>
      <c r="AI8" s="581"/>
      <c r="AJ8" s="187">
        <v>23</v>
      </c>
      <c r="AK8" s="187">
        <v>1790.4716658094858</v>
      </c>
      <c r="AL8" s="184">
        <f t="shared" ref="AL8:AL15" si="10">IFERROR(AK8/AJ8,"")</f>
        <v>77.84659416562981</v>
      </c>
      <c r="AM8" s="181">
        <f t="shared" ref="AM8:AM15" si="11">RANK(AL8, AL$7:AL$21)</f>
        <v>7</v>
      </c>
      <c r="AN8" s="581"/>
      <c r="AO8" s="187">
        <v>23</v>
      </c>
      <c r="AP8" s="187">
        <v>1789.8716658094854</v>
      </c>
      <c r="AQ8" s="184">
        <f t="shared" ref="AQ8:AQ15" si="12">IFERROR(AP8/AO8,"")</f>
        <v>77.820507209108058</v>
      </c>
      <c r="AR8" s="181">
        <f t="shared" ref="AR8:AR15" si="13">RANK(AQ8, AQ$7:AQ$21)</f>
        <v>7</v>
      </c>
      <c r="AS8" s="581"/>
      <c r="AT8" s="187">
        <v>23</v>
      </c>
      <c r="AU8" s="187">
        <v>1789.4716658094853</v>
      </c>
      <c r="AV8" s="184">
        <f t="shared" ref="AV8:AV15" si="14">IFERROR(AU8/AT8,"")</f>
        <v>77.803115904760233</v>
      </c>
      <c r="AW8" s="181">
        <f t="shared" ref="AW8:AW15" si="15">RANK(AV8, AV$7:AV$21)</f>
        <v>7</v>
      </c>
      <c r="AX8" s="581"/>
    </row>
    <row r="9" spans="1:50" ht="14.25" customHeight="1">
      <c r="B9" s="580"/>
      <c r="C9" s="179">
        <v>3</v>
      </c>
      <c r="D9" s="182" t="s">
        <v>349</v>
      </c>
      <c r="E9" s="179">
        <v>23</v>
      </c>
      <c r="F9" s="179">
        <v>2000</v>
      </c>
      <c r="G9" s="184">
        <f t="shared" si="1"/>
        <v>86.956521739130437</v>
      </c>
      <c r="H9" s="581"/>
      <c r="I9" s="185">
        <f>AVERAGE(P9,U9,Z9,AE9,AJ9,AO9,AT9)</f>
        <v>23</v>
      </c>
      <c r="J9" s="185">
        <f t="shared" si="2"/>
        <v>1790.3607611406537</v>
      </c>
      <c r="K9" s="186">
        <f t="shared" si="2"/>
        <v>77.841772223506695</v>
      </c>
      <c r="L9" s="582"/>
      <c r="M9" s="185">
        <f>RANK(K9, K$7:$K$21)</f>
        <v>6</v>
      </c>
      <c r="N9" s="580"/>
      <c r="O9" s="580"/>
      <c r="P9" s="187">
        <v>23</v>
      </c>
      <c r="Q9" s="187">
        <v>1790.5607611406547</v>
      </c>
      <c r="R9" s="184">
        <f t="shared" si="3"/>
        <v>77.850467875680636</v>
      </c>
      <c r="S9" s="181">
        <f t="shared" si="4"/>
        <v>6</v>
      </c>
      <c r="T9" s="581"/>
      <c r="U9" s="187">
        <v>23</v>
      </c>
      <c r="V9" s="187">
        <v>1789.5607611406544</v>
      </c>
      <c r="W9" s="184">
        <f t="shared" si="0"/>
        <v>77.806989614811059</v>
      </c>
      <c r="X9" s="181">
        <f t="shared" si="5"/>
        <v>7</v>
      </c>
      <c r="Y9" s="581"/>
      <c r="Z9" s="187">
        <v>23</v>
      </c>
      <c r="AA9" s="187">
        <v>1790.3607611406537</v>
      </c>
      <c r="AB9" s="184">
        <f t="shared" si="6"/>
        <v>77.84177222350668</v>
      </c>
      <c r="AC9" s="181">
        <f t="shared" si="7"/>
        <v>6</v>
      </c>
      <c r="AD9" s="581"/>
      <c r="AE9" s="187">
        <v>23</v>
      </c>
      <c r="AF9" s="187">
        <v>1790.3607611406535</v>
      </c>
      <c r="AG9" s="184">
        <f t="shared" si="8"/>
        <v>77.84177222350668</v>
      </c>
      <c r="AH9" s="181">
        <f t="shared" si="9"/>
        <v>6</v>
      </c>
      <c r="AI9" s="581"/>
      <c r="AJ9" s="187">
        <v>23</v>
      </c>
      <c r="AK9" s="187">
        <v>1790.5607611406535</v>
      </c>
      <c r="AL9" s="184">
        <f t="shared" si="10"/>
        <v>77.850467875680593</v>
      </c>
      <c r="AM9" s="181">
        <f t="shared" si="11"/>
        <v>6</v>
      </c>
      <c r="AN9" s="581"/>
      <c r="AO9" s="187">
        <v>23</v>
      </c>
      <c r="AP9" s="187">
        <v>1790.3607611406533</v>
      </c>
      <c r="AQ9" s="184">
        <f t="shared" si="12"/>
        <v>77.841772223506666</v>
      </c>
      <c r="AR9" s="181">
        <f t="shared" si="13"/>
        <v>6</v>
      </c>
      <c r="AS9" s="581"/>
      <c r="AT9" s="187">
        <v>23</v>
      </c>
      <c r="AU9" s="187">
        <v>1790.7607611406534</v>
      </c>
      <c r="AV9" s="184">
        <f t="shared" si="14"/>
        <v>77.859163527854491</v>
      </c>
      <c r="AW9" s="181">
        <f t="shared" si="15"/>
        <v>6</v>
      </c>
      <c r="AX9" s="581"/>
    </row>
    <row r="10" spans="1:50" ht="14.25" customHeight="1">
      <c r="B10" s="580"/>
      <c r="C10" s="179">
        <v>4</v>
      </c>
      <c r="D10" s="182" t="s">
        <v>343</v>
      </c>
      <c r="E10" s="179">
        <v>23</v>
      </c>
      <c r="F10" s="179">
        <v>2000</v>
      </c>
      <c r="G10" s="184">
        <f t="shared" si="1"/>
        <v>86.956521739130437</v>
      </c>
      <c r="H10" s="581"/>
      <c r="I10" s="185">
        <f t="shared" ref="I10:I15" si="16">AVERAGE(P10,U10,Z10,AE10,AJ10,AO10,AT10)</f>
        <v>23</v>
      </c>
      <c r="J10" s="185">
        <f t="shared" si="2"/>
        <v>1793.8989699859656</v>
      </c>
      <c r="K10" s="186">
        <f t="shared" si="2"/>
        <v>77.995607390694175</v>
      </c>
      <c r="L10" s="582"/>
      <c r="M10" s="185">
        <f>RANK(K10, K$7:$K$21)</f>
        <v>5</v>
      </c>
      <c r="N10" s="580"/>
      <c r="O10" s="580"/>
      <c r="P10" s="187">
        <v>23</v>
      </c>
      <c r="Q10" s="187">
        <v>1793.8132557002516</v>
      </c>
      <c r="R10" s="184">
        <f t="shared" si="3"/>
        <v>77.991880682619637</v>
      </c>
      <c r="S10" s="181">
        <f t="shared" si="4"/>
        <v>5</v>
      </c>
      <c r="T10" s="581"/>
      <c r="U10" s="187">
        <v>23</v>
      </c>
      <c r="V10" s="187">
        <v>1794.4132557002513</v>
      </c>
      <c r="W10" s="184">
        <f t="shared" si="0"/>
        <v>78.017967639141361</v>
      </c>
      <c r="X10" s="181">
        <f t="shared" si="5"/>
        <v>5</v>
      </c>
      <c r="Y10" s="581"/>
      <c r="Z10" s="187">
        <v>23</v>
      </c>
      <c r="AA10" s="187">
        <v>1794.0132557002512</v>
      </c>
      <c r="AB10" s="184">
        <f t="shared" si="6"/>
        <v>78.000576334793536</v>
      </c>
      <c r="AC10" s="181">
        <f t="shared" si="7"/>
        <v>5</v>
      </c>
      <c r="AD10" s="581"/>
      <c r="AE10" s="187">
        <v>23</v>
      </c>
      <c r="AF10" s="187">
        <v>1793.6132557002516</v>
      </c>
      <c r="AG10" s="184">
        <f t="shared" si="8"/>
        <v>77.983185030445725</v>
      </c>
      <c r="AH10" s="181">
        <f t="shared" si="9"/>
        <v>5</v>
      </c>
      <c r="AI10" s="581"/>
      <c r="AJ10" s="187">
        <v>23</v>
      </c>
      <c r="AK10" s="187">
        <v>1794.0132557002512</v>
      </c>
      <c r="AL10" s="184">
        <f t="shared" si="10"/>
        <v>78.000576334793536</v>
      </c>
      <c r="AM10" s="181">
        <f t="shared" si="11"/>
        <v>5</v>
      </c>
      <c r="AN10" s="581"/>
      <c r="AO10" s="187">
        <v>23</v>
      </c>
      <c r="AP10" s="187">
        <v>1793.4132557002515</v>
      </c>
      <c r="AQ10" s="184">
        <f t="shared" si="12"/>
        <v>77.974489378271798</v>
      </c>
      <c r="AR10" s="181">
        <f t="shared" si="13"/>
        <v>5</v>
      </c>
      <c r="AS10" s="581"/>
      <c r="AT10" s="187">
        <v>23</v>
      </c>
      <c r="AU10" s="187">
        <v>1794.0132557002512</v>
      </c>
      <c r="AV10" s="184">
        <f t="shared" si="14"/>
        <v>78.000576334793536</v>
      </c>
      <c r="AW10" s="181">
        <f t="shared" si="15"/>
        <v>5</v>
      </c>
      <c r="AX10" s="581"/>
    </row>
    <row r="11" spans="1:50" ht="14.25" customHeight="1">
      <c r="B11" s="580"/>
      <c r="C11" s="179">
        <v>5</v>
      </c>
      <c r="D11" s="182" t="s">
        <v>473</v>
      </c>
      <c r="E11" s="179">
        <v>21</v>
      </c>
      <c r="F11" s="179">
        <v>1800</v>
      </c>
      <c r="G11" s="184">
        <f t="shared" si="1"/>
        <v>85.714285714285708</v>
      </c>
      <c r="H11" s="581"/>
      <c r="I11" s="185">
        <f t="shared" si="16"/>
        <v>21</v>
      </c>
      <c r="J11" s="185">
        <f t="shared" si="2"/>
        <v>1607.9855331561539</v>
      </c>
      <c r="K11" s="186">
        <f t="shared" si="2"/>
        <v>76.570739674102569</v>
      </c>
      <c r="L11" s="582"/>
      <c r="M11" s="185">
        <f>RANK(K11, K$7:$K$21)</f>
        <v>8</v>
      </c>
      <c r="N11" s="580"/>
      <c r="O11" s="580"/>
      <c r="P11" s="187">
        <v>21</v>
      </c>
      <c r="Q11" s="187">
        <v>1607.9855331561539</v>
      </c>
      <c r="R11" s="184">
        <f t="shared" si="3"/>
        <v>76.570739674102569</v>
      </c>
      <c r="S11" s="181">
        <f t="shared" si="4"/>
        <v>8</v>
      </c>
      <c r="T11" s="581"/>
      <c r="U11" s="187"/>
      <c r="V11" s="187"/>
      <c r="W11" s="184"/>
      <c r="X11" s="181"/>
      <c r="Y11" s="581"/>
      <c r="Z11" s="187"/>
      <c r="AA11" s="187"/>
      <c r="AB11" s="184"/>
      <c r="AC11" s="181"/>
      <c r="AD11" s="581"/>
      <c r="AE11" s="187"/>
      <c r="AF11" s="187"/>
      <c r="AG11" s="184"/>
      <c r="AH11" s="181"/>
      <c r="AI11" s="581"/>
      <c r="AJ11" s="187"/>
      <c r="AK11" s="187"/>
      <c r="AL11" s="184"/>
      <c r="AM11" s="181"/>
      <c r="AN11" s="581"/>
      <c r="AO11" s="187"/>
      <c r="AP11" s="187"/>
      <c r="AQ11" s="184"/>
      <c r="AR11" s="181"/>
      <c r="AS11" s="581"/>
      <c r="AT11" s="187"/>
      <c r="AU11" s="187"/>
      <c r="AV11" s="184"/>
      <c r="AW11" s="181"/>
      <c r="AX11" s="581"/>
    </row>
    <row r="12" spans="1:50" ht="14.25" customHeight="1">
      <c r="B12" s="580"/>
      <c r="C12" s="179">
        <v>6</v>
      </c>
      <c r="D12" s="182" t="s">
        <v>474</v>
      </c>
      <c r="E12" s="179">
        <v>20</v>
      </c>
      <c r="F12" s="179">
        <v>2000</v>
      </c>
      <c r="G12" s="184">
        <f t="shared" si="1"/>
        <v>100</v>
      </c>
      <c r="H12" s="581"/>
      <c r="I12" s="185">
        <f t="shared" si="16"/>
        <v>19.142857142857142</v>
      </c>
      <c r="J12" s="185">
        <f t="shared" si="2"/>
        <v>1789.247873556604</v>
      </c>
      <c r="K12" s="186">
        <f t="shared" si="2"/>
        <v>93.499162067935472</v>
      </c>
      <c r="L12" s="582"/>
      <c r="M12" s="185">
        <f>RANK(K12, K$7:$K$21)</f>
        <v>3</v>
      </c>
      <c r="N12" s="580"/>
      <c r="O12" s="580"/>
      <c r="P12" s="187">
        <v>20</v>
      </c>
      <c r="Q12" s="187">
        <v>1786.9311972162011</v>
      </c>
      <c r="R12" s="184">
        <f t="shared" si="3"/>
        <v>89.346559860810061</v>
      </c>
      <c r="S12" s="181">
        <f t="shared" si="4"/>
        <v>4</v>
      </c>
      <c r="T12" s="581"/>
      <c r="U12" s="187">
        <v>19</v>
      </c>
      <c r="V12" s="187">
        <v>1786.7311972162013</v>
      </c>
      <c r="W12" s="184">
        <f t="shared" si="0"/>
        <v>94.038484064010589</v>
      </c>
      <c r="X12" s="181">
        <f t="shared" si="5"/>
        <v>3</v>
      </c>
      <c r="Y12" s="581"/>
      <c r="Z12" s="187">
        <v>19</v>
      </c>
      <c r="AA12" s="187">
        <v>1791.0727204638251</v>
      </c>
      <c r="AB12" s="184">
        <f t="shared" si="6"/>
        <v>94.266985287569739</v>
      </c>
      <c r="AC12" s="181">
        <f t="shared" si="7"/>
        <v>3</v>
      </c>
      <c r="AD12" s="581"/>
      <c r="AE12" s="187">
        <v>19</v>
      </c>
      <c r="AF12" s="187">
        <v>1790</v>
      </c>
      <c r="AG12" s="184">
        <f t="shared" si="8"/>
        <v>94.21052631578948</v>
      </c>
      <c r="AH12" s="181">
        <f t="shared" si="9"/>
        <v>3</v>
      </c>
      <c r="AI12" s="581"/>
      <c r="AJ12" s="187">
        <v>19</v>
      </c>
      <c r="AK12" s="187">
        <v>1790.0000000000002</v>
      </c>
      <c r="AL12" s="184">
        <f t="shared" si="10"/>
        <v>94.21052631578948</v>
      </c>
      <c r="AM12" s="181">
        <f t="shared" si="11"/>
        <v>3</v>
      </c>
      <c r="AN12" s="581"/>
      <c r="AO12" s="187">
        <v>19</v>
      </c>
      <c r="AP12" s="187">
        <v>1790.0000000000002</v>
      </c>
      <c r="AQ12" s="184">
        <f t="shared" si="12"/>
        <v>94.21052631578948</v>
      </c>
      <c r="AR12" s="181">
        <f t="shared" si="13"/>
        <v>3</v>
      </c>
      <c r="AS12" s="581"/>
      <c r="AT12" s="187">
        <v>19</v>
      </c>
      <c r="AU12" s="187">
        <v>1790.0000000000002</v>
      </c>
      <c r="AV12" s="184">
        <f t="shared" si="14"/>
        <v>94.21052631578948</v>
      </c>
      <c r="AW12" s="181">
        <f t="shared" si="15"/>
        <v>3</v>
      </c>
      <c r="AX12" s="581"/>
    </row>
    <row r="13" spans="1:50" ht="14.25" customHeight="1">
      <c r="B13" s="580"/>
      <c r="C13" s="179">
        <v>7</v>
      </c>
      <c r="D13" s="182" t="s">
        <v>568</v>
      </c>
      <c r="E13" s="179">
        <v>18</v>
      </c>
      <c r="F13" s="179">
        <v>2000</v>
      </c>
      <c r="G13" s="184">
        <f t="shared" si="1"/>
        <v>111.11111111111111</v>
      </c>
      <c r="H13" s="581"/>
      <c r="I13" s="185">
        <f t="shared" si="16"/>
        <v>17.142857142857142</v>
      </c>
      <c r="J13" s="185">
        <f t="shared" si="2"/>
        <v>1789.6285714285714</v>
      </c>
      <c r="K13" s="186">
        <f t="shared" si="2"/>
        <v>104.43781512605041</v>
      </c>
      <c r="L13" s="582"/>
      <c r="M13" s="185">
        <f>RANK(K13, K$7:$K$21)</f>
        <v>1</v>
      </c>
      <c r="N13" s="580"/>
      <c r="O13" s="580"/>
      <c r="P13" s="187">
        <v>18</v>
      </c>
      <c r="Q13" s="187">
        <v>1787.3999999999999</v>
      </c>
      <c r="R13" s="184">
        <f t="shared" si="3"/>
        <v>99.3</v>
      </c>
      <c r="S13" s="181">
        <f t="shared" si="4"/>
        <v>2</v>
      </c>
      <c r="T13" s="581"/>
      <c r="U13" s="187">
        <v>17</v>
      </c>
      <c r="V13" s="187">
        <v>1789.9999999999998</v>
      </c>
      <c r="W13" s="184">
        <f t="shared" si="0"/>
        <v>105.29411764705881</v>
      </c>
      <c r="X13" s="181">
        <f t="shared" si="5"/>
        <v>1</v>
      </c>
      <c r="Y13" s="581"/>
      <c r="Z13" s="187">
        <v>17</v>
      </c>
      <c r="AA13" s="187">
        <v>1790.0000000000002</v>
      </c>
      <c r="AB13" s="184">
        <f t="shared" si="6"/>
        <v>105.29411764705884</v>
      </c>
      <c r="AC13" s="181">
        <f t="shared" si="7"/>
        <v>1</v>
      </c>
      <c r="AD13" s="581"/>
      <c r="AE13" s="187">
        <v>17</v>
      </c>
      <c r="AF13" s="187">
        <v>1790</v>
      </c>
      <c r="AG13" s="184">
        <f t="shared" si="8"/>
        <v>105.29411764705883</v>
      </c>
      <c r="AH13" s="181">
        <f t="shared" si="9"/>
        <v>1</v>
      </c>
      <c r="AI13" s="581"/>
      <c r="AJ13" s="187">
        <v>17</v>
      </c>
      <c r="AK13" s="187">
        <v>1790</v>
      </c>
      <c r="AL13" s="184">
        <f t="shared" si="10"/>
        <v>105.29411764705883</v>
      </c>
      <c r="AM13" s="181">
        <f t="shared" si="11"/>
        <v>1</v>
      </c>
      <c r="AN13" s="581"/>
      <c r="AO13" s="187">
        <v>17</v>
      </c>
      <c r="AP13" s="187">
        <v>1790.0000000000002</v>
      </c>
      <c r="AQ13" s="184">
        <f t="shared" si="12"/>
        <v>105.29411764705884</v>
      </c>
      <c r="AR13" s="181">
        <f t="shared" si="13"/>
        <v>1</v>
      </c>
      <c r="AS13" s="581"/>
      <c r="AT13" s="187">
        <v>17</v>
      </c>
      <c r="AU13" s="187">
        <v>1790.0000000000002</v>
      </c>
      <c r="AV13" s="184">
        <f t="shared" si="14"/>
        <v>105.29411764705884</v>
      </c>
      <c r="AW13" s="181">
        <f t="shared" si="15"/>
        <v>1</v>
      </c>
      <c r="AX13" s="581"/>
    </row>
    <row r="14" spans="1:50" ht="14.25" customHeight="1">
      <c r="B14" s="580"/>
      <c r="C14" s="179">
        <v>8</v>
      </c>
      <c r="D14" s="182" t="s">
        <v>673</v>
      </c>
      <c r="E14" s="179">
        <v>18</v>
      </c>
      <c r="F14" s="179">
        <v>2000</v>
      </c>
      <c r="G14" s="184">
        <f t="shared" si="1"/>
        <v>111.11111111111111</v>
      </c>
      <c r="H14" s="581"/>
      <c r="I14" s="185">
        <f t="shared" si="16"/>
        <v>18</v>
      </c>
      <c r="J14" s="185">
        <f t="shared" si="2"/>
        <v>1789.8279990381252</v>
      </c>
      <c r="K14" s="186">
        <f t="shared" si="2"/>
        <v>99.434888835451403</v>
      </c>
      <c r="L14" s="582"/>
      <c r="M14" s="185">
        <f>RANK(K14, K$7:$K$21)</f>
        <v>2</v>
      </c>
      <c r="N14" s="580"/>
      <c r="O14" s="580"/>
      <c r="P14" s="187">
        <v>18</v>
      </c>
      <c r="Q14" s="187">
        <v>1789.3137133238399</v>
      </c>
      <c r="R14" s="184">
        <f t="shared" si="3"/>
        <v>99.406317406879992</v>
      </c>
      <c r="S14" s="181">
        <f t="shared" si="4"/>
        <v>1</v>
      </c>
      <c r="T14" s="581"/>
      <c r="U14" s="187">
        <v>18</v>
      </c>
      <c r="V14" s="187">
        <v>1789.51371332384</v>
      </c>
      <c r="W14" s="184">
        <f t="shared" si="0"/>
        <v>99.417428517991112</v>
      </c>
      <c r="X14" s="181">
        <f t="shared" si="5"/>
        <v>2</v>
      </c>
      <c r="Y14" s="581"/>
      <c r="Z14" s="187">
        <v>18</v>
      </c>
      <c r="AA14" s="187">
        <v>1790.3137133238399</v>
      </c>
      <c r="AB14" s="184">
        <f t="shared" si="6"/>
        <v>99.46187296243555</v>
      </c>
      <c r="AC14" s="181">
        <f t="shared" si="7"/>
        <v>2</v>
      </c>
      <c r="AD14" s="581"/>
      <c r="AE14" s="187">
        <v>18</v>
      </c>
      <c r="AF14" s="187">
        <v>1790.5137133238397</v>
      </c>
      <c r="AG14" s="184">
        <f t="shared" si="8"/>
        <v>99.472984073546655</v>
      </c>
      <c r="AH14" s="181">
        <f t="shared" si="9"/>
        <v>2</v>
      </c>
      <c r="AI14" s="581"/>
      <c r="AJ14" s="187">
        <v>18</v>
      </c>
      <c r="AK14" s="187">
        <v>1789.9137133238398</v>
      </c>
      <c r="AL14" s="184">
        <f t="shared" si="10"/>
        <v>99.439650740213324</v>
      </c>
      <c r="AM14" s="181">
        <f t="shared" si="11"/>
        <v>2</v>
      </c>
      <c r="AN14" s="581"/>
      <c r="AO14" s="187">
        <v>18</v>
      </c>
      <c r="AP14" s="187">
        <v>1790.1137133238396</v>
      </c>
      <c r="AQ14" s="184">
        <f t="shared" si="12"/>
        <v>99.45076185132443</v>
      </c>
      <c r="AR14" s="181">
        <f t="shared" si="13"/>
        <v>2</v>
      </c>
      <c r="AS14" s="581"/>
      <c r="AT14" s="187">
        <v>18</v>
      </c>
      <c r="AU14" s="187">
        <v>1789.1137133238396</v>
      </c>
      <c r="AV14" s="184">
        <f t="shared" si="14"/>
        <v>99.395206295768872</v>
      </c>
      <c r="AW14" s="181">
        <f t="shared" si="15"/>
        <v>2</v>
      </c>
      <c r="AX14" s="581"/>
    </row>
    <row r="15" spans="1:50" ht="14.25" customHeight="1">
      <c r="B15" s="580"/>
      <c r="C15" s="179">
        <v>9</v>
      </c>
      <c r="D15" s="182" t="s">
        <v>695</v>
      </c>
      <c r="E15" s="179">
        <v>21</v>
      </c>
      <c r="F15" s="179">
        <v>2000</v>
      </c>
      <c r="G15" s="184">
        <f t="shared" si="1"/>
        <v>95.238095238095241</v>
      </c>
      <c r="H15" s="581"/>
      <c r="I15" s="185">
        <f t="shared" si="16"/>
        <v>20</v>
      </c>
      <c r="J15" s="185">
        <f t="shared" si="2"/>
        <v>1790</v>
      </c>
      <c r="K15" s="186">
        <f t="shared" si="2"/>
        <v>89.5</v>
      </c>
      <c r="L15" s="582"/>
      <c r="M15" s="185">
        <f>RANK(K15, K$7:$K$21)</f>
        <v>4</v>
      </c>
      <c r="N15" s="580"/>
      <c r="O15" s="580"/>
      <c r="P15" s="187">
        <v>20</v>
      </c>
      <c r="Q15" s="187">
        <v>1790</v>
      </c>
      <c r="R15" s="184">
        <f t="shared" si="3"/>
        <v>89.5</v>
      </c>
      <c r="S15" s="181">
        <f t="shared" si="4"/>
        <v>3</v>
      </c>
      <c r="T15" s="581"/>
      <c r="U15" s="187">
        <v>20</v>
      </c>
      <c r="V15" s="187">
        <v>1790</v>
      </c>
      <c r="W15" s="184">
        <f t="shared" si="0"/>
        <v>89.5</v>
      </c>
      <c r="X15" s="181">
        <f t="shared" si="5"/>
        <v>4</v>
      </c>
      <c r="Y15" s="581"/>
      <c r="Z15" s="187">
        <v>20</v>
      </c>
      <c r="AA15" s="187">
        <v>1790.0000000000002</v>
      </c>
      <c r="AB15" s="184">
        <f t="shared" si="6"/>
        <v>89.500000000000014</v>
      </c>
      <c r="AC15" s="181">
        <f t="shared" si="7"/>
        <v>4</v>
      </c>
      <c r="AD15" s="581"/>
      <c r="AE15" s="187">
        <v>20</v>
      </c>
      <c r="AF15" s="187">
        <v>1790.0000000000002</v>
      </c>
      <c r="AG15" s="184">
        <f t="shared" si="8"/>
        <v>89.500000000000014</v>
      </c>
      <c r="AH15" s="181">
        <f t="shared" si="9"/>
        <v>4</v>
      </c>
      <c r="AI15" s="581"/>
      <c r="AJ15" s="187">
        <v>20</v>
      </c>
      <c r="AK15" s="187">
        <v>1790</v>
      </c>
      <c r="AL15" s="184">
        <f t="shared" si="10"/>
        <v>89.5</v>
      </c>
      <c r="AM15" s="181">
        <f t="shared" si="11"/>
        <v>4</v>
      </c>
      <c r="AN15" s="581"/>
      <c r="AO15" s="187">
        <v>20</v>
      </c>
      <c r="AP15" s="187">
        <v>1790</v>
      </c>
      <c r="AQ15" s="184">
        <f t="shared" si="12"/>
        <v>89.5</v>
      </c>
      <c r="AR15" s="181">
        <f t="shared" si="13"/>
        <v>4</v>
      </c>
      <c r="AS15" s="581"/>
      <c r="AT15" s="187">
        <v>20</v>
      </c>
      <c r="AU15" s="187">
        <v>1790</v>
      </c>
      <c r="AV15" s="184">
        <f t="shared" si="14"/>
        <v>89.5</v>
      </c>
      <c r="AW15" s="181">
        <f t="shared" si="15"/>
        <v>4</v>
      </c>
      <c r="AX15" s="581"/>
    </row>
    <row r="16" spans="1:50" ht="14.25" customHeight="1">
      <c r="B16" s="580"/>
      <c r="C16" s="179">
        <v>10</v>
      </c>
      <c r="D16" s="182"/>
      <c r="E16" s="179"/>
      <c r="F16" s="179"/>
      <c r="G16" s="184"/>
      <c r="H16" s="581"/>
      <c r="I16" s="185"/>
      <c r="J16" s="185"/>
      <c r="K16" s="186"/>
      <c r="L16" s="582"/>
      <c r="M16" s="185"/>
      <c r="N16" s="580"/>
      <c r="O16" s="580"/>
      <c r="P16" s="187"/>
      <c r="Q16" s="187"/>
      <c r="R16" s="184"/>
      <c r="S16" s="181"/>
      <c r="T16" s="581"/>
      <c r="U16" s="187"/>
      <c r="V16" s="187"/>
      <c r="W16" s="184"/>
      <c r="X16" s="181"/>
      <c r="Y16" s="581"/>
      <c r="Z16" s="187"/>
      <c r="AA16" s="187"/>
      <c r="AB16" s="184"/>
      <c r="AC16" s="181"/>
      <c r="AD16" s="581"/>
      <c r="AE16" s="187"/>
      <c r="AF16" s="187"/>
      <c r="AG16" s="184"/>
      <c r="AH16" s="181"/>
      <c r="AI16" s="581"/>
      <c r="AJ16" s="187"/>
      <c r="AK16" s="187"/>
      <c r="AL16" s="184"/>
      <c r="AM16" s="181"/>
      <c r="AN16" s="581"/>
      <c r="AO16" s="187"/>
      <c r="AP16" s="187"/>
      <c r="AQ16" s="184"/>
      <c r="AR16" s="181"/>
      <c r="AS16" s="581"/>
      <c r="AT16" s="187"/>
      <c r="AU16" s="187"/>
      <c r="AV16" s="184"/>
      <c r="AW16" s="181"/>
      <c r="AX16" s="581"/>
    </row>
    <row r="17" spans="2:50" ht="14.25" customHeight="1">
      <c r="B17" s="580"/>
      <c r="C17" s="179">
        <v>11</v>
      </c>
      <c r="D17" s="182"/>
      <c r="E17" s="179"/>
      <c r="F17" s="179"/>
      <c r="G17" s="184"/>
      <c r="H17" s="581"/>
      <c r="I17" s="185"/>
      <c r="J17" s="185"/>
      <c r="K17" s="186"/>
      <c r="L17" s="582"/>
      <c r="M17" s="185"/>
      <c r="N17" s="580"/>
      <c r="O17" s="580"/>
      <c r="P17" s="187"/>
      <c r="Q17" s="187"/>
      <c r="R17" s="184"/>
      <c r="S17" s="181"/>
      <c r="T17" s="581"/>
      <c r="U17" s="187"/>
      <c r="V17" s="187"/>
      <c r="W17" s="184"/>
      <c r="X17" s="181"/>
      <c r="Y17" s="581"/>
      <c r="Z17" s="187"/>
      <c r="AA17" s="187"/>
      <c r="AB17" s="184"/>
      <c r="AC17" s="181"/>
      <c r="AD17" s="581"/>
      <c r="AE17" s="187"/>
      <c r="AF17" s="187"/>
      <c r="AG17" s="184"/>
      <c r="AH17" s="181"/>
      <c r="AI17" s="581"/>
      <c r="AJ17" s="187"/>
      <c r="AK17" s="187"/>
      <c r="AL17" s="184"/>
      <c r="AM17" s="181"/>
      <c r="AN17" s="581"/>
      <c r="AO17" s="187"/>
      <c r="AP17" s="187"/>
      <c r="AQ17" s="184"/>
      <c r="AR17" s="181"/>
      <c r="AS17" s="581"/>
      <c r="AT17" s="187"/>
      <c r="AU17" s="187"/>
      <c r="AV17" s="184"/>
      <c r="AW17" s="181"/>
      <c r="AX17" s="581"/>
    </row>
    <row r="18" spans="2:50" ht="14.25" customHeight="1">
      <c r="B18" s="580"/>
      <c r="C18" s="179">
        <v>12</v>
      </c>
      <c r="D18" s="182"/>
      <c r="E18" s="179"/>
      <c r="F18" s="179"/>
      <c r="G18" s="184"/>
      <c r="H18" s="581"/>
      <c r="I18" s="185"/>
      <c r="J18" s="185"/>
      <c r="K18" s="186"/>
      <c r="L18" s="582"/>
      <c r="M18" s="185"/>
      <c r="N18" s="580"/>
      <c r="O18" s="580"/>
      <c r="P18" s="187"/>
      <c r="Q18" s="187"/>
      <c r="R18" s="184"/>
      <c r="S18" s="181"/>
      <c r="T18" s="581"/>
      <c r="U18" s="187"/>
      <c r="V18" s="187"/>
      <c r="W18" s="184"/>
      <c r="X18" s="181"/>
      <c r="Y18" s="581"/>
      <c r="Z18" s="187"/>
      <c r="AA18" s="187"/>
      <c r="AB18" s="184"/>
      <c r="AC18" s="181"/>
      <c r="AD18" s="581"/>
      <c r="AE18" s="187"/>
      <c r="AF18" s="187"/>
      <c r="AG18" s="184"/>
      <c r="AH18" s="181"/>
      <c r="AI18" s="581"/>
      <c r="AJ18" s="187"/>
      <c r="AK18" s="187"/>
      <c r="AL18" s="184"/>
      <c r="AM18" s="181"/>
      <c r="AN18" s="581"/>
      <c r="AO18" s="187"/>
      <c r="AP18" s="187"/>
      <c r="AQ18" s="184"/>
      <c r="AR18" s="181"/>
      <c r="AS18" s="581"/>
      <c r="AT18" s="187"/>
      <c r="AU18" s="187"/>
      <c r="AV18" s="184"/>
      <c r="AW18" s="181"/>
      <c r="AX18" s="581"/>
    </row>
    <row r="19" spans="2:50" ht="14.25" customHeight="1">
      <c r="B19" s="580"/>
      <c r="C19" s="179">
        <v>13</v>
      </c>
      <c r="D19" s="182"/>
      <c r="E19" s="179"/>
      <c r="F19" s="179"/>
      <c r="G19" s="184"/>
      <c r="H19" s="581"/>
      <c r="I19" s="185"/>
      <c r="J19" s="185"/>
      <c r="K19" s="186"/>
      <c r="L19" s="582"/>
      <c r="M19" s="185"/>
      <c r="N19" s="580"/>
      <c r="O19" s="580"/>
      <c r="P19" s="187"/>
      <c r="Q19" s="187"/>
      <c r="R19" s="184"/>
      <c r="S19" s="181"/>
      <c r="T19" s="581"/>
      <c r="U19" s="187"/>
      <c r="V19" s="187"/>
      <c r="W19" s="184"/>
      <c r="X19" s="181"/>
      <c r="Y19" s="581"/>
      <c r="Z19" s="187"/>
      <c r="AA19" s="187"/>
      <c r="AB19" s="184"/>
      <c r="AC19" s="181"/>
      <c r="AD19" s="581"/>
      <c r="AE19" s="187"/>
      <c r="AF19" s="187"/>
      <c r="AG19" s="184"/>
      <c r="AH19" s="181"/>
      <c r="AI19" s="581"/>
      <c r="AJ19" s="187"/>
      <c r="AK19" s="187"/>
      <c r="AL19" s="184"/>
      <c r="AM19" s="181"/>
      <c r="AN19" s="581"/>
      <c r="AO19" s="187"/>
      <c r="AP19" s="187"/>
      <c r="AQ19" s="184"/>
      <c r="AR19" s="181"/>
      <c r="AS19" s="581"/>
      <c r="AT19" s="187"/>
      <c r="AU19" s="187"/>
      <c r="AV19" s="184"/>
      <c r="AW19" s="181"/>
      <c r="AX19" s="581"/>
    </row>
    <row r="20" spans="2:50" ht="14.25" customHeight="1">
      <c r="B20" s="580"/>
      <c r="C20" s="179">
        <v>14</v>
      </c>
      <c r="D20" s="182"/>
      <c r="E20" s="179"/>
      <c r="F20" s="179"/>
      <c r="G20" s="184"/>
      <c r="H20" s="581"/>
      <c r="I20" s="185"/>
      <c r="J20" s="185"/>
      <c r="K20" s="186"/>
      <c r="L20" s="582"/>
      <c r="M20" s="185"/>
      <c r="N20" s="580"/>
      <c r="O20" s="580"/>
      <c r="P20" s="187"/>
      <c r="Q20" s="187"/>
      <c r="R20" s="184"/>
      <c r="S20" s="181"/>
      <c r="T20" s="581"/>
      <c r="U20" s="187"/>
      <c r="V20" s="187"/>
      <c r="W20" s="184"/>
      <c r="X20" s="181"/>
      <c r="Y20" s="581"/>
      <c r="Z20" s="187"/>
      <c r="AA20" s="187"/>
      <c r="AB20" s="184"/>
      <c r="AC20" s="181"/>
      <c r="AD20" s="581"/>
      <c r="AE20" s="187"/>
      <c r="AF20" s="187"/>
      <c r="AG20" s="184"/>
      <c r="AH20" s="181"/>
      <c r="AI20" s="581"/>
      <c r="AJ20" s="187"/>
      <c r="AK20" s="187"/>
      <c r="AL20" s="184"/>
      <c r="AM20" s="181"/>
      <c r="AN20" s="581"/>
      <c r="AO20" s="187"/>
      <c r="AP20" s="187"/>
      <c r="AQ20" s="184"/>
      <c r="AR20" s="181"/>
      <c r="AS20" s="581"/>
      <c r="AT20" s="187"/>
      <c r="AU20" s="187"/>
      <c r="AV20" s="184"/>
      <c r="AW20" s="181"/>
      <c r="AX20" s="581"/>
    </row>
    <row r="21" spans="2:50" ht="14.25" customHeight="1">
      <c r="B21" s="580"/>
      <c r="C21" s="179">
        <v>15</v>
      </c>
      <c r="D21" s="182"/>
      <c r="E21" s="179"/>
      <c r="F21" s="179"/>
      <c r="G21" s="184"/>
      <c r="H21" s="581"/>
      <c r="I21" s="185"/>
      <c r="J21" s="185"/>
      <c r="K21" s="186"/>
      <c r="L21" s="582"/>
      <c r="M21" s="185"/>
      <c r="N21" s="580"/>
      <c r="O21" s="580"/>
      <c r="P21" s="187"/>
      <c r="Q21" s="187"/>
      <c r="R21" s="184"/>
      <c r="S21" s="181"/>
      <c r="T21" s="581"/>
      <c r="U21" s="187"/>
      <c r="V21" s="187"/>
      <c r="W21" s="184"/>
      <c r="X21" s="181"/>
      <c r="Y21" s="581"/>
      <c r="Z21" s="187"/>
      <c r="AA21" s="187"/>
      <c r="AB21" s="184"/>
      <c r="AC21" s="181"/>
      <c r="AD21" s="581"/>
      <c r="AE21" s="187"/>
      <c r="AF21" s="187"/>
      <c r="AG21" s="184"/>
      <c r="AH21" s="181"/>
      <c r="AI21" s="581"/>
      <c r="AJ21" s="187"/>
      <c r="AK21" s="187"/>
      <c r="AL21" s="184"/>
      <c r="AM21" s="181"/>
      <c r="AN21" s="581"/>
      <c r="AO21" s="187"/>
      <c r="AP21" s="187"/>
      <c r="AQ21" s="184"/>
      <c r="AR21" s="181"/>
      <c r="AS21" s="581"/>
      <c r="AT21" s="187"/>
      <c r="AU21" s="187"/>
      <c r="AV21" s="184"/>
      <c r="AW21" s="181"/>
      <c r="AX21" s="581"/>
    </row>
    <row r="22" spans="2:50" ht="14.25" customHeight="1">
      <c r="B22" s="608" t="s">
        <v>807</v>
      </c>
      <c r="C22" s="609"/>
      <c r="D22" s="609"/>
      <c r="E22" s="609"/>
      <c r="F22" s="609"/>
      <c r="G22" s="609"/>
      <c r="H22" s="609"/>
      <c r="I22" s="609"/>
      <c r="J22" s="609"/>
      <c r="K22" s="609"/>
      <c r="L22" s="609"/>
      <c r="M22" s="610"/>
      <c r="N22" s="613" t="s">
        <v>363</v>
      </c>
      <c r="O22" s="613" t="s">
        <v>105</v>
      </c>
      <c r="P22" s="602">
        <v>46210</v>
      </c>
      <c r="Q22" s="603"/>
      <c r="R22" s="603"/>
      <c r="S22" s="603"/>
      <c r="T22" s="603"/>
      <c r="U22" s="594">
        <v>46211</v>
      </c>
      <c r="V22" s="595"/>
      <c r="W22" s="595"/>
      <c r="X22" s="595"/>
      <c r="Y22" s="595"/>
      <c r="Z22" s="602">
        <v>46212</v>
      </c>
      <c r="AA22" s="603"/>
      <c r="AB22" s="603"/>
      <c r="AC22" s="603"/>
      <c r="AD22" s="603"/>
      <c r="AE22" s="594">
        <v>46213</v>
      </c>
      <c r="AF22" s="595"/>
      <c r="AG22" s="595"/>
      <c r="AH22" s="595"/>
      <c r="AI22" s="595"/>
      <c r="AJ22" s="586">
        <v>46214</v>
      </c>
      <c r="AK22" s="587"/>
      <c r="AL22" s="587"/>
      <c r="AM22" s="587"/>
      <c r="AN22" s="588"/>
      <c r="AO22" s="594">
        <v>46215</v>
      </c>
      <c r="AP22" s="595"/>
      <c r="AQ22" s="595"/>
      <c r="AR22" s="595"/>
      <c r="AS22" s="595"/>
      <c r="AT22" s="586">
        <v>46216</v>
      </c>
      <c r="AU22" s="587"/>
      <c r="AV22" s="587"/>
      <c r="AW22" s="587"/>
      <c r="AX22" s="588"/>
    </row>
    <row r="23" spans="2:50" ht="14.25" customHeight="1">
      <c r="B23" s="611"/>
      <c r="C23" s="611"/>
      <c r="D23" s="611"/>
      <c r="E23" s="611"/>
      <c r="F23" s="611"/>
      <c r="G23" s="611"/>
      <c r="H23" s="611"/>
      <c r="I23" s="611"/>
      <c r="J23" s="611"/>
      <c r="K23" s="611"/>
      <c r="L23" s="611"/>
      <c r="M23" s="612"/>
      <c r="N23" s="614"/>
      <c r="O23" s="614"/>
      <c r="P23" s="589">
        <v>46196</v>
      </c>
      <c r="Q23" s="589"/>
      <c r="R23" s="589"/>
      <c r="S23" s="589"/>
      <c r="T23" s="589"/>
      <c r="U23" s="590">
        <v>46197</v>
      </c>
      <c r="V23" s="590"/>
      <c r="W23" s="590"/>
      <c r="X23" s="590"/>
      <c r="Y23" s="590"/>
      <c r="Z23" s="589">
        <v>46198</v>
      </c>
      <c r="AA23" s="589"/>
      <c r="AB23" s="589"/>
      <c r="AC23" s="589"/>
      <c r="AD23" s="589"/>
      <c r="AE23" s="590">
        <v>46199</v>
      </c>
      <c r="AF23" s="590"/>
      <c r="AG23" s="590"/>
      <c r="AH23" s="590"/>
      <c r="AI23" s="590"/>
      <c r="AJ23" s="591">
        <v>46200</v>
      </c>
      <c r="AK23" s="592"/>
      <c r="AL23" s="592"/>
      <c r="AM23" s="592"/>
      <c r="AN23" s="593"/>
      <c r="AO23" s="590">
        <v>46201</v>
      </c>
      <c r="AP23" s="590"/>
      <c r="AQ23" s="590"/>
      <c r="AR23" s="590"/>
      <c r="AS23" s="590"/>
      <c r="AT23" s="591">
        <v>46202</v>
      </c>
      <c r="AU23" s="592"/>
      <c r="AV23" s="592"/>
      <c r="AW23" s="592"/>
      <c r="AX23" s="593"/>
    </row>
    <row r="24" spans="2:50" ht="14.25" customHeight="1">
      <c r="B24" s="580" t="s">
        <v>162</v>
      </c>
      <c r="C24" s="580" t="s">
        <v>157</v>
      </c>
      <c r="D24" s="580"/>
      <c r="E24" s="580" t="s">
        <v>158</v>
      </c>
      <c r="F24" s="580"/>
      <c r="G24" s="580"/>
      <c r="H24" s="580" t="s">
        <v>163</v>
      </c>
      <c r="I24" s="583" t="s">
        <v>364</v>
      </c>
      <c r="J24" s="583"/>
      <c r="K24" s="583"/>
      <c r="L24" s="583" t="s">
        <v>163</v>
      </c>
      <c r="M24" s="583" t="s">
        <v>165</v>
      </c>
      <c r="N24" s="580"/>
      <c r="O24" s="580" t="s">
        <v>164</v>
      </c>
      <c r="P24" s="580" t="s">
        <v>160</v>
      </c>
      <c r="Q24" s="580"/>
      <c r="R24" s="580"/>
      <c r="S24" s="580"/>
      <c r="T24" s="580" t="s">
        <v>163</v>
      </c>
      <c r="U24" s="580" t="s">
        <v>160</v>
      </c>
      <c r="V24" s="580"/>
      <c r="W24" s="580"/>
      <c r="X24" s="580"/>
      <c r="Y24" s="580" t="s">
        <v>163</v>
      </c>
      <c r="Z24" s="580" t="s">
        <v>160</v>
      </c>
      <c r="AA24" s="580"/>
      <c r="AB24" s="580"/>
      <c r="AC24" s="580"/>
      <c r="AD24" s="580" t="s">
        <v>163</v>
      </c>
      <c r="AE24" s="580" t="s">
        <v>160</v>
      </c>
      <c r="AF24" s="580"/>
      <c r="AG24" s="580"/>
      <c r="AH24" s="580"/>
      <c r="AI24" s="580" t="s">
        <v>163</v>
      </c>
      <c r="AJ24" s="580" t="s">
        <v>160</v>
      </c>
      <c r="AK24" s="580"/>
      <c r="AL24" s="580"/>
      <c r="AM24" s="580"/>
      <c r="AN24" s="580" t="s">
        <v>163</v>
      </c>
      <c r="AO24" s="580" t="s">
        <v>160</v>
      </c>
      <c r="AP24" s="580"/>
      <c r="AQ24" s="580"/>
      <c r="AR24" s="580"/>
      <c r="AS24" s="580" t="s">
        <v>163</v>
      </c>
      <c r="AT24" s="580" t="s">
        <v>160</v>
      </c>
      <c r="AU24" s="580"/>
      <c r="AV24" s="580"/>
      <c r="AW24" s="580"/>
      <c r="AX24" s="580" t="s">
        <v>163</v>
      </c>
    </row>
    <row r="25" spans="2:50" ht="14.25" customHeight="1">
      <c r="B25" s="580"/>
      <c r="C25" s="580"/>
      <c r="D25" s="580"/>
      <c r="E25" s="580" t="s">
        <v>365</v>
      </c>
      <c r="F25" s="580"/>
      <c r="G25" s="580"/>
      <c r="H25" s="580"/>
      <c r="I25" s="583" t="s">
        <v>365</v>
      </c>
      <c r="J25" s="583"/>
      <c r="K25" s="583"/>
      <c r="L25" s="583"/>
      <c r="M25" s="583"/>
      <c r="N25" s="580"/>
      <c r="O25" s="580"/>
      <c r="P25" s="580" t="s">
        <v>366</v>
      </c>
      <c r="Q25" s="580"/>
      <c r="R25" s="580"/>
      <c r="S25" s="580"/>
      <c r="T25" s="580"/>
      <c r="U25" s="580" t="s">
        <v>366</v>
      </c>
      <c r="V25" s="580"/>
      <c r="W25" s="580"/>
      <c r="X25" s="580"/>
      <c r="Y25" s="580"/>
      <c r="Z25" s="580" t="s">
        <v>366</v>
      </c>
      <c r="AA25" s="580"/>
      <c r="AB25" s="580"/>
      <c r="AC25" s="580"/>
      <c r="AD25" s="580"/>
      <c r="AE25" s="580" t="s">
        <v>366</v>
      </c>
      <c r="AF25" s="580"/>
      <c r="AG25" s="580"/>
      <c r="AH25" s="580"/>
      <c r="AI25" s="580"/>
      <c r="AJ25" s="580" t="s">
        <v>366</v>
      </c>
      <c r="AK25" s="580"/>
      <c r="AL25" s="580"/>
      <c r="AM25" s="580"/>
      <c r="AN25" s="580"/>
      <c r="AO25" s="580" t="s">
        <v>366</v>
      </c>
      <c r="AP25" s="580"/>
      <c r="AQ25" s="580"/>
      <c r="AR25" s="580"/>
      <c r="AS25" s="580"/>
      <c r="AT25" s="580" t="s">
        <v>366</v>
      </c>
      <c r="AU25" s="580"/>
      <c r="AV25" s="580"/>
      <c r="AW25" s="580"/>
      <c r="AX25" s="580"/>
    </row>
    <row r="26" spans="2:50" ht="14.25" customHeight="1">
      <c r="B26" s="580"/>
      <c r="C26" s="580"/>
      <c r="D26" s="580"/>
      <c r="E26" s="179" t="s">
        <v>159</v>
      </c>
      <c r="F26" s="179" t="s">
        <v>367</v>
      </c>
      <c r="G26" s="179" t="s">
        <v>161</v>
      </c>
      <c r="H26" s="580"/>
      <c r="I26" s="180" t="s">
        <v>159</v>
      </c>
      <c r="J26" s="180" t="s">
        <v>367</v>
      </c>
      <c r="K26" s="180" t="s">
        <v>161</v>
      </c>
      <c r="L26" s="583"/>
      <c r="M26" s="583"/>
      <c r="N26" s="580"/>
      <c r="O26" s="580"/>
      <c r="P26" s="179" t="s">
        <v>159</v>
      </c>
      <c r="Q26" s="179" t="s">
        <v>367</v>
      </c>
      <c r="R26" s="179" t="s">
        <v>161</v>
      </c>
      <c r="S26" s="181" t="s">
        <v>165</v>
      </c>
      <c r="T26" s="580"/>
      <c r="U26" s="179" t="s">
        <v>159</v>
      </c>
      <c r="V26" s="179" t="s">
        <v>367</v>
      </c>
      <c r="W26" s="179" t="s">
        <v>161</v>
      </c>
      <c r="X26" s="181" t="s">
        <v>165</v>
      </c>
      <c r="Y26" s="580"/>
      <c r="Z26" s="179" t="s">
        <v>159</v>
      </c>
      <c r="AA26" s="179" t="s">
        <v>367</v>
      </c>
      <c r="AB26" s="179" t="s">
        <v>161</v>
      </c>
      <c r="AC26" s="181" t="s">
        <v>165</v>
      </c>
      <c r="AD26" s="580"/>
      <c r="AE26" s="179" t="s">
        <v>159</v>
      </c>
      <c r="AF26" s="179" t="s">
        <v>367</v>
      </c>
      <c r="AG26" s="179" t="s">
        <v>161</v>
      </c>
      <c r="AH26" s="181" t="s">
        <v>165</v>
      </c>
      <c r="AI26" s="580"/>
      <c r="AJ26" s="179" t="s">
        <v>159</v>
      </c>
      <c r="AK26" s="179" t="s">
        <v>367</v>
      </c>
      <c r="AL26" s="179" t="s">
        <v>161</v>
      </c>
      <c r="AM26" s="181" t="s">
        <v>165</v>
      </c>
      <c r="AN26" s="580"/>
      <c r="AO26" s="179" t="s">
        <v>159</v>
      </c>
      <c r="AP26" s="179" t="s">
        <v>367</v>
      </c>
      <c r="AQ26" s="179" t="s">
        <v>161</v>
      </c>
      <c r="AR26" s="181" t="s">
        <v>165</v>
      </c>
      <c r="AS26" s="580"/>
      <c r="AT26" s="179" t="s">
        <v>159</v>
      </c>
      <c r="AU26" s="179" t="s">
        <v>367</v>
      </c>
      <c r="AV26" s="179" t="s">
        <v>161</v>
      </c>
      <c r="AW26" s="181" t="s">
        <v>165</v>
      </c>
      <c r="AX26" s="580"/>
    </row>
    <row r="27" spans="2:50" ht="14.25" customHeight="1">
      <c r="B27" s="580" t="s">
        <v>348</v>
      </c>
      <c r="C27" s="179">
        <v>1</v>
      </c>
      <c r="D27" s="182" t="s">
        <v>342</v>
      </c>
      <c r="E27" s="183">
        <v>24</v>
      </c>
      <c r="F27" s="179">
        <v>2000</v>
      </c>
      <c r="G27" s="184">
        <f t="shared" ref="G27:G35" si="17">IFERROR(F27/E27,"")</f>
        <v>83.333333333333329</v>
      </c>
      <c r="H27" s="581">
        <f>AVERAGE(G27:G41)</f>
        <v>92.565754159957052</v>
      </c>
      <c r="I27" s="185">
        <f>AVERAGE(P27,U27,Z27,AE27,AJ27,AO27,AT27)</f>
        <v>24</v>
      </c>
      <c r="J27" s="185">
        <f>AVERAGE(Q27,V27,AA27,AF27,AK27,AP27,AU27)</f>
        <v>1790.1688728749584</v>
      </c>
      <c r="K27" s="186">
        <f>AVERAGE(R27,W27,AB27,AG27,AL27,AQ27,AV27)</f>
        <v>74.590369703123272</v>
      </c>
      <c r="L27" s="582">
        <f>IFERROR(AVERAGE(K27:K41),"-")</f>
        <v>84.20137513621313</v>
      </c>
      <c r="M27" s="185">
        <f>RANK(K27, K$27:$K$41)</f>
        <v>8</v>
      </c>
      <c r="N27" s="580"/>
      <c r="O27" s="580"/>
      <c r="P27" s="187">
        <v>24</v>
      </c>
      <c r="Q27" s="187">
        <v>1790.7403014463871</v>
      </c>
      <c r="R27" s="184">
        <f>IFERROR(Q27/P27,"")</f>
        <v>74.614179226932791</v>
      </c>
      <c r="S27" s="181">
        <f>RANK(R27, R$27:R$41)</f>
        <v>8</v>
      </c>
      <c r="T27" s="581">
        <f>AVERAGE(R27:R41)</f>
        <v>83.811171966674294</v>
      </c>
      <c r="U27" s="187">
        <v>24</v>
      </c>
      <c r="V27" s="187">
        <v>1790.7403014463871</v>
      </c>
      <c r="W27" s="184">
        <f t="shared" ref="W27:W35" si="18">IFERROR(V27/U27,"")</f>
        <v>74.614179226932791</v>
      </c>
      <c r="X27" s="181">
        <f>RANK(W27, W$27:W$41)</f>
        <v>8</v>
      </c>
      <c r="Y27" s="581">
        <f>AVERAGE(W27:W41)</f>
        <v>83.941827936808124</v>
      </c>
      <c r="Z27" s="187">
        <v>24</v>
      </c>
      <c r="AA27" s="187">
        <v>1790.1403014463872</v>
      </c>
      <c r="AB27" s="184">
        <f>IFERROR(AA27/Z27,"")</f>
        <v>74.589179226932799</v>
      </c>
      <c r="AC27" s="181">
        <f>RANK(AB27, AB$27:AB$41)</f>
        <v>8</v>
      </c>
      <c r="AD27" s="581">
        <f>AVERAGE(AB27:AB41)</f>
        <v>84.058677102420447</v>
      </c>
      <c r="AE27" s="187">
        <v>24</v>
      </c>
      <c r="AF27" s="187">
        <v>1789.7403014463873</v>
      </c>
      <c r="AG27" s="184">
        <f>IFERROR(AF27/AE27,"")</f>
        <v>74.572512560266134</v>
      </c>
      <c r="AH27" s="181">
        <f>RANK(AG27, AG$27:AG$41)</f>
        <v>8</v>
      </c>
      <c r="AI27" s="581">
        <f>AVERAGE(AG27:AG41)</f>
        <v>84.181674165959663</v>
      </c>
      <c r="AJ27" s="187">
        <v>24</v>
      </c>
      <c r="AK27" s="187">
        <v>1789.1403014463874</v>
      </c>
      <c r="AL27" s="184">
        <f>IFERROR(AK27/AJ27,"")</f>
        <v>74.547512560266142</v>
      </c>
      <c r="AM27" s="181">
        <f>RANK(AL27, AL$27:AL$41)</f>
        <v>8</v>
      </c>
      <c r="AN27" s="581">
        <f>AVERAGE(AL27:AL41)</f>
        <v>84.336491204429933</v>
      </c>
      <c r="AO27" s="187">
        <v>24</v>
      </c>
      <c r="AP27" s="187">
        <v>1789.9403014463878</v>
      </c>
      <c r="AQ27" s="184">
        <f>IFERROR(AP27/AO27,"")</f>
        <v>74.580845893599488</v>
      </c>
      <c r="AR27" s="181">
        <f>RANK(AQ27, AQ$27:AQ$41)</f>
        <v>8</v>
      </c>
      <c r="AS27" s="581">
        <f>AVERAGE(AQ27:AQ41)</f>
        <v>84.534378802224111</v>
      </c>
      <c r="AT27" s="187">
        <v>24</v>
      </c>
      <c r="AU27" s="187">
        <v>1790.7403014463875</v>
      </c>
      <c r="AV27" s="184">
        <f>IFERROR(AU27/AT27,"")</f>
        <v>74.614179226932819</v>
      </c>
      <c r="AW27" s="181">
        <f>RANK(AV27, AV$27:AV$41)</f>
        <v>8</v>
      </c>
      <c r="AX27" s="581">
        <f>AVERAGE(AV27:AV41)</f>
        <v>84.545404774975424</v>
      </c>
    </row>
    <row r="28" spans="2:50" ht="14.25" customHeight="1">
      <c r="B28" s="580"/>
      <c r="C28" s="179">
        <v>2</v>
      </c>
      <c r="D28" s="182" t="s">
        <v>809</v>
      </c>
      <c r="E28" s="179">
        <v>21</v>
      </c>
      <c r="F28" s="179">
        <v>1500</v>
      </c>
      <c r="G28" s="184">
        <f t="shared" si="17"/>
        <v>71.428571428571431</v>
      </c>
      <c r="H28" s="581"/>
      <c r="I28" s="185">
        <f t="shared" ref="I28:K35" si="19">AVERAGE(P28,U28,Z28,AE28,AJ28,AO28,AT28)</f>
        <v>21</v>
      </c>
      <c r="J28" s="185">
        <f t="shared" si="19"/>
        <v>1282.5625923806451</v>
      </c>
      <c r="K28" s="186">
        <f t="shared" si="19"/>
        <v>61.074409160983102</v>
      </c>
      <c r="L28" s="582"/>
      <c r="M28" s="185">
        <f>RANK(K28, K$27:$K$41)</f>
        <v>9</v>
      </c>
      <c r="N28" s="580"/>
      <c r="O28" s="580"/>
      <c r="P28" s="187">
        <v>21</v>
      </c>
      <c r="Q28" s="187">
        <v>1209.1838679110585</v>
      </c>
      <c r="R28" s="184">
        <f t="shared" ref="R28:R35" si="20">IFERROR(Q28/P28,"")</f>
        <v>57.580184186240885</v>
      </c>
      <c r="S28" s="181">
        <f t="shared" ref="S28:S35" si="21">RANK(R28, R$27:R$41)</f>
        <v>9</v>
      </c>
      <c r="T28" s="581"/>
      <c r="U28" s="187">
        <v>21</v>
      </c>
      <c r="V28" s="187">
        <v>1232.2140781504118</v>
      </c>
      <c r="W28" s="184">
        <f t="shared" si="18"/>
        <v>58.676860864305318</v>
      </c>
      <c r="X28" s="181">
        <f t="shared" ref="X28:X35" si="22">RANK(W28, W$27:W$41)</f>
        <v>9</v>
      </c>
      <c r="Y28" s="581"/>
      <c r="Z28" s="187">
        <v>21</v>
      </c>
      <c r="AA28" s="187">
        <v>1256.751106683023</v>
      </c>
      <c r="AB28" s="184">
        <f t="shared" ref="AB28:AB35" si="23">IFERROR(AA28/Z28,"")</f>
        <v>59.845290794429665</v>
      </c>
      <c r="AC28" s="181">
        <f t="shared" ref="AC28:AC35" si="24">RANK(AB28, AB$27:AB$41)</f>
        <v>9</v>
      </c>
      <c r="AD28" s="581"/>
      <c r="AE28" s="187">
        <v>21</v>
      </c>
      <c r="AF28" s="187">
        <v>1280.6491719133749</v>
      </c>
      <c r="AG28" s="184">
        <f t="shared" ref="AG28:AG35" si="25">IFERROR(AF28/AE28,"")</f>
        <v>60.983293900636895</v>
      </c>
      <c r="AH28" s="181">
        <f t="shared" ref="AH28:AH35" si="26">RANK(AG28, AG$27:AG$41)</f>
        <v>9</v>
      </c>
      <c r="AI28" s="581"/>
      <c r="AJ28" s="187">
        <v>21</v>
      </c>
      <c r="AK28" s="187">
        <v>1309.2374907349808</v>
      </c>
      <c r="AL28" s="184">
        <f t="shared" ref="AL28:AL35" si="27">IFERROR(AK28/AJ28,"")</f>
        <v>62.344642415951469</v>
      </c>
      <c r="AM28" s="181">
        <f t="shared" ref="AM28:AM35" si="28">RANK(AL28, AL$27:AL$41)</f>
        <v>9</v>
      </c>
      <c r="AN28" s="581"/>
      <c r="AO28" s="187">
        <v>21</v>
      </c>
      <c r="AP28" s="187">
        <v>1344.4063626601101</v>
      </c>
      <c r="AQ28" s="184">
        <f t="shared" ref="AQ28:AQ35" si="29">IFERROR(AP28/AO28,"")</f>
        <v>64.019350602862389</v>
      </c>
      <c r="AR28" s="181">
        <f t="shared" ref="AR28:AR35" si="30">RANK(AQ28, AQ$27:AQ$41)</f>
        <v>9</v>
      </c>
      <c r="AS28" s="581"/>
      <c r="AT28" s="187">
        <v>21</v>
      </c>
      <c r="AU28" s="187">
        <v>1345.4960686115558</v>
      </c>
      <c r="AV28" s="184">
        <f t="shared" ref="AV28:AV35" si="31">IFERROR(AU28/AT28,"")</f>
        <v>64.071241362455041</v>
      </c>
      <c r="AW28" s="181">
        <f t="shared" ref="AW28:AW35" si="32">RANK(AV28, AV$27:AV$41)</f>
        <v>9</v>
      </c>
      <c r="AX28" s="581"/>
    </row>
    <row r="29" spans="2:50" ht="14.25" customHeight="1">
      <c r="B29" s="580"/>
      <c r="C29" s="179">
        <v>3</v>
      </c>
      <c r="D29" s="182" t="s">
        <v>341</v>
      </c>
      <c r="E29" s="179">
        <v>23</v>
      </c>
      <c r="F29" s="179">
        <v>2000</v>
      </c>
      <c r="G29" s="184">
        <f t="shared" si="17"/>
        <v>86.956521739130437</v>
      </c>
      <c r="H29" s="581"/>
      <c r="I29" s="185">
        <f t="shared" si="19"/>
        <v>23</v>
      </c>
      <c r="J29" s="185">
        <f t="shared" si="19"/>
        <v>1789.4606744690827</v>
      </c>
      <c r="K29" s="186">
        <f t="shared" si="19"/>
        <v>77.802638020394923</v>
      </c>
      <c r="L29" s="582"/>
      <c r="M29" s="185">
        <f>RANK(K29, K$27:$K$41)</f>
        <v>7</v>
      </c>
      <c r="N29" s="580"/>
      <c r="O29" s="580"/>
      <c r="P29" s="187">
        <v>23</v>
      </c>
      <c r="Q29" s="187">
        <v>1789.0716658094859</v>
      </c>
      <c r="R29" s="184">
        <f t="shared" si="20"/>
        <v>77.785724600412436</v>
      </c>
      <c r="S29" s="181">
        <f t="shared" si="21"/>
        <v>7</v>
      </c>
      <c r="T29" s="581"/>
      <c r="U29" s="187">
        <v>23</v>
      </c>
      <c r="V29" s="187">
        <v>1789.0716658094861</v>
      </c>
      <c r="W29" s="184">
        <f t="shared" si="18"/>
        <v>77.785724600412436</v>
      </c>
      <c r="X29" s="181">
        <f t="shared" si="22"/>
        <v>7</v>
      </c>
      <c r="Y29" s="581"/>
      <c r="Z29" s="187">
        <v>23</v>
      </c>
      <c r="AA29" s="187">
        <v>1788.0716658094859</v>
      </c>
      <c r="AB29" s="184">
        <f t="shared" si="23"/>
        <v>77.742246339542859</v>
      </c>
      <c r="AC29" s="181">
        <f t="shared" si="24"/>
        <v>7</v>
      </c>
      <c r="AD29" s="581"/>
      <c r="AE29" s="187">
        <v>23</v>
      </c>
      <c r="AF29" s="187">
        <v>1790.2524309637806</v>
      </c>
      <c r="AG29" s="184">
        <f t="shared" si="25"/>
        <v>77.837062215816545</v>
      </c>
      <c r="AH29" s="181">
        <f t="shared" si="26"/>
        <v>7</v>
      </c>
      <c r="AI29" s="581"/>
      <c r="AJ29" s="187">
        <v>23</v>
      </c>
      <c r="AK29" s="187">
        <v>1790.0524309637804</v>
      </c>
      <c r="AL29" s="184">
        <f t="shared" si="27"/>
        <v>77.828366563642618</v>
      </c>
      <c r="AM29" s="181">
        <f t="shared" si="28"/>
        <v>7</v>
      </c>
      <c r="AN29" s="581"/>
      <c r="AO29" s="187">
        <v>23</v>
      </c>
      <c r="AP29" s="187">
        <v>1789.8524309637805</v>
      </c>
      <c r="AQ29" s="184">
        <f t="shared" si="29"/>
        <v>77.81967091146872</v>
      </c>
      <c r="AR29" s="181">
        <f t="shared" si="30"/>
        <v>7</v>
      </c>
      <c r="AS29" s="581"/>
      <c r="AT29" s="187">
        <v>23</v>
      </c>
      <c r="AU29" s="187">
        <v>1789.8524309637805</v>
      </c>
      <c r="AV29" s="184">
        <f t="shared" si="31"/>
        <v>77.81967091146872</v>
      </c>
      <c r="AW29" s="181">
        <f t="shared" si="32"/>
        <v>7</v>
      </c>
      <c r="AX29" s="581"/>
    </row>
    <row r="30" spans="2:50" ht="14.25" customHeight="1">
      <c r="B30" s="580"/>
      <c r="C30" s="179">
        <v>4</v>
      </c>
      <c r="D30" s="182" t="s">
        <v>349</v>
      </c>
      <c r="E30" s="179">
        <v>23</v>
      </c>
      <c r="F30" s="179">
        <v>2000</v>
      </c>
      <c r="G30" s="184">
        <f t="shared" si="17"/>
        <v>86.956521739130437</v>
      </c>
      <c r="H30" s="581"/>
      <c r="I30" s="185">
        <f t="shared" si="19"/>
        <v>23</v>
      </c>
      <c r="J30" s="185">
        <f t="shared" si="19"/>
        <v>1791.4464754263674</v>
      </c>
      <c r="K30" s="186">
        <f t="shared" si="19"/>
        <v>77.888977192450753</v>
      </c>
      <c r="L30" s="582"/>
      <c r="M30" s="185">
        <f>RANK(K30, K$27:$K$41)</f>
        <v>6</v>
      </c>
      <c r="N30" s="580"/>
      <c r="O30" s="580"/>
      <c r="P30" s="187">
        <v>23</v>
      </c>
      <c r="Q30" s="187">
        <v>1791.5607611406531</v>
      </c>
      <c r="R30" s="184">
        <f t="shared" si="20"/>
        <v>77.893946136550127</v>
      </c>
      <c r="S30" s="181">
        <f t="shared" si="21"/>
        <v>6</v>
      </c>
      <c r="T30" s="581"/>
      <c r="U30" s="187">
        <v>23</v>
      </c>
      <c r="V30" s="187">
        <v>1791.5607611406529</v>
      </c>
      <c r="W30" s="184">
        <f t="shared" si="18"/>
        <v>77.893946136550127</v>
      </c>
      <c r="X30" s="181">
        <f t="shared" si="22"/>
        <v>6</v>
      </c>
      <c r="Y30" s="581"/>
      <c r="Z30" s="187">
        <v>23</v>
      </c>
      <c r="AA30" s="187">
        <v>1791.5607611406529</v>
      </c>
      <c r="AB30" s="184">
        <f t="shared" si="23"/>
        <v>77.893946136550127</v>
      </c>
      <c r="AC30" s="181">
        <f t="shared" si="24"/>
        <v>6</v>
      </c>
      <c r="AD30" s="581"/>
      <c r="AE30" s="187">
        <v>23</v>
      </c>
      <c r="AF30" s="187">
        <v>1790.5607611406531</v>
      </c>
      <c r="AG30" s="184">
        <f t="shared" si="25"/>
        <v>77.850467875680565</v>
      </c>
      <c r="AH30" s="181">
        <f t="shared" si="26"/>
        <v>6</v>
      </c>
      <c r="AI30" s="581"/>
      <c r="AJ30" s="187">
        <v>23</v>
      </c>
      <c r="AK30" s="187">
        <v>1791.3607611406526</v>
      </c>
      <c r="AL30" s="184">
        <f t="shared" si="27"/>
        <v>77.885250484376201</v>
      </c>
      <c r="AM30" s="181">
        <f t="shared" si="28"/>
        <v>6</v>
      </c>
      <c r="AN30" s="581"/>
      <c r="AO30" s="187">
        <v>23</v>
      </c>
      <c r="AP30" s="187">
        <v>1791.3607611406526</v>
      </c>
      <c r="AQ30" s="184">
        <f t="shared" si="29"/>
        <v>77.885250484376201</v>
      </c>
      <c r="AR30" s="181">
        <f t="shared" si="30"/>
        <v>6</v>
      </c>
      <c r="AS30" s="581"/>
      <c r="AT30" s="187">
        <v>23</v>
      </c>
      <c r="AU30" s="187">
        <v>1792.1607611406525</v>
      </c>
      <c r="AV30" s="184">
        <f t="shared" si="31"/>
        <v>77.920033093071851</v>
      </c>
      <c r="AW30" s="181">
        <f t="shared" si="32"/>
        <v>6</v>
      </c>
      <c r="AX30" s="581"/>
    </row>
    <row r="31" spans="2:50" ht="14.25" customHeight="1">
      <c r="B31" s="580"/>
      <c r="C31" s="179">
        <v>5</v>
      </c>
      <c r="D31" s="182" t="s">
        <v>343</v>
      </c>
      <c r="E31" s="179">
        <v>23</v>
      </c>
      <c r="F31" s="179">
        <v>2000</v>
      </c>
      <c r="G31" s="184">
        <f t="shared" si="17"/>
        <v>86.956521739130437</v>
      </c>
      <c r="H31" s="581"/>
      <c r="I31" s="185">
        <f t="shared" si="19"/>
        <v>23</v>
      </c>
      <c r="J31" s="185">
        <f t="shared" si="19"/>
        <v>1794.6703985573934</v>
      </c>
      <c r="K31" s="186">
        <f t="shared" si="19"/>
        <v>78.029147763364932</v>
      </c>
      <c r="L31" s="582"/>
      <c r="M31" s="185">
        <f>RANK(K31, K$27:$K$41)</f>
        <v>5</v>
      </c>
      <c r="N31" s="580"/>
      <c r="O31" s="580"/>
      <c r="P31" s="187">
        <v>23</v>
      </c>
      <c r="Q31" s="187">
        <v>1794.6132557002506</v>
      </c>
      <c r="R31" s="184">
        <f t="shared" si="20"/>
        <v>78.026663291315245</v>
      </c>
      <c r="S31" s="181">
        <f t="shared" si="21"/>
        <v>5</v>
      </c>
      <c r="T31" s="581"/>
      <c r="U31" s="187">
        <v>23</v>
      </c>
      <c r="V31" s="187">
        <v>1795.4132557002506</v>
      </c>
      <c r="W31" s="184">
        <f t="shared" si="18"/>
        <v>78.061445900010895</v>
      </c>
      <c r="X31" s="181">
        <f t="shared" si="22"/>
        <v>5</v>
      </c>
      <c r="Y31" s="581"/>
      <c r="Z31" s="187">
        <v>23</v>
      </c>
      <c r="AA31" s="187">
        <v>1794.8132557002505</v>
      </c>
      <c r="AB31" s="184">
        <f t="shared" si="23"/>
        <v>78.035358943489157</v>
      </c>
      <c r="AC31" s="181">
        <f t="shared" si="24"/>
        <v>5</v>
      </c>
      <c r="AD31" s="581"/>
      <c r="AE31" s="187">
        <v>23</v>
      </c>
      <c r="AF31" s="187">
        <v>1793.8132557002507</v>
      </c>
      <c r="AG31" s="184">
        <f t="shared" si="25"/>
        <v>77.991880682619595</v>
      </c>
      <c r="AH31" s="181">
        <f t="shared" si="26"/>
        <v>5</v>
      </c>
      <c r="AI31" s="581"/>
      <c r="AJ31" s="187">
        <v>23</v>
      </c>
      <c r="AK31" s="187">
        <v>1794.0132557002505</v>
      </c>
      <c r="AL31" s="184">
        <f t="shared" si="27"/>
        <v>78.000576334793507</v>
      </c>
      <c r="AM31" s="181">
        <f t="shared" si="28"/>
        <v>5</v>
      </c>
      <c r="AN31" s="581"/>
      <c r="AO31" s="187">
        <v>23</v>
      </c>
      <c r="AP31" s="187">
        <v>1794.6132557002506</v>
      </c>
      <c r="AQ31" s="184">
        <f t="shared" si="29"/>
        <v>78.026663291315245</v>
      </c>
      <c r="AR31" s="181">
        <f t="shared" si="30"/>
        <v>5</v>
      </c>
      <c r="AS31" s="581"/>
      <c r="AT31" s="187">
        <v>23</v>
      </c>
      <c r="AU31" s="187">
        <v>1795.4132557002506</v>
      </c>
      <c r="AV31" s="184">
        <f t="shared" si="31"/>
        <v>78.061445900010895</v>
      </c>
      <c r="AW31" s="181">
        <f t="shared" si="32"/>
        <v>5</v>
      </c>
      <c r="AX31" s="581"/>
    </row>
    <row r="32" spans="2:50" ht="14.25" customHeight="1">
      <c r="B32" s="580"/>
      <c r="C32" s="179">
        <v>6</v>
      </c>
      <c r="D32" s="182" t="s">
        <v>474</v>
      </c>
      <c r="E32" s="179">
        <v>20</v>
      </c>
      <c r="F32" s="179">
        <v>2000</v>
      </c>
      <c r="G32" s="184">
        <f t="shared" si="17"/>
        <v>100</v>
      </c>
      <c r="H32" s="581"/>
      <c r="I32" s="185">
        <f t="shared" si="19"/>
        <v>19</v>
      </c>
      <c r="J32" s="185">
        <f t="shared" si="19"/>
        <v>1790</v>
      </c>
      <c r="K32" s="186">
        <f t="shared" si="19"/>
        <v>94.21052631578948</v>
      </c>
      <c r="L32" s="582"/>
      <c r="M32" s="185">
        <f>RANK(K32, K$27:$K$41)</f>
        <v>3</v>
      </c>
      <c r="N32" s="580"/>
      <c r="O32" s="580"/>
      <c r="P32" s="187">
        <v>19</v>
      </c>
      <c r="Q32" s="187">
        <v>1790</v>
      </c>
      <c r="R32" s="184">
        <f t="shared" si="20"/>
        <v>94.21052631578948</v>
      </c>
      <c r="S32" s="181">
        <f t="shared" si="21"/>
        <v>3</v>
      </c>
      <c r="T32" s="581"/>
      <c r="U32" s="187">
        <v>19</v>
      </c>
      <c r="V32" s="187">
        <v>1790</v>
      </c>
      <c r="W32" s="184">
        <f t="shared" si="18"/>
        <v>94.21052631578948</v>
      </c>
      <c r="X32" s="181">
        <f t="shared" si="22"/>
        <v>3</v>
      </c>
      <c r="Y32" s="581"/>
      <c r="Z32" s="187">
        <v>19</v>
      </c>
      <c r="AA32" s="187">
        <v>1789.9999999999998</v>
      </c>
      <c r="AB32" s="184">
        <f t="shared" si="23"/>
        <v>94.210526315789465</v>
      </c>
      <c r="AC32" s="181">
        <f t="shared" si="24"/>
        <v>3</v>
      </c>
      <c r="AD32" s="581"/>
      <c r="AE32" s="187">
        <v>19</v>
      </c>
      <c r="AF32" s="187">
        <v>1790</v>
      </c>
      <c r="AG32" s="184">
        <f t="shared" si="25"/>
        <v>94.21052631578948</v>
      </c>
      <c r="AH32" s="181">
        <f t="shared" si="26"/>
        <v>3</v>
      </c>
      <c r="AI32" s="581"/>
      <c r="AJ32" s="187">
        <v>19</v>
      </c>
      <c r="AK32" s="187">
        <v>1790</v>
      </c>
      <c r="AL32" s="184">
        <f t="shared" si="27"/>
        <v>94.21052631578948</v>
      </c>
      <c r="AM32" s="181">
        <f t="shared" si="28"/>
        <v>3</v>
      </c>
      <c r="AN32" s="581"/>
      <c r="AO32" s="187">
        <v>19</v>
      </c>
      <c r="AP32" s="187">
        <v>1790</v>
      </c>
      <c r="AQ32" s="184">
        <f t="shared" si="29"/>
        <v>94.21052631578948</v>
      </c>
      <c r="AR32" s="181">
        <f t="shared" si="30"/>
        <v>3</v>
      </c>
      <c r="AS32" s="581"/>
      <c r="AT32" s="187">
        <v>19</v>
      </c>
      <c r="AU32" s="187">
        <v>1790</v>
      </c>
      <c r="AV32" s="184">
        <f t="shared" si="31"/>
        <v>94.21052631578948</v>
      </c>
      <c r="AW32" s="181">
        <f t="shared" si="32"/>
        <v>3</v>
      </c>
      <c r="AX32" s="581"/>
    </row>
    <row r="33" spans="2:50" ht="14.25" customHeight="1">
      <c r="B33" s="580"/>
      <c r="C33" s="179">
        <v>7</v>
      </c>
      <c r="D33" s="182" t="s">
        <v>568</v>
      </c>
      <c r="E33" s="179">
        <v>18</v>
      </c>
      <c r="F33" s="179">
        <v>2000</v>
      </c>
      <c r="G33" s="184">
        <f t="shared" si="17"/>
        <v>111.11111111111111</v>
      </c>
      <c r="H33" s="581"/>
      <c r="I33" s="185">
        <f t="shared" si="19"/>
        <v>17</v>
      </c>
      <c r="J33" s="185">
        <f t="shared" si="19"/>
        <v>1790</v>
      </c>
      <c r="K33" s="186">
        <f t="shared" si="19"/>
        <v>105.29411764705881</v>
      </c>
      <c r="L33" s="582"/>
      <c r="M33" s="185">
        <f>RANK(K33, K$27:$K$41)</f>
        <v>1</v>
      </c>
      <c r="N33" s="580"/>
      <c r="O33" s="580"/>
      <c r="P33" s="187">
        <v>17</v>
      </c>
      <c r="Q33" s="187">
        <v>1790.0000000000002</v>
      </c>
      <c r="R33" s="184">
        <f t="shared" si="20"/>
        <v>105.29411764705884</v>
      </c>
      <c r="S33" s="181">
        <f t="shared" si="21"/>
        <v>1</v>
      </c>
      <c r="T33" s="581"/>
      <c r="U33" s="187">
        <v>17</v>
      </c>
      <c r="V33" s="187">
        <v>1790</v>
      </c>
      <c r="W33" s="184">
        <f t="shared" si="18"/>
        <v>105.29411764705883</v>
      </c>
      <c r="X33" s="181">
        <f t="shared" si="22"/>
        <v>1</v>
      </c>
      <c r="Y33" s="581"/>
      <c r="Z33" s="187">
        <v>17</v>
      </c>
      <c r="AA33" s="187">
        <v>1789.9999999999998</v>
      </c>
      <c r="AB33" s="184">
        <f t="shared" si="23"/>
        <v>105.29411764705881</v>
      </c>
      <c r="AC33" s="181">
        <f t="shared" si="24"/>
        <v>1</v>
      </c>
      <c r="AD33" s="581"/>
      <c r="AE33" s="187">
        <v>17</v>
      </c>
      <c r="AF33" s="187">
        <v>1790.0000000000002</v>
      </c>
      <c r="AG33" s="184">
        <f t="shared" si="25"/>
        <v>105.29411764705884</v>
      </c>
      <c r="AH33" s="181">
        <f t="shared" si="26"/>
        <v>1</v>
      </c>
      <c r="AI33" s="581"/>
      <c r="AJ33" s="187">
        <v>17</v>
      </c>
      <c r="AK33" s="187">
        <v>1790</v>
      </c>
      <c r="AL33" s="184">
        <f t="shared" si="27"/>
        <v>105.29411764705883</v>
      </c>
      <c r="AM33" s="181">
        <f t="shared" si="28"/>
        <v>1</v>
      </c>
      <c r="AN33" s="581"/>
      <c r="AO33" s="187">
        <v>17</v>
      </c>
      <c r="AP33" s="187">
        <v>1790</v>
      </c>
      <c r="AQ33" s="184">
        <f t="shared" si="29"/>
        <v>105.29411764705883</v>
      </c>
      <c r="AR33" s="181">
        <f t="shared" si="30"/>
        <v>1</v>
      </c>
      <c r="AS33" s="581"/>
      <c r="AT33" s="187">
        <v>17</v>
      </c>
      <c r="AU33" s="187">
        <v>1790.0000000000002</v>
      </c>
      <c r="AV33" s="184">
        <f t="shared" si="31"/>
        <v>105.29411764705884</v>
      </c>
      <c r="AW33" s="181">
        <f t="shared" si="32"/>
        <v>1</v>
      </c>
      <c r="AX33" s="581"/>
    </row>
    <row r="34" spans="2:50" ht="14.25" customHeight="1">
      <c r="B34" s="580"/>
      <c r="C34" s="179">
        <v>8</v>
      </c>
      <c r="D34" s="182" t="s">
        <v>673</v>
      </c>
      <c r="E34" s="179">
        <v>18</v>
      </c>
      <c r="F34" s="179">
        <v>2000</v>
      </c>
      <c r="G34" s="184">
        <f t="shared" si="17"/>
        <v>111.11111111111111</v>
      </c>
      <c r="H34" s="581"/>
      <c r="I34" s="185">
        <f t="shared" si="19"/>
        <v>18</v>
      </c>
      <c r="J34" s="185">
        <f t="shared" si="19"/>
        <v>1789.5994276095537</v>
      </c>
      <c r="K34" s="186">
        <f t="shared" si="19"/>
        <v>99.42219042275299</v>
      </c>
      <c r="L34" s="582"/>
      <c r="M34" s="185">
        <f>RANK(K34, K$27:$K$41)</f>
        <v>2</v>
      </c>
      <c r="N34" s="580"/>
      <c r="O34" s="580"/>
      <c r="P34" s="187">
        <v>18</v>
      </c>
      <c r="Q34" s="187">
        <v>1789.1137133238396</v>
      </c>
      <c r="R34" s="184">
        <f t="shared" si="20"/>
        <v>99.395206295768872</v>
      </c>
      <c r="S34" s="181">
        <f t="shared" si="21"/>
        <v>2</v>
      </c>
      <c r="T34" s="581"/>
      <c r="U34" s="187">
        <v>18</v>
      </c>
      <c r="V34" s="187">
        <v>1789.9137133238396</v>
      </c>
      <c r="W34" s="184">
        <f t="shared" si="18"/>
        <v>99.43965074021331</v>
      </c>
      <c r="X34" s="181">
        <f t="shared" si="22"/>
        <v>2</v>
      </c>
      <c r="Y34" s="581"/>
      <c r="Z34" s="187">
        <v>18</v>
      </c>
      <c r="AA34" s="187">
        <v>1789.5137133238395</v>
      </c>
      <c r="AB34" s="184">
        <f t="shared" si="23"/>
        <v>99.417428517991084</v>
      </c>
      <c r="AC34" s="181">
        <f t="shared" si="24"/>
        <v>2</v>
      </c>
      <c r="AD34" s="581"/>
      <c r="AE34" s="187">
        <v>18</v>
      </c>
      <c r="AF34" s="187">
        <v>1789.1137133238394</v>
      </c>
      <c r="AG34" s="184">
        <f t="shared" si="25"/>
        <v>99.395206295768858</v>
      </c>
      <c r="AH34" s="181">
        <f t="shared" si="26"/>
        <v>2</v>
      </c>
      <c r="AI34" s="581"/>
      <c r="AJ34" s="187">
        <v>18</v>
      </c>
      <c r="AK34" s="187">
        <v>1789.5137133238395</v>
      </c>
      <c r="AL34" s="184">
        <f t="shared" si="27"/>
        <v>99.417428517991084</v>
      </c>
      <c r="AM34" s="181">
        <f t="shared" si="28"/>
        <v>2</v>
      </c>
      <c r="AN34" s="581"/>
      <c r="AO34" s="187">
        <v>18</v>
      </c>
      <c r="AP34" s="187">
        <v>1790.5137133238391</v>
      </c>
      <c r="AQ34" s="184">
        <f t="shared" si="29"/>
        <v>99.472984073546613</v>
      </c>
      <c r="AR34" s="181">
        <f t="shared" si="30"/>
        <v>2</v>
      </c>
      <c r="AS34" s="581"/>
      <c r="AT34" s="187">
        <v>18</v>
      </c>
      <c r="AU34" s="187">
        <v>1789.5137133238393</v>
      </c>
      <c r="AV34" s="184">
        <f t="shared" si="31"/>
        <v>99.41742851799107</v>
      </c>
      <c r="AW34" s="181">
        <f t="shared" si="32"/>
        <v>2</v>
      </c>
      <c r="AX34" s="581"/>
    </row>
    <row r="35" spans="2:50" ht="14.25" customHeight="1">
      <c r="B35" s="580"/>
      <c r="C35" s="179">
        <v>9</v>
      </c>
      <c r="D35" s="182" t="s">
        <v>695</v>
      </c>
      <c r="E35" s="179">
        <v>21</v>
      </c>
      <c r="F35" s="179">
        <v>2000</v>
      </c>
      <c r="G35" s="184">
        <f t="shared" si="17"/>
        <v>95.238095238095241</v>
      </c>
      <c r="H35" s="581"/>
      <c r="I35" s="185">
        <f t="shared" si="19"/>
        <v>20</v>
      </c>
      <c r="J35" s="185">
        <f t="shared" si="19"/>
        <v>1790</v>
      </c>
      <c r="K35" s="186">
        <f t="shared" si="19"/>
        <v>89.5</v>
      </c>
      <c r="L35" s="582"/>
      <c r="M35" s="185">
        <f>RANK(K35, K$27:$K$41)</f>
        <v>4</v>
      </c>
      <c r="N35" s="580"/>
      <c r="O35" s="580"/>
      <c r="P35" s="187">
        <v>20</v>
      </c>
      <c r="Q35" s="187">
        <v>1790.0000000000002</v>
      </c>
      <c r="R35" s="184">
        <f t="shared" si="20"/>
        <v>89.500000000000014</v>
      </c>
      <c r="S35" s="181">
        <f t="shared" si="21"/>
        <v>4</v>
      </c>
      <c r="T35" s="581"/>
      <c r="U35" s="187">
        <v>20</v>
      </c>
      <c r="V35" s="187">
        <v>1790.0000000000002</v>
      </c>
      <c r="W35" s="184">
        <f t="shared" si="18"/>
        <v>89.500000000000014</v>
      </c>
      <c r="X35" s="181">
        <f t="shared" si="22"/>
        <v>4</v>
      </c>
      <c r="Y35" s="581"/>
      <c r="Z35" s="187">
        <v>20</v>
      </c>
      <c r="AA35" s="187">
        <v>1789.9999999999998</v>
      </c>
      <c r="AB35" s="184">
        <f t="shared" si="23"/>
        <v>89.499999999999986</v>
      </c>
      <c r="AC35" s="181">
        <f t="shared" si="24"/>
        <v>4</v>
      </c>
      <c r="AD35" s="581"/>
      <c r="AE35" s="187">
        <v>20</v>
      </c>
      <c r="AF35" s="187">
        <v>1790</v>
      </c>
      <c r="AG35" s="184">
        <f t="shared" si="25"/>
        <v>89.5</v>
      </c>
      <c r="AH35" s="181">
        <f t="shared" si="26"/>
        <v>4</v>
      </c>
      <c r="AI35" s="581"/>
      <c r="AJ35" s="187">
        <v>20</v>
      </c>
      <c r="AK35" s="187">
        <v>1789.9999999999998</v>
      </c>
      <c r="AL35" s="184">
        <f t="shared" si="27"/>
        <v>89.499999999999986</v>
      </c>
      <c r="AM35" s="181">
        <f t="shared" si="28"/>
        <v>4</v>
      </c>
      <c r="AN35" s="581"/>
      <c r="AO35" s="187">
        <v>20</v>
      </c>
      <c r="AP35" s="187">
        <v>1790</v>
      </c>
      <c r="AQ35" s="184">
        <f t="shared" si="29"/>
        <v>89.5</v>
      </c>
      <c r="AR35" s="181">
        <f t="shared" si="30"/>
        <v>4</v>
      </c>
      <c r="AS35" s="581"/>
      <c r="AT35" s="187">
        <v>20</v>
      </c>
      <c r="AU35" s="187">
        <v>1790</v>
      </c>
      <c r="AV35" s="184">
        <f t="shared" si="31"/>
        <v>89.5</v>
      </c>
      <c r="AW35" s="181">
        <f t="shared" si="32"/>
        <v>4</v>
      </c>
      <c r="AX35" s="581"/>
    </row>
    <row r="36" spans="2:50" ht="14.25" customHeight="1">
      <c r="B36" s="580"/>
      <c r="C36" s="179">
        <v>10</v>
      </c>
      <c r="D36" s="182"/>
      <c r="E36" s="179"/>
      <c r="F36" s="179"/>
      <c r="G36" s="184"/>
      <c r="H36" s="581"/>
      <c r="I36" s="185"/>
      <c r="J36" s="185"/>
      <c r="K36" s="186"/>
      <c r="L36" s="582"/>
      <c r="M36" s="185"/>
      <c r="N36" s="580"/>
      <c r="O36" s="580"/>
      <c r="P36" s="187"/>
      <c r="Q36" s="187"/>
      <c r="R36" s="184"/>
      <c r="S36" s="181"/>
      <c r="T36" s="581"/>
      <c r="U36" s="187"/>
      <c r="V36" s="187"/>
      <c r="W36" s="184"/>
      <c r="X36" s="181"/>
      <c r="Y36" s="581"/>
      <c r="Z36" s="187"/>
      <c r="AA36" s="187"/>
      <c r="AB36" s="184"/>
      <c r="AC36" s="181"/>
      <c r="AD36" s="581"/>
      <c r="AE36" s="187"/>
      <c r="AF36" s="187"/>
      <c r="AG36" s="184"/>
      <c r="AH36" s="181"/>
      <c r="AI36" s="581"/>
      <c r="AJ36" s="187"/>
      <c r="AK36" s="187"/>
      <c r="AL36" s="184"/>
      <c r="AM36" s="181"/>
      <c r="AN36" s="581"/>
      <c r="AO36" s="187"/>
      <c r="AP36" s="187"/>
      <c r="AQ36" s="184"/>
      <c r="AR36" s="181"/>
      <c r="AS36" s="581"/>
      <c r="AT36" s="187"/>
      <c r="AU36" s="187"/>
      <c r="AV36" s="184"/>
      <c r="AW36" s="181"/>
      <c r="AX36" s="581"/>
    </row>
    <row r="37" spans="2:50" ht="14.25" customHeight="1">
      <c r="B37" s="580"/>
      <c r="C37" s="179">
        <v>11</v>
      </c>
      <c r="D37" s="182"/>
      <c r="E37" s="179"/>
      <c r="F37" s="179"/>
      <c r="G37" s="184"/>
      <c r="H37" s="581"/>
      <c r="I37" s="185"/>
      <c r="J37" s="185"/>
      <c r="K37" s="186"/>
      <c r="L37" s="582"/>
      <c r="M37" s="185"/>
      <c r="N37" s="580"/>
      <c r="O37" s="580"/>
      <c r="P37" s="187"/>
      <c r="Q37" s="187"/>
      <c r="R37" s="184"/>
      <c r="S37" s="181"/>
      <c r="T37" s="581"/>
      <c r="U37" s="187"/>
      <c r="V37" s="187"/>
      <c r="W37" s="184"/>
      <c r="X37" s="181"/>
      <c r="Y37" s="581"/>
      <c r="Z37" s="187"/>
      <c r="AA37" s="187"/>
      <c r="AB37" s="184"/>
      <c r="AC37" s="181"/>
      <c r="AD37" s="581"/>
      <c r="AE37" s="187"/>
      <c r="AF37" s="187"/>
      <c r="AG37" s="184"/>
      <c r="AH37" s="181"/>
      <c r="AI37" s="581"/>
      <c r="AJ37" s="187"/>
      <c r="AK37" s="187"/>
      <c r="AL37" s="184"/>
      <c r="AM37" s="181"/>
      <c r="AN37" s="581"/>
      <c r="AO37" s="187"/>
      <c r="AP37" s="187"/>
      <c r="AQ37" s="184"/>
      <c r="AR37" s="181"/>
      <c r="AS37" s="581"/>
      <c r="AT37" s="187"/>
      <c r="AU37" s="187"/>
      <c r="AV37" s="184"/>
      <c r="AW37" s="181"/>
      <c r="AX37" s="581"/>
    </row>
    <row r="38" spans="2:50" ht="14.25" customHeight="1">
      <c r="B38" s="580"/>
      <c r="C38" s="179">
        <v>12</v>
      </c>
      <c r="D38" s="182"/>
      <c r="E38" s="179"/>
      <c r="F38" s="179"/>
      <c r="G38" s="184"/>
      <c r="H38" s="581"/>
      <c r="I38" s="185"/>
      <c r="J38" s="185"/>
      <c r="K38" s="186"/>
      <c r="L38" s="582"/>
      <c r="M38" s="185"/>
      <c r="N38" s="580"/>
      <c r="O38" s="580"/>
      <c r="P38" s="187"/>
      <c r="Q38" s="187"/>
      <c r="R38" s="184"/>
      <c r="S38" s="181"/>
      <c r="T38" s="581"/>
      <c r="U38" s="187"/>
      <c r="V38" s="187"/>
      <c r="W38" s="184"/>
      <c r="X38" s="181"/>
      <c r="Y38" s="581"/>
      <c r="Z38" s="187"/>
      <c r="AA38" s="187"/>
      <c r="AB38" s="184"/>
      <c r="AC38" s="181"/>
      <c r="AD38" s="581"/>
      <c r="AE38" s="187"/>
      <c r="AF38" s="187"/>
      <c r="AG38" s="184"/>
      <c r="AH38" s="181"/>
      <c r="AI38" s="581"/>
      <c r="AJ38" s="187"/>
      <c r="AK38" s="187"/>
      <c r="AL38" s="184"/>
      <c r="AM38" s="181"/>
      <c r="AN38" s="581"/>
      <c r="AO38" s="187"/>
      <c r="AP38" s="187"/>
      <c r="AQ38" s="184"/>
      <c r="AR38" s="181"/>
      <c r="AS38" s="581"/>
      <c r="AT38" s="187"/>
      <c r="AU38" s="187"/>
      <c r="AV38" s="184"/>
      <c r="AW38" s="181"/>
      <c r="AX38" s="581"/>
    </row>
    <row r="39" spans="2:50" ht="14.25" customHeight="1">
      <c r="B39" s="580"/>
      <c r="C39" s="179">
        <v>13</v>
      </c>
      <c r="D39" s="182"/>
      <c r="E39" s="179"/>
      <c r="F39" s="179"/>
      <c r="G39" s="184"/>
      <c r="H39" s="581"/>
      <c r="I39" s="185"/>
      <c r="J39" s="185"/>
      <c r="K39" s="186"/>
      <c r="L39" s="582"/>
      <c r="M39" s="185"/>
      <c r="N39" s="580"/>
      <c r="O39" s="580"/>
      <c r="P39" s="187"/>
      <c r="Q39" s="187"/>
      <c r="R39" s="184"/>
      <c r="S39" s="181"/>
      <c r="T39" s="581"/>
      <c r="U39" s="187"/>
      <c r="V39" s="187"/>
      <c r="W39" s="184"/>
      <c r="X39" s="181"/>
      <c r="Y39" s="581"/>
      <c r="Z39" s="187"/>
      <c r="AA39" s="187"/>
      <c r="AB39" s="184"/>
      <c r="AC39" s="181"/>
      <c r="AD39" s="581"/>
      <c r="AE39" s="187"/>
      <c r="AF39" s="187"/>
      <c r="AG39" s="184"/>
      <c r="AH39" s="181"/>
      <c r="AI39" s="581"/>
      <c r="AJ39" s="187"/>
      <c r="AK39" s="187"/>
      <c r="AL39" s="184"/>
      <c r="AM39" s="181"/>
      <c r="AN39" s="581"/>
      <c r="AO39" s="187"/>
      <c r="AP39" s="187"/>
      <c r="AQ39" s="184"/>
      <c r="AR39" s="181"/>
      <c r="AS39" s="581"/>
      <c r="AT39" s="187"/>
      <c r="AU39" s="187"/>
      <c r="AV39" s="184"/>
      <c r="AW39" s="181"/>
      <c r="AX39" s="581"/>
    </row>
    <row r="40" spans="2:50" ht="14.25" customHeight="1">
      <c r="B40" s="580"/>
      <c r="C40" s="179">
        <v>14</v>
      </c>
      <c r="D40" s="182"/>
      <c r="E40" s="179"/>
      <c r="F40" s="179"/>
      <c r="G40" s="184"/>
      <c r="H40" s="581"/>
      <c r="I40" s="185"/>
      <c r="J40" s="185"/>
      <c r="K40" s="186"/>
      <c r="L40" s="582"/>
      <c r="M40" s="185"/>
      <c r="N40" s="580"/>
      <c r="O40" s="580"/>
      <c r="P40" s="187"/>
      <c r="Q40" s="187"/>
      <c r="R40" s="184"/>
      <c r="S40" s="181"/>
      <c r="T40" s="581"/>
      <c r="U40" s="187"/>
      <c r="V40" s="187"/>
      <c r="W40" s="184"/>
      <c r="X40" s="181"/>
      <c r="Y40" s="581"/>
      <c r="Z40" s="187"/>
      <c r="AA40" s="187"/>
      <c r="AB40" s="184"/>
      <c r="AC40" s="181"/>
      <c r="AD40" s="581"/>
      <c r="AE40" s="187"/>
      <c r="AF40" s="187"/>
      <c r="AG40" s="184"/>
      <c r="AH40" s="181"/>
      <c r="AI40" s="581"/>
      <c r="AJ40" s="187"/>
      <c r="AK40" s="187"/>
      <c r="AL40" s="184"/>
      <c r="AM40" s="181"/>
      <c r="AN40" s="581"/>
      <c r="AO40" s="187"/>
      <c r="AP40" s="187"/>
      <c r="AQ40" s="184"/>
      <c r="AR40" s="181"/>
      <c r="AS40" s="581"/>
      <c r="AT40" s="187"/>
      <c r="AU40" s="187"/>
      <c r="AV40" s="184"/>
      <c r="AW40" s="181"/>
      <c r="AX40" s="581"/>
    </row>
    <row r="41" spans="2:50" ht="14.25" customHeight="1">
      <c r="B41" s="580"/>
      <c r="C41" s="179">
        <v>15</v>
      </c>
      <c r="D41" s="182"/>
      <c r="E41" s="179"/>
      <c r="F41" s="179"/>
      <c r="G41" s="184"/>
      <c r="H41" s="581"/>
      <c r="I41" s="185"/>
      <c r="J41" s="185"/>
      <c r="K41" s="186"/>
      <c r="L41" s="582"/>
      <c r="M41" s="185"/>
      <c r="N41" s="580"/>
      <c r="O41" s="580"/>
      <c r="P41" s="187"/>
      <c r="Q41" s="187"/>
      <c r="R41" s="184"/>
      <c r="S41" s="181"/>
      <c r="T41" s="581"/>
      <c r="U41" s="187"/>
      <c r="V41" s="187"/>
      <c r="W41" s="184"/>
      <c r="X41" s="181"/>
      <c r="Y41" s="581"/>
      <c r="Z41" s="187"/>
      <c r="AA41" s="187"/>
      <c r="AB41" s="184"/>
      <c r="AC41" s="181"/>
      <c r="AD41" s="581"/>
      <c r="AE41" s="187"/>
      <c r="AF41" s="187"/>
      <c r="AG41" s="184"/>
      <c r="AH41" s="181"/>
      <c r="AI41" s="581"/>
      <c r="AJ41" s="187"/>
      <c r="AK41" s="187"/>
      <c r="AL41" s="184"/>
      <c r="AM41" s="181"/>
      <c r="AN41" s="581"/>
      <c r="AO41" s="187"/>
      <c r="AP41" s="187"/>
      <c r="AQ41" s="184"/>
      <c r="AR41" s="181"/>
      <c r="AS41" s="581"/>
      <c r="AT41" s="187"/>
      <c r="AU41" s="187"/>
      <c r="AV41" s="184"/>
      <c r="AW41" s="181"/>
      <c r="AX41" s="581"/>
    </row>
  </sheetData>
  <mergeCells count="118"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I4:K4"/>
    <mergeCell ref="AT4:AW4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41"/>
  <sheetViews>
    <sheetView zoomScaleNormal="100" workbookViewId="0">
      <pane xSplit="13" ySplit="1" topLeftCell="AI2" activePane="bottomRight" state="frozen"/>
      <selection activeCell="B1" sqref="B1"/>
      <selection pane="topRight" activeCell="B1" sqref="B1"/>
      <selection pane="bottomLeft" activeCell="B1" sqref="B1"/>
      <selection pane="bottomRight" activeCell="AJ2" sqref="AJ2:AN2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68" t="s">
        <v>777</v>
      </c>
      <c r="C1" s="174">
        <f>AVERAGE(L7,L27)</f>
        <v>79.262146513922161</v>
      </c>
    </row>
    <row r="2" spans="1:50" ht="14.25" customHeight="1">
      <c r="B2" s="608" t="s">
        <v>742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10"/>
      <c r="N2" s="613" t="s">
        <v>363</v>
      </c>
      <c r="O2" s="600" t="s">
        <v>105</v>
      </c>
      <c r="P2" s="602">
        <v>46203</v>
      </c>
      <c r="Q2" s="603"/>
      <c r="R2" s="603"/>
      <c r="S2" s="603"/>
      <c r="T2" s="603"/>
      <c r="U2" s="594">
        <v>46204</v>
      </c>
      <c r="V2" s="595"/>
      <c r="W2" s="595"/>
      <c r="X2" s="595"/>
      <c r="Y2" s="595"/>
      <c r="Z2" s="602">
        <v>46205</v>
      </c>
      <c r="AA2" s="603"/>
      <c r="AB2" s="603"/>
      <c r="AC2" s="603"/>
      <c r="AD2" s="603"/>
      <c r="AE2" s="594">
        <v>46206</v>
      </c>
      <c r="AF2" s="595"/>
      <c r="AG2" s="595"/>
      <c r="AH2" s="595"/>
      <c r="AI2" s="595"/>
      <c r="AJ2" s="586">
        <v>46207</v>
      </c>
      <c r="AK2" s="587"/>
      <c r="AL2" s="587"/>
      <c r="AM2" s="587"/>
      <c r="AN2" s="588"/>
      <c r="AO2" s="594">
        <v>46208</v>
      </c>
      <c r="AP2" s="595"/>
      <c r="AQ2" s="595"/>
      <c r="AR2" s="595"/>
      <c r="AS2" s="595"/>
      <c r="AT2" s="586">
        <v>46209</v>
      </c>
      <c r="AU2" s="587"/>
      <c r="AV2" s="587"/>
      <c r="AW2" s="587"/>
      <c r="AX2" s="588"/>
    </row>
    <row r="3" spans="1:50" ht="14.25" customHeight="1"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2"/>
      <c r="N3" s="614"/>
      <c r="O3" s="601"/>
      <c r="P3" s="589">
        <v>46196</v>
      </c>
      <c r="Q3" s="589"/>
      <c r="R3" s="589"/>
      <c r="S3" s="589"/>
      <c r="T3" s="589"/>
      <c r="U3" s="590">
        <v>46197</v>
      </c>
      <c r="V3" s="590"/>
      <c r="W3" s="590"/>
      <c r="X3" s="590"/>
      <c r="Y3" s="590"/>
      <c r="Z3" s="589">
        <v>46198</v>
      </c>
      <c r="AA3" s="589"/>
      <c r="AB3" s="589"/>
      <c r="AC3" s="589"/>
      <c r="AD3" s="589"/>
      <c r="AE3" s="590">
        <v>46199</v>
      </c>
      <c r="AF3" s="590"/>
      <c r="AG3" s="590"/>
      <c r="AH3" s="590"/>
      <c r="AI3" s="590"/>
      <c r="AJ3" s="591">
        <v>46200</v>
      </c>
      <c r="AK3" s="592"/>
      <c r="AL3" s="592"/>
      <c r="AM3" s="592"/>
      <c r="AN3" s="593"/>
      <c r="AO3" s="590">
        <v>46201</v>
      </c>
      <c r="AP3" s="590"/>
      <c r="AQ3" s="590"/>
      <c r="AR3" s="590"/>
      <c r="AS3" s="590"/>
      <c r="AT3" s="591">
        <v>46202</v>
      </c>
      <c r="AU3" s="592"/>
      <c r="AV3" s="592"/>
      <c r="AW3" s="592"/>
      <c r="AX3" s="593"/>
    </row>
    <row r="4" spans="1:50" ht="14.25" customHeight="1">
      <c r="B4" s="580" t="s">
        <v>162</v>
      </c>
      <c r="C4" s="580" t="s">
        <v>157</v>
      </c>
      <c r="D4" s="580"/>
      <c r="E4" s="580" t="s">
        <v>158</v>
      </c>
      <c r="F4" s="580"/>
      <c r="G4" s="580"/>
      <c r="H4" s="580" t="s">
        <v>163</v>
      </c>
      <c r="I4" s="583" t="s">
        <v>364</v>
      </c>
      <c r="J4" s="583"/>
      <c r="K4" s="583"/>
      <c r="L4" s="583" t="s">
        <v>163</v>
      </c>
      <c r="M4" s="583" t="s">
        <v>165</v>
      </c>
      <c r="N4" s="580"/>
      <c r="O4" s="580" t="s">
        <v>164</v>
      </c>
      <c r="P4" s="580" t="s">
        <v>160</v>
      </c>
      <c r="Q4" s="580"/>
      <c r="R4" s="580"/>
      <c r="S4" s="580"/>
      <c r="T4" s="580" t="s">
        <v>163</v>
      </c>
      <c r="U4" s="580" t="s">
        <v>160</v>
      </c>
      <c r="V4" s="580"/>
      <c r="W4" s="580"/>
      <c r="X4" s="580"/>
      <c r="Y4" s="580" t="s">
        <v>163</v>
      </c>
      <c r="Z4" s="580" t="s">
        <v>160</v>
      </c>
      <c r="AA4" s="580"/>
      <c r="AB4" s="580"/>
      <c r="AC4" s="580"/>
      <c r="AD4" s="580" t="s">
        <v>163</v>
      </c>
      <c r="AE4" s="580" t="s">
        <v>160</v>
      </c>
      <c r="AF4" s="580"/>
      <c r="AG4" s="580"/>
      <c r="AH4" s="580"/>
      <c r="AI4" s="580" t="s">
        <v>163</v>
      </c>
      <c r="AJ4" s="580" t="s">
        <v>160</v>
      </c>
      <c r="AK4" s="580"/>
      <c r="AL4" s="580"/>
      <c r="AM4" s="580"/>
      <c r="AN4" s="580" t="s">
        <v>163</v>
      </c>
      <c r="AO4" s="580" t="s">
        <v>160</v>
      </c>
      <c r="AP4" s="580"/>
      <c r="AQ4" s="580"/>
      <c r="AR4" s="580"/>
      <c r="AS4" s="580" t="s">
        <v>163</v>
      </c>
      <c r="AT4" s="580" t="s">
        <v>160</v>
      </c>
      <c r="AU4" s="580"/>
      <c r="AV4" s="580"/>
      <c r="AW4" s="580"/>
      <c r="AX4" s="580" t="s">
        <v>163</v>
      </c>
    </row>
    <row r="5" spans="1:50" ht="14.25" customHeight="1">
      <c r="B5" s="580"/>
      <c r="C5" s="580"/>
      <c r="D5" s="580"/>
      <c r="E5" s="580" t="s">
        <v>365</v>
      </c>
      <c r="F5" s="580"/>
      <c r="G5" s="580"/>
      <c r="H5" s="580"/>
      <c r="I5" s="583" t="s">
        <v>365</v>
      </c>
      <c r="J5" s="583"/>
      <c r="K5" s="583"/>
      <c r="L5" s="583"/>
      <c r="M5" s="583"/>
      <c r="N5" s="580"/>
      <c r="O5" s="580"/>
      <c r="P5" s="580" t="s">
        <v>366</v>
      </c>
      <c r="Q5" s="580"/>
      <c r="R5" s="580"/>
      <c r="S5" s="580"/>
      <c r="T5" s="580"/>
      <c r="U5" s="580" t="s">
        <v>366</v>
      </c>
      <c r="V5" s="580"/>
      <c r="W5" s="580"/>
      <c r="X5" s="580"/>
      <c r="Y5" s="580"/>
      <c r="Z5" s="580" t="s">
        <v>366</v>
      </c>
      <c r="AA5" s="580"/>
      <c r="AB5" s="580"/>
      <c r="AC5" s="580"/>
      <c r="AD5" s="580"/>
      <c r="AE5" s="580" t="s">
        <v>366</v>
      </c>
      <c r="AF5" s="580"/>
      <c r="AG5" s="580"/>
      <c r="AH5" s="580"/>
      <c r="AI5" s="580"/>
      <c r="AJ5" s="580" t="s">
        <v>366</v>
      </c>
      <c r="AK5" s="580"/>
      <c r="AL5" s="580"/>
      <c r="AM5" s="580"/>
      <c r="AN5" s="580"/>
      <c r="AO5" s="580" t="s">
        <v>366</v>
      </c>
      <c r="AP5" s="580"/>
      <c r="AQ5" s="580"/>
      <c r="AR5" s="580"/>
      <c r="AS5" s="580"/>
      <c r="AT5" s="580" t="s">
        <v>366</v>
      </c>
      <c r="AU5" s="580"/>
      <c r="AV5" s="580"/>
      <c r="AW5" s="580"/>
      <c r="AX5" s="580"/>
    </row>
    <row r="6" spans="1:50" ht="14.25" customHeight="1">
      <c r="B6" s="580"/>
      <c r="C6" s="580"/>
      <c r="D6" s="580"/>
      <c r="E6" s="179" t="s">
        <v>159</v>
      </c>
      <c r="F6" s="179" t="s">
        <v>367</v>
      </c>
      <c r="G6" s="179" t="s">
        <v>161</v>
      </c>
      <c r="H6" s="580"/>
      <c r="I6" s="180" t="s">
        <v>159</v>
      </c>
      <c r="J6" s="180" t="s">
        <v>367</v>
      </c>
      <c r="K6" s="180" t="s">
        <v>161</v>
      </c>
      <c r="L6" s="583"/>
      <c r="M6" s="583"/>
      <c r="N6" s="580"/>
      <c r="O6" s="580"/>
      <c r="P6" s="179" t="s">
        <v>159</v>
      </c>
      <c r="Q6" s="179" t="s">
        <v>367</v>
      </c>
      <c r="R6" s="179" t="s">
        <v>161</v>
      </c>
      <c r="S6" s="181" t="s">
        <v>165</v>
      </c>
      <c r="T6" s="580"/>
      <c r="U6" s="179" t="s">
        <v>159</v>
      </c>
      <c r="V6" s="179" t="s">
        <v>367</v>
      </c>
      <c r="W6" s="179" t="s">
        <v>161</v>
      </c>
      <c r="X6" s="181" t="s">
        <v>165</v>
      </c>
      <c r="Y6" s="580"/>
      <c r="Z6" s="179" t="s">
        <v>159</v>
      </c>
      <c r="AA6" s="179" t="s">
        <v>367</v>
      </c>
      <c r="AB6" s="179" t="s">
        <v>161</v>
      </c>
      <c r="AC6" s="181" t="s">
        <v>165</v>
      </c>
      <c r="AD6" s="580"/>
      <c r="AE6" s="179" t="s">
        <v>159</v>
      </c>
      <c r="AF6" s="179" t="s">
        <v>367</v>
      </c>
      <c r="AG6" s="179" t="s">
        <v>161</v>
      </c>
      <c r="AH6" s="181" t="s">
        <v>165</v>
      </c>
      <c r="AI6" s="580"/>
      <c r="AJ6" s="179" t="s">
        <v>159</v>
      </c>
      <c r="AK6" s="179" t="s">
        <v>367</v>
      </c>
      <c r="AL6" s="179" t="s">
        <v>161</v>
      </c>
      <c r="AM6" s="181" t="s">
        <v>165</v>
      </c>
      <c r="AN6" s="580"/>
      <c r="AO6" s="179" t="s">
        <v>159</v>
      </c>
      <c r="AP6" s="179" t="s">
        <v>367</v>
      </c>
      <c r="AQ6" s="179" t="s">
        <v>161</v>
      </c>
      <c r="AR6" s="181" t="s">
        <v>165</v>
      </c>
      <c r="AS6" s="580"/>
      <c r="AT6" s="179" t="s">
        <v>159</v>
      </c>
      <c r="AU6" s="179" t="s">
        <v>367</v>
      </c>
      <c r="AV6" s="179" t="s">
        <v>161</v>
      </c>
      <c r="AW6" s="181" t="s">
        <v>165</v>
      </c>
      <c r="AX6" s="580"/>
    </row>
    <row r="7" spans="1:50" ht="14.25" customHeight="1">
      <c r="B7" s="580" t="s">
        <v>137</v>
      </c>
      <c r="C7" s="179">
        <v>1</v>
      </c>
      <c r="D7" s="182" t="s">
        <v>351</v>
      </c>
      <c r="E7" s="183">
        <v>24</v>
      </c>
      <c r="F7" s="179">
        <v>2000</v>
      </c>
      <c r="G7" s="184">
        <f>IFERROR(F7/E7,"")</f>
        <v>83.333333333333329</v>
      </c>
      <c r="H7" s="581">
        <f>AVERAGE(G7:G21)</f>
        <v>88.540184453227937</v>
      </c>
      <c r="I7" s="185">
        <f>AVERAGE(P7,U7,Z7,AE7,AJ7,AO7,AT7)</f>
        <v>24</v>
      </c>
      <c r="J7" s="185">
        <f>AVERAGE(Q7,V7,AA7,AF7,AK7,AP7,AU7)</f>
        <v>1796.9259582202544</v>
      </c>
      <c r="K7" s="186">
        <f>AVERAGE(R7,W7,AB7,AG7,AL7,AQ7,AV7)</f>
        <v>74.871914925843953</v>
      </c>
      <c r="L7" s="582">
        <f>IFERROR(AVERAGE(K7:K21),"-")</f>
        <v>79.037204816541205</v>
      </c>
      <c r="M7" s="185">
        <f>RANK(K7, K$7:$K$21)</f>
        <v>8</v>
      </c>
      <c r="N7" s="580"/>
      <c r="O7" s="580"/>
      <c r="P7" s="187">
        <v>24</v>
      </c>
      <c r="Q7" s="187">
        <v>1796.011672505969</v>
      </c>
      <c r="R7" s="184">
        <f>IFERROR(Q7/P7,"")</f>
        <v>74.833819687748715</v>
      </c>
      <c r="S7" s="181">
        <f>RANK(R7, R$7:R$21)</f>
        <v>8</v>
      </c>
      <c r="T7" s="581">
        <f>AVERAGE(R7:R21)</f>
        <v>78.648337007525399</v>
      </c>
      <c r="U7" s="187">
        <v>24</v>
      </c>
      <c r="V7" s="187">
        <v>1796.8116725059688</v>
      </c>
      <c r="W7" s="184">
        <f t="shared" ref="W7:W16" si="0">IFERROR(V7/U7,"")</f>
        <v>74.867153021082032</v>
      </c>
      <c r="X7" s="181">
        <f>RANK(W7, W$7:W$21)</f>
        <v>7</v>
      </c>
      <c r="Y7" s="581">
        <f>AVERAGE(W7:W21)</f>
        <v>78.893547613946879</v>
      </c>
      <c r="Z7" s="187">
        <v>24</v>
      </c>
      <c r="AA7" s="187">
        <v>1797.0116725059688</v>
      </c>
      <c r="AB7" s="184">
        <f>IFERROR(AA7/Z7,"")</f>
        <v>74.875486354415372</v>
      </c>
      <c r="AC7" s="181">
        <f>RANK(AB7, AB$7:AB$21)</f>
        <v>7</v>
      </c>
      <c r="AD7" s="581">
        <f>AVERAGE(AB7:AB21)</f>
        <v>79.059555405912704</v>
      </c>
      <c r="AE7" s="187">
        <v>24</v>
      </c>
      <c r="AF7" s="187">
        <v>1797.011672505969</v>
      </c>
      <c r="AG7" s="184">
        <f>IFERROR(AF7/AE7,"")</f>
        <v>74.875486354415372</v>
      </c>
      <c r="AH7" s="181">
        <f>RANK(AG7, AG$7:AG$21)</f>
        <v>7</v>
      </c>
      <c r="AI7" s="581">
        <f>AVERAGE(AG7:AG21)</f>
        <v>79.208369857318004</v>
      </c>
      <c r="AJ7" s="187">
        <v>24</v>
      </c>
      <c r="AK7" s="187">
        <v>1796.6116725059692</v>
      </c>
      <c r="AL7" s="184">
        <f>IFERROR(AK7/AJ7,"")</f>
        <v>74.858819687748721</v>
      </c>
      <c r="AM7" s="181">
        <f>RANK(AL7, AL$7:AL$21)</f>
        <v>7</v>
      </c>
      <c r="AN7" s="581">
        <f>AVERAGE(AL7:AL21)</f>
        <v>79.365109375117171</v>
      </c>
      <c r="AO7" s="187">
        <v>24</v>
      </c>
      <c r="AP7" s="187">
        <v>1797.6116725059692</v>
      </c>
      <c r="AQ7" s="184">
        <f>IFERROR(AP7/AO7,"")</f>
        <v>74.900486354415378</v>
      </c>
      <c r="AR7" s="181">
        <f>RANK(AQ7, AQ$7:AQ$21)</f>
        <v>7</v>
      </c>
      <c r="AS7" s="581">
        <f>AVERAGE(AQ7:AQ21)</f>
        <v>79.448039801749601</v>
      </c>
      <c r="AT7" s="187">
        <v>24</v>
      </c>
      <c r="AU7" s="187">
        <v>1797.4116725059691</v>
      </c>
      <c r="AV7" s="184">
        <f>IFERROR(AU7/AT7,"")</f>
        <v>74.892153021082052</v>
      </c>
      <c r="AW7" s="181">
        <f>RANK(AV7, AV$7:AV$21)</f>
        <v>7</v>
      </c>
      <c r="AX7" s="581">
        <f>AVERAGE(AV7:AV21)</f>
        <v>79.456488681458239</v>
      </c>
    </row>
    <row r="8" spans="1:50" ht="14.25" customHeight="1">
      <c r="B8" s="580"/>
      <c r="C8" s="179">
        <v>2</v>
      </c>
      <c r="D8" s="182" t="s">
        <v>352</v>
      </c>
      <c r="E8" s="179">
        <v>23</v>
      </c>
      <c r="F8" s="179">
        <v>2000</v>
      </c>
      <c r="G8" s="184">
        <f t="shared" ref="G8:G16" si="1">IFERROR(F8/E8,"")</f>
        <v>86.956521739130437</v>
      </c>
      <c r="H8" s="581"/>
      <c r="I8" s="185">
        <f>AVERAGE(P8,U8,Z8,AE8,AJ8,AO8,AT8)</f>
        <v>23</v>
      </c>
      <c r="J8" s="185">
        <f t="shared" ref="J8:K16" si="2">AVERAGE(Q8,V8,AA8,AF8,AK8,AP8,AU8)</f>
        <v>1787.2314929140468</v>
      </c>
      <c r="K8" s="186">
        <f t="shared" si="2"/>
        <v>77.705717083219426</v>
      </c>
      <c r="L8" s="582"/>
      <c r="M8" s="185">
        <f>RANK(K8, K$7:$K$21)</f>
        <v>7</v>
      </c>
      <c r="N8" s="580"/>
      <c r="O8" s="580"/>
      <c r="P8" s="187">
        <v>23</v>
      </c>
      <c r="Q8" s="187">
        <v>1787.1743500569037</v>
      </c>
      <c r="R8" s="184">
        <f t="shared" ref="R8:R16" si="3">IFERROR(Q8/P8,"")</f>
        <v>77.703232611169724</v>
      </c>
      <c r="S8" s="181">
        <f t="shared" ref="S8:S16" si="4">RANK(R8, R$7:R$21)</f>
        <v>7</v>
      </c>
      <c r="T8" s="581"/>
      <c r="U8" s="187">
        <v>23</v>
      </c>
      <c r="V8" s="187">
        <v>1786.1743500569041</v>
      </c>
      <c r="W8" s="184">
        <f t="shared" si="0"/>
        <v>77.659754350300176</v>
      </c>
      <c r="X8" s="181">
        <f t="shared" ref="X8:X16" si="5">RANK(W8, W$7:W$21)</f>
        <v>6</v>
      </c>
      <c r="Y8" s="581"/>
      <c r="Z8" s="187">
        <v>23</v>
      </c>
      <c r="AA8" s="187">
        <v>1787.1743500569041</v>
      </c>
      <c r="AB8" s="184">
        <f t="shared" ref="AB8:AB16" si="6">IFERROR(AA8/Z8,"")</f>
        <v>77.703232611169739</v>
      </c>
      <c r="AC8" s="181">
        <f t="shared" ref="AC8:AC16" si="7">RANK(AB8, AB$7:AB$21)</f>
        <v>6</v>
      </c>
      <c r="AD8" s="581"/>
      <c r="AE8" s="187">
        <v>23</v>
      </c>
      <c r="AF8" s="187">
        <v>1787.1743500569044</v>
      </c>
      <c r="AG8" s="184">
        <f t="shared" ref="AG8:AG16" si="8">IFERROR(AF8/AE8,"")</f>
        <v>77.703232611169753</v>
      </c>
      <c r="AH8" s="181">
        <f t="shared" ref="AH8:AH16" si="9">RANK(AG8, AG$7:AG$21)</f>
        <v>6</v>
      </c>
      <c r="AI8" s="581"/>
      <c r="AJ8" s="187">
        <v>23</v>
      </c>
      <c r="AK8" s="187">
        <v>1787.7743500569038</v>
      </c>
      <c r="AL8" s="184">
        <f t="shared" ref="AL8:AL16" si="10">IFERROR(AK8/AJ8,"")</f>
        <v>77.729319567691476</v>
      </c>
      <c r="AM8" s="181">
        <f t="shared" ref="AM8:AM16" si="11">RANK(AL8, AL$7:AL$21)</f>
        <v>6</v>
      </c>
      <c r="AN8" s="581"/>
      <c r="AO8" s="187">
        <v>23</v>
      </c>
      <c r="AP8" s="187">
        <v>1787.774350056904</v>
      </c>
      <c r="AQ8" s="184">
        <f t="shared" ref="AQ8:AQ16" si="12">IFERROR(AP8/AO8,"")</f>
        <v>77.729319567691476</v>
      </c>
      <c r="AR8" s="181">
        <f t="shared" ref="AR8:AR16" si="13">RANK(AQ8, AQ$7:AQ$21)</f>
        <v>6</v>
      </c>
      <c r="AS8" s="581"/>
      <c r="AT8" s="187">
        <v>23</v>
      </c>
      <c r="AU8" s="187">
        <v>1787.3743500569039</v>
      </c>
      <c r="AV8" s="184">
        <f t="shared" ref="AV8:AV16" si="14">IFERROR(AU8/AT8,"")</f>
        <v>77.711928263343651</v>
      </c>
      <c r="AW8" s="181">
        <f t="shared" ref="AW8:AW16" si="15">RANK(AV8, AV$7:AV$21)</f>
        <v>6</v>
      </c>
      <c r="AX8" s="581"/>
    </row>
    <row r="9" spans="1:50" ht="14.25" customHeight="1">
      <c r="B9" s="580"/>
      <c r="C9" s="179">
        <v>3</v>
      </c>
      <c r="D9" s="182" t="s">
        <v>350</v>
      </c>
      <c r="E9" s="179">
        <v>23</v>
      </c>
      <c r="F9" s="179">
        <v>2000</v>
      </c>
      <c r="G9" s="184">
        <f t="shared" si="1"/>
        <v>86.956521739130437</v>
      </c>
      <c r="H9" s="581"/>
      <c r="I9" s="185">
        <f>AVERAGE(P9,U9,Z9,AE9,AJ9,AO9,AT9)</f>
        <v>23</v>
      </c>
      <c r="J9" s="185">
        <f t="shared" si="2"/>
        <v>1794.9906582798924</v>
      </c>
      <c r="K9" s="186">
        <f t="shared" si="2"/>
        <v>78.043072099125752</v>
      </c>
      <c r="L9" s="582"/>
      <c r="M9" s="185">
        <f>RANK(K9, K$7:$K$21)</f>
        <v>5</v>
      </c>
      <c r="N9" s="580"/>
      <c r="O9" s="580"/>
      <c r="P9" s="187">
        <v>23</v>
      </c>
      <c r="Q9" s="187">
        <v>1796.8192297084638</v>
      </c>
      <c r="R9" s="184">
        <f t="shared" si="3"/>
        <v>78.122575204715815</v>
      </c>
      <c r="S9" s="181">
        <f t="shared" si="4"/>
        <v>4</v>
      </c>
      <c r="T9" s="581"/>
      <c r="U9" s="187">
        <v>23</v>
      </c>
      <c r="V9" s="187">
        <v>1795.8192297084638</v>
      </c>
      <c r="W9" s="184">
        <f t="shared" si="0"/>
        <v>78.079096943846253</v>
      </c>
      <c r="X9" s="181">
        <f t="shared" si="5"/>
        <v>4</v>
      </c>
      <c r="Y9" s="581"/>
      <c r="Z9" s="187">
        <v>23</v>
      </c>
      <c r="AA9" s="187">
        <v>1795.8192297084638</v>
      </c>
      <c r="AB9" s="184">
        <f t="shared" si="6"/>
        <v>78.079096943846253</v>
      </c>
      <c r="AC9" s="181">
        <f t="shared" si="7"/>
        <v>4</v>
      </c>
      <c r="AD9" s="581"/>
      <c r="AE9" s="187">
        <v>23</v>
      </c>
      <c r="AF9" s="187">
        <v>1795.0192297084639</v>
      </c>
      <c r="AG9" s="184">
        <f t="shared" si="8"/>
        <v>78.044314335150602</v>
      </c>
      <c r="AH9" s="181">
        <f t="shared" si="9"/>
        <v>5</v>
      </c>
      <c r="AI9" s="581"/>
      <c r="AJ9" s="187">
        <v>23</v>
      </c>
      <c r="AK9" s="187">
        <v>1794.6192297084638</v>
      </c>
      <c r="AL9" s="184">
        <f t="shared" si="10"/>
        <v>78.026923030802777</v>
      </c>
      <c r="AM9" s="181">
        <f t="shared" si="11"/>
        <v>5</v>
      </c>
      <c r="AN9" s="581"/>
      <c r="AO9" s="187">
        <v>23</v>
      </c>
      <c r="AP9" s="187">
        <v>1793.8192297084638</v>
      </c>
      <c r="AQ9" s="184">
        <f t="shared" si="12"/>
        <v>77.992140422107127</v>
      </c>
      <c r="AR9" s="181">
        <f t="shared" si="13"/>
        <v>5</v>
      </c>
      <c r="AS9" s="581"/>
      <c r="AT9" s="187">
        <v>23</v>
      </c>
      <c r="AU9" s="187">
        <v>1793.0192297084636</v>
      </c>
      <c r="AV9" s="184">
        <f t="shared" si="14"/>
        <v>77.957357813411463</v>
      </c>
      <c r="AW9" s="181">
        <f t="shared" si="15"/>
        <v>5</v>
      </c>
      <c r="AX9" s="581"/>
    </row>
    <row r="10" spans="1:50" ht="14.25" customHeight="1">
      <c r="B10" s="580"/>
      <c r="C10" s="179">
        <v>4</v>
      </c>
      <c r="D10" s="182" t="s">
        <v>434</v>
      </c>
      <c r="E10" s="179">
        <v>23</v>
      </c>
      <c r="F10" s="179">
        <v>2000</v>
      </c>
      <c r="G10" s="184">
        <f t="shared" si="1"/>
        <v>86.956521739130437</v>
      </c>
      <c r="H10" s="581"/>
      <c r="I10" s="185">
        <f t="shared" ref="I10:I16" si="16">AVERAGE(P10,U10,Z10,AE10,AJ10,AO10,AT10)</f>
        <v>23</v>
      </c>
      <c r="J10" s="185">
        <f t="shared" si="2"/>
        <v>1795.6290322028235</v>
      </c>
      <c r="K10" s="186">
        <f t="shared" si="2"/>
        <v>78.070827487079285</v>
      </c>
      <c r="L10" s="582"/>
      <c r="M10" s="185">
        <f>RANK(K10, K$7:$K$21)</f>
        <v>4</v>
      </c>
      <c r="N10" s="580"/>
      <c r="O10" s="580"/>
      <c r="P10" s="187">
        <v>23</v>
      </c>
      <c r="Q10" s="187">
        <v>1794.6576036313952</v>
      </c>
      <c r="R10" s="184">
        <f t="shared" si="3"/>
        <v>78.028591462234573</v>
      </c>
      <c r="S10" s="181">
        <f t="shared" si="4"/>
        <v>5</v>
      </c>
      <c r="T10" s="581"/>
      <c r="U10" s="187">
        <v>23</v>
      </c>
      <c r="V10" s="187">
        <v>1794.4576036313952</v>
      </c>
      <c r="W10" s="184">
        <f t="shared" si="0"/>
        <v>78.01989581006066</v>
      </c>
      <c r="X10" s="181">
        <f t="shared" si="5"/>
        <v>5</v>
      </c>
      <c r="Y10" s="581"/>
      <c r="Z10" s="187">
        <v>23</v>
      </c>
      <c r="AA10" s="187">
        <v>1795.4576036313949</v>
      </c>
      <c r="AB10" s="184">
        <f t="shared" si="6"/>
        <v>78.063374070930209</v>
      </c>
      <c r="AC10" s="181">
        <f t="shared" si="7"/>
        <v>5</v>
      </c>
      <c r="AD10" s="581"/>
      <c r="AE10" s="187">
        <v>23</v>
      </c>
      <c r="AF10" s="187">
        <v>1795.657603631395</v>
      </c>
      <c r="AG10" s="184">
        <f t="shared" si="8"/>
        <v>78.072069723104136</v>
      </c>
      <c r="AH10" s="181">
        <f t="shared" si="9"/>
        <v>4</v>
      </c>
      <c r="AI10" s="581"/>
      <c r="AJ10" s="187">
        <v>23</v>
      </c>
      <c r="AK10" s="187">
        <v>1796.657603631395</v>
      </c>
      <c r="AL10" s="184">
        <f t="shared" si="10"/>
        <v>78.115547983973698</v>
      </c>
      <c r="AM10" s="181">
        <f t="shared" si="11"/>
        <v>4</v>
      </c>
      <c r="AN10" s="581"/>
      <c r="AO10" s="187">
        <v>23</v>
      </c>
      <c r="AP10" s="187">
        <v>1796.2576036313951</v>
      </c>
      <c r="AQ10" s="184">
        <f t="shared" si="12"/>
        <v>78.098156679625873</v>
      </c>
      <c r="AR10" s="181">
        <f t="shared" si="13"/>
        <v>4</v>
      </c>
      <c r="AS10" s="581"/>
      <c r="AT10" s="187">
        <v>23</v>
      </c>
      <c r="AU10" s="187">
        <v>1796.2576036313949</v>
      </c>
      <c r="AV10" s="184">
        <f t="shared" si="14"/>
        <v>78.098156679625859</v>
      </c>
      <c r="AW10" s="181">
        <f t="shared" si="15"/>
        <v>4</v>
      </c>
      <c r="AX10" s="581"/>
    </row>
    <row r="11" spans="1:50" ht="14.25" customHeight="1">
      <c r="B11" s="580"/>
      <c r="C11" s="179">
        <v>5</v>
      </c>
      <c r="D11" s="182" t="s">
        <v>436</v>
      </c>
      <c r="E11" s="179">
        <v>22</v>
      </c>
      <c r="F11" s="179">
        <v>2000</v>
      </c>
      <c r="G11" s="184">
        <f t="shared" si="1"/>
        <v>90.909090909090907</v>
      </c>
      <c r="H11" s="581"/>
      <c r="I11" s="185">
        <f t="shared" si="16"/>
        <v>22</v>
      </c>
      <c r="J11" s="185">
        <f t="shared" si="2"/>
        <v>1788.3167970196664</v>
      </c>
      <c r="K11" s="186">
        <f t="shared" si="2"/>
        <v>81.287127137257571</v>
      </c>
      <c r="L11" s="582"/>
      <c r="M11" s="185">
        <f>RANK(K11, K$7:$K$21)</f>
        <v>3</v>
      </c>
      <c r="N11" s="580"/>
      <c r="O11" s="580"/>
      <c r="P11" s="187">
        <v>22</v>
      </c>
      <c r="Q11" s="187">
        <v>1786.7377198173044</v>
      </c>
      <c r="R11" s="184">
        <f t="shared" si="3"/>
        <v>81.215350900786561</v>
      </c>
      <c r="S11" s="181">
        <f t="shared" si="4"/>
        <v>3</v>
      </c>
      <c r="T11" s="581"/>
      <c r="U11" s="187">
        <v>22</v>
      </c>
      <c r="V11" s="187">
        <v>1786.5377198173044</v>
      </c>
      <c r="W11" s="184">
        <f t="shared" si="0"/>
        <v>81.20625999169566</v>
      </c>
      <c r="X11" s="181">
        <f t="shared" si="5"/>
        <v>3</v>
      </c>
      <c r="Y11" s="581"/>
      <c r="Z11" s="187">
        <v>22</v>
      </c>
      <c r="AA11" s="187">
        <v>1787.3377198173043</v>
      </c>
      <c r="AB11" s="184">
        <f t="shared" si="6"/>
        <v>81.242623628059292</v>
      </c>
      <c r="AC11" s="181">
        <f t="shared" si="7"/>
        <v>3</v>
      </c>
      <c r="AD11" s="581"/>
      <c r="AE11" s="187">
        <v>22</v>
      </c>
      <c r="AF11" s="187">
        <v>1788.1511049214378</v>
      </c>
      <c r="AG11" s="184">
        <f t="shared" si="8"/>
        <v>81.279595678247176</v>
      </c>
      <c r="AH11" s="181">
        <f t="shared" si="9"/>
        <v>3</v>
      </c>
      <c r="AI11" s="581"/>
      <c r="AJ11" s="187">
        <v>22</v>
      </c>
      <c r="AK11" s="187">
        <v>1789.1511049214378</v>
      </c>
      <c r="AL11" s="184">
        <f t="shared" si="10"/>
        <v>81.325050223701723</v>
      </c>
      <c r="AM11" s="181">
        <f t="shared" si="11"/>
        <v>3</v>
      </c>
      <c r="AN11" s="581"/>
      <c r="AO11" s="187">
        <v>22</v>
      </c>
      <c r="AP11" s="187">
        <v>1789.9511049214379</v>
      </c>
      <c r="AQ11" s="184">
        <f t="shared" si="12"/>
        <v>81.361413860065355</v>
      </c>
      <c r="AR11" s="181">
        <f t="shared" si="13"/>
        <v>3</v>
      </c>
      <c r="AS11" s="581"/>
      <c r="AT11" s="187">
        <v>22</v>
      </c>
      <c r="AU11" s="187">
        <v>1790.3511049214378</v>
      </c>
      <c r="AV11" s="184">
        <f t="shared" si="14"/>
        <v>81.379595678247171</v>
      </c>
      <c r="AW11" s="181">
        <f t="shared" si="15"/>
        <v>3</v>
      </c>
      <c r="AX11" s="581"/>
    </row>
    <row r="12" spans="1:50" ht="14.25" customHeight="1">
      <c r="B12" s="580"/>
      <c r="C12" s="179">
        <v>6</v>
      </c>
      <c r="D12" s="182" t="s">
        <v>438</v>
      </c>
      <c r="E12" s="179">
        <v>20</v>
      </c>
      <c r="F12" s="179">
        <v>2000</v>
      </c>
      <c r="G12" s="184">
        <f t="shared" si="1"/>
        <v>100</v>
      </c>
      <c r="H12" s="581"/>
      <c r="I12" s="185">
        <f t="shared" si="16"/>
        <v>20</v>
      </c>
      <c r="J12" s="185">
        <f t="shared" si="2"/>
        <v>1787.2952118528442</v>
      </c>
      <c r="K12" s="186">
        <f t="shared" si="2"/>
        <v>89.364760592642227</v>
      </c>
      <c r="L12" s="582"/>
      <c r="M12" s="185">
        <f>RANK(K12, K$7:$K$21)</f>
        <v>2</v>
      </c>
      <c r="N12" s="580"/>
      <c r="O12" s="580"/>
      <c r="P12" s="187">
        <v>20</v>
      </c>
      <c r="Q12" s="187">
        <v>1788.1672514041902</v>
      </c>
      <c r="R12" s="184">
        <f t="shared" si="3"/>
        <v>89.408362570209505</v>
      </c>
      <c r="S12" s="181">
        <f t="shared" si="4"/>
        <v>2</v>
      </c>
      <c r="T12" s="581"/>
      <c r="U12" s="187">
        <v>20</v>
      </c>
      <c r="V12" s="187">
        <v>1787.1672514041904</v>
      </c>
      <c r="W12" s="184">
        <f t="shared" si="0"/>
        <v>89.358362570209522</v>
      </c>
      <c r="X12" s="181">
        <f t="shared" si="5"/>
        <v>2</v>
      </c>
      <c r="Y12" s="581"/>
      <c r="Z12" s="187">
        <v>20</v>
      </c>
      <c r="AA12" s="187">
        <v>1787.9672514041904</v>
      </c>
      <c r="AB12" s="184">
        <f t="shared" si="6"/>
        <v>89.398362570209514</v>
      </c>
      <c r="AC12" s="181">
        <f t="shared" si="7"/>
        <v>2</v>
      </c>
      <c r="AD12" s="581"/>
      <c r="AE12" s="187">
        <v>20</v>
      </c>
      <c r="AF12" s="187">
        <v>1787.1672514041904</v>
      </c>
      <c r="AG12" s="184">
        <f t="shared" si="8"/>
        <v>89.358362570209522</v>
      </c>
      <c r="AH12" s="181">
        <f t="shared" si="9"/>
        <v>2</v>
      </c>
      <c r="AI12" s="581"/>
      <c r="AJ12" s="187">
        <v>20</v>
      </c>
      <c r="AK12" s="187">
        <v>1786.1672514041907</v>
      </c>
      <c r="AL12" s="184">
        <f t="shared" si="10"/>
        <v>89.308362570209539</v>
      </c>
      <c r="AM12" s="181">
        <f t="shared" si="11"/>
        <v>2</v>
      </c>
      <c r="AN12" s="581"/>
      <c r="AO12" s="187">
        <v>20</v>
      </c>
      <c r="AP12" s="187">
        <v>1786.7672514041908</v>
      </c>
      <c r="AQ12" s="184">
        <f t="shared" si="12"/>
        <v>89.33836257020954</v>
      </c>
      <c r="AR12" s="181">
        <f t="shared" si="13"/>
        <v>2</v>
      </c>
      <c r="AS12" s="581"/>
      <c r="AT12" s="187">
        <v>20</v>
      </c>
      <c r="AU12" s="187">
        <v>1787.6629745447669</v>
      </c>
      <c r="AV12" s="184">
        <f t="shared" si="14"/>
        <v>89.38314872723835</v>
      </c>
      <c r="AW12" s="181">
        <f t="shared" si="15"/>
        <v>2</v>
      </c>
      <c r="AX12" s="581"/>
    </row>
    <row r="13" spans="1:50" ht="14.25" customHeight="1">
      <c r="B13" s="580"/>
      <c r="C13" s="179">
        <v>7</v>
      </c>
      <c r="D13" s="182" t="s">
        <v>353</v>
      </c>
      <c r="E13" s="179">
        <v>23</v>
      </c>
      <c r="F13" s="179">
        <v>2000</v>
      </c>
      <c r="G13" s="184">
        <f t="shared" si="1"/>
        <v>86.956521739130437</v>
      </c>
      <c r="H13" s="581"/>
      <c r="I13" s="185">
        <f t="shared" si="16"/>
        <v>23</v>
      </c>
      <c r="J13" s="185">
        <f t="shared" si="2"/>
        <v>1791.0903867752415</v>
      </c>
      <c r="K13" s="186">
        <f t="shared" si="2"/>
        <v>77.873495077184415</v>
      </c>
      <c r="L13" s="582"/>
      <c r="M13" s="185">
        <f>RANK(K13, K$7:$K$21)</f>
        <v>6</v>
      </c>
      <c r="N13" s="580"/>
      <c r="O13" s="580"/>
      <c r="P13" s="187">
        <v>23</v>
      </c>
      <c r="Q13" s="187">
        <v>1791.0903867752415</v>
      </c>
      <c r="R13" s="184">
        <f t="shared" si="3"/>
        <v>77.873495077184415</v>
      </c>
      <c r="S13" s="181">
        <f t="shared" si="4"/>
        <v>6</v>
      </c>
      <c r="T13" s="581"/>
      <c r="U13" s="187"/>
      <c r="V13" s="187"/>
      <c r="W13" s="184"/>
      <c r="X13" s="181"/>
      <c r="Y13" s="581"/>
      <c r="Z13" s="187"/>
      <c r="AA13" s="187"/>
      <c r="AB13" s="184"/>
      <c r="AC13" s="181"/>
      <c r="AD13" s="581"/>
      <c r="AE13" s="187"/>
      <c r="AF13" s="187"/>
      <c r="AG13" s="184"/>
      <c r="AH13" s="181"/>
      <c r="AI13" s="581"/>
      <c r="AJ13" s="187"/>
      <c r="AK13" s="187"/>
      <c r="AL13" s="184"/>
      <c r="AM13" s="181"/>
      <c r="AN13" s="581"/>
      <c r="AO13" s="187"/>
      <c r="AP13" s="187"/>
      <c r="AQ13" s="184"/>
      <c r="AR13" s="181"/>
      <c r="AS13" s="581"/>
      <c r="AT13" s="187"/>
      <c r="AU13" s="187"/>
      <c r="AV13" s="184"/>
      <c r="AW13" s="181"/>
      <c r="AX13" s="581"/>
    </row>
    <row r="14" spans="1:50" ht="14.25" customHeight="1">
      <c r="B14" s="580"/>
      <c r="C14" s="179">
        <v>8</v>
      </c>
      <c r="D14" s="182" t="s">
        <v>509</v>
      </c>
      <c r="E14" s="179">
        <v>25</v>
      </c>
      <c r="F14" s="179">
        <v>2000</v>
      </c>
      <c r="G14" s="184">
        <f t="shared" si="1"/>
        <v>80</v>
      </c>
      <c r="H14" s="581"/>
      <c r="I14" s="185">
        <f t="shared" si="16"/>
        <v>25</v>
      </c>
      <c r="J14" s="185">
        <f t="shared" si="2"/>
        <v>1788.1971759908881</v>
      </c>
      <c r="K14" s="186">
        <f t="shared" si="2"/>
        <v>71.52788703963553</v>
      </c>
      <c r="L14" s="582"/>
      <c r="M14" s="185">
        <f>RANK(K14, K$7:$K$21)</f>
        <v>10</v>
      </c>
      <c r="N14" s="580"/>
      <c r="O14" s="580"/>
      <c r="P14" s="187">
        <v>25</v>
      </c>
      <c r="Q14" s="187">
        <v>1787.8323683027768</v>
      </c>
      <c r="R14" s="184">
        <f t="shared" si="3"/>
        <v>71.513294732111078</v>
      </c>
      <c r="S14" s="181">
        <f t="shared" si="4"/>
        <v>9</v>
      </c>
      <c r="T14" s="581"/>
      <c r="U14" s="187">
        <v>25</v>
      </c>
      <c r="V14" s="187">
        <v>1788.832368302777</v>
      </c>
      <c r="W14" s="184">
        <f t="shared" si="0"/>
        <v>71.553294732111084</v>
      </c>
      <c r="X14" s="181">
        <f t="shared" si="5"/>
        <v>8</v>
      </c>
      <c r="Y14" s="581"/>
      <c r="Z14" s="187">
        <v>25</v>
      </c>
      <c r="AA14" s="187">
        <v>1788.2323683027771</v>
      </c>
      <c r="AB14" s="184">
        <f t="shared" si="6"/>
        <v>71.529294732111083</v>
      </c>
      <c r="AC14" s="181">
        <f t="shared" si="7"/>
        <v>8</v>
      </c>
      <c r="AD14" s="581"/>
      <c r="AE14" s="187">
        <v>25</v>
      </c>
      <c r="AF14" s="187">
        <v>1787.6323683027767</v>
      </c>
      <c r="AG14" s="184">
        <f t="shared" si="8"/>
        <v>71.505294732111068</v>
      </c>
      <c r="AH14" s="181">
        <f t="shared" si="9"/>
        <v>9</v>
      </c>
      <c r="AI14" s="581"/>
      <c r="AJ14" s="187">
        <v>25</v>
      </c>
      <c r="AK14" s="187">
        <v>1787.0323683027768</v>
      </c>
      <c r="AL14" s="184">
        <f t="shared" si="10"/>
        <v>71.481294732111067</v>
      </c>
      <c r="AM14" s="181">
        <f t="shared" si="11"/>
        <v>9</v>
      </c>
      <c r="AN14" s="581"/>
      <c r="AO14" s="187">
        <v>25</v>
      </c>
      <c r="AP14" s="187">
        <v>1787.4323683027769</v>
      </c>
      <c r="AQ14" s="184">
        <f t="shared" si="12"/>
        <v>71.497294732111072</v>
      </c>
      <c r="AR14" s="181">
        <f t="shared" si="13"/>
        <v>9</v>
      </c>
      <c r="AS14" s="581"/>
      <c r="AT14" s="187">
        <v>25</v>
      </c>
      <c r="AU14" s="187">
        <v>1790.3860221195553</v>
      </c>
      <c r="AV14" s="184">
        <f t="shared" si="14"/>
        <v>71.615440884782217</v>
      </c>
      <c r="AW14" s="181">
        <f t="shared" si="15"/>
        <v>9</v>
      </c>
      <c r="AX14" s="581"/>
    </row>
    <row r="15" spans="1:50" ht="14.25" customHeight="1">
      <c r="B15" s="580"/>
      <c r="C15" s="179">
        <v>9</v>
      </c>
      <c r="D15" s="182" t="s">
        <v>583</v>
      </c>
      <c r="E15" s="179">
        <v>20</v>
      </c>
      <c r="F15" s="179">
        <v>2000</v>
      </c>
      <c r="G15" s="184">
        <f t="shared" si="1"/>
        <v>100</v>
      </c>
      <c r="H15" s="581"/>
      <c r="I15" s="185">
        <f t="shared" si="16"/>
        <v>20</v>
      </c>
      <c r="J15" s="185">
        <f t="shared" si="2"/>
        <v>1791.5170144394017</v>
      </c>
      <c r="K15" s="186">
        <f t="shared" si="2"/>
        <v>89.57585072197007</v>
      </c>
      <c r="L15" s="582"/>
      <c r="M15" s="185">
        <f>RANK(K15, K$7:$K$21)</f>
        <v>1</v>
      </c>
      <c r="N15" s="580"/>
      <c r="O15" s="580"/>
      <c r="P15" s="187">
        <v>20</v>
      </c>
      <c r="Q15" s="187">
        <v>1793.1455858679722</v>
      </c>
      <c r="R15" s="184">
        <f t="shared" si="3"/>
        <v>89.657279293398602</v>
      </c>
      <c r="S15" s="181">
        <f t="shared" si="4"/>
        <v>1</v>
      </c>
      <c r="T15" s="581"/>
      <c r="U15" s="187">
        <v>20</v>
      </c>
      <c r="V15" s="187">
        <v>1792.5455858679722</v>
      </c>
      <c r="W15" s="184">
        <f t="shared" si="0"/>
        <v>89.627279293398615</v>
      </c>
      <c r="X15" s="181">
        <f t="shared" si="5"/>
        <v>1</v>
      </c>
      <c r="Y15" s="581"/>
      <c r="Z15" s="187">
        <v>20</v>
      </c>
      <c r="AA15" s="187">
        <v>1791.9455858679728</v>
      </c>
      <c r="AB15" s="184">
        <f t="shared" si="6"/>
        <v>89.597279293398643</v>
      </c>
      <c r="AC15" s="181">
        <f t="shared" si="7"/>
        <v>1</v>
      </c>
      <c r="AD15" s="581"/>
      <c r="AE15" s="187">
        <v>20</v>
      </c>
      <c r="AF15" s="187">
        <v>1791.5455858679732</v>
      </c>
      <c r="AG15" s="184">
        <f t="shared" si="8"/>
        <v>89.577279293398661</v>
      </c>
      <c r="AH15" s="181">
        <f t="shared" si="9"/>
        <v>1</v>
      </c>
      <c r="AI15" s="581"/>
      <c r="AJ15" s="187">
        <v>20</v>
      </c>
      <c r="AK15" s="187">
        <v>1791.1455858679733</v>
      </c>
      <c r="AL15" s="184">
        <f t="shared" si="10"/>
        <v>89.557279293398665</v>
      </c>
      <c r="AM15" s="181">
        <f t="shared" si="11"/>
        <v>1</v>
      </c>
      <c r="AN15" s="581"/>
      <c r="AO15" s="187">
        <v>20</v>
      </c>
      <c r="AP15" s="187">
        <v>1790.3455858679733</v>
      </c>
      <c r="AQ15" s="184">
        <f t="shared" si="12"/>
        <v>89.517279293398673</v>
      </c>
      <c r="AR15" s="181">
        <f t="shared" si="13"/>
        <v>1</v>
      </c>
      <c r="AS15" s="581"/>
      <c r="AT15" s="187">
        <v>20</v>
      </c>
      <c r="AU15" s="187">
        <v>1789.9455858679735</v>
      </c>
      <c r="AV15" s="184">
        <f t="shared" si="14"/>
        <v>89.497279293398677</v>
      </c>
      <c r="AW15" s="181">
        <f t="shared" si="15"/>
        <v>1</v>
      </c>
      <c r="AX15" s="581"/>
    </row>
    <row r="16" spans="1:50" ht="14.25" customHeight="1">
      <c r="B16" s="580"/>
      <c r="C16" s="179">
        <v>10</v>
      </c>
      <c r="D16" s="182" t="s">
        <v>743</v>
      </c>
      <c r="E16" s="179">
        <v>24</v>
      </c>
      <c r="F16" s="179">
        <v>2000</v>
      </c>
      <c r="G16" s="184">
        <f t="shared" si="1"/>
        <v>83.333333333333329</v>
      </c>
      <c r="H16" s="581"/>
      <c r="I16" s="185">
        <f t="shared" si="16"/>
        <v>24</v>
      </c>
      <c r="J16" s="185">
        <f t="shared" si="2"/>
        <v>1729.233504034891</v>
      </c>
      <c r="K16" s="186">
        <f t="shared" si="2"/>
        <v>72.051396001453796</v>
      </c>
      <c r="L16" s="582"/>
      <c r="M16" s="185">
        <f>RANK(K16, K$7:$K$21)</f>
        <v>9</v>
      </c>
      <c r="N16" s="580"/>
      <c r="O16" s="580"/>
      <c r="P16" s="187">
        <v>24</v>
      </c>
      <c r="Q16" s="187">
        <v>1635.056844856681</v>
      </c>
      <c r="R16" s="184">
        <f t="shared" si="3"/>
        <v>68.127368535695041</v>
      </c>
      <c r="S16" s="181">
        <f t="shared" si="4"/>
        <v>10</v>
      </c>
      <c r="T16" s="581"/>
      <c r="U16" s="187">
        <v>24</v>
      </c>
      <c r="V16" s="187">
        <v>1672.0999635076303</v>
      </c>
      <c r="W16" s="184">
        <f t="shared" si="0"/>
        <v>69.670831812817923</v>
      </c>
      <c r="X16" s="181">
        <f t="shared" si="5"/>
        <v>9</v>
      </c>
      <c r="Y16" s="581"/>
      <c r="Z16" s="187">
        <v>24</v>
      </c>
      <c r="AA16" s="187">
        <v>1705.1339627777829</v>
      </c>
      <c r="AB16" s="184">
        <f t="shared" si="6"/>
        <v>71.047248449074289</v>
      </c>
      <c r="AC16" s="181">
        <f t="shared" si="7"/>
        <v>9</v>
      </c>
      <c r="AD16" s="581"/>
      <c r="AE16" s="187">
        <v>24</v>
      </c>
      <c r="AF16" s="187">
        <v>1739.0326420333386</v>
      </c>
      <c r="AG16" s="184">
        <f t="shared" si="8"/>
        <v>72.459693418055778</v>
      </c>
      <c r="AH16" s="181">
        <f t="shared" si="9"/>
        <v>8</v>
      </c>
      <c r="AI16" s="581"/>
      <c r="AJ16" s="187">
        <v>24</v>
      </c>
      <c r="AK16" s="187">
        <v>1773.2012948740057</v>
      </c>
      <c r="AL16" s="184">
        <f t="shared" si="10"/>
        <v>73.883387286416905</v>
      </c>
      <c r="AM16" s="181">
        <f t="shared" si="11"/>
        <v>8</v>
      </c>
      <c r="AN16" s="581"/>
      <c r="AO16" s="187">
        <v>24</v>
      </c>
      <c r="AP16" s="187">
        <v>1790.3497136669271</v>
      </c>
      <c r="AQ16" s="184">
        <f t="shared" si="12"/>
        <v>74.597904736121961</v>
      </c>
      <c r="AR16" s="181">
        <f t="shared" si="13"/>
        <v>8</v>
      </c>
      <c r="AS16" s="581"/>
      <c r="AT16" s="187">
        <v>24</v>
      </c>
      <c r="AU16" s="187">
        <v>1789.7601065278723</v>
      </c>
      <c r="AV16" s="184">
        <f t="shared" si="14"/>
        <v>74.573337771994673</v>
      </c>
      <c r="AW16" s="181">
        <f t="shared" si="15"/>
        <v>8</v>
      </c>
      <c r="AX16" s="581"/>
    </row>
    <row r="17" spans="2:50" ht="14.25" customHeight="1">
      <c r="B17" s="580"/>
      <c r="C17" s="179">
        <v>11</v>
      </c>
      <c r="D17" s="182"/>
      <c r="E17" s="179"/>
      <c r="F17" s="179"/>
      <c r="G17" s="184"/>
      <c r="H17" s="581"/>
      <c r="I17" s="185"/>
      <c r="J17" s="185"/>
      <c r="K17" s="186"/>
      <c r="L17" s="582"/>
      <c r="M17" s="185"/>
      <c r="N17" s="580"/>
      <c r="O17" s="580"/>
      <c r="P17" s="187"/>
      <c r="Q17" s="187"/>
      <c r="R17" s="184"/>
      <c r="S17" s="181"/>
      <c r="T17" s="581"/>
      <c r="U17" s="187"/>
      <c r="V17" s="187"/>
      <c r="W17" s="184"/>
      <c r="X17" s="181"/>
      <c r="Y17" s="581"/>
      <c r="Z17" s="187"/>
      <c r="AA17" s="187"/>
      <c r="AB17" s="184"/>
      <c r="AC17" s="181"/>
      <c r="AD17" s="581"/>
      <c r="AE17" s="187"/>
      <c r="AF17" s="187"/>
      <c r="AG17" s="184"/>
      <c r="AH17" s="181"/>
      <c r="AI17" s="581"/>
      <c r="AJ17" s="187"/>
      <c r="AK17" s="187"/>
      <c r="AL17" s="184"/>
      <c r="AM17" s="181"/>
      <c r="AN17" s="581"/>
      <c r="AO17" s="187"/>
      <c r="AP17" s="187"/>
      <c r="AQ17" s="184"/>
      <c r="AR17" s="181"/>
      <c r="AS17" s="581"/>
      <c r="AT17" s="187"/>
      <c r="AU17" s="187"/>
      <c r="AV17" s="184"/>
      <c r="AW17" s="181"/>
      <c r="AX17" s="581"/>
    </row>
    <row r="18" spans="2:50" ht="14.25" customHeight="1">
      <c r="B18" s="580"/>
      <c r="C18" s="179">
        <v>12</v>
      </c>
      <c r="D18" s="182"/>
      <c r="E18" s="179"/>
      <c r="F18" s="179"/>
      <c r="G18" s="184"/>
      <c r="H18" s="581"/>
      <c r="I18" s="185"/>
      <c r="J18" s="185"/>
      <c r="K18" s="186"/>
      <c r="L18" s="582"/>
      <c r="M18" s="185"/>
      <c r="N18" s="580"/>
      <c r="O18" s="580"/>
      <c r="P18" s="187"/>
      <c r="Q18" s="187"/>
      <c r="R18" s="184"/>
      <c r="S18" s="181"/>
      <c r="T18" s="581"/>
      <c r="U18" s="187"/>
      <c r="V18" s="187"/>
      <c r="W18" s="184"/>
      <c r="X18" s="181"/>
      <c r="Y18" s="581"/>
      <c r="Z18" s="187"/>
      <c r="AA18" s="187"/>
      <c r="AB18" s="184"/>
      <c r="AC18" s="181"/>
      <c r="AD18" s="581"/>
      <c r="AE18" s="187"/>
      <c r="AF18" s="187"/>
      <c r="AG18" s="184"/>
      <c r="AH18" s="181"/>
      <c r="AI18" s="581"/>
      <c r="AJ18" s="187"/>
      <c r="AK18" s="187"/>
      <c r="AL18" s="184"/>
      <c r="AM18" s="181"/>
      <c r="AN18" s="581"/>
      <c r="AO18" s="187"/>
      <c r="AP18" s="187"/>
      <c r="AQ18" s="184"/>
      <c r="AR18" s="181"/>
      <c r="AS18" s="581"/>
      <c r="AT18" s="187"/>
      <c r="AU18" s="187"/>
      <c r="AV18" s="184"/>
      <c r="AW18" s="181"/>
      <c r="AX18" s="581"/>
    </row>
    <row r="19" spans="2:50" ht="14.25" customHeight="1">
      <c r="B19" s="580"/>
      <c r="C19" s="179">
        <v>13</v>
      </c>
      <c r="D19" s="182"/>
      <c r="E19" s="179"/>
      <c r="F19" s="179"/>
      <c r="G19" s="184"/>
      <c r="H19" s="581"/>
      <c r="I19" s="185"/>
      <c r="J19" s="185"/>
      <c r="K19" s="186"/>
      <c r="L19" s="582"/>
      <c r="M19" s="185"/>
      <c r="N19" s="580"/>
      <c r="O19" s="580"/>
      <c r="P19" s="187"/>
      <c r="Q19" s="187"/>
      <c r="R19" s="184"/>
      <c r="S19" s="181"/>
      <c r="T19" s="581"/>
      <c r="U19" s="187"/>
      <c r="V19" s="187"/>
      <c r="W19" s="184"/>
      <c r="X19" s="181"/>
      <c r="Y19" s="581"/>
      <c r="Z19" s="187"/>
      <c r="AA19" s="187"/>
      <c r="AB19" s="184"/>
      <c r="AC19" s="181"/>
      <c r="AD19" s="581"/>
      <c r="AE19" s="187"/>
      <c r="AF19" s="187"/>
      <c r="AG19" s="184"/>
      <c r="AH19" s="181"/>
      <c r="AI19" s="581"/>
      <c r="AJ19" s="187"/>
      <c r="AK19" s="187"/>
      <c r="AL19" s="184"/>
      <c r="AM19" s="181"/>
      <c r="AN19" s="581"/>
      <c r="AO19" s="187"/>
      <c r="AP19" s="187"/>
      <c r="AQ19" s="184"/>
      <c r="AR19" s="181"/>
      <c r="AS19" s="581"/>
      <c r="AT19" s="187"/>
      <c r="AU19" s="187"/>
      <c r="AV19" s="184"/>
      <c r="AW19" s="181"/>
      <c r="AX19" s="581"/>
    </row>
    <row r="20" spans="2:50" ht="14.25" customHeight="1">
      <c r="B20" s="580"/>
      <c r="C20" s="179">
        <v>14</v>
      </c>
      <c r="D20" s="182"/>
      <c r="E20" s="179"/>
      <c r="F20" s="179"/>
      <c r="G20" s="184"/>
      <c r="H20" s="581"/>
      <c r="I20" s="185"/>
      <c r="J20" s="185"/>
      <c r="K20" s="186"/>
      <c r="L20" s="582"/>
      <c r="M20" s="185"/>
      <c r="N20" s="580"/>
      <c r="O20" s="580"/>
      <c r="P20" s="187"/>
      <c r="Q20" s="187"/>
      <c r="R20" s="184"/>
      <c r="S20" s="181"/>
      <c r="T20" s="581"/>
      <c r="U20" s="187"/>
      <c r="V20" s="187"/>
      <c r="W20" s="184"/>
      <c r="X20" s="181"/>
      <c r="Y20" s="581"/>
      <c r="Z20" s="187"/>
      <c r="AA20" s="187"/>
      <c r="AB20" s="184"/>
      <c r="AC20" s="181"/>
      <c r="AD20" s="581"/>
      <c r="AE20" s="187"/>
      <c r="AF20" s="187"/>
      <c r="AG20" s="184"/>
      <c r="AH20" s="181"/>
      <c r="AI20" s="581"/>
      <c r="AJ20" s="187"/>
      <c r="AK20" s="187"/>
      <c r="AL20" s="184"/>
      <c r="AM20" s="181"/>
      <c r="AN20" s="581"/>
      <c r="AO20" s="187"/>
      <c r="AP20" s="187"/>
      <c r="AQ20" s="184"/>
      <c r="AR20" s="181"/>
      <c r="AS20" s="581"/>
      <c r="AT20" s="187"/>
      <c r="AU20" s="187"/>
      <c r="AV20" s="184"/>
      <c r="AW20" s="181"/>
      <c r="AX20" s="581"/>
    </row>
    <row r="21" spans="2:50" ht="14.25" customHeight="1">
      <c r="B21" s="580"/>
      <c r="C21" s="179">
        <v>15</v>
      </c>
      <c r="D21" s="182"/>
      <c r="E21" s="179"/>
      <c r="F21" s="179"/>
      <c r="G21" s="184"/>
      <c r="H21" s="581"/>
      <c r="I21" s="185"/>
      <c r="J21" s="185"/>
      <c r="K21" s="186"/>
      <c r="L21" s="582"/>
      <c r="M21" s="185"/>
      <c r="N21" s="580"/>
      <c r="O21" s="580"/>
      <c r="P21" s="187"/>
      <c r="Q21" s="187"/>
      <c r="R21" s="184"/>
      <c r="S21" s="181"/>
      <c r="T21" s="581"/>
      <c r="U21" s="187"/>
      <c r="V21" s="187"/>
      <c r="W21" s="184"/>
      <c r="X21" s="181"/>
      <c r="Y21" s="581"/>
      <c r="Z21" s="187"/>
      <c r="AA21" s="187"/>
      <c r="AB21" s="184"/>
      <c r="AC21" s="181"/>
      <c r="AD21" s="581"/>
      <c r="AE21" s="187"/>
      <c r="AF21" s="187"/>
      <c r="AG21" s="184"/>
      <c r="AH21" s="181"/>
      <c r="AI21" s="581"/>
      <c r="AJ21" s="187"/>
      <c r="AK21" s="187"/>
      <c r="AL21" s="184"/>
      <c r="AM21" s="181"/>
      <c r="AN21" s="581"/>
      <c r="AO21" s="187"/>
      <c r="AP21" s="187"/>
      <c r="AQ21" s="184"/>
      <c r="AR21" s="181"/>
      <c r="AS21" s="581"/>
      <c r="AT21" s="187"/>
      <c r="AU21" s="187"/>
      <c r="AV21" s="184"/>
      <c r="AW21" s="181"/>
      <c r="AX21" s="581"/>
    </row>
    <row r="22" spans="2:50" ht="14.25" customHeight="1">
      <c r="B22" s="608" t="s">
        <v>807</v>
      </c>
      <c r="C22" s="609"/>
      <c r="D22" s="609"/>
      <c r="E22" s="609"/>
      <c r="F22" s="609"/>
      <c r="G22" s="609"/>
      <c r="H22" s="609"/>
      <c r="I22" s="609"/>
      <c r="J22" s="609"/>
      <c r="K22" s="609"/>
      <c r="L22" s="609"/>
      <c r="M22" s="610"/>
      <c r="N22" s="613" t="s">
        <v>363</v>
      </c>
      <c r="O22" s="613" t="s">
        <v>105</v>
      </c>
      <c r="P22" s="602">
        <v>46210</v>
      </c>
      <c r="Q22" s="603"/>
      <c r="R22" s="603"/>
      <c r="S22" s="603"/>
      <c r="T22" s="603"/>
      <c r="U22" s="594">
        <v>46211</v>
      </c>
      <c r="V22" s="595"/>
      <c r="W22" s="595"/>
      <c r="X22" s="595"/>
      <c r="Y22" s="595"/>
      <c r="Z22" s="602">
        <v>46212</v>
      </c>
      <c r="AA22" s="603"/>
      <c r="AB22" s="603"/>
      <c r="AC22" s="603"/>
      <c r="AD22" s="603"/>
      <c r="AE22" s="594">
        <v>46213</v>
      </c>
      <c r="AF22" s="595"/>
      <c r="AG22" s="595"/>
      <c r="AH22" s="595"/>
      <c r="AI22" s="595"/>
      <c r="AJ22" s="586">
        <v>46214</v>
      </c>
      <c r="AK22" s="587"/>
      <c r="AL22" s="587"/>
      <c r="AM22" s="587"/>
      <c r="AN22" s="588"/>
      <c r="AO22" s="594">
        <v>46215</v>
      </c>
      <c r="AP22" s="595"/>
      <c r="AQ22" s="595"/>
      <c r="AR22" s="595"/>
      <c r="AS22" s="595"/>
      <c r="AT22" s="586">
        <v>46216</v>
      </c>
      <c r="AU22" s="587"/>
      <c r="AV22" s="587"/>
      <c r="AW22" s="587"/>
      <c r="AX22" s="588"/>
    </row>
    <row r="23" spans="2:50" ht="14.25" customHeight="1">
      <c r="B23" s="611"/>
      <c r="C23" s="611"/>
      <c r="D23" s="611"/>
      <c r="E23" s="611"/>
      <c r="F23" s="611"/>
      <c r="G23" s="611"/>
      <c r="H23" s="611"/>
      <c r="I23" s="611"/>
      <c r="J23" s="611"/>
      <c r="K23" s="611"/>
      <c r="L23" s="611"/>
      <c r="M23" s="612"/>
      <c r="N23" s="614"/>
      <c r="O23" s="614"/>
      <c r="P23" s="589">
        <v>46196</v>
      </c>
      <c r="Q23" s="589"/>
      <c r="R23" s="589"/>
      <c r="S23" s="589"/>
      <c r="T23" s="589"/>
      <c r="U23" s="590">
        <v>46197</v>
      </c>
      <c r="V23" s="590"/>
      <c r="W23" s="590"/>
      <c r="X23" s="590"/>
      <c r="Y23" s="590"/>
      <c r="Z23" s="589">
        <v>46198</v>
      </c>
      <c r="AA23" s="589"/>
      <c r="AB23" s="589"/>
      <c r="AC23" s="589"/>
      <c r="AD23" s="589"/>
      <c r="AE23" s="590">
        <v>46199</v>
      </c>
      <c r="AF23" s="590"/>
      <c r="AG23" s="590"/>
      <c r="AH23" s="590"/>
      <c r="AI23" s="590"/>
      <c r="AJ23" s="591">
        <v>46200</v>
      </c>
      <c r="AK23" s="592"/>
      <c r="AL23" s="592"/>
      <c r="AM23" s="592"/>
      <c r="AN23" s="593"/>
      <c r="AO23" s="590">
        <v>46201</v>
      </c>
      <c r="AP23" s="590"/>
      <c r="AQ23" s="590"/>
      <c r="AR23" s="590"/>
      <c r="AS23" s="590"/>
      <c r="AT23" s="591">
        <v>46202</v>
      </c>
      <c r="AU23" s="592"/>
      <c r="AV23" s="592"/>
      <c r="AW23" s="592"/>
      <c r="AX23" s="593"/>
    </row>
    <row r="24" spans="2:50" ht="14.25" customHeight="1">
      <c r="B24" s="580" t="s">
        <v>162</v>
      </c>
      <c r="C24" s="580" t="s">
        <v>157</v>
      </c>
      <c r="D24" s="580"/>
      <c r="E24" s="580" t="s">
        <v>158</v>
      </c>
      <c r="F24" s="580"/>
      <c r="G24" s="580"/>
      <c r="H24" s="580" t="s">
        <v>163</v>
      </c>
      <c r="I24" s="583" t="s">
        <v>364</v>
      </c>
      <c r="J24" s="583"/>
      <c r="K24" s="583"/>
      <c r="L24" s="583" t="s">
        <v>163</v>
      </c>
      <c r="M24" s="583" t="s">
        <v>165</v>
      </c>
      <c r="N24" s="580"/>
      <c r="O24" s="580" t="s">
        <v>164</v>
      </c>
      <c r="P24" s="580" t="s">
        <v>160</v>
      </c>
      <c r="Q24" s="580"/>
      <c r="R24" s="580"/>
      <c r="S24" s="580"/>
      <c r="T24" s="580" t="s">
        <v>163</v>
      </c>
      <c r="U24" s="580" t="s">
        <v>160</v>
      </c>
      <c r="V24" s="580"/>
      <c r="W24" s="580"/>
      <c r="X24" s="580"/>
      <c r="Y24" s="580" t="s">
        <v>163</v>
      </c>
      <c r="Z24" s="580" t="s">
        <v>160</v>
      </c>
      <c r="AA24" s="580"/>
      <c r="AB24" s="580"/>
      <c r="AC24" s="580"/>
      <c r="AD24" s="580" t="s">
        <v>163</v>
      </c>
      <c r="AE24" s="580" t="s">
        <v>160</v>
      </c>
      <c r="AF24" s="580"/>
      <c r="AG24" s="580"/>
      <c r="AH24" s="580"/>
      <c r="AI24" s="580" t="s">
        <v>163</v>
      </c>
      <c r="AJ24" s="580" t="s">
        <v>160</v>
      </c>
      <c r="AK24" s="580"/>
      <c r="AL24" s="580"/>
      <c r="AM24" s="580"/>
      <c r="AN24" s="580" t="s">
        <v>163</v>
      </c>
      <c r="AO24" s="580" t="s">
        <v>160</v>
      </c>
      <c r="AP24" s="580"/>
      <c r="AQ24" s="580"/>
      <c r="AR24" s="580"/>
      <c r="AS24" s="580" t="s">
        <v>163</v>
      </c>
      <c r="AT24" s="580" t="s">
        <v>160</v>
      </c>
      <c r="AU24" s="580"/>
      <c r="AV24" s="580"/>
      <c r="AW24" s="580"/>
      <c r="AX24" s="580" t="s">
        <v>163</v>
      </c>
    </row>
    <row r="25" spans="2:50" ht="14.25" customHeight="1">
      <c r="B25" s="580"/>
      <c r="C25" s="580"/>
      <c r="D25" s="580"/>
      <c r="E25" s="580" t="s">
        <v>365</v>
      </c>
      <c r="F25" s="580"/>
      <c r="G25" s="580"/>
      <c r="H25" s="580"/>
      <c r="I25" s="583" t="s">
        <v>365</v>
      </c>
      <c r="J25" s="583"/>
      <c r="K25" s="583"/>
      <c r="L25" s="583"/>
      <c r="M25" s="583"/>
      <c r="N25" s="580"/>
      <c r="O25" s="580"/>
      <c r="P25" s="580" t="s">
        <v>366</v>
      </c>
      <c r="Q25" s="580"/>
      <c r="R25" s="580"/>
      <c r="S25" s="580"/>
      <c r="T25" s="580"/>
      <c r="U25" s="580" t="s">
        <v>366</v>
      </c>
      <c r="V25" s="580"/>
      <c r="W25" s="580"/>
      <c r="X25" s="580"/>
      <c r="Y25" s="580"/>
      <c r="Z25" s="580" t="s">
        <v>366</v>
      </c>
      <c r="AA25" s="580"/>
      <c r="AB25" s="580"/>
      <c r="AC25" s="580"/>
      <c r="AD25" s="580"/>
      <c r="AE25" s="580" t="s">
        <v>366</v>
      </c>
      <c r="AF25" s="580"/>
      <c r="AG25" s="580"/>
      <c r="AH25" s="580"/>
      <c r="AI25" s="580"/>
      <c r="AJ25" s="580" t="s">
        <v>366</v>
      </c>
      <c r="AK25" s="580"/>
      <c r="AL25" s="580"/>
      <c r="AM25" s="580"/>
      <c r="AN25" s="580"/>
      <c r="AO25" s="580" t="s">
        <v>366</v>
      </c>
      <c r="AP25" s="580"/>
      <c r="AQ25" s="580"/>
      <c r="AR25" s="580"/>
      <c r="AS25" s="580"/>
      <c r="AT25" s="580" t="s">
        <v>366</v>
      </c>
      <c r="AU25" s="580"/>
      <c r="AV25" s="580"/>
      <c r="AW25" s="580"/>
      <c r="AX25" s="580"/>
    </row>
    <row r="26" spans="2:50" ht="14.25" customHeight="1">
      <c r="B26" s="580"/>
      <c r="C26" s="580"/>
      <c r="D26" s="580"/>
      <c r="E26" s="179" t="s">
        <v>159</v>
      </c>
      <c r="F26" s="179" t="s">
        <v>367</v>
      </c>
      <c r="G26" s="179" t="s">
        <v>161</v>
      </c>
      <c r="H26" s="580"/>
      <c r="I26" s="180" t="s">
        <v>159</v>
      </c>
      <c r="J26" s="180" t="s">
        <v>367</v>
      </c>
      <c r="K26" s="180" t="s">
        <v>161</v>
      </c>
      <c r="L26" s="583"/>
      <c r="M26" s="583"/>
      <c r="N26" s="580"/>
      <c r="O26" s="580"/>
      <c r="P26" s="179" t="s">
        <v>159</v>
      </c>
      <c r="Q26" s="179" t="s">
        <v>367</v>
      </c>
      <c r="R26" s="179" t="s">
        <v>161</v>
      </c>
      <c r="S26" s="181" t="s">
        <v>165</v>
      </c>
      <c r="T26" s="580"/>
      <c r="U26" s="179" t="s">
        <v>159</v>
      </c>
      <c r="V26" s="179" t="s">
        <v>367</v>
      </c>
      <c r="W26" s="179" t="s">
        <v>161</v>
      </c>
      <c r="X26" s="181" t="s">
        <v>165</v>
      </c>
      <c r="Y26" s="580"/>
      <c r="Z26" s="179" t="s">
        <v>159</v>
      </c>
      <c r="AA26" s="179" t="s">
        <v>367</v>
      </c>
      <c r="AB26" s="179" t="s">
        <v>161</v>
      </c>
      <c r="AC26" s="181" t="s">
        <v>165</v>
      </c>
      <c r="AD26" s="580"/>
      <c r="AE26" s="179" t="s">
        <v>159</v>
      </c>
      <c r="AF26" s="179" t="s">
        <v>367</v>
      </c>
      <c r="AG26" s="179" t="s">
        <v>161</v>
      </c>
      <c r="AH26" s="181" t="s">
        <v>165</v>
      </c>
      <c r="AI26" s="580"/>
      <c r="AJ26" s="179" t="s">
        <v>159</v>
      </c>
      <c r="AK26" s="179" t="s">
        <v>367</v>
      </c>
      <c r="AL26" s="179" t="s">
        <v>161</v>
      </c>
      <c r="AM26" s="181" t="s">
        <v>165</v>
      </c>
      <c r="AN26" s="580"/>
      <c r="AO26" s="179" t="s">
        <v>159</v>
      </c>
      <c r="AP26" s="179" t="s">
        <v>367</v>
      </c>
      <c r="AQ26" s="179" t="s">
        <v>161</v>
      </c>
      <c r="AR26" s="181" t="s">
        <v>165</v>
      </c>
      <c r="AS26" s="580"/>
      <c r="AT26" s="179" t="s">
        <v>159</v>
      </c>
      <c r="AU26" s="179" t="s">
        <v>367</v>
      </c>
      <c r="AV26" s="179" t="s">
        <v>161</v>
      </c>
      <c r="AW26" s="181" t="s">
        <v>165</v>
      </c>
      <c r="AX26" s="580"/>
    </row>
    <row r="27" spans="2:50" ht="14.25" customHeight="1">
      <c r="B27" s="580" t="s">
        <v>137</v>
      </c>
      <c r="C27" s="179">
        <v>1</v>
      </c>
      <c r="D27" s="182" t="s">
        <v>351</v>
      </c>
      <c r="E27" s="183">
        <v>24</v>
      </c>
      <c r="F27" s="179">
        <v>2000</v>
      </c>
      <c r="G27" s="184">
        <f t="shared" ref="G27:G35" si="17">IFERROR(F27/E27,"")</f>
        <v>83.333333333333329</v>
      </c>
      <c r="H27" s="581">
        <f>AVERAGE(G27:G41)</f>
        <v>88.716146977016535</v>
      </c>
      <c r="I27" s="185">
        <f>AVERAGE(P27,U27,Z27,AE27,AJ27,AO27,AT27)</f>
        <v>24</v>
      </c>
      <c r="J27" s="185">
        <f>AVERAGE(Q27,V27,AA27,AF27,AK27,AP27,AU27)</f>
        <v>1797.3831010773981</v>
      </c>
      <c r="K27" s="186">
        <f>AVERAGE(R27,W27,AB27,AG27,AL27,AQ27,AV27)</f>
        <v>74.890962544891607</v>
      </c>
      <c r="L27" s="582">
        <f>IFERROR(AVERAGE(K27:K41),"-")</f>
        <v>79.487088211303117</v>
      </c>
      <c r="M27" s="185">
        <f>RANK(K27, K$27:$K$41)</f>
        <v>7</v>
      </c>
      <c r="N27" s="580"/>
      <c r="O27" s="580"/>
      <c r="P27" s="187">
        <v>24</v>
      </c>
      <c r="Q27" s="187">
        <v>1797.4116725059696</v>
      </c>
      <c r="R27" s="184">
        <f>IFERROR(Q27/P27,"")</f>
        <v>74.892153021082066</v>
      </c>
      <c r="S27" s="181">
        <f>RANK(R27, R$27:R$41)</f>
        <v>7</v>
      </c>
      <c r="T27" s="581">
        <f>AVERAGE(R27:R41)</f>
        <v>79.462885987855529</v>
      </c>
      <c r="U27" s="187">
        <v>24</v>
      </c>
      <c r="V27" s="187">
        <v>1797.0116725059697</v>
      </c>
      <c r="W27" s="184">
        <f t="shared" ref="W27:W35" si="18">IFERROR(V27/U27,"")</f>
        <v>74.875486354415401</v>
      </c>
      <c r="X27" s="181">
        <f>RANK(W27, W$27:W$41)</f>
        <v>7</v>
      </c>
      <c r="Y27" s="581">
        <f>AVERAGE(W27:W41)</f>
        <v>79.470172329533199</v>
      </c>
      <c r="Z27" s="187">
        <v>24</v>
      </c>
      <c r="AA27" s="187">
        <v>1797.6116725059696</v>
      </c>
      <c r="AB27" s="184">
        <f>IFERROR(AA27/Z27,"")</f>
        <v>74.900486354415406</v>
      </c>
      <c r="AC27" s="181">
        <f>RANK(AB27, AB$27:AB$41)</f>
        <v>7</v>
      </c>
      <c r="AD27" s="581">
        <f>AVERAGE(AB27:AB41)</f>
        <v>79.484484143323257</v>
      </c>
      <c r="AE27" s="187">
        <v>24</v>
      </c>
      <c r="AF27" s="187">
        <v>1798.0116725059697</v>
      </c>
      <c r="AG27" s="184">
        <f>IFERROR(AF27/AE27,"")</f>
        <v>74.917153021082072</v>
      </c>
      <c r="AH27" s="181">
        <f>RANK(AG27, AG$27:AG$41)</f>
        <v>7</v>
      </c>
      <c r="AI27" s="581">
        <f>AVERAGE(AG27:AG41)</f>
        <v>79.495223385529783</v>
      </c>
      <c r="AJ27" s="187">
        <v>24</v>
      </c>
      <c r="AK27" s="187">
        <v>1797.4116725059698</v>
      </c>
      <c r="AL27" s="184">
        <f>IFERROR(AK27/AJ27,"")</f>
        <v>74.89215302108208</v>
      </c>
      <c r="AM27" s="181">
        <f>RANK(AL27, AL$27:AL$41)</f>
        <v>7</v>
      </c>
      <c r="AN27" s="581">
        <f>AVERAGE(AL27:AL41)</f>
        <v>79.496999554447328</v>
      </c>
      <c r="AO27" s="187">
        <v>24</v>
      </c>
      <c r="AP27" s="187">
        <v>1797.2116725059702</v>
      </c>
      <c r="AQ27" s="184">
        <f>IFERROR(AP27/AO27,"")</f>
        <v>74.883819687748755</v>
      </c>
      <c r="AR27" s="181">
        <f>RANK(AQ27, AQ$27:AQ$41)</f>
        <v>7</v>
      </c>
      <c r="AS27" s="581">
        <f>AVERAGE(AQ27:AQ41)</f>
        <v>79.497873850664163</v>
      </c>
      <c r="AT27" s="187">
        <v>24</v>
      </c>
      <c r="AU27" s="187">
        <v>1797.0116725059704</v>
      </c>
      <c r="AV27" s="184">
        <f>IFERROR(AU27/AT27,"")</f>
        <v>74.875486354415429</v>
      </c>
      <c r="AW27" s="181">
        <f>RANK(AV27, AV$27:AV$41)</f>
        <v>7</v>
      </c>
      <c r="AX27" s="581">
        <f>AVERAGE(AV27:AV41)</f>
        <v>79.501978227768532</v>
      </c>
    </row>
    <row r="28" spans="2:50" ht="14.25" customHeight="1">
      <c r="B28" s="580"/>
      <c r="C28" s="179">
        <v>2</v>
      </c>
      <c r="D28" s="182" t="s">
        <v>352</v>
      </c>
      <c r="E28" s="179">
        <v>23</v>
      </c>
      <c r="F28" s="179">
        <v>2000</v>
      </c>
      <c r="G28" s="184">
        <f t="shared" si="17"/>
        <v>86.956521739130437</v>
      </c>
      <c r="H28" s="581"/>
      <c r="I28" s="185">
        <f t="shared" ref="I28:K35" si="19">AVERAGE(P28,U28,Z28,AE28,AJ28,AO28,AT28)</f>
        <v>23</v>
      </c>
      <c r="J28" s="185">
        <f t="shared" si="19"/>
        <v>1790.4281604436248</v>
      </c>
      <c r="K28" s="186">
        <f t="shared" si="19"/>
        <v>77.844702627983679</v>
      </c>
      <c r="L28" s="582"/>
      <c r="M28" s="185">
        <f>RANK(K28, K$27:$K$41)</f>
        <v>6</v>
      </c>
      <c r="N28" s="580"/>
      <c r="O28" s="580"/>
      <c r="P28" s="187">
        <v>23</v>
      </c>
      <c r="Q28" s="187">
        <v>1787.9743500569039</v>
      </c>
      <c r="R28" s="184">
        <f t="shared" ref="R28:R35" si="20">IFERROR(Q28/P28,"")</f>
        <v>77.738015219865389</v>
      </c>
      <c r="S28" s="181">
        <f t="shared" ref="S28:S35" si="21">RANK(R28, R$27:R$41)</f>
        <v>6</v>
      </c>
      <c r="T28" s="581"/>
      <c r="U28" s="187">
        <v>23</v>
      </c>
      <c r="V28" s="187">
        <v>1788.3743500569037</v>
      </c>
      <c r="W28" s="184">
        <f t="shared" si="18"/>
        <v>77.7554065242132</v>
      </c>
      <c r="X28" s="181">
        <f t="shared" ref="X28:X35" si="22">RANK(W28, W$27:W$41)</f>
        <v>6</v>
      </c>
      <c r="Y28" s="581"/>
      <c r="Z28" s="187">
        <v>23</v>
      </c>
      <c r="AA28" s="187">
        <v>1788.9743500569039</v>
      </c>
      <c r="AB28" s="184">
        <f t="shared" ref="AB28:AB35" si="23">IFERROR(AA28/Z28,"")</f>
        <v>77.781493480734952</v>
      </c>
      <c r="AC28" s="181">
        <f t="shared" ref="AC28:AC35" si="24">RANK(AB28, AB$27:AB$41)</f>
        <v>6</v>
      </c>
      <c r="AD28" s="581"/>
      <c r="AE28" s="187">
        <v>23</v>
      </c>
      <c r="AF28" s="187">
        <v>1789.5292935022926</v>
      </c>
      <c r="AG28" s="184">
        <f t="shared" ref="AG28:AG35" si="25">IFERROR(AF28/AE28,"")</f>
        <v>77.805621456621424</v>
      </c>
      <c r="AH28" s="181">
        <f t="shared" ref="AH28:AH35" si="26">RANK(AG28, AG$27:AG$41)</f>
        <v>6</v>
      </c>
      <c r="AI28" s="581"/>
      <c r="AJ28" s="187">
        <v>23</v>
      </c>
      <c r="AK28" s="187">
        <v>1791.4686574379161</v>
      </c>
      <c r="AL28" s="184">
        <f t="shared" ref="AL28:AL35" si="27">IFERROR(AK28/AJ28,"")</f>
        <v>77.889941627735482</v>
      </c>
      <c r="AM28" s="181">
        <f t="shared" ref="AM28:AM35" si="28">RANK(AL28, AL$27:AL$41)</f>
        <v>6</v>
      </c>
      <c r="AN28" s="581"/>
      <c r="AO28" s="187">
        <v>23</v>
      </c>
      <c r="AP28" s="187">
        <v>1792.9380609972263</v>
      </c>
      <c r="AQ28" s="184">
        <f t="shared" ref="AQ28:AQ35" si="29">IFERROR(AP28/AO28,"")</f>
        <v>77.953828739009836</v>
      </c>
      <c r="AR28" s="181">
        <f t="shared" ref="AR28:AR35" si="30">RANK(AQ28, AQ$27:AQ$41)</f>
        <v>6</v>
      </c>
      <c r="AS28" s="581"/>
      <c r="AT28" s="187">
        <v>23</v>
      </c>
      <c r="AU28" s="187">
        <v>1793.7380609972261</v>
      </c>
      <c r="AV28" s="184">
        <f t="shared" ref="AV28:AV35" si="31">IFERROR(AU28/AT28,"")</f>
        <v>77.988611347705486</v>
      </c>
      <c r="AW28" s="181">
        <f t="shared" ref="AW28:AW35" si="32">RANK(AV28, AV$27:AV$41)</f>
        <v>5</v>
      </c>
      <c r="AX28" s="581"/>
    </row>
    <row r="29" spans="2:50" ht="14.25" customHeight="1">
      <c r="B29" s="580"/>
      <c r="C29" s="179">
        <v>3</v>
      </c>
      <c r="D29" s="182" t="s">
        <v>350</v>
      </c>
      <c r="E29" s="179">
        <v>23</v>
      </c>
      <c r="F29" s="179">
        <v>2000</v>
      </c>
      <c r="G29" s="184">
        <f t="shared" si="17"/>
        <v>86.956521739130437</v>
      </c>
      <c r="H29" s="581"/>
      <c r="I29" s="185">
        <f t="shared" si="19"/>
        <v>23</v>
      </c>
      <c r="J29" s="185">
        <f t="shared" si="19"/>
        <v>1793.5620868513204</v>
      </c>
      <c r="K29" s="186">
        <f t="shared" si="19"/>
        <v>77.980960297883513</v>
      </c>
      <c r="L29" s="582"/>
      <c r="M29" s="185">
        <f>RANK(K29, K$27:$K$41)</f>
        <v>5</v>
      </c>
      <c r="N29" s="580"/>
      <c r="O29" s="580"/>
      <c r="P29" s="187">
        <v>23</v>
      </c>
      <c r="Q29" s="187">
        <v>1793.4192297084635</v>
      </c>
      <c r="R29" s="184">
        <f t="shared" si="20"/>
        <v>77.974749117759288</v>
      </c>
      <c r="S29" s="181">
        <f t="shared" si="21"/>
        <v>5</v>
      </c>
      <c r="T29" s="581"/>
      <c r="U29" s="187">
        <v>23</v>
      </c>
      <c r="V29" s="187">
        <v>1793.0192297084636</v>
      </c>
      <c r="W29" s="184">
        <f t="shared" si="18"/>
        <v>77.957357813411463</v>
      </c>
      <c r="X29" s="181">
        <f t="shared" si="22"/>
        <v>5</v>
      </c>
      <c r="Y29" s="581"/>
      <c r="Z29" s="187">
        <v>23</v>
      </c>
      <c r="AA29" s="187">
        <v>1793.4192297084635</v>
      </c>
      <c r="AB29" s="184">
        <f t="shared" si="23"/>
        <v>77.974749117759288</v>
      </c>
      <c r="AC29" s="181">
        <f t="shared" si="24"/>
        <v>5</v>
      </c>
      <c r="AD29" s="581"/>
      <c r="AE29" s="187">
        <v>23</v>
      </c>
      <c r="AF29" s="187">
        <v>1794.0192297084634</v>
      </c>
      <c r="AG29" s="184">
        <f t="shared" si="25"/>
        <v>78.000836074281011</v>
      </c>
      <c r="AH29" s="181">
        <f t="shared" si="26"/>
        <v>5</v>
      </c>
      <c r="AI29" s="581"/>
      <c r="AJ29" s="187">
        <v>23</v>
      </c>
      <c r="AK29" s="187">
        <v>1794.2192297084632</v>
      </c>
      <c r="AL29" s="184">
        <f t="shared" si="27"/>
        <v>78.009531726454924</v>
      </c>
      <c r="AM29" s="181">
        <f t="shared" si="28"/>
        <v>5</v>
      </c>
      <c r="AN29" s="581"/>
      <c r="AO29" s="187">
        <v>23</v>
      </c>
      <c r="AP29" s="187">
        <v>1793.4192297084635</v>
      </c>
      <c r="AQ29" s="184">
        <f t="shared" si="29"/>
        <v>77.974749117759288</v>
      </c>
      <c r="AR29" s="181">
        <f t="shared" si="30"/>
        <v>5</v>
      </c>
      <c r="AS29" s="581"/>
      <c r="AT29" s="187">
        <v>23</v>
      </c>
      <c r="AU29" s="187">
        <v>1793.4192297084635</v>
      </c>
      <c r="AV29" s="184">
        <f t="shared" si="31"/>
        <v>77.974749117759288</v>
      </c>
      <c r="AW29" s="181">
        <f t="shared" si="32"/>
        <v>6</v>
      </c>
      <c r="AX29" s="581"/>
    </row>
    <row r="30" spans="2:50" ht="14.25" customHeight="1">
      <c r="B30" s="580"/>
      <c r="C30" s="179">
        <v>4</v>
      </c>
      <c r="D30" s="182" t="s">
        <v>434</v>
      </c>
      <c r="E30" s="179">
        <v>23</v>
      </c>
      <c r="F30" s="179">
        <v>2000</v>
      </c>
      <c r="G30" s="184">
        <f t="shared" si="17"/>
        <v>86.956521739130437</v>
      </c>
      <c r="H30" s="581"/>
      <c r="I30" s="185">
        <f t="shared" si="19"/>
        <v>23</v>
      </c>
      <c r="J30" s="185">
        <f t="shared" si="19"/>
        <v>1795.143317917109</v>
      </c>
      <c r="K30" s="186">
        <f t="shared" si="19"/>
        <v>78.049709474656908</v>
      </c>
      <c r="L30" s="582"/>
      <c r="M30" s="185">
        <f>RANK(K30, K$27:$K$41)</f>
        <v>4</v>
      </c>
      <c r="N30" s="580"/>
      <c r="O30" s="580"/>
      <c r="P30" s="187">
        <v>23</v>
      </c>
      <c r="Q30" s="187">
        <v>1795.2576036313947</v>
      </c>
      <c r="R30" s="184">
        <f t="shared" si="20"/>
        <v>78.054678418756296</v>
      </c>
      <c r="S30" s="181">
        <f t="shared" si="21"/>
        <v>4</v>
      </c>
      <c r="T30" s="581"/>
      <c r="U30" s="187">
        <v>23</v>
      </c>
      <c r="V30" s="187">
        <v>1795.0576036313948</v>
      </c>
      <c r="W30" s="184">
        <f t="shared" si="18"/>
        <v>78.045982766582384</v>
      </c>
      <c r="X30" s="181">
        <f t="shared" si="22"/>
        <v>4</v>
      </c>
      <c r="Y30" s="581"/>
      <c r="Z30" s="187">
        <v>23</v>
      </c>
      <c r="AA30" s="187">
        <v>1795.8576036313948</v>
      </c>
      <c r="AB30" s="184">
        <f t="shared" si="23"/>
        <v>78.080765375278034</v>
      </c>
      <c r="AC30" s="181">
        <f t="shared" si="24"/>
        <v>4</v>
      </c>
      <c r="AD30" s="581"/>
      <c r="AE30" s="187">
        <v>23</v>
      </c>
      <c r="AF30" s="187">
        <v>1795.6576036313945</v>
      </c>
      <c r="AG30" s="184">
        <f t="shared" si="25"/>
        <v>78.072069723104107</v>
      </c>
      <c r="AH30" s="181">
        <f t="shared" si="26"/>
        <v>4</v>
      </c>
      <c r="AI30" s="581"/>
      <c r="AJ30" s="187">
        <v>23</v>
      </c>
      <c r="AK30" s="187">
        <v>1795.6576036313945</v>
      </c>
      <c r="AL30" s="184">
        <f t="shared" si="27"/>
        <v>78.072069723104107</v>
      </c>
      <c r="AM30" s="181">
        <f t="shared" si="28"/>
        <v>4</v>
      </c>
      <c r="AN30" s="581"/>
      <c r="AO30" s="187">
        <v>23</v>
      </c>
      <c r="AP30" s="187">
        <v>1794.6576036313945</v>
      </c>
      <c r="AQ30" s="184">
        <f t="shared" si="29"/>
        <v>78.028591462234544</v>
      </c>
      <c r="AR30" s="181">
        <f t="shared" si="30"/>
        <v>4</v>
      </c>
      <c r="AS30" s="581"/>
      <c r="AT30" s="187">
        <v>23</v>
      </c>
      <c r="AU30" s="187">
        <v>1793.8576036313946</v>
      </c>
      <c r="AV30" s="184">
        <f t="shared" si="31"/>
        <v>77.993808853538894</v>
      </c>
      <c r="AW30" s="181">
        <f t="shared" si="32"/>
        <v>4</v>
      </c>
      <c r="AX30" s="581"/>
    </row>
    <row r="31" spans="2:50" ht="14.25" customHeight="1">
      <c r="B31" s="580"/>
      <c r="C31" s="179">
        <v>5</v>
      </c>
      <c r="D31" s="182" t="s">
        <v>436</v>
      </c>
      <c r="E31" s="179">
        <v>22</v>
      </c>
      <c r="F31" s="179">
        <v>2000</v>
      </c>
      <c r="G31" s="184">
        <f t="shared" si="17"/>
        <v>90.909090909090907</v>
      </c>
      <c r="H31" s="581"/>
      <c r="I31" s="185">
        <f t="shared" si="19"/>
        <v>22</v>
      </c>
      <c r="J31" s="185">
        <f t="shared" si="19"/>
        <v>1789.9796763500092</v>
      </c>
      <c r="K31" s="186">
        <f t="shared" si="19"/>
        <v>81.362712561364063</v>
      </c>
      <c r="L31" s="582"/>
      <c r="M31" s="185">
        <f>RANK(K31, K$27:$K$41)</f>
        <v>3</v>
      </c>
      <c r="N31" s="580"/>
      <c r="O31" s="580"/>
      <c r="P31" s="187">
        <v>22</v>
      </c>
      <c r="Q31" s="187">
        <v>1790.1511049214378</v>
      </c>
      <c r="R31" s="184">
        <f t="shared" si="20"/>
        <v>81.370504769156256</v>
      </c>
      <c r="S31" s="181">
        <f t="shared" si="21"/>
        <v>3</v>
      </c>
      <c r="T31" s="581"/>
      <c r="U31" s="187">
        <v>22</v>
      </c>
      <c r="V31" s="187">
        <v>1790.7511049214374</v>
      </c>
      <c r="W31" s="184">
        <f t="shared" si="18"/>
        <v>81.397777496428972</v>
      </c>
      <c r="X31" s="181">
        <f t="shared" si="22"/>
        <v>3</v>
      </c>
      <c r="Y31" s="581"/>
      <c r="Z31" s="187">
        <v>22</v>
      </c>
      <c r="AA31" s="187">
        <v>1789.7511049214377</v>
      </c>
      <c r="AB31" s="184">
        <f t="shared" si="23"/>
        <v>81.35232295097444</v>
      </c>
      <c r="AC31" s="181">
        <f t="shared" si="24"/>
        <v>3</v>
      </c>
      <c r="AD31" s="581"/>
      <c r="AE31" s="187">
        <v>22</v>
      </c>
      <c r="AF31" s="187">
        <v>1790.3511049214376</v>
      </c>
      <c r="AG31" s="184">
        <f t="shared" si="25"/>
        <v>81.379595678247156</v>
      </c>
      <c r="AH31" s="181">
        <f t="shared" si="26"/>
        <v>3</v>
      </c>
      <c r="AI31" s="581"/>
      <c r="AJ31" s="187">
        <v>22</v>
      </c>
      <c r="AK31" s="187">
        <v>1789.5511049214376</v>
      </c>
      <c r="AL31" s="184">
        <f t="shared" si="27"/>
        <v>81.343232041883525</v>
      </c>
      <c r="AM31" s="181">
        <f t="shared" si="28"/>
        <v>3</v>
      </c>
      <c r="AN31" s="581"/>
      <c r="AO31" s="187">
        <v>22</v>
      </c>
      <c r="AP31" s="187">
        <v>1789.3511049214376</v>
      </c>
      <c r="AQ31" s="184">
        <f t="shared" si="29"/>
        <v>81.334141132792624</v>
      </c>
      <c r="AR31" s="181">
        <f t="shared" si="30"/>
        <v>3</v>
      </c>
      <c r="AS31" s="581"/>
      <c r="AT31" s="187">
        <v>22</v>
      </c>
      <c r="AU31" s="187">
        <v>1789.9511049214377</v>
      </c>
      <c r="AV31" s="184">
        <f t="shared" si="31"/>
        <v>81.361413860065355</v>
      </c>
      <c r="AW31" s="181">
        <f t="shared" si="32"/>
        <v>3</v>
      </c>
      <c r="AX31" s="581"/>
    </row>
    <row r="32" spans="2:50" ht="14.25" customHeight="1">
      <c r="B32" s="580"/>
      <c r="C32" s="179">
        <v>6</v>
      </c>
      <c r="D32" s="182" t="s">
        <v>438</v>
      </c>
      <c r="E32" s="179">
        <v>20</v>
      </c>
      <c r="F32" s="179">
        <v>2000</v>
      </c>
      <c r="G32" s="184">
        <f t="shared" si="17"/>
        <v>100</v>
      </c>
      <c r="H32" s="581"/>
      <c r="I32" s="185">
        <f t="shared" si="19"/>
        <v>20</v>
      </c>
      <c r="J32" s="185">
        <f t="shared" si="19"/>
        <v>1789.5201174019098</v>
      </c>
      <c r="K32" s="186">
        <f t="shared" si="19"/>
        <v>89.476005870095491</v>
      </c>
      <c r="L32" s="582"/>
      <c r="M32" s="185">
        <f>RANK(K32, K$27:$K$41)</f>
        <v>2</v>
      </c>
      <c r="N32" s="580"/>
      <c r="O32" s="580"/>
      <c r="P32" s="187">
        <v>20</v>
      </c>
      <c r="Q32" s="187">
        <v>1788.6629745447672</v>
      </c>
      <c r="R32" s="184">
        <f t="shared" si="20"/>
        <v>89.433148727238361</v>
      </c>
      <c r="S32" s="181">
        <f t="shared" si="21"/>
        <v>2</v>
      </c>
      <c r="T32" s="581"/>
      <c r="U32" s="187">
        <v>20</v>
      </c>
      <c r="V32" s="187">
        <v>1789.0629745447673</v>
      </c>
      <c r="W32" s="184">
        <f t="shared" si="18"/>
        <v>89.453148727238357</v>
      </c>
      <c r="X32" s="181">
        <f t="shared" si="22"/>
        <v>2</v>
      </c>
      <c r="Y32" s="581"/>
      <c r="Z32" s="187">
        <v>20</v>
      </c>
      <c r="AA32" s="187">
        <v>1789.862974544767</v>
      </c>
      <c r="AB32" s="184">
        <f t="shared" si="23"/>
        <v>89.493148727238349</v>
      </c>
      <c r="AC32" s="181">
        <f t="shared" si="24"/>
        <v>2</v>
      </c>
      <c r="AD32" s="581"/>
      <c r="AE32" s="187">
        <v>20</v>
      </c>
      <c r="AF32" s="187">
        <v>1789.4629745447669</v>
      </c>
      <c r="AG32" s="184">
        <f t="shared" si="25"/>
        <v>89.473148727238339</v>
      </c>
      <c r="AH32" s="181">
        <f t="shared" si="26"/>
        <v>2</v>
      </c>
      <c r="AI32" s="581"/>
      <c r="AJ32" s="187">
        <v>20</v>
      </c>
      <c r="AK32" s="187">
        <v>1789.4629745447669</v>
      </c>
      <c r="AL32" s="184">
        <f t="shared" si="27"/>
        <v>89.473148727238339</v>
      </c>
      <c r="AM32" s="181">
        <f t="shared" si="28"/>
        <v>2</v>
      </c>
      <c r="AN32" s="581"/>
      <c r="AO32" s="187">
        <v>20</v>
      </c>
      <c r="AP32" s="187">
        <v>1790.2629745447666</v>
      </c>
      <c r="AQ32" s="184">
        <f t="shared" si="29"/>
        <v>89.513148727238331</v>
      </c>
      <c r="AR32" s="181">
        <f t="shared" si="30"/>
        <v>2</v>
      </c>
      <c r="AS32" s="581"/>
      <c r="AT32" s="187">
        <v>20</v>
      </c>
      <c r="AU32" s="187">
        <v>1789.8629745447665</v>
      </c>
      <c r="AV32" s="184">
        <f t="shared" si="31"/>
        <v>89.493148727238321</v>
      </c>
      <c r="AW32" s="181">
        <f t="shared" si="32"/>
        <v>2</v>
      </c>
      <c r="AX32" s="581"/>
    </row>
    <row r="33" spans="2:50" ht="14.25" customHeight="1">
      <c r="B33" s="580"/>
      <c r="C33" s="179">
        <v>7</v>
      </c>
      <c r="D33" s="182" t="s">
        <v>509</v>
      </c>
      <c r="E33" s="179">
        <v>25</v>
      </c>
      <c r="F33" s="179">
        <v>2000</v>
      </c>
      <c r="G33" s="184">
        <f t="shared" si="17"/>
        <v>80</v>
      </c>
      <c r="H33" s="581"/>
      <c r="I33" s="185">
        <f t="shared" si="19"/>
        <v>25</v>
      </c>
      <c r="J33" s="185">
        <f t="shared" si="19"/>
        <v>1790.8431649766985</v>
      </c>
      <c r="K33" s="186">
        <f t="shared" si="19"/>
        <v>71.633726599067941</v>
      </c>
      <c r="L33" s="582"/>
      <c r="M33" s="185">
        <f>RANK(K33, K$27:$K$41)</f>
        <v>9</v>
      </c>
      <c r="N33" s="580"/>
      <c r="O33" s="580"/>
      <c r="P33" s="187">
        <v>25</v>
      </c>
      <c r="Q33" s="187">
        <v>1790.3860221195555</v>
      </c>
      <c r="R33" s="184">
        <f t="shared" si="20"/>
        <v>71.615440884782217</v>
      </c>
      <c r="S33" s="181">
        <f t="shared" si="21"/>
        <v>9</v>
      </c>
      <c r="T33" s="581"/>
      <c r="U33" s="187">
        <v>25</v>
      </c>
      <c r="V33" s="187">
        <v>1791.1860221195554</v>
      </c>
      <c r="W33" s="184">
        <f t="shared" si="18"/>
        <v>71.647440884782213</v>
      </c>
      <c r="X33" s="181">
        <f t="shared" si="22"/>
        <v>9</v>
      </c>
      <c r="Y33" s="581"/>
      <c r="Z33" s="187">
        <v>25</v>
      </c>
      <c r="AA33" s="187">
        <v>1791.5860221195553</v>
      </c>
      <c r="AB33" s="184">
        <f t="shared" si="23"/>
        <v>71.663440884782219</v>
      </c>
      <c r="AC33" s="181">
        <f t="shared" si="24"/>
        <v>9</v>
      </c>
      <c r="AD33" s="581"/>
      <c r="AE33" s="187">
        <v>25</v>
      </c>
      <c r="AF33" s="187">
        <v>1790.9860221195554</v>
      </c>
      <c r="AG33" s="184">
        <f t="shared" si="25"/>
        <v>71.639440884782218</v>
      </c>
      <c r="AH33" s="181">
        <f t="shared" si="26"/>
        <v>9</v>
      </c>
      <c r="AI33" s="581"/>
      <c r="AJ33" s="187">
        <v>25</v>
      </c>
      <c r="AK33" s="187">
        <v>1790.3860221195557</v>
      </c>
      <c r="AL33" s="184">
        <f t="shared" si="27"/>
        <v>71.615440884782231</v>
      </c>
      <c r="AM33" s="181">
        <f t="shared" si="28"/>
        <v>9</v>
      </c>
      <c r="AN33" s="581"/>
      <c r="AO33" s="187">
        <v>25</v>
      </c>
      <c r="AP33" s="187">
        <v>1790.5860221195558</v>
      </c>
      <c r="AQ33" s="184">
        <f t="shared" si="29"/>
        <v>71.623440884782227</v>
      </c>
      <c r="AR33" s="181">
        <f t="shared" si="30"/>
        <v>9</v>
      </c>
      <c r="AS33" s="581"/>
      <c r="AT33" s="187">
        <v>25</v>
      </c>
      <c r="AU33" s="187">
        <v>1790.7860221195556</v>
      </c>
      <c r="AV33" s="184">
        <f t="shared" si="31"/>
        <v>71.631440884782222</v>
      </c>
      <c r="AW33" s="181">
        <f t="shared" si="32"/>
        <v>9</v>
      </c>
      <c r="AX33" s="581"/>
    </row>
    <row r="34" spans="2:50" ht="14.25" customHeight="1">
      <c r="B34" s="580"/>
      <c r="C34" s="179">
        <v>8</v>
      </c>
      <c r="D34" s="182" t="s">
        <v>583</v>
      </c>
      <c r="E34" s="179">
        <v>20</v>
      </c>
      <c r="F34" s="179">
        <v>2000</v>
      </c>
      <c r="G34" s="184">
        <f t="shared" si="17"/>
        <v>100</v>
      </c>
      <c r="H34" s="581"/>
      <c r="I34" s="185">
        <f t="shared" si="19"/>
        <v>20</v>
      </c>
      <c r="J34" s="185">
        <f t="shared" si="19"/>
        <v>1791.9455858679733</v>
      </c>
      <c r="K34" s="186">
        <f t="shared" si="19"/>
        <v>89.597279293398643</v>
      </c>
      <c r="L34" s="582"/>
      <c r="M34" s="185">
        <f>RANK(K34, K$27:$K$41)</f>
        <v>1</v>
      </c>
      <c r="N34" s="580"/>
      <c r="O34" s="580"/>
      <c r="P34" s="187">
        <v>20</v>
      </c>
      <c r="Q34" s="187">
        <v>1790.9455858679737</v>
      </c>
      <c r="R34" s="184">
        <f t="shared" si="20"/>
        <v>89.547279293398688</v>
      </c>
      <c r="S34" s="181">
        <f t="shared" si="21"/>
        <v>1</v>
      </c>
      <c r="T34" s="581"/>
      <c r="U34" s="187">
        <v>20</v>
      </c>
      <c r="V34" s="187">
        <v>1791.3455858679736</v>
      </c>
      <c r="W34" s="184">
        <f t="shared" si="18"/>
        <v>89.567279293398684</v>
      </c>
      <c r="X34" s="181">
        <f t="shared" si="22"/>
        <v>1</v>
      </c>
      <c r="Y34" s="581"/>
      <c r="Z34" s="187">
        <v>20</v>
      </c>
      <c r="AA34" s="187">
        <v>1792.1455858679733</v>
      </c>
      <c r="AB34" s="184">
        <f t="shared" si="23"/>
        <v>89.607279293398662</v>
      </c>
      <c r="AC34" s="181">
        <f t="shared" si="24"/>
        <v>1</v>
      </c>
      <c r="AD34" s="581"/>
      <c r="AE34" s="187">
        <v>20</v>
      </c>
      <c r="AF34" s="187">
        <v>1792.1455858679731</v>
      </c>
      <c r="AG34" s="184">
        <f t="shared" si="25"/>
        <v>89.607279293398648</v>
      </c>
      <c r="AH34" s="181">
        <f t="shared" si="26"/>
        <v>1</v>
      </c>
      <c r="AI34" s="581"/>
      <c r="AJ34" s="187">
        <v>20</v>
      </c>
      <c r="AK34" s="187">
        <v>1792.1455858679728</v>
      </c>
      <c r="AL34" s="184">
        <f t="shared" si="27"/>
        <v>89.607279293398648</v>
      </c>
      <c r="AM34" s="181">
        <f t="shared" si="28"/>
        <v>1</v>
      </c>
      <c r="AN34" s="581"/>
      <c r="AO34" s="187">
        <v>20</v>
      </c>
      <c r="AP34" s="187">
        <v>1792.1455858679728</v>
      </c>
      <c r="AQ34" s="184">
        <f t="shared" si="29"/>
        <v>89.607279293398648</v>
      </c>
      <c r="AR34" s="181">
        <f t="shared" si="30"/>
        <v>1</v>
      </c>
      <c r="AS34" s="581"/>
      <c r="AT34" s="187">
        <v>20</v>
      </c>
      <c r="AU34" s="187">
        <v>1792.7455858679725</v>
      </c>
      <c r="AV34" s="184">
        <f t="shared" si="31"/>
        <v>89.63727929339862</v>
      </c>
      <c r="AW34" s="181">
        <f t="shared" si="32"/>
        <v>1</v>
      </c>
      <c r="AX34" s="581"/>
    </row>
    <row r="35" spans="2:50" ht="14.25" customHeight="1">
      <c r="B35" s="580"/>
      <c r="C35" s="179">
        <v>9</v>
      </c>
      <c r="D35" s="182" t="s">
        <v>743</v>
      </c>
      <c r="E35" s="179">
        <v>24</v>
      </c>
      <c r="F35" s="179">
        <v>2000</v>
      </c>
      <c r="G35" s="184">
        <f t="shared" si="17"/>
        <v>83.333333333333329</v>
      </c>
      <c r="H35" s="581"/>
      <c r="I35" s="185">
        <f t="shared" si="19"/>
        <v>24</v>
      </c>
      <c r="J35" s="185">
        <f t="shared" si="19"/>
        <v>1789.145631177269</v>
      </c>
      <c r="K35" s="186">
        <f t="shared" si="19"/>
        <v>74.547734632386209</v>
      </c>
      <c r="L35" s="582"/>
      <c r="M35" s="185">
        <f>RANK(K35, K$27:$K$41)</f>
        <v>8</v>
      </c>
      <c r="N35" s="580"/>
      <c r="O35" s="580"/>
      <c r="P35" s="187">
        <v>24</v>
      </c>
      <c r="Q35" s="187">
        <v>1788.9601065278723</v>
      </c>
      <c r="R35" s="184">
        <f t="shared" si="20"/>
        <v>74.540004438661342</v>
      </c>
      <c r="S35" s="181">
        <f t="shared" si="21"/>
        <v>8</v>
      </c>
      <c r="T35" s="581"/>
      <c r="U35" s="187">
        <v>24</v>
      </c>
      <c r="V35" s="187">
        <v>1788.7601065278727</v>
      </c>
      <c r="W35" s="184">
        <f t="shared" si="18"/>
        <v>74.53167110532803</v>
      </c>
      <c r="X35" s="181">
        <f t="shared" si="22"/>
        <v>8</v>
      </c>
      <c r="Y35" s="581"/>
      <c r="Z35" s="187">
        <v>24</v>
      </c>
      <c r="AA35" s="187">
        <v>1788.160106527873</v>
      </c>
      <c r="AB35" s="184">
        <f t="shared" si="23"/>
        <v>74.506671105328039</v>
      </c>
      <c r="AC35" s="181">
        <f t="shared" si="24"/>
        <v>8</v>
      </c>
      <c r="AD35" s="581"/>
      <c r="AE35" s="187">
        <v>24</v>
      </c>
      <c r="AF35" s="187">
        <v>1789.4847746643161</v>
      </c>
      <c r="AG35" s="184">
        <f t="shared" si="25"/>
        <v>74.561865611013175</v>
      </c>
      <c r="AH35" s="181">
        <f t="shared" si="26"/>
        <v>8</v>
      </c>
      <c r="AI35" s="581"/>
      <c r="AJ35" s="187">
        <v>24</v>
      </c>
      <c r="AK35" s="187">
        <v>1789.6847746643161</v>
      </c>
      <c r="AL35" s="184">
        <f t="shared" si="27"/>
        <v>74.570198944346501</v>
      </c>
      <c r="AM35" s="181">
        <f t="shared" si="28"/>
        <v>8</v>
      </c>
      <c r="AN35" s="581"/>
      <c r="AO35" s="187">
        <v>24</v>
      </c>
      <c r="AP35" s="187">
        <v>1789.4847746643161</v>
      </c>
      <c r="AQ35" s="184">
        <f t="shared" si="29"/>
        <v>74.561865611013175</v>
      </c>
      <c r="AR35" s="181">
        <f t="shared" si="30"/>
        <v>8</v>
      </c>
      <c r="AS35" s="581"/>
      <c r="AT35" s="187">
        <v>24</v>
      </c>
      <c r="AU35" s="187">
        <v>1789.4847746643165</v>
      </c>
      <c r="AV35" s="184">
        <f t="shared" si="31"/>
        <v>74.561865611013189</v>
      </c>
      <c r="AW35" s="181">
        <f t="shared" si="32"/>
        <v>8</v>
      </c>
      <c r="AX35" s="581"/>
    </row>
    <row r="36" spans="2:50" ht="14.25" customHeight="1">
      <c r="B36" s="580"/>
      <c r="C36" s="179">
        <v>10</v>
      </c>
      <c r="D36" s="182"/>
      <c r="E36" s="179"/>
      <c r="F36" s="179"/>
      <c r="G36" s="184"/>
      <c r="H36" s="581"/>
      <c r="I36" s="185"/>
      <c r="J36" s="185"/>
      <c r="K36" s="186"/>
      <c r="L36" s="582"/>
      <c r="M36" s="185"/>
      <c r="N36" s="580"/>
      <c r="O36" s="580"/>
      <c r="P36" s="187"/>
      <c r="Q36" s="187"/>
      <c r="R36" s="184"/>
      <c r="S36" s="181"/>
      <c r="T36" s="581"/>
      <c r="U36" s="187"/>
      <c r="V36" s="187"/>
      <c r="W36" s="184"/>
      <c r="X36" s="181"/>
      <c r="Y36" s="581"/>
      <c r="Z36" s="187"/>
      <c r="AA36" s="187"/>
      <c r="AB36" s="184"/>
      <c r="AC36" s="181"/>
      <c r="AD36" s="581"/>
      <c r="AE36" s="187"/>
      <c r="AF36" s="187"/>
      <c r="AG36" s="184"/>
      <c r="AH36" s="181"/>
      <c r="AI36" s="581"/>
      <c r="AJ36" s="187"/>
      <c r="AK36" s="187"/>
      <c r="AL36" s="184"/>
      <c r="AM36" s="181"/>
      <c r="AN36" s="581"/>
      <c r="AO36" s="187"/>
      <c r="AP36" s="187"/>
      <c r="AQ36" s="184"/>
      <c r="AR36" s="181"/>
      <c r="AS36" s="581"/>
      <c r="AT36" s="187"/>
      <c r="AU36" s="187"/>
      <c r="AV36" s="184"/>
      <c r="AW36" s="181"/>
      <c r="AX36" s="581"/>
    </row>
    <row r="37" spans="2:50" ht="14.25" customHeight="1">
      <c r="B37" s="580"/>
      <c r="C37" s="179">
        <v>11</v>
      </c>
      <c r="D37" s="182"/>
      <c r="E37" s="179"/>
      <c r="F37" s="179"/>
      <c r="G37" s="184"/>
      <c r="H37" s="581"/>
      <c r="I37" s="185"/>
      <c r="J37" s="185"/>
      <c r="K37" s="186"/>
      <c r="L37" s="582"/>
      <c r="M37" s="185"/>
      <c r="N37" s="580"/>
      <c r="O37" s="580"/>
      <c r="P37" s="187"/>
      <c r="Q37" s="187"/>
      <c r="R37" s="184"/>
      <c r="S37" s="181"/>
      <c r="T37" s="581"/>
      <c r="U37" s="187"/>
      <c r="V37" s="187"/>
      <c r="W37" s="184"/>
      <c r="X37" s="181"/>
      <c r="Y37" s="581"/>
      <c r="Z37" s="187"/>
      <c r="AA37" s="187"/>
      <c r="AB37" s="184"/>
      <c r="AC37" s="181"/>
      <c r="AD37" s="581"/>
      <c r="AE37" s="187"/>
      <c r="AF37" s="187"/>
      <c r="AG37" s="184"/>
      <c r="AH37" s="181"/>
      <c r="AI37" s="581"/>
      <c r="AJ37" s="187"/>
      <c r="AK37" s="187"/>
      <c r="AL37" s="184"/>
      <c r="AM37" s="181"/>
      <c r="AN37" s="581"/>
      <c r="AO37" s="187"/>
      <c r="AP37" s="187"/>
      <c r="AQ37" s="184"/>
      <c r="AR37" s="181"/>
      <c r="AS37" s="581"/>
      <c r="AT37" s="187"/>
      <c r="AU37" s="187"/>
      <c r="AV37" s="184"/>
      <c r="AW37" s="181"/>
      <c r="AX37" s="581"/>
    </row>
    <row r="38" spans="2:50" ht="14.25" customHeight="1">
      <c r="B38" s="580"/>
      <c r="C38" s="179">
        <v>12</v>
      </c>
      <c r="D38" s="182"/>
      <c r="E38" s="179"/>
      <c r="F38" s="179"/>
      <c r="G38" s="184"/>
      <c r="H38" s="581"/>
      <c r="I38" s="185"/>
      <c r="J38" s="185"/>
      <c r="K38" s="186"/>
      <c r="L38" s="582"/>
      <c r="M38" s="185"/>
      <c r="N38" s="580"/>
      <c r="O38" s="580"/>
      <c r="P38" s="187"/>
      <c r="Q38" s="187"/>
      <c r="R38" s="184"/>
      <c r="S38" s="181"/>
      <c r="T38" s="581"/>
      <c r="U38" s="187"/>
      <c r="V38" s="187"/>
      <c r="W38" s="184"/>
      <c r="X38" s="181"/>
      <c r="Y38" s="581"/>
      <c r="Z38" s="187"/>
      <c r="AA38" s="187"/>
      <c r="AB38" s="184"/>
      <c r="AC38" s="181"/>
      <c r="AD38" s="581"/>
      <c r="AE38" s="187"/>
      <c r="AF38" s="187"/>
      <c r="AG38" s="184"/>
      <c r="AH38" s="181"/>
      <c r="AI38" s="581"/>
      <c r="AJ38" s="187"/>
      <c r="AK38" s="187"/>
      <c r="AL38" s="184"/>
      <c r="AM38" s="181"/>
      <c r="AN38" s="581"/>
      <c r="AO38" s="187"/>
      <c r="AP38" s="187"/>
      <c r="AQ38" s="184"/>
      <c r="AR38" s="181"/>
      <c r="AS38" s="581"/>
      <c r="AT38" s="187"/>
      <c r="AU38" s="187"/>
      <c r="AV38" s="184"/>
      <c r="AW38" s="181"/>
      <c r="AX38" s="581"/>
    </row>
    <row r="39" spans="2:50" ht="14.25" customHeight="1">
      <c r="B39" s="580"/>
      <c r="C39" s="179">
        <v>13</v>
      </c>
      <c r="D39" s="182"/>
      <c r="E39" s="179"/>
      <c r="F39" s="179"/>
      <c r="G39" s="184"/>
      <c r="H39" s="581"/>
      <c r="I39" s="185"/>
      <c r="J39" s="185"/>
      <c r="K39" s="186"/>
      <c r="L39" s="582"/>
      <c r="M39" s="185"/>
      <c r="N39" s="580"/>
      <c r="O39" s="580"/>
      <c r="P39" s="187"/>
      <c r="Q39" s="187"/>
      <c r="R39" s="184"/>
      <c r="S39" s="181"/>
      <c r="T39" s="581"/>
      <c r="U39" s="187"/>
      <c r="V39" s="187"/>
      <c r="W39" s="184"/>
      <c r="X39" s="181"/>
      <c r="Y39" s="581"/>
      <c r="Z39" s="187"/>
      <c r="AA39" s="187"/>
      <c r="AB39" s="184"/>
      <c r="AC39" s="181"/>
      <c r="AD39" s="581"/>
      <c r="AE39" s="187"/>
      <c r="AF39" s="187"/>
      <c r="AG39" s="184"/>
      <c r="AH39" s="181"/>
      <c r="AI39" s="581"/>
      <c r="AJ39" s="187"/>
      <c r="AK39" s="187"/>
      <c r="AL39" s="184"/>
      <c r="AM39" s="181"/>
      <c r="AN39" s="581"/>
      <c r="AO39" s="187"/>
      <c r="AP39" s="187"/>
      <c r="AQ39" s="184"/>
      <c r="AR39" s="181"/>
      <c r="AS39" s="581"/>
      <c r="AT39" s="187"/>
      <c r="AU39" s="187"/>
      <c r="AV39" s="184"/>
      <c r="AW39" s="181"/>
      <c r="AX39" s="581"/>
    </row>
    <row r="40" spans="2:50" ht="14.25" customHeight="1">
      <c r="B40" s="580"/>
      <c r="C40" s="179">
        <v>14</v>
      </c>
      <c r="D40" s="182"/>
      <c r="E40" s="179"/>
      <c r="F40" s="179"/>
      <c r="G40" s="184"/>
      <c r="H40" s="581"/>
      <c r="I40" s="185"/>
      <c r="J40" s="185"/>
      <c r="K40" s="186"/>
      <c r="L40" s="582"/>
      <c r="M40" s="185"/>
      <c r="N40" s="580"/>
      <c r="O40" s="580"/>
      <c r="P40" s="187"/>
      <c r="Q40" s="187"/>
      <c r="R40" s="184"/>
      <c r="S40" s="181"/>
      <c r="T40" s="581"/>
      <c r="U40" s="187"/>
      <c r="V40" s="187"/>
      <c r="W40" s="184"/>
      <c r="X40" s="181"/>
      <c r="Y40" s="581"/>
      <c r="Z40" s="187"/>
      <c r="AA40" s="187"/>
      <c r="AB40" s="184"/>
      <c r="AC40" s="181"/>
      <c r="AD40" s="581"/>
      <c r="AE40" s="187"/>
      <c r="AF40" s="187"/>
      <c r="AG40" s="184"/>
      <c r="AH40" s="181"/>
      <c r="AI40" s="581"/>
      <c r="AJ40" s="187"/>
      <c r="AK40" s="187"/>
      <c r="AL40" s="184"/>
      <c r="AM40" s="181"/>
      <c r="AN40" s="581"/>
      <c r="AO40" s="187"/>
      <c r="AP40" s="187"/>
      <c r="AQ40" s="184"/>
      <c r="AR40" s="181"/>
      <c r="AS40" s="581"/>
      <c r="AT40" s="187"/>
      <c r="AU40" s="187"/>
      <c r="AV40" s="184"/>
      <c r="AW40" s="181"/>
      <c r="AX40" s="581"/>
    </row>
    <row r="41" spans="2:50" ht="14.25" customHeight="1">
      <c r="B41" s="580"/>
      <c r="C41" s="179">
        <v>15</v>
      </c>
      <c r="D41" s="182"/>
      <c r="E41" s="179"/>
      <c r="F41" s="179"/>
      <c r="G41" s="184"/>
      <c r="H41" s="581"/>
      <c r="I41" s="185"/>
      <c r="J41" s="185"/>
      <c r="K41" s="186"/>
      <c r="L41" s="582"/>
      <c r="M41" s="185"/>
      <c r="N41" s="580"/>
      <c r="O41" s="580"/>
      <c r="P41" s="187"/>
      <c r="Q41" s="187"/>
      <c r="R41" s="184"/>
      <c r="S41" s="181"/>
      <c r="T41" s="581"/>
      <c r="U41" s="187"/>
      <c r="V41" s="187"/>
      <c r="W41" s="184"/>
      <c r="X41" s="181"/>
      <c r="Y41" s="581"/>
      <c r="Z41" s="187"/>
      <c r="AA41" s="187"/>
      <c r="AB41" s="184"/>
      <c r="AC41" s="181"/>
      <c r="AD41" s="581"/>
      <c r="AE41" s="187"/>
      <c r="AF41" s="187"/>
      <c r="AG41" s="184"/>
      <c r="AH41" s="181"/>
      <c r="AI41" s="581"/>
      <c r="AJ41" s="187"/>
      <c r="AK41" s="187"/>
      <c r="AL41" s="184"/>
      <c r="AM41" s="181"/>
      <c r="AN41" s="581"/>
      <c r="AO41" s="187"/>
      <c r="AP41" s="187"/>
      <c r="AQ41" s="184"/>
      <c r="AR41" s="181"/>
      <c r="AS41" s="581"/>
      <c r="AT41" s="187"/>
      <c r="AU41" s="187"/>
      <c r="AV41" s="184"/>
      <c r="AW41" s="181"/>
      <c r="AX41" s="581"/>
    </row>
  </sheetData>
  <mergeCells count="118"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I4:K4"/>
    <mergeCell ref="AT4:AW4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41"/>
  <sheetViews>
    <sheetView zoomScaleNormal="100" workbookViewId="0">
      <pane xSplit="13" ySplit="1" topLeftCell="N2" activePane="bottomRight" state="frozen"/>
      <selection activeCell="B1" sqref="B1"/>
      <selection pane="topRight" activeCell="B1" sqref="B1"/>
      <selection pane="bottomLeft" activeCell="B1" sqref="B1"/>
      <selection pane="bottomRight" activeCell="P22" sqref="P22:T22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68" t="s">
        <v>777</v>
      </c>
      <c r="C1" s="174"/>
    </row>
    <row r="2" spans="1:50" ht="14.25" customHeight="1">
      <c r="B2" s="608" t="s">
        <v>742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10"/>
      <c r="N2" s="613" t="s">
        <v>363</v>
      </c>
      <c r="O2" s="600" t="s">
        <v>105</v>
      </c>
      <c r="P2" s="602">
        <v>46203</v>
      </c>
      <c r="Q2" s="603"/>
      <c r="R2" s="603"/>
      <c r="S2" s="603"/>
      <c r="T2" s="603"/>
      <c r="U2" s="594">
        <f>P2+1</f>
        <v>46204</v>
      </c>
      <c r="V2" s="595"/>
      <c r="W2" s="595"/>
      <c r="X2" s="595"/>
      <c r="Y2" s="595"/>
      <c r="Z2" s="602">
        <f t="shared" ref="Z2" si="0">U2+1</f>
        <v>46205</v>
      </c>
      <c r="AA2" s="603"/>
      <c r="AB2" s="603"/>
      <c r="AC2" s="603"/>
      <c r="AD2" s="603"/>
      <c r="AE2" s="594">
        <f t="shared" ref="AE2" si="1">Z2+1</f>
        <v>46206</v>
      </c>
      <c r="AF2" s="595"/>
      <c r="AG2" s="595"/>
      <c r="AH2" s="595"/>
      <c r="AI2" s="595"/>
      <c r="AJ2" s="586">
        <f t="shared" ref="AJ2" si="2">AE2+1</f>
        <v>46207</v>
      </c>
      <c r="AK2" s="587"/>
      <c r="AL2" s="587"/>
      <c r="AM2" s="587"/>
      <c r="AN2" s="588"/>
      <c r="AO2" s="594">
        <f t="shared" ref="AO2" si="3">AJ2+1</f>
        <v>46208</v>
      </c>
      <c r="AP2" s="595"/>
      <c r="AQ2" s="595"/>
      <c r="AR2" s="595"/>
      <c r="AS2" s="595"/>
      <c r="AT2" s="586">
        <f t="shared" ref="AT2" si="4">AO2+1</f>
        <v>46209</v>
      </c>
      <c r="AU2" s="587"/>
      <c r="AV2" s="587"/>
      <c r="AW2" s="587"/>
      <c r="AX2" s="588"/>
    </row>
    <row r="3" spans="1:50" ht="14.25" customHeight="1"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2"/>
      <c r="N3" s="614"/>
      <c r="O3" s="601"/>
      <c r="P3" s="589">
        <v>46196</v>
      </c>
      <c r="Q3" s="589"/>
      <c r="R3" s="589"/>
      <c r="S3" s="589"/>
      <c r="T3" s="589"/>
      <c r="U3" s="590">
        <v>46197</v>
      </c>
      <c r="V3" s="590"/>
      <c r="W3" s="590"/>
      <c r="X3" s="590"/>
      <c r="Y3" s="590"/>
      <c r="Z3" s="589">
        <v>46198</v>
      </c>
      <c r="AA3" s="589"/>
      <c r="AB3" s="589"/>
      <c r="AC3" s="589"/>
      <c r="AD3" s="589"/>
      <c r="AE3" s="590">
        <v>46199</v>
      </c>
      <c r="AF3" s="590"/>
      <c r="AG3" s="590"/>
      <c r="AH3" s="590"/>
      <c r="AI3" s="590"/>
      <c r="AJ3" s="591">
        <v>46200</v>
      </c>
      <c r="AK3" s="592"/>
      <c r="AL3" s="592"/>
      <c r="AM3" s="592"/>
      <c r="AN3" s="593"/>
      <c r="AO3" s="590">
        <v>46201</v>
      </c>
      <c r="AP3" s="590"/>
      <c r="AQ3" s="590"/>
      <c r="AR3" s="590"/>
      <c r="AS3" s="590"/>
      <c r="AT3" s="591">
        <v>46202</v>
      </c>
      <c r="AU3" s="592"/>
      <c r="AV3" s="592"/>
      <c r="AW3" s="592"/>
      <c r="AX3" s="593"/>
    </row>
    <row r="4" spans="1:50" ht="14.25" customHeight="1">
      <c r="B4" s="580" t="s">
        <v>162</v>
      </c>
      <c r="C4" s="580" t="s">
        <v>157</v>
      </c>
      <c r="D4" s="580"/>
      <c r="E4" s="580" t="s">
        <v>158</v>
      </c>
      <c r="F4" s="580"/>
      <c r="G4" s="580"/>
      <c r="H4" s="580" t="s">
        <v>163</v>
      </c>
      <c r="I4" s="583" t="s">
        <v>364</v>
      </c>
      <c r="J4" s="583"/>
      <c r="K4" s="583"/>
      <c r="L4" s="583" t="s">
        <v>163</v>
      </c>
      <c r="M4" s="583" t="s">
        <v>165</v>
      </c>
      <c r="N4" s="580"/>
      <c r="O4" s="580" t="s">
        <v>164</v>
      </c>
      <c r="P4" s="580" t="s">
        <v>160</v>
      </c>
      <c r="Q4" s="580"/>
      <c r="R4" s="580"/>
      <c r="S4" s="580"/>
      <c r="T4" s="580" t="s">
        <v>163</v>
      </c>
      <c r="U4" s="580" t="s">
        <v>160</v>
      </c>
      <c r="V4" s="580"/>
      <c r="W4" s="580"/>
      <c r="X4" s="580"/>
      <c r="Y4" s="580" t="s">
        <v>163</v>
      </c>
      <c r="Z4" s="580" t="s">
        <v>160</v>
      </c>
      <c r="AA4" s="580"/>
      <c r="AB4" s="580"/>
      <c r="AC4" s="580"/>
      <c r="AD4" s="580" t="s">
        <v>163</v>
      </c>
      <c r="AE4" s="580" t="s">
        <v>160</v>
      </c>
      <c r="AF4" s="580"/>
      <c r="AG4" s="580"/>
      <c r="AH4" s="580"/>
      <c r="AI4" s="580" t="s">
        <v>163</v>
      </c>
      <c r="AJ4" s="580" t="s">
        <v>160</v>
      </c>
      <c r="AK4" s="580"/>
      <c r="AL4" s="580"/>
      <c r="AM4" s="580"/>
      <c r="AN4" s="580" t="s">
        <v>163</v>
      </c>
      <c r="AO4" s="580" t="s">
        <v>160</v>
      </c>
      <c r="AP4" s="580"/>
      <c r="AQ4" s="580"/>
      <c r="AR4" s="580"/>
      <c r="AS4" s="580" t="s">
        <v>163</v>
      </c>
      <c r="AT4" s="580" t="s">
        <v>160</v>
      </c>
      <c r="AU4" s="580"/>
      <c r="AV4" s="580"/>
      <c r="AW4" s="580"/>
      <c r="AX4" s="580" t="s">
        <v>163</v>
      </c>
    </row>
    <row r="5" spans="1:50" ht="14.25" customHeight="1">
      <c r="B5" s="580"/>
      <c r="C5" s="580"/>
      <c r="D5" s="580"/>
      <c r="E5" s="580" t="s">
        <v>365</v>
      </c>
      <c r="F5" s="580"/>
      <c r="G5" s="580"/>
      <c r="H5" s="580"/>
      <c r="I5" s="583" t="s">
        <v>365</v>
      </c>
      <c r="J5" s="583"/>
      <c r="K5" s="583"/>
      <c r="L5" s="583"/>
      <c r="M5" s="583"/>
      <c r="N5" s="580"/>
      <c r="O5" s="580"/>
      <c r="P5" s="580" t="s">
        <v>366</v>
      </c>
      <c r="Q5" s="580"/>
      <c r="R5" s="580"/>
      <c r="S5" s="580"/>
      <c r="T5" s="580"/>
      <c r="U5" s="580" t="s">
        <v>366</v>
      </c>
      <c r="V5" s="580"/>
      <c r="W5" s="580"/>
      <c r="X5" s="580"/>
      <c r="Y5" s="580"/>
      <c r="Z5" s="580" t="s">
        <v>366</v>
      </c>
      <c r="AA5" s="580"/>
      <c r="AB5" s="580"/>
      <c r="AC5" s="580"/>
      <c r="AD5" s="580"/>
      <c r="AE5" s="580" t="s">
        <v>366</v>
      </c>
      <c r="AF5" s="580"/>
      <c r="AG5" s="580"/>
      <c r="AH5" s="580"/>
      <c r="AI5" s="580"/>
      <c r="AJ5" s="580" t="s">
        <v>366</v>
      </c>
      <c r="AK5" s="580"/>
      <c r="AL5" s="580"/>
      <c r="AM5" s="580"/>
      <c r="AN5" s="580"/>
      <c r="AO5" s="580" t="s">
        <v>366</v>
      </c>
      <c r="AP5" s="580"/>
      <c r="AQ5" s="580"/>
      <c r="AR5" s="580"/>
      <c r="AS5" s="580"/>
      <c r="AT5" s="580" t="s">
        <v>366</v>
      </c>
      <c r="AU5" s="580"/>
      <c r="AV5" s="580"/>
      <c r="AW5" s="580"/>
      <c r="AX5" s="580"/>
    </row>
    <row r="6" spans="1:50" ht="14.25" customHeight="1">
      <c r="B6" s="580"/>
      <c r="C6" s="580"/>
      <c r="D6" s="580"/>
      <c r="E6" s="179" t="s">
        <v>159</v>
      </c>
      <c r="F6" s="179" t="s">
        <v>367</v>
      </c>
      <c r="G6" s="179" t="s">
        <v>161</v>
      </c>
      <c r="H6" s="580"/>
      <c r="I6" s="180" t="s">
        <v>159</v>
      </c>
      <c r="J6" s="180" t="s">
        <v>367</v>
      </c>
      <c r="K6" s="180" t="s">
        <v>161</v>
      </c>
      <c r="L6" s="583"/>
      <c r="M6" s="583"/>
      <c r="N6" s="580"/>
      <c r="O6" s="580"/>
      <c r="P6" s="179" t="s">
        <v>159</v>
      </c>
      <c r="Q6" s="179" t="s">
        <v>367</v>
      </c>
      <c r="R6" s="179" t="s">
        <v>161</v>
      </c>
      <c r="S6" s="181" t="s">
        <v>165</v>
      </c>
      <c r="T6" s="580"/>
      <c r="U6" s="179" t="s">
        <v>159</v>
      </c>
      <c r="V6" s="179" t="s">
        <v>367</v>
      </c>
      <c r="W6" s="179" t="s">
        <v>161</v>
      </c>
      <c r="X6" s="181" t="s">
        <v>165</v>
      </c>
      <c r="Y6" s="580"/>
      <c r="Z6" s="179" t="s">
        <v>159</v>
      </c>
      <c r="AA6" s="179" t="s">
        <v>367</v>
      </c>
      <c r="AB6" s="179" t="s">
        <v>161</v>
      </c>
      <c r="AC6" s="181" t="s">
        <v>165</v>
      </c>
      <c r="AD6" s="580"/>
      <c r="AE6" s="179" t="s">
        <v>159</v>
      </c>
      <c r="AF6" s="179" t="s">
        <v>367</v>
      </c>
      <c r="AG6" s="179" t="s">
        <v>161</v>
      </c>
      <c r="AH6" s="181" t="s">
        <v>165</v>
      </c>
      <c r="AI6" s="580"/>
      <c r="AJ6" s="179" t="s">
        <v>159</v>
      </c>
      <c r="AK6" s="179" t="s">
        <v>367</v>
      </c>
      <c r="AL6" s="179" t="s">
        <v>161</v>
      </c>
      <c r="AM6" s="181" t="s">
        <v>165</v>
      </c>
      <c r="AN6" s="580"/>
      <c r="AO6" s="179" t="s">
        <v>159</v>
      </c>
      <c r="AP6" s="179" t="s">
        <v>367</v>
      </c>
      <c r="AQ6" s="179" t="s">
        <v>161</v>
      </c>
      <c r="AR6" s="181" t="s">
        <v>165</v>
      </c>
      <c r="AS6" s="580"/>
      <c r="AT6" s="179" t="s">
        <v>159</v>
      </c>
      <c r="AU6" s="179" t="s">
        <v>367</v>
      </c>
      <c r="AV6" s="179" t="s">
        <v>161</v>
      </c>
      <c r="AW6" s="181" t="s">
        <v>165</v>
      </c>
      <c r="AX6" s="580"/>
    </row>
    <row r="7" spans="1:50" ht="14.25" customHeight="1">
      <c r="B7" s="580" t="s">
        <v>427</v>
      </c>
      <c r="C7" s="179">
        <v>1</v>
      </c>
      <c r="D7" s="182"/>
      <c r="E7" s="183"/>
      <c r="F7" s="179"/>
      <c r="G7" s="184"/>
      <c r="H7" s="581"/>
      <c r="I7" s="185"/>
      <c r="J7" s="185"/>
      <c r="K7" s="186"/>
      <c r="L7" s="582"/>
      <c r="M7" s="185"/>
      <c r="N7" s="580"/>
      <c r="O7" s="580"/>
      <c r="P7" s="187"/>
      <c r="Q7" s="187"/>
      <c r="R7" s="184"/>
      <c r="S7" s="181"/>
      <c r="T7" s="581"/>
      <c r="U7" s="187"/>
      <c r="V7" s="187"/>
      <c r="W7" s="184"/>
      <c r="X7" s="181"/>
      <c r="Y7" s="581"/>
      <c r="Z7" s="187"/>
      <c r="AA7" s="187"/>
      <c r="AB7" s="184"/>
      <c r="AC7" s="181"/>
      <c r="AD7" s="581"/>
      <c r="AE7" s="187"/>
      <c r="AF7" s="187"/>
      <c r="AG7" s="184"/>
      <c r="AH7" s="181"/>
      <c r="AI7" s="581"/>
      <c r="AJ7" s="187"/>
      <c r="AK7" s="187"/>
      <c r="AL7" s="184"/>
      <c r="AM7" s="181"/>
      <c r="AN7" s="581"/>
      <c r="AO7" s="187"/>
      <c r="AP7" s="187"/>
      <c r="AQ7" s="184"/>
      <c r="AR7" s="181"/>
      <c r="AS7" s="581"/>
      <c r="AT7" s="187"/>
      <c r="AU7" s="187"/>
      <c r="AV7" s="184"/>
      <c r="AW7" s="181"/>
      <c r="AX7" s="581"/>
    </row>
    <row r="8" spans="1:50" ht="14.25" customHeight="1">
      <c r="B8" s="580"/>
      <c r="C8" s="179">
        <v>2</v>
      </c>
      <c r="D8" s="182"/>
      <c r="E8" s="179"/>
      <c r="F8" s="179"/>
      <c r="G8" s="184"/>
      <c r="H8" s="581"/>
      <c r="I8" s="185"/>
      <c r="J8" s="185"/>
      <c r="K8" s="186"/>
      <c r="L8" s="582"/>
      <c r="M8" s="185"/>
      <c r="N8" s="580"/>
      <c r="O8" s="580"/>
      <c r="P8" s="187"/>
      <c r="Q8" s="187"/>
      <c r="R8" s="184"/>
      <c r="S8" s="181"/>
      <c r="T8" s="581"/>
      <c r="U8" s="187"/>
      <c r="V8" s="187"/>
      <c r="W8" s="184"/>
      <c r="X8" s="181"/>
      <c r="Y8" s="581"/>
      <c r="Z8" s="187"/>
      <c r="AA8" s="187"/>
      <c r="AB8" s="184"/>
      <c r="AC8" s="181"/>
      <c r="AD8" s="581"/>
      <c r="AE8" s="187"/>
      <c r="AF8" s="187"/>
      <c r="AG8" s="184"/>
      <c r="AH8" s="181"/>
      <c r="AI8" s="581"/>
      <c r="AJ8" s="187"/>
      <c r="AK8" s="187"/>
      <c r="AL8" s="184"/>
      <c r="AM8" s="181"/>
      <c r="AN8" s="581"/>
      <c r="AO8" s="187"/>
      <c r="AP8" s="187"/>
      <c r="AQ8" s="184"/>
      <c r="AR8" s="181"/>
      <c r="AS8" s="581"/>
      <c r="AT8" s="187"/>
      <c r="AU8" s="187"/>
      <c r="AV8" s="184"/>
      <c r="AW8" s="181"/>
      <c r="AX8" s="581"/>
    </row>
    <row r="9" spans="1:50" ht="14.25" customHeight="1">
      <c r="B9" s="580"/>
      <c r="C9" s="179">
        <v>3</v>
      </c>
      <c r="D9" s="182"/>
      <c r="E9" s="179"/>
      <c r="F9" s="179"/>
      <c r="G9" s="184"/>
      <c r="H9" s="581"/>
      <c r="I9" s="185"/>
      <c r="J9" s="185"/>
      <c r="K9" s="186"/>
      <c r="L9" s="582"/>
      <c r="M9" s="185"/>
      <c r="N9" s="580"/>
      <c r="O9" s="580"/>
      <c r="P9" s="187"/>
      <c r="Q9" s="187"/>
      <c r="R9" s="184"/>
      <c r="S9" s="181"/>
      <c r="T9" s="581"/>
      <c r="U9" s="187"/>
      <c r="V9" s="187"/>
      <c r="W9" s="184"/>
      <c r="X9" s="181"/>
      <c r="Y9" s="581"/>
      <c r="Z9" s="187"/>
      <c r="AA9" s="187"/>
      <c r="AB9" s="184"/>
      <c r="AC9" s="181"/>
      <c r="AD9" s="581"/>
      <c r="AE9" s="187"/>
      <c r="AF9" s="187"/>
      <c r="AG9" s="184"/>
      <c r="AH9" s="181"/>
      <c r="AI9" s="581"/>
      <c r="AJ9" s="187"/>
      <c r="AK9" s="187"/>
      <c r="AL9" s="184"/>
      <c r="AM9" s="181"/>
      <c r="AN9" s="581"/>
      <c r="AO9" s="187"/>
      <c r="AP9" s="187"/>
      <c r="AQ9" s="184"/>
      <c r="AR9" s="181"/>
      <c r="AS9" s="581"/>
      <c r="AT9" s="187"/>
      <c r="AU9" s="187"/>
      <c r="AV9" s="184"/>
      <c r="AW9" s="181"/>
      <c r="AX9" s="581"/>
    </row>
    <row r="10" spans="1:50" ht="14.25" customHeight="1">
      <c r="B10" s="580"/>
      <c r="C10" s="179">
        <v>4</v>
      </c>
      <c r="D10" s="182"/>
      <c r="E10" s="179"/>
      <c r="F10" s="179"/>
      <c r="G10" s="184"/>
      <c r="H10" s="581"/>
      <c r="I10" s="185"/>
      <c r="J10" s="185"/>
      <c r="K10" s="186"/>
      <c r="L10" s="582"/>
      <c r="M10" s="185"/>
      <c r="N10" s="580"/>
      <c r="O10" s="580"/>
      <c r="P10" s="187"/>
      <c r="Q10" s="187"/>
      <c r="R10" s="184"/>
      <c r="S10" s="181"/>
      <c r="T10" s="581"/>
      <c r="U10" s="187"/>
      <c r="V10" s="187"/>
      <c r="W10" s="184"/>
      <c r="X10" s="181"/>
      <c r="Y10" s="581"/>
      <c r="Z10" s="187"/>
      <c r="AA10" s="187"/>
      <c r="AB10" s="184"/>
      <c r="AC10" s="181"/>
      <c r="AD10" s="581"/>
      <c r="AE10" s="187"/>
      <c r="AF10" s="187"/>
      <c r="AG10" s="184"/>
      <c r="AH10" s="181"/>
      <c r="AI10" s="581"/>
      <c r="AJ10" s="187"/>
      <c r="AK10" s="187"/>
      <c r="AL10" s="184"/>
      <c r="AM10" s="181"/>
      <c r="AN10" s="581"/>
      <c r="AO10" s="187"/>
      <c r="AP10" s="187"/>
      <c r="AQ10" s="184"/>
      <c r="AR10" s="181"/>
      <c r="AS10" s="581"/>
      <c r="AT10" s="187"/>
      <c r="AU10" s="187"/>
      <c r="AV10" s="184"/>
      <c r="AW10" s="181"/>
      <c r="AX10" s="581"/>
    </row>
    <row r="11" spans="1:50" ht="14.25" customHeight="1">
      <c r="B11" s="580"/>
      <c r="C11" s="179">
        <v>5</v>
      </c>
      <c r="D11" s="182"/>
      <c r="E11" s="179"/>
      <c r="F11" s="179"/>
      <c r="G11" s="184"/>
      <c r="H11" s="581"/>
      <c r="I11" s="185"/>
      <c r="J11" s="185"/>
      <c r="K11" s="186"/>
      <c r="L11" s="582"/>
      <c r="M11" s="185"/>
      <c r="N11" s="580"/>
      <c r="O11" s="580"/>
      <c r="P11" s="187"/>
      <c r="Q11" s="187"/>
      <c r="R11" s="184"/>
      <c r="S11" s="181"/>
      <c r="T11" s="581"/>
      <c r="U11" s="187"/>
      <c r="V11" s="187"/>
      <c r="W11" s="184"/>
      <c r="X11" s="181"/>
      <c r="Y11" s="581"/>
      <c r="Z11" s="187"/>
      <c r="AA11" s="187"/>
      <c r="AB11" s="184"/>
      <c r="AC11" s="181"/>
      <c r="AD11" s="581"/>
      <c r="AE11" s="187"/>
      <c r="AF11" s="187"/>
      <c r="AG11" s="184"/>
      <c r="AH11" s="181"/>
      <c r="AI11" s="581"/>
      <c r="AJ11" s="187"/>
      <c r="AK11" s="187"/>
      <c r="AL11" s="184"/>
      <c r="AM11" s="181"/>
      <c r="AN11" s="581"/>
      <c r="AO11" s="187"/>
      <c r="AP11" s="187"/>
      <c r="AQ11" s="184"/>
      <c r="AR11" s="181"/>
      <c r="AS11" s="581"/>
      <c r="AT11" s="187"/>
      <c r="AU11" s="187"/>
      <c r="AV11" s="184"/>
      <c r="AW11" s="181"/>
      <c r="AX11" s="581"/>
    </row>
    <row r="12" spans="1:50" ht="14.25" customHeight="1">
      <c r="B12" s="580"/>
      <c r="C12" s="179">
        <v>6</v>
      </c>
      <c r="D12" s="182"/>
      <c r="E12" s="179"/>
      <c r="F12" s="179"/>
      <c r="G12" s="184"/>
      <c r="H12" s="581"/>
      <c r="I12" s="185"/>
      <c r="J12" s="185"/>
      <c r="K12" s="186"/>
      <c r="L12" s="582"/>
      <c r="M12" s="185"/>
      <c r="N12" s="580"/>
      <c r="O12" s="580"/>
      <c r="P12" s="187"/>
      <c r="Q12" s="187"/>
      <c r="R12" s="184"/>
      <c r="S12" s="181"/>
      <c r="T12" s="581"/>
      <c r="U12" s="187"/>
      <c r="V12" s="187"/>
      <c r="W12" s="184"/>
      <c r="X12" s="181"/>
      <c r="Y12" s="581"/>
      <c r="Z12" s="187"/>
      <c r="AA12" s="187"/>
      <c r="AB12" s="184"/>
      <c r="AC12" s="181"/>
      <c r="AD12" s="581"/>
      <c r="AE12" s="187"/>
      <c r="AF12" s="187"/>
      <c r="AG12" s="184"/>
      <c r="AH12" s="181"/>
      <c r="AI12" s="581"/>
      <c r="AJ12" s="187"/>
      <c r="AK12" s="187"/>
      <c r="AL12" s="184"/>
      <c r="AM12" s="181"/>
      <c r="AN12" s="581"/>
      <c r="AO12" s="187"/>
      <c r="AP12" s="187"/>
      <c r="AQ12" s="184"/>
      <c r="AR12" s="181"/>
      <c r="AS12" s="581"/>
      <c r="AT12" s="187"/>
      <c r="AU12" s="187"/>
      <c r="AV12" s="184"/>
      <c r="AW12" s="181"/>
      <c r="AX12" s="581"/>
    </row>
    <row r="13" spans="1:50" ht="14.25" customHeight="1">
      <c r="B13" s="580"/>
      <c r="C13" s="179">
        <v>7</v>
      </c>
      <c r="D13" s="182"/>
      <c r="E13" s="179"/>
      <c r="F13" s="179"/>
      <c r="G13" s="184"/>
      <c r="H13" s="581"/>
      <c r="I13" s="185"/>
      <c r="J13" s="185"/>
      <c r="K13" s="186"/>
      <c r="L13" s="582"/>
      <c r="M13" s="185"/>
      <c r="N13" s="580"/>
      <c r="O13" s="580"/>
      <c r="P13" s="187"/>
      <c r="Q13" s="187"/>
      <c r="R13" s="184"/>
      <c r="S13" s="181"/>
      <c r="T13" s="581"/>
      <c r="U13" s="187"/>
      <c r="V13" s="187"/>
      <c r="W13" s="184"/>
      <c r="X13" s="181"/>
      <c r="Y13" s="581"/>
      <c r="Z13" s="187"/>
      <c r="AA13" s="187"/>
      <c r="AB13" s="184"/>
      <c r="AC13" s="181"/>
      <c r="AD13" s="581"/>
      <c r="AE13" s="187"/>
      <c r="AF13" s="187"/>
      <c r="AG13" s="184"/>
      <c r="AH13" s="181"/>
      <c r="AI13" s="581"/>
      <c r="AJ13" s="187"/>
      <c r="AK13" s="187"/>
      <c r="AL13" s="184"/>
      <c r="AM13" s="181"/>
      <c r="AN13" s="581"/>
      <c r="AO13" s="187"/>
      <c r="AP13" s="187"/>
      <c r="AQ13" s="184"/>
      <c r="AR13" s="181"/>
      <c r="AS13" s="581"/>
      <c r="AT13" s="187"/>
      <c r="AU13" s="187"/>
      <c r="AV13" s="184"/>
      <c r="AW13" s="181"/>
      <c r="AX13" s="581"/>
    </row>
    <row r="14" spans="1:50" ht="14.25" customHeight="1">
      <c r="B14" s="580"/>
      <c r="C14" s="179">
        <v>8</v>
      </c>
      <c r="D14" s="182"/>
      <c r="E14" s="179"/>
      <c r="F14" s="179"/>
      <c r="G14" s="184"/>
      <c r="H14" s="581"/>
      <c r="I14" s="185"/>
      <c r="J14" s="185"/>
      <c r="K14" s="186"/>
      <c r="L14" s="582"/>
      <c r="M14" s="185"/>
      <c r="N14" s="580"/>
      <c r="O14" s="580"/>
      <c r="P14" s="187"/>
      <c r="Q14" s="187"/>
      <c r="R14" s="184"/>
      <c r="S14" s="181"/>
      <c r="T14" s="581"/>
      <c r="U14" s="187"/>
      <c r="V14" s="187"/>
      <c r="W14" s="184"/>
      <c r="X14" s="181"/>
      <c r="Y14" s="581"/>
      <c r="Z14" s="187"/>
      <c r="AA14" s="187"/>
      <c r="AB14" s="184"/>
      <c r="AC14" s="181"/>
      <c r="AD14" s="581"/>
      <c r="AE14" s="187"/>
      <c r="AF14" s="187"/>
      <c r="AG14" s="184"/>
      <c r="AH14" s="181"/>
      <c r="AI14" s="581"/>
      <c r="AJ14" s="187"/>
      <c r="AK14" s="187"/>
      <c r="AL14" s="184"/>
      <c r="AM14" s="181"/>
      <c r="AN14" s="581"/>
      <c r="AO14" s="187"/>
      <c r="AP14" s="187"/>
      <c r="AQ14" s="184"/>
      <c r="AR14" s="181"/>
      <c r="AS14" s="581"/>
      <c r="AT14" s="187"/>
      <c r="AU14" s="187"/>
      <c r="AV14" s="184"/>
      <c r="AW14" s="181"/>
      <c r="AX14" s="581"/>
    </row>
    <row r="15" spans="1:50" ht="14.25" customHeight="1">
      <c r="B15" s="580"/>
      <c r="C15" s="179">
        <v>9</v>
      </c>
      <c r="D15" s="182"/>
      <c r="E15" s="179"/>
      <c r="F15" s="179"/>
      <c r="G15" s="184"/>
      <c r="H15" s="581"/>
      <c r="I15" s="185"/>
      <c r="J15" s="185"/>
      <c r="K15" s="186"/>
      <c r="L15" s="582"/>
      <c r="M15" s="185"/>
      <c r="N15" s="580"/>
      <c r="O15" s="580"/>
      <c r="P15" s="187"/>
      <c r="Q15" s="187"/>
      <c r="R15" s="184"/>
      <c r="S15" s="181"/>
      <c r="T15" s="581"/>
      <c r="U15" s="187"/>
      <c r="V15" s="187"/>
      <c r="W15" s="184"/>
      <c r="X15" s="181"/>
      <c r="Y15" s="581"/>
      <c r="Z15" s="187"/>
      <c r="AA15" s="187"/>
      <c r="AB15" s="184"/>
      <c r="AC15" s="181"/>
      <c r="AD15" s="581"/>
      <c r="AE15" s="187"/>
      <c r="AF15" s="187"/>
      <c r="AG15" s="184"/>
      <c r="AH15" s="181"/>
      <c r="AI15" s="581"/>
      <c r="AJ15" s="187"/>
      <c r="AK15" s="187"/>
      <c r="AL15" s="184"/>
      <c r="AM15" s="181"/>
      <c r="AN15" s="581"/>
      <c r="AO15" s="187"/>
      <c r="AP15" s="187"/>
      <c r="AQ15" s="184"/>
      <c r="AR15" s="181"/>
      <c r="AS15" s="581"/>
      <c r="AT15" s="187"/>
      <c r="AU15" s="187"/>
      <c r="AV15" s="184"/>
      <c r="AW15" s="181"/>
      <c r="AX15" s="581"/>
    </row>
    <row r="16" spans="1:50" ht="14.25" customHeight="1">
      <c r="B16" s="580"/>
      <c r="C16" s="179">
        <v>10</v>
      </c>
      <c r="D16" s="182"/>
      <c r="E16" s="179"/>
      <c r="F16" s="179"/>
      <c r="G16" s="184"/>
      <c r="H16" s="581"/>
      <c r="I16" s="185"/>
      <c r="J16" s="185"/>
      <c r="K16" s="186"/>
      <c r="L16" s="582"/>
      <c r="M16" s="185"/>
      <c r="N16" s="580"/>
      <c r="O16" s="580"/>
      <c r="P16" s="187"/>
      <c r="Q16" s="187"/>
      <c r="R16" s="184"/>
      <c r="S16" s="181"/>
      <c r="T16" s="581"/>
      <c r="U16" s="187"/>
      <c r="V16" s="187"/>
      <c r="W16" s="184"/>
      <c r="X16" s="181"/>
      <c r="Y16" s="581"/>
      <c r="Z16" s="187"/>
      <c r="AA16" s="187"/>
      <c r="AB16" s="184"/>
      <c r="AC16" s="181"/>
      <c r="AD16" s="581"/>
      <c r="AE16" s="187"/>
      <c r="AF16" s="187"/>
      <c r="AG16" s="184"/>
      <c r="AH16" s="181"/>
      <c r="AI16" s="581"/>
      <c r="AJ16" s="187"/>
      <c r="AK16" s="187"/>
      <c r="AL16" s="184"/>
      <c r="AM16" s="181"/>
      <c r="AN16" s="581"/>
      <c r="AO16" s="187"/>
      <c r="AP16" s="187"/>
      <c r="AQ16" s="184"/>
      <c r="AR16" s="181"/>
      <c r="AS16" s="581"/>
      <c r="AT16" s="187"/>
      <c r="AU16" s="187"/>
      <c r="AV16" s="184"/>
      <c r="AW16" s="181"/>
      <c r="AX16" s="581"/>
    </row>
    <row r="17" spans="2:50" ht="14.25" customHeight="1">
      <c r="B17" s="580"/>
      <c r="C17" s="179">
        <v>11</v>
      </c>
      <c r="D17" s="182"/>
      <c r="E17" s="179"/>
      <c r="F17" s="179"/>
      <c r="G17" s="184"/>
      <c r="H17" s="581"/>
      <c r="I17" s="185"/>
      <c r="J17" s="185"/>
      <c r="K17" s="186"/>
      <c r="L17" s="582"/>
      <c r="M17" s="185"/>
      <c r="N17" s="580"/>
      <c r="O17" s="580"/>
      <c r="P17" s="187"/>
      <c r="Q17" s="187"/>
      <c r="R17" s="184"/>
      <c r="S17" s="181"/>
      <c r="T17" s="581"/>
      <c r="U17" s="187"/>
      <c r="V17" s="187"/>
      <c r="W17" s="184"/>
      <c r="X17" s="181"/>
      <c r="Y17" s="581"/>
      <c r="Z17" s="187"/>
      <c r="AA17" s="187"/>
      <c r="AB17" s="184"/>
      <c r="AC17" s="181"/>
      <c r="AD17" s="581"/>
      <c r="AE17" s="187"/>
      <c r="AF17" s="187"/>
      <c r="AG17" s="184"/>
      <c r="AH17" s="181"/>
      <c r="AI17" s="581"/>
      <c r="AJ17" s="187"/>
      <c r="AK17" s="187"/>
      <c r="AL17" s="184"/>
      <c r="AM17" s="181"/>
      <c r="AN17" s="581"/>
      <c r="AO17" s="187"/>
      <c r="AP17" s="187"/>
      <c r="AQ17" s="184"/>
      <c r="AR17" s="181"/>
      <c r="AS17" s="581"/>
      <c r="AT17" s="187"/>
      <c r="AU17" s="187"/>
      <c r="AV17" s="184"/>
      <c r="AW17" s="181"/>
      <c r="AX17" s="581"/>
    </row>
    <row r="18" spans="2:50" ht="14.25" customHeight="1">
      <c r="B18" s="580"/>
      <c r="C18" s="179">
        <v>12</v>
      </c>
      <c r="D18" s="182"/>
      <c r="E18" s="179"/>
      <c r="F18" s="179"/>
      <c r="G18" s="184"/>
      <c r="H18" s="581"/>
      <c r="I18" s="185"/>
      <c r="J18" s="185"/>
      <c r="K18" s="186"/>
      <c r="L18" s="582"/>
      <c r="M18" s="185"/>
      <c r="N18" s="580"/>
      <c r="O18" s="580"/>
      <c r="P18" s="187"/>
      <c r="Q18" s="187"/>
      <c r="R18" s="184"/>
      <c r="S18" s="181"/>
      <c r="T18" s="581"/>
      <c r="U18" s="187"/>
      <c r="V18" s="187"/>
      <c r="W18" s="184"/>
      <c r="X18" s="181"/>
      <c r="Y18" s="581"/>
      <c r="Z18" s="187"/>
      <c r="AA18" s="187"/>
      <c r="AB18" s="184"/>
      <c r="AC18" s="181"/>
      <c r="AD18" s="581"/>
      <c r="AE18" s="187"/>
      <c r="AF18" s="187"/>
      <c r="AG18" s="184"/>
      <c r="AH18" s="181"/>
      <c r="AI18" s="581"/>
      <c r="AJ18" s="187"/>
      <c r="AK18" s="187"/>
      <c r="AL18" s="184"/>
      <c r="AM18" s="181"/>
      <c r="AN18" s="581"/>
      <c r="AO18" s="187"/>
      <c r="AP18" s="187"/>
      <c r="AQ18" s="184"/>
      <c r="AR18" s="181"/>
      <c r="AS18" s="581"/>
      <c r="AT18" s="187"/>
      <c r="AU18" s="187"/>
      <c r="AV18" s="184"/>
      <c r="AW18" s="181"/>
      <c r="AX18" s="581"/>
    </row>
    <row r="19" spans="2:50" ht="14.25" customHeight="1">
      <c r="B19" s="580"/>
      <c r="C19" s="179">
        <v>13</v>
      </c>
      <c r="D19" s="182"/>
      <c r="E19" s="179"/>
      <c r="F19" s="179"/>
      <c r="G19" s="184"/>
      <c r="H19" s="581"/>
      <c r="I19" s="185"/>
      <c r="J19" s="185"/>
      <c r="K19" s="186"/>
      <c r="L19" s="582"/>
      <c r="M19" s="185"/>
      <c r="N19" s="580"/>
      <c r="O19" s="580"/>
      <c r="P19" s="187"/>
      <c r="Q19" s="187"/>
      <c r="R19" s="184"/>
      <c r="S19" s="181"/>
      <c r="T19" s="581"/>
      <c r="U19" s="187"/>
      <c r="V19" s="187"/>
      <c r="W19" s="184"/>
      <c r="X19" s="181"/>
      <c r="Y19" s="581"/>
      <c r="Z19" s="187"/>
      <c r="AA19" s="187"/>
      <c r="AB19" s="184"/>
      <c r="AC19" s="181"/>
      <c r="AD19" s="581"/>
      <c r="AE19" s="187"/>
      <c r="AF19" s="187"/>
      <c r="AG19" s="184"/>
      <c r="AH19" s="181"/>
      <c r="AI19" s="581"/>
      <c r="AJ19" s="187"/>
      <c r="AK19" s="187"/>
      <c r="AL19" s="184"/>
      <c r="AM19" s="181"/>
      <c r="AN19" s="581"/>
      <c r="AO19" s="187"/>
      <c r="AP19" s="187"/>
      <c r="AQ19" s="184"/>
      <c r="AR19" s="181"/>
      <c r="AS19" s="581"/>
      <c r="AT19" s="187"/>
      <c r="AU19" s="187"/>
      <c r="AV19" s="184"/>
      <c r="AW19" s="181"/>
      <c r="AX19" s="581"/>
    </row>
    <row r="20" spans="2:50" ht="14.25" customHeight="1">
      <c r="B20" s="580"/>
      <c r="C20" s="179">
        <v>14</v>
      </c>
      <c r="D20" s="182"/>
      <c r="E20" s="179"/>
      <c r="F20" s="179"/>
      <c r="G20" s="184"/>
      <c r="H20" s="581"/>
      <c r="I20" s="185"/>
      <c r="J20" s="185"/>
      <c r="K20" s="186"/>
      <c r="L20" s="582"/>
      <c r="M20" s="185"/>
      <c r="N20" s="580"/>
      <c r="O20" s="580"/>
      <c r="P20" s="187"/>
      <c r="Q20" s="187"/>
      <c r="R20" s="184"/>
      <c r="S20" s="181"/>
      <c r="T20" s="581"/>
      <c r="U20" s="187"/>
      <c r="V20" s="187"/>
      <c r="W20" s="184"/>
      <c r="X20" s="181"/>
      <c r="Y20" s="581"/>
      <c r="Z20" s="187"/>
      <c r="AA20" s="187"/>
      <c r="AB20" s="184"/>
      <c r="AC20" s="181"/>
      <c r="AD20" s="581"/>
      <c r="AE20" s="187"/>
      <c r="AF20" s="187"/>
      <c r="AG20" s="184"/>
      <c r="AH20" s="181"/>
      <c r="AI20" s="581"/>
      <c r="AJ20" s="187"/>
      <c r="AK20" s="187"/>
      <c r="AL20" s="184"/>
      <c r="AM20" s="181"/>
      <c r="AN20" s="581"/>
      <c r="AO20" s="187"/>
      <c r="AP20" s="187"/>
      <c r="AQ20" s="184"/>
      <c r="AR20" s="181"/>
      <c r="AS20" s="581"/>
      <c r="AT20" s="187"/>
      <c r="AU20" s="187"/>
      <c r="AV20" s="184"/>
      <c r="AW20" s="181"/>
      <c r="AX20" s="581"/>
    </row>
    <row r="21" spans="2:50" ht="14.25" customHeight="1">
      <c r="B21" s="580"/>
      <c r="C21" s="179">
        <v>15</v>
      </c>
      <c r="D21" s="182"/>
      <c r="E21" s="179"/>
      <c r="F21" s="179"/>
      <c r="G21" s="184"/>
      <c r="H21" s="581"/>
      <c r="I21" s="185"/>
      <c r="J21" s="185"/>
      <c r="K21" s="186"/>
      <c r="L21" s="582"/>
      <c r="M21" s="185"/>
      <c r="N21" s="580"/>
      <c r="O21" s="580"/>
      <c r="P21" s="187"/>
      <c r="Q21" s="187"/>
      <c r="R21" s="184"/>
      <c r="S21" s="181"/>
      <c r="T21" s="581"/>
      <c r="U21" s="187"/>
      <c r="V21" s="187"/>
      <c r="W21" s="184"/>
      <c r="X21" s="181"/>
      <c r="Y21" s="581"/>
      <c r="Z21" s="187"/>
      <c r="AA21" s="187"/>
      <c r="AB21" s="184"/>
      <c r="AC21" s="181"/>
      <c r="AD21" s="581"/>
      <c r="AE21" s="187"/>
      <c r="AF21" s="187"/>
      <c r="AG21" s="184"/>
      <c r="AH21" s="181"/>
      <c r="AI21" s="581"/>
      <c r="AJ21" s="187"/>
      <c r="AK21" s="187"/>
      <c r="AL21" s="184"/>
      <c r="AM21" s="181"/>
      <c r="AN21" s="581"/>
      <c r="AO21" s="187"/>
      <c r="AP21" s="187"/>
      <c r="AQ21" s="184"/>
      <c r="AR21" s="181"/>
      <c r="AS21" s="581"/>
      <c r="AT21" s="187"/>
      <c r="AU21" s="187"/>
      <c r="AV21" s="184"/>
      <c r="AW21" s="181"/>
      <c r="AX21" s="581"/>
    </row>
    <row r="22" spans="2:50" ht="14.25" customHeight="1">
      <c r="B22" s="608" t="s">
        <v>807</v>
      </c>
      <c r="C22" s="609"/>
      <c r="D22" s="609"/>
      <c r="E22" s="609"/>
      <c r="F22" s="609"/>
      <c r="G22" s="609"/>
      <c r="H22" s="609"/>
      <c r="I22" s="609"/>
      <c r="J22" s="609"/>
      <c r="K22" s="609"/>
      <c r="L22" s="609"/>
      <c r="M22" s="610"/>
      <c r="N22" s="613" t="s">
        <v>363</v>
      </c>
      <c r="O22" s="613" t="s">
        <v>105</v>
      </c>
      <c r="P22" s="602">
        <v>46210</v>
      </c>
      <c r="Q22" s="603"/>
      <c r="R22" s="603"/>
      <c r="S22" s="603"/>
      <c r="T22" s="603"/>
      <c r="U22" s="594">
        <f>P22+1</f>
        <v>46211</v>
      </c>
      <c r="V22" s="595"/>
      <c r="W22" s="595"/>
      <c r="X22" s="595"/>
      <c r="Y22" s="595"/>
      <c r="Z22" s="602">
        <f t="shared" ref="Z22" si="5">U22+1</f>
        <v>46212</v>
      </c>
      <c r="AA22" s="603"/>
      <c r="AB22" s="603"/>
      <c r="AC22" s="603"/>
      <c r="AD22" s="603"/>
      <c r="AE22" s="594">
        <f t="shared" ref="AE22" si="6">Z22+1</f>
        <v>46213</v>
      </c>
      <c r="AF22" s="595"/>
      <c r="AG22" s="595"/>
      <c r="AH22" s="595"/>
      <c r="AI22" s="595"/>
      <c r="AJ22" s="586">
        <f t="shared" ref="AJ22" si="7">AE22+1</f>
        <v>46214</v>
      </c>
      <c r="AK22" s="587"/>
      <c r="AL22" s="587"/>
      <c r="AM22" s="587"/>
      <c r="AN22" s="588"/>
      <c r="AO22" s="594">
        <f t="shared" ref="AO22" si="8">AJ22+1</f>
        <v>46215</v>
      </c>
      <c r="AP22" s="595"/>
      <c r="AQ22" s="595"/>
      <c r="AR22" s="595"/>
      <c r="AS22" s="595"/>
      <c r="AT22" s="586">
        <f t="shared" ref="AT22" si="9">AO22+1</f>
        <v>46216</v>
      </c>
      <c r="AU22" s="587"/>
      <c r="AV22" s="587"/>
      <c r="AW22" s="587"/>
      <c r="AX22" s="588"/>
    </row>
    <row r="23" spans="2:50" ht="14.25" customHeight="1">
      <c r="B23" s="611"/>
      <c r="C23" s="611"/>
      <c r="D23" s="611"/>
      <c r="E23" s="611"/>
      <c r="F23" s="611"/>
      <c r="G23" s="611"/>
      <c r="H23" s="611"/>
      <c r="I23" s="611"/>
      <c r="J23" s="611"/>
      <c r="K23" s="611"/>
      <c r="L23" s="611"/>
      <c r="M23" s="612"/>
      <c r="N23" s="614"/>
      <c r="O23" s="614"/>
      <c r="P23" s="589">
        <v>46196</v>
      </c>
      <c r="Q23" s="589"/>
      <c r="R23" s="589"/>
      <c r="S23" s="589"/>
      <c r="T23" s="589"/>
      <c r="U23" s="590">
        <v>46197</v>
      </c>
      <c r="V23" s="590"/>
      <c r="W23" s="590"/>
      <c r="X23" s="590"/>
      <c r="Y23" s="590"/>
      <c r="Z23" s="589">
        <v>46198</v>
      </c>
      <c r="AA23" s="589"/>
      <c r="AB23" s="589"/>
      <c r="AC23" s="589"/>
      <c r="AD23" s="589"/>
      <c r="AE23" s="590">
        <v>46199</v>
      </c>
      <c r="AF23" s="590"/>
      <c r="AG23" s="590"/>
      <c r="AH23" s="590"/>
      <c r="AI23" s="590"/>
      <c r="AJ23" s="591">
        <v>46200</v>
      </c>
      <c r="AK23" s="592"/>
      <c r="AL23" s="592"/>
      <c r="AM23" s="592"/>
      <c r="AN23" s="593"/>
      <c r="AO23" s="590">
        <v>46201</v>
      </c>
      <c r="AP23" s="590"/>
      <c r="AQ23" s="590"/>
      <c r="AR23" s="590"/>
      <c r="AS23" s="590"/>
      <c r="AT23" s="591">
        <v>46202</v>
      </c>
      <c r="AU23" s="592"/>
      <c r="AV23" s="592"/>
      <c r="AW23" s="592"/>
      <c r="AX23" s="593"/>
    </row>
    <row r="24" spans="2:50" ht="14.25" customHeight="1">
      <c r="B24" s="580" t="s">
        <v>162</v>
      </c>
      <c r="C24" s="580" t="s">
        <v>157</v>
      </c>
      <c r="D24" s="580"/>
      <c r="E24" s="580" t="s">
        <v>158</v>
      </c>
      <c r="F24" s="580"/>
      <c r="G24" s="580"/>
      <c r="H24" s="580" t="s">
        <v>163</v>
      </c>
      <c r="I24" s="583" t="s">
        <v>364</v>
      </c>
      <c r="J24" s="583"/>
      <c r="K24" s="583"/>
      <c r="L24" s="583" t="s">
        <v>163</v>
      </c>
      <c r="M24" s="583" t="s">
        <v>165</v>
      </c>
      <c r="N24" s="580"/>
      <c r="O24" s="580" t="s">
        <v>164</v>
      </c>
      <c r="P24" s="580" t="s">
        <v>160</v>
      </c>
      <c r="Q24" s="580"/>
      <c r="R24" s="580"/>
      <c r="S24" s="580"/>
      <c r="T24" s="580" t="s">
        <v>163</v>
      </c>
      <c r="U24" s="580" t="s">
        <v>160</v>
      </c>
      <c r="V24" s="580"/>
      <c r="W24" s="580"/>
      <c r="X24" s="580"/>
      <c r="Y24" s="580" t="s">
        <v>163</v>
      </c>
      <c r="Z24" s="580" t="s">
        <v>160</v>
      </c>
      <c r="AA24" s="580"/>
      <c r="AB24" s="580"/>
      <c r="AC24" s="580"/>
      <c r="AD24" s="580" t="s">
        <v>163</v>
      </c>
      <c r="AE24" s="580" t="s">
        <v>160</v>
      </c>
      <c r="AF24" s="580"/>
      <c r="AG24" s="580"/>
      <c r="AH24" s="580"/>
      <c r="AI24" s="580" t="s">
        <v>163</v>
      </c>
      <c r="AJ24" s="580" t="s">
        <v>160</v>
      </c>
      <c r="AK24" s="580"/>
      <c r="AL24" s="580"/>
      <c r="AM24" s="580"/>
      <c r="AN24" s="580" t="s">
        <v>163</v>
      </c>
      <c r="AO24" s="580" t="s">
        <v>160</v>
      </c>
      <c r="AP24" s="580"/>
      <c r="AQ24" s="580"/>
      <c r="AR24" s="580"/>
      <c r="AS24" s="580" t="s">
        <v>163</v>
      </c>
      <c r="AT24" s="580" t="s">
        <v>160</v>
      </c>
      <c r="AU24" s="580"/>
      <c r="AV24" s="580"/>
      <c r="AW24" s="580"/>
      <c r="AX24" s="580" t="s">
        <v>163</v>
      </c>
    </row>
    <row r="25" spans="2:50" ht="14.25" customHeight="1">
      <c r="B25" s="580"/>
      <c r="C25" s="580"/>
      <c r="D25" s="580"/>
      <c r="E25" s="580" t="s">
        <v>365</v>
      </c>
      <c r="F25" s="580"/>
      <c r="G25" s="580"/>
      <c r="H25" s="580"/>
      <c r="I25" s="583" t="s">
        <v>365</v>
      </c>
      <c r="J25" s="583"/>
      <c r="K25" s="583"/>
      <c r="L25" s="583"/>
      <c r="M25" s="583"/>
      <c r="N25" s="580"/>
      <c r="O25" s="580"/>
      <c r="P25" s="580" t="s">
        <v>366</v>
      </c>
      <c r="Q25" s="580"/>
      <c r="R25" s="580"/>
      <c r="S25" s="580"/>
      <c r="T25" s="580"/>
      <c r="U25" s="580" t="s">
        <v>366</v>
      </c>
      <c r="V25" s="580"/>
      <c r="W25" s="580"/>
      <c r="X25" s="580"/>
      <c r="Y25" s="580"/>
      <c r="Z25" s="580" t="s">
        <v>366</v>
      </c>
      <c r="AA25" s="580"/>
      <c r="AB25" s="580"/>
      <c r="AC25" s="580"/>
      <c r="AD25" s="580"/>
      <c r="AE25" s="580" t="s">
        <v>366</v>
      </c>
      <c r="AF25" s="580"/>
      <c r="AG25" s="580"/>
      <c r="AH25" s="580"/>
      <c r="AI25" s="580"/>
      <c r="AJ25" s="580" t="s">
        <v>366</v>
      </c>
      <c r="AK25" s="580"/>
      <c r="AL25" s="580"/>
      <c r="AM25" s="580"/>
      <c r="AN25" s="580"/>
      <c r="AO25" s="580" t="s">
        <v>366</v>
      </c>
      <c r="AP25" s="580"/>
      <c r="AQ25" s="580"/>
      <c r="AR25" s="580"/>
      <c r="AS25" s="580"/>
      <c r="AT25" s="580" t="s">
        <v>366</v>
      </c>
      <c r="AU25" s="580"/>
      <c r="AV25" s="580"/>
      <c r="AW25" s="580"/>
      <c r="AX25" s="580"/>
    </row>
    <row r="26" spans="2:50" ht="14.25" customHeight="1">
      <c r="B26" s="580"/>
      <c r="C26" s="580"/>
      <c r="D26" s="580"/>
      <c r="E26" s="179" t="s">
        <v>159</v>
      </c>
      <c r="F26" s="179" t="s">
        <v>367</v>
      </c>
      <c r="G26" s="179" t="s">
        <v>161</v>
      </c>
      <c r="H26" s="580"/>
      <c r="I26" s="180" t="s">
        <v>159</v>
      </c>
      <c r="J26" s="180" t="s">
        <v>367</v>
      </c>
      <c r="K26" s="180" t="s">
        <v>161</v>
      </c>
      <c r="L26" s="583"/>
      <c r="M26" s="583"/>
      <c r="N26" s="580"/>
      <c r="O26" s="580"/>
      <c r="P26" s="179" t="s">
        <v>159</v>
      </c>
      <c r="Q26" s="179" t="s">
        <v>367</v>
      </c>
      <c r="R26" s="179" t="s">
        <v>161</v>
      </c>
      <c r="S26" s="181" t="s">
        <v>165</v>
      </c>
      <c r="T26" s="580"/>
      <c r="U26" s="179" t="s">
        <v>159</v>
      </c>
      <c r="V26" s="179" t="s">
        <v>367</v>
      </c>
      <c r="W26" s="179" t="s">
        <v>161</v>
      </c>
      <c r="X26" s="181" t="s">
        <v>165</v>
      </c>
      <c r="Y26" s="580"/>
      <c r="Z26" s="179" t="s">
        <v>159</v>
      </c>
      <c r="AA26" s="179" t="s">
        <v>367</v>
      </c>
      <c r="AB26" s="179" t="s">
        <v>161</v>
      </c>
      <c r="AC26" s="181" t="s">
        <v>165</v>
      </c>
      <c r="AD26" s="580"/>
      <c r="AE26" s="179" t="s">
        <v>159</v>
      </c>
      <c r="AF26" s="179" t="s">
        <v>367</v>
      </c>
      <c r="AG26" s="179" t="s">
        <v>161</v>
      </c>
      <c r="AH26" s="181" t="s">
        <v>165</v>
      </c>
      <c r="AI26" s="580"/>
      <c r="AJ26" s="179" t="s">
        <v>159</v>
      </c>
      <c r="AK26" s="179" t="s">
        <v>367</v>
      </c>
      <c r="AL26" s="179" t="s">
        <v>161</v>
      </c>
      <c r="AM26" s="181" t="s">
        <v>165</v>
      </c>
      <c r="AN26" s="580"/>
      <c r="AO26" s="179" t="s">
        <v>159</v>
      </c>
      <c r="AP26" s="179" t="s">
        <v>367</v>
      </c>
      <c r="AQ26" s="179" t="s">
        <v>161</v>
      </c>
      <c r="AR26" s="181" t="s">
        <v>165</v>
      </c>
      <c r="AS26" s="580"/>
      <c r="AT26" s="179" t="s">
        <v>159</v>
      </c>
      <c r="AU26" s="179" t="s">
        <v>367</v>
      </c>
      <c r="AV26" s="179" t="s">
        <v>161</v>
      </c>
      <c r="AW26" s="181" t="s">
        <v>165</v>
      </c>
      <c r="AX26" s="580"/>
    </row>
    <row r="27" spans="2:50" ht="14.25" customHeight="1">
      <c r="B27" s="580" t="s">
        <v>427</v>
      </c>
      <c r="C27" s="179">
        <v>1</v>
      </c>
      <c r="D27" s="182"/>
      <c r="E27" s="183"/>
      <c r="F27" s="179"/>
      <c r="G27" s="184"/>
      <c r="H27" s="581"/>
      <c r="I27" s="185"/>
      <c r="J27" s="185"/>
      <c r="K27" s="186"/>
      <c r="L27" s="582"/>
      <c r="M27" s="185"/>
      <c r="N27" s="580"/>
      <c r="O27" s="580"/>
      <c r="P27" s="187"/>
      <c r="Q27" s="187"/>
      <c r="R27" s="184"/>
      <c r="S27" s="181"/>
      <c r="T27" s="581"/>
      <c r="U27" s="187"/>
      <c r="V27" s="187"/>
      <c r="W27" s="184"/>
      <c r="X27" s="181"/>
      <c r="Y27" s="581"/>
      <c r="Z27" s="187"/>
      <c r="AA27" s="187"/>
      <c r="AB27" s="184"/>
      <c r="AC27" s="181"/>
      <c r="AD27" s="581"/>
      <c r="AE27" s="187"/>
      <c r="AF27" s="187"/>
      <c r="AG27" s="184"/>
      <c r="AH27" s="181"/>
      <c r="AI27" s="581"/>
      <c r="AJ27" s="187"/>
      <c r="AK27" s="187"/>
      <c r="AL27" s="184"/>
      <c r="AM27" s="181"/>
      <c r="AN27" s="581"/>
      <c r="AO27" s="187"/>
      <c r="AP27" s="187"/>
      <c r="AQ27" s="184"/>
      <c r="AR27" s="181"/>
      <c r="AS27" s="581"/>
      <c r="AT27" s="187"/>
      <c r="AU27" s="187"/>
      <c r="AV27" s="184"/>
      <c r="AW27" s="181"/>
      <c r="AX27" s="581"/>
    </row>
    <row r="28" spans="2:50" ht="14.25" customHeight="1">
      <c r="B28" s="580"/>
      <c r="C28" s="179">
        <v>2</v>
      </c>
      <c r="D28" s="182"/>
      <c r="E28" s="179"/>
      <c r="F28" s="179"/>
      <c r="G28" s="184"/>
      <c r="H28" s="581"/>
      <c r="I28" s="185"/>
      <c r="J28" s="185"/>
      <c r="K28" s="186"/>
      <c r="L28" s="582"/>
      <c r="M28" s="185"/>
      <c r="N28" s="580"/>
      <c r="O28" s="580"/>
      <c r="P28" s="187"/>
      <c r="Q28" s="187"/>
      <c r="R28" s="184"/>
      <c r="S28" s="181"/>
      <c r="T28" s="581"/>
      <c r="U28" s="187"/>
      <c r="V28" s="187"/>
      <c r="W28" s="184"/>
      <c r="X28" s="181"/>
      <c r="Y28" s="581"/>
      <c r="Z28" s="187"/>
      <c r="AA28" s="187"/>
      <c r="AB28" s="184"/>
      <c r="AC28" s="181"/>
      <c r="AD28" s="581"/>
      <c r="AE28" s="187"/>
      <c r="AF28" s="187"/>
      <c r="AG28" s="184"/>
      <c r="AH28" s="181"/>
      <c r="AI28" s="581"/>
      <c r="AJ28" s="187"/>
      <c r="AK28" s="187"/>
      <c r="AL28" s="184"/>
      <c r="AM28" s="181"/>
      <c r="AN28" s="581"/>
      <c r="AO28" s="187"/>
      <c r="AP28" s="187"/>
      <c r="AQ28" s="184"/>
      <c r="AR28" s="181"/>
      <c r="AS28" s="581"/>
      <c r="AT28" s="187"/>
      <c r="AU28" s="187"/>
      <c r="AV28" s="184"/>
      <c r="AW28" s="181"/>
      <c r="AX28" s="581"/>
    </row>
    <row r="29" spans="2:50" ht="14.25" customHeight="1">
      <c r="B29" s="580"/>
      <c r="C29" s="179">
        <v>3</v>
      </c>
      <c r="D29" s="182"/>
      <c r="E29" s="179"/>
      <c r="F29" s="179"/>
      <c r="G29" s="184"/>
      <c r="H29" s="581"/>
      <c r="I29" s="185"/>
      <c r="J29" s="185"/>
      <c r="K29" s="186"/>
      <c r="L29" s="582"/>
      <c r="M29" s="185"/>
      <c r="N29" s="580"/>
      <c r="O29" s="580"/>
      <c r="P29" s="187"/>
      <c r="Q29" s="187"/>
      <c r="R29" s="184"/>
      <c r="S29" s="181"/>
      <c r="T29" s="581"/>
      <c r="U29" s="187"/>
      <c r="V29" s="187"/>
      <c r="W29" s="184"/>
      <c r="X29" s="181"/>
      <c r="Y29" s="581"/>
      <c r="Z29" s="187"/>
      <c r="AA29" s="187"/>
      <c r="AB29" s="184"/>
      <c r="AC29" s="181"/>
      <c r="AD29" s="581"/>
      <c r="AE29" s="187"/>
      <c r="AF29" s="187"/>
      <c r="AG29" s="184"/>
      <c r="AH29" s="181"/>
      <c r="AI29" s="581"/>
      <c r="AJ29" s="187"/>
      <c r="AK29" s="187"/>
      <c r="AL29" s="184"/>
      <c r="AM29" s="181"/>
      <c r="AN29" s="581"/>
      <c r="AO29" s="187"/>
      <c r="AP29" s="187"/>
      <c r="AQ29" s="184"/>
      <c r="AR29" s="181"/>
      <c r="AS29" s="581"/>
      <c r="AT29" s="187"/>
      <c r="AU29" s="187"/>
      <c r="AV29" s="184"/>
      <c r="AW29" s="181"/>
      <c r="AX29" s="581"/>
    </row>
    <row r="30" spans="2:50" ht="14.25" customHeight="1">
      <c r="B30" s="580"/>
      <c r="C30" s="179">
        <v>4</v>
      </c>
      <c r="D30" s="182"/>
      <c r="E30" s="179"/>
      <c r="F30" s="179"/>
      <c r="G30" s="184"/>
      <c r="H30" s="581"/>
      <c r="I30" s="185"/>
      <c r="J30" s="185"/>
      <c r="K30" s="186"/>
      <c r="L30" s="582"/>
      <c r="M30" s="185"/>
      <c r="N30" s="580"/>
      <c r="O30" s="580"/>
      <c r="P30" s="187"/>
      <c r="Q30" s="187"/>
      <c r="R30" s="184"/>
      <c r="S30" s="181"/>
      <c r="T30" s="581"/>
      <c r="U30" s="187"/>
      <c r="V30" s="187"/>
      <c r="W30" s="184"/>
      <c r="X30" s="181"/>
      <c r="Y30" s="581"/>
      <c r="Z30" s="187"/>
      <c r="AA30" s="187"/>
      <c r="AB30" s="184"/>
      <c r="AC30" s="181"/>
      <c r="AD30" s="581"/>
      <c r="AE30" s="187"/>
      <c r="AF30" s="187"/>
      <c r="AG30" s="184"/>
      <c r="AH30" s="181"/>
      <c r="AI30" s="581"/>
      <c r="AJ30" s="187"/>
      <c r="AK30" s="187"/>
      <c r="AL30" s="184"/>
      <c r="AM30" s="181"/>
      <c r="AN30" s="581"/>
      <c r="AO30" s="187"/>
      <c r="AP30" s="187"/>
      <c r="AQ30" s="184"/>
      <c r="AR30" s="181"/>
      <c r="AS30" s="581"/>
      <c r="AT30" s="187"/>
      <c r="AU30" s="187"/>
      <c r="AV30" s="184"/>
      <c r="AW30" s="181"/>
      <c r="AX30" s="581"/>
    </row>
    <row r="31" spans="2:50" ht="14.25" customHeight="1">
      <c r="B31" s="580"/>
      <c r="C31" s="179">
        <v>5</v>
      </c>
      <c r="D31" s="182"/>
      <c r="E31" s="179"/>
      <c r="F31" s="179"/>
      <c r="G31" s="184"/>
      <c r="H31" s="581"/>
      <c r="I31" s="185"/>
      <c r="J31" s="185"/>
      <c r="K31" s="186"/>
      <c r="L31" s="582"/>
      <c r="M31" s="185"/>
      <c r="N31" s="580"/>
      <c r="O31" s="580"/>
      <c r="P31" s="187"/>
      <c r="Q31" s="187"/>
      <c r="R31" s="184"/>
      <c r="S31" s="181"/>
      <c r="T31" s="581"/>
      <c r="U31" s="187"/>
      <c r="V31" s="187"/>
      <c r="W31" s="184"/>
      <c r="X31" s="181"/>
      <c r="Y31" s="581"/>
      <c r="Z31" s="187"/>
      <c r="AA31" s="187"/>
      <c r="AB31" s="184"/>
      <c r="AC31" s="181"/>
      <c r="AD31" s="581"/>
      <c r="AE31" s="187"/>
      <c r="AF31" s="187"/>
      <c r="AG31" s="184"/>
      <c r="AH31" s="181"/>
      <c r="AI31" s="581"/>
      <c r="AJ31" s="187"/>
      <c r="AK31" s="187"/>
      <c r="AL31" s="184"/>
      <c r="AM31" s="181"/>
      <c r="AN31" s="581"/>
      <c r="AO31" s="187"/>
      <c r="AP31" s="187"/>
      <c r="AQ31" s="184"/>
      <c r="AR31" s="181"/>
      <c r="AS31" s="581"/>
      <c r="AT31" s="187"/>
      <c r="AU31" s="187"/>
      <c r="AV31" s="184"/>
      <c r="AW31" s="181"/>
      <c r="AX31" s="581"/>
    </row>
    <row r="32" spans="2:50" ht="14.25" customHeight="1">
      <c r="B32" s="580"/>
      <c r="C32" s="179">
        <v>6</v>
      </c>
      <c r="D32" s="182"/>
      <c r="E32" s="179"/>
      <c r="F32" s="179"/>
      <c r="G32" s="184"/>
      <c r="H32" s="581"/>
      <c r="I32" s="185"/>
      <c r="J32" s="185"/>
      <c r="K32" s="186"/>
      <c r="L32" s="582"/>
      <c r="M32" s="185"/>
      <c r="N32" s="580"/>
      <c r="O32" s="580"/>
      <c r="P32" s="187"/>
      <c r="Q32" s="187"/>
      <c r="R32" s="184"/>
      <c r="S32" s="181"/>
      <c r="T32" s="581"/>
      <c r="U32" s="187"/>
      <c r="V32" s="187"/>
      <c r="W32" s="184"/>
      <c r="X32" s="181"/>
      <c r="Y32" s="581"/>
      <c r="Z32" s="187"/>
      <c r="AA32" s="187"/>
      <c r="AB32" s="184"/>
      <c r="AC32" s="181"/>
      <c r="AD32" s="581"/>
      <c r="AE32" s="187"/>
      <c r="AF32" s="187"/>
      <c r="AG32" s="184"/>
      <c r="AH32" s="181"/>
      <c r="AI32" s="581"/>
      <c r="AJ32" s="187"/>
      <c r="AK32" s="187"/>
      <c r="AL32" s="184"/>
      <c r="AM32" s="181"/>
      <c r="AN32" s="581"/>
      <c r="AO32" s="187"/>
      <c r="AP32" s="187"/>
      <c r="AQ32" s="184"/>
      <c r="AR32" s="181"/>
      <c r="AS32" s="581"/>
      <c r="AT32" s="187"/>
      <c r="AU32" s="187"/>
      <c r="AV32" s="184"/>
      <c r="AW32" s="181"/>
      <c r="AX32" s="581"/>
    </row>
    <row r="33" spans="2:50" ht="14.25" customHeight="1">
      <c r="B33" s="580"/>
      <c r="C33" s="179">
        <v>7</v>
      </c>
      <c r="D33" s="182"/>
      <c r="E33" s="179"/>
      <c r="F33" s="179"/>
      <c r="G33" s="184"/>
      <c r="H33" s="581"/>
      <c r="I33" s="185"/>
      <c r="J33" s="185"/>
      <c r="K33" s="186"/>
      <c r="L33" s="582"/>
      <c r="M33" s="185"/>
      <c r="N33" s="580"/>
      <c r="O33" s="580"/>
      <c r="P33" s="187"/>
      <c r="Q33" s="187"/>
      <c r="R33" s="184"/>
      <c r="S33" s="181"/>
      <c r="T33" s="581"/>
      <c r="U33" s="187"/>
      <c r="V33" s="187"/>
      <c r="W33" s="184"/>
      <c r="X33" s="181"/>
      <c r="Y33" s="581"/>
      <c r="Z33" s="187"/>
      <c r="AA33" s="187"/>
      <c r="AB33" s="184"/>
      <c r="AC33" s="181"/>
      <c r="AD33" s="581"/>
      <c r="AE33" s="187"/>
      <c r="AF33" s="187"/>
      <c r="AG33" s="184"/>
      <c r="AH33" s="181"/>
      <c r="AI33" s="581"/>
      <c r="AJ33" s="187"/>
      <c r="AK33" s="187"/>
      <c r="AL33" s="184"/>
      <c r="AM33" s="181"/>
      <c r="AN33" s="581"/>
      <c r="AO33" s="187"/>
      <c r="AP33" s="187"/>
      <c r="AQ33" s="184"/>
      <c r="AR33" s="181"/>
      <c r="AS33" s="581"/>
      <c r="AT33" s="187"/>
      <c r="AU33" s="187"/>
      <c r="AV33" s="184"/>
      <c r="AW33" s="181"/>
      <c r="AX33" s="581"/>
    </row>
    <row r="34" spans="2:50" ht="14.25" customHeight="1">
      <c r="B34" s="580"/>
      <c r="C34" s="179">
        <v>8</v>
      </c>
      <c r="D34" s="182"/>
      <c r="E34" s="179"/>
      <c r="F34" s="179"/>
      <c r="G34" s="184"/>
      <c r="H34" s="581"/>
      <c r="I34" s="185"/>
      <c r="J34" s="185"/>
      <c r="K34" s="186"/>
      <c r="L34" s="582"/>
      <c r="M34" s="185"/>
      <c r="N34" s="580"/>
      <c r="O34" s="580"/>
      <c r="P34" s="187"/>
      <c r="Q34" s="187"/>
      <c r="R34" s="184"/>
      <c r="S34" s="181"/>
      <c r="T34" s="581"/>
      <c r="U34" s="187"/>
      <c r="V34" s="187"/>
      <c r="W34" s="184"/>
      <c r="X34" s="181"/>
      <c r="Y34" s="581"/>
      <c r="Z34" s="187"/>
      <c r="AA34" s="187"/>
      <c r="AB34" s="184"/>
      <c r="AC34" s="181"/>
      <c r="AD34" s="581"/>
      <c r="AE34" s="187"/>
      <c r="AF34" s="187"/>
      <c r="AG34" s="184"/>
      <c r="AH34" s="181"/>
      <c r="AI34" s="581"/>
      <c r="AJ34" s="187"/>
      <c r="AK34" s="187"/>
      <c r="AL34" s="184"/>
      <c r="AM34" s="181"/>
      <c r="AN34" s="581"/>
      <c r="AO34" s="187"/>
      <c r="AP34" s="187"/>
      <c r="AQ34" s="184"/>
      <c r="AR34" s="181"/>
      <c r="AS34" s="581"/>
      <c r="AT34" s="187"/>
      <c r="AU34" s="187"/>
      <c r="AV34" s="184"/>
      <c r="AW34" s="181"/>
      <c r="AX34" s="581"/>
    </row>
    <row r="35" spans="2:50" ht="14.25" customHeight="1">
      <c r="B35" s="580"/>
      <c r="C35" s="179">
        <v>9</v>
      </c>
      <c r="D35" s="182"/>
      <c r="E35" s="179"/>
      <c r="F35" s="179"/>
      <c r="G35" s="184"/>
      <c r="H35" s="581"/>
      <c r="I35" s="185"/>
      <c r="J35" s="185"/>
      <c r="K35" s="186"/>
      <c r="L35" s="582"/>
      <c r="M35" s="185"/>
      <c r="N35" s="580"/>
      <c r="O35" s="580"/>
      <c r="P35" s="187"/>
      <c r="Q35" s="187"/>
      <c r="R35" s="184"/>
      <c r="S35" s="181"/>
      <c r="T35" s="581"/>
      <c r="U35" s="187"/>
      <c r="V35" s="187"/>
      <c r="W35" s="184"/>
      <c r="X35" s="181"/>
      <c r="Y35" s="581"/>
      <c r="Z35" s="187"/>
      <c r="AA35" s="187"/>
      <c r="AB35" s="184"/>
      <c r="AC35" s="181"/>
      <c r="AD35" s="581"/>
      <c r="AE35" s="187"/>
      <c r="AF35" s="187"/>
      <c r="AG35" s="184"/>
      <c r="AH35" s="181"/>
      <c r="AI35" s="581"/>
      <c r="AJ35" s="187"/>
      <c r="AK35" s="187"/>
      <c r="AL35" s="184"/>
      <c r="AM35" s="181"/>
      <c r="AN35" s="581"/>
      <c r="AO35" s="187"/>
      <c r="AP35" s="187"/>
      <c r="AQ35" s="184"/>
      <c r="AR35" s="181"/>
      <c r="AS35" s="581"/>
      <c r="AT35" s="187"/>
      <c r="AU35" s="187"/>
      <c r="AV35" s="184"/>
      <c r="AW35" s="181"/>
      <c r="AX35" s="581"/>
    </row>
    <row r="36" spans="2:50" ht="14.25" customHeight="1">
      <c r="B36" s="580"/>
      <c r="C36" s="179">
        <v>10</v>
      </c>
      <c r="D36" s="182"/>
      <c r="E36" s="179"/>
      <c r="F36" s="179"/>
      <c r="G36" s="184"/>
      <c r="H36" s="581"/>
      <c r="I36" s="185"/>
      <c r="J36" s="185"/>
      <c r="K36" s="186"/>
      <c r="L36" s="582"/>
      <c r="M36" s="185"/>
      <c r="N36" s="580"/>
      <c r="O36" s="580"/>
      <c r="P36" s="187"/>
      <c r="Q36" s="187"/>
      <c r="R36" s="184"/>
      <c r="S36" s="181"/>
      <c r="T36" s="581"/>
      <c r="U36" s="187"/>
      <c r="V36" s="187"/>
      <c r="W36" s="184"/>
      <c r="X36" s="181"/>
      <c r="Y36" s="581"/>
      <c r="Z36" s="187"/>
      <c r="AA36" s="187"/>
      <c r="AB36" s="184"/>
      <c r="AC36" s="181"/>
      <c r="AD36" s="581"/>
      <c r="AE36" s="187"/>
      <c r="AF36" s="187"/>
      <c r="AG36" s="184"/>
      <c r="AH36" s="181"/>
      <c r="AI36" s="581"/>
      <c r="AJ36" s="187"/>
      <c r="AK36" s="187"/>
      <c r="AL36" s="184"/>
      <c r="AM36" s="181"/>
      <c r="AN36" s="581"/>
      <c r="AO36" s="187"/>
      <c r="AP36" s="187"/>
      <c r="AQ36" s="184"/>
      <c r="AR36" s="181"/>
      <c r="AS36" s="581"/>
      <c r="AT36" s="187"/>
      <c r="AU36" s="187"/>
      <c r="AV36" s="184"/>
      <c r="AW36" s="181"/>
      <c r="AX36" s="581"/>
    </row>
    <row r="37" spans="2:50" ht="14.25" customHeight="1">
      <c r="B37" s="580"/>
      <c r="C37" s="179">
        <v>11</v>
      </c>
      <c r="D37" s="182"/>
      <c r="E37" s="179"/>
      <c r="F37" s="179"/>
      <c r="G37" s="184"/>
      <c r="H37" s="581"/>
      <c r="I37" s="185"/>
      <c r="J37" s="185"/>
      <c r="K37" s="186"/>
      <c r="L37" s="582"/>
      <c r="M37" s="185"/>
      <c r="N37" s="580"/>
      <c r="O37" s="580"/>
      <c r="P37" s="187"/>
      <c r="Q37" s="187"/>
      <c r="R37" s="184"/>
      <c r="S37" s="181"/>
      <c r="T37" s="581"/>
      <c r="U37" s="187"/>
      <c r="V37" s="187"/>
      <c r="W37" s="184"/>
      <c r="X37" s="181"/>
      <c r="Y37" s="581"/>
      <c r="Z37" s="187"/>
      <c r="AA37" s="187"/>
      <c r="AB37" s="184"/>
      <c r="AC37" s="181"/>
      <c r="AD37" s="581"/>
      <c r="AE37" s="187"/>
      <c r="AF37" s="187"/>
      <c r="AG37" s="184"/>
      <c r="AH37" s="181"/>
      <c r="AI37" s="581"/>
      <c r="AJ37" s="187"/>
      <c r="AK37" s="187"/>
      <c r="AL37" s="184"/>
      <c r="AM37" s="181"/>
      <c r="AN37" s="581"/>
      <c r="AO37" s="187"/>
      <c r="AP37" s="187"/>
      <c r="AQ37" s="184"/>
      <c r="AR37" s="181"/>
      <c r="AS37" s="581"/>
      <c r="AT37" s="187"/>
      <c r="AU37" s="187"/>
      <c r="AV37" s="184"/>
      <c r="AW37" s="181"/>
      <c r="AX37" s="581"/>
    </row>
    <row r="38" spans="2:50" ht="14.25" customHeight="1">
      <c r="B38" s="580"/>
      <c r="C38" s="179">
        <v>12</v>
      </c>
      <c r="D38" s="182"/>
      <c r="E38" s="179"/>
      <c r="F38" s="179"/>
      <c r="G38" s="184"/>
      <c r="H38" s="581"/>
      <c r="I38" s="185"/>
      <c r="J38" s="185"/>
      <c r="K38" s="186"/>
      <c r="L38" s="582"/>
      <c r="M38" s="185"/>
      <c r="N38" s="580"/>
      <c r="O38" s="580"/>
      <c r="P38" s="187"/>
      <c r="Q38" s="187"/>
      <c r="R38" s="184"/>
      <c r="S38" s="181"/>
      <c r="T38" s="581"/>
      <c r="U38" s="187"/>
      <c r="V38" s="187"/>
      <c r="W38" s="184"/>
      <c r="X38" s="181"/>
      <c r="Y38" s="581"/>
      <c r="Z38" s="187"/>
      <c r="AA38" s="187"/>
      <c r="AB38" s="184"/>
      <c r="AC38" s="181"/>
      <c r="AD38" s="581"/>
      <c r="AE38" s="187"/>
      <c r="AF38" s="187"/>
      <c r="AG38" s="184"/>
      <c r="AH38" s="181"/>
      <c r="AI38" s="581"/>
      <c r="AJ38" s="187"/>
      <c r="AK38" s="187"/>
      <c r="AL38" s="184"/>
      <c r="AM38" s="181"/>
      <c r="AN38" s="581"/>
      <c r="AO38" s="187"/>
      <c r="AP38" s="187"/>
      <c r="AQ38" s="184"/>
      <c r="AR38" s="181"/>
      <c r="AS38" s="581"/>
      <c r="AT38" s="187"/>
      <c r="AU38" s="187"/>
      <c r="AV38" s="184"/>
      <c r="AW38" s="181"/>
      <c r="AX38" s="581"/>
    </row>
    <row r="39" spans="2:50" ht="14.25" customHeight="1">
      <c r="B39" s="580"/>
      <c r="C39" s="179">
        <v>13</v>
      </c>
      <c r="D39" s="182"/>
      <c r="E39" s="179"/>
      <c r="F39" s="179"/>
      <c r="G39" s="184"/>
      <c r="H39" s="581"/>
      <c r="I39" s="185"/>
      <c r="J39" s="185"/>
      <c r="K39" s="186"/>
      <c r="L39" s="582"/>
      <c r="M39" s="185"/>
      <c r="N39" s="580"/>
      <c r="O39" s="580"/>
      <c r="P39" s="187"/>
      <c r="Q39" s="187"/>
      <c r="R39" s="184"/>
      <c r="S39" s="181"/>
      <c r="T39" s="581"/>
      <c r="U39" s="187"/>
      <c r="V39" s="187"/>
      <c r="W39" s="184"/>
      <c r="X39" s="181"/>
      <c r="Y39" s="581"/>
      <c r="Z39" s="187"/>
      <c r="AA39" s="187"/>
      <c r="AB39" s="184"/>
      <c r="AC39" s="181"/>
      <c r="AD39" s="581"/>
      <c r="AE39" s="187"/>
      <c r="AF39" s="187"/>
      <c r="AG39" s="184"/>
      <c r="AH39" s="181"/>
      <c r="AI39" s="581"/>
      <c r="AJ39" s="187"/>
      <c r="AK39" s="187"/>
      <c r="AL39" s="184"/>
      <c r="AM39" s="181"/>
      <c r="AN39" s="581"/>
      <c r="AO39" s="187"/>
      <c r="AP39" s="187"/>
      <c r="AQ39" s="184"/>
      <c r="AR39" s="181"/>
      <c r="AS39" s="581"/>
      <c r="AT39" s="187"/>
      <c r="AU39" s="187"/>
      <c r="AV39" s="184"/>
      <c r="AW39" s="181"/>
      <c r="AX39" s="581"/>
    </row>
    <row r="40" spans="2:50" ht="14.25" customHeight="1">
      <c r="B40" s="580"/>
      <c r="C40" s="179">
        <v>14</v>
      </c>
      <c r="D40" s="182"/>
      <c r="E40" s="179"/>
      <c r="F40" s="179"/>
      <c r="G40" s="184"/>
      <c r="H40" s="581"/>
      <c r="I40" s="185"/>
      <c r="J40" s="185"/>
      <c r="K40" s="186"/>
      <c r="L40" s="582"/>
      <c r="M40" s="185"/>
      <c r="N40" s="580"/>
      <c r="O40" s="580"/>
      <c r="P40" s="187"/>
      <c r="Q40" s="187"/>
      <c r="R40" s="184"/>
      <c r="S40" s="181"/>
      <c r="T40" s="581"/>
      <c r="U40" s="187"/>
      <c r="V40" s="187"/>
      <c r="W40" s="184"/>
      <c r="X40" s="181"/>
      <c r="Y40" s="581"/>
      <c r="Z40" s="187"/>
      <c r="AA40" s="187"/>
      <c r="AB40" s="184"/>
      <c r="AC40" s="181"/>
      <c r="AD40" s="581"/>
      <c r="AE40" s="187"/>
      <c r="AF40" s="187"/>
      <c r="AG40" s="184"/>
      <c r="AH40" s="181"/>
      <c r="AI40" s="581"/>
      <c r="AJ40" s="187"/>
      <c r="AK40" s="187"/>
      <c r="AL40" s="184"/>
      <c r="AM40" s="181"/>
      <c r="AN40" s="581"/>
      <c r="AO40" s="187"/>
      <c r="AP40" s="187"/>
      <c r="AQ40" s="184"/>
      <c r="AR40" s="181"/>
      <c r="AS40" s="581"/>
      <c r="AT40" s="187"/>
      <c r="AU40" s="187"/>
      <c r="AV40" s="184"/>
      <c r="AW40" s="181"/>
      <c r="AX40" s="581"/>
    </row>
    <row r="41" spans="2:50" ht="14.25" customHeight="1">
      <c r="B41" s="580"/>
      <c r="C41" s="179">
        <v>15</v>
      </c>
      <c r="D41" s="182"/>
      <c r="E41" s="179"/>
      <c r="F41" s="179"/>
      <c r="G41" s="184"/>
      <c r="H41" s="581"/>
      <c r="I41" s="185"/>
      <c r="J41" s="185"/>
      <c r="K41" s="186"/>
      <c r="L41" s="582"/>
      <c r="M41" s="185"/>
      <c r="N41" s="580"/>
      <c r="O41" s="580"/>
      <c r="P41" s="187"/>
      <c r="Q41" s="187"/>
      <c r="R41" s="184"/>
      <c r="S41" s="181"/>
      <c r="T41" s="581"/>
      <c r="U41" s="187"/>
      <c r="V41" s="187"/>
      <c r="W41" s="184"/>
      <c r="X41" s="181"/>
      <c r="Y41" s="581"/>
      <c r="Z41" s="187"/>
      <c r="AA41" s="187"/>
      <c r="AB41" s="184"/>
      <c r="AC41" s="181"/>
      <c r="AD41" s="581"/>
      <c r="AE41" s="187"/>
      <c r="AF41" s="187"/>
      <c r="AG41" s="184"/>
      <c r="AH41" s="181"/>
      <c r="AI41" s="581"/>
      <c r="AJ41" s="187"/>
      <c r="AK41" s="187"/>
      <c r="AL41" s="184"/>
      <c r="AM41" s="181"/>
      <c r="AN41" s="581"/>
      <c r="AO41" s="187"/>
      <c r="AP41" s="187"/>
      <c r="AQ41" s="184"/>
      <c r="AR41" s="181"/>
      <c r="AS41" s="581"/>
      <c r="AT41" s="187"/>
      <c r="AU41" s="187"/>
      <c r="AV41" s="184"/>
      <c r="AW41" s="181"/>
      <c r="AX41" s="581"/>
    </row>
  </sheetData>
  <mergeCells count="118"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I4:K4"/>
    <mergeCell ref="AT4:AW4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41"/>
  <sheetViews>
    <sheetView zoomScaleNormal="100" workbookViewId="0">
      <pane xSplit="13" ySplit="1" topLeftCell="AI2" activePane="bottomRight" state="frozen"/>
      <selection activeCell="B1" sqref="B1"/>
      <selection pane="topRight" activeCell="B1" sqref="B1"/>
      <selection pane="bottomLeft" activeCell="B1" sqref="B1"/>
      <selection pane="bottomRight" activeCell="C1" sqref="C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68" t="s">
        <v>777</v>
      </c>
      <c r="C1" s="174">
        <f>AVERAGE(L7,L27)</f>
        <v>157.53488137397093</v>
      </c>
    </row>
    <row r="2" spans="1:50" ht="14.25" customHeight="1">
      <c r="B2" s="608" t="s">
        <v>742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10"/>
      <c r="N2" s="613" t="s">
        <v>363</v>
      </c>
      <c r="O2" s="600" t="s">
        <v>105</v>
      </c>
      <c r="P2" s="602">
        <v>46203</v>
      </c>
      <c r="Q2" s="603"/>
      <c r="R2" s="603"/>
      <c r="S2" s="603"/>
      <c r="T2" s="603"/>
      <c r="U2" s="594">
        <v>46204</v>
      </c>
      <c r="V2" s="595"/>
      <c r="W2" s="595"/>
      <c r="X2" s="595"/>
      <c r="Y2" s="595"/>
      <c r="Z2" s="602">
        <v>46205</v>
      </c>
      <c r="AA2" s="603"/>
      <c r="AB2" s="603"/>
      <c r="AC2" s="603"/>
      <c r="AD2" s="603"/>
      <c r="AE2" s="594">
        <v>46206</v>
      </c>
      <c r="AF2" s="595"/>
      <c r="AG2" s="595"/>
      <c r="AH2" s="595"/>
      <c r="AI2" s="595"/>
      <c r="AJ2" s="586">
        <v>46207</v>
      </c>
      <c r="AK2" s="587"/>
      <c r="AL2" s="587"/>
      <c r="AM2" s="587"/>
      <c r="AN2" s="588"/>
      <c r="AO2" s="594">
        <v>46208</v>
      </c>
      <c r="AP2" s="595"/>
      <c r="AQ2" s="595"/>
      <c r="AR2" s="595"/>
      <c r="AS2" s="595"/>
      <c r="AT2" s="586">
        <v>46209</v>
      </c>
      <c r="AU2" s="587"/>
      <c r="AV2" s="587"/>
      <c r="AW2" s="587"/>
      <c r="AX2" s="588"/>
    </row>
    <row r="3" spans="1:50" ht="14.25" customHeight="1"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2"/>
      <c r="N3" s="614"/>
      <c r="O3" s="601"/>
      <c r="P3" s="589">
        <v>46196</v>
      </c>
      <c r="Q3" s="589"/>
      <c r="R3" s="589"/>
      <c r="S3" s="589"/>
      <c r="T3" s="589"/>
      <c r="U3" s="590">
        <v>46197</v>
      </c>
      <c r="V3" s="590"/>
      <c r="W3" s="590"/>
      <c r="X3" s="590"/>
      <c r="Y3" s="590"/>
      <c r="Z3" s="589">
        <v>46198</v>
      </c>
      <c r="AA3" s="589"/>
      <c r="AB3" s="589"/>
      <c r="AC3" s="589"/>
      <c r="AD3" s="589"/>
      <c r="AE3" s="590">
        <v>46199</v>
      </c>
      <c r="AF3" s="590"/>
      <c r="AG3" s="590"/>
      <c r="AH3" s="590"/>
      <c r="AI3" s="590"/>
      <c r="AJ3" s="591">
        <v>46200</v>
      </c>
      <c r="AK3" s="592"/>
      <c r="AL3" s="592"/>
      <c r="AM3" s="592"/>
      <c r="AN3" s="593"/>
      <c r="AO3" s="590">
        <v>46201</v>
      </c>
      <c r="AP3" s="590"/>
      <c r="AQ3" s="590"/>
      <c r="AR3" s="590"/>
      <c r="AS3" s="590"/>
      <c r="AT3" s="591">
        <v>46202</v>
      </c>
      <c r="AU3" s="592"/>
      <c r="AV3" s="592"/>
      <c r="AW3" s="592"/>
      <c r="AX3" s="593"/>
    </row>
    <row r="4" spans="1:50" ht="14.25" customHeight="1">
      <c r="B4" s="580" t="s">
        <v>162</v>
      </c>
      <c r="C4" s="580" t="s">
        <v>157</v>
      </c>
      <c r="D4" s="580"/>
      <c r="E4" s="580" t="s">
        <v>158</v>
      </c>
      <c r="F4" s="580"/>
      <c r="G4" s="580"/>
      <c r="H4" s="580" t="s">
        <v>163</v>
      </c>
      <c r="I4" s="583" t="s">
        <v>364</v>
      </c>
      <c r="J4" s="583"/>
      <c r="K4" s="583"/>
      <c r="L4" s="583" t="s">
        <v>163</v>
      </c>
      <c r="M4" s="583" t="s">
        <v>165</v>
      </c>
      <c r="N4" s="580"/>
      <c r="O4" s="580" t="s">
        <v>164</v>
      </c>
      <c r="P4" s="580" t="s">
        <v>160</v>
      </c>
      <c r="Q4" s="580"/>
      <c r="R4" s="580"/>
      <c r="S4" s="580"/>
      <c r="T4" s="580" t="s">
        <v>163</v>
      </c>
      <c r="U4" s="580" t="s">
        <v>160</v>
      </c>
      <c r="V4" s="580"/>
      <c r="W4" s="580"/>
      <c r="X4" s="580"/>
      <c r="Y4" s="580" t="s">
        <v>163</v>
      </c>
      <c r="Z4" s="580" t="s">
        <v>160</v>
      </c>
      <c r="AA4" s="580"/>
      <c r="AB4" s="580"/>
      <c r="AC4" s="580"/>
      <c r="AD4" s="580" t="s">
        <v>163</v>
      </c>
      <c r="AE4" s="580" t="s">
        <v>160</v>
      </c>
      <c r="AF4" s="580"/>
      <c r="AG4" s="580"/>
      <c r="AH4" s="580"/>
      <c r="AI4" s="580" t="s">
        <v>163</v>
      </c>
      <c r="AJ4" s="580" t="s">
        <v>160</v>
      </c>
      <c r="AK4" s="580"/>
      <c r="AL4" s="580"/>
      <c r="AM4" s="580"/>
      <c r="AN4" s="580" t="s">
        <v>163</v>
      </c>
      <c r="AO4" s="580" t="s">
        <v>160</v>
      </c>
      <c r="AP4" s="580"/>
      <c r="AQ4" s="580"/>
      <c r="AR4" s="580"/>
      <c r="AS4" s="580" t="s">
        <v>163</v>
      </c>
      <c r="AT4" s="580" t="s">
        <v>160</v>
      </c>
      <c r="AU4" s="580"/>
      <c r="AV4" s="580"/>
      <c r="AW4" s="580"/>
      <c r="AX4" s="580" t="s">
        <v>163</v>
      </c>
    </row>
    <row r="5" spans="1:50" ht="14.25" customHeight="1">
      <c r="B5" s="580"/>
      <c r="C5" s="580"/>
      <c r="D5" s="580"/>
      <c r="E5" s="580" t="s">
        <v>365</v>
      </c>
      <c r="F5" s="580"/>
      <c r="G5" s="580"/>
      <c r="H5" s="580"/>
      <c r="I5" s="583" t="s">
        <v>365</v>
      </c>
      <c r="J5" s="583"/>
      <c r="K5" s="583"/>
      <c r="L5" s="583"/>
      <c r="M5" s="583"/>
      <c r="N5" s="580"/>
      <c r="O5" s="580"/>
      <c r="P5" s="580" t="s">
        <v>366</v>
      </c>
      <c r="Q5" s="580"/>
      <c r="R5" s="580"/>
      <c r="S5" s="580"/>
      <c r="T5" s="580"/>
      <c r="U5" s="580" t="s">
        <v>366</v>
      </c>
      <c r="V5" s="580"/>
      <c r="W5" s="580"/>
      <c r="X5" s="580"/>
      <c r="Y5" s="580"/>
      <c r="Z5" s="580" t="s">
        <v>366</v>
      </c>
      <c r="AA5" s="580"/>
      <c r="AB5" s="580"/>
      <c r="AC5" s="580"/>
      <c r="AD5" s="580"/>
      <c r="AE5" s="580" t="s">
        <v>366</v>
      </c>
      <c r="AF5" s="580"/>
      <c r="AG5" s="580"/>
      <c r="AH5" s="580"/>
      <c r="AI5" s="580"/>
      <c r="AJ5" s="580" t="s">
        <v>366</v>
      </c>
      <c r="AK5" s="580"/>
      <c r="AL5" s="580"/>
      <c r="AM5" s="580"/>
      <c r="AN5" s="580"/>
      <c r="AO5" s="580" t="s">
        <v>366</v>
      </c>
      <c r="AP5" s="580"/>
      <c r="AQ5" s="580"/>
      <c r="AR5" s="580"/>
      <c r="AS5" s="580"/>
      <c r="AT5" s="580" t="s">
        <v>366</v>
      </c>
      <c r="AU5" s="580"/>
      <c r="AV5" s="580"/>
      <c r="AW5" s="580"/>
      <c r="AX5" s="580"/>
    </row>
    <row r="6" spans="1:50" ht="14.25" customHeight="1">
      <c r="B6" s="580"/>
      <c r="C6" s="580"/>
      <c r="D6" s="580"/>
      <c r="E6" s="179" t="s">
        <v>159</v>
      </c>
      <c r="F6" s="179" t="s">
        <v>367</v>
      </c>
      <c r="G6" s="179" t="s">
        <v>161</v>
      </c>
      <c r="H6" s="580"/>
      <c r="I6" s="180" t="s">
        <v>159</v>
      </c>
      <c r="J6" s="180" t="s">
        <v>367</v>
      </c>
      <c r="K6" s="180" t="s">
        <v>161</v>
      </c>
      <c r="L6" s="583"/>
      <c r="M6" s="583"/>
      <c r="N6" s="580"/>
      <c r="O6" s="580"/>
      <c r="P6" s="179" t="s">
        <v>159</v>
      </c>
      <c r="Q6" s="179" t="s">
        <v>367</v>
      </c>
      <c r="R6" s="179" t="s">
        <v>161</v>
      </c>
      <c r="S6" s="181" t="s">
        <v>165</v>
      </c>
      <c r="T6" s="580"/>
      <c r="U6" s="179" t="s">
        <v>159</v>
      </c>
      <c r="V6" s="179" t="s">
        <v>367</v>
      </c>
      <c r="W6" s="179" t="s">
        <v>161</v>
      </c>
      <c r="X6" s="181" t="s">
        <v>165</v>
      </c>
      <c r="Y6" s="580"/>
      <c r="Z6" s="179" t="s">
        <v>159</v>
      </c>
      <c r="AA6" s="179" t="s">
        <v>367</v>
      </c>
      <c r="AB6" s="179" t="s">
        <v>161</v>
      </c>
      <c r="AC6" s="181" t="s">
        <v>165</v>
      </c>
      <c r="AD6" s="580"/>
      <c r="AE6" s="179" t="s">
        <v>159</v>
      </c>
      <c r="AF6" s="179" t="s">
        <v>367</v>
      </c>
      <c r="AG6" s="179" t="s">
        <v>161</v>
      </c>
      <c r="AH6" s="181" t="s">
        <v>165</v>
      </c>
      <c r="AI6" s="580"/>
      <c r="AJ6" s="179" t="s">
        <v>159</v>
      </c>
      <c r="AK6" s="179" t="s">
        <v>367</v>
      </c>
      <c r="AL6" s="179" t="s">
        <v>161</v>
      </c>
      <c r="AM6" s="181" t="s">
        <v>165</v>
      </c>
      <c r="AN6" s="580"/>
      <c r="AO6" s="179" t="s">
        <v>159</v>
      </c>
      <c r="AP6" s="179" t="s">
        <v>367</v>
      </c>
      <c r="AQ6" s="179" t="s">
        <v>161</v>
      </c>
      <c r="AR6" s="181" t="s">
        <v>165</v>
      </c>
      <c r="AS6" s="580"/>
      <c r="AT6" s="179" t="s">
        <v>159</v>
      </c>
      <c r="AU6" s="179" t="s">
        <v>367</v>
      </c>
      <c r="AV6" s="179" t="s">
        <v>161</v>
      </c>
      <c r="AW6" s="181" t="s">
        <v>165</v>
      </c>
      <c r="AX6" s="580"/>
    </row>
    <row r="7" spans="1:50" ht="14.25" customHeight="1">
      <c r="B7" s="580" t="s">
        <v>371</v>
      </c>
      <c r="C7" s="179">
        <v>1</v>
      </c>
      <c r="D7" s="182" t="s">
        <v>532</v>
      </c>
      <c r="E7" s="183">
        <v>20</v>
      </c>
      <c r="F7" s="179">
        <v>3600</v>
      </c>
      <c r="G7" s="184">
        <f>IFERROR(F7/E7,"")</f>
        <v>180</v>
      </c>
      <c r="H7" s="581">
        <f>AVERAGE(G7:G21)</f>
        <v>176.1654135338346</v>
      </c>
      <c r="I7" s="185">
        <f>AVERAGE(P7,U7,Z7,AE7,AJ7,AO7,AT7)</f>
        <v>20</v>
      </c>
      <c r="J7" s="185">
        <f>AVERAGE(Q7,V7,AA7,AF7,AK7,AP7,AU7)</f>
        <v>3261.2765221447598</v>
      </c>
      <c r="K7" s="186">
        <f>AVERAGE(R7,W7,AB7,AG7,AL7,AQ7,AV7)</f>
        <v>163.06382610723799</v>
      </c>
      <c r="L7" s="582">
        <f>IFERROR(AVERAGE(K7:K21),"-")</f>
        <v>157.5988995765077</v>
      </c>
      <c r="M7" s="185">
        <f>RANK(K7, K$7:$K$21)</f>
        <v>5</v>
      </c>
      <c r="N7" s="580"/>
      <c r="O7" s="580"/>
      <c r="P7" s="187">
        <v>20</v>
      </c>
      <c r="Q7" s="187">
        <v>3263.0765221447596</v>
      </c>
      <c r="R7" s="184">
        <f>IFERROR(Q7/P7,"")</f>
        <v>163.15382610723799</v>
      </c>
      <c r="S7" s="181">
        <f>RANK(R7, R$7:R$21)</f>
        <v>5</v>
      </c>
      <c r="T7" s="581">
        <f>AVERAGE(R7:R21)</f>
        <v>157.62434310779201</v>
      </c>
      <c r="U7" s="187">
        <v>20</v>
      </c>
      <c r="V7" s="187">
        <v>3261.6365221447595</v>
      </c>
      <c r="W7" s="184">
        <f t="shared" ref="W7:W14" si="0">IFERROR(V7/U7,"")</f>
        <v>163.08182610723799</v>
      </c>
      <c r="X7" s="181">
        <f>RANK(W7, W$7:W$21)</f>
        <v>5</v>
      </c>
      <c r="Y7" s="581">
        <f>AVERAGE(W7:W21)</f>
        <v>157.59218370291313</v>
      </c>
      <c r="Z7" s="187">
        <v>20</v>
      </c>
      <c r="AA7" s="187">
        <v>3261.2765221447598</v>
      </c>
      <c r="AB7" s="184">
        <f>IFERROR(AA7/Z7,"")</f>
        <v>163.06382610723799</v>
      </c>
      <c r="AC7" s="181">
        <f>RANK(AB7, AB$7:AB$21)</f>
        <v>5</v>
      </c>
      <c r="AD7" s="581">
        <f>AVERAGE(AB7:AB21)</f>
        <v>157.59389516907854</v>
      </c>
      <c r="AE7" s="187">
        <v>20</v>
      </c>
      <c r="AF7" s="187">
        <v>3260.9165221447597</v>
      </c>
      <c r="AG7" s="184">
        <f>IFERROR(AF7/AE7,"")</f>
        <v>163.04582610723799</v>
      </c>
      <c r="AH7" s="181">
        <f>RANK(AG7, AG$7:AG$21)</f>
        <v>5</v>
      </c>
      <c r="AI7" s="581">
        <f>AVERAGE(AG7:AG21)</f>
        <v>157.59063041807792</v>
      </c>
      <c r="AJ7" s="187">
        <v>20</v>
      </c>
      <c r="AK7" s="187">
        <v>3259.4765221447601</v>
      </c>
      <c r="AL7" s="184">
        <f>IFERROR(AK7/AJ7,"")</f>
        <v>162.97382610723801</v>
      </c>
      <c r="AM7" s="181">
        <f>RANK(AL7, AL$7:AL$21)</f>
        <v>5</v>
      </c>
      <c r="AN7" s="581">
        <f>AVERAGE(AL7:AL21)</f>
        <v>157.5844499669501</v>
      </c>
      <c r="AO7" s="187">
        <v>20</v>
      </c>
      <c r="AP7" s="187">
        <v>3260.9165221447602</v>
      </c>
      <c r="AQ7" s="184">
        <f>IFERROR(AP7/AO7,"")</f>
        <v>163.04582610723801</v>
      </c>
      <c r="AR7" s="181">
        <f>RANK(AQ7, AQ$7:AQ$21)</f>
        <v>5</v>
      </c>
      <c r="AS7" s="581">
        <f>AVERAGE(AQ7:AQ21)</f>
        <v>157.60952139552154</v>
      </c>
      <c r="AT7" s="187">
        <v>20</v>
      </c>
      <c r="AU7" s="187">
        <v>3261.63652214476</v>
      </c>
      <c r="AV7" s="184">
        <f>IFERROR(AU7/AT7,"")</f>
        <v>163.08182610723799</v>
      </c>
      <c r="AW7" s="181">
        <f>RANK(AV7, AV$7:AV$21)</f>
        <v>5</v>
      </c>
      <c r="AX7" s="581">
        <f>AVERAGE(AV7:AV21)</f>
        <v>157.59727327522077</v>
      </c>
    </row>
    <row r="8" spans="1:50" ht="14.25" customHeight="1">
      <c r="B8" s="580"/>
      <c r="C8" s="179">
        <v>2</v>
      </c>
      <c r="D8" s="182" t="s">
        <v>533</v>
      </c>
      <c r="E8" s="179">
        <v>21</v>
      </c>
      <c r="F8" s="179">
        <v>3600</v>
      </c>
      <c r="G8" s="184">
        <f t="shared" ref="G8:G14" si="1">IFERROR(F8/E8,"")</f>
        <v>171.42857142857142</v>
      </c>
      <c r="H8" s="581"/>
      <c r="I8" s="185">
        <f>AVERAGE(P8,U8,Z8,AE8,AJ8,AO8,AT8)</f>
        <v>21</v>
      </c>
      <c r="J8" s="185">
        <f t="shared" ref="J8:K14" si="2">AVERAGE(Q8,V8,AA8,AF8,AK8,AP8,AU8)</f>
        <v>3257.2949390732165</v>
      </c>
      <c r="K8" s="186">
        <f t="shared" si="2"/>
        <v>155.10928281301025</v>
      </c>
      <c r="L8" s="582"/>
      <c r="M8" s="185">
        <f>RANK(K8, K$7:$K$21)</f>
        <v>6</v>
      </c>
      <c r="N8" s="580"/>
      <c r="O8" s="580"/>
      <c r="P8" s="187">
        <v>21</v>
      </c>
      <c r="Q8" s="187">
        <v>3258.0149390732158</v>
      </c>
      <c r="R8" s="184">
        <f t="shared" ref="R8:R14" si="3">IFERROR(Q8/P8,"")</f>
        <v>155.143568527296</v>
      </c>
      <c r="S8" s="181">
        <f t="shared" ref="S8:S14" si="4">RANK(R8, R$7:R$21)</f>
        <v>6</v>
      </c>
      <c r="T8" s="581"/>
      <c r="U8" s="187">
        <v>21</v>
      </c>
      <c r="V8" s="187">
        <v>3256.2149390732166</v>
      </c>
      <c r="W8" s="184">
        <f t="shared" si="0"/>
        <v>155.05785424158174</v>
      </c>
      <c r="X8" s="181">
        <f t="shared" ref="X8:X14" si="5">RANK(W8, W$7:W$21)</f>
        <v>6</v>
      </c>
      <c r="Y8" s="581"/>
      <c r="Z8" s="187">
        <v>21</v>
      </c>
      <c r="AA8" s="187">
        <v>3257.2949390732165</v>
      </c>
      <c r="AB8" s="184">
        <f t="shared" ref="AB8:AB14" si="6">IFERROR(AA8/Z8,"")</f>
        <v>155.10928281301031</v>
      </c>
      <c r="AC8" s="181">
        <f t="shared" ref="AC8:AC14" si="7">RANK(AB8, AB$7:AB$21)</f>
        <v>6</v>
      </c>
      <c r="AD8" s="581"/>
      <c r="AE8" s="187">
        <v>21</v>
      </c>
      <c r="AF8" s="187">
        <v>3257.2949390732165</v>
      </c>
      <c r="AG8" s="184">
        <f t="shared" ref="AG8:AG14" si="8">IFERROR(AF8/AE8,"")</f>
        <v>155.10928281301031</v>
      </c>
      <c r="AH8" s="181">
        <f t="shared" ref="AH8:AH14" si="9">RANK(AG8, AG$7:AG$21)</f>
        <v>6</v>
      </c>
      <c r="AI8" s="581"/>
      <c r="AJ8" s="187">
        <v>21</v>
      </c>
      <c r="AK8" s="187">
        <v>3256.5749390732167</v>
      </c>
      <c r="AL8" s="184">
        <f t="shared" ref="AL8:AL14" si="10">IFERROR(AK8/AJ8,"")</f>
        <v>155.07499709872459</v>
      </c>
      <c r="AM8" s="181">
        <f t="shared" ref="AM8:AM14" si="11">RANK(AL8, AL$7:AL$21)</f>
        <v>6</v>
      </c>
      <c r="AN8" s="581"/>
      <c r="AO8" s="187">
        <v>21</v>
      </c>
      <c r="AP8" s="187">
        <v>3258.0149390732167</v>
      </c>
      <c r="AQ8" s="184">
        <f t="shared" ref="AQ8:AQ14" si="12">IFERROR(AP8/AO8,"")</f>
        <v>155.14356852729603</v>
      </c>
      <c r="AR8" s="181">
        <f t="shared" ref="AR8:AR14" si="13">RANK(AQ8, AQ$7:AQ$21)</f>
        <v>6</v>
      </c>
      <c r="AS8" s="581"/>
      <c r="AT8" s="187">
        <v>21</v>
      </c>
      <c r="AU8" s="187">
        <v>3257.6549390732162</v>
      </c>
      <c r="AV8" s="184">
        <f t="shared" ref="AV8:AV14" si="14">IFERROR(AU8/AT8,"")</f>
        <v>155.12642567015314</v>
      </c>
      <c r="AW8" s="181">
        <f t="shared" ref="AW8:AW14" si="15">RANK(AV8, AV$7:AV$21)</f>
        <v>6</v>
      </c>
      <c r="AX8" s="581"/>
    </row>
    <row r="9" spans="1:50" ht="14.25" customHeight="1">
      <c r="B9" s="580"/>
      <c r="C9" s="179">
        <v>3</v>
      </c>
      <c r="D9" s="182" t="s">
        <v>540</v>
      </c>
      <c r="E9" s="179">
        <v>19</v>
      </c>
      <c r="F9" s="179">
        <v>3600</v>
      </c>
      <c r="G9" s="184">
        <f t="shared" si="1"/>
        <v>189.47368421052633</v>
      </c>
      <c r="H9" s="581"/>
      <c r="I9" s="185">
        <f>AVERAGE(P9,U9,Z9,AE9,AJ9,AO9,AT9)</f>
        <v>19</v>
      </c>
      <c r="J9" s="185">
        <f t="shared" si="2"/>
        <v>3185.7420154183096</v>
      </c>
      <c r="K9" s="186">
        <f t="shared" si="2"/>
        <v>167.67063239043733</v>
      </c>
      <c r="L9" s="582"/>
      <c r="M9" s="185">
        <f>RANK(K9, K$7:$K$21)</f>
        <v>3</v>
      </c>
      <c r="N9" s="580"/>
      <c r="O9" s="580"/>
      <c r="P9" s="187">
        <v>19</v>
      </c>
      <c r="Q9" s="187">
        <v>3186.7558680766465</v>
      </c>
      <c r="R9" s="184">
        <f t="shared" si="3"/>
        <v>167.72399305666559</v>
      </c>
      <c r="S9" s="181">
        <f t="shared" si="4"/>
        <v>3</v>
      </c>
      <c r="T9" s="581"/>
      <c r="U9" s="187">
        <v>19</v>
      </c>
      <c r="V9" s="187">
        <v>3186.3958680766459</v>
      </c>
      <c r="W9" s="184">
        <f t="shared" si="0"/>
        <v>167.70504568824452</v>
      </c>
      <c r="X9" s="181">
        <f t="shared" si="5"/>
        <v>3</v>
      </c>
      <c r="Y9" s="581"/>
      <c r="Z9" s="187">
        <v>19</v>
      </c>
      <c r="AA9" s="187">
        <v>3184.5958680766462</v>
      </c>
      <c r="AB9" s="184">
        <f t="shared" si="6"/>
        <v>167.61030884613928</v>
      </c>
      <c r="AC9" s="181">
        <f t="shared" si="7"/>
        <v>4</v>
      </c>
      <c r="AD9" s="581"/>
      <c r="AE9" s="187">
        <v>19</v>
      </c>
      <c r="AF9" s="187">
        <v>3186.6016259245571</v>
      </c>
      <c r="AG9" s="184">
        <f t="shared" si="8"/>
        <v>167.71587504866091</v>
      </c>
      <c r="AH9" s="181">
        <f t="shared" si="9"/>
        <v>2</v>
      </c>
      <c r="AI9" s="581"/>
      <c r="AJ9" s="187">
        <v>19</v>
      </c>
      <c r="AK9" s="187">
        <v>3185.1616259245566</v>
      </c>
      <c r="AL9" s="184">
        <f t="shared" si="10"/>
        <v>167.64008557497667</v>
      </c>
      <c r="AM9" s="181">
        <f t="shared" si="11"/>
        <v>3</v>
      </c>
      <c r="AN9" s="581"/>
      <c r="AO9" s="187">
        <v>19</v>
      </c>
      <c r="AP9" s="187">
        <v>3184.8016259245569</v>
      </c>
      <c r="AQ9" s="184">
        <f t="shared" si="12"/>
        <v>167.62113820655563</v>
      </c>
      <c r="AR9" s="181">
        <f t="shared" si="13"/>
        <v>4</v>
      </c>
      <c r="AS9" s="581"/>
      <c r="AT9" s="187">
        <v>19</v>
      </c>
      <c r="AU9" s="187">
        <v>3185.8816259245568</v>
      </c>
      <c r="AV9" s="184">
        <f t="shared" si="14"/>
        <v>167.67798031181877</v>
      </c>
      <c r="AW9" s="181">
        <f t="shared" si="15"/>
        <v>3</v>
      </c>
      <c r="AX9" s="581"/>
    </row>
    <row r="10" spans="1:50" ht="14.25" customHeight="1">
      <c r="B10" s="580"/>
      <c r="C10" s="179">
        <v>4</v>
      </c>
      <c r="D10" s="182" t="s">
        <v>621</v>
      </c>
      <c r="E10" s="179">
        <v>19</v>
      </c>
      <c r="F10" s="179">
        <v>3600</v>
      </c>
      <c r="G10" s="184">
        <f t="shared" si="1"/>
        <v>189.47368421052633</v>
      </c>
      <c r="H10" s="581"/>
      <c r="I10" s="185">
        <f t="shared" ref="I10:I14" si="16">AVERAGE(P10,U10,Z10,AE10,AJ10,AO10,AT10)</f>
        <v>19</v>
      </c>
      <c r="J10" s="185">
        <f t="shared" si="2"/>
        <v>3184.8176608483977</v>
      </c>
      <c r="K10" s="186">
        <f t="shared" si="2"/>
        <v>167.62198214991568</v>
      </c>
      <c r="L10" s="582"/>
      <c r="M10" s="185">
        <f>RANK(K10, K$7:$K$21)</f>
        <v>4</v>
      </c>
      <c r="N10" s="580"/>
      <c r="O10" s="580"/>
      <c r="P10" s="187">
        <v>19</v>
      </c>
      <c r="Q10" s="187">
        <v>3184.8062249452723</v>
      </c>
      <c r="R10" s="184">
        <f t="shared" si="3"/>
        <v>167.6213802602775</v>
      </c>
      <c r="S10" s="181">
        <f t="shared" si="4"/>
        <v>4</v>
      </c>
      <c r="T10" s="581"/>
      <c r="U10" s="187">
        <v>19</v>
      </c>
      <c r="V10" s="187">
        <v>3184.6995668322529</v>
      </c>
      <c r="W10" s="184">
        <f t="shared" si="0"/>
        <v>167.61576667538174</v>
      </c>
      <c r="X10" s="181">
        <f t="shared" si="5"/>
        <v>4</v>
      </c>
      <c r="Y10" s="581"/>
      <c r="Z10" s="187">
        <v>19</v>
      </c>
      <c r="AA10" s="187">
        <v>3185.7795668322524</v>
      </c>
      <c r="AB10" s="184">
        <f t="shared" si="6"/>
        <v>167.67260878064485</v>
      </c>
      <c r="AC10" s="181">
        <f t="shared" si="7"/>
        <v>3</v>
      </c>
      <c r="AD10" s="581"/>
      <c r="AE10" s="187">
        <v>19</v>
      </c>
      <c r="AF10" s="187">
        <v>3184.3395668322519</v>
      </c>
      <c r="AG10" s="184">
        <f t="shared" si="8"/>
        <v>167.59681930696061</v>
      </c>
      <c r="AH10" s="181">
        <f t="shared" si="9"/>
        <v>4</v>
      </c>
      <c r="AI10" s="581"/>
      <c r="AJ10" s="187">
        <v>19</v>
      </c>
      <c r="AK10" s="187">
        <v>3184.3395668322519</v>
      </c>
      <c r="AL10" s="184">
        <f t="shared" si="10"/>
        <v>167.59681930696061</v>
      </c>
      <c r="AM10" s="181">
        <f t="shared" si="11"/>
        <v>4</v>
      </c>
      <c r="AN10" s="581"/>
      <c r="AO10" s="187">
        <v>19</v>
      </c>
      <c r="AP10" s="187">
        <v>3185.7795668322519</v>
      </c>
      <c r="AQ10" s="184">
        <f t="shared" si="12"/>
        <v>167.67260878064485</v>
      </c>
      <c r="AR10" s="181">
        <f t="shared" si="13"/>
        <v>3</v>
      </c>
      <c r="AS10" s="581"/>
      <c r="AT10" s="187">
        <v>19</v>
      </c>
      <c r="AU10" s="187">
        <v>3183.9795668322522</v>
      </c>
      <c r="AV10" s="184">
        <f t="shared" si="14"/>
        <v>167.5778719385396</v>
      </c>
      <c r="AW10" s="181">
        <f t="shared" si="15"/>
        <v>4</v>
      </c>
      <c r="AX10" s="581"/>
    </row>
    <row r="11" spans="1:50" ht="14.25" customHeight="1">
      <c r="B11" s="580"/>
      <c r="C11" s="179">
        <v>5</v>
      </c>
      <c r="D11" s="182" t="s">
        <v>545</v>
      </c>
      <c r="E11" s="179">
        <v>19</v>
      </c>
      <c r="F11" s="179">
        <v>3600</v>
      </c>
      <c r="G11" s="184">
        <f t="shared" si="1"/>
        <v>189.47368421052633</v>
      </c>
      <c r="H11" s="581"/>
      <c r="I11" s="185">
        <f t="shared" si="16"/>
        <v>19</v>
      </c>
      <c r="J11" s="185">
        <f t="shared" si="2"/>
        <v>3187.0605783769715</v>
      </c>
      <c r="K11" s="186">
        <f t="shared" si="2"/>
        <v>167.74003044089321</v>
      </c>
      <c r="L11" s="582"/>
      <c r="M11" s="185">
        <f>RANK(K11, K$7:$K$21)</f>
        <v>2</v>
      </c>
      <c r="N11" s="580"/>
      <c r="O11" s="580"/>
      <c r="P11" s="187">
        <v>19</v>
      </c>
      <c r="Q11" s="187">
        <v>3186.8034355198297</v>
      </c>
      <c r="R11" s="184">
        <f t="shared" si="3"/>
        <v>167.72649660630682</v>
      </c>
      <c r="S11" s="181">
        <f t="shared" si="4"/>
        <v>2</v>
      </c>
      <c r="T11" s="581"/>
      <c r="U11" s="187">
        <v>19</v>
      </c>
      <c r="V11" s="187">
        <v>3187.1634355198294</v>
      </c>
      <c r="W11" s="184">
        <f t="shared" si="0"/>
        <v>167.74544397472786</v>
      </c>
      <c r="X11" s="181">
        <f t="shared" si="5"/>
        <v>2</v>
      </c>
      <c r="Y11" s="581"/>
      <c r="Z11" s="187">
        <v>19</v>
      </c>
      <c r="AA11" s="187">
        <v>3186.083435519829</v>
      </c>
      <c r="AB11" s="184">
        <f t="shared" si="6"/>
        <v>167.68860186946469</v>
      </c>
      <c r="AC11" s="181">
        <f t="shared" si="7"/>
        <v>2</v>
      </c>
      <c r="AD11" s="581"/>
      <c r="AE11" s="187">
        <v>19</v>
      </c>
      <c r="AF11" s="187">
        <v>3186.4434355198287</v>
      </c>
      <c r="AG11" s="184">
        <f t="shared" si="8"/>
        <v>167.70754923788573</v>
      </c>
      <c r="AH11" s="181">
        <f t="shared" si="9"/>
        <v>3</v>
      </c>
      <c r="AI11" s="581"/>
      <c r="AJ11" s="187">
        <v>19</v>
      </c>
      <c r="AK11" s="187">
        <v>3188.2434355198279</v>
      </c>
      <c r="AL11" s="184">
        <f t="shared" si="10"/>
        <v>167.80228607999095</v>
      </c>
      <c r="AM11" s="181">
        <f t="shared" si="11"/>
        <v>2</v>
      </c>
      <c r="AN11" s="581"/>
      <c r="AO11" s="187">
        <v>19</v>
      </c>
      <c r="AP11" s="187">
        <v>3187.8834355198273</v>
      </c>
      <c r="AQ11" s="184">
        <f t="shared" si="12"/>
        <v>167.78333871156985</v>
      </c>
      <c r="AR11" s="181">
        <f t="shared" si="13"/>
        <v>2</v>
      </c>
      <c r="AS11" s="581"/>
      <c r="AT11" s="187">
        <v>19</v>
      </c>
      <c r="AU11" s="187">
        <v>3186.803435519827</v>
      </c>
      <c r="AV11" s="184">
        <f t="shared" si="14"/>
        <v>167.72649660630668</v>
      </c>
      <c r="AW11" s="181">
        <f t="shared" si="15"/>
        <v>2</v>
      </c>
      <c r="AX11" s="581"/>
    </row>
    <row r="12" spans="1:50" ht="14.25" customHeight="1">
      <c r="B12" s="580"/>
      <c r="C12" s="179">
        <v>6</v>
      </c>
      <c r="D12" s="182" t="s">
        <v>601</v>
      </c>
      <c r="E12" s="179">
        <v>24</v>
      </c>
      <c r="F12" s="179">
        <v>3600</v>
      </c>
      <c r="G12" s="184">
        <f t="shared" si="1"/>
        <v>150</v>
      </c>
      <c r="H12" s="581"/>
      <c r="I12" s="185">
        <f t="shared" si="16"/>
        <v>24</v>
      </c>
      <c r="J12" s="185">
        <f t="shared" si="2"/>
        <v>3257.7008943134801</v>
      </c>
      <c r="K12" s="186">
        <f t="shared" si="2"/>
        <v>135.73753726306168</v>
      </c>
      <c r="L12" s="582"/>
      <c r="M12" s="185">
        <f>RANK(K12, K$7:$K$21)</f>
        <v>8</v>
      </c>
      <c r="N12" s="580"/>
      <c r="O12" s="580"/>
      <c r="P12" s="187">
        <v>24</v>
      </c>
      <c r="Q12" s="187">
        <v>3258.7808943134805</v>
      </c>
      <c r="R12" s="184">
        <f t="shared" si="3"/>
        <v>135.7825372630617</v>
      </c>
      <c r="S12" s="181">
        <f t="shared" si="4"/>
        <v>8</v>
      </c>
      <c r="T12" s="581"/>
      <c r="U12" s="187">
        <v>24</v>
      </c>
      <c r="V12" s="187">
        <v>3257.3408943134809</v>
      </c>
      <c r="W12" s="184">
        <f t="shared" si="0"/>
        <v>135.7225372630617</v>
      </c>
      <c r="X12" s="181">
        <f t="shared" si="5"/>
        <v>8</v>
      </c>
      <c r="Y12" s="581"/>
      <c r="Z12" s="187">
        <v>24</v>
      </c>
      <c r="AA12" s="187">
        <v>3257.7008943134806</v>
      </c>
      <c r="AB12" s="184">
        <f t="shared" si="6"/>
        <v>135.73753726306168</v>
      </c>
      <c r="AC12" s="181">
        <f t="shared" si="7"/>
        <v>8</v>
      </c>
      <c r="AD12" s="581"/>
      <c r="AE12" s="187">
        <v>24</v>
      </c>
      <c r="AF12" s="187">
        <v>3257.7008943134801</v>
      </c>
      <c r="AG12" s="184">
        <f t="shared" si="8"/>
        <v>135.73753726306168</v>
      </c>
      <c r="AH12" s="181">
        <f t="shared" si="9"/>
        <v>8</v>
      </c>
      <c r="AI12" s="581"/>
      <c r="AJ12" s="187">
        <v>24</v>
      </c>
      <c r="AK12" s="187">
        <v>3256.9808943134799</v>
      </c>
      <c r="AL12" s="184">
        <f t="shared" si="10"/>
        <v>135.70753726306165</v>
      </c>
      <c r="AM12" s="181">
        <f t="shared" si="11"/>
        <v>8</v>
      </c>
      <c r="AN12" s="581"/>
      <c r="AO12" s="187">
        <v>24</v>
      </c>
      <c r="AP12" s="187">
        <v>3258.4208943134795</v>
      </c>
      <c r="AQ12" s="184">
        <f t="shared" si="12"/>
        <v>135.76753726306166</v>
      </c>
      <c r="AR12" s="181">
        <f t="shared" si="13"/>
        <v>8</v>
      </c>
      <c r="AS12" s="581"/>
      <c r="AT12" s="187">
        <v>24</v>
      </c>
      <c r="AU12" s="187">
        <v>3256.9808943134799</v>
      </c>
      <c r="AV12" s="184">
        <f t="shared" si="14"/>
        <v>135.70753726306165</v>
      </c>
      <c r="AW12" s="181">
        <f t="shared" si="15"/>
        <v>8</v>
      </c>
      <c r="AX12" s="581"/>
    </row>
    <row r="13" spans="1:50" ht="14.25" customHeight="1">
      <c r="B13" s="580"/>
      <c r="C13" s="179">
        <v>7</v>
      </c>
      <c r="D13" s="182" t="s">
        <v>534</v>
      </c>
      <c r="E13" s="179">
        <v>19</v>
      </c>
      <c r="F13" s="179">
        <v>3600</v>
      </c>
      <c r="G13" s="184">
        <f t="shared" si="1"/>
        <v>189.47368421052633</v>
      </c>
      <c r="H13" s="581"/>
      <c r="I13" s="185">
        <f t="shared" si="16"/>
        <v>19</v>
      </c>
      <c r="J13" s="185">
        <f t="shared" si="2"/>
        <v>3190.3979423240085</v>
      </c>
      <c r="K13" s="186">
        <f t="shared" si="2"/>
        <v>167.91568117494782</v>
      </c>
      <c r="L13" s="582"/>
      <c r="M13" s="185">
        <f>RANK(K13, K$7:$K$21)</f>
        <v>1</v>
      </c>
      <c r="N13" s="580"/>
      <c r="O13" s="580"/>
      <c r="P13" s="187">
        <v>19</v>
      </c>
      <c r="Q13" s="187">
        <v>3191.1179423240078</v>
      </c>
      <c r="R13" s="184">
        <f t="shared" si="3"/>
        <v>167.9535759117899</v>
      </c>
      <c r="S13" s="181">
        <f t="shared" si="4"/>
        <v>1</v>
      </c>
      <c r="T13" s="581"/>
      <c r="U13" s="187">
        <v>19</v>
      </c>
      <c r="V13" s="187">
        <v>3190.7579423240081</v>
      </c>
      <c r="W13" s="184">
        <f t="shared" si="0"/>
        <v>167.93462854336886</v>
      </c>
      <c r="X13" s="181">
        <f t="shared" si="5"/>
        <v>1</v>
      </c>
      <c r="Y13" s="581"/>
      <c r="Z13" s="187">
        <v>19</v>
      </c>
      <c r="AA13" s="187">
        <v>3190.7579423240081</v>
      </c>
      <c r="AB13" s="184">
        <f t="shared" si="6"/>
        <v>167.93462854336886</v>
      </c>
      <c r="AC13" s="181">
        <f t="shared" si="7"/>
        <v>1</v>
      </c>
      <c r="AD13" s="581"/>
      <c r="AE13" s="187">
        <v>19</v>
      </c>
      <c r="AF13" s="187">
        <v>3189.6779423240087</v>
      </c>
      <c r="AG13" s="184">
        <f t="shared" si="8"/>
        <v>167.87778643810572</v>
      </c>
      <c r="AH13" s="181">
        <f t="shared" si="9"/>
        <v>1</v>
      </c>
      <c r="AI13" s="581"/>
      <c r="AJ13" s="187">
        <v>19</v>
      </c>
      <c r="AK13" s="187">
        <v>3190.3979423240085</v>
      </c>
      <c r="AL13" s="184">
        <f t="shared" si="10"/>
        <v>167.91568117494782</v>
      </c>
      <c r="AM13" s="181">
        <f t="shared" si="11"/>
        <v>1</v>
      </c>
      <c r="AN13" s="581"/>
      <c r="AO13" s="187">
        <v>19</v>
      </c>
      <c r="AP13" s="187">
        <v>3189.6779423240087</v>
      </c>
      <c r="AQ13" s="184">
        <f t="shared" si="12"/>
        <v>167.87778643810572</v>
      </c>
      <c r="AR13" s="181">
        <f t="shared" si="13"/>
        <v>1</v>
      </c>
      <c r="AS13" s="581"/>
      <c r="AT13" s="187">
        <v>19</v>
      </c>
      <c r="AU13" s="187">
        <v>3190.397942324008</v>
      </c>
      <c r="AV13" s="184">
        <f t="shared" si="14"/>
        <v>167.91568117494779</v>
      </c>
      <c r="AW13" s="181">
        <f t="shared" si="15"/>
        <v>1</v>
      </c>
      <c r="AX13" s="581"/>
    </row>
    <row r="14" spans="1:50" ht="14.25" customHeight="1">
      <c r="B14" s="580"/>
      <c r="C14" s="179">
        <v>8</v>
      </c>
      <c r="D14" s="182" t="s">
        <v>642</v>
      </c>
      <c r="E14" s="179">
        <v>24</v>
      </c>
      <c r="F14" s="179">
        <v>3600</v>
      </c>
      <c r="G14" s="184">
        <f t="shared" si="1"/>
        <v>150</v>
      </c>
      <c r="H14" s="581"/>
      <c r="I14" s="185">
        <f t="shared" si="16"/>
        <v>24</v>
      </c>
      <c r="J14" s="185">
        <f t="shared" si="2"/>
        <v>3262.3733825413874</v>
      </c>
      <c r="K14" s="186">
        <f t="shared" si="2"/>
        <v>135.93222427255782</v>
      </c>
      <c r="L14" s="582"/>
      <c r="M14" s="185">
        <f>RANK(K14, K$7:$K$21)</f>
        <v>7</v>
      </c>
      <c r="N14" s="580"/>
      <c r="O14" s="580"/>
      <c r="P14" s="187">
        <v>24</v>
      </c>
      <c r="Q14" s="187">
        <v>3261.3448111128155</v>
      </c>
      <c r="R14" s="184">
        <f t="shared" si="3"/>
        <v>135.88936712970064</v>
      </c>
      <c r="S14" s="181">
        <f t="shared" si="4"/>
        <v>7</v>
      </c>
      <c r="T14" s="581"/>
      <c r="U14" s="187">
        <v>24</v>
      </c>
      <c r="V14" s="187">
        <v>3260.9848111128158</v>
      </c>
      <c r="W14" s="184">
        <f t="shared" si="0"/>
        <v>135.87436712970066</v>
      </c>
      <c r="X14" s="181">
        <f t="shared" si="5"/>
        <v>7</v>
      </c>
      <c r="Y14" s="581"/>
      <c r="Z14" s="187">
        <v>24</v>
      </c>
      <c r="AA14" s="187">
        <v>3262.4248111128154</v>
      </c>
      <c r="AB14" s="184">
        <f t="shared" si="6"/>
        <v>135.93436712970063</v>
      </c>
      <c r="AC14" s="181">
        <f t="shared" si="7"/>
        <v>7</v>
      </c>
      <c r="AD14" s="581"/>
      <c r="AE14" s="187">
        <v>24</v>
      </c>
      <c r="AF14" s="187">
        <v>3262.4248111128159</v>
      </c>
      <c r="AG14" s="184">
        <f t="shared" si="8"/>
        <v>135.93436712970066</v>
      </c>
      <c r="AH14" s="181">
        <f t="shared" si="9"/>
        <v>7</v>
      </c>
      <c r="AI14" s="581"/>
      <c r="AJ14" s="187">
        <v>24</v>
      </c>
      <c r="AK14" s="187">
        <v>3263.1448111128161</v>
      </c>
      <c r="AL14" s="184">
        <f t="shared" si="10"/>
        <v>135.96436712970066</v>
      </c>
      <c r="AM14" s="181">
        <f t="shared" si="11"/>
        <v>7</v>
      </c>
      <c r="AN14" s="581"/>
      <c r="AO14" s="187">
        <v>24</v>
      </c>
      <c r="AP14" s="187">
        <v>3263.1448111128161</v>
      </c>
      <c r="AQ14" s="184">
        <f t="shared" si="12"/>
        <v>135.96436712970066</v>
      </c>
      <c r="AR14" s="181">
        <f t="shared" si="13"/>
        <v>7</v>
      </c>
      <c r="AS14" s="581"/>
      <c r="AT14" s="187">
        <v>24</v>
      </c>
      <c r="AU14" s="187">
        <v>3263.1448111128157</v>
      </c>
      <c r="AV14" s="184">
        <f t="shared" si="14"/>
        <v>135.96436712970066</v>
      </c>
      <c r="AW14" s="181">
        <f t="shared" si="15"/>
        <v>7</v>
      </c>
      <c r="AX14" s="581"/>
    </row>
    <row r="15" spans="1:50" ht="14.25" customHeight="1">
      <c r="B15" s="580"/>
      <c r="C15" s="179">
        <v>9</v>
      </c>
      <c r="D15" s="182"/>
      <c r="E15" s="179"/>
      <c r="F15" s="179"/>
      <c r="G15" s="184"/>
      <c r="H15" s="581"/>
      <c r="I15" s="185"/>
      <c r="J15" s="185"/>
      <c r="K15" s="186"/>
      <c r="L15" s="582"/>
      <c r="M15" s="185"/>
      <c r="N15" s="580"/>
      <c r="O15" s="580"/>
      <c r="P15" s="187"/>
      <c r="Q15" s="187"/>
      <c r="R15" s="184"/>
      <c r="S15" s="181"/>
      <c r="T15" s="581"/>
      <c r="U15" s="187"/>
      <c r="V15" s="187"/>
      <c r="W15" s="184"/>
      <c r="X15" s="181"/>
      <c r="Y15" s="581"/>
      <c r="Z15" s="187"/>
      <c r="AA15" s="187"/>
      <c r="AB15" s="184"/>
      <c r="AC15" s="181"/>
      <c r="AD15" s="581"/>
      <c r="AE15" s="187"/>
      <c r="AF15" s="187"/>
      <c r="AG15" s="184"/>
      <c r="AH15" s="181"/>
      <c r="AI15" s="581"/>
      <c r="AJ15" s="187"/>
      <c r="AK15" s="187"/>
      <c r="AL15" s="184"/>
      <c r="AM15" s="181"/>
      <c r="AN15" s="581"/>
      <c r="AO15" s="187"/>
      <c r="AP15" s="187"/>
      <c r="AQ15" s="184"/>
      <c r="AR15" s="181"/>
      <c r="AS15" s="581"/>
      <c r="AT15" s="187"/>
      <c r="AU15" s="187"/>
      <c r="AV15" s="184"/>
      <c r="AW15" s="181"/>
      <c r="AX15" s="581"/>
    </row>
    <row r="16" spans="1:50" ht="14.25" customHeight="1">
      <c r="B16" s="580"/>
      <c r="C16" s="179">
        <v>10</v>
      </c>
      <c r="D16" s="182"/>
      <c r="E16" s="179"/>
      <c r="F16" s="179"/>
      <c r="G16" s="184"/>
      <c r="H16" s="581"/>
      <c r="I16" s="185"/>
      <c r="J16" s="185"/>
      <c r="K16" s="186"/>
      <c r="L16" s="582"/>
      <c r="M16" s="185"/>
      <c r="N16" s="580"/>
      <c r="O16" s="580"/>
      <c r="P16" s="187"/>
      <c r="Q16" s="187"/>
      <c r="R16" s="184"/>
      <c r="S16" s="181"/>
      <c r="T16" s="581"/>
      <c r="U16" s="187"/>
      <c r="V16" s="187"/>
      <c r="W16" s="184"/>
      <c r="X16" s="181"/>
      <c r="Y16" s="581"/>
      <c r="Z16" s="187"/>
      <c r="AA16" s="187"/>
      <c r="AB16" s="184"/>
      <c r="AC16" s="181"/>
      <c r="AD16" s="581"/>
      <c r="AE16" s="187"/>
      <c r="AF16" s="187"/>
      <c r="AG16" s="184"/>
      <c r="AH16" s="181"/>
      <c r="AI16" s="581"/>
      <c r="AJ16" s="187"/>
      <c r="AK16" s="187"/>
      <c r="AL16" s="184"/>
      <c r="AM16" s="181"/>
      <c r="AN16" s="581"/>
      <c r="AO16" s="187"/>
      <c r="AP16" s="187"/>
      <c r="AQ16" s="184"/>
      <c r="AR16" s="181"/>
      <c r="AS16" s="581"/>
      <c r="AT16" s="187"/>
      <c r="AU16" s="187"/>
      <c r="AV16" s="184"/>
      <c r="AW16" s="181"/>
      <c r="AX16" s="581"/>
    </row>
    <row r="17" spans="2:50" ht="14.25" customHeight="1">
      <c r="B17" s="580"/>
      <c r="C17" s="179">
        <v>11</v>
      </c>
      <c r="D17" s="182"/>
      <c r="E17" s="179"/>
      <c r="F17" s="179"/>
      <c r="G17" s="184"/>
      <c r="H17" s="581"/>
      <c r="I17" s="185"/>
      <c r="J17" s="185"/>
      <c r="K17" s="186"/>
      <c r="L17" s="582"/>
      <c r="M17" s="185"/>
      <c r="N17" s="580"/>
      <c r="O17" s="580"/>
      <c r="P17" s="187"/>
      <c r="Q17" s="187"/>
      <c r="R17" s="184"/>
      <c r="S17" s="181"/>
      <c r="T17" s="581"/>
      <c r="U17" s="187"/>
      <c r="V17" s="187"/>
      <c r="W17" s="184"/>
      <c r="X17" s="181"/>
      <c r="Y17" s="581"/>
      <c r="Z17" s="187"/>
      <c r="AA17" s="187"/>
      <c r="AB17" s="184"/>
      <c r="AC17" s="181"/>
      <c r="AD17" s="581"/>
      <c r="AE17" s="187"/>
      <c r="AF17" s="187"/>
      <c r="AG17" s="184"/>
      <c r="AH17" s="181"/>
      <c r="AI17" s="581"/>
      <c r="AJ17" s="187"/>
      <c r="AK17" s="187"/>
      <c r="AL17" s="184"/>
      <c r="AM17" s="181"/>
      <c r="AN17" s="581"/>
      <c r="AO17" s="187"/>
      <c r="AP17" s="187"/>
      <c r="AQ17" s="184"/>
      <c r="AR17" s="181"/>
      <c r="AS17" s="581"/>
      <c r="AT17" s="187"/>
      <c r="AU17" s="187"/>
      <c r="AV17" s="184"/>
      <c r="AW17" s="181"/>
      <c r="AX17" s="581"/>
    </row>
    <row r="18" spans="2:50" ht="14.25" customHeight="1">
      <c r="B18" s="580"/>
      <c r="C18" s="179">
        <v>12</v>
      </c>
      <c r="D18" s="182"/>
      <c r="E18" s="179"/>
      <c r="F18" s="179"/>
      <c r="G18" s="184"/>
      <c r="H18" s="581"/>
      <c r="I18" s="185"/>
      <c r="J18" s="185"/>
      <c r="K18" s="186"/>
      <c r="L18" s="582"/>
      <c r="M18" s="185"/>
      <c r="N18" s="580"/>
      <c r="O18" s="580"/>
      <c r="P18" s="187"/>
      <c r="Q18" s="187"/>
      <c r="R18" s="184"/>
      <c r="S18" s="181"/>
      <c r="T18" s="581"/>
      <c r="U18" s="187"/>
      <c r="V18" s="187"/>
      <c r="W18" s="184"/>
      <c r="X18" s="181"/>
      <c r="Y18" s="581"/>
      <c r="Z18" s="187"/>
      <c r="AA18" s="187"/>
      <c r="AB18" s="184"/>
      <c r="AC18" s="181"/>
      <c r="AD18" s="581"/>
      <c r="AE18" s="187"/>
      <c r="AF18" s="187"/>
      <c r="AG18" s="184"/>
      <c r="AH18" s="181"/>
      <c r="AI18" s="581"/>
      <c r="AJ18" s="187"/>
      <c r="AK18" s="187"/>
      <c r="AL18" s="184"/>
      <c r="AM18" s="181"/>
      <c r="AN18" s="581"/>
      <c r="AO18" s="187"/>
      <c r="AP18" s="187"/>
      <c r="AQ18" s="184"/>
      <c r="AR18" s="181"/>
      <c r="AS18" s="581"/>
      <c r="AT18" s="187"/>
      <c r="AU18" s="187"/>
      <c r="AV18" s="184"/>
      <c r="AW18" s="181"/>
      <c r="AX18" s="581"/>
    </row>
    <row r="19" spans="2:50" ht="14.25" customHeight="1">
      <c r="B19" s="580"/>
      <c r="C19" s="179">
        <v>13</v>
      </c>
      <c r="D19" s="182"/>
      <c r="E19" s="179"/>
      <c r="F19" s="179"/>
      <c r="G19" s="184"/>
      <c r="H19" s="581"/>
      <c r="I19" s="185"/>
      <c r="J19" s="185"/>
      <c r="K19" s="186"/>
      <c r="L19" s="582"/>
      <c r="M19" s="185"/>
      <c r="N19" s="580"/>
      <c r="O19" s="580"/>
      <c r="P19" s="187"/>
      <c r="Q19" s="187"/>
      <c r="R19" s="184"/>
      <c r="S19" s="181"/>
      <c r="T19" s="581"/>
      <c r="U19" s="187"/>
      <c r="V19" s="187"/>
      <c r="W19" s="184"/>
      <c r="X19" s="181"/>
      <c r="Y19" s="581"/>
      <c r="Z19" s="187"/>
      <c r="AA19" s="187"/>
      <c r="AB19" s="184"/>
      <c r="AC19" s="181"/>
      <c r="AD19" s="581"/>
      <c r="AE19" s="187"/>
      <c r="AF19" s="187"/>
      <c r="AG19" s="184"/>
      <c r="AH19" s="181"/>
      <c r="AI19" s="581"/>
      <c r="AJ19" s="187"/>
      <c r="AK19" s="187"/>
      <c r="AL19" s="184"/>
      <c r="AM19" s="181"/>
      <c r="AN19" s="581"/>
      <c r="AO19" s="187"/>
      <c r="AP19" s="187"/>
      <c r="AQ19" s="184"/>
      <c r="AR19" s="181"/>
      <c r="AS19" s="581"/>
      <c r="AT19" s="187"/>
      <c r="AU19" s="187"/>
      <c r="AV19" s="184"/>
      <c r="AW19" s="181"/>
      <c r="AX19" s="581"/>
    </row>
    <row r="20" spans="2:50" ht="14.25" customHeight="1">
      <c r="B20" s="580"/>
      <c r="C20" s="179">
        <v>14</v>
      </c>
      <c r="D20" s="182"/>
      <c r="E20" s="179"/>
      <c r="F20" s="179"/>
      <c r="G20" s="184"/>
      <c r="H20" s="581"/>
      <c r="I20" s="185"/>
      <c r="J20" s="185"/>
      <c r="K20" s="186"/>
      <c r="L20" s="582"/>
      <c r="M20" s="185"/>
      <c r="N20" s="580"/>
      <c r="O20" s="580"/>
      <c r="P20" s="187"/>
      <c r="Q20" s="187"/>
      <c r="R20" s="184"/>
      <c r="S20" s="181"/>
      <c r="T20" s="581"/>
      <c r="U20" s="187"/>
      <c r="V20" s="187"/>
      <c r="W20" s="184"/>
      <c r="X20" s="181"/>
      <c r="Y20" s="581"/>
      <c r="Z20" s="187"/>
      <c r="AA20" s="187"/>
      <c r="AB20" s="184"/>
      <c r="AC20" s="181"/>
      <c r="AD20" s="581"/>
      <c r="AE20" s="187"/>
      <c r="AF20" s="187"/>
      <c r="AG20" s="184"/>
      <c r="AH20" s="181"/>
      <c r="AI20" s="581"/>
      <c r="AJ20" s="187"/>
      <c r="AK20" s="187"/>
      <c r="AL20" s="184"/>
      <c r="AM20" s="181"/>
      <c r="AN20" s="581"/>
      <c r="AO20" s="187"/>
      <c r="AP20" s="187"/>
      <c r="AQ20" s="184"/>
      <c r="AR20" s="181"/>
      <c r="AS20" s="581"/>
      <c r="AT20" s="187"/>
      <c r="AU20" s="187"/>
      <c r="AV20" s="184"/>
      <c r="AW20" s="181"/>
      <c r="AX20" s="581"/>
    </row>
    <row r="21" spans="2:50" ht="14.25" customHeight="1">
      <c r="B21" s="580"/>
      <c r="C21" s="179">
        <v>15</v>
      </c>
      <c r="D21" s="182"/>
      <c r="E21" s="179"/>
      <c r="F21" s="179"/>
      <c r="G21" s="184"/>
      <c r="H21" s="581"/>
      <c r="I21" s="185"/>
      <c r="J21" s="185"/>
      <c r="K21" s="186"/>
      <c r="L21" s="582"/>
      <c r="M21" s="185"/>
      <c r="N21" s="580"/>
      <c r="O21" s="580"/>
      <c r="P21" s="187"/>
      <c r="Q21" s="187"/>
      <c r="R21" s="184"/>
      <c r="S21" s="181"/>
      <c r="T21" s="581"/>
      <c r="U21" s="187"/>
      <c r="V21" s="187"/>
      <c r="W21" s="184"/>
      <c r="X21" s="181"/>
      <c r="Y21" s="581"/>
      <c r="Z21" s="187"/>
      <c r="AA21" s="187"/>
      <c r="AB21" s="184"/>
      <c r="AC21" s="181"/>
      <c r="AD21" s="581"/>
      <c r="AE21" s="187"/>
      <c r="AF21" s="187"/>
      <c r="AG21" s="184"/>
      <c r="AH21" s="181"/>
      <c r="AI21" s="581"/>
      <c r="AJ21" s="187"/>
      <c r="AK21" s="187"/>
      <c r="AL21" s="184"/>
      <c r="AM21" s="181"/>
      <c r="AN21" s="581"/>
      <c r="AO21" s="187"/>
      <c r="AP21" s="187"/>
      <c r="AQ21" s="184"/>
      <c r="AR21" s="181"/>
      <c r="AS21" s="581"/>
      <c r="AT21" s="187"/>
      <c r="AU21" s="187"/>
      <c r="AV21" s="184"/>
      <c r="AW21" s="181"/>
      <c r="AX21" s="581"/>
    </row>
    <row r="22" spans="2:50" ht="14.25" customHeight="1">
      <c r="B22" s="608" t="s">
        <v>807</v>
      </c>
      <c r="C22" s="609"/>
      <c r="D22" s="609"/>
      <c r="E22" s="609"/>
      <c r="F22" s="609"/>
      <c r="G22" s="609"/>
      <c r="H22" s="609"/>
      <c r="I22" s="609"/>
      <c r="J22" s="609"/>
      <c r="K22" s="609"/>
      <c r="L22" s="609"/>
      <c r="M22" s="610"/>
      <c r="N22" s="613" t="s">
        <v>363</v>
      </c>
      <c r="O22" s="613" t="s">
        <v>105</v>
      </c>
      <c r="P22" s="602">
        <v>46210</v>
      </c>
      <c r="Q22" s="603"/>
      <c r="R22" s="603"/>
      <c r="S22" s="603"/>
      <c r="T22" s="603"/>
      <c r="U22" s="594">
        <v>46211</v>
      </c>
      <c r="V22" s="595"/>
      <c r="W22" s="595"/>
      <c r="X22" s="595"/>
      <c r="Y22" s="595"/>
      <c r="Z22" s="602">
        <v>46212</v>
      </c>
      <c r="AA22" s="603"/>
      <c r="AB22" s="603"/>
      <c r="AC22" s="603"/>
      <c r="AD22" s="603"/>
      <c r="AE22" s="594">
        <v>46213</v>
      </c>
      <c r="AF22" s="595"/>
      <c r="AG22" s="595"/>
      <c r="AH22" s="595"/>
      <c r="AI22" s="595"/>
      <c r="AJ22" s="586">
        <v>46214</v>
      </c>
      <c r="AK22" s="587"/>
      <c r="AL22" s="587"/>
      <c r="AM22" s="587"/>
      <c r="AN22" s="588"/>
      <c r="AO22" s="594">
        <v>46215</v>
      </c>
      <c r="AP22" s="595"/>
      <c r="AQ22" s="595"/>
      <c r="AR22" s="595"/>
      <c r="AS22" s="595"/>
      <c r="AT22" s="586">
        <v>46216</v>
      </c>
      <c r="AU22" s="587"/>
      <c r="AV22" s="587"/>
      <c r="AW22" s="587"/>
      <c r="AX22" s="588"/>
    </row>
    <row r="23" spans="2:50" ht="14.25" customHeight="1">
      <c r="B23" s="611"/>
      <c r="C23" s="611"/>
      <c r="D23" s="611"/>
      <c r="E23" s="611"/>
      <c r="F23" s="611"/>
      <c r="G23" s="611"/>
      <c r="H23" s="611"/>
      <c r="I23" s="611"/>
      <c r="J23" s="611"/>
      <c r="K23" s="611"/>
      <c r="L23" s="611"/>
      <c r="M23" s="612"/>
      <c r="N23" s="614"/>
      <c r="O23" s="614"/>
      <c r="P23" s="589">
        <v>46196</v>
      </c>
      <c r="Q23" s="589"/>
      <c r="R23" s="589"/>
      <c r="S23" s="589"/>
      <c r="T23" s="589"/>
      <c r="U23" s="590">
        <v>46197</v>
      </c>
      <c r="V23" s="590"/>
      <c r="W23" s="590"/>
      <c r="X23" s="590"/>
      <c r="Y23" s="590"/>
      <c r="Z23" s="589">
        <v>46198</v>
      </c>
      <c r="AA23" s="589"/>
      <c r="AB23" s="589"/>
      <c r="AC23" s="589"/>
      <c r="AD23" s="589"/>
      <c r="AE23" s="590">
        <v>46199</v>
      </c>
      <c r="AF23" s="590"/>
      <c r="AG23" s="590"/>
      <c r="AH23" s="590"/>
      <c r="AI23" s="590"/>
      <c r="AJ23" s="591">
        <v>46200</v>
      </c>
      <c r="AK23" s="592"/>
      <c r="AL23" s="592"/>
      <c r="AM23" s="592"/>
      <c r="AN23" s="593"/>
      <c r="AO23" s="590">
        <v>46201</v>
      </c>
      <c r="AP23" s="590"/>
      <c r="AQ23" s="590"/>
      <c r="AR23" s="590"/>
      <c r="AS23" s="590"/>
      <c r="AT23" s="591">
        <v>46202</v>
      </c>
      <c r="AU23" s="592"/>
      <c r="AV23" s="592"/>
      <c r="AW23" s="592"/>
      <c r="AX23" s="593"/>
    </row>
    <row r="24" spans="2:50" ht="14.25" customHeight="1">
      <c r="B24" s="580" t="s">
        <v>162</v>
      </c>
      <c r="C24" s="580" t="s">
        <v>157</v>
      </c>
      <c r="D24" s="580"/>
      <c r="E24" s="580" t="s">
        <v>158</v>
      </c>
      <c r="F24" s="580"/>
      <c r="G24" s="580"/>
      <c r="H24" s="580" t="s">
        <v>163</v>
      </c>
      <c r="I24" s="583" t="s">
        <v>364</v>
      </c>
      <c r="J24" s="583"/>
      <c r="K24" s="583"/>
      <c r="L24" s="583" t="s">
        <v>163</v>
      </c>
      <c r="M24" s="583" t="s">
        <v>165</v>
      </c>
      <c r="N24" s="580"/>
      <c r="O24" s="580" t="s">
        <v>164</v>
      </c>
      <c r="P24" s="580" t="s">
        <v>160</v>
      </c>
      <c r="Q24" s="580"/>
      <c r="R24" s="580"/>
      <c r="S24" s="580"/>
      <c r="T24" s="580" t="s">
        <v>163</v>
      </c>
      <c r="U24" s="580" t="s">
        <v>160</v>
      </c>
      <c r="V24" s="580"/>
      <c r="W24" s="580"/>
      <c r="X24" s="580"/>
      <c r="Y24" s="580" t="s">
        <v>163</v>
      </c>
      <c r="Z24" s="580" t="s">
        <v>160</v>
      </c>
      <c r="AA24" s="580"/>
      <c r="AB24" s="580"/>
      <c r="AC24" s="580"/>
      <c r="AD24" s="580" t="s">
        <v>163</v>
      </c>
      <c r="AE24" s="580" t="s">
        <v>160</v>
      </c>
      <c r="AF24" s="580"/>
      <c r="AG24" s="580"/>
      <c r="AH24" s="580"/>
      <c r="AI24" s="580" t="s">
        <v>163</v>
      </c>
      <c r="AJ24" s="580" t="s">
        <v>160</v>
      </c>
      <c r="AK24" s="580"/>
      <c r="AL24" s="580"/>
      <c r="AM24" s="580"/>
      <c r="AN24" s="580" t="s">
        <v>163</v>
      </c>
      <c r="AO24" s="580" t="s">
        <v>160</v>
      </c>
      <c r="AP24" s="580"/>
      <c r="AQ24" s="580"/>
      <c r="AR24" s="580"/>
      <c r="AS24" s="580" t="s">
        <v>163</v>
      </c>
      <c r="AT24" s="580" t="s">
        <v>160</v>
      </c>
      <c r="AU24" s="580"/>
      <c r="AV24" s="580"/>
      <c r="AW24" s="580"/>
      <c r="AX24" s="580" t="s">
        <v>163</v>
      </c>
    </row>
    <row r="25" spans="2:50" ht="14.25" customHeight="1">
      <c r="B25" s="580"/>
      <c r="C25" s="580"/>
      <c r="D25" s="580"/>
      <c r="E25" s="580" t="s">
        <v>365</v>
      </c>
      <c r="F25" s="580"/>
      <c r="G25" s="580"/>
      <c r="H25" s="580"/>
      <c r="I25" s="583" t="s">
        <v>365</v>
      </c>
      <c r="J25" s="583"/>
      <c r="K25" s="583"/>
      <c r="L25" s="583"/>
      <c r="M25" s="583"/>
      <c r="N25" s="580"/>
      <c r="O25" s="580"/>
      <c r="P25" s="580" t="s">
        <v>366</v>
      </c>
      <c r="Q25" s="580"/>
      <c r="R25" s="580"/>
      <c r="S25" s="580"/>
      <c r="T25" s="580"/>
      <c r="U25" s="580" t="s">
        <v>366</v>
      </c>
      <c r="V25" s="580"/>
      <c r="W25" s="580"/>
      <c r="X25" s="580"/>
      <c r="Y25" s="580"/>
      <c r="Z25" s="580" t="s">
        <v>366</v>
      </c>
      <c r="AA25" s="580"/>
      <c r="AB25" s="580"/>
      <c r="AC25" s="580"/>
      <c r="AD25" s="580"/>
      <c r="AE25" s="580" t="s">
        <v>366</v>
      </c>
      <c r="AF25" s="580"/>
      <c r="AG25" s="580"/>
      <c r="AH25" s="580"/>
      <c r="AI25" s="580"/>
      <c r="AJ25" s="580" t="s">
        <v>366</v>
      </c>
      <c r="AK25" s="580"/>
      <c r="AL25" s="580"/>
      <c r="AM25" s="580"/>
      <c r="AN25" s="580"/>
      <c r="AO25" s="580" t="s">
        <v>366</v>
      </c>
      <c r="AP25" s="580"/>
      <c r="AQ25" s="580"/>
      <c r="AR25" s="580"/>
      <c r="AS25" s="580"/>
      <c r="AT25" s="580" t="s">
        <v>366</v>
      </c>
      <c r="AU25" s="580"/>
      <c r="AV25" s="580"/>
      <c r="AW25" s="580"/>
      <c r="AX25" s="580"/>
    </row>
    <row r="26" spans="2:50" ht="14.25" customHeight="1">
      <c r="B26" s="580"/>
      <c r="C26" s="580"/>
      <c r="D26" s="580"/>
      <c r="E26" s="179" t="s">
        <v>159</v>
      </c>
      <c r="F26" s="179" t="s">
        <v>367</v>
      </c>
      <c r="G26" s="179" t="s">
        <v>161</v>
      </c>
      <c r="H26" s="580"/>
      <c r="I26" s="180" t="s">
        <v>159</v>
      </c>
      <c r="J26" s="180" t="s">
        <v>367</v>
      </c>
      <c r="K26" s="180" t="s">
        <v>161</v>
      </c>
      <c r="L26" s="583"/>
      <c r="M26" s="583"/>
      <c r="N26" s="580"/>
      <c r="O26" s="580"/>
      <c r="P26" s="179" t="s">
        <v>159</v>
      </c>
      <c r="Q26" s="179" t="s">
        <v>367</v>
      </c>
      <c r="R26" s="179" t="s">
        <v>161</v>
      </c>
      <c r="S26" s="181" t="s">
        <v>165</v>
      </c>
      <c r="T26" s="580"/>
      <c r="U26" s="179" t="s">
        <v>159</v>
      </c>
      <c r="V26" s="179" t="s">
        <v>367</v>
      </c>
      <c r="W26" s="179" t="s">
        <v>161</v>
      </c>
      <c r="X26" s="181" t="s">
        <v>165</v>
      </c>
      <c r="Y26" s="580"/>
      <c r="Z26" s="179" t="s">
        <v>159</v>
      </c>
      <c r="AA26" s="179" t="s">
        <v>367</v>
      </c>
      <c r="AB26" s="179" t="s">
        <v>161</v>
      </c>
      <c r="AC26" s="181" t="s">
        <v>165</v>
      </c>
      <c r="AD26" s="580"/>
      <c r="AE26" s="179" t="s">
        <v>159</v>
      </c>
      <c r="AF26" s="179" t="s">
        <v>367</v>
      </c>
      <c r="AG26" s="179" t="s">
        <v>161</v>
      </c>
      <c r="AH26" s="181" t="s">
        <v>165</v>
      </c>
      <c r="AI26" s="580"/>
      <c r="AJ26" s="179" t="s">
        <v>159</v>
      </c>
      <c r="AK26" s="179" t="s">
        <v>367</v>
      </c>
      <c r="AL26" s="179" t="s">
        <v>161</v>
      </c>
      <c r="AM26" s="181" t="s">
        <v>165</v>
      </c>
      <c r="AN26" s="580"/>
      <c r="AO26" s="179" t="s">
        <v>159</v>
      </c>
      <c r="AP26" s="179" t="s">
        <v>367</v>
      </c>
      <c r="AQ26" s="179" t="s">
        <v>161</v>
      </c>
      <c r="AR26" s="181" t="s">
        <v>165</v>
      </c>
      <c r="AS26" s="580"/>
      <c r="AT26" s="179" t="s">
        <v>159</v>
      </c>
      <c r="AU26" s="179" t="s">
        <v>367</v>
      </c>
      <c r="AV26" s="179" t="s">
        <v>161</v>
      </c>
      <c r="AW26" s="181" t="s">
        <v>165</v>
      </c>
      <c r="AX26" s="580"/>
    </row>
    <row r="27" spans="2:50" ht="14.25" customHeight="1">
      <c r="B27" s="580" t="s">
        <v>371</v>
      </c>
      <c r="C27" s="179">
        <v>1</v>
      </c>
      <c r="D27" s="182" t="s">
        <v>532</v>
      </c>
      <c r="E27" s="183">
        <v>20</v>
      </c>
      <c r="F27" s="179">
        <v>3600</v>
      </c>
      <c r="G27" s="184">
        <f t="shared" ref="G27:G35" si="17">IFERROR(F27/E27,"")</f>
        <v>180</v>
      </c>
      <c r="H27" s="581">
        <f>AVERAGE(G27:G41)</f>
        <v>176.59147869674186</v>
      </c>
      <c r="I27" s="185">
        <f>AVERAGE(P27,U27,Z27,AE27,AJ27,AO27,AT27)</f>
        <v>20</v>
      </c>
      <c r="J27" s="185">
        <f>AVERAGE(Q27,V27,AA27,AF27,AK27,AP27,AU27)</f>
        <v>3261.8936650019027</v>
      </c>
      <c r="K27" s="186">
        <f>AVERAGE(R27,W27,AB27,AG27,AL27,AQ27,AV27)</f>
        <v>163.09468325009513</v>
      </c>
      <c r="L27" s="582">
        <f>IFERROR(AVERAGE(K27:K41),"-")</f>
        <v>157.47086317143416</v>
      </c>
      <c r="M27" s="185">
        <f>RANK(K27, K$27:$K$41)</f>
        <v>5</v>
      </c>
      <c r="N27" s="580"/>
      <c r="O27" s="580"/>
      <c r="P27" s="187">
        <v>20</v>
      </c>
      <c r="Q27" s="187">
        <v>3260.9165221447597</v>
      </c>
      <c r="R27" s="184">
        <f>IFERROR(Q27/P27,"")</f>
        <v>163.04582610723799</v>
      </c>
      <c r="S27" s="181">
        <f>RANK(R27, R$27:R$41)</f>
        <v>5</v>
      </c>
      <c r="T27" s="581">
        <f>AVERAGE(R27:R41)</f>
        <v>156.40124959468247</v>
      </c>
      <c r="U27" s="187">
        <v>20</v>
      </c>
      <c r="V27" s="187">
        <v>3262.3565221447598</v>
      </c>
      <c r="W27" s="184">
        <f t="shared" ref="W27:W35" si="18">IFERROR(V27/U27,"")</f>
        <v>163.11782610723799</v>
      </c>
      <c r="X27" s="181">
        <f>RANK(W27, W$27:W$41)</f>
        <v>5</v>
      </c>
      <c r="Y27" s="581">
        <f>AVERAGE(W27:W41)</f>
        <v>156.76182407087293</v>
      </c>
      <c r="Z27" s="187">
        <v>20</v>
      </c>
      <c r="AA27" s="187">
        <v>3261.6365221447595</v>
      </c>
      <c r="AB27" s="184">
        <f>IFERROR(AA27/Z27,"")</f>
        <v>163.08182610723799</v>
      </c>
      <c r="AC27" s="181">
        <f>RANK(AB27, AB$27:AB$41)</f>
        <v>5</v>
      </c>
      <c r="AD27" s="581">
        <f>AVERAGE(AB27:AB41)</f>
        <v>157.13327714740424</v>
      </c>
      <c r="AE27" s="187">
        <v>20</v>
      </c>
      <c r="AF27" s="187">
        <v>3261.6365221447595</v>
      </c>
      <c r="AG27" s="184">
        <f>IFERROR(AF27/AE27,"")</f>
        <v>163.08182610723799</v>
      </c>
      <c r="AH27" s="181">
        <f>RANK(AG27, AG$27:AG$41)</f>
        <v>3</v>
      </c>
      <c r="AI27" s="581">
        <f>AVERAGE(AG27:AG41)</f>
        <v>154.56093110602529</v>
      </c>
      <c r="AJ27" s="187">
        <v>20</v>
      </c>
      <c r="AK27" s="187">
        <v>3262.7165221447594</v>
      </c>
      <c r="AL27" s="184">
        <f>IFERROR(AK27/AJ27,"")</f>
        <v>163.13582610723796</v>
      </c>
      <c r="AM27" s="181">
        <f>RANK(AL27, AL$27:AL$41)</f>
        <v>3</v>
      </c>
      <c r="AN27" s="581">
        <f>AVERAGE(AL27:AL41)</f>
        <v>155.11193147966398</v>
      </c>
      <c r="AO27" s="187">
        <v>20</v>
      </c>
      <c r="AP27" s="187">
        <v>3261.6365221447595</v>
      </c>
      <c r="AQ27" s="184">
        <f>IFERROR(AP27/AO27,"")</f>
        <v>163.08182610723799</v>
      </c>
      <c r="AR27" s="181">
        <f>RANK(AQ27, AQ$27:AQ$41)</f>
        <v>3</v>
      </c>
      <c r="AS27" s="581">
        <f>AVERAGE(AQ27:AQ41)</f>
        <v>155.578663159299</v>
      </c>
      <c r="AT27" s="187">
        <v>20</v>
      </c>
      <c r="AU27" s="187">
        <v>3262.3565221447598</v>
      </c>
      <c r="AV27" s="184">
        <f>IFERROR(AU27/AT27,"")</f>
        <v>163.11782610723799</v>
      </c>
      <c r="AW27" s="181">
        <f>RANK(AV27, AV$27:AV$41)</f>
        <v>3</v>
      </c>
      <c r="AX27" s="581">
        <f>AVERAGE(AV27:AV41)</f>
        <v>155.58401546864374</v>
      </c>
    </row>
    <row r="28" spans="2:50" ht="14.25" customHeight="1">
      <c r="B28" s="580"/>
      <c r="C28" s="179">
        <v>2</v>
      </c>
      <c r="D28" s="182" t="s">
        <v>533</v>
      </c>
      <c r="E28" s="179">
        <v>21</v>
      </c>
      <c r="F28" s="179">
        <v>3600</v>
      </c>
      <c r="G28" s="184">
        <f t="shared" si="17"/>
        <v>171.42857142857142</v>
      </c>
      <c r="H28" s="581"/>
      <c r="I28" s="185">
        <f t="shared" ref="I28:K35" si="19">AVERAGE(P28,U28,Z28,AE28,AJ28,AO28,AT28)</f>
        <v>21</v>
      </c>
      <c r="J28" s="185">
        <f t="shared" si="19"/>
        <v>3260.0206533589308</v>
      </c>
      <c r="K28" s="186">
        <f t="shared" si="19"/>
        <v>155.23907873137765</v>
      </c>
      <c r="L28" s="582"/>
      <c r="M28" s="185">
        <f>RANK(K28, K$27:$K$41)</f>
        <v>7</v>
      </c>
      <c r="N28" s="580"/>
      <c r="O28" s="580"/>
      <c r="P28" s="187">
        <v>21</v>
      </c>
      <c r="Q28" s="187">
        <v>3258.7349390732161</v>
      </c>
      <c r="R28" s="184">
        <f t="shared" ref="R28:R35" si="20">IFERROR(Q28/P28,"")</f>
        <v>155.17785424158171</v>
      </c>
      <c r="S28" s="181">
        <f t="shared" ref="S28:S35" si="21">RANK(R28, R$27:R$41)</f>
        <v>6</v>
      </c>
      <c r="T28" s="581"/>
      <c r="U28" s="187">
        <v>21</v>
      </c>
      <c r="V28" s="187">
        <v>3258.0149390732167</v>
      </c>
      <c r="W28" s="184">
        <f t="shared" si="18"/>
        <v>155.14356852729603</v>
      </c>
      <c r="X28" s="181">
        <f t="shared" ref="X28:X35" si="22">RANK(W28, W$27:W$41)</f>
        <v>6</v>
      </c>
      <c r="Y28" s="581"/>
      <c r="Z28" s="187">
        <v>21</v>
      </c>
      <c r="AA28" s="187">
        <v>3259.4549390732163</v>
      </c>
      <c r="AB28" s="184">
        <f t="shared" ref="AB28:AB35" si="23">IFERROR(AA28/Z28,"")</f>
        <v>155.21213995586746</v>
      </c>
      <c r="AC28" s="181">
        <f t="shared" ref="AC28:AC35" si="24">RANK(AB28, AB$27:AB$41)</f>
        <v>6</v>
      </c>
      <c r="AD28" s="581"/>
      <c r="AE28" s="187">
        <v>21</v>
      </c>
      <c r="AF28" s="187">
        <v>3259.4549390732168</v>
      </c>
      <c r="AG28" s="184">
        <f t="shared" ref="AG28:AG35" si="25">IFERROR(AF28/AE28,"")</f>
        <v>155.21213995586746</v>
      </c>
      <c r="AH28" s="181">
        <f t="shared" ref="AH28:AH35" si="26">RANK(AG28, AG$27:AG$41)</f>
        <v>5</v>
      </c>
      <c r="AI28" s="581"/>
      <c r="AJ28" s="187">
        <v>21</v>
      </c>
      <c r="AK28" s="187">
        <v>3261.2549390732165</v>
      </c>
      <c r="AL28" s="184">
        <f t="shared" ref="AL28:AL35" si="27">IFERROR(AK28/AJ28,"")</f>
        <v>155.29785424158175</v>
      </c>
      <c r="AM28" s="181">
        <f t="shared" ref="AM28:AM35" si="28">RANK(AL28, AL$27:AL$41)</f>
        <v>5</v>
      </c>
      <c r="AN28" s="581"/>
      <c r="AO28" s="187">
        <v>21</v>
      </c>
      <c r="AP28" s="187">
        <v>3260.8949390732168</v>
      </c>
      <c r="AQ28" s="184">
        <f t="shared" ref="AQ28:AQ35" si="29">IFERROR(AP28/AO28,"")</f>
        <v>155.28071138443889</v>
      </c>
      <c r="AR28" s="181">
        <f t="shared" ref="AR28:AR35" si="30">RANK(AQ28, AQ$27:AQ$41)</f>
        <v>5</v>
      </c>
      <c r="AS28" s="581"/>
      <c r="AT28" s="187">
        <v>21</v>
      </c>
      <c r="AU28" s="187">
        <v>3262.3349390732169</v>
      </c>
      <c r="AV28" s="184">
        <f t="shared" ref="AV28:AV35" si="31">IFERROR(AU28/AT28,"")</f>
        <v>155.34928281301032</v>
      </c>
      <c r="AW28" s="181">
        <f t="shared" ref="AW28:AW35" si="32">RANK(AV28, AV$27:AV$41)</f>
        <v>5</v>
      </c>
      <c r="AX28" s="581"/>
    </row>
    <row r="29" spans="2:50" ht="14.25" customHeight="1">
      <c r="B29" s="580"/>
      <c r="C29" s="179">
        <v>3</v>
      </c>
      <c r="D29" s="182" t="s">
        <v>540</v>
      </c>
      <c r="E29" s="179">
        <v>19</v>
      </c>
      <c r="F29" s="179">
        <v>3600</v>
      </c>
      <c r="G29" s="184">
        <f t="shared" si="17"/>
        <v>189.47368421052633</v>
      </c>
      <c r="H29" s="581"/>
      <c r="I29" s="185">
        <f t="shared" si="19"/>
        <v>19</v>
      </c>
      <c r="J29" s="185">
        <f t="shared" si="19"/>
        <v>3187.4416259245554</v>
      </c>
      <c r="K29" s="186">
        <f t="shared" si="19"/>
        <v>167.76008557497661</v>
      </c>
      <c r="L29" s="582"/>
      <c r="M29" s="185">
        <f>RANK(K29, K$27:$K$41)</f>
        <v>4</v>
      </c>
      <c r="N29" s="580"/>
      <c r="O29" s="580"/>
      <c r="P29" s="187">
        <v>19</v>
      </c>
      <c r="Q29" s="187">
        <v>3186.9616259245563</v>
      </c>
      <c r="R29" s="184">
        <f t="shared" si="20"/>
        <v>167.73482241708192</v>
      </c>
      <c r="S29" s="181">
        <f t="shared" si="21"/>
        <v>3</v>
      </c>
      <c r="T29" s="581"/>
      <c r="U29" s="187">
        <v>19</v>
      </c>
      <c r="V29" s="187">
        <v>3186.9616259245558</v>
      </c>
      <c r="W29" s="184">
        <f t="shared" si="18"/>
        <v>167.73482241708189</v>
      </c>
      <c r="X29" s="181">
        <f t="shared" si="22"/>
        <v>3</v>
      </c>
      <c r="Y29" s="581"/>
      <c r="Z29" s="187">
        <v>19</v>
      </c>
      <c r="AA29" s="187">
        <v>3188.4016259245554</v>
      </c>
      <c r="AB29" s="184">
        <f t="shared" si="23"/>
        <v>167.81061189076607</v>
      </c>
      <c r="AC29" s="181">
        <f t="shared" si="24"/>
        <v>2</v>
      </c>
      <c r="AD29" s="581"/>
      <c r="AE29" s="187"/>
      <c r="AF29" s="187"/>
      <c r="AG29" s="184"/>
      <c r="AH29" s="181"/>
      <c r="AI29" s="581"/>
      <c r="AJ29" s="187"/>
      <c r="AK29" s="187"/>
      <c r="AL29" s="184"/>
      <c r="AM29" s="181"/>
      <c r="AN29" s="581"/>
      <c r="AO29" s="187"/>
      <c r="AP29" s="187"/>
      <c r="AQ29" s="184"/>
      <c r="AR29" s="181"/>
      <c r="AS29" s="581"/>
      <c r="AT29" s="187"/>
      <c r="AU29" s="187"/>
      <c r="AV29" s="184"/>
      <c r="AW29" s="181"/>
      <c r="AX29" s="581"/>
    </row>
    <row r="30" spans="2:50" ht="14.25" customHeight="1">
      <c r="B30" s="580"/>
      <c r="C30" s="179">
        <v>4</v>
      </c>
      <c r="D30" s="182" t="s">
        <v>621</v>
      </c>
      <c r="E30" s="179">
        <v>19</v>
      </c>
      <c r="F30" s="179">
        <v>3600</v>
      </c>
      <c r="G30" s="184">
        <f t="shared" si="17"/>
        <v>189.47368421052633</v>
      </c>
      <c r="H30" s="581"/>
      <c r="I30" s="185">
        <f t="shared" si="19"/>
        <v>19</v>
      </c>
      <c r="J30" s="185">
        <f t="shared" si="19"/>
        <v>3188.4312659167049</v>
      </c>
      <c r="K30" s="186">
        <f t="shared" si="19"/>
        <v>167.81217189035289</v>
      </c>
      <c r="L30" s="582"/>
      <c r="M30" s="185">
        <f>RANK(K30, K$27:$K$41)</f>
        <v>2</v>
      </c>
      <c r="N30" s="580"/>
      <c r="O30" s="580"/>
      <c r="P30" s="187">
        <v>19</v>
      </c>
      <c r="Q30" s="187">
        <v>3185.0595668322521</v>
      </c>
      <c r="R30" s="184">
        <f t="shared" si="20"/>
        <v>167.63471404380275</v>
      </c>
      <c r="S30" s="181">
        <f t="shared" si="21"/>
        <v>4</v>
      </c>
      <c r="T30" s="581"/>
      <c r="U30" s="187">
        <v>19</v>
      </c>
      <c r="V30" s="187">
        <v>3186.1395668322516</v>
      </c>
      <c r="W30" s="184">
        <f t="shared" si="18"/>
        <v>167.69155614906586</v>
      </c>
      <c r="X30" s="181">
        <f t="shared" si="22"/>
        <v>4</v>
      </c>
      <c r="Y30" s="581"/>
      <c r="Z30" s="187">
        <v>19</v>
      </c>
      <c r="AA30" s="187">
        <v>3185.779566832251</v>
      </c>
      <c r="AB30" s="184">
        <f t="shared" si="23"/>
        <v>167.67260878064479</v>
      </c>
      <c r="AC30" s="181">
        <f t="shared" si="24"/>
        <v>4</v>
      </c>
      <c r="AD30" s="581"/>
      <c r="AE30" s="187">
        <v>19</v>
      </c>
      <c r="AF30" s="187">
        <v>3188.8900402300455</v>
      </c>
      <c r="AG30" s="184">
        <f t="shared" si="25"/>
        <v>167.8363179068445</v>
      </c>
      <c r="AH30" s="181">
        <f t="shared" si="26"/>
        <v>2</v>
      </c>
      <c r="AI30" s="581"/>
      <c r="AJ30" s="187">
        <v>19</v>
      </c>
      <c r="AK30" s="187">
        <v>3189.970040230045</v>
      </c>
      <c r="AL30" s="184">
        <f t="shared" si="27"/>
        <v>167.89316001210764</v>
      </c>
      <c r="AM30" s="181">
        <f t="shared" si="28"/>
        <v>2</v>
      </c>
      <c r="AN30" s="581"/>
      <c r="AO30" s="187">
        <v>19</v>
      </c>
      <c r="AP30" s="187">
        <v>3191.4100402300451</v>
      </c>
      <c r="AQ30" s="184">
        <f t="shared" si="29"/>
        <v>167.96894948579185</v>
      </c>
      <c r="AR30" s="181">
        <f t="shared" si="30"/>
        <v>2</v>
      </c>
      <c r="AS30" s="581"/>
      <c r="AT30" s="187">
        <v>19</v>
      </c>
      <c r="AU30" s="187">
        <v>3191.7700402300447</v>
      </c>
      <c r="AV30" s="184">
        <f t="shared" si="31"/>
        <v>167.98789685421289</v>
      </c>
      <c r="AW30" s="181">
        <f t="shared" si="32"/>
        <v>2</v>
      </c>
      <c r="AX30" s="581"/>
    </row>
    <row r="31" spans="2:50" ht="14.25" customHeight="1">
      <c r="B31" s="580"/>
      <c r="C31" s="179">
        <v>5</v>
      </c>
      <c r="D31" s="182" t="s">
        <v>545</v>
      </c>
      <c r="E31" s="179">
        <v>19</v>
      </c>
      <c r="F31" s="179">
        <v>3600</v>
      </c>
      <c r="G31" s="184">
        <f t="shared" si="17"/>
        <v>189.47368421052633</v>
      </c>
      <c r="H31" s="581"/>
      <c r="I31" s="185">
        <f t="shared" si="19"/>
        <v>19</v>
      </c>
      <c r="J31" s="185">
        <f t="shared" si="19"/>
        <v>3187.7634355198265</v>
      </c>
      <c r="K31" s="186">
        <f t="shared" si="19"/>
        <v>167.77702292209611</v>
      </c>
      <c r="L31" s="582"/>
      <c r="M31" s="185">
        <f>RANK(K31, K$27:$K$41)</f>
        <v>3</v>
      </c>
      <c r="N31" s="580"/>
      <c r="O31" s="580"/>
      <c r="P31" s="187">
        <v>19</v>
      </c>
      <c r="Q31" s="187">
        <v>3187.8834355198264</v>
      </c>
      <c r="R31" s="184">
        <f t="shared" si="20"/>
        <v>167.78333871156983</v>
      </c>
      <c r="S31" s="181">
        <f t="shared" si="21"/>
        <v>2</v>
      </c>
      <c r="T31" s="581"/>
      <c r="U31" s="187">
        <v>19</v>
      </c>
      <c r="V31" s="187">
        <v>3187.1634355198266</v>
      </c>
      <c r="W31" s="184">
        <f t="shared" si="18"/>
        <v>167.74544397472772</v>
      </c>
      <c r="X31" s="181">
        <f t="shared" si="22"/>
        <v>2</v>
      </c>
      <c r="Y31" s="581"/>
      <c r="Z31" s="187">
        <v>19</v>
      </c>
      <c r="AA31" s="187">
        <v>3188.2434355198266</v>
      </c>
      <c r="AB31" s="184">
        <f t="shared" si="23"/>
        <v>167.80228607999086</v>
      </c>
      <c r="AC31" s="181">
        <f t="shared" si="24"/>
        <v>3</v>
      </c>
      <c r="AD31" s="581"/>
      <c r="AE31" s="187"/>
      <c r="AF31" s="187"/>
      <c r="AG31" s="184"/>
      <c r="AH31" s="181"/>
      <c r="AI31" s="581"/>
      <c r="AJ31" s="187"/>
      <c r="AK31" s="187"/>
      <c r="AL31" s="184"/>
      <c r="AM31" s="181"/>
      <c r="AN31" s="581"/>
      <c r="AO31" s="187"/>
      <c r="AP31" s="187"/>
      <c r="AQ31" s="184"/>
      <c r="AR31" s="181"/>
      <c r="AS31" s="581"/>
      <c r="AT31" s="187"/>
      <c r="AU31" s="187"/>
      <c r="AV31" s="184"/>
      <c r="AW31" s="181"/>
      <c r="AX31" s="581"/>
    </row>
    <row r="32" spans="2:50" ht="14.25" customHeight="1">
      <c r="B32" s="580"/>
      <c r="C32" s="179">
        <v>6</v>
      </c>
      <c r="D32" s="182" t="s">
        <v>601</v>
      </c>
      <c r="E32" s="179">
        <v>24</v>
      </c>
      <c r="F32" s="179">
        <v>3600</v>
      </c>
      <c r="G32" s="184">
        <f t="shared" si="17"/>
        <v>150</v>
      </c>
      <c r="H32" s="581"/>
      <c r="I32" s="185">
        <f t="shared" si="19"/>
        <v>24</v>
      </c>
      <c r="J32" s="185">
        <f t="shared" si="19"/>
        <v>3256.7237514563381</v>
      </c>
      <c r="K32" s="186">
        <f t="shared" si="19"/>
        <v>135.69682297734741</v>
      </c>
      <c r="L32" s="582"/>
      <c r="M32" s="185">
        <f>RANK(K32, K$27:$K$41)</f>
        <v>9</v>
      </c>
      <c r="N32" s="580"/>
      <c r="O32" s="580"/>
      <c r="P32" s="187">
        <v>24</v>
      </c>
      <c r="Q32" s="187">
        <v>3257.3408943134796</v>
      </c>
      <c r="R32" s="184">
        <f t="shared" si="20"/>
        <v>135.72253726306164</v>
      </c>
      <c r="S32" s="181">
        <f t="shared" si="21"/>
        <v>9</v>
      </c>
      <c r="T32" s="581"/>
      <c r="U32" s="187">
        <v>24</v>
      </c>
      <c r="V32" s="187">
        <v>3258.4208943134799</v>
      </c>
      <c r="W32" s="184">
        <f t="shared" si="18"/>
        <v>135.76753726306166</v>
      </c>
      <c r="X32" s="181">
        <f t="shared" si="22"/>
        <v>9</v>
      </c>
      <c r="Y32" s="581"/>
      <c r="Z32" s="187">
        <v>24</v>
      </c>
      <c r="AA32" s="187">
        <v>3258.0608943134798</v>
      </c>
      <c r="AB32" s="184">
        <f t="shared" si="23"/>
        <v>135.75253726306167</v>
      </c>
      <c r="AC32" s="181">
        <f t="shared" si="24"/>
        <v>9</v>
      </c>
      <c r="AD32" s="581"/>
      <c r="AE32" s="187">
        <v>24</v>
      </c>
      <c r="AF32" s="187">
        <v>3256.260894313481</v>
      </c>
      <c r="AG32" s="184">
        <f t="shared" si="25"/>
        <v>135.67753726306171</v>
      </c>
      <c r="AH32" s="181">
        <f t="shared" si="26"/>
        <v>7</v>
      </c>
      <c r="AI32" s="581"/>
      <c r="AJ32" s="187">
        <v>24</v>
      </c>
      <c r="AK32" s="187">
        <v>3256.260894313481</v>
      </c>
      <c r="AL32" s="184">
        <f t="shared" si="27"/>
        <v>135.67753726306171</v>
      </c>
      <c r="AM32" s="181">
        <f t="shared" si="28"/>
        <v>7</v>
      </c>
      <c r="AN32" s="581"/>
      <c r="AO32" s="187">
        <v>24</v>
      </c>
      <c r="AP32" s="187">
        <v>3254.8208943134819</v>
      </c>
      <c r="AQ32" s="184">
        <f t="shared" si="29"/>
        <v>135.61753726306173</v>
      </c>
      <c r="AR32" s="181">
        <f t="shared" si="30"/>
        <v>7</v>
      </c>
      <c r="AS32" s="581"/>
      <c r="AT32" s="187">
        <v>24</v>
      </c>
      <c r="AU32" s="187">
        <v>3255.9008943134818</v>
      </c>
      <c r="AV32" s="184">
        <f t="shared" si="31"/>
        <v>135.66253726306175</v>
      </c>
      <c r="AW32" s="181">
        <f t="shared" si="32"/>
        <v>7</v>
      </c>
      <c r="AX32" s="581"/>
    </row>
    <row r="33" spans="2:50" ht="14.25" customHeight="1">
      <c r="B33" s="580"/>
      <c r="C33" s="179">
        <v>7</v>
      </c>
      <c r="D33" s="182" t="s">
        <v>534</v>
      </c>
      <c r="E33" s="179">
        <v>19</v>
      </c>
      <c r="F33" s="179">
        <v>3600</v>
      </c>
      <c r="G33" s="184">
        <f t="shared" si="17"/>
        <v>189.47368421052633</v>
      </c>
      <c r="H33" s="581"/>
      <c r="I33" s="185">
        <f t="shared" si="19"/>
        <v>19</v>
      </c>
      <c r="J33" s="185">
        <f t="shared" si="19"/>
        <v>3191.1179423240069</v>
      </c>
      <c r="K33" s="186">
        <f t="shared" si="19"/>
        <v>167.95357591178981</v>
      </c>
      <c r="L33" s="582"/>
      <c r="M33" s="185">
        <f>RANK(K33, K$27:$K$41)</f>
        <v>1</v>
      </c>
      <c r="N33" s="580"/>
      <c r="O33" s="580"/>
      <c r="P33" s="187">
        <v>19</v>
      </c>
      <c r="Q33" s="187">
        <v>3189.6779423240082</v>
      </c>
      <c r="R33" s="184">
        <f t="shared" si="20"/>
        <v>167.87778643810569</v>
      </c>
      <c r="S33" s="181">
        <f t="shared" si="21"/>
        <v>1</v>
      </c>
      <c r="T33" s="581"/>
      <c r="U33" s="187">
        <v>19</v>
      </c>
      <c r="V33" s="187">
        <v>3189.3179423240076</v>
      </c>
      <c r="W33" s="184">
        <f t="shared" si="18"/>
        <v>167.85883906968462</v>
      </c>
      <c r="X33" s="181">
        <f t="shared" si="22"/>
        <v>1</v>
      </c>
      <c r="Y33" s="581"/>
      <c r="Z33" s="187">
        <v>19</v>
      </c>
      <c r="AA33" s="187">
        <v>3190.7579423240072</v>
      </c>
      <c r="AB33" s="184">
        <f t="shared" si="23"/>
        <v>167.9346285433688</v>
      </c>
      <c r="AC33" s="181">
        <f t="shared" si="24"/>
        <v>1</v>
      </c>
      <c r="AD33" s="581"/>
      <c r="AE33" s="187">
        <v>19</v>
      </c>
      <c r="AF33" s="187">
        <v>3190.7579423240068</v>
      </c>
      <c r="AG33" s="184">
        <f t="shared" si="25"/>
        <v>167.93462854336877</v>
      </c>
      <c r="AH33" s="181">
        <f t="shared" si="26"/>
        <v>1</v>
      </c>
      <c r="AI33" s="581"/>
      <c r="AJ33" s="187">
        <v>19</v>
      </c>
      <c r="AK33" s="187">
        <v>3191.8379423240058</v>
      </c>
      <c r="AL33" s="184">
        <f t="shared" si="27"/>
        <v>167.99147064863189</v>
      </c>
      <c r="AM33" s="181">
        <f t="shared" si="28"/>
        <v>1</v>
      </c>
      <c r="AN33" s="581"/>
      <c r="AO33" s="187">
        <v>19</v>
      </c>
      <c r="AP33" s="187">
        <v>3192.5579423240056</v>
      </c>
      <c r="AQ33" s="184">
        <f t="shared" si="29"/>
        <v>168.02936538547397</v>
      </c>
      <c r="AR33" s="181">
        <f t="shared" si="30"/>
        <v>1</v>
      </c>
      <c r="AS33" s="581"/>
      <c r="AT33" s="187">
        <v>19</v>
      </c>
      <c r="AU33" s="187">
        <v>3192.9179423240043</v>
      </c>
      <c r="AV33" s="184">
        <f t="shared" si="31"/>
        <v>168.04831275389498</v>
      </c>
      <c r="AW33" s="181">
        <f t="shared" si="32"/>
        <v>1</v>
      </c>
      <c r="AX33" s="581"/>
    </row>
    <row r="34" spans="2:50" ht="14.25" customHeight="1">
      <c r="B34" s="580"/>
      <c r="C34" s="179">
        <v>8</v>
      </c>
      <c r="D34" s="182" t="s">
        <v>642</v>
      </c>
      <c r="E34" s="179">
        <v>24</v>
      </c>
      <c r="F34" s="179">
        <v>3600</v>
      </c>
      <c r="G34" s="184">
        <f t="shared" si="17"/>
        <v>150</v>
      </c>
      <c r="H34" s="581"/>
      <c r="I34" s="185">
        <f t="shared" si="19"/>
        <v>24</v>
      </c>
      <c r="J34" s="185">
        <f t="shared" si="19"/>
        <v>3263.9162396842435</v>
      </c>
      <c r="K34" s="186">
        <f t="shared" si="19"/>
        <v>135.99650998684348</v>
      </c>
      <c r="L34" s="582"/>
      <c r="M34" s="185">
        <f>RANK(K34, K$27:$K$41)</f>
        <v>8</v>
      </c>
      <c r="N34" s="580"/>
      <c r="O34" s="580"/>
      <c r="P34" s="187">
        <v>24</v>
      </c>
      <c r="Q34" s="187">
        <v>3262.4248111128159</v>
      </c>
      <c r="R34" s="184">
        <f t="shared" si="20"/>
        <v>135.93436712970066</v>
      </c>
      <c r="S34" s="181">
        <f t="shared" si="21"/>
        <v>8</v>
      </c>
      <c r="T34" s="581"/>
      <c r="U34" s="187">
        <v>24</v>
      </c>
      <c r="V34" s="187">
        <v>3263.5048111128158</v>
      </c>
      <c r="W34" s="184">
        <f t="shared" si="18"/>
        <v>135.97936712970065</v>
      </c>
      <c r="X34" s="181">
        <f t="shared" si="22"/>
        <v>8</v>
      </c>
      <c r="Y34" s="581"/>
      <c r="Z34" s="187">
        <v>24</v>
      </c>
      <c r="AA34" s="187">
        <v>3264.5848111128148</v>
      </c>
      <c r="AB34" s="184">
        <f t="shared" si="23"/>
        <v>136.02436712970061</v>
      </c>
      <c r="AC34" s="181">
        <f t="shared" si="24"/>
        <v>8</v>
      </c>
      <c r="AD34" s="581"/>
      <c r="AE34" s="187">
        <v>24</v>
      </c>
      <c r="AF34" s="187">
        <v>3264.2248111128142</v>
      </c>
      <c r="AG34" s="184">
        <f t="shared" si="25"/>
        <v>136.00936712970059</v>
      </c>
      <c r="AH34" s="181">
        <f t="shared" si="26"/>
        <v>6</v>
      </c>
      <c r="AI34" s="581"/>
      <c r="AJ34" s="187">
        <v>24</v>
      </c>
      <c r="AK34" s="187">
        <v>3264.944811112814</v>
      </c>
      <c r="AL34" s="184">
        <f t="shared" si="27"/>
        <v>136.03936712970059</v>
      </c>
      <c r="AM34" s="181">
        <f t="shared" si="28"/>
        <v>6</v>
      </c>
      <c r="AN34" s="581"/>
      <c r="AO34" s="187">
        <v>24</v>
      </c>
      <c r="AP34" s="187">
        <v>3264.5848111128144</v>
      </c>
      <c r="AQ34" s="184">
        <f t="shared" si="29"/>
        <v>136.02436712970061</v>
      </c>
      <c r="AR34" s="181">
        <f t="shared" si="30"/>
        <v>6</v>
      </c>
      <c r="AS34" s="581"/>
      <c r="AT34" s="187">
        <v>24</v>
      </c>
      <c r="AU34" s="187">
        <v>3263.1448111128148</v>
      </c>
      <c r="AV34" s="184">
        <f t="shared" si="31"/>
        <v>135.96436712970061</v>
      </c>
      <c r="AW34" s="181">
        <f t="shared" si="32"/>
        <v>6</v>
      </c>
      <c r="AX34" s="581"/>
    </row>
    <row r="35" spans="2:50" ht="14.25" customHeight="1">
      <c r="B35" s="580"/>
      <c r="C35" s="179">
        <v>9</v>
      </c>
      <c r="D35" s="182" t="s">
        <v>810</v>
      </c>
      <c r="E35" s="179">
        <v>20</v>
      </c>
      <c r="F35" s="179">
        <v>3600</v>
      </c>
      <c r="G35" s="184">
        <f t="shared" si="17"/>
        <v>180</v>
      </c>
      <c r="H35" s="581"/>
      <c r="I35" s="185">
        <f t="shared" si="19"/>
        <v>20</v>
      </c>
      <c r="J35" s="185">
        <f t="shared" si="19"/>
        <v>3118.1563459605654</v>
      </c>
      <c r="K35" s="186">
        <f t="shared" si="19"/>
        <v>155.90781729802828</v>
      </c>
      <c r="L35" s="582"/>
      <c r="M35" s="185">
        <f>RANK(K35, K$27:$K$41)</f>
        <v>6</v>
      </c>
      <c r="N35" s="580"/>
      <c r="O35" s="580"/>
      <c r="P35" s="187">
        <v>20</v>
      </c>
      <c r="Q35" s="187">
        <v>2934</v>
      </c>
      <c r="R35" s="184">
        <f t="shared" si="20"/>
        <v>146.69999999999999</v>
      </c>
      <c r="S35" s="181">
        <f t="shared" si="21"/>
        <v>7</v>
      </c>
      <c r="T35" s="581"/>
      <c r="U35" s="187">
        <v>20</v>
      </c>
      <c r="V35" s="187">
        <v>2996.3491199999994</v>
      </c>
      <c r="W35" s="184">
        <f t="shared" si="18"/>
        <v>149.81745599999996</v>
      </c>
      <c r="X35" s="181">
        <f t="shared" si="22"/>
        <v>7</v>
      </c>
      <c r="Y35" s="581"/>
      <c r="Z35" s="187">
        <v>20</v>
      </c>
      <c r="AA35" s="187">
        <v>3058.1697715199994</v>
      </c>
      <c r="AB35" s="184">
        <f t="shared" si="23"/>
        <v>152.90848857599997</v>
      </c>
      <c r="AC35" s="181">
        <f t="shared" si="24"/>
        <v>7</v>
      </c>
      <c r="AD35" s="581"/>
      <c r="AE35" s="187">
        <v>20</v>
      </c>
      <c r="AF35" s="187">
        <v>3123.4940167219193</v>
      </c>
      <c r="AG35" s="184">
        <f t="shared" si="25"/>
        <v>156.17470083609595</v>
      </c>
      <c r="AH35" s="181">
        <f t="shared" si="26"/>
        <v>4</v>
      </c>
      <c r="AI35" s="581"/>
      <c r="AJ35" s="187">
        <v>20</v>
      </c>
      <c r="AK35" s="187">
        <v>3194.966099106523</v>
      </c>
      <c r="AL35" s="184">
        <f t="shared" si="27"/>
        <v>159.74830495532615</v>
      </c>
      <c r="AM35" s="181">
        <f t="shared" si="28"/>
        <v>4</v>
      </c>
      <c r="AN35" s="581"/>
      <c r="AO35" s="187">
        <v>20</v>
      </c>
      <c r="AP35" s="187">
        <v>3260.9577071877598</v>
      </c>
      <c r="AQ35" s="184">
        <f t="shared" si="29"/>
        <v>163.04788535938798</v>
      </c>
      <c r="AR35" s="181">
        <f t="shared" si="30"/>
        <v>4</v>
      </c>
      <c r="AS35" s="581"/>
      <c r="AT35" s="187">
        <v>20</v>
      </c>
      <c r="AU35" s="187">
        <v>3259.1577071877596</v>
      </c>
      <c r="AV35" s="184">
        <f t="shared" si="31"/>
        <v>162.95788535938797</v>
      </c>
      <c r="AW35" s="181">
        <f t="shared" si="32"/>
        <v>4</v>
      </c>
      <c r="AX35" s="581"/>
    </row>
    <row r="36" spans="2:50" ht="14.25" customHeight="1">
      <c r="B36" s="580"/>
      <c r="C36" s="179">
        <v>10</v>
      </c>
      <c r="D36" s="182"/>
      <c r="E36" s="179"/>
      <c r="F36" s="179"/>
      <c r="G36" s="184"/>
      <c r="H36" s="581"/>
      <c r="I36" s="185"/>
      <c r="J36" s="185"/>
      <c r="K36" s="186"/>
      <c r="L36" s="582"/>
      <c r="M36" s="185"/>
      <c r="N36" s="580"/>
      <c r="O36" s="580"/>
      <c r="P36" s="187"/>
      <c r="Q36" s="187"/>
      <c r="R36" s="184"/>
      <c r="S36" s="181"/>
      <c r="T36" s="581"/>
      <c r="U36" s="187"/>
      <c r="V36" s="187"/>
      <c r="W36" s="184"/>
      <c r="X36" s="181"/>
      <c r="Y36" s="581"/>
      <c r="Z36" s="187"/>
      <c r="AA36" s="187"/>
      <c r="AB36" s="184"/>
      <c r="AC36" s="181"/>
      <c r="AD36" s="581"/>
      <c r="AE36" s="187"/>
      <c r="AF36" s="187"/>
      <c r="AG36" s="184"/>
      <c r="AH36" s="181"/>
      <c r="AI36" s="581"/>
      <c r="AJ36" s="187"/>
      <c r="AK36" s="187"/>
      <c r="AL36" s="184"/>
      <c r="AM36" s="181"/>
      <c r="AN36" s="581"/>
      <c r="AO36" s="187"/>
      <c r="AP36" s="187"/>
      <c r="AQ36" s="184"/>
      <c r="AR36" s="181"/>
      <c r="AS36" s="581"/>
      <c r="AT36" s="187"/>
      <c r="AU36" s="187"/>
      <c r="AV36" s="184"/>
      <c r="AW36" s="181"/>
      <c r="AX36" s="581"/>
    </row>
    <row r="37" spans="2:50" ht="14.25" customHeight="1">
      <c r="B37" s="580"/>
      <c r="C37" s="179">
        <v>11</v>
      </c>
      <c r="D37" s="182"/>
      <c r="E37" s="179"/>
      <c r="F37" s="179"/>
      <c r="G37" s="184"/>
      <c r="H37" s="581"/>
      <c r="I37" s="185"/>
      <c r="J37" s="185"/>
      <c r="K37" s="186"/>
      <c r="L37" s="582"/>
      <c r="M37" s="185"/>
      <c r="N37" s="580"/>
      <c r="O37" s="580"/>
      <c r="P37" s="187"/>
      <c r="Q37" s="187"/>
      <c r="R37" s="184"/>
      <c r="S37" s="181"/>
      <c r="T37" s="581"/>
      <c r="U37" s="187"/>
      <c r="V37" s="187"/>
      <c r="W37" s="184"/>
      <c r="X37" s="181"/>
      <c r="Y37" s="581"/>
      <c r="Z37" s="187"/>
      <c r="AA37" s="187"/>
      <c r="AB37" s="184"/>
      <c r="AC37" s="181"/>
      <c r="AD37" s="581"/>
      <c r="AE37" s="187"/>
      <c r="AF37" s="187"/>
      <c r="AG37" s="184"/>
      <c r="AH37" s="181"/>
      <c r="AI37" s="581"/>
      <c r="AJ37" s="187"/>
      <c r="AK37" s="187"/>
      <c r="AL37" s="184"/>
      <c r="AM37" s="181"/>
      <c r="AN37" s="581"/>
      <c r="AO37" s="187"/>
      <c r="AP37" s="187"/>
      <c r="AQ37" s="184"/>
      <c r="AR37" s="181"/>
      <c r="AS37" s="581"/>
      <c r="AT37" s="187"/>
      <c r="AU37" s="187"/>
      <c r="AV37" s="184"/>
      <c r="AW37" s="181"/>
      <c r="AX37" s="581"/>
    </row>
    <row r="38" spans="2:50" ht="14.25" customHeight="1">
      <c r="B38" s="580"/>
      <c r="C38" s="179">
        <v>12</v>
      </c>
      <c r="D38" s="182"/>
      <c r="E38" s="179"/>
      <c r="F38" s="179"/>
      <c r="G38" s="184"/>
      <c r="H38" s="581"/>
      <c r="I38" s="185"/>
      <c r="J38" s="185"/>
      <c r="K38" s="186"/>
      <c r="L38" s="582"/>
      <c r="M38" s="185"/>
      <c r="N38" s="580"/>
      <c r="O38" s="580"/>
      <c r="P38" s="187"/>
      <c r="Q38" s="187"/>
      <c r="R38" s="184"/>
      <c r="S38" s="181"/>
      <c r="T38" s="581"/>
      <c r="U38" s="187"/>
      <c r="V38" s="187"/>
      <c r="W38" s="184"/>
      <c r="X38" s="181"/>
      <c r="Y38" s="581"/>
      <c r="Z38" s="187"/>
      <c r="AA38" s="187"/>
      <c r="AB38" s="184"/>
      <c r="AC38" s="181"/>
      <c r="AD38" s="581"/>
      <c r="AE38" s="187"/>
      <c r="AF38" s="187"/>
      <c r="AG38" s="184"/>
      <c r="AH38" s="181"/>
      <c r="AI38" s="581"/>
      <c r="AJ38" s="187"/>
      <c r="AK38" s="187"/>
      <c r="AL38" s="184"/>
      <c r="AM38" s="181"/>
      <c r="AN38" s="581"/>
      <c r="AO38" s="187"/>
      <c r="AP38" s="187"/>
      <c r="AQ38" s="184"/>
      <c r="AR38" s="181"/>
      <c r="AS38" s="581"/>
      <c r="AT38" s="187"/>
      <c r="AU38" s="187"/>
      <c r="AV38" s="184"/>
      <c r="AW38" s="181"/>
      <c r="AX38" s="581"/>
    </row>
    <row r="39" spans="2:50" ht="14.25" customHeight="1">
      <c r="B39" s="580"/>
      <c r="C39" s="179">
        <v>13</v>
      </c>
      <c r="D39" s="182"/>
      <c r="E39" s="179"/>
      <c r="F39" s="179"/>
      <c r="G39" s="184"/>
      <c r="H39" s="581"/>
      <c r="I39" s="185"/>
      <c r="J39" s="185"/>
      <c r="K39" s="186"/>
      <c r="L39" s="582"/>
      <c r="M39" s="185"/>
      <c r="N39" s="580"/>
      <c r="O39" s="580"/>
      <c r="P39" s="187"/>
      <c r="Q39" s="187"/>
      <c r="R39" s="184"/>
      <c r="S39" s="181"/>
      <c r="T39" s="581"/>
      <c r="U39" s="187"/>
      <c r="V39" s="187"/>
      <c r="W39" s="184"/>
      <c r="X39" s="181"/>
      <c r="Y39" s="581"/>
      <c r="Z39" s="187"/>
      <c r="AA39" s="187"/>
      <c r="AB39" s="184"/>
      <c r="AC39" s="181"/>
      <c r="AD39" s="581"/>
      <c r="AE39" s="187"/>
      <c r="AF39" s="187"/>
      <c r="AG39" s="184"/>
      <c r="AH39" s="181"/>
      <c r="AI39" s="581"/>
      <c r="AJ39" s="187"/>
      <c r="AK39" s="187"/>
      <c r="AL39" s="184"/>
      <c r="AM39" s="181"/>
      <c r="AN39" s="581"/>
      <c r="AO39" s="187"/>
      <c r="AP39" s="187"/>
      <c r="AQ39" s="184"/>
      <c r="AR39" s="181"/>
      <c r="AS39" s="581"/>
      <c r="AT39" s="187"/>
      <c r="AU39" s="187"/>
      <c r="AV39" s="184"/>
      <c r="AW39" s="181"/>
      <c r="AX39" s="581"/>
    </row>
    <row r="40" spans="2:50" ht="14.25" customHeight="1">
      <c r="B40" s="580"/>
      <c r="C40" s="179">
        <v>14</v>
      </c>
      <c r="D40" s="182"/>
      <c r="E40" s="179"/>
      <c r="F40" s="179"/>
      <c r="G40" s="184"/>
      <c r="H40" s="581"/>
      <c r="I40" s="185"/>
      <c r="J40" s="185"/>
      <c r="K40" s="186"/>
      <c r="L40" s="582"/>
      <c r="M40" s="185"/>
      <c r="N40" s="580"/>
      <c r="O40" s="580"/>
      <c r="P40" s="187"/>
      <c r="Q40" s="187"/>
      <c r="R40" s="184"/>
      <c r="S40" s="181"/>
      <c r="T40" s="581"/>
      <c r="U40" s="187"/>
      <c r="V40" s="187"/>
      <c r="W40" s="184"/>
      <c r="X40" s="181"/>
      <c r="Y40" s="581"/>
      <c r="Z40" s="187"/>
      <c r="AA40" s="187"/>
      <c r="AB40" s="184"/>
      <c r="AC40" s="181"/>
      <c r="AD40" s="581"/>
      <c r="AE40" s="187"/>
      <c r="AF40" s="187"/>
      <c r="AG40" s="184"/>
      <c r="AH40" s="181"/>
      <c r="AI40" s="581"/>
      <c r="AJ40" s="187"/>
      <c r="AK40" s="187"/>
      <c r="AL40" s="184"/>
      <c r="AM40" s="181"/>
      <c r="AN40" s="581"/>
      <c r="AO40" s="187"/>
      <c r="AP40" s="187"/>
      <c r="AQ40" s="184"/>
      <c r="AR40" s="181"/>
      <c r="AS40" s="581"/>
      <c r="AT40" s="187"/>
      <c r="AU40" s="187"/>
      <c r="AV40" s="184"/>
      <c r="AW40" s="181"/>
      <c r="AX40" s="581"/>
    </row>
    <row r="41" spans="2:50" ht="14.25" customHeight="1">
      <c r="B41" s="580"/>
      <c r="C41" s="179">
        <v>15</v>
      </c>
      <c r="D41" s="182"/>
      <c r="E41" s="179"/>
      <c r="F41" s="179"/>
      <c r="G41" s="184"/>
      <c r="H41" s="581"/>
      <c r="I41" s="185"/>
      <c r="J41" s="185"/>
      <c r="K41" s="186"/>
      <c r="L41" s="582"/>
      <c r="M41" s="185"/>
      <c r="N41" s="580"/>
      <c r="O41" s="580"/>
      <c r="P41" s="187"/>
      <c r="Q41" s="187"/>
      <c r="R41" s="184"/>
      <c r="S41" s="181"/>
      <c r="T41" s="581"/>
      <c r="U41" s="187"/>
      <c r="V41" s="187"/>
      <c r="W41" s="184"/>
      <c r="X41" s="181"/>
      <c r="Y41" s="581"/>
      <c r="Z41" s="187"/>
      <c r="AA41" s="187"/>
      <c r="AB41" s="184"/>
      <c r="AC41" s="181"/>
      <c r="AD41" s="581"/>
      <c r="AE41" s="187"/>
      <c r="AF41" s="187"/>
      <c r="AG41" s="184"/>
      <c r="AH41" s="181"/>
      <c r="AI41" s="581"/>
      <c r="AJ41" s="187"/>
      <c r="AK41" s="187"/>
      <c r="AL41" s="184"/>
      <c r="AM41" s="181"/>
      <c r="AN41" s="581"/>
      <c r="AO41" s="187"/>
      <c r="AP41" s="187"/>
      <c r="AQ41" s="184"/>
      <c r="AR41" s="181"/>
      <c r="AS41" s="581"/>
      <c r="AT41" s="187"/>
      <c r="AU41" s="187"/>
      <c r="AV41" s="184"/>
      <c r="AW41" s="181"/>
      <c r="AX41" s="581"/>
    </row>
  </sheetData>
  <mergeCells count="118"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I4:K4"/>
    <mergeCell ref="AT4:AW4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41"/>
  <sheetViews>
    <sheetView zoomScaleNormal="100" workbookViewId="0">
      <pane xSplit="13" ySplit="1" topLeftCell="N11" activePane="bottomRight" state="frozen"/>
      <selection activeCell="B1" sqref="B1"/>
      <selection pane="topRight" activeCell="B1" sqref="B1"/>
      <selection pane="bottomLeft" activeCell="B1" sqref="B1"/>
      <selection pane="bottomRight" activeCell="C1" sqref="C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468" t="s">
        <v>777</v>
      </c>
      <c r="C1" s="174">
        <f>AVERAGE(L7,L27)</f>
        <v>117.50585326145432</v>
      </c>
    </row>
    <row r="2" spans="1:50" ht="14.25" customHeight="1">
      <c r="B2" s="608" t="s">
        <v>742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10"/>
      <c r="N2" s="613" t="s">
        <v>363</v>
      </c>
      <c r="O2" s="600" t="s">
        <v>105</v>
      </c>
      <c r="P2" s="602">
        <v>46203</v>
      </c>
      <c r="Q2" s="603"/>
      <c r="R2" s="603"/>
      <c r="S2" s="603"/>
      <c r="T2" s="603"/>
      <c r="U2" s="594">
        <v>46204</v>
      </c>
      <c r="V2" s="595"/>
      <c r="W2" s="595"/>
      <c r="X2" s="595"/>
      <c r="Y2" s="595"/>
      <c r="Z2" s="602">
        <v>46205</v>
      </c>
      <c r="AA2" s="603"/>
      <c r="AB2" s="603"/>
      <c r="AC2" s="603"/>
      <c r="AD2" s="603"/>
      <c r="AE2" s="594">
        <v>46206</v>
      </c>
      <c r="AF2" s="595"/>
      <c r="AG2" s="595"/>
      <c r="AH2" s="595"/>
      <c r="AI2" s="595"/>
      <c r="AJ2" s="586">
        <v>46207</v>
      </c>
      <c r="AK2" s="587"/>
      <c r="AL2" s="587"/>
      <c r="AM2" s="587"/>
      <c r="AN2" s="588"/>
      <c r="AO2" s="594">
        <v>46208</v>
      </c>
      <c r="AP2" s="595"/>
      <c r="AQ2" s="595"/>
      <c r="AR2" s="595"/>
      <c r="AS2" s="595"/>
      <c r="AT2" s="586">
        <v>46209</v>
      </c>
      <c r="AU2" s="587"/>
      <c r="AV2" s="587"/>
      <c r="AW2" s="587"/>
      <c r="AX2" s="588"/>
    </row>
    <row r="3" spans="1:50" ht="14.25" customHeight="1"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2"/>
      <c r="N3" s="614"/>
      <c r="O3" s="601"/>
      <c r="P3" s="589">
        <v>46196</v>
      </c>
      <c r="Q3" s="589"/>
      <c r="R3" s="589"/>
      <c r="S3" s="589"/>
      <c r="T3" s="589"/>
      <c r="U3" s="590">
        <v>46197</v>
      </c>
      <c r="V3" s="590"/>
      <c r="W3" s="590"/>
      <c r="X3" s="590"/>
      <c r="Y3" s="590"/>
      <c r="Z3" s="589">
        <v>46198</v>
      </c>
      <c r="AA3" s="589"/>
      <c r="AB3" s="589"/>
      <c r="AC3" s="589"/>
      <c r="AD3" s="589"/>
      <c r="AE3" s="590">
        <v>46199</v>
      </c>
      <c r="AF3" s="590"/>
      <c r="AG3" s="590"/>
      <c r="AH3" s="590"/>
      <c r="AI3" s="590"/>
      <c r="AJ3" s="591">
        <v>46200</v>
      </c>
      <c r="AK3" s="592"/>
      <c r="AL3" s="592"/>
      <c r="AM3" s="592"/>
      <c r="AN3" s="593"/>
      <c r="AO3" s="590">
        <v>46201</v>
      </c>
      <c r="AP3" s="590"/>
      <c r="AQ3" s="590"/>
      <c r="AR3" s="590"/>
      <c r="AS3" s="590"/>
      <c r="AT3" s="591">
        <v>46202</v>
      </c>
      <c r="AU3" s="592"/>
      <c r="AV3" s="592"/>
      <c r="AW3" s="592"/>
      <c r="AX3" s="593"/>
    </row>
    <row r="4" spans="1:50" ht="14.25" customHeight="1">
      <c r="B4" s="580" t="s">
        <v>162</v>
      </c>
      <c r="C4" s="580" t="s">
        <v>157</v>
      </c>
      <c r="D4" s="580"/>
      <c r="E4" s="580" t="s">
        <v>158</v>
      </c>
      <c r="F4" s="580"/>
      <c r="G4" s="580"/>
      <c r="H4" s="580" t="s">
        <v>163</v>
      </c>
      <c r="I4" s="583" t="s">
        <v>364</v>
      </c>
      <c r="J4" s="583"/>
      <c r="K4" s="583"/>
      <c r="L4" s="583" t="s">
        <v>163</v>
      </c>
      <c r="M4" s="583" t="s">
        <v>165</v>
      </c>
      <c r="N4" s="580"/>
      <c r="O4" s="580" t="s">
        <v>164</v>
      </c>
      <c r="P4" s="580" t="s">
        <v>160</v>
      </c>
      <c r="Q4" s="580"/>
      <c r="R4" s="580"/>
      <c r="S4" s="580"/>
      <c r="T4" s="580" t="s">
        <v>163</v>
      </c>
      <c r="U4" s="580" t="s">
        <v>160</v>
      </c>
      <c r="V4" s="580"/>
      <c r="W4" s="580"/>
      <c r="X4" s="580"/>
      <c r="Y4" s="580" t="s">
        <v>163</v>
      </c>
      <c r="Z4" s="580" t="s">
        <v>160</v>
      </c>
      <c r="AA4" s="580"/>
      <c r="AB4" s="580"/>
      <c r="AC4" s="580"/>
      <c r="AD4" s="580" t="s">
        <v>163</v>
      </c>
      <c r="AE4" s="580" t="s">
        <v>160</v>
      </c>
      <c r="AF4" s="580"/>
      <c r="AG4" s="580"/>
      <c r="AH4" s="580"/>
      <c r="AI4" s="580" t="s">
        <v>163</v>
      </c>
      <c r="AJ4" s="580" t="s">
        <v>160</v>
      </c>
      <c r="AK4" s="580"/>
      <c r="AL4" s="580"/>
      <c r="AM4" s="580"/>
      <c r="AN4" s="580" t="s">
        <v>163</v>
      </c>
      <c r="AO4" s="580" t="s">
        <v>160</v>
      </c>
      <c r="AP4" s="580"/>
      <c r="AQ4" s="580"/>
      <c r="AR4" s="580"/>
      <c r="AS4" s="580" t="s">
        <v>163</v>
      </c>
      <c r="AT4" s="580" t="s">
        <v>160</v>
      </c>
      <c r="AU4" s="580"/>
      <c r="AV4" s="580"/>
      <c r="AW4" s="580"/>
      <c r="AX4" s="580" t="s">
        <v>163</v>
      </c>
    </row>
    <row r="5" spans="1:50" ht="14.25" customHeight="1">
      <c r="B5" s="580"/>
      <c r="C5" s="580"/>
      <c r="D5" s="580"/>
      <c r="E5" s="580" t="s">
        <v>365</v>
      </c>
      <c r="F5" s="580"/>
      <c r="G5" s="580"/>
      <c r="H5" s="580"/>
      <c r="I5" s="583" t="s">
        <v>365</v>
      </c>
      <c r="J5" s="583"/>
      <c r="K5" s="583"/>
      <c r="L5" s="583"/>
      <c r="M5" s="583"/>
      <c r="N5" s="580"/>
      <c r="O5" s="580"/>
      <c r="P5" s="580" t="s">
        <v>366</v>
      </c>
      <c r="Q5" s="580"/>
      <c r="R5" s="580"/>
      <c r="S5" s="580"/>
      <c r="T5" s="580"/>
      <c r="U5" s="580" t="s">
        <v>366</v>
      </c>
      <c r="V5" s="580"/>
      <c r="W5" s="580"/>
      <c r="X5" s="580"/>
      <c r="Y5" s="580"/>
      <c r="Z5" s="580" t="s">
        <v>366</v>
      </c>
      <c r="AA5" s="580"/>
      <c r="AB5" s="580"/>
      <c r="AC5" s="580"/>
      <c r="AD5" s="580"/>
      <c r="AE5" s="580" t="s">
        <v>366</v>
      </c>
      <c r="AF5" s="580"/>
      <c r="AG5" s="580"/>
      <c r="AH5" s="580"/>
      <c r="AI5" s="580"/>
      <c r="AJ5" s="580" t="s">
        <v>366</v>
      </c>
      <c r="AK5" s="580"/>
      <c r="AL5" s="580"/>
      <c r="AM5" s="580"/>
      <c r="AN5" s="580"/>
      <c r="AO5" s="580" t="s">
        <v>366</v>
      </c>
      <c r="AP5" s="580"/>
      <c r="AQ5" s="580"/>
      <c r="AR5" s="580"/>
      <c r="AS5" s="580"/>
      <c r="AT5" s="580" t="s">
        <v>366</v>
      </c>
      <c r="AU5" s="580"/>
      <c r="AV5" s="580"/>
      <c r="AW5" s="580"/>
      <c r="AX5" s="580"/>
    </row>
    <row r="6" spans="1:50" ht="14.25" customHeight="1">
      <c r="B6" s="580"/>
      <c r="C6" s="580"/>
      <c r="D6" s="580"/>
      <c r="E6" s="179" t="s">
        <v>159</v>
      </c>
      <c r="F6" s="179" t="s">
        <v>367</v>
      </c>
      <c r="G6" s="179" t="s">
        <v>161</v>
      </c>
      <c r="H6" s="580"/>
      <c r="I6" s="180" t="s">
        <v>159</v>
      </c>
      <c r="J6" s="180" t="s">
        <v>367</v>
      </c>
      <c r="K6" s="180" t="s">
        <v>161</v>
      </c>
      <c r="L6" s="583"/>
      <c r="M6" s="583"/>
      <c r="N6" s="580"/>
      <c r="O6" s="580"/>
      <c r="P6" s="179" t="s">
        <v>159</v>
      </c>
      <c r="Q6" s="179" t="s">
        <v>367</v>
      </c>
      <c r="R6" s="179" t="s">
        <v>161</v>
      </c>
      <c r="S6" s="181" t="s">
        <v>165</v>
      </c>
      <c r="T6" s="580"/>
      <c r="U6" s="179" t="s">
        <v>159</v>
      </c>
      <c r="V6" s="179" t="s">
        <v>367</v>
      </c>
      <c r="W6" s="179" t="s">
        <v>161</v>
      </c>
      <c r="X6" s="181" t="s">
        <v>165</v>
      </c>
      <c r="Y6" s="580"/>
      <c r="Z6" s="179" t="s">
        <v>159</v>
      </c>
      <c r="AA6" s="179" t="s">
        <v>367</v>
      </c>
      <c r="AB6" s="179" t="s">
        <v>161</v>
      </c>
      <c r="AC6" s="181" t="s">
        <v>165</v>
      </c>
      <c r="AD6" s="580"/>
      <c r="AE6" s="179" t="s">
        <v>159</v>
      </c>
      <c r="AF6" s="179" t="s">
        <v>367</v>
      </c>
      <c r="AG6" s="179" t="s">
        <v>161</v>
      </c>
      <c r="AH6" s="181" t="s">
        <v>165</v>
      </c>
      <c r="AI6" s="580"/>
      <c r="AJ6" s="179" t="s">
        <v>159</v>
      </c>
      <c r="AK6" s="179" t="s">
        <v>367</v>
      </c>
      <c r="AL6" s="179" t="s">
        <v>161</v>
      </c>
      <c r="AM6" s="181" t="s">
        <v>165</v>
      </c>
      <c r="AN6" s="580"/>
      <c r="AO6" s="179" t="s">
        <v>159</v>
      </c>
      <c r="AP6" s="179" t="s">
        <v>367</v>
      </c>
      <c r="AQ6" s="179" t="s">
        <v>161</v>
      </c>
      <c r="AR6" s="181" t="s">
        <v>165</v>
      </c>
      <c r="AS6" s="580"/>
      <c r="AT6" s="179" t="s">
        <v>159</v>
      </c>
      <c r="AU6" s="179" t="s">
        <v>367</v>
      </c>
      <c r="AV6" s="179" t="s">
        <v>161</v>
      </c>
      <c r="AW6" s="181" t="s">
        <v>165</v>
      </c>
      <c r="AX6" s="580"/>
    </row>
    <row r="7" spans="1:50" ht="14.25" customHeight="1">
      <c r="B7" s="580" t="s">
        <v>143</v>
      </c>
      <c r="C7" s="179">
        <v>1</v>
      </c>
      <c r="D7" s="182" t="s">
        <v>674</v>
      </c>
      <c r="E7" s="183">
        <v>19</v>
      </c>
      <c r="F7" s="179">
        <v>2000</v>
      </c>
      <c r="G7" s="184">
        <f>IFERROR(F7/E7,"")</f>
        <v>105.26315789473684</v>
      </c>
      <c r="H7" s="581">
        <f>AVERAGE(G7:G21)</f>
        <v>130.42326094957676</v>
      </c>
      <c r="I7" s="185">
        <f>AVERAGE(P7,U7,Z7,AE7,AJ7,AO7,AT7)</f>
        <v>19</v>
      </c>
      <c r="J7" s="185">
        <f>AVERAGE(Q7,V7,AA7,AF7,AK7,AP7,AU7)</f>
        <v>1787.7152450743363</v>
      </c>
      <c r="K7" s="186">
        <f>AVERAGE(R7,W7,AB7,AG7,AL7,AQ7,AV7)</f>
        <v>94.090276056543999</v>
      </c>
      <c r="L7" s="582">
        <f>IFERROR(AVERAGE(K7:K21),"-")</f>
        <v>117.49028574609706</v>
      </c>
      <c r="M7" s="185">
        <f>RANK(K7, K$7:$K$21)</f>
        <v>3</v>
      </c>
      <c r="N7" s="580"/>
      <c r="O7" s="580"/>
      <c r="P7" s="187">
        <v>19</v>
      </c>
      <c r="Q7" s="187">
        <v>1785.9152450743359</v>
      </c>
      <c r="R7" s="184">
        <f>IFERROR(Q7/P7,"")</f>
        <v>93.995539214438736</v>
      </c>
      <c r="S7" s="181">
        <f>RANK(R7, R$7:R$21)</f>
        <v>3</v>
      </c>
      <c r="T7" s="581">
        <f>AVERAGE(R7:R21)</f>
        <v>117.4780652527559</v>
      </c>
      <c r="U7" s="187">
        <v>19</v>
      </c>
      <c r="V7" s="187">
        <v>1786.7152450743363</v>
      </c>
      <c r="W7" s="184">
        <f t="shared" ref="W7:W11" si="0">IFERROR(V7/U7,"")</f>
        <v>94.037644477596643</v>
      </c>
      <c r="X7" s="181">
        <f>RANK(W7, W$7:W$21)</f>
        <v>3</v>
      </c>
      <c r="Y7" s="581">
        <f>AVERAGE(W7:W21)</f>
        <v>117.49980463327117</v>
      </c>
      <c r="Z7" s="187">
        <v>19</v>
      </c>
      <c r="AA7" s="187">
        <v>1787.5152450743362</v>
      </c>
      <c r="AB7" s="184">
        <f>IFERROR(AA7/Z7,"")</f>
        <v>94.079749740754536</v>
      </c>
      <c r="AC7" s="181">
        <f>RANK(AB7, AB$7:AB$21)</f>
        <v>3</v>
      </c>
      <c r="AD7" s="581">
        <f>AVERAGE(AB7:AB21)</f>
        <v>117.49191799359505</v>
      </c>
      <c r="AE7" s="187">
        <v>19</v>
      </c>
      <c r="AF7" s="187">
        <v>1787.5152450743362</v>
      </c>
      <c r="AG7" s="184">
        <f>IFERROR(AF7/AE7,"")</f>
        <v>94.079749740754536</v>
      </c>
      <c r="AH7" s="181">
        <f>RANK(AG7, AG$7:AG$21)</f>
        <v>3</v>
      </c>
      <c r="AI7" s="581">
        <f>AVERAGE(AG7:AG21)</f>
        <v>117.47910680478387</v>
      </c>
      <c r="AJ7" s="187">
        <v>19</v>
      </c>
      <c r="AK7" s="187">
        <v>1787.9152450743361</v>
      </c>
      <c r="AL7" s="184">
        <f>IFERROR(AK7/AJ7,"")</f>
        <v>94.100802372333476</v>
      </c>
      <c r="AM7" s="181">
        <f>RANK(AL7, AL$7:AL$21)</f>
        <v>3</v>
      </c>
      <c r="AN7" s="581">
        <f>AVERAGE(AL7:AL21)</f>
        <v>117.49620141669598</v>
      </c>
      <c r="AO7" s="187">
        <v>19</v>
      </c>
      <c r="AP7" s="187">
        <v>1788.9152450743361</v>
      </c>
      <c r="AQ7" s="184">
        <f>IFERROR(AP7/AO7,"")</f>
        <v>94.153433951280846</v>
      </c>
      <c r="AR7" s="181">
        <f>RANK(AQ7, AQ$7:AQ$21)</f>
        <v>3</v>
      </c>
      <c r="AS7" s="581">
        <f>AVERAGE(AQ7:AQ21)</f>
        <v>117.49033612409384</v>
      </c>
      <c r="AT7" s="187">
        <v>19</v>
      </c>
      <c r="AU7" s="187">
        <v>1789.5152450743362</v>
      </c>
      <c r="AV7" s="184">
        <f>IFERROR(AU7/AT7,"")</f>
        <v>94.185012898649276</v>
      </c>
      <c r="AW7" s="181">
        <f>RANK(AV7, AV$7:AV$21)</f>
        <v>3</v>
      </c>
      <c r="AX7" s="581">
        <f>AVERAGE(AV7:AV21)</f>
        <v>117.49656799748365</v>
      </c>
    </row>
    <row r="8" spans="1:50" ht="14.25" customHeight="1">
      <c r="B8" s="580"/>
      <c r="C8" s="179">
        <v>2</v>
      </c>
      <c r="D8" s="182" t="s">
        <v>354</v>
      </c>
      <c r="E8" s="179">
        <v>13</v>
      </c>
      <c r="F8" s="179">
        <v>1200</v>
      </c>
      <c r="G8" s="184">
        <f t="shared" ref="G8:G11" si="1">IFERROR(F8/E8,"")</f>
        <v>92.307692307692307</v>
      </c>
      <c r="H8" s="581"/>
      <c r="I8" s="185">
        <f>AVERAGE(P8,U8,Z8,AE8,AJ8,AO8,AT8)</f>
        <v>13</v>
      </c>
      <c r="J8" s="185">
        <f t="shared" ref="J8:K11" si="2">AVERAGE(Q8,V8,AA8,AF8,AK8,AP8,AU8)</f>
        <v>1082.5362039531706</v>
      </c>
      <c r="K8" s="186">
        <f t="shared" si="2"/>
        <v>83.272015688705451</v>
      </c>
      <c r="L8" s="582"/>
      <c r="M8" s="185">
        <f>RANK(K8, K$7:$K$21)</f>
        <v>4</v>
      </c>
      <c r="N8" s="580"/>
      <c r="O8" s="580"/>
      <c r="P8" s="187">
        <v>13</v>
      </c>
      <c r="Q8" s="187">
        <v>1083.1704896674564</v>
      </c>
      <c r="R8" s="184">
        <f t="shared" ref="R8:R11" si="3">IFERROR(Q8/P8,"")</f>
        <v>83.320806897496652</v>
      </c>
      <c r="S8" s="181">
        <f t="shared" ref="S8:S11" si="4">RANK(R8, R$7:R$21)</f>
        <v>4</v>
      </c>
      <c r="T8" s="581"/>
      <c r="U8" s="187">
        <v>13</v>
      </c>
      <c r="V8" s="187">
        <v>1082.6904896674564</v>
      </c>
      <c r="W8" s="184">
        <f t="shared" si="0"/>
        <v>83.283883820573564</v>
      </c>
      <c r="X8" s="181">
        <f t="shared" ref="X8:X11" si="5">RANK(W8, W$7:W$21)</f>
        <v>4</v>
      </c>
      <c r="Y8" s="581"/>
      <c r="Z8" s="187">
        <v>13</v>
      </c>
      <c r="AA8" s="187">
        <v>1082.9304896674562</v>
      </c>
      <c r="AB8" s="184">
        <f t="shared" ref="AB8:AB11" si="6">IFERROR(AA8/Z8,"")</f>
        <v>83.302345359035087</v>
      </c>
      <c r="AC8" s="181">
        <f t="shared" ref="AC8:AC11" si="7">RANK(AB8, AB$7:AB$21)</f>
        <v>4</v>
      </c>
      <c r="AD8" s="581"/>
      <c r="AE8" s="187">
        <v>13</v>
      </c>
      <c r="AF8" s="187">
        <v>1082.5704896674563</v>
      </c>
      <c r="AG8" s="184">
        <f t="shared" ref="AG8:AG11" si="8">IFERROR(AF8/AE8,"")</f>
        <v>83.274653051342796</v>
      </c>
      <c r="AH8" s="181">
        <f t="shared" ref="AH8:AH11" si="9">RANK(AG8, AG$7:AG$21)</f>
        <v>4</v>
      </c>
      <c r="AI8" s="581"/>
      <c r="AJ8" s="187">
        <v>13</v>
      </c>
      <c r="AK8" s="187">
        <v>1082.3304896674565</v>
      </c>
      <c r="AL8" s="184">
        <f t="shared" ref="AL8:AL11" si="10">IFERROR(AK8/AJ8,"")</f>
        <v>83.256191512881273</v>
      </c>
      <c r="AM8" s="181">
        <f t="shared" ref="AM8:AM11" si="11">RANK(AL8, AL$7:AL$21)</f>
        <v>4</v>
      </c>
      <c r="AN8" s="581"/>
      <c r="AO8" s="187">
        <v>13</v>
      </c>
      <c r="AP8" s="187">
        <v>1082.2104896674566</v>
      </c>
      <c r="AQ8" s="184">
        <f t="shared" ref="AQ8:AQ11" si="12">IFERROR(AP8/AO8,"")</f>
        <v>83.246960743650504</v>
      </c>
      <c r="AR8" s="181">
        <f t="shared" ref="AR8:AR11" si="13">RANK(AQ8, AQ$7:AQ$21)</f>
        <v>4</v>
      </c>
      <c r="AS8" s="581"/>
      <c r="AT8" s="187">
        <v>13</v>
      </c>
      <c r="AU8" s="187">
        <v>1081.8504896674567</v>
      </c>
      <c r="AV8" s="184">
        <f t="shared" ref="AV8:AV11" si="14">IFERROR(AU8/AT8,"")</f>
        <v>83.219268435958213</v>
      </c>
      <c r="AW8" s="181">
        <f t="shared" ref="AW8:AW11" si="15">RANK(AV8, AV$7:AV$21)</f>
        <v>4</v>
      </c>
      <c r="AX8" s="581"/>
    </row>
    <row r="9" spans="1:50" ht="14.25" customHeight="1">
      <c r="B9" s="580"/>
      <c r="C9" s="179">
        <v>3</v>
      </c>
      <c r="D9" s="182" t="s">
        <v>622</v>
      </c>
      <c r="E9" s="179">
        <v>11</v>
      </c>
      <c r="F9" s="179">
        <v>2000</v>
      </c>
      <c r="G9" s="184">
        <f t="shared" si="1"/>
        <v>181.81818181818181</v>
      </c>
      <c r="H9" s="581"/>
      <c r="I9" s="185">
        <f>AVERAGE(P9,U9,Z9,AE9,AJ9,AO9,AT9)</f>
        <v>11</v>
      </c>
      <c r="J9" s="185">
        <f t="shared" si="2"/>
        <v>1804.6932335150127</v>
      </c>
      <c r="K9" s="186">
        <f t="shared" si="2"/>
        <v>164.0630212286375</v>
      </c>
      <c r="L9" s="582"/>
      <c r="M9" s="185">
        <f>RANK(K9, K$7:$K$21)</f>
        <v>2</v>
      </c>
      <c r="N9" s="580"/>
      <c r="O9" s="580"/>
      <c r="P9" s="187">
        <v>11</v>
      </c>
      <c r="Q9" s="187">
        <v>1805.6739328160659</v>
      </c>
      <c r="R9" s="184">
        <f t="shared" si="3"/>
        <v>164.15217571055143</v>
      </c>
      <c r="S9" s="181">
        <f t="shared" si="4"/>
        <v>1</v>
      </c>
      <c r="T9" s="581"/>
      <c r="U9" s="187">
        <v>11</v>
      </c>
      <c r="V9" s="187">
        <v>1805.273932816066</v>
      </c>
      <c r="W9" s="184">
        <f t="shared" si="0"/>
        <v>164.11581207418783</v>
      </c>
      <c r="X9" s="181">
        <f t="shared" si="5"/>
        <v>2</v>
      </c>
      <c r="Y9" s="581"/>
      <c r="Z9" s="187">
        <v>11</v>
      </c>
      <c r="AA9" s="187">
        <v>1804.4739328160661</v>
      </c>
      <c r="AB9" s="184">
        <f t="shared" si="6"/>
        <v>164.04308480146054</v>
      </c>
      <c r="AC9" s="181">
        <f t="shared" si="7"/>
        <v>2</v>
      </c>
      <c r="AD9" s="581"/>
      <c r="AE9" s="187">
        <v>11</v>
      </c>
      <c r="AF9" s="187">
        <v>1803.6739328160663</v>
      </c>
      <c r="AG9" s="184">
        <f t="shared" si="8"/>
        <v>163.9703575287333</v>
      </c>
      <c r="AH9" s="181">
        <f t="shared" si="9"/>
        <v>2</v>
      </c>
      <c r="AI9" s="581"/>
      <c r="AJ9" s="187">
        <v>11</v>
      </c>
      <c r="AK9" s="187">
        <v>1805.1856344469406</v>
      </c>
      <c r="AL9" s="184">
        <f t="shared" si="10"/>
        <v>164.10778494972189</v>
      </c>
      <c r="AM9" s="181">
        <f t="shared" si="11"/>
        <v>2</v>
      </c>
      <c r="AN9" s="581"/>
      <c r="AO9" s="187">
        <v>11</v>
      </c>
      <c r="AP9" s="187">
        <v>1804.1856344469411</v>
      </c>
      <c r="AQ9" s="184">
        <f t="shared" si="12"/>
        <v>164.01687585881282</v>
      </c>
      <c r="AR9" s="181">
        <f t="shared" si="13"/>
        <v>2</v>
      </c>
      <c r="AS9" s="581"/>
      <c r="AT9" s="187">
        <v>11</v>
      </c>
      <c r="AU9" s="187">
        <v>1804.3856344469414</v>
      </c>
      <c r="AV9" s="184">
        <f t="shared" si="14"/>
        <v>164.03505767699468</v>
      </c>
      <c r="AW9" s="181">
        <f t="shared" si="15"/>
        <v>2</v>
      </c>
      <c r="AX9" s="581"/>
    </row>
    <row r="10" spans="1:50" ht="14.25" customHeight="1">
      <c r="B10" s="580"/>
      <c r="C10" s="179">
        <v>4</v>
      </c>
      <c r="D10" s="182" t="s">
        <v>623</v>
      </c>
      <c r="E10" s="179">
        <v>22</v>
      </c>
      <c r="F10" s="179">
        <v>2000</v>
      </c>
      <c r="G10" s="184">
        <f t="shared" si="1"/>
        <v>90.909090909090907</v>
      </c>
      <c r="H10" s="581"/>
      <c r="I10" s="185">
        <f t="shared" ref="I10:I11" si="16">AVERAGE(P10,U10,Z10,AE10,AJ10,AO10,AT10)</f>
        <v>22</v>
      </c>
      <c r="J10" s="185">
        <f t="shared" si="2"/>
        <v>1800.2072198559144</v>
      </c>
      <c r="K10" s="186">
        <f t="shared" si="2"/>
        <v>81.827600902541576</v>
      </c>
      <c r="L10" s="582"/>
      <c r="M10" s="185">
        <f>RANK(K10, K$7:$K$21)</f>
        <v>5</v>
      </c>
      <c r="N10" s="580"/>
      <c r="O10" s="580"/>
      <c r="P10" s="187">
        <v>22</v>
      </c>
      <c r="Q10" s="187">
        <v>1800.2072198559138</v>
      </c>
      <c r="R10" s="184">
        <f t="shared" si="3"/>
        <v>81.827600902541533</v>
      </c>
      <c r="S10" s="181">
        <f t="shared" si="4"/>
        <v>5</v>
      </c>
      <c r="T10" s="581"/>
      <c r="U10" s="187">
        <v>22</v>
      </c>
      <c r="V10" s="187">
        <v>1800.8072198559137</v>
      </c>
      <c r="W10" s="184">
        <f t="shared" si="0"/>
        <v>81.854873629814264</v>
      </c>
      <c r="X10" s="181">
        <f t="shared" si="5"/>
        <v>5</v>
      </c>
      <c r="Y10" s="581"/>
      <c r="Z10" s="187">
        <v>22</v>
      </c>
      <c r="AA10" s="187">
        <v>1801.0072198559142</v>
      </c>
      <c r="AB10" s="184">
        <f t="shared" si="6"/>
        <v>81.863964538905194</v>
      </c>
      <c r="AC10" s="181">
        <f t="shared" si="7"/>
        <v>5</v>
      </c>
      <c r="AD10" s="581"/>
      <c r="AE10" s="187">
        <v>22</v>
      </c>
      <c r="AF10" s="187">
        <v>1800.2072198559144</v>
      </c>
      <c r="AG10" s="184">
        <f t="shared" si="8"/>
        <v>81.827600902541562</v>
      </c>
      <c r="AH10" s="181">
        <f t="shared" si="9"/>
        <v>5</v>
      </c>
      <c r="AI10" s="581"/>
      <c r="AJ10" s="187">
        <v>22</v>
      </c>
      <c r="AK10" s="187">
        <v>1799.8072198559146</v>
      </c>
      <c r="AL10" s="184">
        <f t="shared" si="10"/>
        <v>81.80941908435976</v>
      </c>
      <c r="AM10" s="181">
        <f t="shared" si="11"/>
        <v>5</v>
      </c>
      <c r="AN10" s="581"/>
      <c r="AO10" s="187">
        <v>22</v>
      </c>
      <c r="AP10" s="187">
        <v>1799.807219855915</v>
      </c>
      <c r="AQ10" s="184">
        <f t="shared" si="12"/>
        <v>81.809419084359774</v>
      </c>
      <c r="AR10" s="181">
        <f t="shared" si="13"/>
        <v>5</v>
      </c>
      <c r="AS10" s="581"/>
      <c r="AT10" s="187">
        <v>22</v>
      </c>
      <c r="AU10" s="187">
        <v>1799.6072198559154</v>
      </c>
      <c r="AV10" s="184">
        <f t="shared" si="14"/>
        <v>81.800328175268888</v>
      </c>
      <c r="AW10" s="181">
        <f t="shared" si="15"/>
        <v>5</v>
      </c>
      <c r="AX10" s="581"/>
    </row>
    <row r="11" spans="1:50" ht="14.25" customHeight="1">
      <c r="B11" s="580"/>
      <c r="C11" s="179">
        <v>5</v>
      </c>
      <c r="D11" s="182" t="s">
        <v>624</v>
      </c>
      <c r="E11" s="179">
        <v>11</v>
      </c>
      <c r="F11" s="179">
        <v>2000</v>
      </c>
      <c r="G11" s="184">
        <f t="shared" si="1"/>
        <v>181.81818181818181</v>
      </c>
      <c r="H11" s="581"/>
      <c r="I11" s="185">
        <f t="shared" si="16"/>
        <v>11</v>
      </c>
      <c r="J11" s="185">
        <f t="shared" si="2"/>
        <v>1806.1836633946248</v>
      </c>
      <c r="K11" s="186">
        <f t="shared" si="2"/>
        <v>164.19851485405681</v>
      </c>
      <c r="L11" s="582"/>
      <c r="M11" s="185">
        <f>RANK(K11, K$7:$K$21)</f>
        <v>1</v>
      </c>
      <c r="N11" s="580"/>
      <c r="O11" s="580"/>
      <c r="P11" s="187">
        <v>11</v>
      </c>
      <c r="Q11" s="187">
        <v>1805.0362389262627</v>
      </c>
      <c r="R11" s="184">
        <f t="shared" si="3"/>
        <v>164.09420353875115</v>
      </c>
      <c r="S11" s="181">
        <f t="shared" si="4"/>
        <v>2</v>
      </c>
      <c r="T11" s="581"/>
      <c r="U11" s="187">
        <v>11</v>
      </c>
      <c r="V11" s="187">
        <v>1806.2749008060186</v>
      </c>
      <c r="W11" s="184">
        <f t="shared" si="0"/>
        <v>164.20680916418351</v>
      </c>
      <c r="X11" s="181">
        <f t="shared" si="5"/>
        <v>1</v>
      </c>
      <c r="Y11" s="581"/>
      <c r="Z11" s="187">
        <v>11</v>
      </c>
      <c r="AA11" s="187">
        <v>1805.8749008060186</v>
      </c>
      <c r="AB11" s="184">
        <f t="shared" si="6"/>
        <v>164.17044552781988</v>
      </c>
      <c r="AC11" s="181">
        <f t="shared" si="7"/>
        <v>1</v>
      </c>
      <c r="AD11" s="581"/>
      <c r="AE11" s="187">
        <v>11</v>
      </c>
      <c r="AF11" s="187">
        <v>1806.6749008060185</v>
      </c>
      <c r="AG11" s="184">
        <f t="shared" si="8"/>
        <v>164.24317280054714</v>
      </c>
      <c r="AH11" s="181">
        <f t="shared" si="9"/>
        <v>1</v>
      </c>
      <c r="AI11" s="581"/>
      <c r="AJ11" s="187">
        <v>11</v>
      </c>
      <c r="AK11" s="187">
        <v>1806.2749008060186</v>
      </c>
      <c r="AL11" s="184">
        <f t="shared" si="10"/>
        <v>164.20680916418351</v>
      </c>
      <c r="AM11" s="181">
        <f t="shared" si="11"/>
        <v>1</v>
      </c>
      <c r="AN11" s="581"/>
      <c r="AO11" s="187">
        <v>11</v>
      </c>
      <c r="AP11" s="187">
        <v>1806.4749008060185</v>
      </c>
      <c r="AQ11" s="184">
        <f t="shared" si="12"/>
        <v>164.22499098236531</v>
      </c>
      <c r="AR11" s="181">
        <f t="shared" si="13"/>
        <v>1</v>
      </c>
      <c r="AS11" s="581"/>
      <c r="AT11" s="187">
        <v>11</v>
      </c>
      <c r="AU11" s="187">
        <v>1806.6749008060187</v>
      </c>
      <c r="AV11" s="184">
        <f t="shared" si="14"/>
        <v>164.24317280054717</v>
      </c>
      <c r="AW11" s="181">
        <f t="shared" si="15"/>
        <v>1</v>
      </c>
      <c r="AX11" s="581"/>
    </row>
    <row r="12" spans="1:50" ht="14.25" customHeight="1">
      <c r="B12" s="580"/>
      <c r="C12" s="179">
        <v>6</v>
      </c>
      <c r="D12" s="182"/>
      <c r="E12" s="179"/>
      <c r="F12" s="179"/>
      <c r="G12" s="184"/>
      <c r="H12" s="581"/>
      <c r="I12" s="185"/>
      <c r="J12" s="185"/>
      <c r="K12" s="186"/>
      <c r="L12" s="582"/>
      <c r="M12" s="185"/>
      <c r="N12" s="580"/>
      <c r="O12" s="580"/>
      <c r="P12" s="187"/>
      <c r="Q12" s="187"/>
      <c r="R12" s="184"/>
      <c r="S12" s="181"/>
      <c r="T12" s="581"/>
      <c r="U12" s="187"/>
      <c r="V12" s="187"/>
      <c r="W12" s="184"/>
      <c r="X12" s="181"/>
      <c r="Y12" s="581"/>
      <c r="Z12" s="187"/>
      <c r="AA12" s="187"/>
      <c r="AB12" s="184"/>
      <c r="AC12" s="181"/>
      <c r="AD12" s="581"/>
      <c r="AE12" s="187"/>
      <c r="AF12" s="187"/>
      <c r="AG12" s="184"/>
      <c r="AH12" s="181"/>
      <c r="AI12" s="581"/>
      <c r="AJ12" s="187"/>
      <c r="AK12" s="187"/>
      <c r="AL12" s="184"/>
      <c r="AM12" s="181"/>
      <c r="AN12" s="581"/>
      <c r="AO12" s="187"/>
      <c r="AP12" s="187"/>
      <c r="AQ12" s="184"/>
      <c r="AR12" s="181"/>
      <c r="AS12" s="581"/>
      <c r="AT12" s="187"/>
      <c r="AU12" s="187"/>
      <c r="AV12" s="184"/>
      <c r="AW12" s="181"/>
      <c r="AX12" s="581"/>
    </row>
    <row r="13" spans="1:50" ht="14.25" customHeight="1">
      <c r="B13" s="580"/>
      <c r="C13" s="179">
        <v>7</v>
      </c>
      <c r="D13" s="182"/>
      <c r="E13" s="179"/>
      <c r="F13" s="179"/>
      <c r="G13" s="184"/>
      <c r="H13" s="581"/>
      <c r="I13" s="185"/>
      <c r="J13" s="185"/>
      <c r="K13" s="186"/>
      <c r="L13" s="582"/>
      <c r="M13" s="185"/>
      <c r="N13" s="580"/>
      <c r="O13" s="580"/>
      <c r="P13" s="187"/>
      <c r="Q13" s="187"/>
      <c r="R13" s="184"/>
      <c r="S13" s="181"/>
      <c r="T13" s="581"/>
      <c r="U13" s="187"/>
      <c r="V13" s="187"/>
      <c r="W13" s="184"/>
      <c r="X13" s="181"/>
      <c r="Y13" s="581"/>
      <c r="Z13" s="187"/>
      <c r="AA13" s="187"/>
      <c r="AB13" s="184"/>
      <c r="AC13" s="181"/>
      <c r="AD13" s="581"/>
      <c r="AE13" s="187"/>
      <c r="AF13" s="187"/>
      <c r="AG13" s="184"/>
      <c r="AH13" s="181"/>
      <c r="AI13" s="581"/>
      <c r="AJ13" s="187"/>
      <c r="AK13" s="187"/>
      <c r="AL13" s="184"/>
      <c r="AM13" s="181"/>
      <c r="AN13" s="581"/>
      <c r="AO13" s="187"/>
      <c r="AP13" s="187"/>
      <c r="AQ13" s="184"/>
      <c r="AR13" s="181"/>
      <c r="AS13" s="581"/>
      <c r="AT13" s="187"/>
      <c r="AU13" s="187"/>
      <c r="AV13" s="184"/>
      <c r="AW13" s="181"/>
      <c r="AX13" s="581"/>
    </row>
    <row r="14" spans="1:50" ht="14.25" customHeight="1">
      <c r="B14" s="580"/>
      <c r="C14" s="179">
        <v>8</v>
      </c>
      <c r="D14" s="182"/>
      <c r="E14" s="179"/>
      <c r="F14" s="179"/>
      <c r="G14" s="184"/>
      <c r="H14" s="581"/>
      <c r="I14" s="185"/>
      <c r="J14" s="185"/>
      <c r="K14" s="186"/>
      <c r="L14" s="582"/>
      <c r="M14" s="185"/>
      <c r="N14" s="580"/>
      <c r="O14" s="580"/>
      <c r="P14" s="187"/>
      <c r="Q14" s="187"/>
      <c r="R14" s="184"/>
      <c r="S14" s="181"/>
      <c r="T14" s="581"/>
      <c r="U14" s="187"/>
      <c r="V14" s="187"/>
      <c r="W14" s="184"/>
      <c r="X14" s="181"/>
      <c r="Y14" s="581"/>
      <c r="Z14" s="187"/>
      <c r="AA14" s="187"/>
      <c r="AB14" s="184"/>
      <c r="AC14" s="181"/>
      <c r="AD14" s="581"/>
      <c r="AE14" s="187"/>
      <c r="AF14" s="187"/>
      <c r="AG14" s="184"/>
      <c r="AH14" s="181"/>
      <c r="AI14" s="581"/>
      <c r="AJ14" s="187"/>
      <c r="AK14" s="187"/>
      <c r="AL14" s="184"/>
      <c r="AM14" s="181"/>
      <c r="AN14" s="581"/>
      <c r="AO14" s="187"/>
      <c r="AP14" s="187"/>
      <c r="AQ14" s="184"/>
      <c r="AR14" s="181"/>
      <c r="AS14" s="581"/>
      <c r="AT14" s="187"/>
      <c r="AU14" s="187"/>
      <c r="AV14" s="184"/>
      <c r="AW14" s="181"/>
      <c r="AX14" s="581"/>
    </row>
    <row r="15" spans="1:50" ht="14.25" customHeight="1">
      <c r="B15" s="580"/>
      <c r="C15" s="179">
        <v>9</v>
      </c>
      <c r="D15" s="182"/>
      <c r="E15" s="179"/>
      <c r="F15" s="179"/>
      <c r="G15" s="184"/>
      <c r="H15" s="581"/>
      <c r="I15" s="185"/>
      <c r="J15" s="185"/>
      <c r="K15" s="186"/>
      <c r="L15" s="582"/>
      <c r="M15" s="185"/>
      <c r="N15" s="580"/>
      <c r="O15" s="580"/>
      <c r="P15" s="187"/>
      <c r="Q15" s="187"/>
      <c r="R15" s="184"/>
      <c r="S15" s="181"/>
      <c r="T15" s="581"/>
      <c r="U15" s="187"/>
      <c r="V15" s="187"/>
      <c r="W15" s="184"/>
      <c r="X15" s="181"/>
      <c r="Y15" s="581"/>
      <c r="Z15" s="187"/>
      <c r="AA15" s="187"/>
      <c r="AB15" s="184"/>
      <c r="AC15" s="181"/>
      <c r="AD15" s="581"/>
      <c r="AE15" s="187"/>
      <c r="AF15" s="187"/>
      <c r="AG15" s="184"/>
      <c r="AH15" s="181"/>
      <c r="AI15" s="581"/>
      <c r="AJ15" s="187"/>
      <c r="AK15" s="187"/>
      <c r="AL15" s="184"/>
      <c r="AM15" s="181"/>
      <c r="AN15" s="581"/>
      <c r="AO15" s="187"/>
      <c r="AP15" s="187"/>
      <c r="AQ15" s="184"/>
      <c r="AR15" s="181"/>
      <c r="AS15" s="581"/>
      <c r="AT15" s="187"/>
      <c r="AU15" s="187"/>
      <c r="AV15" s="184"/>
      <c r="AW15" s="181"/>
      <c r="AX15" s="581"/>
    </row>
    <row r="16" spans="1:50" ht="14.25" customHeight="1">
      <c r="B16" s="580"/>
      <c r="C16" s="179">
        <v>10</v>
      </c>
      <c r="D16" s="182"/>
      <c r="E16" s="179"/>
      <c r="F16" s="179"/>
      <c r="G16" s="184"/>
      <c r="H16" s="581"/>
      <c r="I16" s="185"/>
      <c r="J16" s="185"/>
      <c r="K16" s="186"/>
      <c r="L16" s="582"/>
      <c r="M16" s="185"/>
      <c r="N16" s="580"/>
      <c r="O16" s="580"/>
      <c r="P16" s="187"/>
      <c r="Q16" s="187"/>
      <c r="R16" s="184"/>
      <c r="S16" s="181"/>
      <c r="T16" s="581"/>
      <c r="U16" s="187"/>
      <c r="V16" s="187"/>
      <c r="W16" s="184"/>
      <c r="X16" s="181"/>
      <c r="Y16" s="581"/>
      <c r="Z16" s="187"/>
      <c r="AA16" s="187"/>
      <c r="AB16" s="184"/>
      <c r="AC16" s="181"/>
      <c r="AD16" s="581"/>
      <c r="AE16" s="187"/>
      <c r="AF16" s="187"/>
      <c r="AG16" s="184"/>
      <c r="AH16" s="181"/>
      <c r="AI16" s="581"/>
      <c r="AJ16" s="187"/>
      <c r="AK16" s="187"/>
      <c r="AL16" s="184"/>
      <c r="AM16" s="181"/>
      <c r="AN16" s="581"/>
      <c r="AO16" s="187"/>
      <c r="AP16" s="187"/>
      <c r="AQ16" s="184"/>
      <c r="AR16" s="181"/>
      <c r="AS16" s="581"/>
      <c r="AT16" s="187"/>
      <c r="AU16" s="187"/>
      <c r="AV16" s="184"/>
      <c r="AW16" s="181"/>
      <c r="AX16" s="581"/>
    </row>
    <row r="17" spans="2:50" ht="14.25" customHeight="1">
      <c r="B17" s="580"/>
      <c r="C17" s="179">
        <v>11</v>
      </c>
      <c r="D17" s="182"/>
      <c r="E17" s="179"/>
      <c r="F17" s="179"/>
      <c r="G17" s="184"/>
      <c r="H17" s="581"/>
      <c r="I17" s="185"/>
      <c r="J17" s="185"/>
      <c r="K17" s="186"/>
      <c r="L17" s="582"/>
      <c r="M17" s="185"/>
      <c r="N17" s="580"/>
      <c r="O17" s="580"/>
      <c r="P17" s="187"/>
      <c r="Q17" s="187"/>
      <c r="R17" s="184"/>
      <c r="S17" s="181"/>
      <c r="T17" s="581"/>
      <c r="U17" s="187"/>
      <c r="V17" s="187"/>
      <c r="W17" s="184"/>
      <c r="X17" s="181"/>
      <c r="Y17" s="581"/>
      <c r="Z17" s="187"/>
      <c r="AA17" s="187"/>
      <c r="AB17" s="184"/>
      <c r="AC17" s="181"/>
      <c r="AD17" s="581"/>
      <c r="AE17" s="187"/>
      <c r="AF17" s="187"/>
      <c r="AG17" s="184"/>
      <c r="AH17" s="181"/>
      <c r="AI17" s="581"/>
      <c r="AJ17" s="187"/>
      <c r="AK17" s="187"/>
      <c r="AL17" s="184"/>
      <c r="AM17" s="181"/>
      <c r="AN17" s="581"/>
      <c r="AO17" s="187"/>
      <c r="AP17" s="187"/>
      <c r="AQ17" s="184"/>
      <c r="AR17" s="181"/>
      <c r="AS17" s="581"/>
      <c r="AT17" s="187"/>
      <c r="AU17" s="187"/>
      <c r="AV17" s="184"/>
      <c r="AW17" s="181"/>
      <c r="AX17" s="581"/>
    </row>
    <row r="18" spans="2:50" ht="14.25" customHeight="1">
      <c r="B18" s="580"/>
      <c r="C18" s="179">
        <v>12</v>
      </c>
      <c r="D18" s="182"/>
      <c r="E18" s="179"/>
      <c r="F18" s="179"/>
      <c r="G18" s="184"/>
      <c r="H18" s="581"/>
      <c r="I18" s="185"/>
      <c r="J18" s="185"/>
      <c r="K18" s="186"/>
      <c r="L18" s="582"/>
      <c r="M18" s="185"/>
      <c r="N18" s="580"/>
      <c r="O18" s="580"/>
      <c r="P18" s="187"/>
      <c r="Q18" s="187"/>
      <c r="R18" s="184"/>
      <c r="S18" s="181"/>
      <c r="T18" s="581"/>
      <c r="U18" s="187"/>
      <c r="V18" s="187"/>
      <c r="W18" s="184"/>
      <c r="X18" s="181"/>
      <c r="Y18" s="581"/>
      <c r="Z18" s="187"/>
      <c r="AA18" s="187"/>
      <c r="AB18" s="184"/>
      <c r="AC18" s="181"/>
      <c r="AD18" s="581"/>
      <c r="AE18" s="187"/>
      <c r="AF18" s="187"/>
      <c r="AG18" s="184"/>
      <c r="AH18" s="181"/>
      <c r="AI18" s="581"/>
      <c r="AJ18" s="187"/>
      <c r="AK18" s="187"/>
      <c r="AL18" s="184"/>
      <c r="AM18" s="181"/>
      <c r="AN18" s="581"/>
      <c r="AO18" s="187"/>
      <c r="AP18" s="187"/>
      <c r="AQ18" s="184"/>
      <c r="AR18" s="181"/>
      <c r="AS18" s="581"/>
      <c r="AT18" s="187"/>
      <c r="AU18" s="187"/>
      <c r="AV18" s="184"/>
      <c r="AW18" s="181"/>
      <c r="AX18" s="581"/>
    </row>
    <row r="19" spans="2:50" ht="14.25" customHeight="1">
      <c r="B19" s="580"/>
      <c r="C19" s="179">
        <v>13</v>
      </c>
      <c r="D19" s="182"/>
      <c r="E19" s="179"/>
      <c r="F19" s="179"/>
      <c r="G19" s="184"/>
      <c r="H19" s="581"/>
      <c r="I19" s="185"/>
      <c r="J19" s="185"/>
      <c r="K19" s="186"/>
      <c r="L19" s="582"/>
      <c r="M19" s="185"/>
      <c r="N19" s="580"/>
      <c r="O19" s="580"/>
      <c r="P19" s="187"/>
      <c r="Q19" s="187"/>
      <c r="R19" s="184"/>
      <c r="S19" s="181"/>
      <c r="T19" s="581"/>
      <c r="U19" s="187"/>
      <c r="V19" s="187"/>
      <c r="W19" s="184"/>
      <c r="X19" s="181"/>
      <c r="Y19" s="581"/>
      <c r="Z19" s="187"/>
      <c r="AA19" s="187"/>
      <c r="AB19" s="184"/>
      <c r="AC19" s="181"/>
      <c r="AD19" s="581"/>
      <c r="AE19" s="187"/>
      <c r="AF19" s="187"/>
      <c r="AG19" s="184"/>
      <c r="AH19" s="181"/>
      <c r="AI19" s="581"/>
      <c r="AJ19" s="187"/>
      <c r="AK19" s="187"/>
      <c r="AL19" s="184"/>
      <c r="AM19" s="181"/>
      <c r="AN19" s="581"/>
      <c r="AO19" s="187"/>
      <c r="AP19" s="187"/>
      <c r="AQ19" s="184"/>
      <c r="AR19" s="181"/>
      <c r="AS19" s="581"/>
      <c r="AT19" s="187"/>
      <c r="AU19" s="187"/>
      <c r="AV19" s="184"/>
      <c r="AW19" s="181"/>
      <c r="AX19" s="581"/>
    </row>
    <row r="20" spans="2:50" ht="14.25" customHeight="1">
      <c r="B20" s="580"/>
      <c r="C20" s="179">
        <v>14</v>
      </c>
      <c r="D20" s="182"/>
      <c r="E20" s="179"/>
      <c r="F20" s="179"/>
      <c r="G20" s="184"/>
      <c r="H20" s="581"/>
      <c r="I20" s="185"/>
      <c r="J20" s="185"/>
      <c r="K20" s="186"/>
      <c r="L20" s="582"/>
      <c r="M20" s="185"/>
      <c r="N20" s="580"/>
      <c r="O20" s="580"/>
      <c r="P20" s="187"/>
      <c r="Q20" s="187"/>
      <c r="R20" s="184"/>
      <c r="S20" s="181"/>
      <c r="T20" s="581"/>
      <c r="U20" s="187"/>
      <c r="V20" s="187"/>
      <c r="W20" s="184"/>
      <c r="X20" s="181"/>
      <c r="Y20" s="581"/>
      <c r="Z20" s="187"/>
      <c r="AA20" s="187"/>
      <c r="AB20" s="184"/>
      <c r="AC20" s="181"/>
      <c r="AD20" s="581"/>
      <c r="AE20" s="187"/>
      <c r="AF20" s="187"/>
      <c r="AG20" s="184"/>
      <c r="AH20" s="181"/>
      <c r="AI20" s="581"/>
      <c r="AJ20" s="187"/>
      <c r="AK20" s="187"/>
      <c r="AL20" s="184"/>
      <c r="AM20" s="181"/>
      <c r="AN20" s="581"/>
      <c r="AO20" s="187"/>
      <c r="AP20" s="187"/>
      <c r="AQ20" s="184"/>
      <c r="AR20" s="181"/>
      <c r="AS20" s="581"/>
      <c r="AT20" s="187"/>
      <c r="AU20" s="187"/>
      <c r="AV20" s="184"/>
      <c r="AW20" s="181"/>
      <c r="AX20" s="581"/>
    </row>
    <row r="21" spans="2:50" ht="14.25" customHeight="1">
      <c r="B21" s="580"/>
      <c r="C21" s="179">
        <v>15</v>
      </c>
      <c r="D21" s="182"/>
      <c r="E21" s="179"/>
      <c r="F21" s="179"/>
      <c r="G21" s="184"/>
      <c r="H21" s="581"/>
      <c r="I21" s="185"/>
      <c r="J21" s="185"/>
      <c r="K21" s="186"/>
      <c r="L21" s="582"/>
      <c r="M21" s="185"/>
      <c r="N21" s="580"/>
      <c r="O21" s="580"/>
      <c r="P21" s="187"/>
      <c r="Q21" s="187"/>
      <c r="R21" s="184"/>
      <c r="S21" s="181"/>
      <c r="T21" s="581"/>
      <c r="U21" s="187"/>
      <c r="V21" s="187"/>
      <c r="W21" s="184"/>
      <c r="X21" s="181"/>
      <c r="Y21" s="581"/>
      <c r="Z21" s="187"/>
      <c r="AA21" s="187"/>
      <c r="AB21" s="184"/>
      <c r="AC21" s="181"/>
      <c r="AD21" s="581"/>
      <c r="AE21" s="187"/>
      <c r="AF21" s="187"/>
      <c r="AG21" s="184"/>
      <c r="AH21" s="181"/>
      <c r="AI21" s="581"/>
      <c r="AJ21" s="187"/>
      <c r="AK21" s="187"/>
      <c r="AL21" s="184"/>
      <c r="AM21" s="181"/>
      <c r="AN21" s="581"/>
      <c r="AO21" s="187"/>
      <c r="AP21" s="187"/>
      <c r="AQ21" s="184"/>
      <c r="AR21" s="181"/>
      <c r="AS21" s="581"/>
      <c r="AT21" s="187"/>
      <c r="AU21" s="187"/>
      <c r="AV21" s="184"/>
      <c r="AW21" s="181"/>
      <c r="AX21" s="581"/>
    </row>
    <row r="22" spans="2:50" ht="14.25" customHeight="1">
      <c r="B22" s="608" t="s">
        <v>807</v>
      </c>
      <c r="C22" s="609"/>
      <c r="D22" s="609"/>
      <c r="E22" s="609"/>
      <c r="F22" s="609"/>
      <c r="G22" s="609"/>
      <c r="H22" s="609"/>
      <c r="I22" s="609"/>
      <c r="J22" s="609"/>
      <c r="K22" s="609"/>
      <c r="L22" s="609"/>
      <c r="M22" s="610"/>
      <c r="N22" s="613" t="s">
        <v>363</v>
      </c>
      <c r="O22" s="613" t="s">
        <v>105</v>
      </c>
      <c r="P22" s="602">
        <v>46210</v>
      </c>
      <c r="Q22" s="603"/>
      <c r="R22" s="603"/>
      <c r="S22" s="603"/>
      <c r="T22" s="603"/>
      <c r="U22" s="594">
        <v>46211</v>
      </c>
      <c r="V22" s="595"/>
      <c r="W22" s="595"/>
      <c r="X22" s="595"/>
      <c r="Y22" s="595"/>
      <c r="Z22" s="602">
        <v>46212</v>
      </c>
      <c r="AA22" s="603"/>
      <c r="AB22" s="603"/>
      <c r="AC22" s="603"/>
      <c r="AD22" s="603"/>
      <c r="AE22" s="594">
        <v>46213</v>
      </c>
      <c r="AF22" s="595"/>
      <c r="AG22" s="595"/>
      <c r="AH22" s="595"/>
      <c r="AI22" s="595"/>
      <c r="AJ22" s="586">
        <v>46214</v>
      </c>
      <c r="AK22" s="587"/>
      <c r="AL22" s="587"/>
      <c r="AM22" s="587"/>
      <c r="AN22" s="588"/>
      <c r="AO22" s="594">
        <v>46215</v>
      </c>
      <c r="AP22" s="595"/>
      <c r="AQ22" s="595"/>
      <c r="AR22" s="595"/>
      <c r="AS22" s="595"/>
      <c r="AT22" s="586">
        <v>46216</v>
      </c>
      <c r="AU22" s="587"/>
      <c r="AV22" s="587"/>
      <c r="AW22" s="587"/>
      <c r="AX22" s="588"/>
    </row>
    <row r="23" spans="2:50" ht="14.25" customHeight="1">
      <c r="B23" s="611"/>
      <c r="C23" s="611"/>
      <c r="D23" s="611"/>
      <c r="E23" s="611"/>
      <c r="F23" s="611"/>
      <c r="G23" s="611"/>
      <c r="H23" s="611"/>
      <c r="I23" s="611"/>
      <c r="J23" s="611"/>
      <c r="K23" s="611"/>
      <c r="L23" s="611"/>
      <c r="M23" s="612"/>
      <c r="N23" s="614"/>
      <c r="O23" s="614"/>
      <c r="P23" s="589">
        <v>46196</v>
      </c>
      <c r="Q23" s="589"/>
      <c r="R23" s="589"/>
      <c r="S23" s="589"/>
      <c r="T23" s="589"/>
      <c r="U23" s="590">
        <v>46197</v>
      </c>
      <c r="V23" s="590"/>
      <c r="W23" s="590"/>
      <c r="X23" s="590"/>
      <c r="Y23" s="590"/>
      <c r="Z23" s="589">
        <v>46198</v>
      </c>
      <c r="AA23" s="589"/>
      <c r="AB23" s="589"/>
      <c r="AC23" s="589"/>
      <c r="AD23" s="589"/>
      <c r="AE23" s="590">
        <v>46199</v>
      </c>
      <c r="AF23" s="590"/>
      <c r="AG23" s="590"/>
      <c r="AH23" s="590"/>
      <c r="AI23" s="590"/>
      <c r="AJ23" s="591">
        <v>46200</v>
      </c>
      <c r="AK23" s="592"/>
      <c r="AL23" s="592"/>
      <c r="AM23" s="592"/>
      <c r="AN23" s="593"/>
      <c r="AO23" s="590">
        <v>46201</v>
      </c>
      <c r="AP23" s="590"/>
      <c r="AQ23" s="590"/>
      <c r="AR23" s="590"/>
      <c r="AS23" s="590"/>
      <c r="AT23" s="591">
        <v>46202</v>
      </c>
      <c r="AU23" s="592"/>
      <c r="AV23" s="592"/>
      <c r="AW23" s="592"/>
      <c r="AX23" s="593"/>
    </row>
    <row r="24" spans="2:50" ht="14.25" customHeight="1">
      <c r="B24" s="580" t="s">
        <v>162</v>
      </c>
      <c r="C24" s="580" t="s">
        <v>157</v>
      </c>
      <c r="D24" s="580"/>
      <c r="E24" s="580" t="s">
        <v>158</v>
      </c>
      <c r="F24" s="580"/>
      <c r="G24" s="580"/>
      <c r="H24" s="580" t="s">
        <v>163</v>
      </c>
      <c r="I24" s="583" t="s">
        <v>364</v>
      </c>
      <c r="J24" s="583"/>
      <c r="K24" s="583"/>
      <c r="L24" s="583" t="s">
        <v>163</v>
      </c>
      <c r="M24" s="583" t="s">
        <v>165</v>
      </c>
      <c r="N24" s="580"/>
      <c r="O24" s="580" t="s">
        <v>164</v>
      </c>
      <c r="P24" s="580" t="s">
        <v>160</v>
      </c>
      <c r="Q24" s="580"/>
      <c r="R24" s="580"/>
      <c r="S24" s="580"/>
      <c r="T24" s="580" t="s">
        <v>163</v>
      </c>
      <c r="U24" s="580" t="s">
        <v>160</v>
      </c>
      <c r="V24" s="580"/>
      <c r="W24" s="580"/>
      <c r="X24" s="580"/>
      <c r="Y24" s="580" t="s">
        <v>163</v>
      </c>
      <c r="Z24" s="580" t="s">
        <v>160</v>
      </c>
      <c r="AA24" s="580"/>
      <c r="AB24" s="580"/>
      <c r="AC24" s="580"/>
      <c r="AD24" s="580" t="s">
        <v>163</v>
      </c>
      <c r="AE24" s="580" t="s">
        <v>160</v>
      </c>
      <c r="AF24" s="580"/>
      <c r="AG24" s="580"/>
      <c r="AH24" s="580"/>
      <c r="AI24" s="580" t="s">
        <v>163</v>
      </c>
      <c r="AJ24" s="580" t="s">
        <v>160</v>
      </c>
      <c r="AK24" s="580"/>
      <c r="AL24" s="580"/>
      <c r="AM24" s="580"/>
      <c r="AN24" s="580" t="s">
        <v>163</v>
      </c>
      <c r="AO24" s="580" t="s">
        <v>160</v>
      </c>
      <c r="AP24" s="580"/>
      <c r="AQ24" s="580"/>
      <c r="AR24" s="580"/>
      <c r="AS24" s="580" t="s">
        <v>163</v>
      </c>
      <c r="AT24" s="580" t="s">
        <v>160</v>
      </c>
      <c r="AU24" s="580"/>
      <c r="AV24" s="580"/>
      <c r="AW24" s="580"/>
      <c r="AX24" s="580" t="s">
        <v>163</v>
      </c>
    </row>
    <row r="25" spans="2:50" ht="14.25" customHeight="1">
      <c r="B25" s="580"/>
      <c r="C25" s="580"/>
      <c r="D25" s="580"/>
      <c r="E25" s="580" t="s">
        <v>365</v>
      </c>
      <c r="F25" s="580"/>
      <c r="G25" s="580"/>
      <c r="H25" s="580"/>
      <c r="I25" s="583" t="s">
        <v>365</v>
      </c>
      <c r="J25" s="583"/>
      <c r="K25" s="583"/>
      <c r="L25" s="583"/>
      <c r="M25" s="583"/>
      <c r="N25" s="580"/>
      <c r="O25" s="580"/>
      <c r="P25" s="580" t="s">
        <v>366</v>
      </c>
      <c r="Q25" s="580"/>
      <c r="R25" s="580"/>
      <c r="S25" s="580"/>
      <c r="T25" s="580"/>
      <c r="U25" s="580" t="s">
        <v>366</v>
      </c>
      <c r="V25" s="580"/>
      <c r="W25" s="580"/>
      <c r="X25" s="580"/>
      <c r="Y25" s="580"/>
      <c r="Z25" s="580" t="s">
        <v>366</v>
      </c>
      <c r="AA25" s="580"/>
      <c r="AB25" s="580"/>
      <c r="AC25" s="580"/>
      <c r="AD25" s="580"/>
      <c r="AE25" s="580" t="s">
        <v>366</v>
      </c>
      <c r="AF25" s="580"/>
      <c r="AG25" s="580"/>
      <c r="AH25" s="580"/>
      <c r="AI25" s="580"/>
      <c r="AJ25" s="580" t="s">
        <v>366</v>
      </c>
      <c r="AK25" s="580"/>
      <c r="AL25" s="580"/>
      <c r="AM25" s="580"/>
      <c r="AN25" s="580"/>
      <c r="AO25" s="580" t="s">
        <v>366</v>
      </c>
      <c r="AP25" s="580"/>
      <c r="AQ25" s="580"/>
      <c r="AR25" s="580"/>
      <c r="AS25" s="580"/>
      <c r="AT25" s="580" t="s">
        <v>366</v>
      </c>
      <c r="AU25" s="580"/>
      <c r="AV25" s="580"/>
      <c r="AW25" s="580"/>
      <c r="AX25" s="580"/>
    </row>
    <row r="26" spans="2:50" ht="14.25" customHeight="1">
      <c r="B26" s="580"/>
      <c r="C26" s="580"/>
      <c r="D26" s="580"/>
      <c r="E26" s="179" t="s">
        <v>159</v>
      </c>
      <c r="F26" s="179" t="s">
        <v>367</v>
      </c>
      <c r="G26" s="179" t="s">
        <v>161</v>
      </c>
      <c r="H26" s="580"/>
      <c r="I26" s="180" t="s">
        <v>159</v>
      </c>
      <c r="J26" s="180" t="s">
        <v>367</v>
      </c>
      <c r="K26" s="180" t="s">
        <v>161</v>
      </c>
      <c r="L26" s="583"/>
      <c r="M26" s="583"/>
      <c r="N26" s="580"/>
      <c r="O26" s="580"/>
      <c r="P26" s="179" t="s">
        <v>159</v>
      </c>
      <c r="Q26" s="179" t="s">
        <v>367</v>
      </c>
      <c r="R26" s="179" t="s">
        <v>161</v>
      </c>
      <c r="S26" s="181" t="s">
        <v>165</v>
      </c>
      <c r="T26" s="580"/>
      <c r="U26" s="179" t="s">
        <v>159</v>
      </c>
      <c r="V26" s="179" t="s">
        <v>367</v>
      </c>
      <c r="W26" s="179" t="s">
        <v>161</v>
      </c>
      <c r="X26" s="181" t="s">
        <v>165</v>
      </c>
      <c r="Y26" s="580"/>
      <c r="Z26" s="179" t="s">
        <v>159</v>
      </c>
      <c r="AA26" s="179" t="s">
        <v>367</v>
      </c>
      <c r="AB26" s="179" t="s">
        <v>161</v>
      </c>
      <c r="AC26" s="181" t="s">
        <v>165</v>
      </c>
      <c r="AD26" s="580"/>
      <c r="AE26" s="179" t="s">
        <v>159</v>
      </c>
      <c r="AF26" s="179" t="s">
        <v>367</v>
      </c>
      <c r="AG26" s="179" t="s">
        <v>161</v>
      </c>
      <c r="AH26" s="181" t="s">
        <v>165</v>
      </c>
      <c r="AI26" s="580"/>
      <c r="AJ26" s="179" t="s">
        <v>159</v>
      </c>
      <c r="AK26" s="179" t="s">
        <v>367</v>
      </c>
      <c r="AL26" s="179" t="s">
        <v>161</v>
      </c>
      <c r="AM26" s="181" t="s">
        <v>165</v>
      </c>
      <c r="AN26" s="580"/>
      <c r="AO26" s="179" t="s">
        <v>159</v>
      </c>
      <c r="AP26" s="179" t="s">
        <v>367</v>
      </c>
      <c r="AQ26" s="179" t="s">
        <v>161</v>
      </c>
      <c r="AR26" s="181" t="s">
        <v>165</v>
      </c>
      <c r="AS26" s="580"/>
      <c r="AT26" s="179" t="s">
        <v>159</v>
      </c>
      <c r="AU26" s="179" t="s">
        <v>367</v>
      </c>
      <c r="AV26" s="179" t="s">
        <v>161</v>
      </c>
      <c r="AW26" s="181" t="s">
        <v>165</v>
      </c>
      <c r="AX26" s="580"/>
    </row>
    <row r="27" spans="2:50" ht="14.25" customHeight="1">
      <c r="B27" s="580" t="s">
        <v>143</v>
      </c>
      <c r="C27" s="179">
        <v>1</v>
      </c>
      <c r="D27" s="182" t="s">
        <v>674</v>
      </c>
      <c r="E27" s="183">
        <v>19</v>
      </c>
      <c r="F27" s="179">
        <v>2000</v>
      </c>
      <c r="G27" s="184">
        <f t="shared" ref="G27:G31" si="17">IFERROR(F27/E27,"")</f>
        <v>105.26315789473684</v>
      </c>
      <c r="H27" s="581">
        <f>AVERAGE(G27:G41)</f>
        <v>130.42326094957676</v>
      </c>
      <c r="I27" s="185">
        <f>AVERAGE(P27,U27,Z27,AE27,AJ27,AO27,AT27)</f>
        <v>19</v>
      </c>
      <c r="J27" s="185">
        <f>AVERAGE(Q27,V27,AA27,AF27,AK27,AP27,AU27)</f>
        <v>1790.0171092346918</v>
      </c>
      <c r="K27" s="186">
        <f>AVERAGE(R27,W27,AB27,AG27,AL27,AQ27,AV27)</f>
        <v>94.21142680182588</v>
      </c>
      <c r="L27" s="582">
        <f>IFERROR(AVERAGE(K27:K41),"-")</f>
        <v>117.52142077681158</v>
      </c>
      <c r="M27" s="185">
        <f>RANK(K27, K$27:$K$41)</f>
        <v>3</v>
      </c>
      <c r="N27" s="580"/>
      <c r="O27" s="580"/>
      <c r="P27" s="187">
        <v>19</v>
      </c>
      <c r="Q27" s="187">
        <v>1790.3152450743362</v>
      </c>
      <c r="R27" s="184">
        <f>IFERROR(Q27/P27,"")</f>
        <v>94.227118161807169</v>
      </c>
      <c r="S27" s="181">
        <f>RANK(R27, R$27:R$41)</f>
        <v>3</v>
      </c>
      <c r="T27" s="581">
        <f>AVERAGE(R27:R41)</f>
        <v>117.51407995920613</v>
      </c>
      <c r="U27" s="187">
        <v>19</v>
      </c>
      <c r="V27" s="187">
        <v>1790.9152450743361</v>
      </c>
      <c r="W27" s="184">
        <f t="shared" ref="W27:W31" si="18">IFERROR(V27/U27,"")</f>
        <v>94.258697109175586</v>
      </c>
      <c r="X27" s="181">
        <f>RANK(W27, W$27:W$41)</f>
        <v>3</v>
      </c>
      <c r="Y27" s="581">
        <f>AVERAGE(W27:W41)</f>
        <v>117.52596218224626</v>
      </c>
      <c r="Z27" s="187">
        <v>19</v>
      </c>
      <c r="AA27" s="187">
        <v>1790.5152450743365</v>
      </c>
      <c r="AB27" s="184">
        <f>IFERROR(AA27/Z27,"")</f>
        <v>94.23764447759666</v>
      </c>
      <c r="AC27" s="181">
        <f>RANK(AB27, AB$27:AB$41)</f>
        <v>3</v>
      </c>
      <c r="AD27" s="581">
        <f>AVERAGE(AB27:AB41)</f>
        <v>117.51268871886752</v>
      </c>
      <c r="AE27" s="187">
        <v>19</v>
      </c>
      <c r="AF27" s="187">
        <v>1789.9152450743368</v>
      </c>
      <c r="AG27" s="184">
        <f>IFERROR(AF27/AE27,"")</f>
        <v>94.206065530228258</v>
      </c>
      <c r="AH27" s="181">
        <f>RANK(AG27, AG$27:AG$41)</f>
        <v>3</v>
      </c>
      <c r="AI27" s="581">
        <f>AVERAGE(AG27:AG41)</f>
        <v>117.5246386636596</v>
      </c>
      <c r="AJ27" s="187">
        <v>19</v>
      </c>
      <c r="AK27" s="187">
        <v>1789.7152450743372</v>
      </c>
      <c r="AL27" s="184">
        <f>IFERROR(AK27/AJ27,"")</f>
        <v>94.195539214438796</v>
      </c>
      <c r="AM27" s="181">
        <f>RANK(AL27, AL$27:AL$41)</f>
        <v>3</v>
      </c>
      <c r="AN27" s="581">
        <f>AVERAGE(AL27:AL41)</f>
        <v>117.54483076341849</v>
      </c>
      <c r="AO27" s="187">
        <v>19</v>
      </c>
      <c r="AP27" s="187">
        <v>1789.3152450743371</v>
      </c>
      <c r="AQ27" s="184">
        <f>IFERROR(AP27/AO27,"")</f>
        <v>94.174486582859842</v>
      </c>
      <c r="AR27" s="181">
        <f>RANK(AQ27, AQ$27:AQ$41)</f>
        <v>3</v>
      </c>
      <c r="AS27" s="581">
        <f>AVERAGE(AQ27:AQ41)</f>
        <v>117.52599086647334</v>
      </c>
      <c r="AT27" s="187">
        <v>19</v>
      </c>
      <c r="AU27" s="187">
        <v>1789.4282941968229</v>
      </c>
      <c r="AV27" s="184">
        <f>IFERROR(AU27/AT27,"")</f>
        <v>94.18043653667489</v>
      </c>
      <c r="AW27" s="181">
        <f>RANK(AV27, AV$27:AV$41)</f>
        <v>3</v>
      </c>
      <c r="AX27" s="581">
        <f>AVERAGE(AV27:AV41)</f>
        <v>117.50175428380976</v>
      </c>
    </row>
    <row r="28" spans="2:50" ht="14.25" customHeight="1">
      <c r="B28" s="580"/>
      <c r="C28" s="179">
        <v>2</v>
      </c>
      <c r="D28" s="182" t="s">
        <v>354</v>
      </c>
      <c r="E28" s="179">
        <v>13</v>
      </c>
      <c r="F28" s="179">
        <v>1200</v>
      </c>
      <c r="G28" s="184">
        <f t="shared" si="17"/>
        <v>92.307692307692307</v>
      </c>
      <c r="H28" s="581"/>
      <c r="I28" s="185">
        <f t="shared" ref="I28:K31" si="19">AVERAGE(P28,U28,Z28,AE28,AJ28,AO28,AT28)</f>
        <v>13</v>
      </c>
      <c r="J28" s="185">
        <f t="shared" si="19"/>
        <v>1082.2619182388853</v>
      </c>
      <c r="K28" s="186">
        <f t="shared" si="19"/>
        <v>83.250916787606556</v>
      </c>
      <c r="L28" s="582"/>
      <c r="M28" s="185">
        <f>RANK(K28, K$27:$K$41)</f>
        <v>4</v>
      </c>
      <c r="N28" s="580"/>
      <c r="O28" s="580"/>
      <c r="P28" s="187">
        <v>13</v>
      </c>
      <c r="Q28" s="187">
        <v>1081.8504896674567</v>
      </c>
      <c r="R28" s="184">
        <f t="shared" ref="R28:R31" si="20">IFERROR(Q28/P28,"")</f>
        <v>83.219268435958213</v>
      </c>
      <c r="S28" s="181">
        <f t="shared" ref="S28:S31" si="21">RANK(R28, R$27:R$41)</f>
        <v>4</v>
      </c>
      <c r="T28" s="581"/>
      <c r="U28" s="187">
        <v>13</v>
      </c>
      <c r="V28" s="187">
        <v>1082.3304896674567</v>
      </c>
      <c r="W28" s="184">
        <f t="shared" si="18"/>
        <v>83.256191512881287</v>
      </c>
      <c r="X28" s="181">
        <f t="shared" ref="X28:X31" si="22">RANK(W28, W$27:W$41)</f>
        <v>4</v>
      </c>
      <c r="Y28" s="581"/>
      <c r="Z28" s="187">
        <v>13</v>
      </c>
      <c r="AA28" s="187">
        <v>1082.4504896674566</v>
      </c>
      <c r="AB28" s="184">
        <f t="shared" ref="AB28:AB31" si="23">IFERROR(AA28/Z28,"")</f>
        <v>83.265422282112041</v>
      </c>
      <c r="AC28" s="181">
        <f t="shared" ref="AC28:AC31" si="24">RANK(AB28, AB$27:AB$41)</f>
        <v>4</v>
      </c>
      <c r="AD28" s="581"/>
      <c r="AE28" s="187">
        <v>13</v>
      </c>
      <c r="AF28" s="187">
        <v>1082.8104896674565</v>
      </c>
      <c r="AG28" s="184">
        <f t="shared" ref="AG28:AG31" si="25">IFERROR(AF28/AE28,"")</f>
        <v>83.293114589804347</v>
      </c>
      <c r="AH28" s="181">
        <f t="shared" ref="AH28:AH31" si="26">RANK(AG28, AG$27:AG$41)</f>
        <v>4</v>
      </c>
      <c r="AI28" s="581"/>
      <c r="AJ28" s="187">
        <v>13</v>
      </c>
      <c r="AK28" s="187">
        <v>1082.3304896674567</v>
      </c>
      <c r="AL28" s="184">
        <f t="shared" ref="AL28:AL31" si="27">IFERROR(AK28/AJ28,"")</f>
        <v>83.256191512881287</v>
      </c>
      <c r="AM28" s="181">
        <f t="shared" ref="AM28:AM31" si="28">RANK(AL28, AL$27:AL$41)</f>
        <v>4</v>
      </c>
      <c r="AN28" s="581"/>
      <c r="AO28" s="187">
        <v>13</v>
      </c>
      <c r="AP28" s="187">
        <v>1081.9704896674568</v>
      </c>
      <c r="AQ28" s="184">
        <f t="shared" ref="AQ28:AQ31" si="29">IFERROR(AP28/AO28,"")</f>
        <v>83.228499205188982</v>
      </c>
      <c r="AR28" s="181">
        <f t="shared" ref="AR28:AR31" si="30">RANK(AQ28, AQ$27:AQ$41)</f>
        <v>4</v>
      </c>
      <c r="AS28" s="581"/>
      <c r="AT28" s="187">
        <v>13</v>
      </c>
      <c r="AU28" s="187">
        <v>1082.0904896674567</v>
      </c>
      <c r="AV28" s="184">
        <f t="shared" ref="AV28:AV31" si="31">IFERROR(AU28/AT28,"")</f>
        <v>83.23772997441975</v>
      </c>
      <c r="AW28" s="181">
        <f t="shared" ref="AW28:AW31" si="32">RANK(AV28, AV$27:AV$41)</f>
        <v>4</v>
      </c>
      <c r="AX28" s="581"/>
    </row>
    <row r="29" spans="2:50" ht="14.25" customHeight="1">
      <c r="B29" s="580"/>
      <c r="C29" s="179">
        <v>3</v>
      </c>
      <c r="D29" s="182" t="s">
        <v>622</v>
      </c>
      <c r="E29" s="179">
        <v>11</v>
      </c>
      <c r="F29" s="179">
        <v>2000</v>
      </c>
      <c r="G29" s="184">
        <f t="shared" si="17"/>
        <v>181.81818181818181</v>
      </c>
      <c r="H29" s="581"/>
      <c r="I29" s="185">
        <f t="shared" si="19"/>
        <v>11</v>
      </c>
      <c r="J29" s="185">
        <f t="shared" si="19"/>
        <v>1805.0567096497603</v>
      </c>
      <c r="K29" s="186">
        <f t="shared" si="19"/>
        <v>164.09606451361455</v>
      </c>
      <c r="L29" s="582"/>
      <c r="M29" s="185">
        <f>RANK(K29, K$27:$K$41)</f>
        <v>2</v>
      </c>
      <c r="N29" s="580"/>
      <c r="O29" s="580"/>
      <c r="P29" s="187">
        <v>11</v>
      </c>
      <c r="Q29" s="187">
        <v>1803.9856344469415</v>
      </c>
      <c r="R29" s="184">
        <f t="shared" si="20"/>
        <v>163.99869404063105</v>
      </c>
      <c r="S29" s="181">
        <f t="shared" si="21"/>
        <v>2</v>
      </c>
      <c r="T29" s="581"/>
      <c r="U29" s="187">
        <v>11</v>
      </c>
      <c r="V29" s="187">
        <v>1804.7856344469412</v>
      </c>
      <c r="W29" s="184">
        <f t="shared" si="18"/>
        <v>164.07142131335829</v>
      </c>
      <c r="X29" s="181">
        <f t="shared" si="22"/>
        <v>2</v>
      </c>
      <c r="Y29" s="581"/>
      <c r="Z29" s="187">
        <v>11</v>
      </c>
      <c r="AA29" s="187">
        <v>1804.785634446941</v>
      </c>
      <c r="AB29" s="184">
        <f t="shared" si="23"/>
        <v>164.07142131335829</v>
      </c>
      <c r="AC29" s="181">
        <f t="shared" si="24"/>
        <v>2</v>
      </c>
      <c r="AD29" s="581"/>
      <c r="AE29" s="187">
        <v>11</v>
      </c>
      <c r="AF29" s="187">
        <v>1805.1856344469411</v>
      </c>
      <c r="AG29" s="184">
        <f t="shared" si="25"/>
        <v>164.10778494972192</v>
      </c>
      <c r="AH29" s="181">
        <f t="shared" si="26"/>
        <v>2</v>
      </c>
      <c r="AI29" s="581"/>
      <c r="AJ29" s="187">
        <v>11</v>
      </c>
      <c r="AK29" s="187">
        <v>1806.0181432535185</v>
      </c>
      <c r="AL29" s="184">
        <f t="shared" si="27"/>
        <v>164.18346756850167</v>
      </c>
      <c r="AM29" s="181">
        <f t="shared" si="28"/>
        <v>2</v>
      </c>
      <c r="AN29" s="581"/>
      <c r="AO29" s="187">
        <v>11</v>
      </c>
      <c r="AP29" s="187">
        <v>1805.6181432535186</v>
      </c>
      <c r="AQ29" s="184">
        <f t="shared" si="29"/>
        <v>164.14710393213807</v>
      </c>
      <c r="AR29" s="181">
        <f t="shared" si="30"/>
        <v>2</v>
      </c>
      <c r="AS29" s="581"/>
      <c r="AT29" s="187">
        <v>11</v>
      </c>
      <c r="AU29" s="187">
        <v>1805.0181432535187</v>
      </c>
      <c r="AV29" s="184">
        <f t="shared" si="31"/>
        <v>164.0925584775926</v>
      </c>
      <c r="AW29" s="181">
        <f t="shared" si="32"/>
        <v>2</v>
      </c>
      <c r="AX29" s="581"/>
    </row>
    <row r="30" spans="2:50" ht="14.25" customHeight="1">
      <c r="B30" s="580"/>
      <c r="C30" s="179">
        <v>4</v>
      </c>
      <c r="D30" s="182" t="s">
        <v>623</v>
      </c>
      <c r="E30" s="179">
        <v>22</v>
      </c>
      <c r="F30" s="179">
        <v>2000</v>
      </c>
      <c r="G30" s="184">
        <f t="shared" si="17"/>
        <v>90.909090909090907</v>
      </c>
      <c r="H30" s="581"/>
      <c r="I30" s="185">
        <f t="shared" si="19"/>
        <v>22</v>
      </c>
      <c r="J30" s="185">
        <f t="shared" si="19"/>
        <v>1799.9500769987733</v>
      </c>
      <c r="K30" s="186">
        <f t="shared" si="19"/>
        <v>81.81591259085333</v>
      </c>
      <c r="L30" s="582"/>
      <c r="M30" s="185">
        <f>RANK(K30, K$27:$K$41)</f>
        <v>5</v>
      </c>
      <c r="N30" s="580"/>
      <c r="O30" s="580"/>
      <c r="P30" s="187">
        <v>22</v>
      </c>
      <c r="Q30" s="187">
        <v>1800.2072198559158</v>
      </c>
      <c r="R30" s="184">
        <f t="shared" si="20"/>
        <v>81.827600902541633</v>
      </c>
      <c r="S30" s="181">
        <f t="shared" si="21"/>
        <v>5</v>
      </c>
      <c r="T30" s="581"/>
      <c r="U30" s="187">
        <v>22</v>
      </c>
      <c r="V30" s="187">
        <v>1800.4072198559161</v>
      </c>
      <c r="W30" s="184">
        <f t="shared" si="18"/>
        <v>81.836691811632548</v>
      </c>
      <c r="X30" s="181">
        <f t="shared" si="22"/>
        <v>5</v>
      </c>
      <c r="Y30" s="581"/>
      <c r="Z30" s="187">
        <v>22</v>
      </c>
      <c r="AA30" s="187">
        <v>1799.6072198559161</v>
      </c>
      <c r="AB30" s="184">
        <f t="shared" si="23"/>
        <v>81.800328175268916</v>
      </c>
      <c r="AC30" s="181">
        <f t="shared" si="24"/>
        <v>5</v>
      </c>
      <c r="AD30" s="581"/>
      <c r="AE30" s="187">
        <v>22</v>
      </c>
      <c r="AF30" s="187">
        <v>1799.4072198559165</v>
      </c>
      <c r="AG30" s="184">
        <f t="shared" si="25"/>
        <v>81.79123726617803</v>
      </c>
      <c r="AH30" s="181">
        <f t="shared" si="26"/>
        <v>5</v>
      </c>
      <c r="AI30" s="581"/>
      <c r="AJ30" s="187">
        <v>22</v>
      </c>
      <c r="AK30" s="187">
        <v>1799.8072198559164</v>
      </c>
      <c r="AL30" s="184">
        <f t="shared" si="27"/>
        <v>81.809419084359831</v>
      </c>
      <c r="AM30" s="181">
        <f t="shared" si="28"/>
        <v>5</v>
      </c>
      <c r="AN30" s="581"/>
      <c r="AO30" s="187">
        <v>22</v>
      </c>
      <c r="AP30" s="187">
        <v>1800.4072198559161</v>
      </c>
      <c r="AQ30" s="184">
        <f t="shared" si="29"/>
        <v>81.836691811632548</v>
      </c>
      <c r="AR30" s="181">
        <f t="shared" si="30"/>
        <v>5</v>
      </c>
      <c r="AS30" s="581"/>
      <c r="AT30" s="187">
        <v>22</v>
      </c>
      <c r="AU30" s="187">
        <v>1799.8072198559159</v>
      </c>
      <c r="AV30" s="184">
        <f t="shared" si="31"/>
        <v>81.809419084359817</v>
      </c>
      <c r="AW30" s="181">
        <f t="shared" si="32"/>
        <v>5</v>
      </c>
      <c r="AX30" s="581"/>
    </row>
    <row r="31" spans="2:50" ht="14.25" customHeight="1">
      <c r="B31" s="580"/>
      <c r="C31" s="179">
        <v>5</v>
      </c>
      <c r="D31" s="182" t="s">
        <v>624</v>
      </c>
      <c r="E31" s="179">
        <v>11</v>
      </c>
      <c r="F31" s="179">
        <v>2000</v>
      </c>
      <c r="G31" s="184">
        <f t="shared" si="17"/>
        <v>181.81818181818181</v>
      </c>
      <c r="H31" s="581"/>
      <c r="I31" s="185">
        <f t="shared" si="19"/>
        <v>11</v>
      </c>
      <c r="J31" s="185">
        <f t="shared" si="19"/>
        <v>1806.5606150917336</v>
      </c>
      <c r="K31" s="186">
        <f t="shared" si="19"/>
        <v>164.23278319015759</v>
      </c>
      <c r="L31" s="582"/>
      <c r="M31" s="185">
        <f>RANK(K31, K$27:$K$41)</f>
        <v>1</v>
      </c>
      <c r="N31" s="580"/>
      <c r="O31" s="580"/>
      <c r="P31" s="187">
        <v>11</v>
      </c>
      <c r="Q31" s="187">
        <v>1807.2749008060186</v>
      </c>
      <c r="R31" s="184">
        <f t="shared" si="20"/>
        <v>164.2977182550926</v>
      </c>
      <c r="S31" s="181">
        <f t="shared" si="21"/>
        <v>1</v>
      </c>
      <c r="T31" s="581"/>
      <c r="U31" s="187">
        <v>11</v>
      </c>
      <c r="V31" s="187">
        <v>1806.2749008060193</v>
      </c>
      <c r="W31" s="184">
        <f t="shared" si="18"/>
        <v>164.20680916418357</v>
      </c>
      <c r="X31" s="181">
        <f t="shared" si="22"/>
        <v>1</v>
      </c>
      <c r="Y31" s="581"/>
      <c r="Z31" s="187">
        <v>11</v>
      </c>
      <c r="AA31" s="187">
        <v>1806.0749008060193</v>
      </c>
      <c r="AB31" s="184">
        <f t="shared" si="23"/>
        <v>164.18862734600177</v>
      </c>
      <c r="AC31" s="181">
        <f t="shared" si="24"/>
        <v>1</v>
      </c>
      <c r="AD31" s="581"/>
      <c r="AE31" s="187">
        <v>11</v>
      </c>
      <c r="AF31" s="187">
        <v>1806.4749008060194</v>
      </c>
      <c r="AG31" s="184">
        <f t="shared" si="25"/>
        <v>164.2249909823654</v>
      </c>
      <c r="AH31" s="181">
        <f t="shared" si="26"/>
        <v>1</v>
      </c>
      <c r="AI31" s="581"/>
      <c r="AJ31" s="187">
        <v>11</v>
      </c>
      <c r="AK31" s="187">
        <v>1807.0749008060195</v>
      </c>
      <c r="AL31" s="184">
        <f t="shared" si="27"/>
        <v>164.27953643691086</v>
      </c>
      <c r="AM31" s="181">
        <f t="shared" si="28"/>
        <v>1</v>
      </c>
      <c r="AN31" s="581"/>
      <c r="AO31" s="187">
        <v>11</v>
      </c>
      <c r="AP31" s="187">
        <v>1806.6749008060192</v>
      </c>
      <c r="AQ31" s="184">
        <f t="shared" si="29"/>
        <v>164.2431728005472</v>
      </c>
      <c r="AR31" s="181">
        <f t="shared" si="30"/>
        <v>1</v>
      </c>
      <c r="AS31" s="581"/>
      <c r="AT31" s="187">
        <v>11</v>
      </c>
      <c r="AU31" s="187">
        <v>1806.0749008060195</v>
      </c>
      <c r="AV31" s="184">
        <f t="shared" si="31"/>
        <v>164.18862734600177</v>
      </c>
      <c r="AW31" s="181">
        <f t="shared" si="32"/>
        <v>1</v>
      </c>
      <c r="AX31" s="581"/>
    </row>
    <row r="32" spans="2:50" ht="14.25" customHeight="1">
      <c r="B32" s="580"/>
      <c r="C32" s="179">
        <v>6</v>
      </c>
      <c r="D32" s="182"/>
      <c r="E32" s="179"/>
      <c r="F32" s="179"/>
      <c r="G32" s="184"/>
      <c r="H32" s="581"/>
      <c r="I32" s="185"/>
      <c r="J32" s="185"/>
      <c r="K32" s="186"/>
      <c r="L32" s="582"/>
      <c r="M32" s="185"/>
      <c r="N32" s="580"/>
      <c r="O32" s="580"/>
      <c r="P32" s="187"/>
      <c r="Q32" s="187"/>
      <c r="R32" s="184"/>
      <c r="S32" s="181"/>
      <c r="T32" s="581"/>
      <c r="U32" s="187"/>
      <c r="V32" s="187"/>
      <c r="W32" s="184"/>
      <c r="X32" s="181"/>
      <c r="Y32" s="581"/>
      <c r="Z32" s="187"/>
      <c r="AA32" s="187"/>
      <c r="AB32" s="184"/>
      <c r="AC32" s="181"/>
      <c r="AD32" s="581"/>
      <c r="AE32" s="187"/>
      <c r="AF32" s="187"/>
      <c r="AG32" s="184"/>
      <c r="AH32" s="181"/>
      <c r="AI32" s="581"/>
      <c r="AJ32" s="187"/>
      <c r="AK32" s="187"/>
      <c r="AL32" s="184"/>
      <c r="AM32" s="181"/>
      <c r="AN32" s="581"/>
      <c r="AO32" s="187"/>
      <c r="AP32" s="187"/>
      <c r="AQ32" s="184"/>
      <c r="AR32" s="181"/>
      <c r="AS32" s="581"/>
      <c r="AT32" s="187"/>
      <c r="AU32" s="187"/>
      <c r="AV32" s="184"/>
      <c r="AW32" s="181"/>
      <c r="AX32" s="581"/>
    </row>
    <row r="33" spans="2:50" ht="14.25" customHeight="1">
      <c r="B33" s="580"/>
      <c r="C33" s="179">
        <v>7</v>
      </c>
      <c r="D33" s="182"/>
      <c r="E33" s="179"/>
      <c r="F33" s="179"/>
      <c r="G33" s="184"/>
      <c r="H33" s="581"/>
      <c r="I33" s="185"/>
      <c r="J33" s="185"/>
      <c r="K33" s="186"/>
      <c r="L33" s="582"/>
      <c r="M33" s="185"/>
      <c r="N33" s="580"/>
      <c r="O33" s="580"/>
      <c r="P33" s="187"/>
      <c r="Q33" s="187"/>
      <c r="R33" s="184"/>
      <c r="S33" s="181"/>
      <c r="T33" s="581"/>
      <c r="U33" s="187"/>
      <c r="V33" s="187"/>
      <c r="W33" s="184"/>
      <c r="X33" s="181"/>
      <c r="Y33" s="581"/>
      <c r="Z33" s="187"/>
      <c r="AA33" s="187"/>
      <c r="AB33" s="184"/>
      <c r="AC33" s="181"/>
      <c r="AD33" s="581"/>
      <c r="AE33" s="187"/>
      <c r="AF33" s="187"/>
      <c r="AG33" s="184"/>
      <c r="AH33" s="181"/>
      <c r="AI33" s="581"/>
      <c r="AJ33" s="187"/>
      <c r="AK33" s="187"/>
      <c r="AL33" s="184"/>
      <c r="AM33" s="181"/>
      <c r="AN33" s="581"/>
      <c r="AO33" s="187"/>
      <c r="AP33" s="187"/>
      <c r="AQ33" s="184"/>
      <c r="AR33" s="181"/>
      <c r="AS33" s="581"/>
      <c r="AT33" s="187"/>
      <c r="AU33" s="187"/>
      <c r="AV33" s="184"/>
      <c r="AW33" s="181"/>
      <c r="AX33" s="581"/>
    </row>
    <row r="34" spans="2:50" ht="14.25" customHeight="1">
      <c r="B34" s="580"/>
      <c r="C34" s="179">
        <v>8</v>
      </c>
      <c r="D34" s="182"/>
      <c r="E34" s="179"/>
      <c r="F34" s="179"/>
      <c r="G34" s="184"/>
      <c r="H34" s="581"/>
      <c r="I34" s="185"/>
      <c r="J34" s="185"/>
      <c r="K34" s="186"/>
      <c r="L34" s="582"/>
      <c r="M34" s="185"/>
      <c r="N34" s="580"/>
      <c r="O34" s="580"/>
      <c r="P34" s="187"/>
      <c r="Q34" s="187"/>
      <c r="R34" s="184"/>
      <c r="S34" s="181"/>
      <c r="T34" s="581"/>
      <c r="U34" s="187"/>
      <c r="V34" s="187"/>
      <c r="W34" s="184"/>
      <c r="X34" s="181"/>
      <c r="Y34" s="581"/>
      <c r="Z34" s="187"/>
      <c r="AA34" s="187"/>
      <c r="AB34" s="184"/>
      <c r="AC34" s="181"/>
      <c r="AD34" s="581"/>
      <c r="AE34" s="187"/>
      <c r="AF34" s="187"/>
      <c r="AG34" s="184"/>
      <c r="AH34" s="181"/>
      <c r="AI34" s="581"/>
      <c r="AJ34" s="187"/>
      <c r="AK34" s="187"/>
      <c r="AL34" s="184"/>
      <c r="AM34" s="181"/>
      <c r="AN34" s="581"/>
      <c r="AO34" s="187"/>
      <c r="AP34" s="187"/>
      <c r="AQ34" s="184"/>
      <c r="AR34" s="181"/>
      <c r="AS34" s="581"/>
      <c r="AT34" s="187"/>
      <c r="AU34" s="187"/>
      <c r="AV34" s="184"/>
      <c r="AW34" s="181"/>
      <c r="AX34" s="581"/>
    </row>
    <row r="35" spans="2:50" ht="14.25" customHeight="1">
      <c r="B35" s="580"/>
      <c r="C35" s="179">
        <v>9</v>
      </c>
      <c r="D35" s="182"/>
      <c r="E35" s="179"/>
      <c r="F35" s="179"/>
      <c r="G35" s="184"/>
      <c r="H35" s="581"/>
      <c r="I35" s="185"/>
      <c r="J35" s="185"/>
      <c r="K35" s="186"/>
      <c r="L35" s="582"/>
      <c r="M35" s="185"/>
      <c r="N35" s="580"/>
      <c r="O35" s="580"/>
      <c r="P35" s="187"/>
      <c r="Q35" s="187"/>
      <c r="R35" s="184"/>
      <c r="S35" s="181"/>
      <c r="T35" s="581"/>
      <c r="U35" s="187"/>
      <c r="V35" s="187"/>
      <c r="W35" s="184"/>
      <c r="X35" s="181"/>
      <c r="Y35" s="581"/>
      <c r="Z35" s="187"/>
      <c r="AA35" s="187"/>
      <c r="AB35" s="184"/>
      <c r="AC35" s="181"/>
      <c r="AD35" s="581"/>
      <c r="AE35" s="187"/>
      <c r="AF35" s="187"/>
      <c r="AG35" s="184"/>
      <c r="AH35" s="181"/>
      <c r="AI35" s="581"/>
      <c r="AJ35" s="187"/>
      <c r="AK35" s="187"/>
      <c r="AL35" s="184"/>
      <c r="AM35" s="181"/>
      <c r="AN35" s="581"/>
      <c r="AO35" s="187"/>
      <c r="AP35" s="187"/>
      <c r="AQ35" s="184"/>
      <c r="AR35" s="181"/>
      <c r="AS35" s="581"/>
      <c r="AT35" s="187"/>
      <c r="AU35" s="187"/>
      <c r="AV35" s="184"/>
      <c r="AW35" s="181"/>
      <c r="AX35" s="581"/>
    </row>
    <row r="36" spans="2:50" ht="14.25" customHeight="1">
      <c r="B36" s="580"/>
      <c r="C36" s="179">
        <v>10</v>
      </c>
      <c r="D36" s="182"/>
      <c r="E36" s="179"/>
      <c r="F36" s="179"/>
      <c r="G36" s="184"/>
      <c r="H36" s="581"/>
      <c r="I36" s="185"/>
      <c r="J36" s="185"/>
      <c r="K36" s="186"/>
      <c r="L36" s="582"/>
      <c r="M36" s="185"/>
      <c r="N36" s="580"/>
      <c r="O36" s="580"/>
      <c r="P36" s="187"/>
      <c r="Q36" s="187"/>
      <c r="R36" s="184"/>
      <c r="S36" s="181"/>
      <c r="T36" s="581"/>
      <c r="U36" s="187"/>
      <c r="V36" s="187"/>
      <c r="W36" s="184"/>
      <c r="X36" s="181"/>
      <c r="Y36" s="581"/>
      <c r="Z36" s="187"/>
      <c r="AA36" s="187"/>
      <c r="AB36" s="184"/>
      <c r="AC36" s="181"/>
      <c r="AD36" s="581"/>
      <c r="AE36" s="187"/>
      <c r="AF36" s="187"/>
      <c r="AG36" s="184"/>
      <c r="AH36" s="181"/>
      <c r="AI36" s="581"/>
      <c r="AJ36" s="187"/>
      <c r="AK36" s="187"/>
      <c r="AL36" s="184"/>
      <c r="AM36" s="181"/>
      <c r="AN36" s="581"/>
      <c r="AO36" s="187"/>
      <c r="AP36" s="187"/>
      <c r="AQ36" s="184"/>
      <c r="AR36" s="181"/>
      <c r="AS36" s="581"/>
      <c r="AT36" s="187"/>
      <c r="AU36" s="187"/>
      <c r="AV36" s="184"/>
      <c r="AW36" s="181"/>
      <c r="AX36" s="581"/>
    </row>
    <row r="37" spans="2:50" ht="14.25" customHeight="1">
      <c r="B37" s="580"/>
      <c r="C37" s="179">
        <v>11</v>
      </c>
      <c r="D37" s="182"/>
      <c r="E37" s="179"/>
      <c r="F37" s="179"/>
      <c r="G37" s="184"/>
      <c r="H37" s="581"/>
      <c r="I37" s="185"/>
      <c r="J37" s="185"/>
      <c r="K37" s="186"/>
      <c r="L37" s="582"/>
      <c r="M37" s="185"/>
      <c r="N37" s="580"/>
      <c r="O37" s="580"/>
      <c r="P37" s="187"/>
      <c r="Q37" s="187"/>
      <c r="R37" s="184"/>
      <c r="S37" s="181"/>
      <c r="T37" s="581"/>
      <c r="U37" s="187"/>
      <c r="V37" s="187"/>
      <c r="W37" s="184"/>
      <c r="X37" s="181"/>
      <c r="Y37" s="581"/>
      <c r="Z37" s="187"/>
      <c r="AA37" s="187"/>
      <c r="AB37" s="184"/>
      <c r="AC37" s="181"/>
      <c r="AD37" s="581"/>
      <c r="AE37" s="187"/>
      <c r="AF37" s="187"/>
      <c r="AG37" s="184"/>
      <c r="AH37" s="181"/>
      <c r="AI37" s="581"/>
      <c r="AJ37" s="187"/>
      <c r="AK37" s="187"/>
      <c r="AL37" s="184"/>
      <c r="AM37" s="181"/>
      <c r="AN37" s="581"/>
      <c r="AO37" s="187"/>
      <c r="AP37" s="187"/>
      <c r="AQ37" s="184"/>
      <c r="AR37" s="181"/>
      <c r="AS37" s="581"/>
      <c r="AT37" s="187"/>
      <c r="AU37" s="187"/>
      <c r="AV37" s="184"/>
      <c r="AW37" s="181"/>
      <c r="AX37" s="581"/>
    </row>
    <row r="38" spans="2:50" ht="14.25" customHeight="1">
      <c r="B38" s="580"/>
      <c r="C38" s="179">
        <v>12</v>
      </c>
      <c r="D38" s="182"/>
      <c r="E38" s="179"/>
      <c r="F38" s="179"/>
      <c r="G38" s="184"/>
      <c r="H38" s="581"/>
      <c r="I38" s="185"/>
      <c r="J38" s="185"/>
      <c r="K38" s="186"/>
      <c r="L38" s="582"/>
      <c r="M38" s="185"/>
      <c r="N38" s="580"/>
      <c r="O38" s="580"/>
      <c r="P38" s="187"/>
      <c r="Q38" s="187"/>
      <c r="R38" s="184"/>
      <c r="S38" s="181"/>
      <c r="T38" s="581"/>
      <c r="U38" s="187"/>
      <c r="V38" s="187"/>
      <c r="W38" s="184"/>
      <c r="X38" s="181"/>
      <c r="Y38" s="581"/>
      <c r="Z38" s="187"/>
      <c r="AA38" s="187"/>
      <c r="AB38" s="184"/>
      <c r="AC38" s="181"/>
      <c r="AD38" s="581"/>
      <c r="AE38" s="187"/>
      <c r="AF38" s="187"/>
      <c r="AG38" s="184"/>
      <c r="AH38" s="181"/>
      <c r="AI38" s="581"/>
      <c r="AJ38" s="187"/>
      <c r="AK38" s="187"/>
      <c r="AL38" s="184"/>
      <c r="AM38" s="181"/>
      <c r="AN38" s="581"/>
      <c r="AO38" s="187"/>
      <c r="AP38" s="187"/>
      <c r="AQ38" s="184"/>
      <c r="AR38" s="181"/>
      <c r="AS38" s="581"/>
      <c r="AT38" s="187"/>
      <c r="AU38" s="187"/>
      <c r="AV38" s="184"/>
      <c r="AW38" s="181"/>
      <c r="AX38" s="581"/>
    </row>
    <row r="39" spans="2:50" ht="14.25" customHeight="1">
      <c r="B39" s="580"/>
      <c r="C39" s="179">
        <v>13</v>
      </c>
      <c r="D39" s="182"/>
      <c r="E39" s="179"/>
      <c r="F39" s="179"/>
      <c r="G39" s="184"/>
      <c r="H39" s="581"/>
      <c r="I39" s="185"/>
      <c r="J39" s="185"/>
      <c r="K39" s="186"/>
      <c r="L39" s="582"/>
      <c r="M39" s="185"/>
      <c r="N39" s="580"/>
      <c r="O39" s="580"/>
      <c r="P39" s="187"/>
      <c r="Q39" s="187"/>
      <c r="R39" s="184"/>
      <c r="S39" s="181"/>
      <c r="T39" s="581"/>
      <c r="U39" s="187"/>
      <c r="V39" s="187"/>
      <c r="W39" s="184"/>
      <c r="X39" s="181"/>
      <c r="Y39" s="581"/>
      <c r="Z39" s="187"/>
      <c r="AA39" s="187"/>
      <c r="AB39" s="184"/>
      <c r="AC39" s="181"/>
      <c r="AD39" s="581"/>
      <c r="AE39" s="187"/>
      <c r="AF39" s="187"/>
      <c r="AG39" s="184"/>
      <c r="AH39" s="181"/>
      <c r="AI39" s="581"/>
      <c r="AJ39" s="187"/>
      <c r="AK39" s="187"/>
      <c r="AL39" s="184"/>
      <c r="AM39" s="181"/>
      <c r="AN39" s="581"/>
      <c r="AO39" s="187"/>
      <c r="AP39" s="187"/>
      <c r="AQ39" s="184"/>
      <c r="AR39" s="181"/>
      <c r="AS39" s="581"/>
      <c r="AT39" s="187"/>
      <c r="AU39" s="187"/>
      <c r="AV39" s="184"/>
      <c r="AW39" s="181"/>
      <c r="AX39" s="581"/>
    </row>
    <row r="40" spans="2:50" ht="14.25" customHeight="1">
      <c r="B40" s="580"/>
      <c r="C40" s="179">
        <v>14</v>
      </c>
      <c r="D40" s="182"/>
      <c r="E40" s="179"/>
      <c r="F40" s="179"/>
      <c r="G40" s="184"/>
      <c r="H40" s="581"/>
      <c r="I40" s="185"/>
      <c r="J40" s="185"/>
      <c r="K40" s="186"/>
      <c r="L40" s="582"/>
      <c r="M40" s="185"/>
      <c r="N40" s="580"/>
      <c r="O40" s="580"/>
      <c r="P40" s="187"/>
      <c r="Q40" s="187"/>
      <c r="R40" s="184"/>
      <c r="S40" s="181"/>
      <c r="T40" s="581"/>
      <c r="U40" s="187"/>
      <c r="V40" s="187"/>
      <c r="W40" s="184"/>
      <c r="X40" s="181"/>
      <c r="Y40" s="581"/>
      <c r="Z40" s="187"/>
      <c r="AA40" s="187"/>
      <c r="AB40" s="184"/>
      <c r="AC40" s="181"/>
      <c r="AD40" s="581"/>
      <c r="AE40" s="187"/>
      <c r="AF40" s="187"/>
      <c r="AG40" s="184"/>
      <c r="AH40" s="181"/>
      <c r="AI40" s="581"/>
      <c r="AJ40" s="187"/>
      <c r="AK40" s="187"/>
      <c r="AL40" s="184"/>
      <c r="AM40" s="181"/>
      <c r="AN40" s="581"/>
      <c r="AO40" s="187"/>
      <c r="AP40" s="187"/>
      <c r="AQ40" s="184"/>
      <c r="AR40" s="181"/>
      <c r="AS40" s="581"/>
      <c r="AT40" s="187"/>
      <c r="AU40" s="187"/>
      <c r="AV40" s="184"/>
      <c r="AW40" s="181"/>
      <c r="AX40" s="581"/>
    </row>
    <row r="41" spans="2:50" ht="14.25" customHeight="1">
      <c r="B41" s="580"/>
      <c r="C41" s="179">
        <v>15</v>
      </c>
      <c r="D41" s="182"/>
      <c r="E41" s="179"/>
      <c r="F41" s="179"/>
      <c r="G41" s="184"/>
      <c r="H41" s="581"/>
      <c r="I41" s="185"/>
      <c r="J41" s="185"/>
      <c r="K41" s="186"/>
      <c r="L41" s="582"/>
      <c r="M41" s="185"/>
      <c r="N41" s="580"/>
      <c r="O41" s="580"/>
      <c r="P41" s="187"/>
      <c r="Q41" s="187"/>
      <c r="R41" s="184"/>
      <c r="S41" s="181"/>
      <c r="T41" s="581"/>
      <c r="U41" s="187"/>
      <c r="V41" s="187"/>
      <c r="W41" s="184"/>
      <c r="X41" s="181"/>
      <c r="Y41" s="581"/>
      <c r="Z41" s="187"/>
      <c r="AA41" s="187"/>
      <c r="AB41" s="184"/>
      <c r="AC41" s="181"/>
      <c r="AD41" s="581"/>
      <c r="AE41" s="187"/>
      <c r="AF41" s="187"/>
      <c r="AG41" s="184"/>
      <c r="AH41" s="181"/>
      <c r="AI41" s="581"/>
      <c r="AJ41" s="187"/>
      <c r="AK41" s="187"/>
      <c r="AL41" s="184"/>
      <c r="AM41" s="181"/>
      <c r="AN41" s="581"/>
      <c r="AO41" s="187"/>
      <c r="AP41" s="187"/>
      <c r="AQ41" s="184"/>
      <c r="AR41" s="181"/>
      <c r="AS41" s="581"/>
      <c r="AT41" s="187"/>
      <c r="AU41" s="187"/>
      <c r="AV41" s="184"/>
      <c r="AW41" s="181"/>
      <c r="AX41" s="581"/>
    </row>
  </sheetData>
  <mergeCells count="118"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B2:M3"/>
    <mergeCell ref="N2:N3"/>
    <mergeCell ref="O2:O3"/>
    <mergeCell ref="P2:T2"/>
    <mergeCell ref="U2:Y2"/>
    <mergeCell ref="Z2:AD2"/>
    <mergeCell ref="AE2:AI2"/>
    <mergeCell ref="T4:T6"/>
    <mergeCell ref="U4:X4"/>
    <mergeCell ref="Y4:Y6"/>
    <mergeCell ref="Z4:AC4"/>
    <mergeCell ref="AD4:AD6"/>
    <mergeCell ref="B4:B6"/>
    <mergeCell ref="C4:D6"/>
    <mergeCell ref="E4:G4"/>
    <mergeCell ref="H4:H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I4:K4"/>
    <mergeCell ref="AT4:AW4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80"/>
  <sheetViews>
    <sheetView view="pageBreakPreview" topLeftCell="A15" zoomScaleNormal="60" zoomScaleSheetLayoutView="100" workbookViewId="0">
      <selection activeCell="J43" sqref="J43"/>
    </sheetView>
  </sheetViews>
  <sheetFormatPr defaultColWidth="12.54296875" defaultRowHeight="15.75" customHeight="1"/>
  <cols>
    <col min="1" max="1" width="6.453125" style="188" customWidth="1"/>
    <col min="2" max="10" width="11.54296875" style="188" customWidth="1"/>
    <col min="11" max="11" width="12.81640625" style="188" customWidth="1"/>
    <col min="12" max="12" width="41.81640625" style="188" customWidth="1"/>
    <col min="13" max="13" width="12.54296875" style="189"/>
    <col min="14" max="16384" width="12.54296875" style="188"/>
  </cols>
  <sheetData>
    <row r="1" spans="1:18" ht="15.75" customHeight="1">
      <c r="A1" s="520" t="s">
        <v>372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188"/>
    </row>
    <row r="2" spans="1:18" s="189" customFormat="1" ht="15.75" customHeight="1">
      <c r="A2" s="520"/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</row>
    <row r="3" spans="1:18" ht="15.75" customHeight="1">
      <c r="A3" s="622" t="s">
        <v>701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188"/>
    </row>
    <row r="4" spans="1:18" s="189" customFormat="1" ht="15.75" customHeight="1">
      <c r="A4" s="622"/>
      <c r="B4" s="622"/>
      <c r="C4" s="622"/>
      <c r="D4" s="622"/>
      <c r="E4" s="622"/>
      <c r="F4" s="622"/>
      <c r="G4" s="622"/>
      <c r="H4" s="622"/>
      <c r="I4" s="622"/>
      <c r="J4" s="622"/>
      <c r="K4" s="622"/>
      <c r="L4" s="622"/>
    </row>
    <row r="5" spans="1:18" s="177" customFormat="1" ht="15.75" customHeight="1">
      <c r="A5" s="618" t="s">
        <v>162</v>
      </c>
      <c r="B5" s="190">
        <v>1</v>
      </c>
      <c r="C5" s="190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ht="16.399999999999999" customHeight="1">
      <c r="A6" s="618"/>
      <c r="B6" s="193" t="s">
        <v>206</v>
      </c>
      <c r="C6" s="193" t="s">
        <v>155</v>
      </c>
      <c r="D6" s="194" t="s">
        <v>207</v>
      </c>
      <c r="E6" s="194" t="s">
        <v>156</v>
      </c>
      <c r="F6" s="194" t="s">
        <v>348</v>
      </c>
      <c r="G6" s="195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77" customFormat="1" ht="15.75" customHeight="1">
      <c r="A7" s="619" t="s">
        <v>188</v>
      </c>
      <c r="B7" s="619"/>
      <c r="C7" s="159" t="s">
        <v>47</v>
      </c>
      <c r="D7" s="619" t="s">
        <v>12</v>
      </c>
      <c r="E7" s="623"/>
      <c r="F7" s="623"/>
      <c r="G7" s="159" t="s">
        <v>46</v>
      </c>
      <c r="H7" s="159" t="s">
        <v>374</v>
      </c>
      <c r="I7" s="159" t="s">
        <v>375</v>
      </c>
      <c r="J7" s="159" t="s">
        <v>332</v>
      </c>
      <c r="K7" s="619" t="s">
        <v>51</v>
      </c>
      <c r="L7" s="623"/>
      <c r="M7" s="192"/>
      <c r="N7" s="188"/>
      <c r="P7" s="386"/>
      <c r="Q7" s="386"/>
    </row>
    <row r="8" spans="1:18" ht="15.75" customHeight="1">
      <c r="A8" s="618">
        <v>1</v>
      </c>
      <c r="B8" s="619" t="s">
        <v>376</v>
      </c>
      <c r="C8" s="199">
        <v>1</v>
      </c>
      <c r="D8" s="620" t="s">
        <v>599</v>
      </c>
      <c r="E8" s="621"/>
      <c r="F8" s="621"/>
      <c r="G8" s="199">
        <v>3</v>
      </c>
      <c r="H8" s="201">
        <v>3197.3008393122423</v>
      </c>
      <c r="I8" s="202">
        <v>1065.7669464374139</v>
      </c>
      <c r="J8" s="220">
        <v>-0.8742857142858611</v>
      </c>
      <c r="K8" s="620" t="s">
        <v>428</v>
      </c>
      <c r="L8" s="621"/>
      <c r="N8" s="177"/>
      <c r="O8" s="177"/>
      <c r="P8" s="386"/>
      <c r="Q8" s="386"/>
      <c r="R8" s="177"/>
    </row>
    <row r="9" spans="1:18" ht="15.75" customHeight="1">
      <c r="A9" s="618"/>
      <c r="B9" s="619"/>
      <c r="C9" s="199">
        <v>2</v>
      </c>
      <c r="D9" s="620" t="s">
        <v>398</v>
      </c>
      <c r="E9" s="621"/>
      <c r="F9" s="621"/>
      <c r="G9" s="199">
        <v>3</v>
      </c>
      <c r="H9" s="201">
        <v>3196.3160598015243</v>
      </c>
      <c r="I9" s="202">
        <v>1065.4386866005082</v>
      </c>
      <c r="J9" s="220">
        <v>0.39428571428607029</v>
      </c>
      <c r="K9" s="620" t="s">
        <v>428</v>
      </c>
      <c r="L9" s="621"/>
      <c r="N9" s="177"/>
      <c r="O9" s="177"/>
      <c r="P9" s="386"/>
      <c r="Q9" s="386"/>
      <c r="R9" s="177"/>
    </row>
    <row r="10" spans="1:18" ht="15.75" customHeight="1">
      <c r="A10" s="618"/>
      <c r="B10" s="619"/>
      <c r="C10" s="199">
        <v>3</v>
      </c>
      <c r="D10" s="620" t="s">
        <v>388</v>
      </c>
      <c r="E10" s="621"/>
      <c r="F10" s="621"/>
      <c r="G10" s="199">
        <v>3</v>
      </c>
      <c r="H10" s="201">
        <v>3194.3640007317154</v>
      </c>
      <c r="I10" s="202">
        <v>1064.7880002439051</v>
      </c>
      <c r="J10" s="220">
        <v>0.1885714285715494</v>
      </c>
      <c r="K10" s="620" t="s">
        <v>428</v>
      </c>
      <c r="L10" s="621"/>
      <c r="N10" s="177"/>
      <c r="O10" s="177"/>
      <c r="P10" s="386"/>
      <c r="Q10" s="386"/>
      <c r="R10" s="177"/>
    </row>
    <row r="11" spans="1:18" ht="15.75" customHeight="1">
      <c r="A11" s="618"/>
      <c r="B11" s="619"/>
      <c r="C11" s="199">
        <v>4</v>
      </c>
      <c r="D11" s="620" t="s">
        <v>395</v>
      </c>
      <c r="E11" s="621"/>
      <c r="F11" s="621"/>
      <c r="G11" s="199">
        <v>3</v>
      </c>
      <c r="H11" s="201">
        <v>3191.1263700988529</v>
      </c>
      <c r="I11" s="202">
        <v>1063.7087900329511</v>
      </c>
      <c r="J11" s="220">
        <v>-0.14790649308974935</v>
      </c>
      <c r="K11" s="620" t="s">
        <v>428</v>
      </c>
      <c r="L11" s="621"/>
      <c r="N11" s="177"/>
      <c r="O11" s="177"/>
      <c r="P11" s="386"/>
      <c r="Q11" s="386"/>
      <c r="R11" s="177"/>
    </row>
    <row r="12" spans="1:18" ht="15.75" customHeight="1">
      <c r="A12" s="618"/>
      <c r="B12" s="619"/>
      <c r="C12" s="199">
        <v>5</v>
      </c>
      <c r="D12" s="620" t="s">
        <v>539</v>
      </c>
      <c r="E12" s="621"/>
      <c r="F12" s="621"/>
      <c r="G12" s="199">
        <v>3</v>
      </c>
      <c r="H12" s="201">
        <v>3189.6593122287936</v>
      </c>
      <c r="I12" s="202">
        <v>1063.2197707429314</v>
      </c>
      <c r="J12" s="220"/>
      <c r="K12" s="620" t="s">
        <v>428</v>
      </c>
      <c r="L12" s="621"/>
      <c r="O12" s="177"/>
      <c r="P12" s="386"/>
      <c r="Q12" s="386"/>
      <c r="R12" s="177"/>
    </row>
    <row r="13" spans="1:18" ht="15.75" customHeight="1">
      <c r="A13" s="618"/>
      <c r="B13" s="619"/>
      <c r="C13" s="203" t="s">
        <v>204</v>
      </c>
      <c r="D13" s="621" t="s">
        <v>485</v>
      </c>
      <c r="E13" s="621"/>
      <c r="F13" s="621"/>
      <c r="G13" s="200">
        <v>13</v>
      </c>
      <c r="H13" s="204">
        <v>3259.6066255692626</v>
      </c>
      <c r="I13" s="205">
        <v>250.73897119763555</v>
      </c>
      <c r="J13" s="220">
        <v>-0.13846153846142784</v>
      </c>
      <c r="K13" s="620" t="s">
        <v>428</v>
      </c>
      <c r="L13" s="621"/>
      <c r="N13" s="177"/>
      <c r="O13" s="177"/>
      <c r="P13" s="386"/>
      <c r="Q13" s="386"/>
      <c r="R13" s="177"/>
    </row>
    <row r="14" spans="1:18" ht="15.75" customHeight="1">
      <c r="A14" s="618"/>
      <c r="B14" s="619"/>
      <c r="C14" s="203" t="s">
        <v>209</v>
      </c>
      <c r="D14" s="621" t="s">
        <v>440</v>
      </c>
      <c r="E14" s="621"/>
      <c r="F14" s="621"/>
      <c r="G14" s="200">
        <v>12</v>
      </c>
      <c r="H14" s="204">
        <v>3116.6325099237552</v>
      </c>
      <c r="I14" s="205">
        <v>259.71937582697961</v>
      </c>
      <c r="J14" s="220">
        <v>0.40285714285715812</v>
      </c>
      <c r="K14" s="620" t="s">
        <v>428</v>
      </c>
      <c r="L14" s="621"/>
      <c r="N14" s="177"/>
      <c r="O14" s="177"/>
      <c r="P14" s="386"/>
      <c r="Q14" s="386"/>
      <c r="R14" s="177"/>
    </row>
    <row r="15" spans="1:18" ht="15.75" customHeight="1">
      <c r="A15" s="618"/>
      <c r="B15" s="619"/>
      <c r="C15" s="203" t="s">
        <v>205</v>
      </c>
      <c r="D15" s="621" t="s">
        <v>437</v>
      </c>
      <c r="E15" s="621"/>
      <c r="F15" s="621"/>
      <c r="G15" s="200">
        <v>12</v>
      </c>
      <c r="H15" s="204">
        <v>3117.4577302189086</v>
      </c>
      <c r="I15" s="205">
        <v>259.78814418490907</v>
      </c>
      <c r="J15" s="220">
        <v>0.51604105534528344</v>
      </c>
      <c r="K15" s="620" t="s">
        <v>428</v>
      </c>
      <c r="L15" s="621"/>
      <c r="N15" s="177"/>
      <c r="O15" s="177"/>
      <c r="P15" s="386"/>
      <c r="Q15" s="386"/>
      <c r="R15" s="177"/>
    </row>
    <row r="16" spans="1:18" ht="15.75" customHeight="1">
      <c r="A16" s="618"/>
      <c r="B16" s="619"/>
      <c r="C16" s="203" t="s">
        <v>210</v>
      </c>
      <c r="D16" s="621" t="s">
        <v>724</v>
      </c>
      <c r="E16" s="621"/>
      <c r="F16" s="621"/>
      <c r="G16" s="200">
        <v>6</v>
      </c>
      <c r="H16" s="204">
        <v>3182.8012443380135</v>
      </c>
      <c r="I16" s="205">
        <v>530.46687405633566</v>
      </c>
      <c r="J16" s="220">
        <v>37.300207389668969</v>
      </c>
      <c r="K16" s="620" t="s">
        <v>798</v>
      </c>
      <c r="L16" s="621"/>
      <c r="M16" s="188"/>
      <c r="N16" s="177"/>
      <c r="O16" s="177"/>
      <c r="P16" s="386"/>
      <c r="Q16" s="386"/>
      <c r="R16" s="177"/>
    </row>
    <row r="17" spans="1:18" ht="15.75" customHeight="1">
      <c r="A17" s="618"/>
      <c r="B17" s="619"/>
      <c r="C17" s="203" t="s">
        <v>211</v>
      </c>
      <c r="D17" s="621" t="s">
        <v>508</v>
      </c>
      <c r="E17" s="621"/>
      <c r="F17" s="621"/>
      <c r="G17" s="200">
        <v>5</v>
      </c>
      <c r="H17" s="204">
        <v>2712.3874695745867</v>
      </c>
      <c r="I17" s="205">
        <v>542.47749391491732</v>
      </c>
      <c r="J17" s="220"/>
      <c r="K17" s="620" t="s">
        <v>428</v>
      </c>
      <c r="L17" s="621"/>
      <c r="M17" s="188"/>
      <c r="N17" s="177"/>
      <c r="O17" s="177"/>
      <c r="P17" s="386"/>
      <c r="Q17" s="386"/>
      <c r="R17" s="177"/>
    </row>
    <row r="18" spans="1:18" s="198" customFormat="1" ht="15.75" customHeight="1">
      <c r="A18" s="616" t="s">
        <v>188</v>
      </c>
      <c r="B18" s="616"/>
      <c r="C18" s="206" t="s">
        <v>47</v>
      </c>
      <c r="D18" s="616" t="s">
        <v>12</v>
      </c>
      <c r="E18" s="617"/>
      <c r="F18" s="617"/>
      <c r="G18" s="206" t="s">
        <v>46</v>
      </c>
      <c r="H18" s="206" t="s">
        <v>374</v>
      </c>
      <c r="I18" s="206" t="s">
        <v>375</v>
      </c>
      <c r="J18" s="159" t="s">
        <v>332</v>
      </c>
      <c r="K18" s="616" t="s">
        <v>50</v>
      </c>
      <c r="L18" s="617"/>
      <c r="M18" s="207"/>
      <c r="N18" s="177"/>
      <c r="O18" s="177"/>
      <c r="P18" s="386"/>
      <c r="Q18" s="386"/>
      <c r="R18" s="177"/>
    </row>
    <row r="19" spans="1:18" ht="15.75" customHeight="1">
      <c r="A19" s="618">
        <v>2</v>
      </c>
      <c r="B19" s="619" t="s">
        <v>155</v>
      </c>
      <c r="C19" s="199">
        <v>1</v>
      </c>
      <c r="D19" s="620" t="s">
        <v>346</v>
      </c>
      <c r="E19" s="621"/>
      <c r="F19" s="621"/>
      <c r="G19" s="199">
        <v>10</v>
      </c>
      <c r="H19" s="201">
        <v>3214.6266940103314</v>
      </c>
      <c r="I19" s="202">
        <v>321.46266940103317</v>
      </c>
      <c r="J19" s="220">
        <v>0.27433970422237053</v>
      </c>
      <c r="K19" s="620" t="s">
        <v>428</v>
      </c>
      <c r="L19" s="621"/>
      <c r="M19" s="188"/>
      <c r="N19" s="177"/>
      <c r="O19" s="177"/>
      <c r="P19" s="386"/>
      <c r="Q19" s="386"/>
      <c r="R19" s="177"/>
    </row>
    <row r="20" spans="1:18" ht="15.75" customHeight="1">
      <c r="A20" s="618"/>
      <c r="B20" s="619"/>
      <c r="C20" s="199">
        <v>2</v>
      </c>
      <c r="D20" s="620" t="s">
        <v>523</v>
      </c>
      <c r="E20" s="621"/>
      <c r="F20" s="621"/>
      <c r="G20" s="199">
        <v>11</v>
      </c>
      <c r="H20" s="201">
        <v>3161.9110496095886</v>
      </c>
      <c r="I20" s="202">
        <v>287.44645905541705</v>
      </c>
      <c r="J20" s="220">
        <v>0.2673451596679115</v>
      </c>
      <c r="K20" s="620" t="s">
        <v>428</v>
      </c>
      <c r="L20" s="621"/>
      <c r="M20" s="188"/>
      <c r="N20" s="177"/>
      <c r="O20" s="177"/>
      <c r="P20" s="386"/>
      <c r="Q20" s="386"/>
      <c r="R20" s="177"/>
    </row>
    <row r="21" spans="1:18" ht="15.75" customHeight="1">
      <c r="A21" s="618"/>
      <c r="B21" s="619"/>
      <c r="C21" s="199">
        <v>3</v>
      </c>
      <c r="D21" s="620" t="s">
        <v>522</v>
      </c>
      <c r="E21" s="621"/>
      <c r="F21" s="621"/>
      <c r="G21" s="199">
        <v>11</v>
      </c>
      <c r="H21" s="201">
        <v>3160.251814885316</v>
      </c>
      <c r="I21" s="202">
        <v>287.29561953502878</v>
      </c>
      <c r="J21" s="220">
        <v>0.13264954557348574</v>
      </c>
      <c r="K21" s="620" t="s">
        <v>428</v>
      </c>
      <c r="L21" s="621"/>
      <c r="M21" s="188"/>
      <c r="N21" s="177"/>
      <c r="O21" s="177"/>
      <c r="P21" s="386"/>
      <c r="Q21" s="386"/>
      <c r="R21" s="177"/>
    </row>
    <row r="22" spans="1:18" ht="15.75" customHeight="1">
      <c r="A22" s="618"/>
      <c r="B22" s="619"/>
      <c r="C22" s="199">
        <v>4</v>
      </c>
      <c r="D22" s="620"/>
      <c r="E22" s="621"/>
      <c r="F22" s="621"/>
      <c r="G22" s="199"/>
      <c r="H22" s="201"/>
      <c r="I22" s="202"/>
      <c r="J22" s="220"/>
      <c r="K22" s="620"/>
      <c r="L22" s="621"/>
      <c r="M22" s="188"/>
      <c r="N22" s="177"/>
      <c r="O22" s="177"/>
      <c r="P22" s="386"/>
      <c r="Q22" s="386"/>
      <c r="R22" s="177"/>
    </row>
    <row r="23" spans="1:18" ht="15.75" customHeight="1">
      <c r="A23" s="618"/>
      <c r="B23" s="619"/>
      <c r="C23" s="199">
        <v>5</v>
      </c>
      <c r="D23" s="620"/>
      <c r="E23" s="621"/>
      <c r="F23" s="621"/>
      <c r="G23" s="199"/>
      <c r="H23" s="201"/>
      <c r="I23" s="202"/>
      <c r="J23" s="220"/>
      <c r="K23" s="620"/>
      <c r="L23" s="621"/>
      <c r="M23" s="188"/>
      <c r="N23" s="177"/>
      <c r="O23" s="177"/>
      <c r="P23" s="386"/>
      <c r="Q23" s="386"/>
      <c r="R23" s="177"/>
    </row>
    <row r="24" spans="1:18" ht="15.75" customHeight="1">
      <c r="A24" s="618"/>
      <c r="B24" s="619"/>
      <c r="C24" s="203" t="s">
        <v>204</v>
      </c>
      <c r="D24" s="620"/>
      <c r="E24" s="621"/>
      <c r="F24" s="621"/>
      <c r="G24" s="199"/>
      <c r="H24" s="201"/>
      <c r="I24" s="202"/>
      <c r="J24" s="199"/>
      <c r="K24" s="620"/>
      <c r="L24" s="621"/>
      <c r="M24" s="188"/>
      <c r="N24" s="177"/>
      <c r="O24" s="177"/>
      <c r="P24" s="386"/>
      <c r="Q24" s="386"/>
      <c r="R24" s="177"/>
    </row>
    <row r="25" spans="1:18" ht="15.75" customHeight="1">
      <c r="A25" s="618"/>
      <c r="B25" s="619"/>
      <c r="C25" s="203" t="s">
        <v>209</v>
      </c>
      <c r="D25" s="620"/>
      <c r="E25" s="621"/>
      <c r="F25" s="621"/>
      <c r="G25" s="199"/>
      <c r="H25" s="201"/>
      <c r="I25" s="202"/>
      <c r="J25" s="199"/>
      <c r="K25" s="620"/>
      <c r="L25" s="621"/>
      <c r="M25" s="188"/>
      <c r="N25" s="177"/>
      <c r="O25" s="177"/>
      <c r="P25" s="386"/>
      <c r="Q25" s="386"/>
      <c r="R25" s="177"/>
    </row>
    <row r="26" spans="1:18" ht="15.75" customHeight="1">
      <c r="A26" s="618"/>
      <c r="B26" s="619"/>
      <c r="C26" s="203" t="s">
        <v>205</v>
      </c>
      <c r="D26" s="620"/>
      <c r="E26" s="621"/>
      <c r="F26" s="621"/>
      <c r="G26" s="199"/>
      <c r="H26" s="201"/>
      <c r="I26" s="202"/>
      <c r="J26" s="199"/>
      <c r="K26" s="620"/>
      <c r="L26" s="621"/>
      <c r="M26" s="188"/>
      <c r="N26" s="177"/>
      <c r="O26" s="177"/>
      <c r="P26" s="386"/>
      <c r="Q26" s="386"/>
      <c r="R26" s="177"/>
    </row>
    <row r="27" spans="1:18" ht="15.75" customHeight="1">
      <c r="A27" s="618"/>
      <c r="B27" s="619"/>
      <c r="C27" s="203" t="s">
        <v>210</v>
      </c>
      <c r="D27" s="620"/>
      <c r="E27" s="621"/>
      <c r="F27" s="621"/>
      <c r="G27" s="199"/>
      <c r="H27" s="201"/>
      <c r="I27" s="202"/>
      <c r="J27" s="199"/>
      <c r="K27" s="620"/>
      <c r="L27" s="621"/>
      <c r="M27" s="188"/>
      <c r="N27" s="177"/>
      <c r="O27" s="177"/>
      <c r="P27" s="386"/>
      <c r="Q27" s="386"/>
      <c r="R27" s="177"/>
    </row>
    <row r="28" spans="1:18" ht="15.75" customHeight="1">
      <c r="A28" s="618"/>
      <c r="B28" s="619"/>
      <c r="C28" s="203" t="s">
        <v>211</v>
      </c>
      <c r="D28" s="620"/>
      <c r="E28" s="621"/>
      <c r="F28" s="621"/>
      <c r="G28" s="199"/>
      <c r="H28" s="201"/>
      <c r="I28" s="202"/>
      <c r="J28" s="199"/>
      <c r="K28" s="620"/>
      <c r="L28" s="621"/>
      <c r="M28" s="188"/>
      <c r="N28" s="177"/>
      <c r="O28" s="177"/>
      <c r="P28" s="386"/>
      <c r="Q28" s="386"/>
      <c r="R28" s="177"/>
    </row>
    <row r="29" spans="1:18" ht="15.75" customHeight="1">
      <c r="A29" s="622" t="s">
        <v>799</v>
      </c>
      <c r="B29" s="622"/>
      <c r="C29" s="622"/>
      <c r="D29" s="622"/>
      <c r="E29" s="622"/>
      <c r="F29" s="622"/>
      <c r="G29" s="622"/>
      <c r="H29" s="622"/>
      <c r="I29" s="622"/>
      <c r="J29" s="622"/>
      <c r="K29" s="622"/>
      <c r="L29" s="622"/>
      <c r="M29" s="188"/>
    </row>
    <row r="30" spans="1:18" s="189" customFormat="1" ht="15.75" customHeight="1">
      <c r="A30" s="622"/>
      <c r="B30" s="622"/>
      <c r="C30" s="622"/>
      <c r="D30" s="622"/>
      <c r="E30" s="622"/>
      <c r="F30" s="622"/>
      <c r="G30" s="622"/>
      <c r="H30" s="622"/>
      <c r="I30" s="622"/>
      <c r="J30" s="622"/>
      <c r="K30" s="622"/>
      <c r="L30" s="622"/>
    </row>
    <row r="31" spans="1:18" s="177" customFormat="1" ht="15.75" customHeight="1">
      <c r="A31" s="618" t="s">
        <v>162</v>
      </c>
      <c r="B31" s="190">
        <v>1</v>
      </c>
      <c r="C31" s="190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ht="16.399999999999999" customHeight="1">
      <c r="A32" s="618"/>
      <c r="B32" s="193" t="s">
        <v>206</v>
      </c>
      <c r="C32" s="193" t="s">
        <v>155</v>
      </c>
      <c r="D32" s="194" t="s">
        <v>207</v>
      </c>
      <c r="E32" s="194" t="s">
        <v>156</v>
      </c>
      <c r="F32" s="194" t="s">
        <v>348</v>
      </c>
      <c r="G32" s="195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77" customFormat="1" ht="15.75" customHeight="1">
      <c r="A33" s="619" t="s">
        <v>188</v>
      </c>
      <c r="B33" s="619"/>
      <c r="C33" s="159" t="s">
        <v>47</v>
      </c>
      <c r="D33" s="619" t="s">
        <v>12</v>
      </c>
      <c r="E33" s="623"/>
      <c r="F33" s="623"/>
      <c r="G33" s="159" t="s">
        <v>46</v>
      </c>
      <c r="H33" s="159" t="s">
        <v>374</v>
      </c>
      <c r="I33" s="159" t="s">
        <v>375</v>
      </c>
      <c r="J33" s="159" t="s">
        <v>332</v>
      </c>
      <c r="K33" s="619" t="s">
        <v>51</v>
      </c>
      <c r="L33" s="623"/>
      <c r="M33" s="192"/>
      <c r="N33" s="188"/>
      <c r="P33" s="386"/>
      <c r="Q33" s="386"/>
    </row>
    <row r="34" spans="1:18" ht="15.75" customHeight="1">
      <c r="A34" s="618">
        <v>1</v>
      </c>
      <c r="B34" s="619" t="s">
        <v>376</v>
      </c>
      <c r="C34" s="199">
        <v>1</v>
      </c>
      <c r="D34" s="620" t="s">
        <v>398</v>
      </c>
      <c r="E34" s="621"/>
      <c r="F34" s="621"/>
      <c r="G34" s="199">
        <v>3</v>
      </c>
      <c r="H34" s="201">
        <v>3199.2559230366583</v>
      </c>
      <c r="I34" s="202">
        <v>1066.4186410122195</v>
      </c>
      <c r="J34" s="220">
        <f>I34-I9</f>
        <v>0.9799544117113328</v>
      </c>
      <c r="K34" s="620"/>
      <c r="L34" s="621"/>
      <c r="N34" s="177"/>
      <c r="O34" s="177"/>
      <c r="P34" s="386"/>
      <c r="Q34" s="386"/>
      <c r="R34" s="177"/>
    </row>
    <row r="35" spans="1:18" ht="15.75" customHeight="1">
      <c r="A35" s="618"/>
      <c r="B35" s="619"/>
      <c r="C35" s="199">
        <v>2</v>
      </c>
      <c r="D35" s="620" t="s">
        <v>388</v>
      </c>
      <c r="E35" s="621"/>
      <c r="F35" s="621"/>
      <c r="G35" s="199">
        <v>3</v>
      </c>
      <c r="H35" s="201">
        <v>3197.0382864459998</v>
      </c>
      <c r="I35" s="202">
        <v>1065.6794288153333</v>
      </c>
      <c r="J35" s="220">
        <f>I35-I10</f>
        <v>0.89142857142815046</v>
      </c>
      <c r="K35" s="620"/>
      <c r="L35" s="621"/>
      <c r="N35" s="177"/>
      <c r="O35" s="177"/>
      <c r="P35" s="386"/>
      <c r="Q35" s="386"/>
      <c r="R35" s="177"/>
    </row>
    <row r="36" spans="1:18" ht="15.75" customHeight="1">
      <c r="A36" s="618"/>
      <c r="B36" s="619"/>
      <c r="C36" s="199">
        <v>3</v>
      </c>
      <c r="D36" s="620" t="s">
        <v>599</v>
      </c>
      <c r="E36" s="621"/>
      <c r="F36" s="621"/>
      <c r="G36" s="199">
        <v>3</v>
      </c>
      <c r="H36" s="201">
        <v>3194.4208393122426</v>
      </c>
      <c r="I36" s="202">
        <v>1064.8069464374144</v>
      </c>
      <c r="J36" s="220"/>
      <c r="K36" s="620"/>
      <c r="L36" s="621"/>
      <c r="N36" s="177"/>
      <c r="O36" s="177"/>
      <c r="P36" s="386"/>
      <c r="Q36" s="386"/>
      <c r="R36" s="177"/>
    </row>
    <row r="37" spans="1:18" ht="15.75" customHeight="1">
      <c r="A37" s="618"/>
      <c r="B37" s="619"/>
      <c r="C37" s="199">
        <v>4</v>
      </c>
      <c r="D37" s="620" t="s">
        <v>395</v>
      </c>
      <c r="E37" s="621"/>
      <c r="F37" s="621"/>
      <c r="G37" s="199">
        <v>3</v>
      </c>
      <c r="H37" s="201">
        <v>3191.6406558131393</v>
      </c>
      <c r="I37" s="202">
        <v>1063.8802186043797</v>
      </c>
      <c r="J37" s="220">
        <f>I37-I11</f>
        <v>0.17142857142857792</v>
      </c>
      <c r="K37" s="620"/>
      <c r="L37" s="621"/>
      <c r="N37" s="177"/>
      <c r="O37" s="177"/>
      <c r="P37" s="386"/>
      <c r="Q37" s="386"/>
      <c r="R37" s="177"/>
    </row>
    <row r="38" spans="1:18" ht="15.75" customHeight="1">
      <c r="A38" s="618"/>
      <c r="B38" s="619"/>
      <c r="C38" s="199">
        <v>5</v>
      </c>
      <c r="D38" s="620" t="s">
        <v>539</v>
      </c>
      <c r="E38" s="621"/>
      <c r="F38" s="621"/>
      <c r="G38" s="199">
        <v>3</v>
      </c>
      <c r="H38" s="201">
        <v>3190.4589073130455</v>
      </c>
      <c r="I38" s="202">
        <v>1063.4863024376821</v>
      </c>
      <c r="J38" s="220">
        <f>I38-I12</f>
        <v>0.26653169475071081</v>
      </c>
      <c r="K38" s="620"/>
      <c r="L38" s="621"/>
      <c r="O38" s="177"/>
      <c r="P38" s="386"/>
      <c r="Q38" s="386"/>
      <c r="R38" s="177"/>
    </row>
    <row r="39" spans="1:18" ht="15.75" customHeight="1">
      <c r="A39" s="618"/>
      <c r="B39" s="619"/>
      <c r="C39" s="203" t="s">
        <v>204</v>
      </c>
      <c r="D39" s="621" t="s">
        <v>485</v>
      </c>
      <c r="E39" s="621"/>
      <c r="F39" s="621"/>
      <c r="G39" s="200">
        <v>13</v>
      </c>
      <c r="H39" s="204">
        <v>3260.8923398549782</v>
      </c>
      <c r="I39" s="205">
        <v>250.83787229653686</v>
      </c>
      <c r="J39" s="220">
        <f>I39-I13</f>
        <v>9.890109890130816E-2</v>
      </c>
      <c r="K39" s="620"/>
      <c r="L39" s="621"/>
      <c r="N39" s="177"/>
      <c r="O39" s="177"/>
      <c r="P39" s="386"/>
      <c r="Q39" s="386"/>
      <c r="R39" s="177"/>
    </row>
    <row r="40" spans="1:18" ht="15.75" customHeight="1">
      <c r="A40" s="618"/>
      <c r="B40" s="619"/>
      <c r="C40" s="203" t="s">
        <v>209</v>
      </c>
      <c r="D40" s="621" t="s">
        <v>440</v>
      </c>
      <c r="E40" s="621"/>
      <c r="F40" s="621"/>
      <c r="G40" s="200">
        <v>12</v>
      </c>
      <c r="H40" s="204">
        <v>3118.8366160509859</v>
      </c>
      <c r="I40" s="205">
        <v>259.90305133758216</v>
      </c>
      <c r="J40" s="220">
        <f>I40-I14</f>
        <v>0.18367551060254073</v>
      </c>
      <c r="K40" s="620"/>
      <c r="L40" s="621"/>
      <c r="N40" s="177"/>
      <c r="O40" s="177"/>
      <c r="P40" s="386"/>
      <c r="Q40" s="386"/>
      <c r="R40" s="177"/>
    </row>
    <row r="41" spans="1:18" ht="15.75" customHeight="1">
      <c r="A41" s="618"/>
      <c r="B41" s="619"/>
      <c r="C41" s="203" t="s">
        <v>205</v>
      </c>
      <c r="D41" s="621" t="s">
        <v>437</v>
      </c>
      <c r="E41" s="621"/>
      <c r="F41" s="621"/>
      <c r="G41" s="200">
        <v>12</v>
      </c>
      <c r="H41" s="204">
        <v>3120.7426992668366</v>
      </c>
      <c r="I41" s="205">
        <v>260.06189160556971</v>
      </c>
      <c r="J41" s="220">
        <f>I41-I15</f>
        <v>0.27374742066064073</v>
      </c>
      <c r="K41" s="620"/>
      <c r="L41" s="621"/>
      <c r="N41" s="177"/>
      <c r="O41" s="177"/>
      <c r="P41" s="386"/>
      <c r="Q41" s="386"/>
      <c r="R41" s="177"/>
    </row>
    <row r="42" spans="1:18" ht="15.75" customHeight="1">
      <c r="A42" s="618"/>
      <c r="B42" s="619"/>
      <c r="C42" s="203" t="s">
        <v>210</v>
      </c>
      <c r="D42" s="621" t="s">
        <v>508</v>
      </c>
      <c r="E42" s="621"/>
      <c r="F42" s="621"/>
      <c r="G42" s="200">
        <v>5</v>
      </c>
      <c r="H42" s="204">
        <v>2714.706179480509</v>
      </c>
      <c r="I42" s="205">
        <v>542.94123589610194</v>
      </c>
      <c r="J42" s="220">
        <f>I42-I17</f>
        <v>0.46374198118462573</v>
      </c>
      <c r="K42" s="620"/>
      <c r="L42" s="621"/>
      <c r="M42" s="188"/>
      <c r="N42" s="177"/>
      <c r="O42" s="177"/>
      <c r="P42" s="386"/>
      <c r="Q42" s="386"/>
      <c r="R42" s="177"/>
    </row>
    <row r="43" spans="1:18" ht="15.75" customHeight="1">
      <c r="A43" s="618"/>
      <c r="B43" s="619"/>
      <c r="C43" s="203" t="s">
        <v>211</v>
      </c>
      <c r="D43" s="621" t="s">
        <v>724</v>
      </c>
      <c r="E43" s="621"/>
      <c r="F43" s="621"/>
      <c r="G43" s="200">
        <v>6</v>
      </c>
      <c r="H43" s="204">
        <v>3259.7911206895401</v>
      </c>
      <c r="I43" s="205">
        <v>543.29852011492335</v>
      </c>
      <c r="J43" s="220">
        <f>I43-I16</f>
        <v>12.831646058587694</v>
      </c>
      <c r="K43" s="620"/>
      <c r="L43" s="621"/>
      <c r="M43" s="188"/>
      <c r="N43" s="177"/>
      <c r="O43" s="177"/>
      <c r="P43" s="386"/>
      <c r="Q43" s="386"/>
      <c r="R43" s="177"/>
    </row>
    <row r="44" spans="1:18" s="198" customFormat="1" ht="15.75" customHeight="1">
      <c r="A44" s="616" t="s">
        <v>188</v>
      </c>
      <c r="B44" s="616"/>
      <c r="C44" s="206" t="s">
        <v>47</v>
      </c>
      <c r="D44" s="616" t="s">
        <v>12</v>
      </c>
      <c r="E44" s="617"/>
      <c r="F44" s="617"/>
      <c r="G44" s="206" t="s">
        <v>46</v>
      </c>
      <c r="H44" s="206" t="s">
        <v>374</v>
      </c>
      <c r="I44" s="206" t="s">
        <v>375</v>
      </c>
      <c r="J44" s="159" t="s">
        <v>332</v>
      </c>
      <c r="K44" s="616" t="s">
        <v>50</v>
      </c>
      <c r="L44" s="617"/>
      <c r="M44" s="207"/>
      <c r="N44" s="177"/>
      <c r="O44" s="177"/>
      <c r="P44" s="386"/>
      <c r="Q44" s="386"/>
      <c r="R44" s="177"/>
    </row>
    <row r="45" spans="1:18" ht="15.75" customHeight="1">
      <c r="A45" s="618">
        <v>2</v>
      </c>
      <c r="B45" s="619" t="s">
        <v>155</v>
      </c>
      <c r="C45" s="199">
        <v>1</v>
      </c>
      <c r="D45" s="620" t="s">
        <v>346</v>
      </c>
      <c r="E45" s="621"/>
      <c r="F45" s="621"/>
      <c r="G45" s="199">
        <v>10</v>
      </c>
      <c r="H45" s="201">
        <v>3216.015265438903</v>
      </c>
      <c r="I45" s="202">
        <v>321.60152654389032</v>
      </c>
      <c r="J45" s="220">
        <f>I45-I19</f>
        <v>0.13885714285714812</v>
      </c>
      <c r="K45" s="620"/>
      <c r="L45" s="621"/>
      <c r="M45" s="188"/>
      <c r="N45" s="177"/>
      <c r="O45" s="177"/>
      <c r="P45" s="386"/>
      <c r="Q45" s="386"/>
      <c r="R45" s="177"/>
    </row>
    <row r="46" spans="1:18" ht="15.75" customHeight="1">
      <c r="A46" s="618"/>
      <c r="B46" s="619"/>
      <c r="C46" s="199">
        <v>2</v>
      </c>
      <c r="D46" s="620" t="s">
        <v>523</v>
      </c>
      <c r="E46" s="621"/>
      <c r="F46" s="621"/>
      <c r="G46" s="199">
        <v>11</v>
      </c>
      <c r="H46" s="201">
        <v>3164.7647270531038</v>
      </c>
      <c r="I46" s="202">
        <v>287.7058842775549</v>
      </c>
      <c r="J46" s="220">
        <f>I46-I20</f>
        <v>0.25942522213784969</v>
      </c>
      <c r="K46" s="620"/>
      <c r="L46" s="621"/>
      <c r="M46" s="188"/>
      <c r="N46" s="177"/>
      <c r="O46" s="177"/>
      <c r="P46" s="386"/>
      <c r="Q46" s="386"/>
      <c r="R46" s="177"/>
    </row>
    <row r="47" spans="1:18" ht="15.75" customHeight="1">
      <c r="A47" s="618"/>
      <c r="B47" s="619"/>
      <c r="C47" s="199">
        <v>3</v>
      </c>
      <c r="D47" s="620" t="s">
        <v>522</v>
      </c>
      <c r="E47" s="621"/>
      <c r="F47" s="621"/>
      <c r="G47" s="199">
        <v>11</v>
      </c>
      <c r="H47" s="201">
        <v>3163.7063411407507</v>
      </c>
      <c r="I47" s="202">
        <v>287.60966737643196</v>
      </c>
      <c r="J47" s="220">
        <f>I47-I21</f>
        <v>0.31404784140318043</v>
      </c>
      <c r="K47" s="620"/>
      <c r="L47" s="621"/>
      <c r="M47" s="188"/>
      <c r="N47" s="177"/>
      <c r="O47" s="177"/>
      <c r="P47" s="386"/>
      <c r="Q47" s="386"/>
      <c r="R47" s="177"/>
    </row>
    <row r="48" spans="1:18" ht="15.75" customHeight="1">
      <c r="A48" s="618"/>
      <c r="B48" s="619"/>
      <c r="C48" s="199">
        <v>4</v>
      </c>
      <c r="D48" s="620"/>
      <c r="E48" s="621"/>
      <c r="F48" s="621"/>
      <c r="G48" s="199"/>
      <c r="H48" s="201"/>
      <c r="I48" s="202"/>
      <c r="J48" s="220"/>
      <c r="K48" s="620"/>
      <c r="L48" s="621"/>
      <c r="M48" s="188"/>
      <c r="N48" s="177"/>
      <c r="O48" s="177"/>
      <c r="P48" s="386"/>
      <c r="Q48" s="386"/>
      <c r="R48" s="177"/>
    </row>
    <row r="49" spans="1:18" ht="15.75" customHeight="1">
      <c r="A49" s="618"/>
      <c r="B49" s="619"/>
      <c r="C49" s="199">
        <v>5</v>
      </c>
      <c r="D49" s="620"/>
      <c r="E49" s="621"/>
      <c r="F49" s="621"/>
      <c r="G49" s="199"/>
      <c r="H49" s="201"/>
      <c r="I49" s="202"/>
      <c r="J49" s="220"/>
      <c r="K49" s="620"/>
      <c r="L49" s="621"/>
      <c r="M49" s="188"/>
      <c r="N49" s="177"/>
      <c r="O49" s="177"/>
      <c r="P49" s="386"/>
      <c r="Q49" s="386"/>
      <c r="R49" s="177"/>
    </row>
    <row r="50" spans="1:18" ht="15.75" customHeight="1">
      <c r="A50" s="618"/>
      <c r="B50" s="619"/>
      <c r="C50" s="203" t="s">
        <v>204</v>
      </c>
      <c r="D50" s="620"/>
      <c r="E50" s="621"/>
      <c r="F50" s="621"/>
      <c r="G50" s="199"/>
      <c r="H50" s="201"/>
      <c r="I50" s="202"/>
      <c r="J50" s="199"/>
      <c r="K50" s="620"/>
      <c r="L50" s="621"/>
      <c r="M50" s="188"/>
      <c r="N50" s="177"/>
      <c r="O50" s="177"/>
      <c r="P50" s="386"/>
      <c r="Q50" s="386"/>
      <c r="R50" s="177"/>
    </row>
    <row r="51" spans="1:18" ht="15.75" customHeight="1">
      <c r="A51" s="618"/>
      <c r="B51" s="619"/>
      <c r="C51" s="203" t="s">
        <v>209</v>
      </c>
      <c r="D51" s="620"/>
      <c r="E51" s="621"/>
      <c r="F51" s="621"/>
      <c r="G51" s="199"/>
      <c r="H51" s="201"/>
      <c r="I51" s="202"/>
      <c r="J51" s="199"/>
      <c r="K51" s="620"/>
      <c r="L51" s="621"/>
      <c r="M51" s="188"/>
      <c r="N51" s="177"/>
      <c r="O51" s="177"/>
      <c r="P51" s="386"/>
      <c r="Q51" s="386"/>
      <c r="R51" s="177"/>
    </row>
    <row r="52" spans="1:18" ht="15.75" customHeight="1">
      <c r="A52" s="618"/>
      <c r="B52" s="619"/>
      <c r="C52" s="203" t="s">
        <v>205</v>
      </c>
      <c r="D52" s="620"/>
      <c r="E52" s="621"/>
      <c r="F52" s="621"/>
      <c r="G52" s="199"/>
      <c r="H52" s="201"/>
      <c r="I52" s="202"/>
      <c r="J52" s="199"/>
      <c r="K52" s="620"/>
      <c r="L52" s="621"/>
      <c r="M52" s="188"/>
      <c r="N52" s="177"/>
      <c r="O52" s="177"/>
      <c r="P52" s="386"/>
      <c r="Q52" s="386"/>
      <c r="R52" s="177"/>
    </row>
    <row r="53" spans="1:18" ht="15.75" customHeight="1">
      <c r="A53" s="618"/>
      <c r="B53" s="619"/>
      <c r="C53" s="203" t="s">
        <v>210</v>
      </c>
      <c r="D53" s="620"/>
      <c r="E53" s="621"/>
      <c r="F53" s="621"/>
      <c r="G53" s="199"/>
      <c r="H53" s="201"/>
      <c r="I53" s="202"/>
      <c r="J53" s="199"/>
      <c r="K53" s="620"/>
      <c r="L53" s="621"/>
      <c r="M53" s="188"/>
      <c r="N53" s="177"/>
      <c r="O53" s="177"/>
      <c r="P53" s="386"/>
      <c r="Q53" s="386"/>
      <c r="R53" s="177"/>
    </row>
    <row r="54" spans="1:18" ht="15.75" customHeight="1">
      <c r="A54" s="618"/>
      <c r="B54" s="619"/>
      <c r="C54" s="203" t="s">
        <v>211</v>
      </c>
      <c r="D54" s="620"/>
      <c r="E54" s="621"/>
      <c r="F54" s="621"/>
      <c r="G54" s="199"/>
      <c r="H54" s="201"/>
      <c r="I54" s="202"/>
      <c r="J54" s="199"/>
      <c r="K54" s="620"/>
      <c r="L54" s="621"/>
      <c r="M54" s="188"/>
      <c r="N54" s="177"/>
      <c r="O54" s="177"/>
      <c r="P54" s="386"/>
      <c r="Q54" s="386"/>
      <c r="R54" s="177"/>
    </row>
    <row r="55" spans="1:18" ht="15.75" customHeight="1">
      <c r="A55" s="622" t="s">
        <v>805</v>
      </c>
      <c r="B55" s="622"/>
      <c r="C55" s="622"/>
      <c r="D55" s="622"/>
      <c r="E55" s="622"/>
      <c r="F55" s="622"/>
      <c r="G55" s="622"/>
      <c r="H55" s="622"/>
      <c r="I55" s="622"/>
      <c r="J55" s="622"/>
      <c r="K55" s="622"/>
      <c r="L55" s="622"/>
      <c r="M55" s="188"/>
    </row>
    <row r="56" spans="1:18" s="189" customFormat="1" ht="15.75" customHeight="1">
      <c r="A56" s="622"/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</row>
    <row r="57" spans="1:18" s="177" customFormat="1" ht="15.75" customHeight="1">
      <c r="A57" s="618" t="s">
        <v>162</v>
      </c>
      <c r="B57" s="190">
        <v>1</v>
      </c>
      <c r="C57" s="190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ht="16.399999999999999" customHeight="1">
      <c r="A58" s="618"/>
      <c r="B58" s="193" t="s">
        <v>206</v>
      </c>
      <c r="C58" s="193" t="s">
        <v>155</v>
      </c>
      <c r="D58" s="194" t="s">
        <v>207</v>
      </c>
      <c r="E58" s="194" t="s">
        <v>156</v>
      </c>
      <c r="F58" s="194" t="s">
        <v>348</v>
      </c>
      <c r="G58" s="195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77" customFormat="1" ht="15.75" customHeight="1">
      <c r="A59" s="619" t="s">
        <v>188</v>
      </c>
      <c r="B59" s="619"/>
      <c r="C59" s="159" t="s">
        <v>47</v>
      </c>
      <c r="D59" s="619" t="s">
        <v>12</v>
      </c>
      <c r="E59" s="623"/>
      <c r="F59" s="623"/>
      <c r="G59" s="159" t="s">
        <v>46</v>
      </c>
      <c r="H59" s="159" t="s">
        <v>374</v>
      </c>
      <c r="I59" s="159" t="s">
        <v>375</v>
      </c>
      <c r="J59" s="159" t="s">
        <v>332</v>
      </c>
      <c r="K59" s="619" t="s">
        <v>51</v>
      </c>
      <c r="L59" s="623"/>
      <c r="M59" s="192"/>
      <c r="N59" s="188"/>
      <c r="P59" s="386"/>
      <c r="Q59" s="386"/>
    </row>
    <row r="60" spans="1:18" ht="15.75" customHeight="1">
      <c r="A60" s="618">
        <v>1</v>
      </c>
      <c r="B60" s="619" t="s">
        <v>376</v>
      </c>
      <c r="C60" s="199">
        <v>1</v>
      </c>
      <c r="D60" s="620"/>
      <c r="E60" s="621"/>
      <c r="F60" s="621"/>
      <c r="G60" s="199"/>
      <c r="H60" s="201"/>
      <c r="I60" s="202"/>
      <c r="J60" s="220">
        <f>I60-I34</f>
        <v>-1066.4186410122195</v>
      </c>
      <c r="K60" s="620"/>
      <c r="L60" s="621"/>
      <c r="N60" s="177"/>
      <c r="O60" s="177"/>
      <c r="P60" s="386"/>
      <c r="Q60" s="386"/>
      <c r="R60" s="177"/>
    </row>
    <row r="61" spans="1:18" ht="15.75" customHeight="1">
      <c r="A61" s="618"/>
      <c r="B61" s="619"/>
      <c r="C61" s="199">
        <v>2</v>
      </c>
      <c r="D61" s="620"/>
      <c r="E61" s="621"/>
      <c r="F61" s="621"/>
      <c r="G61" s="199"/>
      <c r="H61" s="201"/>
      <c r="I61" s="202"/>
      <c r="J61" s="220">
        <f>I61-I35</f>
        <v>-1065.6794288153333</v>
      </c>
      <c r="K61" s="620"/>
      <c r="L61" s="621"/>
      <c r="N61" s="177"/>
      <c r="O61" s="177"/>
      <c r="P61" s="386"/>
      <c r="Q61" s="386"/>
      <c r="R61" s="177"/>
    </row>
    <row r="62" spans="1:18" ht="15.75" customHeight="1">
      <c r="A62" s="618"/>
      <c r="B62" s="619"/>
      <c r="C62" s="199">
        <v>3</v>
      </c>
      <c r="D62" s="620"/>
      <c r="E62" s="621"/>
      <c r="F62" s="621"/>
      <c r="G62" s="199"/>
      <c r="H62" s="201"/>
      <c r="I62" s="202"/>
      <c r="J62" s="220">
        <f>I62-I36</f>
        <v>-1064.8069464374144</v>
      </c>
      <c r="K62" s="620"/>
      <c r="L62" s="621"/>
      <c r="N62" s="177"/>
      <c r="O62" s="177"/>
      <c r="P62" s="386"/>
      <c r="Q62" s="386"/>
      <c r="R62" s="177"/>
    </row>
    <row r="63" spans="1:18" ht="15.75" customHeight="1">
      <c r="A63" s="618"/>
      <c r="B63" s="619"/>
      <c r="C63" s="199">
        <v>4</v>
      </c>
      <c r="D63" s="620"/>
      <c r="E63" s="621"/>
      <c r="F63" s="621"/>
      <c r="G63" s="199"/>
      <c r="H63" s="201"/>
      <c r="I63" s="202"/>
      <c r="J63" s="220">
        <f>I63-I37</f>
        <v>-1063.8802186043797</v>
      </c>
      <c r="K63" s="620"/>
      <c r="L63" s="621"/>
      <c r="N63" s="177"/>
      <c r="O63" s="177"/>
      <c r="P63" s="386"/>
      <c r="Q63" s="386"/>
      <c r="R63" s="177"/>
    </row>
    <row r="64" spans="1:18" ht="15.75" customHeight="1">
      <c r="A64" s="618"/>
      <c r="B64" s="619"/>
      <c r="C64" s="199">
        <v>5</v>
      </c>
      <c r="D64" s="620"/>
      <c r="E64" s="621"/>
      <c r="F64" s="621"/>
      <c r="G64" s="199"/>
      <c r="H64" s="201"/>
      <c r="I64" s="202"/>
      <c r="J64" s="220"/>
      <c r="K64" s="620"/>
      <c r="L64" s="621"/>
      <c r="O64" s="177"/>
      <c r="P64" s="386"/>
      <c r="Q64" s="386"/>
      <c r="R64" s="177"/>
    </row>
    <row r="65" spans="1:18" ht="15.75" customHeight="1">
      <c r="A65" s="618"/>
      <c r="B65" s="619"/>
      <c r="C65" s="203" t="s">
        <v>204</v>
      </c>
      <c r="D65" s="621"/>
      <c r="E65" s="621"/>
      <c r="F65" s="621"/>
      <c r="G65" s="200"/>
      <c r="H65" s="204"/>
      <c r="I65" s="205"/>
      <c r="J65" s="220">
        <f>I65-I39</f>
        <v>-250.83787229653686</v>
      </c>
      <c r="K65" s="620"/>
      <c r="L65" s="621"/>
      <c r="N65" s="177"/>
      <c r="O65" s="177"/>
      <c r="P65" s="386"/>
      <c r="Q65" s="386"/>
      <c r="R65" s="177"/>
    </row>
    <row r="66" spans="1:18" ht="15.75" customHeight="1">
      <c r="A66" s="618"/>
      <c r="B66" s="619"/>
      <c r="C66" s="203" t="s">
        <v>209</v>
      </c>
      <c r="D66" s="621"/>
      <c r="E66" s="621"/>
      <c r="F66" s="621"/>
      <c r="G66" s="200"/>
      <c r="H66" s="204"/>
      <c r="I66" s="205"/>
      <c r="J66" s="220">
        <f>I66-I41</f>
        <v>-260.06189160556971</v>
      </c>
      <c r="K66" s="620"/>
      <c r="L66" s="621"/>
      <c r="N66" s="177"/>
      <c r="O66" s="177"/>
      <c r="P66" s="386"/>
      <c r="Q66" s="386"/>
      <c r="R66" s="177"/>
    </row>
    <row r="67" spans="1:18" ht="15.75" customHeight="1">
      <c r="A67" s="618"/>
      <c r="B67" s="619"/>
      <c r="C67" s="203" t="s">
        <v>205</v>
      </c>
      <c r="D67" s="621"/>
      <c r="E67" s="621"/>
      <c r="F67" s="621"/>
      <c r="G67" s="200"/>
      <c r="H67" s="204"/>
      <c r="I67" s="205"/>
      <c r="J67" s="220">
        <f>I67-I40</f>
        <v>-259.90305133758216</v>
      </c>
      <c r="K67" s="620"/>
      <c r="L67" s="621"/>
      <c r="N67" s="177"/>
      <c r="O67" s="177"/>
      <c r="P67" s="386"/>
      <c r="Q67" s="386"/>
      <c r="R67" s="177"/>
    </row>
    <row r="68" spans="1:18" ht="15.75" customHeight="1">
      <c r="A68" s="618"/>
      <c r="B68" s="619"/>
      <c r="C68" s="203" t="s">
        <v>210</v>
      </c>
      <c r="D68" s="621"/>
      <c r="E68" s="621"/>
      <c r="F68" s="621"/>
      <c r="G68" s="200"/>
      <c r="H68" s="204"/>
      <c r="I68" s="205"/>
      <c r="J68" s="220">
        <f>I68-I42</f>
        <v>-542.94123589610194</v>
      </c>
      <c r="K68" s="620"/>
      <c r="L68" s="621"/>
      <c r="M68" s="188"/>
      <c r="N68" s="177"/>
      <c r="O68" s="177"/>
      <c r="P68" s="386"/>
      <c r="Q68" s="386"/>
      <c r="R68" s="177"/>
    </row>
    <row r="69" spans="1:18" ht="15.75" customHeight="1">
      <c r="A69" s="618"/>
      <c r="B69" s="619"/>
      <c r="C69" s="203" t="s">
        <v>211</v>
      </c>
      <c r="D69" s="621"/>
      <c r="E69" s="621"/>
      <c r="F69" s="621"/>
      <c r="G69" s="200"/>
      <c r="H69" s="204"/>
      <c r="I69" s="205"/>
      <c r="J69" s="220"/>
      <c r="K69" s="620"/>
      <c r="L69" s="621"/>
      <c r="M69" s="188"/>
      <c r="N69" s="177"/>
      <c r="O69" s="177"/>
      <c r="P69" s="386"/>
      <c r="Q69" s="386"/>
      <c r="R69" s="177"/>
    </row>
    <row r="70" spans="1:18" s="198" customFormat="1" ht="15.75" customHeight="1">
      <c r="A70" s="616" t="s">
        <v>188</v>
      </c>
      <c r="B70" s="616"/>
      <c r="C70" s="206" t="s">
        <v>47</v>
      </c>
      <c r="D70" s="616" t="s">
        <v>12</v>
      </c>
      <c r="E70" s="617"/>
      <c r="F70" s="617"/>
      <c r="G70" s="206" t="s">
        <v>46</v>
      </c>
      <c r="H70" s="206" t="s">
        <v>374</v>
      </c>
      <c r="I70" s="206" t="s">
        <v>375</v>
      </c>
      <c r="J70" s="159" t="s">
        <v>332</v>
      </c>
      <c r="K70" s="616" t="s">
        <v>50</v>
      </c>
      <c r="L70" s="617"/>
      <c r="M70" s="207"/>
      <c r="N70" s="177"/>
      <c r="O70" s="177"/>
      <c r="P70" s="386"/>
      <c r="Q70" s="386"/>
      <c r="R70" s="177"/>
    </row>
    <row r="71" spans="1:18" ht="15.75" customHeight="1">
      <c r="A71" s="618">
        <v>2</v>
      </c>
      <c r="B71" s="619" t="s">
        <v>155</v>
      </c>
      <c r="C71" s="199">
        <v>1</v>
      </c>
      <c r="D71" s="620"/>
      <c r="E71" s="621"/>
      <c r="F71" s="621"/>
      <c r="G71" s="199"/>
      <c r="H71" s="201"/>
      <c r="I71" s="202"/>
      <c r="J71" s="220">
        <f>I71-I45</f>
        <v>-321.60152654389032</v>
      </c>
      <c r="K71" s="620"/>
      <c r="L71" s="621"/>
      <c r="M71" s="188"/>
      <c r="N71" s="177"/>
      <c r="O71" s="177"/>
      <c r="P71" s="386"/>
      <c r="Q71" s="386"/>
      <c r="R71" s="177"/>
    </row>
    <row r="72" spans="1:18" ht="15.75" customHeight="1">
      <c r="A72" s="618"/>
      <c r="B72" s="619"/>
      <c r="C72" s="199">
        <v>2</v>
      </c>
      <c r="D72" s="620"/>
      <c r="E72" s="621"/>
      <c r="F72" s="621"/>
      <c r="G72" s="199"/>
      <c r="H72" s="201"/>
      <c r="I72" s="202"/>
      <c r="J72" s="220">
        <f>I72-I46</f>
        <v>-287.7058842775549</v>
      </c>
      <c r="K72" s="620"/>
      <c r="L72" s="621"/>
      <c r="M72" s="188"/>
      <c r="N72" s="177"/>
      <c r="O72" s="177"/>
      <c r="P72" s="386"/>
      <c r="Q72" s="386"/>
      <c r="R72" s="177"/>
    </row>
    <row r="73" spans="1:18" ht="15.75" customHeight="1">
      <c r="A73" s="618"/>
      <c r="B73" s="619"/>
      <c r="C73" s="199">
        <v>3</v>
      </c>
      <c r="D73" s="620"/>
      <c r="E73" s="621"/>
      <c r="F73" s="621"/>
      <c r="G73" s="199"/>
      <c r="H73" s="201"/>
      <c r="I73" s="202"/>
      <c r="J73" s="220">
        <f>I73-I47</f>
        <v>-287.60966737643196</v>
      </c>
      <c r="K73" s="620"/>
      <c r="L73" s="621"/>
      <c r="M73" s="188"/>
      <c r="N73" s="177"/>
      <c r="O73" s="177"/>
      <c r="P73" s="386"/>
      <c r="Q73" s="386"/>
      <c r="R73" s="177"/>
    </row>
    <row r="74" spans="1:18" ht="15.75" customHeight="1">
      <c r="A74" s="618"/>
      <c r="B74" s="619"/>
      <c r="C74" s="199">
        <v>4</v>
      </c>
      <c r="D74" s="620"/>
      <c r="E74" s="621"/>
      <c r="F74" s="621"/>
      <c r="G74" s="199"/>
      <c r="H74" s="201"/>
      <c r="I74" s="202"/>
      <c r="J74" s="220"/>
      <c r="K74" s="620"/>
      <c r="L74" s="621"/>
      <c r="M74" s="188"/>
      <c r="N74" s="177"/>
      <c r="O74" s="177"/>
      <c r="P74" s="386"/>
      <c r="Q74" s="386"/>
      <c r="R74" s="177"/>
    </row>
    <row r="75" spans="1:18" ht="15.75" customHeight="1">
      <c r="A75" s="618"/>
      <c r="B75" s="619"/>
      <c r="C75" s="199">
        <v>5</v>
      </c>
      <c r="D75" s="620"/>
      <c r="E75" s="621"/>
      <c r="F75" s="621"/>
      <c r="G75" s="199"/>
      <c r="H75" s="201"/>
      <c r="I75" s="202"/>
      <c r="J75" s="220"/>
      <c r="K75" s="620"/>
      <c r="L75" s="621"/>
      <c r="M75" s="188"/>
      <c r="N75" s="177"/>
      <c r="O75" s="177"/>
      <c r="P75" s="386"/>
      <c r="Q75" s="386"/>
      <c r="R75" s="177"/>
    </row>
    <row r="76" spans="1:18" ht="15.75" customHeight="1">
      <c r="A76" s="618"/>
      <c r="B76" s="619"/>
      <c r="C76" s="203" t="s">
        <v>204</v>
      </c>
      <c r="D76" s="620"/>
      <c r="E76" s="621"/>
      <c r="F76" s="621"/>
      <c r="G76" s="199"/>
      <c r="H76" s="201"/>
      <c r="I76" s="202"/>
      <c r="J76" s="199"/>
      <c r="K76" s="620"/>
      <c r="L76" s="621"/>
      <c r="M76" s="188"/>
      <c r="N76" s="177"/>
      <c r="O76" s="177"/>
      <c r="P76" s="386"/>
      <c r="Q76" s="386"/>
      <c r="R76" s="177"/>
    </row>
    <row r="77" spans="1:18" ht="15.75" customHeight="1">
      <c r="A77" s="618"/>
      <c r="B77" s="619"/>
      <c r="C77" s="203" t="s">
        <v>209</v>
      </c>
      <c r="D77" s="620"/>
      <c r="E77" s="621"/>
      <c r="F77" s="621"/>
      <c r="G77" s="199"/>
      <c r="H77" s="201"/>
      <c r="I77" s="202"/>
      <c r="J77" s="199"/>
      <c r="K77" s="620"/>
      <c r="L77" s="621"/>
      <c r="M77" s="188"/>
      <c r="N77" s="177"/>
      <c r="O77" s="177"/>
      <c r="P77" s="386"/>
      <c r="Q77" s="386"/>
      <c r="R77" s="177"/>
    </row>
    <row r="78" spans="1:18" ht="15.75" customHeight="1">
      <c r="A78" s="618"/>
      <c r="B78" s="619"/>
      <c r="C78" s="203" t="s">
        <v>205</v>
      </c>
      <c r="D78" s="620"/>
      <c r="E78" s="621"/>
      <c r="F78" s="621"/>
      <c r="G78" s="199"/>
      <c r="H78" s="201"/>
      <c r="I78" s="202"/>
      <c r="J78" s="199"/>
      <c r="K78" s="620"/>
      <c r="L78" s="621"/>
      <c r="M78" s="188"/>
      <c r="N78" s="177"/>
      <c r="O78" s="177"/>
      <c r="P78" s="386"/>
      <c r="Q78" s="386"/>
      <c r="R78" s="177"/>
    </row>
    <row r="79" spans="1:18" ht="15.75" customHeight="1">
      <c r="A79" s="618"/>
      <c r="B79" s="619"/>
      <c r="C79" s="203" t="s">
        <v>210</v>
      </c>
      <c r="D79" s="620"/>
      <c r="E79" s="621"/>
      <c r="F79" s="621"/>
      <c r="G79" s="199"/>
      <c r="H79" s="201"/>
      <c r="I79" s="202"/>
      <c r="J79" s="199"/>
      <c r="K79" s="620"/>
      <c r="L79" s="621"/>
      <c r="M79" s="188"/>
      <c r="N79" s="177"/>
      <c r="O79" s="177"/>
      <c r="P79" s="386"/>
      <c r="Q79" s="386"/>
      <c r="R79" s="177"/>
    </row>
    <row r="80" spans="1:18" ht="15.75" customHeight="1">
      <c r="A80" s="618"/>
      <c r="B80" s="619"/>
      <c r="C80" s="203" t="s">
        <v>211</v>
      </c>
      <c r="D80" s="620"/>
      <c r="E80" s="621"/>
      <c r="F80" s="621"/>
      <c r="G80" s="199"/>
      <c r="H80" s="201"/>
      <c r="I80" s="202"/>
      <c r="J80" s="199"/>
      <c r="K80" s="620"/>
      <c r="L80" s="621"/>
      <c r="M80" s="188"/>
      <c r="N80" s="177"/>
      <c r="O80" s="177"/>
      <c r="P80" s="386"/>
      <c r="Q80" s="386"/>
      <c r="R80" s="177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14:L14"/>
    <mergeCell ref="D15:F15"/>
    <mergeCell ref="K15:L15"/>
    <mergeCell ref="D51:F51"/>
    <mergeCell ref="K51:L51"/>
    <mergeCell ref="D77:F77"/>
    <mergeCell ref="K77:L77"/>
    <mergeCell ref="D16:F16"/>
    <mergeCell ref="K25:L25"/>
    <mergeCell ref="D26:F26"/>
    <mergeCell ref="K26:L26"/>
    <mergeCell ref="D27:F27"/>
    <mergeCell ref="K27:L27"/>
    <mergeCell ref="D28:F28"/>
    <mergeCell ref="K28:L28"/>
    <mergeCell ref="K64:L64"/>
    <mergeCell ref="D65:F65"/>
    <mergeCell ref="K65:L65"/>
    <mergeCell ref="D66:F66"/>
    <mergeCell ref="D52:F52"/>
    <mergeCell ref="K52:L52"/>
    <mergeCell ref="A29:L30"/>
    <mergeCell ref="D78:F78"/>
    <mergeCell ref="K78:L78"/>
    <mergeCell ref="A70:B70"/>
    <mergeCell ref="D70:F70"/>
    <mergeCell ref="K68:L68"/>
    <mergeCell ref="D69:F69"/>
    <mergeCell ref="K69:L69"/>
    <mergeCell ref="K70:L70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D80:F80"/>
    <mergeCell ref="K80:L80"/>
    <mergeCell ref="D79:F79"/>
    <mergeCell ref="K79:L79"/>
    <mergeCell ref="A1:L2"/>
    <mergeCell ref="A55:L56"/>
    <mergeCell ref="A57:A58"/>
    <mergeCell ref="A59:B59"/>
    <mergeCell ref="D59:F59"/>
    <mergeCell ref="K59:L59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66:L66"/>
    <mergeCell ref="D67:F67"/>
    <mergeCell ref="K67:L67"/>
    <mergeCell ref="D68:F68"/>
    <mergeCell ref="D25:F2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1" manualBreakCount="1"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80"/>
  <sheetViews>
    <sheetView view="pageBreakPreview" topLeftCell="A19" zoomScaleNormal="60" zoomScaleSheetLayoutView="100" workbookViewId="0">
      <selection activeCell="J48" sqref="J48"/>
    </sheetView>
  </sheetViews>
  <sheetFormatPr defaultColWidth="12.54296875" defaultRowHeight="15.75" customHeight="1"/>
  <cols>
    <col min="1" max="1" width="6.453125" style="98" customWidth="1"/>
    <col min="2" max="10" width="11.54296875" style="98" customWidth="1"/>
    <col min="11" max="12" width="12.81640625" style="98" customWidth="1"/>
    <col min="13" max="13" width="12.54296875" style="99"/>
    <col min="14" max="18" width="12.54296875" style="188"/>
    <col min="19" max="16384" width="12.54296875" style="98"/>
  </cols>
  <sheetData>
    <row r="1" spans="1:18" ht="15.75" customHeight="1">
      <c r="A1" s="520" t="s">
        <v>372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98"/>
    </row>
    <row r="2" spans="1:18" s="99" customFormat="1" ht="15.75" customHeight="1">
      <c r="A2" s="520"/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N2" s="189"/>
      <c r="O2" s="189"/>
      <c r="P2" s="189"/>
      <c r="Q2" s="189"/>
      <c r="R2" s="189"/>
    </row>
    <row r="3" spans="1:18" s="188" customFormat="1" ht="15.75" customHeight="1">
      <c r="A3" s="622" t="s">
        <v>701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</row>
    <row r="4" spans="1:18" s="189" customFormat="1" ht="15.75" customHeight="1">
      <c r="A4" s="622"/>
      <c r="B4" s="622"/>
      <c r="C4" s="622"/>
      <c r="D4" s="622"/>
      <c r="E4" s="622"/>
      <c r="F4" s="622"/>
      <c r="G4" s="622"/>
      <c r="H4" s="622"/>
      <c r="I4" s="622"/>
      <c r="J4" s="622"/>
      <c r="K4" s="622"/>
      <c r="L4" s="622"/>
    </row>
    <row r="5" spans="1:18" s="177" customFormat="1" ht="16.399999999999999" customHeight="1">
      <c r="A5" s="618" t="s">
        <v>162</v>
      </c>
      <c r="B5" s="169">
        <v>1</v>
      </c>
      <c r="C5" s="169">
        <v>2</v>
      </c>
      <c r="D5" s="190">
        <v>3</v>
      </c>
      <c r="E5" s="190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s="188" customFormat="1" ht="16.399999999999999" customHeight="1">
      <c r="A6" s="618"/>
      <c r="B6" s="194" t="s">
        <v>206</v>
      </c>
      <c r="C6" s="194" t="s">
        <v>155</v>
      </c>
      <c r="D6" s="193" t="s">
        <v>207</v>
      </c>
      <c r="E6" s="193" t="s">
        <v>156</v>
      </c>
      <c r="F6" s="194" t="s">
        <v>348</v>
      </c>
      <c r="G6" s="195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M6" s="189"/>
      <c r="N6" s="198"/>
      <c r="O6" s="198"/>
      <c r="P6" s="198"/>
      <c r="Q6" s="198"/>
      <c r="R6" s="198"/>
    </row>
    <row r="7" spans="1:18" s="177" customFormat="1" ht="15.75" customHeight="1">
      <c r="A7" s="619" t="s">
        <v>188</v>
      </c>
      <c r="B7" s="619"/>
      <c r="C7" s="159" t="s">
        <v>47</v>
      </c>
      <c r="D7" s="619" t="s">
        <v>12</v>
      </c>
      <c r="E7" s="623"/>
      <c r="F7" s="623"/>
      <c r="G7" s="159" t="s">
        <v>46</v>
      </c>
      <c r="H7" s="159" t="s">
        <v>374</v>
      </c>
      <c r="I7" s="159" t="s">
        <v>375</v>
      </c>
      <c r="J7" s="159" t="s">
        <v>332</v>
      </c>
      <c r="K7" s="619" t="s">
        <v>51</v>
      </c>
      <c r="L7" s="623"/>
      <c r="M7" s="192"/>
      <c r="N7" s="188"/>
      <c r="O7" s="198"/>
      <c r="P7" s="387"/>
      <c r="Q7" s="387"/>
      <c r="R7" s="198"/>
    </row>
    <row r="8" spans="1:18" s="188" customFormat="1" ht="15.75" customHeight="1">
      <c r="A8" s="618">
        <v>3</v>
      </c>
      <c r="B8" s="619" t="s">
        <v>377</v>
      </c>
      <c r="C8" s="199">
        <v>1</v>
      </c>
      <c r="D8" s="620" t="s">
        <v>347</v>
      </c>
      <c r="E8" s="621"/>
      <c r="F8" s="621"/>
      <c r="G8" s="199">
        <v>22</v>
      </c>
      <c r="H8" s="201">
        <v>2626.6346153846148</v>
      </c>
      <c r="I8" s="202">
        <v>119.39248251748248</v>
      </c>
      <c r="J8" s="220">
        <v>0.79325174825171985</v>
      </c>
      <c r="K8" s="620" t="s">
        <v>428</v>
      </c>
      <c r="L8" s="621"/>
      <c r="M8" s="189"/>
      <c r="O8" s="198"/>
      <c r="P8" s="387"/>
      <c r="Q8" s="387"/>
      <c r="R8" s="198"/>
    </row>
    <row r="9" spans="1:18" s="188" customFormat="1" ht="15.75" customHeight="1">
      <c r="A9" s="618"/>
      <c r="B9" s="619"/>
      <c r="C9" s="199">
        <v>2</v>
      </c>
      <c r="D9" s="620"/>
      <c r="E9" s="621"/>
      <c r="F9" s="621"/>
      <c r="G9" s="199"/>
      <c r="H9" s="201"/>
      <c r="I9" s="202"/>
      <c r="J9" s="220"/>
      <c r="K9" s="620"/>
      <c r="L9" s="621"/>
      <c r="M9" s="189"/>
      <c r="O9" s="198"/>
      <c r="P9" s="387"/>
      <c r="Q9" s="387"/>
      <c r="R9" s="198"/>
    </row>
    <row r="10" spans="1:18" s="188" customFormat="1" ht="15.75" customHeight="1">
      <c r="A10" s="618"/>
      <c r="B10" s="619"/>
      <c r="C10" s="199">
        <v>3</v>
      </c>
      <c r="D10" s="620"/>
      <c r="E10" s="621"/>
      <c r="F10" s="621"/>
      <c r="G10" s="199"/>
      <c r="H10" s="201"/>
      <c r="I10" s="202"/>
      <c r="J10" s="199"/>
      <c r="K10" s="620"/>
      <c r="L10" s="621"/>
      <c r="M10" s="189"/>
      <c r="O10" s="198"/>
      <c r="P10" s="387"/>
      <c r="Q10" s="387"/>
      <c r="R10" s="198"/>
    </row>
    <row r="11" spans="1:18" s="188" customFormat="1" ht="15.75" customHeight="1">
      <c r="A11" s="618"/>
      <c r="B11" s="619"/>
      <c r="C11" s="199">
        <v>4</v>
      </c>
      <c r="D11" s="620"/>
      <c r="E11" s="621"/>
      <c r="F11" s="621"/>
      <c r="G11" s="199"/>
      <c r="H11" s="201"/>
      <c r="I11" s="202"/>
      <c r="J11" s="199"/>
      <c r="K11" s="620"/>
      <c r="L11" s="621"/>
      <c r="M11" s="189"/>
      <c r="O11" s="198"/>
      <c r="P11" s="387"/>
      <c r="Q11" s="387"/>
      <c r="R11" s="198"/>
    </row>
    <row r="12" spans="1:18" s="188" customFormat="1" ht="15.75" customHeight="1">
      <c r="A12" s="618"/>
      <c r="B12" s="619"/>
      <c r="C12" s="199">
        <v>5</v>
      </c>
      <c r="D12" s="620"/>
      <c r="E12" s="621"/>
      <c r="F12" s="621"/>
      <c r="G12" s="199"/>
      <c r="H12" s="201"/>
      <c r="I12" s="202"/>
      <c r="J12" s="199"/>
      <c r="K12" s="620"/>
      <c r="L12" s="621"/>
      <c r="M12" s="189"/>
      <c r="O12" s="198"/>
      <c r="P12" s="387"/>
      <c r="Q12" s="387"/>
      <c r="R12" s="198"/>
    </row>
    <row r="13" spans="1:18" s="188" customFormat="1" ht="15.75" customHeight="1">
      <c r="A13" s="618"/>
      <c r="B13" s="619"/>
      <c r="C13" s="203" t="s">
        <v>204</v>
      </c>
      <c r="D13" s="620"/>
      <c r="E13" s="621"/>
      <c r="F13" s="621"/>
      <c r="G13" s="199"/>
      <c r="H13" s="201"/>
      <c r="I13" s="202"/>
      <c r="J13" s="199"/>
      <c r="K13" s="620"/>
      <c r="L13" s="621"/>
      <c r="M13" s="189"/>
      <c r="O13" s="198"/>
      <c r="P13" s="387"/>
      <c r="Q13" s="387"/>
      <c r="R13" s="198"/>
    </row>
    <row r="14" spans="1:18" s="188" customFormat="1" ht="15.75" customHeight="1">
      <c r="A14" s="618"/>
      <c r="B14" s="619"/>
      <c r="C14" s="203" t="s">
        <v>209</v>
      </c>
      <c r="D14" s="620"/>
      <c r="E14" s="621"/>
      <c r="F14" s="621"/>
      <c r="G14" s="199"/>
      <c r="H14" s="201"/>
      <c r="I14" s="202"/>
      <c r="J14" s="199"/>
      <c r="K14" s="620"/>
      <c r="L14" s="621"/>
      <c r="M14" s="189"/>
      <c r="N14" s="177"/>
      <c r="O14" s="177"/>
      <c r="P14" s="386"/>
      <c r="Q14" s="386"/>
      <c r="R14" s="177"/>
    </row>
    <row r="15" spans="1:18" s="188" customFormat="1" ht="15.75" customHeight="1">
      <c r="A15" s="618"/>
      <c r="B15" s="619"/>
      <c r="C15" s="203" t="s">
        <v>205</v>
      </c>
      <c r="D15" s="620"/>
      <c r="E15" s="621"/>
      <c r="F15" s="621"/>
      <c r="G15" s="201"/>
      <c r="H15" s="201"/>
      <c r="I15" s="202"/>
      <c r="J15" s="199"/>
      <c r="K15" s="620"/>
      <c r="L15" s="621"/>
      <c r="M15" s="189"/>
      <c r="O15" s="198"/>
      <c r="P15" s="387"/>
      <c r="Q15" s="387"/>
      <c r="R15" s="198"/>
    </row>
    <row r="16" spans="1:18" s="188" customFormat="1" ht="15.75" customHeight="1">
      <c r="A16" s="618"/>
      <c r="B16" s="619"/>
      <c r="C16" s="203" t="s">
        <v>210</v>
      </c>
      <c r="D16" s="620"/>
      <c r="E16" s="621"/>
      <c r="F16" s="621"/>
      <c r="G16" s="199"/>
      <c r="H16" s="201"/>
      <c r="I16" s="202"/>
      <c r="J16" s="199"/>
      <c r="K16" s="620"/>
      <c r="L16" s="621"/>
      <c r="O16" s="198"/>
      <c r="P16" s="387"/>
      <c r="Q16" s="387"/>
      <c r="R16" s="198"/>
    </row>
    <row r="17" spans="1:18" s="188" customFormat="1" ht="15.75" customHeight="1">
      <c r="A17" s="618"/>
      <c r="B17" s="619"/>
      <c r="C17" s="203" t="s">
        <v>211</v>
      </c>
      <c r="D17" s="620"/>
      <c r="E17" s="621"/>
      <c r="F17" s="621"/>
      <c r="G17" s="199"/>
      <c r="H17" s="201"/>
      <c r="I17" s="202"/>
      <c r="J17" s="199"/>
      <c r="K17" s="620"/>
      <c r="L17" s="621"/>
      <c r="O17" s="198"/>
      <c r="P17" s="387"/>
      <c r="Q17" s="387"/>
      <c r="R17" s="198"/>
    </row>
    <row r="18" spans="1:18" s="198" customFormat="1" ht="15.75" customHeight="1">
      <c r="A18" s="616" t="s">
        <v>188</v>
      </c>
      <c r="B18" s="616"/>
      <c r="C18" s="206" t="s">
        <v>47</v>
      </c>
      <c r="D18" s="616" t="s">
        <v>12</v>
      </c>
      <c r="E18" s="617"/>
      <c r="F18" s="617"/>
      <c r="G18" s="206" t="s">
        <v>46</v>
      </c>
      <c r="H18" s="206" t="s">
        <v>374</v>
      </c>
      <c r="I18" s="206" t="s">
        <v>375</v>
      </c>
      <c r="J18" s="159" t="s">
        <v>332</v>
      </c>
      <c r="K18" s="616" t="s">
        <v>50</v>
      </c>
      <c r="L18" s="617"/>
      <c r="M18" s="207"/>
      <c r="N18" s="188"/>
      <c r="P18" s="387"/>
      <c r="Q18" s="387"/>
    </row>
    <row r="19" spans="1:18" s="188" customFormat="1" ht="15.75" customHeight="1">
      <c r="A19" s="618">
        <v>4</v>
      </c>
      <c r="B19" s="619" t="s">
        <v>156</v>
      </c>
      <c r="C19" s="199">
        <v>1</v>
      </c>
      <c r="D19" s="620" t="s">
        <v>641</v>
      </c>
      <c r="E19" s="621"/>
      <c r="F19" s="621"/>
      <c r="G19" s="199">
        <v>5</v>
      </c>
      <c r="H19" s="201">
        <v>2966.2202100119753</v>
      </c>
      <c r="I19" s="202">
        <v>593.24404200239496</v>
      </c>
      <c r="J19" s="220">
        <v>-6.0307587229544879E-2</v>
      </c>
      <c r="K19" s="620" t="s">
        <v>428</v>
      </c>
      <c r="L19" s="621"/>
      <c r="N19" s="198"/>
      <c r="O19" s="198"/>
      <c r="P19" s="387"/>
      <c r="Q19" s="387"/>
      <c r="R19" s="198"/>
    </row>
    <row r="20" spans="1:18" s="188" customFormat="1" ht="15.75" customHeight="1">
      <c r="A20" s="618"/>
      <c r="B20" s="619"/>
      <c r="C20" s="199">
        <v>2</v>
      </c>
      <c r="D20" s="620" t="s">
        <v>600</v>
      </c>
      <c r="E20" s="621"/>
      <c r="F20" s="621"/>
      <c r="G20" s="199">
        <v>6</v>
      </c>
      <c r="H20" s="201">
        <v>2961.6418775921857</v>
      </c>
      <c r="I20" s="202">
        <v>493.60697959869776</v>
      </c>
      <c r="J20" s="220">
        <v>0</v>
      </c>
      <c r="K20" s="620" t="s">
        <v>428</v>
      </c>
      <c r="L20" s="621"/>
      <c r="O20" s="198"/>
      <c r="P20" s="387"/>
      <c r="Q20" s="387"/>
      <c r="R20" s="198"/>
    </row>
    <row r="21" spans="1:18" s="188" customFormat="1" ht="15.75" customHeight="1">
      <c r="A21" s="618"/>
      <c r="B21" s="619"/>
      <c r="C21" s="199">
        <v>3</v>
      </c>
      <c r="D21" s="620" t="s">
        <v>581</v>
      </c>
      <c r="E21" s="621"/>
      <c r="F21" s="621"/>
      <c r="G21" s="199">
        <v>6</v>
      </c>
      <c r="H21" s="201">
        <v>2354.7348409049814</v>
      </c>
      <c r="I21" s="202">
        <v>392.45580681749692</v>
      </c>
      <c r="J21" s="220">
        <v>0.54850743539054747</v>
      </c>
      <c r="K21" s="620" t="s">
        <v>428</v>
      </c>
      <c r="L21" s="621"/>
      <c r="O21" s="198"/>
      <c r="P21" s="387"/>
      <c r="Q21" s="387"/>
      <c r="R21" s="198"/>
    </row>
    <row r="22" spans="1:18" s="188" customFormat="1" ht="15.75" customHeight="1">
      <c r="A22" s="618"/>
      <c r="B22" s="619"/>
      <c r="C22" s="199">
        <v>4</v>
      </c>
      <c r="D22" s="620" t="s">
        <v>582</v>
      </c>
      <c r="E22" s="621"/>
      <c r="F22" s="621"/>
      <c r="G22" s="199">
        <v>6</v>
      </c>
      <c r="H22" s="201">
        <v>2351.5642285625245</v>
      </c>
      <c r="I22" s="202">
        <v>391.92737142708739</v>
      </c>
      <c r="J22" s="220">
        <v>0.25096054197439344</v>
      </c>
      <c r="K22" s="620" t="s">
        <v>428</v>
      </c>
      <c r="L22" s="621"/>
      <c r="O22" s="198"/>
      <c r="P22" s="387"/>
      <c r="Q22" s="387"/>
      <c r="R22" s="198"/>
    </row>
    <row r="23" spans="1:18" s="188" customFormat="1" ht="15.75" customHeight="1">
      <c r="A23" s="618"/>
      <c r="B23" s="619"/>
      <c r="C23" s="199">
        <v>5</v>
      </c>
      <c r="D23" s="620" t="s">
        <v>620</v>
      </c>
      <c r="E23" s="621"/>
      <c r="F23" s="621"/>
      <c r="G23" s="199">
        <v>20</v>
      </c>
      <c r="H23" s="201">
        <v>1897.3883422374979</v>
      </c>
      <c r="I23" s="202">
        <v>94.869417111874881</v>
      </c>
      <c r="J23" s="220">
        <v>-2.4084328022851764E-2</v>
      </c>
      <c r="K23" s="620" t="s">
        <v>428</v>
      </c>
      <c r="L23" s="621"/>
      <c r="O23" s="198"/>
      <c r="P23" s="387"/>
      <c r="Q23" s="387"/>
      <c r="R23" s="198"/>
    </row>
    <row r="24" spans="1:18" s="188" customFormat="1" ht="15.75" customHeight="1">
      <c r="A24" s="618"/>
      <c r="B24" s="619"/>
      <c r="C24" s="203" t="s">
        <v>204</v>
      </c>
      <c r="D24" s="620"/>
      <c r="E24" s="621"/>
      <c r="F24" s="621"/>
      <c r="G24" s="199"/>
      <c r="H24" s="201"/>
      <c r="I24" s="202"/>
      <c r="J24" s="199"/>
      <c r="K24" s="620"/>
      <c r="L24" s="621"/>
      <c r="O24" s="198"/>
      <c r="P24" s="387"/>
      <c r="Q24" s="387"/>
      <c r="R24" s="198"/>
    </row>
    <row r="25" spans="1:18" s="188" customFormat="1" ht="15.75" customHeight="1">
      <c r="A25" s="618"/>
      <c r="B25" s="619"/>
      <c r="C25" s="203" t="s">
        <v>209</v>
      </c>
      <c r="D25" s="620"/>
      <c r="E25" s="621"/>
      <c r="F25" s="621"/>
      <c r="G25" s="199"/>
      <c r="H25" s="201"/>
      <c r="I25" s="202"/>
      <c r="J25" s="199"/>
      <c r="K25" s="620"/>
      <c r="L25" s="621"/>
      <c r="O25" s="198"/>
      <c r="P25" s="387"/>
      <c r="Q25" s="387"/>
      <c r="R25" s="198"/>
    </row>
    <row r="26" spans="1:18" s="188" customFormat="1" ht="15.75" customHeight="1">
      <c r="A26" s="618"/>
      <c r="B26" s="619"/>
      <c r="C26" s="203" t="s">
        <v>205</v>
      </c>
      <c r="D26" s="620"/>
      <c r="E26" s="621"/>
      <c r="F26" s="621"/>
      <c r="G26" s="199"/>
      <c r="H26" s="201"/>
      <c r="I26" s="202"/>
      <c r="J26" s="199"/>
      <c r="K26" s="620"/>
      <c r="L26" s="621"/>
      <c r="O26" s="198"/>
      <c r="P26" s="387"/>
      <c r="Q26" s="387"/>
      <c r="R26" s="198"/>
    </row>
    <row r="27" spans="1:18" s="188" customFormat="1" ht="15.75" customHeight="1">
      <c r="A27" s="618"/>
      <c r="B27" s="619"/>
      <c r="C27" s="203" t="s">
        <v>210</v>
      </c>
      <c r="D27" s="620"/>
      <c r="E27" s="621"/>
      <c r="F27" s="621"/>
      <c r="G27" s="199"/>
      <c r="H27" s="201"/>
      <c r="I27" s="202"/>
      <c r="J27" s="199"/>
      <c r="K27" s="620"/>
      <c r="L27" s="621"/>
      <c r="O27" s="198"/>
      <c r="P27" s="387"/>
      <c r="Q27" s="387"/>
      <c r="R27" s="198"/>
    </row>
    <row r="28" spans="1:18" s="188" customFormat="1" ht="15.75" customHeight="1">
      <c r="A28" s="618"/>
      <c r="B28" s="619"/>
      <c r="C28" s="203" t="s">
        <v>211</v>
      </c>
      <c r="D28" s="620"/>
      <c r="E28" s="621"/>
      <c r="F28" s="621"/>
      <c r="G28" s="199"/>
      <c r="H28" s="201"/>
      <c r="I28" s="202"/>
      <c r="J28" s="199"/>
      <c r="K28" s="620"/>
      <c r="L28" s="621"/>
      <c r="O28" s="198"/>
      <c r="P28" s="387"/>
      <c r="Q28" s="387"/>
      <c r="R28" s="198"/>
    </row>
    <row r="29" spans="1:18" s="188" customFormat="1" ht="15.75" customHeight="1">
      <c r="A29" s="622" t="s">
        <v>799</v>
      </c>
      <c r="B29" s="622"/>
      <c r="C29" s="622"/>
      <c r="D29" s="622"/>
      <c r="E29" s="622"/>
      <c r="F29" s="622"/>
      <c r="G29" s="622"/>
      <c r="H29" s="622"/>
      <c r="I29" s="622"/>
      <c r="J29" s="622"/>
      <c r="K29" s="622"/>
      <c r="L29" s="622"/>
    </row>
    <row r="30" spans="1:18" s="189" customFormat="1" ht="15.75" customHeight="1">
      <c r="A30" s="622"/>
      <c r="B30" s="622"/>
      <c r="C30" s="622"/>
      <c r="D30" s="622"/>
      <c r="E30" s="622"/>
      <c r="F30" s="622"/>
      <c r="G30" s="622"/>
      <c r="H30" s="622"/>
      <c r="I30" s="622"/>
      <c r="J30" s="622"/>
      <c r="K30" s="622"/>
      <c r="L30" s="622"/>
    </row>
    <row r="31" spans="1:18" s="177" customFormat="1" ht="16.399999999999999" customHeight="1">
      <c r="A31" s="618" t="s">
        <v>162</v>
      </c>
      <c r="B31" s="169">
        <v>1</v>
      </c>
      <c r="C31" s="169">
        <v>2</v>
      </c>
      <c r="D31" s="190">
        <v>3</v>
      </c>
      <c r="E31" s="190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s="188" customFormat="1" ht="16.399999999999999" customHeight="1">
      <c r="A32" s="618"/>
      <c r="B32" s="194" t="s">
        <v>206</v>
      </c>
      <c r="C32" s="194" t="s">
        <v>155</v>
      </c>
      <c r="D32" s="193" t="s">
        <v>207</v>
      </c>
      <c r="E32" s="193" t="s">
        <v>156</v>
      </c>
      <c r="F32" s="194" t="s">
        <v>348</v>
      </c>
      <c r="G32" s="195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M32" s="189"/>
      <c r="N32" s="198"/>
      <c r="O32" s="198"/>
      <c r="P32" s="198"/>
      <c r="Q32" s="198"/>
      <c r="R32" s="198"/>
    </row>
    <row r="33" spans="1:18" s="177" customFormat="1" ht="15.75" customHeight="1">
      <c r="A33" s="619" t="s">
        <v>188</v>
      </c>
      <c r="B33" s="619"/>
      <c r="C33" s="159" t="s">
        <v>47</v>
      </c>
      <c r="D33" s="619" t="s">
        <v>12</v>
      </c>
      <c r="E33" s="623"/>
      <c r="F33" s="623"/>
      <c r="G33" s="159" t="s">
        <v>46</v>
      </c>
      <c r="H33" s="159" t="s">
        <v>374</v>
      </c>
      <c r="I33" s="159" t="s">
        <v>375</v>
      </c>
      <c r="J33" s="159" t="s">
        <v>332</v>
      </c>
      <c r="K33" s="619" t="s">
        <v>51</v>
      </c>
      <c r="L33" s="623"/>
      <c r="M33" s="192"/>
      <c r="N33" s="188"/>
      <c r="O33" s="198"/>
      <c r="P33" s="387"/>
      <c r="Q33" s="387"/>
      <c r="R33" s="198"/>
    </row>
    <row r="34" spans="1:18" s="188" customFormat="1" ht="15.75" customHeight="1">
      <c r="A34" s="618">
        <v>3</v>
      </c>
      <c r="B34" s="619" t="s">
        <v>377</v>
      </c>
      <c r="C34" s="199">
        <v>1</v>
      </c>
      <c r="D34" s="620" t="s">
        <v>347</v>
      </c>
      <c r="E34" s="621"/>
      <c r="F34" s="621"/>
      <c r="G34" s="199">
        <v>23</v>
      </c>
      <c r="H34" s="201">
        <v>2786.9038461538466</v>
      </c>
      <c r="I34" s="202">
        <v>121.16973244147157</v>
      </c>
      <c r="J34" s="220">
        <f>I34-I8</f>
        <v>1.7772499239890891</v>
      </c>
      <c r="K34" s="620"/>
      <c r="L34" s="621"/>
      <c r="M34" s="189"/>
      <c r="O34" s="198"/>
      <c r="P34" s="387"/>
      <c r="Q34" s="387"/>
      <c r="R34" s="198"/>
    </row>
    <row r="35" spans="1:18" s="188" customFormat="1" ht="15.75" customHeight="1">
      <c r="A35" s="618"/>
      <c r="B35" s="619"/>
      <c r="C35" s="199">
        <v>2</v>
      </c>
      <c r="D35" s="620" t="s">
        <v>808</v>
      </c>
      <c r="E35" s="621"/>
      <c r="F35" s="621"/>
      <c r="G35" s="199">
        <v>23.571428571428573</v>
      </c>
      <c r="H35" s="201">
        <v>2484.3517944536766</v>
      </c>
      <c r="I35" s="202">
        <v>105.60709033354688</v>
      </c>
      <c r="J35" s="220"/>
      <c r="K35" s="620"/>
      <c r="L35" s="621"/>
      <c r="M35" s="189"/>
      <c r="O35" s="198"/>
      <c r="P35" s="387"/>
      <c r="Q35" s="387"/>
      <c r="R35" s="198"/>
    </row>
    <row r="36" spans="1:18" s="188" customFormat="1" ht="15.75" customHeight="1">
      <c r="A36" s="618"/>
      <c r="B36" s="619"/>
      <c r="C36" s="199">
        <v>3</v>
      </c>
      <c r="D36" s="620"/>
      <c r="E36" s="621"/>
      <c r="F36" s="621"/>
      <c r="G36" s="199"/>
      <c r="H36" s="201"/>
      <c r="I36" s="202"/>
      <c r="J36" s="199"/>
      <c r="K36" s="620"/>
      <c r="L36" s="621"/>
      <c r="M36" s="189"/>
      <c r="O36" s="198"/>
      <c r="P36" s="387"/>
      <c r="Q36" s="387"/>
      <c r="R36" s="198"/>
    </row>
    <row r="37" spans="1:18" s="188" customFormat="1" ht="15.75" customHeight="1">
      <c r="A37" s="618"/>
      <c r="B37" s="619"/>
      <c r="C37" s="199">
        <v>4</v>
      </c>
      <c r="D37" s="620"/>
      <c r="E37" s="621"/>
      <c r="F37" s="621"/>
      <c r="G37" s="199"/>
      <c r="H37" s="201"/>
      <c r="I37" s="202"/>
      <c r="J37" s="199"/>
      <c r="K37" s="620"/>
      <c r="L37" s="621"/>
      <c r="M37" s="189"/>
      <c r="O37" s="198"/>
      <c r="P37" s="387"/>
      <c r="Q37" s="387"/>
      <c r="R37" s="198"/>
    </row>
    <row r="38" spans="1:18" s="188" customFormat="1" ht="15.75" customHeight="1">
      <c r="A38" s="618"/>
      <c r="B38" s="619"/>
      <c r="C38" s="199">
        <v>5</v>
      </c>
      <c r="D38" s="620"/>
      <c r="E38" s="621"/>
      <c r="F38" s="621"/>
      <c r="G38" s="199"/>
      <c r="H38" s="201"/>
      <c r="I38" s="202"/>
      <c r="J38" s="199"/>
      <c r="K38" s="620"/>
      <c r="L38" s="621"/>
      <c r="M38" s="189"/>
      <c r="O38" s="198"/>
      <c r="P38" s="387"/>
      <c r="Q38" s="387"/>
      <c r="R38" s="198"/>
    </row>
    <row r="39" spans="1:18" s="188" customFormat="1" ht="15.75" customHeight="1">
      <c r="A39" s="618"/>
      <c r="B39" s="619"/>
      <c r="C39" s="203" t="s">
        <v>204</v>
      </c>
      <c r="D39" s="620"/>
      <c r="E39" s="621"/>
      <c r="F39" s="621"/>
      <c r="G39" s="199"/>
      <c r="H39" s="201"/>
      <c r="I39" s="202"/>
      <c r="J39" s="199"/>
      <c r="K39" s="620"/>
      <c r="L39" s="621"/>
      <c r="M39" s="189"/>
      <c r="O39" s="198"/>
      <c r="P39" s="387"/>
      <c r="Q39" s="387"/>
      <c r="R39" s="198"/>
    </row>
    <row r="40" spans="1:18" s="188" customFormat="1" ht="15.75" customHeight="1">
      <c r="A40" s="618"/>
      <c r="B40" s="619"/>
      <c r="C40" s="203" t="s">
        <v>209</v>
      </c>
      <c r="D40" s="620"/>
      <c r="E40" s="621"/>
      <c r="F40" s="621"/>
      <c r="G40" s="199"/>
      <c r="H40" s="201"/>
      <c r="I40" s="202"/>
      <c r="J40" s="199"/>
      <c r="K40" s="620"/>
      <c r="L40" s="621"/>
      <c r="M40" s="189"/>
      <c r="N40" s="177"/>
      <c r="O40" s="177"/>
      <c r="P40" s="386"/>
      <c r="Q40" s="386"/>
      <c r="R40" s="177"/>
    </row>
    <row r="41" spans="1:18" s="188" customFormat="1" ht="15.75" customHeight="1">
      <c r="A41" s="618"/>
      <c r="B41" s="619"/>
      <c r="C41" s="203" t="s">
        <v>205</v>
      </c>
      <c r="D41" s="620"/>
      <c r="E41" s="621"/>
      <c r="F41" s="621"/>
      <c r="G41" s="201"/>
      <c r="H41" s="201"/>
      <c r="I41" s="202"/>
      <c r="J41" s="199"/>
      <c r="K41" s="620"/>
      <c r="L41" s="621"/>
      <c r="M41" s="189"/>
      <c r="O41" s="198"/>
      <c r="P41" s="387"/>
      <c r="Q41" s="387"/>
      <c r="R41" s="198"/>
    </row>
    <row r="42" spans="1:18" s="188" customFormat="1" ht="15.75" customHeight="1">
      <c r="A42" s="618"/>
      <c r="B42" s="619"/>
      <c r="C42" s="203" t="s">
        <v>210</v>
      </c>
      <c r="D42" s="620"/>
      <c r="E42" s="621"/>
      <c r="F42" s="621"/>
      <c r="G42" s="199"/>
      <c r="H42" s="201"/>
      <c r="I42" s="202"/>
      <c r="J42" s="199"/>
      <c r="K42" s="620"/>
      <c r="L42" s="621"/>
      <c r="O42" s="198"/>
      <c r="P42" s="387"/>
      <c r="Q42" s="387"/>
      <c r="R42" s="198"/>
    </row>
    <row r="43" spans="1:18" s="188" customFormat="1" ht="15.75" customHeight="1">
      <c r="A43" s="618"/>
      <c r="B43" s="619"/>
      <c r="C43" s="203" t="s">
        <v>211</v>
      </c>
      <c r="D43" s="620"/>
      <c r="E43" s="621"/>
      <c r="F43" s="621"/>
      <c r="G43" s="199"/>
      <c r="H43" s="201"/>
      <c r="I43" s="202"/>
      <c r="J43" s="199"/>
      <c r="K43" s="620"/>
      <c r="L43" s="621"/>
      <c r="O43" s="198"/>
      <c r="P43" s="387"/>
      <c r="Q43" s="387"/>
      <c r="R43" s="198"/>
    </row>
    <row r="44" spans="1:18" s="198" customFormat="1" ht="15.75" customHeight="1">
      <c r="A44" s="616" t="s">
        <v>188</v>
      </c>
      <c r="B44" s="616"/>
      <c r="C44" s="206" t="s">
        <v>47</v>
      </c>
      <c r="D44" s="616" t="s">
        <v>12</v>
      </c>
      <c r="E44" s="617"/>
      <c r="F44" s="617"/>
      <c r="G44" s="206" t="s">
        <v>46</v>
      </c>
      <c r="H44" s="206" t="s">
        <v>374</v>
      </c>
      <c r="I44" s="206" t="s">
        <v>375</v>
      </c>
      <c r="J44" s="159" t="s">
        <v>332</v>
      </c>
      <c r="K44" s="616" t="s">
        <v>50</v>
      </c>
      <c r="L44" s="617"/>
      <c r="M44" s="207"/>
      <c r="N44" s="188"/>
      <c r="P44" s="387"/>
      <c r="Q44" s="387"/>
    </row>
    <row r="45" spans="1:18" s="188" customFormat="1" ht="15.75" customHeight="1">
      <c r="A45" s="618">
        <v>4</v>
      </c>
      <c r="B45" s="619" t="s">
        <v>156</v>
      </c>
      <c r="C45" s="199">
        <v>1</v>
      </c>
      <c r="D45" s="620" t="s">
        <v>641</v>
      </c>
      <c r="E45" s="621"/>
      <c r="F45" s="621"/>
      <c r="G45" s="199">
        <v>5</v>
      </c>
      <c r="H45" s="201">
        <v>2967.1553528691161</v>
      </c>
      <c r="I45" s="202">
        <v>593.43107057382326</v>
      </c>
      <c r="J45" s="220">
        <f>I45-I19</f>
        <v>0.18702857142829998</v>
      </c>
      <c r="K45" s="620"/>
      <c r="L45" s="621"/>
      <c r="N45" s="198"/>
      <c r="O45" s="198"/>
      <c r="P45" s="387"/>
      <c r="Q45" s="387"/>
      <c r="R45" s="198"/>
    </row>
    <row r="46" spans="1:18" s="188" customFormat="1" ht="15.75" customHeight="1">
      <c r="A46" s="618"/>
      <c r="B46" s="619"/>
      <c r="C46" s="199">
        <v>2</v>
      </c>
      <c r="D46" s="620" t="s">
        <v>582</v>
      </c>
      <c r="E46" s="621"/>
      <c r="F46" s="621"/>
      <c r="G46" s="199">
        <v>6</v>
      </c>
      <c r="H46" s="201">
        <v>3221.7612967161626</v>
      </c>
      <c r="I46" s="202">
        <v>536.96021611936044</v>
      </c>
      <c r="J46" s="220">
        <f>I46-I22</f>
        <v>145.03284469227304</v>
      </c>
      <c r="K46" s="620"/>
      <c r="L46" s="621"/>
      <c r="O46" s="198"/>
      <c r="P46" s="387"/>
      <c r="Q46" s="387"/>
      <c r="R46" s="198"/>
    </row>
    <row r="47" spans="1:18" s="188" customFormat="1" ht="15.75" customHeight="1">
      <c r="A47" s="618"/>
      <c r="B47" s="619"/>
      <c r="C47" s="199">
        <v>3</v>
      </c>
      <c r="D47" s="620" t="s">
        <v>581</v>
      </c>
      <c r="E47" s="621"/>
      <c r="F47" s="621"/>
      <c r="G47" s="199">
        <v>6</v>
      </c>
      <c r="H47" s="201">
        <v>3221.004969973023</v>
      </c>
      <c r="I47" s="202">
        <v>536.83416166217046</v>
      </c>
      <c r="J47" s="220">
        <f>I47-I21</f>
        <v>144.37835484467354</v>
      </c>
      <c r="K47" s="620"/>
      <c r="L47" s="621"/>
      <c r="O47" s="198"/>
      <c r="P47" s="387"/>
      <c r="Q47" s="387"/>
      <c r="R47" s="198"/>
    </row>
    <row r="48" spans="1:18" s="188" customFormat="1" ht="15.75" customHeight="1">
      <c r="A48" s="618"/>
      <c r="B48" s="619"/>
      <c r="C48" s="199">
        <v>4</v>
      </c>
      <c r="D48" s="620" t="s">
        <v>600</v>
      </c>
      <c r="E48" s="621"/>
      <c r="F48" s="621"/>
      <c r="G48" s="199">
        <v>6</v>
      </c>
      <c r="H48" s="201">
        <v>2961.6418775921857</v>
      </c>
      <c r="I48" s="202">
        <v>493.60697959869776</v>
      </c>
      <c r="J48" s="220">
        <f>I48-I20</f>
        <v>0</v>
      </c>
      <c r="K48" s="620"/>
      <c r="L48" s="621"/>
      <c r="O48" s="198"/>
      <c r="P48" s="387"/>
      <c r="Q48" s="387"/>
      <c r="R48" s="198"/>
    </row>
    <row r="49" spans="1:18" s="188" customFormat="1" ht="15.75" customHeight="1">
      <c r="A49" s="618"/>
      <c r="B49" s="619"/>
      <c r="C49" s="199">
        <v>5</v>
      </c>
      <c r="D49" s="620" t="s">
        <v>620</v>
      </c>
      <c r="E49" s="621"/>
      <c r="F49" s="621"/>
      <c r="G49" s="199">
        <v>20</v>
      </c>
      <c r="H49" s="201">
        <v>1896.8483422374977</v>
      </c>
      <c r="I49" s="202">
        <v>94.84241711187488</v>
      </c>
      <c r="J49" s="220">
        <f>I49-I23</f>
        <v>-2.7000000000001023E-2</v>
      </c>
      <c r="K49" s="620"/>
      <c r="L49" s="621"/>
      <c r="O49" s="198"/>
      <c r="P49" s="387"/>
      <c r="Q49" s="387"/>
      <c r="R49" s="198"/>
    </row>
    <row r="50" spans="1:18" s="188" customFormat="1" ht="15.75" customHeight="1">
      <c r="A50" s="618"/>
      <c r="B50" s="619"/>
      <c r="C50" s="203" t="s">
        <v>204</v>
      </c>
      <c r="D50" s="620"/>
      <c r="E50" s="621"/>
      <c r="F50" s="621"/>
      <c r="G50" s="199"/>
      <c r="H50" s="201"/>
      <c r="I50" s="202"/>
      <c r="J50" s="199"/>
      <c r="K50" s="620"/>
      <c r="L50" s="621"/>
      <c r="O50" s="198"/>
      <c r="P50" s="387"/>
      <c r="Q50" s="387"/>
      <c r="R50" s="198"/>
    </row>
    <row r="51" spans="1:18" s="188" customFormat="1" ht="15.75" customHeight="1">
      <c r="A51" s="618"/>
      <c r="B51" s="619"/>
      <c r="C51" s="203" t="s">
        <v>209</v>
      </c>
      <c r="D51" s="620"/>
      <c r="E51" s="621"/>
      <c r="F51" s="621"/>
      <c r="G51" s="199"/>
      <c r="H51" s="201"/>
      <c r="I51" s="202"/>
      <c r="J51" s="199"/>
      <c r="K51" s="620"/>
      <c r="L51" s="621"/>
      <c r="O51" s="198"/>
      <c r="P51" s="387"/>
      <c r="Q51" s="387"/>
      <c r="R51" s="198"/>
    </row>
    <row r="52" spans="1:18" s="188" customFormat="1" ht="15.75" customHeight="1">
      <c r="A52" s="618"/>
      <c r="B52" s="619"/>
      <c r="C52" s="203" t="s">
        <v>205</v>
      </c>
      <c r="D52" s="620"/>
      <c r="E52" s="621"/>
      <c r="F52" s="621"/>
      <c r="G52" s="199"/>
      <c r="H52" s="201"/>
      <c r="I52" s="202"/>
      <c r="J52" s="199"/>
      <c r="K52" s="620"/>
      <c r="L52" s="621"/>
      <c r="O52" s="198"/>
      <c r="P52" s="387"/>
      <c r="Q52" s="387"/>
      <c r="R52" s="198"/>
    </row>
    <row r="53" spans="1:18" s="188" customFormat="1" ht="15.75" customHeight="1">
      <c r="A53" s="618"/>
      <c r="B53" s="619"/>
      <c r="C53" s="203" t="s">
        <v>210</v>
      </c>
      <c r="D53" s="620"/>
      <c r="E53" s="621"/>
      <c r="F53" s="621"/>
      <c r="G53" s="199"/>
      <c r="H53" s="201"/>
      <c r="I53" s="202"/>
      <c r="J53" s="199"/>
      <c r="K53" s="620"/>
      <c r="L53" s="621"/>
      <c r="O53" s="198"/>
      <c r="P53" s="387"/>
      <c r="Q53" s="387"/>
      <c r="R53" s="198"/>
    </row>
    <row r="54" spans="1:18" s="188" customFormat="1" ht="15.75" customHeight="1">
      <c r="A54" s="618"/>
      <c r="B54" s="619"/>
      <c r="C54" s="203" t="s">
        <v>211</v>
      </c>
      <c r="D54" s="620"/>
      <c r="E54" s="621"/>
      <c r="F54" s="621"/>
      <c r="G54" s="199"/>
      <c r="H54" s="201"/>
      <c r="I54" s="202"/>
      <c r="J54" s="199"/>
      <c r="K54" s="620"/>
      <c r="L54" s="621"/>
      <c r="O54" s="198"/>
      <c r="P54" s="387"/>
      <c r="Q54" s="387"/>
      <c r="R54" s="198"/>
    </row>
    <row r="55" spans="1:18" s="188" customFormat="1" ht="15.75" customHeight="1">
      <c r="A55" s="622" t="s">
        <v>805</v>
      </c>
      <c r="B55" s="622"/>
      <c r="C55" s="622"/>
      <c r="D55" s="622"/>
      <c r="E55" s="622"/>
      <c r="F55" s="622"/>
      <c r="G55" s="622"/>
      <c r="H55" s="622"/>
      <c r="I55" s="622"/>
      <c r="J55" s="622"/>
      <c r="K55" s="622"/>
      <c r="L55" s="622"/>
    </row>
    <row r="56" spans="1:18" s="189" customFormat="1" ht="15.75" customHeight="1">
      <c r="A56" s="622"/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</row>
    <row r="57" spans="1:18" s="177" customFormat="1" ht="16.399999999999999" customHeight="1">
      <c r="A57" s="618" t="s">
        <v>162</v>
      </c>
      <c r="B57" s="169">
        <v>1</v>
      </c>
      <c r="C57" s="169">
        <v>2</v>
      </c>
      <c r="D57" s="190">
        <v>3</v>
      </c>
      <c r="E57" s="190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s="188" customFormat="1" ht="16.399999999999999" customHeight="1">
      <c r="A58" s="618"/>
      <c r="B58" s="194" t="s">
        <v>206</v>
      </c>
      <c r="C58" s="194" t="s">
        <v>155</v>
      </c>
      <c r="D58" s="193" t="s">
        <v>207</v>
      </c>
      <c r="E58" s="193" t="s">
        <v>156</v>
      </c>
      <c r="F58" s="194" t="s">
        <v>348</v>
      </c>
      <c r="G58" s="195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M58" s="189"/>
      <c r="N58" s="198"/>
      <c r="O58" s="198"/>
      <c r="P58" s="198"/>
      <c r="Q58" s="198"/>
      <c r="R58" s="198"/>
    </row>
    <row r="59" spans="1:18" s="177" customFormat="1" ht="15.75" customHeight="1">
      <c r="A59" s="619" t="s">
        <v>188</v>
      </c>
      <c r="B59" s="619"/>
      <c r="C59" s="159" t="s">
        <v>47</v>
      </c>
      <c r="D59" s="619" t="s">
        <v>12</v>
      </c>
      <c r="E59" s="623"/>
      <c r="F59" s="623"/>
      <c r="G59" s="159" t="s">
        <v>46</v>
      </c>
      <c r="H59" s="159" t="s">
        <v>374</v>
      </c>
      <c r="I59" s="159" t="s">
        <v>375</v>
      </c>
      <c r="J59" s="159" t="s">
        <v>332</v>
      </c>
      <c r="K59" s="619" t="s">
        <v>51</v>
      </c>
      <c r="L59" s="623"/>
      <c r="M59" s="192"/>
      <c r="N59" s="188"/>
      <c r="O59" s="198"/>
      <c r="P59" s="387"/>
      <c r="Q59" s="387"/>
      <c r="R59" s="198"/>
    </row>
    <row r="60" spans="1:18" s="188" customFormat="1" ht="15.75" customHeight="1">
      <c r="A60" s="618">
        <v>3</v>
      </c>
      <c r="B60" s="619" t="s">
        <v>377</v>
      </c>
      <c r="C60" s="199">
        <v>1</v>
      </c>
      <c r="D60" s="620"/>
      <c r="E60" s="621"/>
      <c r="F60" s="621"/>
      <c r="G60" s="199"/>
      <c r="H60" s="201"/>
      <c r="I60" s="202"/>
      <c r="J60" s="220">
        <f>I60-I34</f>
        <v>-121.16973244147157</v>
      </c>
      <c r="K60" s="620"/>
      <c r="L60" s="621"/>
      <c r="M60" s="189"/>
      <c r="O60" s="198"/>
      <c r="P60" s="387"/>
      <c r="Q60" s="387"/>
      <c r="R60" s="198"/>
    </row>
    <row r="61" spans="1:18" s="188" customFormat="1" ht="15.75" customHeight="1">
      <c r="A61" s="618"/>
      <c r="B61" s="619"/>
      <c r="C61" s="199">
        <v>2</v>
      </c>
      <c r="D61" s="620"/>
      <c r="E61" s="621"/>
      <c r="F61" s="621"/>
      <c r="G61" s="199"/>
      <c r="H61" s="201"/>
      <c r="I61" s="202"/>
      <c r="J61" s="220"/>
      <c r="K61" s="620"/>
      <c r="L61" s="621"/>
      <c r="M61" s="189"/>
      <c r="O61" s="198"/>
      <c r="P61" s="387"/>
      <c r="Q61" s="387"/>
      <c r="R61" s="198"/>
    </row>
    <row r="62" spans="1:18" s="188" customFormat="1" ht="15.75" customHeight="1">
      <c r="A62" s="618"/>
      <c r="B62" s="619"/>
      <c r="C62" s="199">
        <v>3</v>
      </c>
      <c r="D62" s="620"/>
      <c r="E62" s="621"/>
      <c r="F62" s="621"/>
      <c r="G62" s="199"/>
      <c r="H62" s="201"/>
      <c r="I62" s="202"/>
      <c r="J62" s="199"/>
      <c r="K62" s="620"/>
      <c r="L62" s="621"/>
      <c r="M62" s="189"/>
      <c r="O62" s="198"/>
      <c r="P62" s="387"/>
      <c r="Q62" s="387"/>
      <c r="R62" s="198"/>
    </row>
    <row r="63" spans="1:18" s="188" customFormat="1" ht="15.75" customHeight="1">
      <c r="A63" s="618"/>
      <c r="B63" s="619"/>
      <c r="C63" s="199">
        <v>4</v>
      </c>
      <c r="D63" s="620"/>
      <c r="E63" s="621"/>
      <c r="F63" s="621"/>
      <c r="G63" s="199"/>
      <c r="H63" s="201"/>
      <c r="I63" s="202"/>
      <c r="J63" s="199"/>
      <c r="K63" s="620"/>
      <c r="L63" s="621"/>
      <c r="M63" s="189"/>
      <c r="O63" s="198"/>
      <c r="P63" s="387"/>
      <c r="Q63" s="387"/>
      <c r="R63" s="198"/>
    </row>
    <row r="64" spans="1:18" s="188" customFormat="1" ht="15.75" customHeight="1">
      <c r="A64" s="618"/>
      <c r="B64" s="619"/>
      <c r="C64" s="199">
        <v>5</v>
      </c>
      <c r="D64" s="620"/>
      <c r="E64" s="621"/>
      <c r="F64" s="621"/>
      <c r="G64" s="199"/>
      <c r="H64" s="201"/>
      <c r="I64" s="202"/>
      <c r="J64" s="199"/>
      <c r="K64" s="620"/>
      <c r="L64" s="621"/>
      <c r="M64" s="189"/>
      <c r="O64" s="198"/>
      <c r="P64" s="387"/>
      <c r="Q64" s="387"/>
      <c r="R64" s="198"/>
    </row>
    <row r="65" spans="1:18" s="188" customFormat="1" ht="15.75" customHeight="1">
      <c r="A65" s="618"/>
      <c r="B65" s="619"/>
      <c r="C65" s="203" t="s">
        <v>204</v>
      </c>
      <c r="D65" s="620"/>
      <c r="E65" s="621"/>
      <c r="F65" s="621"/>
      <c r="G65" s="199"/>
      <c r="H65" s="201"/>
      <c r="I65" s="202"/>
      <c r="J65" s="199"/>
      <c r="K65" s="620"/>
      <c r="L65" s="621"/>
      <c r="M65" s="189"/>
      <c r="O65" s="198"/>
      <c r="P65" s="387"/>
      <c r="Q65" s="387"/>
      <c r="R65" s="198"/>
    </row>
    <row r="66" spans="1:18" s="188" customFormat="1" ht="15.75" customHeight="1">
      <c r="A66" s="618"/>
      <c r="B66" s="619"/>
      <c r="C66" s="203" t="s">
        <v>209</v>
      </c>
      <c r="D66" s="620"/>
      <c r="E66" s="621"/>
      <c r="F66" s="621"/>
      <c r="G66" s="199"/>
      <c r="H66" s="201"/>
      <c r="I66" s="202"/>
      <c r="J66" s="199"/>
      <c r="K66" s="620"/>
      <c r="L66" s="621"/>
      <c r="M66" s="189"/>
      <c r="N66" s="177"/>
      <c r="O66" s="177"/>
      <c r="P66" s="386"/>
      <c r="Q66" s="386"/>
      <c r="R66" s="177"/>
    </row>
    <row r="67" spans="1:18" s="188" customFormat="1" ht="15.75" customHeight="1">
      <c r="A67" s="618"/>
      <c r="B67" s="619"/>
      <c r="C67" s="203" t="s">
        <v>205</v>
      </c>
      <c r="D67" s="620"/>
      <c r="E67" s="621"/>
      <c r="F67" s="621"/>
      <c r="G67" s="201"/>
      <c r="H67" s="201"/>
      <c r="I67" s="202"/>
      <c r="J67" s="199"/>
      <c r="K67" s="620"/>
      <c r="L67" s="621"/>
      <c r="M67" s="189"/>
      <c r="O67" s="198"/>
      <c r="P67" s="387"/>
      <c r="Q67" s="387"/>
      <c r="R67" s="198"/>
    </row>
    <row r="68" spans="1:18" s="188" customFormat="1" ht="15.75" customHeight="1">
      <c r="A68" s="618"/>
      <c r="B68" s="619"/>
      <c r="C68" s="203" t="s">
        <v>210</v>
      </c>
      <c r="D68" s="620"/>
      <c r="E68" s="621"/>
      <c r="F68" s="621"/>
      <c r="G68" s="199"/>
      <c r="H68" s="201"/>
      <c r="I68" s="202"/>
      <c r="J68" s="199"/>
      <c r="K68" s="620"/>
      <c r="L68" s="621"/>
      <c r="O68" s="198"/>
      <c r="P68" s="387"/>
      <c r="Q68" s="387"/>
      <c r="R68" s="198"/>
    </row>
    <row r="69" spans="1:18" s="188" customFormat="1" ht="15.75" customHeight="1">
      <c r="A69" s="618"/>
      <c r="B69" s="619"/>
      <c r="C69" s="203" t="s">
        <v>211</v>
      </c>
      <c r="D69" s="620"/>
      <c r="E69" s="621"/>
      <c r="F69" s="621"/>
      <c r="G69" s="199"/>
      <c r="H69" s="201"/>
      <c r="I69" s="202"/>
      <c r="J69" s="199"/>
      <c r="K69" s="620"/>
      <c r="L69" s="621"/>
      <c r="O69" s="198"/>
      <c r="P69" s="387"/>
      <c r="Q69" s="387"/>
      <c r="R69" s="198"/>
    </row>
    <row r="70" spans="1:18" s="198" customFormat="1" ht="15.75" customHeight="1">
      <c r="A70" s="616" t="s">
        <v>188</v>
      </c>
      <c r="B70" s="616"/>
      <c r="C70" s="206" t="s">
        <v>47</v>
      </c>
      <c r="D70" s="616" t="s">
        <v>12</v>
      </c>
      <c r="E70" s="617"/>
      <c r="F70" s="617"/>
      <c r="G70" s="206" t="s">
        <v>46</v>
      </c>
      <c r="H70" s="206" t="s">
        <v>374</v>
      </c>
      <c r="I70" s="206" t="s">
        <v>375</v>
      </c>
      <c r="J70" s="159" t="s">
        <v>332</v>
      </c>
      <c r="K70" s="616" t="s">
        <v>50</v>
      </c>
      <c r="L70" s="617"/>
      <c r="M70" s="207"/>
      <c r="N70" s="188"/>
      <c r="P70" s="387"/>
      <c r="Q70" s="387"/>
    </row>
    <row r="71" spans="1:18" s="188" customFormat="1" ht="15.75" customHeight="1">
      <c r="A71" s="618">
        <v>4</v>
      </c>
      <c r="B71" s="619" t="s">
        <v>156</v>
      </c>
      <c r="C71" s="199">
        <v>1</v>
      </c>
      <c r="D71" s="620"/>
      <c r="E71" s="621"/>
      <c r="F71" s="621"/>
      <c r="G71" s="199"/>
      <c r="H71" s="201"/>
      <c r="I71" s="202"/>
      <c r="J71" s="220">
        <f>I71-I45</f>
        <v>-593.43107057382326</v>
      </c>
      <c r="K71" s="620"/>
      <c r="L71" s="621"/>
      <c r="N71" s="198"/>
      <c r="O71" s="198"/>
      <c r="P71" s="387"/>
      <c r="Q71" s="387"/>
      <c r="R71" s="198"/>
    </row>
    <row r="72" spans="1:18" s="188" customFormat="1" ht="15.75" customHeight="1">
      <c r="A72" s="618"/>
      <c r="B72" s="619"/>
      <c r="C72" s="199">
        <v>2</v>
      </c>
      <c r="D72" s="620"/>
      <c r="E72" s="621"/>
      <c r="F72" s="621"/>
      <c r="G72" s="199"/>
      <c r="H72" s="201"/>
      <c r="I72" s="202"/>
      <c r="J72" s="220">
        <f>I72-I46</f>
        <v>-536.96021611936044</v>
      </c>
      <c r="K72" s="620"/>
      <c r="L72" s="621"/>
      <c r="O72" s="198"/>
      <c r="P72" s="387"/>
      <c r="Q72" s="387"/>
      <c r="R72" s="198"/>
    </row>
    <row r="73" spans="1:18" s="188" customFormat="1" ht="15.75" customHeight="1">
      <c r="A73" s="618"/>
      <c r="B73" s="619"/>
      <c r="C73" s="199">
        <v>3</v>
      </c>
      <c r="D73" s="620"/>
      <c r="E73" s="621"/>
      <c r="F73" s="621"/>
      <c r="G73" s="199"/>
      <c r="H73" s="201"/>
      <c r="I73" s="202"/>
      <c r="J73" s="220">
        <f>I73-I47</f>
        <v>-536.83416166217046</v>
      </c>
      <c r="K73" s="620"/>
      <c r="L73" s="621"/>
      <c r="O73" s="198"/>
      <c r="P73" s="387"/>
      <c r="Q73" s="387"/>
      <c r="R73" s="198"/>
    </row>
    <row r="74" spans="1:18" s="188" customFormat="1" ht="15.75" customHeight="1">
      <c r="A74" s="618"/>
      <c r="B74" s="619"/>
      <c r="C74" s="199">
        <v>4</v>
      </c>
      <c r="D74" s="620"/>
      <c r="E74" s="621"/>
      <c r="F74" s="621"/>
      <c r="G74" s="199"/>
      <c r="H74" s="201"/>
      <c r="I74" s="202"/>
      <c r="J74" s="220">
        <f>I74-I48</f>
        <v>-493.60697959869776</v>
      </c>
      <c r="K74" s="620"/>
      <c r="L74" s="621"/>
      <c r="O74" s="198"/>
      <c r="P74" s="387"/>
      <c r="Q74" s="387"/>
      <c r="R74" s="198"/>
    </row>
    <row r="75" spans="1:18" s="188" customFormat="1" ht="15.75" customHeight="1">
      <c r="A75" s="618"/>
      <c r="B75" s="619"/>
      <c r="C75" s="199">
        <v>5</v>
      </c>
      <c r="D75" s="620"/>
      <c r="E75" s="621"/>
      <c r="F75" s="621"/>
      <c r="G75" s="199"/>
      <c r="H75" s="201"/>
      <c r="I75" s="202"/>
      <c r="J75" s="220">
        <f>I75-I49</f>
        <v>-94.84241711187488</v>
      </c>
      <c r="K75" s="620"/>
      <c r="L75" s="621"/>
      <c r="O75" s="198"/>
      <c r="P75" s="387"/>
      <c r="Q75" s="387"/>
      <c r="R75" s="198"/>
    </row>
    <row r="76" spans="1:18" s="188" customFormat="1" ht="15.75" customHeight="1">
      <c r="A76" s="618"/>
      <c r="B76" s="619"/>
      <c r="C76" s="203" t="s">
        <v>204</v>
      </c>
      <c r="D76" s="620"/>
      <c r="E76" s="621"/>
      <c r="F76" s="621"/>
      <c r="G76" s="199"/>
      <c r="H76" s="201"/>
      <c r="I76" s="202"/>
      <c r="J76" s="199"/>
      <c r="K76" s="620"/>
      <c r="L76" s="621"/>
      <c r="O76" s="198"/>
      <c r="P76" s="387"/>
      <c r="Q76" s="387"/>
      <c r="R76" s="198"/>
    </row>
    <row r="77" spans="1:18" s="188" customFormat="1" ht="15.75" customHeight="1">
      <c r="A77" s="618"/>
      <c r="B77" s="619"/>
      <c r="C77" s="203" t="s">
        <v>209</v>
      </c>
      <c r="D77" s="620"/>
      <c r="E77" s="621"/>
      <c r="F77" s="621"/>
      <c r="G77" s="199"/>
      <c r="H77" s="201"/>
      <c r="I77" s="202"/>
      <c r="J77" s="199"/>
      <c r="K77" s="620"/>
      <c r="L77" s="621"/>
      <c r="O77" s="198"/>
      <c r="P77" s="387"/>
      <c r="Q77" s="387"/>
      <c r="R77" s="198"/>
    </row>
    <row r="78" spans="1:18" s="188" customFormat="1" ht="15.75" customHeight="1">
      <c r="A78" s="618"/>
      <c r="B78" s="619"/>
      <c r="C78" s="203" t="s">
        <v>205</v>
      </c>
      <c r="D78" s="620"/>
      <c r="E78" s="621"/>
      <c r="F78" s="621"/>
      <c r="G78" s="199"/>
      <c r="H78" s="201"/>
      <c r="I78" s="202"/>
      <c r="J78" s="199"/>
      <c r="K78" s="620"/>
      <c r="L78" s="621"/>
      <c r="O78" s="198"/>
      <c r="P78" s="387"/>
      <c r="Q78" s="387"/>
      <c r="R78" s="198"/>
    </row>
    <row r="79" spans="1:18" s="188" customFormat="1" ht="15.75" customHeight="1">
      <c r="A79" s="618"/>
      <c r="B79" s="619"/>
      <c r="C79" s="203" t="s">
        <v>210</v>
      </c>
      <c r="D79" s="620"/>
      <c r="E79" s="621"/>
      <c r="F79" s="621"/>
      <c r="G79" s="199"/>
      <c r="H79" s="201"/>
      <c r="I79" s="202"/>
      <c r="J79" s="199"/>
      <c r="K79" s="620"/>
      <c r="L79" s="621"/>
      <c r="O79" s="198"/>
      <c r="P79" s="387"/>
      <c r="Q79" s="387"/>
      <c r="R79" s="198"/>
    </row>
    <row r="80" spans="1:18" s="188" customFormat="1" ht="15.75" customHeight="1">
      <c r="A80" s="618"/>
      <c r="B80" s="619"/>
      <c r="C80" s="203" t="s">
        <v>211</v>
      </c>
      <c r="D80" s="620"/>
      <c r="E80" s="621"/>
      <c r="F80" s="621"/>
      <c r="G80" s="199"/>
      <c r="H80" s="201"/>
      <c r="I80" s="202"/>
      <c r="J80" s="199"/>
      <c r="K80" s="620"/>
      <c r="L80" s="621"/>
      <c r="O80" s="198"/>
      <c r="P80" s="387"/>
      <c r="Q80" s="387"/>
      <c r="R80" s="198"/>
    </row>
  </sheetData>
  <mergeCells count="157"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K43:L43"/>
    <mergeCell ref="A1:L2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29:L30"/>
    <mergeCell ref="A31:A32"/>
    <mergeCell ref="A33:B33"/>
    <mergeCell ref="D33:F33"/>
    <mergeCell ref="K33:L33"/>
    <mergeCell ref="A34:A43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66:L66"/>
    <mergeCell ref="D67:F67"/>
    <mergeCell ref="K67:L67"/>
    <mergeCell ref="D68:F68"/>
    <mergeCell ref="D27:F27"/>
    <mergeCell ref="K27:L27"/>
    <mergeCell ref="D28:F28"/>
    <mergeCell ref="K28:L28"/>
    <mergeCell ref="K16:L16"/>
    <mergeCell ref="D17:F17"/>
    <mergeCell ref="K17:L17"/>
    <mergeCell ref="D51:F51"/>
    <mergeCell ref="K51:L51"/>
    <mergeCell ref="D52:F52"/>
    <mergeCell ref="K52:L52"/>
    <mergeCell ref="D53:F53"/>
    <mergeCell ref="K53:L53"/>
    <mergeCell ref="D54:F54"/>
    <mergeCell ref="K54:L54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R80"/>
  <sheetViews>
    <sheetView view="pageBreakPreview" topLeftCell="A20" zoomScaleNormal="60" zoomScaleSheetLayoutView="100" workbookViewId="0">
      <selection activeCell="J54" sqref="J54"/>
    </sheetView>
  </sheetViews>
  <sheetFormatPr defaultColWidth="12.54296875" defaultRowHeight="15.75" customHeight="1"/>
  <cols>
    <col min="1" max="1" width="6.453125" style="98" customWidth="1"/>
    <col min="2" max="10" width="11.54296875" style="98" customWidth="1"/>
    <col min="11" max="12" width="12.81640625" style="98" customWidth="1"/>
    <col min="13" max="13" width="12.54296875" style="99"/>
    <col min="14" max="18" width="12.54296875" style="188"/>
    <col min="19" max="16384" width="12.54296875" style="98"/>
  </cols>
  <sheetData>
    <row r="1" spans="1:18" ht="15.75" customHeight="1">
      <c r="A1" s="520" t="s">
        <v>372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98"/>
    </row>
    <row r="2" spans="1:18" s="99" customFormat="1" ht="15.75" customHeight="1">
      <c r="A2" s="520"/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N2" s="189"/>
      <c r="O2" s="189"/>
      <c r="P2" s="189"/>
      <c r="Q2" s="189"/>
      <c r="R2" s="189"/>
    </row>
    <row r="3" spans="1:18" s="188" customFormat="1" ht="15.75" customHeight="1">
      <c r="A3" s="622" t="s">
        <v>701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</row>
    <row r="4" spans="1:18" s="189" customFormat="1" ht="15.75" customHeight="1">
      <c r="A4" s="622"/>
      <c r="B4" s="622"/>
      <c r="C4" s="622"/>
      <c r="D4" s="622"/>
      <c r="E4" s="622"/>
      <c r="F4" s="622"/>
      <c r="G4" s="622"/>
      <c r="H4" s="622"/>
      <c r="I4" s="622"/>
      <c r="J4" s="622"/>
      <c r="K4" s="622"/>
      <c r="L4" s="622"/>
    </row>
    <row r="5" spans="1:18" s="105" customFormat="1" ht="16.399999999999999" customHeight="1">
      <c r="A5" s="618" t="s">
        <v>162</v>
      </c>
      <c r="B5" s="169">
        <v>1</v>
      </c>
      <c r="C5" s="169">
        <v>2</v>
      </c>
      <c r="D5" s="169">
        <v>3</v>
      </c>
      <c r="E5" s="169">
        <v>4</v>
      </c>
      <c r="F5" s="190">
        <v>5</v>
      </c>
      <c r="G5" s="190">
        <v>6</v>
      </c>
      <c r="H5" s="169">
        <v>7</v>
      </c>
      <c r="I5" s="169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99999999999999" customHeight="1">
      <c r="A6" s="618"/>
      <c r="B6" s="194" t="s">
        <v>206</v>
      </c>
      <c r="C6" s="194" t="s">
        <v>155</v>
      </c>
      <c r="D6" s="194" t="s">
        <v>207</v>
      </c>
      <c r="E6" s="194" t="s">
        <v>156</v>
      </c>
      <c r="F6" s="193" t="s">
        <v>348</v>
      </c>
      <c r="G6" s="208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19" t="s">
        <v>188</v>
      </c>
      <c r="B7" s="619"/>
      <c r="C7" s="159" t="s">
        <v>47</v>
      </c>
      <c r="D7" s="619" t="s">
        <v>12</v>
      </c>
      <c r="E7" s="623"/>
      <c r="F7" s="623"/>
      <c r="G7" s="159" t="s">
        <v>46</v>
      </c>
      <c r="H7" s="159" t="s">
        <v>374</v>
      </c>
      <c r="I7" s="159" t="s">
        <v>375</v>
      </c>
      <c r="J7" s="159" t="s">
        <v>332</v>
      </c>
      <c r="K7" s="619" t="s">
        <v>51</v>
      </c>
      <c r="L7" s="623"/>
      <c r="M7" s="126"/>
      <c r="N7" s="188"/>
      <c r="O7" s="388"/>
      <c r="P7" s="387"/>
      <c r="Q7" s="387"/>
      <c r="R7" s="198"/>
    </row>
    <row r="8" spans="1:18" ht="15.75" customHeight="1">
      <c r="A8" s="618">
        <v>5</v>
      </c>
      <c r="B8" s="619" t="s">
        <v>348</v>
      </c>
      <c r="C8" s="199">
        <v>1</v>
      </c>
      <c r="D8" s="620" t="s">
        <v>568</v>
      </c>
      <c r="E8" s="621"/>
      <c r="F8" s="621"/>
      <c r="G8" s="199">
        <v>17.142857142857142</v>
      </c>
      <c r="H8" s="201">
        <v>1789.6285714285714</v>
      </c>
      <c r="I8" s="202">
        <v>104.43781512605041</v>
      </c>
      <c r="J8" s="352">
        <v>5.1028944911297884</v>
      </c>
      <c r="K8" s="624" t="s">
        <v>800</v>
      </c>
      <c r="L8" s="621"/>
      <c r="O8" s="388"/>
      <c r="P8" s="387"/>
      <c r="Q8" s="387"/>
      <c r="R8" s="198"/>
    </row>
    <row r="9" spans="1:18" ht="15.75" customHeight="1">
      <c r="A9" s="618"/>
      <c r="B9" s="619"/>
      <c r="C9" s="199">
        <v>2</v>
      </c>
      <c r="D9" s="620" t="s">
        <v>673</v>
      </c>
      <c r="E9" s="621"/>
      <c r="F9" s="621"/>
      <c r="G9" s="199">
        <v>18</v>
      </c>
      <c r="H9" s="201">
        <v>1789.8279990381252</v>
      </c>
      <c r="I9" s="202">
        <v>99.434888835451403</v>
      </c>
      <c r="J9" s="352"/>
      <c r="K9" s="620" t="s">
        <v>428</v>
      </c>
      <c r="L9" s="621"/>
      <c r="O9" s="388"/>
      <c r="P9" s="387"/>
      <c r="Q9" s="387"/>
      <c r="R9" s="198"/>
    </row>
    <row r="10" spans="1:18" ht="15.75" customHeight="1">
      <c r="A10" s="618"/>
      <c r="B10" s="619"/>
      <c r="C10" s="199">
        <v>3</v>
      </c>
      <c r="D10" s="620" t="s">
        <v>474</v>
      </c>
      <c r="E10" s="621"/>
      <c r="F10" s="621"/>
      <c r="G10" s="199">
        <v>19.142857142857142</v>
      </c>
      <c r="H10" s="201">
        <v>1789.247873556604</v>
      </c>
      <c r="I10" s="202">
        <v>93.499162067935472</v>
      </c>
      <c r="J10" s="352">
        <v>4.1015735362754526</v>
      </c>
      <c r="K10" s="624" t="s">
        <v>800</v>
      </c>
      <c r="L10" s="621"/>
      <c r="O10" s="388"/>
      <c r="P10" s="387"/>
      <c r="Q10" s="387"/>
      <c r="R10" s="198"/>
    </row>
    <row r="11" spans="1:18" ht="15.75" customHeight="1">
      <c r="A11" s="618"/>
      <c r="B11" s="619"/>
      <c r="C11" s="199">
        <v>4</v>
      </c>
      <c r="D11" s="620" t="s">
        <v>695</v>
      </c>
      <c r="E11" s="621"/>
      <c r="F11" s="621"/>
      <c r="G11" s="199">
        <v>20</v>
      </c>
      <c r="H11" s="201">
        <v>1790</v>
      </c>
      <c r="I11" s="202">
        <v>89.5</v>
      </c>
      <c r="J11" s="352">
        <v>2.178148621552495</v>
      </c>
      <c r="K11" s="620" t="s">
        <v>428</v>
      </c>
      <c r="L11" s="621"/>
      <c r="O11" s="388"/>
      <c r="P11" s="387"/>
      <c r="Q11" s="387"/>
      <c r="R11" s="198"/>
    </row>
    <row r="12" spans="1:18" ht="15.75" customHeight="1">
      <c r="A12" s="618"/>
      <c r="B12" s="619"/>
      <c r="C12" s="199">
        <v>5</v>
      </c>
      <c r="D12" s="620" t="s">
        <v>343</v>
      </c>
      <c r="E12" s="621"/>
      <c r="F12" s="621"/>
      <c r="G12" s="199">
        <v>23</v>
      </c>
      <c r="H12" s="201">
        <v>1793.8989699859656</v>
      </c>
      <c r="I12" s="202">
        <v>77.995607390694175</v>
      </c>
      <c r="J12" s="352">
        <v>1.3506362915578052E-2</v>
      </c>
      <c r="K12" s="620" t="s">
        <v>428</v>
      </c>
      <c r="L12" s="621"/>
      <c r="O12" s="388"/>
      <c r="P12" s="387"/>
      <c r="Q12" s="387"/>
      <c r="R12" s="198"/>
    </row>
    <row r="13" spans="1:18" ht="15.75" customHeight="1">
      <c r="A13" s="618"/>
      <c r="B13" s="619"/>
      <c r="C13" s="203" t="s">
        <v>204</v>
      </c>
      <c r="D13" s="620" t="s">
        <v>342</v>
      </c>
      <c r="E13" s="621"/>
      <c r="F13" s="621"/>
      <c r="G13" s="199">
        <v>24</v>
      </c>
      <c r="H13" s="201">
        <v>1791.7403014463873</v>
      </c>
      <c r="I13" s="202">
        <v>74.655845893599462</v>
      </c>
      <c r="J13" s="352">
        <v>0.32706467101320413</v>
      </c>
      <c r="K13" s="620" t="s">
        <v>428</v>
      </c>
      <c r="L13" s="621"/>
      <c r="O13" s="198"/>
      <c r="P13" s="387"/>
      <c r="Q13" s="387"/>
      <c r="R13" s="198"/>
    </row>
    <row r="14" spans="1:18" ht="15.75" customHeight="1">
      <c r="A14" s="618"/>
      <c r="B14" s="619"/>
      <c r="C14" s="203" t="s">
        <v>209</v>
      </c>
      <c r="D14" s="620" t="s">
        <v>473</v>
      </c>
      <c r="E14" s="621"/>
      <c r="F14" s="621"/>
      <c r="G14" s="199">
        <v>21</v>
      </c>
      <c r="H14" s="201">
        <v>1607.9855331561539</v>
      </c>
      <c r="I14" s="202">
        <v>76.570739674102569</v>
      </c>
      <c r="J14" s="352">
        <v>-4.2857142857101849E-2</v>
      </c>
      <c r="K14" s="620" t="s">
        <v>428</v>
      </c>
      <c r="L14" s="621"/>
      <c r="O14" s="388"/>
      <c r="P14" s="387"/>
      <c r="Q14" s="387"/>
      <c r="R14" s="198"/>
    </row>
    <row r="15" spans="1:18" ht="15.75" customHeight="1">
      <c r="A15" s="618"/>
      <c r="B15" s="619"/>
      <c r="C15" s="203" t="s">
        <v>205</v>
      </c>
      <c r="D15" s="620" t="s">
        <v>341</v>
      </c>
      <c r="E15" s="621"/>
      <c r="F15" s="621"/>
      <c r="G15" s="201">
        <v>23</v>
      </c>
      <c r="H15" s="201">
        <v>1790.0145229523434</v>
      </c>
      <c r="I15" s="202">
        <v>77.826718389232312</v>
      </c>
      <c r="J15" s="352">
        <v>-3.2298136645962927E-2</v>
      </c>
      <c r="K15" s="620" t="s">
        <v>428</v>
      </c>
      <c r="L15" s="621"/>
      <c r="N15" s="177"/>
      <c r="O15" s="389"/>
      <c r="P15" s="386"/>
      <c r="Q15" s="386"/>
      <c r="R15" s="177"/>
    </row>
    <row r="16" spans="1:18" ht="15.75" customHeight="1">
      <c r="A16" s="618"/>
      <c r="B16" s="619"/>
      <c r="C16" s="203" t="s">
        <v>210</v>
      </c>
      <c r="D16" s="620" t="s">
        <v>349</v>
      </c>
      <c r="E16" s="621"/>
      <c r="F16" s="621"/>
      <c r="G16" s="201">
        <v>23</v>
      </c>
      <c r="H16" s="201">
        <v>1790.3607611406537</v>
      </c>
      <c r="I16" s="202">
        <v>77.841772223506695</v>
      </c>
      <c r="J16" s="352">
        <v>-4.3478260869605379E-2</v>
      </c>
      <c r="K16" s="620" t="s">
        <v>428</v>
      </c>
      <c r="L16" s="621"/>
      <c r="M16" s="98"/>
      <c r="O16" s="388"/>
      <c r="P16" s="387"/>
      <c r="Q16" s="387"/>
      <c r="R16" s="198"/>
    </row>
    <row r="17" spans="1:18" ht="15.75" customHeight="1">
      <c r="A17" s="618"/>
      <c r="B17" s="619"/>
      <c r="C17" s="203" t="s">
        <v>211</v>
      </c>
      <c r="D17" s="620"/>
      <c r="E17" s="621"/>
      <c r="F17" s="621"/>
      <c r="G17" s="201"/>
      <c r="H17" s="201"/>
      <c r="I17" s="202"/>
      <c r="J17" s="199"/>
      <c r="K17" s="620"/>
      <c r="L17" s="621"/>
      <c r="M17" s="98"/>
      <c r="O17" s="388"/>
      <c r="P17" s="387"/>
      <c r="Q17" s="387"/>
      <c r="R17" s="198"/>
    </row>
    <row r="18" spans="1:18" s="103" customFormat="1" ht="15.75" customHeight="1">
      <c r="A18" s="616" t="s">
        <v>188</v>
      </c>
      <c r="B18" s="616"/>
      <c r="C18" s="206" t="s">
        <v>47</v>
      </c>
      <c r="D18" s="616" t="s">
        <v>12</v>
      </c>
      <c r="E18" s="617"/>
      <c r="F18" s="617"/>
      <c r="G18" s="206" t="s">
        <v>46</v>
      </c>
      <c r="H18" s="206" t="s">
        <v>374</v>
      </c>
      <c r="I18" s="206" t="s">
        <v>375</v>
      </c>
      <c r="J18" s="159" t="s">
        <v>332</v>
      </c>
      <c r="K18" s="616" t="s">
        <v>51</v>
      </c>
      <c r="L18" s="617"/>
      <c r="M18" s="127"/>
      <c r="N18" s="188"/>
      <c r="O18" s="388"/>
      <c r="P18" s="387"/>
      <c r="Q18" s="387"/>
      <c r="R18" s="198"/>
    </row>
    <row r="19" spans="1:18" ht="15.75" customHeight="1">
      <c r="A19" s="618">
        <v>6</v>
      </c>
      <c r="B19" s="619" t="s">
        <v>136</v>
      </c>
      <c r="C19" s="199">
        <v>1</v>
      </c>
      <c r="D19" s="620" t="s">
        <v>583</v>
      </c>
      <c r="E19" s="621"/>
      <c r="F19" s="621"/>
      <c r="G19" s="199">
        <v>20</v>
      </c>
      <c r="H19" s="201">
        <v>1791.5170144394017</v>
      </c>
      <c r="I19" s="202">
        <v>89.57585072197007</v>
      </c>
      <c r="J19" s="352">
        <v>-3.1428571428548935E-2</v>
      </c>
      <c r="K19" s="620" t="s">
        <v>428</v>
      </c>
      <c r="L19" s="621"/>
      <c r="M19" s="98"/>
      <c r="N19" s="198"/>
      <c r="O19" s="198"/>
      <c r="P19" s="387"/>
      <c r="Q19" s="387"/>
      <c r="R19" s="198"/>
    </row>
    <row r="20" spans="1:18" ht="15.75" customHeight="1">
      <c r="A20" s="618"/>
      <c r="B20" s="619"/>
      <c r="C20" s="199">
        <v>2</v>
      </c>
      <c r="D20" s="620" t="s">
        <v>438</v>
      </c>
      <c r="E20" s="621"/>
      <c r="F20" s="621"/>
      <c r="G20" s="201">
        <v>20</v>
      </c>
      <c r="H20" s="201">
        <v>1787.2952118528442</v>
      </c>
      <c r="I20" s="202">
        <v>89.364760592642227</v>
      </c>
      <c r="J20" s="352">
        <v>-2.3601977567281551E-2</v>
      </c>
      <c r="K20" s="620" t="s">
        <v>428</v>
      </c>
      <c r="L20" s="621"/>
      <c r="M20" s="98"/>
      <c r="O20" s="198"/>
      <c r="P20" s="387"/>
      <c r="Q20" s="387"/>
      <c r="R20" s="198"/>
    </row>
    <row r="21" spans="1:18" ht="15.75" customHeight="1">
      <c r="A21" s="618"/>
      <c r="B21" s="619"/>
      <c r="C21" s="199">
        <v>3</v>
      </c>
      <c r="D21" s="620" t="s">
        <v>436</v>
      </c>
      <c r="E21" s="621"/>
      <c r="F21" s="621"/>
      <c r="G21" s="201">
        <v>22</v>
      </c>
      <c r="H21" s="201">
        <v>1788.3167970196664</v>
      </c>
      <c r="I21" s="202">
        <v>81.287127137257571</v>
      </c>
      <c r="J21" s="352">
        <v>5.6590013053082089E-2</v>
      </c>
      <c r="K21" s="620" t="s">
        <v>428</v>
      </c>
      <c r="L21" s="621"/>
      <c r="M21" s="98"/>
      <c r="O21" s="198"/>
      <c r="P21" s="387"/>
      <c r="Q21" s="387"/>
      <c r="R21" s="198"/>
    </row>
    <row r="22" spans="1:18" ht="15.75" customHeight="1">
      <c r="A22" s="618"/>
      <c r="B22" s="619"/>
      <c r="C22" s="199">
        <v>4</v>
      </c>
      <c r="D22" s="620" t="s">
        <v>434</v>
      </c>
      <c r="E22" s="621"/>
      <c r="F22" s="621"/>
      <c r="G22" s="199">
        <v>23</v>
      </c>
      <c r="H22" s="201">
        <v>1795.6290322028235</v>
      </c>
      <c r="I22" s="202">
        <v>78.070827487079285</v>
      </c>
      <c r="J22" s="352">
        <v>-9.2968631972141225E-2</v>
      </c>
      <c r="K22" s="620" t="s">
        <v>428</v>
      </c>
      <c r="L22" s="621"/>
      <c r="M22" s="98"/>
      <c r="O22" s="198"/>
      <c r="P22" s="387"/>
      <c r="Q22" s="387"/>
      <c r="R22" s="198"/>
    </row>
    <row r="23" spans="1:18" ht="15.75" customHeight="1">
      <c r="A23" s="618"/>
      <c r="B23" s="619"/>
      <c r="C23" s="199">
        <v>5</v>
      </c>
      <c r="D23" s="620" t="s">
        <v>350</v>
      </c>
      <c r="E23" s="621"/>
      <c r="F23" s="621"/>
      <c r="G23" s="201">
        <v>23</v>
      </c>
      <c r="H23" s="201">
        <v>1794.9906582798924</v>
      </c>
      <c r="I23" s="202">
        <v>78.043072099125752</v>
      </c>
      <c r="J23" s="352">
        <v>4.9689440993603284E-3</v>
      </c>
      <c r="K23" s="620" t="s">
        <v>428</v>
      </c>
      <c r="L23" s="621"/>
      <c r="M23" s="98"/>
      <c r="O23" s="198"/>
      <c r="P23" s="387"/>
      <c r="Q23" s="387"/>
      <c r="R23" s="198"/>
    </row>
    <row r="24" spans="1:18" ht="15.75" customHeight="1">
      <c r="A24" s="618"/>
      <c r="B24" s="619"/>
      <c r="C24" s="203" t="s">
        <v>204</v>
      </c>
      <c r="D24" s="620" t="s">
        <v>509</v>
      </c>
      <c r="E24" s="621"/>
      <c r="F24" s="621"/>
      <c r="G24" s="199">
        <v>25</v>
      </c>
      <c r="H24" s="201">
        <v>1788.1971759908881</v>
      </c>
      <c r="I24" s="202">
        <v>71.52788703963553</v>
      </c>
      <c r="J24" s="352">
        <v>5.4494503816187034E-3</v>
      </c>
      <c r="K24" s="620" t="s">
        <v>428</v>
      </c>
      <c r="L24" s="621"/>
      <c r="M24" s="98"/>
      <c r="O24" s="198"/>
      <c r="P24" s="387"/>
      <c r="Q24" s="387"/>
      <c r="R24" s="198"/>
    </row>
    <row r="25" spans="1:18" ht="15.75" customHeight="1">
      <c r="A25" s="618"/>
      <c r="B25" s="619"/>
      <c r="C25" s="203" t="s">
        <v>209</v>
      </c>
      <c r="D25" s="620" t="s">
        <v>743</v>
      </c>
      <c r="E25" s="621"/>
      <c r="F25" s="621"/>
      <c r="G25" s="199">
        <v>24</v>
      </c>
      <c r="H25" s="201">
        <v>1729.233504034891</v>
      </c>
      <c r="I25" s="202">
        <v>72.051396001453796</v>
      </c>
      <c r="J25" s="352"/>
      <c r="K25" s="620" t="s">
        <v>587</v>
      </c>
      <c r="L25" s="621"/>
      <c r="M25" s="98"/>
      <c r="O25" s="198"/>
      <c r="P25" s="387"/>
      <c r="Q25" s="387"/>
      <c r="R25" s="198"/>
    </row>
    <row r="26" spans="1:18" ht="15.75" customHeight="1">
      <c r="A26" s="618"/>
      <c r="B26" s="619"/>
      <c r="C26" s="203" t="s">
        <v>205</v>
      </c>
      <c r="D26" s="620" t="s">
        <v>351</v>
      </c>
      <c r="E26" s="621"/>
      <c r="F26" s="621"/>
      <c r="G26" s="199">
        <v>24</v>
      </c>
      <c r="H26" s="201">
        <v>1796.9259582202544</v>
      </c>
      <c r="I26" s="202">
        <v>74.871914925843953</v>
      </c>
      <c r="J26" s="352">
        <v>-1.9047619047569242E-2</v>
      </c>
      <c r="K26" s="620" t="s">
        <v>428</v>
      </c>
      <c r="L26" s="621"/>
      <c r="M26" s="98"/>
      <c r="O26" s="198"/>
      <c r="P26" s="387"/>
      <c r="Q26" s="387"/>
      <c r="R26" s="198"/>
    </row>
    <row r="27" spans="1:18" ht="15.75" customHeight="1">
      <c r="A27" s="618"/>
      <c r="B27" s="619"/>
      <c r="C27" s="203" t="s">
        <v>210</v>
      </c>
      <c r="D27" s="620" t="s">
        <v>352</v>
      </c>
      <c r="E27" s="621"/>
      <c r="F27" s="621"/>
      <c r="G27" s="199">
        <v>23</v>
      </c>
      <c r="H27" s="201">
        <v>1787.2314929140468</v>
      </c>
      <c r="I27" s="202">
        <v>77.705717083219426</v>
      </c>
      <c r="J27" s="352">
        <v>-4.5679272417444849E-2</v>
      </c>
      <c r="K27" s="620" t="s">
        <v>428</v>
      </c>
      <c r="L27" s="621"/>
      <c r="M27" s="98"/>
      <c r="O27" s="198"/>
      <c r="P27" s="387"/>
      <c r="Q27" s="387"/>
      <c r="R27" s="198"/>
    </row>
    <row r="28" spans="1:18" ht="15.75" customHeight="1">
      <c r="A28" s="618"/>
      <c r="B28" s="619"/>
      <c r="C28" s="203" t="s">
        <v>211</v>
      </c>
      <c r="D28" s="620" t="s">
        <v>353</v>
      </c>
      <c r="E28" s="621"/>
      <c r="F28" s="621"/>
      <c r="G28" s="199">
        <v>23</v>
      </c>
      <c r="H28" s="201">
        <v>1791.0903867752415</v>
      </c>
      <c r="I28" s="202">
        <v>77.873495077184415</v>
      </c>
      <c r="J28" s="352">
        <v>-1.490683229815204E-2</v>
      </c>
      <c r="K28" s="620" t="s">
        <v>428</v>
      </c>
      <c r="L28" s="621"/>
      <c r="M28" s="98"/>
      <c r="O28" s="198"/>
      <c r="P28" s="387"/>
      <c r="Q28" s="387"/>
      <c r="R28" s="198"/>
    </row>
    <row r="29" spans="1:18" s="188" customFormat="1" ht="15.75" customHeight="1">
      <c r="A29" s="622" t="s">
        <v>799</v>
      </c>
      <c r="B29" s="622"/>
      <c r="C29" s="622"/>
      <c r="D29" s="622"/>
      <c r="E29" s="622"/>
      <c r="F29" s="622"/>
      <c r="G29" s="622"/>
      <c r="H29" s="622"/>
      <c r="I29" s="622"/>
      <c r="J29" s="622"/>
      <c r="K29" s="622"/>
      <c r="L29" s="622"/>
    </row>
    <row r="30" spans="1:18" s="189" customFormat="1" ht="15.75" customHeight="1">
      <c r="A30" s="622"/>
      <c r="B30" s="622"/>
      <c r="C30" s="622"/>
      <c r="D30" s="622"/>
      <c r="E30" s="622"/>
      <c r="F30" s="622"/>
      <c r="G30" s="622"/>
      <c r="H30" s="622"/>
      <c r="I30" s="622"/>
      <c r="J30" s="622"/>
      <c r="K30" s="622"/>
      <c r="L30" s="622"/>
    </row>
    <row r="31" spans="1:18" s="105" customFormat="1" ht="16.399999999999999" customHeight="1">
      <c r="A31" s="618" t="s">
        <v>162</v>
      </c>
      <c r="B31" s="169">
        <v>1</v>
      </c>
      <c r="C31" s="169">
        <v>2</v>
      </c>
      <c r="D31" s="169">
        <v>3</v>
      </c>
      <c r="E31" s="169">
        <v>4</v>
      </c>
      <c r="F31" s="190">
        <v>5</v>
      </c>
      <c r="G31" s="190">
        <v>6</v>
      </c>
      <c r="H31" s="169">
        <v>7</v>
      </c>
      <c r="I31" s="169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99999999999999" customHeight="1">
      <c r="A32" s="618"/>
      <c r="B32" s="194" t="s">
        <v>206</v>
      </c>
      <c r="C32" s="194" t="s">
        <v>155</v>
      </c>
      <c r="D32" s="194" t="s">
        <v>207</v>
      </c>
      <c r="E32" s="194" t="s">
        <v>156</v>
      </c>
      <c r="F32" s="193" t="s">
        <v>348</v>
      </c>
      <c r="G32" s="208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19" t="s">
        <v>188</v>
      </c>
      <c r="B33" s="619"/>
      <c r="C33" s="159" t="s">
        <v>47</v>
      </c>
      <c r="D33" s="619" t="s">
        <v>12</v>
      </c>
      <c r="E33" s="623"/>
      <c r="F33" s="623"/>
      <c r="G33" s="159" t="s">
        <v>46</v>
      </c>
      <c r="H33" s="159" t="s">
        <v>374</v>
      </c>
      <c r="I33" s="159" t="s">
        <v>375</v>
      </c>
      <c r="J33" s="159" t="s">
        <v>332</v>
      </c>
      <c r="K33" s="619" t="s">
        <v>51</v>
      </c>
      <c r="L33" s="623"/>
      <c r="M33" s="126"/>
      <c r="N33" s="188"/>
      <c r="O33" s="388"/>
      <c r="P33" s="387"/>
      <c r="Q33" s="387"/>
      <c r="R33" s="198"/>
    </row>
    <row r="34" spans="1:18" ht="15.75" customHeight="1">
      <c r="A34" s="618">
        <v>5</v>
      </c>
      <c r="B34" s="619" t="s">
        <v>348</v>
      </c>
      <c r="C34" s="199">
        <v>1</v>
      </c>
      <c r="D34" s="620" t="s">
        <v>568</v>
      </c>
      <c r="E34" s="621"/>
      <c r="F34" s="621"/>
      <c r="G34" s="201">
        <v>17</v>
      </c>
      <c r="H34" s="201">
        <v>1790</v>
      </c>
      <c r="I34" s="202">
        <v>105.29411764705881</v>
      </c>
      <c r="J34" s="352">
        <f>I34-I8</f>
        <v>0.8563025210084021</v>
      </c>
      <c r="K34" s="624"/>
      <c r="L34" s="621"/>
      <c r="O34" s="388"/>
      <c r="P34" s="387"/>
      <c r="Q34" s="387"/>
      <c r="R34" s="198"/>
    </row>
    <row r="35" spans="1:18" ht="15.75" customHeight="1">
      <c r="A35" s="618"/>
      <c r="B35" s="619"/>
      <c r="C35" s="199">
        <v>2</v>
      </c>
      <c r="D35" s="620" t="s">
        <v>673</v>
      </c>
      <c r="E35" s="621"/>
      <c r="F35" s="621"/>
      <c r="G35" s="201">
        <v>18</v>
      </c>
      <c r="H35" s="201">
        <v>1789.5994276095537</v>
      </c>
      <c r="I35" s="202">
        <v>99.42219042275299</v>
      </c>
      <c r="J35" s="352">
        <f>I35-I9</f>
        <v>-1.2698412698412653E-2</v>
      </c>
      <c r="K35" s="620"/>
      <c r="L35" s="621"/>
      <c r="O35" s="388"/>
      <c r="P35" s="387"/>
      <c r="Q35" s="387"/>
      <c r="R35" s="198"/>
    </row>
    <row r="36" spans="1:18" ht="15.75" customHeight="1">
      <c r="A36" s="618"/>
      <c r="B36" s="619"/>
      <c r="C36" s="199">
        <v>3</v>
      </c>
      <c r="D36" s="620" t="s">
        <v>474</v>
      </c>
      <c r="E36" s="621"/>
      <c r="F36" s="621"/>
      <c r="G36" s="201">
        <v>19</v>
      </c>
      <c r="H36" s="201">
        <v>1790</v>
      </c>
      <c r="I36" s="202">
        <v>94.21052631578948</v>
      </c>
      <c r="J36" s="352">
        <f>I36-I10</f>
        <v>0.7113642478540072</v>
      </c>
      <c r="K36" s="624"/>
      <c r="L36" s="621"/>
      <c r="O36" s="388"/>
      <c r="P36" s="387"/>
      <c r="Q36" s="387"/>
      <c r="R36" s="198"/>
    </row>
    <row r="37" spans="1:18" ht="15.75" customHeight="1">
      <c r="A37" s="618"/>
      <c r="B37" s="619"/>
      <c r="C37" s="199">
        <v>4</v>
      </c>
      <c r="D37" s="620" t="s">
        <v>695</v>
      </c>
      <c r="E37" s="621"/>
      <c r="F37" s="621"/>
      <c r="G37" s="201">
        <v>20</v>
      </c>
      <c r="H37" s="201">
        <v>1790</v>
      </c>
      <c r="I37" s="202">
        <v>89.5</v>
      </c>
      <c r="J37" s="352">
        <f>I37-I11</f>
        <v>0</v>
      </c>
      <c r="K37" s="620"/>
      <c r="L37" s="621"/>
      <c r="O37" s="388"/>
      <c r="P37" s="387"/>
      <c r="Q37" s="387"/>
      <c r="R37" s="198"/>
    </row>
    <row r="38" spans="1:18" ht="15.75" customHeight="1">
      <c r="A38" s="618"/>
      <c r="B38" s="619"/>
      <c r="C38" s="199">
        <v>5</v>
      </c>
      <c r="D38" s="620" t="s">
        <v>343</v>
      </c>
      <c r="E38" s="621"/>
      <c r="F38" s="621"/>
      <c r="G38" s="201">
        <v>23</v>
      </c>
      <c r="H38" s="201">
        <v>1794.6703985573934</v>
      </c>
      <c r="I38" s="202">
        <v>78.029147763364932</v>
      </c>
      <c r="J38" s="352">
        <f>I38-I12</f>
        <v>3.3540372670756824E-2</v>
      </c>
      <c r="K38" s="620"/>
      <c r="L38" s="621"/>
      <c r="O38" s="388"/>
      <c r="P38" s="387"/>
      <c r="Q38" s="387"/>
      <c r="R38" s="198"/>
    </row>
    <row r="39" spans="1:18" ht="15.75" customHeight="1">
      <c r="A39" s="618"/>
      <c r="B39" s="619"/>
      <c r="C39" s="203" t="s">
        <v>204</v>
      </c>
      <c r="D39" s="620" t="s">
        <v>809</v>
      </c>
      <c r="E39" s="621"/>
      <c r="F39" s="621"/>
      <c r="G39" s="201">
        <v>21</v>
      </c>
      <c r="H39" s="201">
        <v>1282.5625923806451</v>
      </c>
      <c r="I39" s="202">
        <v>61.074409160983102</v>
      </c>
      <c r="J39" s="352"/>
      <c r="K39" s="620"/>
      <c r="L39" s="621"/>
      <c r="O39" s="198"/>
      <c r="P39" s="387"/>
      <c r="Q39" s="387"/>
      <c r="R39" s="198"/>
    </row>
    <row r="40" spans="1:18" ht="15.75" customHeight="1">
      <c r="A40" s="618"/>
      <c r="B40" s="619"/>
      <c r="C40" s="203" t="s">
        <v>209</v>
      </c>
      <c r="D40" s="620" t="s">
        <v>342</v>
      </c>
      <c r="E40" s="621"/>
      <c r="F40" s="621"/>
      <c r="G40" s="201">
        <v>24</v>
      </c>
      <c r="H40" s="201">
        <v>1790.1688728749584</v>
      </c>
      <c r="I40" s="202">
        <v>74.590369703123272</v>
      </c>
      <c r="J40" s="352">
        <f>I40-I13</f>
        <v>-6.5476190476189799E-2</v>
      </c>
      <c r="K40" s="620"/>
      <c r="L40" s="621"/>
      <c r="O40" s="388"/>
      <c r="P40" s="387"/>
      <c r="Q40" s="387"/>
      <c r="R40" s="198"/>
    </row>
    <row r="41" spans="1:18" ht="15.75" customHeight="1">
      <c r="A41" s="618"/>
      <c r="B41" s="619"/>
      <c r="C41" s="203" t="s">
        <v>205</v>
      </c>
      <c r="D41" s="620" t="s">
        <v>341</v>
      </c>
      <c r="E41" s="621"/>
      <c r="F41" s="621"/>
      <c r="G41" s="201">
        <v>23</v>
      </c>
      <c r="H41" s="201">
        <v>1789.4606744690827</v>
      </c>
      <c r="I41" s="202">
        <v>77.802638020394923</v>
      </c>
      <c r="J41" s="352">
        <f>I41-I15</f>
        <v>-2.4080368837388733E-2</v>
      </c>
      <c r="K41" s="620"/>
      <c r="L41" s="621"/>
      <c r="N41" s="177"/>
      <c r="O41" s="389"/>
      <c r="P41" s="386"/>
      <c r="Q41" s="386"/>
      <c r="R41" s="177"/>
    </row>
    <row r="42" spans="1:18" ht="15.75" customHeight="1">
      <c r="A42" s="618"/>
      <c r="B42" s="619"/>
      <c r="C42" s="203" t="s">
        <v>210</v>
      </c>
      <c r="D42" s="620" t="s">
        <v>349</v>
      </c>
      <c r="E42" s="621"/>
      <c r="F42" s="621"/>
      <c r="G42" s="201">
        <v>23</v>
      </c>
      <c r="H42" s="201">
        <v>1791.4464754263674</v>
      </c>
      <c r="I42" s="202">
        <v>77.888977192450753</v>
      </c>
      <c r="J42" s="352">
        <f>I42-I16</f>
        <v>4.7204968944058123E-2</v>
      </c>
      <c r="K42" s="620"/>
      <c r="L42" s="621"/>
      <c r="M42" s="98"/>
      <c r="O42" s="388"/>
      <c r="P42" s="387"/>
      <c r="Q42" s="387"/>
      <c r="R42" s="198"/>
    </row>
    <row r="43" spans="1:18" ht="15.75" customHeight="1">
      <c r="A43" s="618"/>
      <c r="B43" s="619"/>
      <c r="C43" s="203" t="s">
        <v>211</v>
      </c>
      <c r="D43" s="620"/>
      <c r="E43" s="621"/>
      <c r="F43" s="621"/>
      <c r="G43" s="201"/>
      <c r="H43" s="201"/>
      <c r="I43" s="202"/>
      <c r="J43" s="199"/>
      <c r="K43" s="620"/>
      <c r="L43" s="621"/>
      <c r="M43" s="98"/>
      <c r="O43" s="388"/>
      <c r="P43" s="387"/>
      <c r="Q43" s="387"/>
      <c r="R43" s="198"/>
    </row>
    <row r="44" spans="1:18" s="103" customFormat="1" ht="15.75" customHeight="1">
      <c r="A44" s="616" t="s">
        <v>188</v>
      </c>
      <c r="B44" s="616"/>
      <c r="C44" s="206" t="s">
        <v>47</v>
      </c>
      <c r="D44" s="616" t="s">
        <v>12</v>
      </c>
      <c r="E44" s="617"/>
      <c r="F44" s="617"/>
      <c r="G44" s="206" t="s">
        <v>46</v>
      </c>
      <c r="H44" s="206" t="s">
        <v>374</v>
      </c>
      <c r="I44" s="206" t="s">
        <v>375</v>
      </c>
      <c r="J44" s="159" t="s">
        <v>332</v>
      </c>
      <c r="K44" s="616" t="s">
        <v>51</v>
      </c>
      <c r="L44" s="617"/>
      <c r="M44" s="127"/>
      <c r="N44" s="188"/>
      <c r="O44" s="388"/>
      <c r="P44" s="387"/>
      <c r="Q44" s="387"/>
      <c r="R44" s="198"/>
    </row>
    <row r="45" spans="1:18" ht="15.75" customHeight="1">
      <c r="A45" s="618">
        <v>6</v>
      </c>
      <c r="B45" s="619" t="s">
        <v>136</v>
      </c>
      <c r="C45" s="199">
        <v>1</v>
      </c>
      <c r="D45" s="620" t="s">
        <v>583</v>
      </c>
      <c r="E45" s="621"/>
      <c r="F45" s="621"/>
      <c r="G45" s="199">
        <v>20</v>
      </c>
      <c r="H45" s="201">
        <v>1791.9455858679733</v>
      </c>
      <c r="I45" s="202">
        <v>89.597279293398643</v>
      </c>
      <c r="J45" s="352">
        <f t="shared" ref="J45:J53" si="0">I45-I19</f>
        <v>2.1428571428572241E-2</v>
      </c>
      <c r="K45" s="620"/>
      <c r="L45" s="621"/>
      <c r="M45" s="98"/>
      <c r="N45" s="198"/>
      <c r="O45" s="198"/>
      <c r="P45" s="387"/>
      <c r="Q45" s="387"/>
      <c r="R45" s="198"/>
    </row>
    <row r="46" spans="1:18" ht="15.75" customHeight="1">
      <c r="A46" s="618"/>
      <c r="B46" s="619"/>
      <c r="C46" s="199">
        <v>2</v>
      </c>
      <c r="D46" s="620" t="s">
        <v>438</v>
      </c>
      <c r="E46" s="621"/>
      <c r="F46" s="621"/>
      <c r="G46" s="201">
        <v>20</v>
      </c>
      <c r="H46" s="201">
        <v>1789.5201174019098</v>
      </c>
      <c r="I46" s="202">
        <v>89.476005870095491</v>
      </c>
      <c r="J46" s="352">
        <f t="shared" si="0"/>
        <v>0.11124527745326418</v>
      </c>
      <c r="K46" s="620"/>
      <c r="L46" s="621"/>
      <c r="M46" s="98"/>
      <c r="O46" s="198"/>
      <c r="P46" s="387"/>
      <c r="Q46" s="387"/>
      <c r="R46" s="198"/>
    </row>
    <row r="47" spans="1:18" ht="15.75" customHeight="1">
      <c r="A47" s="618"/>
      <c r="B47" s="619"/>
      <c r="C47" s="199">
        <v>3</v>
      </c>
      <c r="D47" s="620" t="s">
        <v>436</v>
      </c>
      <c r="E47" s="621"/>
      <c r="F47" s="621"/>
      <c r="G47" s="201">
        <v>22</v>
      </c>
      <c r="H47" s="201">
        <v>1789.9796763500092</v>
      </c>
      <c r="I47" s="202">
        <v>81.362712561364063</v>
      </c>
      <c r="J47" s="352">
        <f t="shared" si="0"/>
        <v>7.5585424106492383E-2</v>
      </c>
      <c r="K47" s="620"/>
      <c r="L47" s="621"/>
      <c r="M47" s="98"/>
      <c r="O47" s="198"/>
      <c r="P47" s="387"/>
      <c r="Q47" s="387"/>
      <c r="R47" s="198"/>
    </row>
    <row r="48" spans="1:18" ht="15.75" customHeight="1">
      <c r="A48" s="618"/>
      <c r="B48" s="619"/>
      <c r="C48" s="199">
        <v>4</v>
      </c>
      <c r="D48" s="620" t="s">
        <v>434</v>
      </c>
      <c r="E48" s="621"/>
      <c r="F48" s="621"/>
      <c r="G48" s="199">
        <v>23</v>
      </c>
      <c r="H48" s="201">
        <v>1795.143317917109</v>
      </c>
      <c r="I48" s="202">
        <v>78.049709474656908</v>
      </c>
      <c r="J48" s="352">
        <f t="shared" si="0"/>
        <v>-2.1118012422377319E-2</v>
      </c>
      <c r="K48" s="620"/>
      <c r="L48" s="621"/>
      <c r="M48" s="98"/>
      <c r="O48" s="198"/>
      <c r="P48" s="387"/>
      <c r="Q48" s="387"/>
      <c r="R48" s="198"/>
    </row>
    <row r="49" spans="1:18" ht="15.75" customHeight="1">
      <c r="A49" s="618"/>
      <c r="B49" s="619"/>
      <c r="C49" s="199">
        <v>5</v>
      </c>
      <c r="D49" s="620" t="s">
        <v>350</v>
      </c>
      <c r="E49" s="621"/>
      <c r="F49" s="621"/>
      <c r="G49" s="201">
        <v>23</v>
      </c>
      <c r="H49" s="201">
        <v>1793.5620868513204</v>
      </c>
      <c r="I49" s="202">
        <v>77.980960297883513</v>
      </c>
      <c r="J49" s="352">
        <f t="shared" si="0"/>
        <v>-6.2111801242238585E-2</v>
      </c>
      <c r="K49" s="620"/>
      <c r="L49" s="621"/>
      <c r="M49" s="98"/>
      <c r="O49" s="198"/>
      <c r="P49" s="387"/>
      <c r="Q49" s="387"/>
      <c r="R49" s="198"/>
    </row>
    <row r="50" spans="1:18" ht="15.75" customHeight="1">
      <c r="A50" s="618"/>
      <c r="B50" s="619"/>
      <c r="C50" s="203" t="s">
        <v>204</v>
      </c>
      <c r="D50" s="620" t="s">
        <v>509</v>
      </c>
      <c r="E50" s="621"/>
      <c r="F50" s="621"/>
      <c r="G50" s="199">
        <v>25</v>
      </c>
      <c r="H50" s="201">
        <v>1790.8431649766985</v>
      </c>
      <c r="I50" s="202">
        <v>71.633726599067941</v>
      </c>
      <c r="J50" s="352">
        <f t="shared" si="0"/>
        <v>0.10583955943241108</v>
      </c>
      <c r="K50" s="620"/>
      <c r="L50" s="621"/>
      <c r="M50" s="98"/>
      <c r="O50" s="198"/>
      <c r="P50" s="387"/>
      <c r="Q50" s="387"/>
      <c r="R50" s="198"/>
    </row>
    <row r="51" spans="1:18" ht="15.75" customHeight="1">
      <c r="A51" s="618"/>
      <c r="B51" s="619"/>
      <c r="C51" s="203" t="s">
        <v>209</v>
      </c>
      <c r="D51" s="620" t="s">
        <v>743</v>
      </c>
      <c r="E51" s="621"/>
      <c r="F51" s="621"/>
      <c r="G51" s="199">
        <v>24</v>
      </c>
      <c r="H51" s="201">
        <v>1789.145631177269</v>
      </c>
      <c r="I51" s="202">
        <v>74.547734632386209</v>
      </c>
      <c r="J51" s="352">
        <f t="shared" si="0"/>
        <v>2.4963386309324136</v>
      </c>
      <c r="K51" s="620"/>
      <c r="L51" s="621"/>
      <c r="M51" s="98"/>
      <c r="O51" s="198"/>
      <c r="P51" s="387"/>
      <c r="Q51" s="387"/>
      <c r="R51" s="198"/>
    </row>
    <row r="52" spans="1:18" ht="15.75" customHeight="1">
      <c r="A52" s="618"/>
      <c r="B52" s="619"/>
      <c r="C52" s="203" t="s">
        <v>205</v>
      </c>
      <c r="D52" s="620" t="s">
        <v>351</v>
      </c>
      <c r="E52" s="621"/>
      <c r="F52" s="621"/>
      <c r="G52" s="199">
        <v>24</v>
      </c>
      <c r="H52" s="201">
        <v>1797.3831010773981</v>
      </c>
      <c r="I52" s="202">
        <v>74.890962544891607</v>
      </c>
      <c r="J52" s="352">
        <f t="shared" si="0"/>
        <v>1.9047619047654507E-2</v>
      </c>
      <c r="K52" s="620"/>
      <c r="L52" s="621"/>
      <c r="M52" s="98"/>
      <c r="O52" s="198"/>
      <c r="P52" s="387"/>
      <c r="Q52" s="387"/>
      <c r="R52" s="198"/>
    </row>
    <row r="53" spans="1:18" ht="15.75" customHeight="1">
      <c r="A53" s="618"/>
      <c r="B53" s="619"/>
      <c r="C53" s="203" t="s">
        <v>210</v>
      </c>
      <c r="D53" s="620" t="s">
        <v>352</v>
      </c>
      <c r="E53" s="621"/>
      <c r="F53" s="621"/>
      <c r="G53" s="199">
        <v>23</v>
      </c>
      <c r="H53" s="201">
        <v>1790.4281604436248</v>
      </c>
      <c r="I53" s="202">
        <v>77.844702627983679</v>
      </c>
      <c r="J53" s="352">
        <f t="shared" si="0"/>
        <v>0.13898554476425318</v>
      </c>
      <c r="K53" s="620"/>
      <c r="L53" s="621"/>
      <c r="M53" s="98"/>
      <c r="O53" s="198"/>
      <c r="P53" s="387"/>
      <c r="Q53" s="387"/>
      <c r="R53" s="198"/>
    </row>
    <row r="54" spans="1:18" ht="15.75" customHeight="1">
      <c r="A54" s="618"/>
      <c r="B54" s="619"/>
      <c r="C54" s="203" t="s">
        <v>211</v>
      </c>
      <c r="D54" s="620"/>
      <c r="E54" s="621"/>
      <c r="F54" s="621"/>
      <c r="G54" s="199"/>
      <c r="H54" s="201"/>
      <c r="I54" s="202"/>
      <c r="J54" s="352"/>
      <c r="K54" s="620"/>
      <c r="L54" s="621"/>
      <c r="M54" s="98"/>
      <c r="O54" s="198"/>
      <c r="P54" s="387"/>
      <c r="Q54" s="387"/>
      <c r="R54" s="198"/>
    </row>
    <row r="55" spans="1:18" s="188" customFormat="1" ht="15.75" customHeight="1">
      <c r="A55" s="622" t="s">
        <v>805</v>
      </c>
      <c r="B55" s="622"/>
      <c r="C55" s="622"/>
      <c r="D55" s="622"/>
      <c r="E55" s="622"/>
      <c r="F55" s="622"/>
      <c r="G55" s="622"/>
      <c r="H55" s="622"/>
      <c r="I55" s="622"/>
      <c r="J55" s="622"/>
      <c r="K55" s="622"/>
      <c r="L55" s="622"/>
    </row>
    <row r="56" spans="1:18" s="189" customFormat="1" ht="15.75" customHeight="1">
      <c r="A56" s="622"/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</row>
    <row r="57" spans="1:18" s="105" customFormat="1" ht="16.399999999999999" customHeight="1">
      <c r="A57" s="618" t="s">
        <v>162</v>
      </c>
      <c r="B57" s="169">
        <v>1</v>
      </c>
      <c r="C57" s="169">
        <v>2</v>
      </c>
      <c r="D57" s="169">
        <v>3</v>
      </c>
      <c r="E57" s="169">
        <v>4</v>
      </c>
      <c r="F57" s="190">
        <v>5</v>
      </c>
      <c r="G57" s="190">
        <v>6</v>
      </c>
      <c r="H57" s="169">
        <v>7</v>
      </c>
      <c r="I57" s="169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99999999999999" customHeight="1">
      <c r="A58" s="618"/>
      <c r="B58" s="194" t="s">
        <v>206</v>
      </c>
      <c r="C58" s="194" t="s">
        <v>155</v>
      </c>
      <c r="D58" s="194" t="s">
        <v>207</v>
      </c>
      <c r="E58" s="194" t="s">
        <v>156</v>
      </c>
      <c r="F58" s="193" t="s">
        <v>348</v>
      </c>
      <c r="G58" s="208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19" t="s">
        <v>188</v>
      </c>
      <c r="B59" s="619"/>
      <c r="C59" s="159" t="s">
        <v>47</v>
      </c>
      <c r="D59" s="619" t="s">
        <v>12</v>
      </c>
      <c r="E59" s="623"/>
      <c r="F59" s="623"/>
      <c r="G59" s="159" t="s">
        <v>46</v>
      </c>
      <c r="H59" s="159" t="s">
        <v>374</v>
      </c>
      <c r="I59" s="159" t="s">
        <v>375</v>
      </c>
      <c r="J59" s="159" t="s">
        <v>332</v>
      </c>
      <c r="K59" s="619" t="s">
        <v>51</v>
      </c>
      <c r="L59" s="623"/>
      <c r="M59" s="126"/>
      <c r="N59" s="188"/>
      <c r="O59" s="388"/>
      <c r="P59" s="387"/>
      <c r="Q59" s="387"/>
      <c r="R59" s="198"/>
    </row>
    <row r="60" spans="1:18" ht="15.75" customHeight="1">
      <c r="A60" s="618">
        <v>5</v>
      </c>
      <c r="B60" s="619" t="s">
        <v>348</v>
      </c>
      <c r="C60" s="199">
        <v>1</v>
      </c>
      <c r="D60" s="620"/>
      <c r="E60" s="621"/>
      <c r="F60" s="621"/>
      <c r="G60" s="199"/>
      <c r="H60" s="201"/>
      <c r="I60" s="202"/>
      <c r="J60" s="352">
        <f>I60-I35</f>
        <v>-99.42219042275299</v>
      </c>
      <c r="K60" s="624"/>
      <c r="L60" s="621"/>
      <c r="O60" s="388"/>
      <c r="P60" s="387"/>
      <c r="Q60" s="387"/>
      <c r="R60" s="198"/>
    </row>
    <row r="61" spans="1:18" ht="15.75" customHeight="1">
      <c r="A61" s="618"/>
      <c r="B61" s="619"/>
      <c r="C61" s="199">
        <v>2</v>
      </c>
      <c r="D61" s="620"/>
      <c r="E61" s="621"/>
      <c r="F61" s="621"/>
      <c r="G61" s="199"/>
      <c r="H61" s="201"/>
      <c r="I61" s="202"/>
      <c r="J61" s="352"/>
      <c r="K61" s="620"/>
      <c r="L61" s="621"/>
      <c r="O61" s="388"/>
      <c r="P61" s="387"/>
      <c r="Q61" s="387"/>
      <c r="R61" s="198"/>
    </row>
    <row r="62" spans="1:18" ht="15.75" customHeight="1">
      <c r="A62" s="618"/>
      <c r="B62" s="619"/>
      <c r="C62" s="199">
        <v>3</v>
      </c>
      <c r="D62" s="620"/>
      <c r="E62" s="621"/>
      <c r="F62" s="621"/>
      <c r="G62" s="199"/>
      <c r="H62" s="201"/>
      <c r="I62" s="202"/>
      <c r="J62" s="352">
        <f t="shared" ref="J62:J68" si="1">I62-I36</f>
        <v>-94.21052631578948</v>
      </c>
      <c r="K62" s="624"/>
      <c r="L62" s="621"/>
      <c r="O62" s="388"/>
      <c r="P62" s="387"/>
      <c r="Q62" s="387"/>
      <c r="R62" s="198"/>
    </row>
    <row r="63" spans="1:18" ht="15.75" customHeight="1">
      <c r="A63" s="618"/>
      <c r="B63" s="619"/>
      <c r="C63" s="199">
        <v>4</v>
      </c>
      <c r="D63" s="620"/>
      <c r="E63" s="621"/>
      <c r="F63" s="621"/>
      <c r="G63" s="199"/>
      <c r="H63" s="201"/>
      <c r="I63" s="202"/>
      <c r="J63" s="352">
        <f t="shared" si="1"/>
        <v>-89.5</v>
      </c>
      <c r="K63" s="620"/>
      <c r="L63" s="621"/>
      <c r="O63" s="388"/>
      <c r="P63" s="387"/>
      <c r="Q63" s="387"/>
      <c r="R63" s="198"/>
    </row>
    <row r="64" spans="1:18" ht="15.75" customHeight="1">
      <c r="A64" s="618"/>
      <c r="B64" s="619"/>
      <c r="C64" s="199">
        <v>5</v>
      </c>
      <c r="D64" s="620"/>
      <c r="E64" s="621"/>
      <c r="F64" s="621"/>
      <c r="G64" s="199"/>
      <c r="H64" s="201"/>
      <c r="I64" s="202"/>
      <c r="J64" s="352">
        <f t="shared" si="1"/>
        <v>-78.029147763364932</v>
      </c>
      <c r="K64" s="620"/>
      <c r="L64" s="621"/>
      <c r="O64" s="388"/>
      <c r="P64" s="387"/>
      <c r="Q64" s="387"/>
      <c r="R64" s="198"/>
    </row>
    <row r="65" spans="1:18" ht="15.75" customHeight="1">
      <c r="A65" s="618"/>
      <c r="B65" s="619"/>
      <c r="C65" s="203" t="s">
        <v>204</v>
      </c>
      <c r="D65" s="620"/>
      <c r="E65" s="621"/>
      <c r="F65" s="621"/>
      <c r="G65" s="199"/>
      <c r="H65" s="201"/>
      <c r="I65" s="202"/>
      <c r="J65" s="352">
        <f t="shared" si="1"/>
        <v>-61.074409160983102</v>
      </c>
      <c r="K65" s="620"/>
      <c r="L65" s="621"/>
      <c r="O65" s="198"/>
      <c r="P65" s="387"/>
      <c r="Q65" s="387"/>
      <c r="R65" s="198"/>
    </row>
    <row r="66" spans="1:18" ht="15.75" customHeight="1">
      <c r="A66" s="618"/>
      <c r="B66" s="619"/>
      <c r="C66" s="203" t="s">
        <v>209</v>
      </c>
      <c r="D66" s="620"/>
      <c r="E66" s="621"/>
      <c r="F66" s="621"/>
      <c r="G66" s="199"/>
      <c r="H66" s="201"/>
      <c r="I66" s="202"/>
      <c r="J66" s="352">
        <f t="shared" si="1"/>
        <v>-74.590369703123272</v>
      </c>
      <c r="K66" s="620"/>
      <c r="L66" s="621"/>
      <c r="O66" s="388"/>
      <c r="P66" s="387"/>
      <c r="Q66" s="387"/>
      <c r="R66" s="198"/>
    </row>
    <row r="67" spans="1:18" ht="15.75" customHeight="1">
      <c r="A67" s="618"/>
      <c r="B67" s="619"/>
      <c r="C67" s="203" t="s">
        <v>205</v>
      </c>
      <c r="D67" s="620"/>
      <c r="E67" s="621"/>
      <c r="F67" s="621"/>
      <c r="G67" s="201"/>
      <c r="H67" s="201"/>
      <c r="I67" s="202"/>
      <c r="J67" s="352">
        <f t="shared" si="1"/>
        <v>-77.802638020394923</v>
      </c>
      <c r="K67" s="620"/>
      <c r="L67" s="621"/>
      <c r="N67" s="177"/>
      <c r="O67" s="389"/>
      <c r="P67" s="386"/>
      <c r="Q67" s="386"/>
      <c r="R67" s="177"/>
    </row>
    <row r="68" spans="1:18" ht="15.75" customHeight="1">
      <c r="A68" s="618"/>
      <c r="B68" s="619"/>
      <c r="C68" s="203" t="s">
        <v>210</v>
      </c>
      <c r="D68" s="620"/>
      <c r="E68" s="621"/>
      <c r="F68" s="621"/>
      <c r="G68" s="201"/>
      <c r="H68" s="201"/>
      <c r="I68" s="202"/>
      <c r="J68" s="352">
        <f t="shared" si="1"/>
        <v>-77.888977192450753</v>
      </c>
      <c r="K68" s="620"/>
      <c r="L68" s="621"/>
      <c r="M68" s="98"/>
      <c r="O68" s="388"/>
      <c r="P68" s="387"/>
      <c r="Q68" s="387"/>
      <c r="R68" s="198"/>
    </row>
    <row r="69" spans="1:18" ht="15.75" customHeight="1">
      <c r="A69" s="618"/>
      <c r="B69" s="619"/>
      <c r="C69" s="203" t="s">
        <v>211</v>
      </c>
      <c r="D69" s="620"/>
      <c r="E69" s="621"/>
      <c r="F69" s="621"/>
      <c r="G69" s="201"/>
      <c r="H69" s="201"/>
      <c r="I69" s="202"/>
      <c r="J69" s="199"/>
      <c r="K69" s="620"/>
      <c r="L69" s="621"/>
      <c r="M69" s="98"/>
      <c r="O69" s="388"/>
      <c r="P69" s="387"/>
      <c r="Q69" s="387"/>
      <c r="R69" s="198"/>
    </row>
    <row r="70" spans="1:18" s="103" customFormat="1" ht="15.75" customHeight="1">
      <c r="A70" s="616" t="s">
        <v>188</v>
      </c>
      <c r="B70" s="616"/>
      <c r="C70" s="206" t="s">
        <v>47</v>
      </c>
      <c r="D70" s="616" t="s">
        <v>12</v>
      </c>
      <c r="E70" s="617"/>
      <c r="F70" s="617"/>
      <c r="G70" s="206" t="s">
        <v>46</v>
      </c>
      <c r="H70" s="206" t="s">
        <v>374</v>
      </c>
      <c r="I70" s="206" t="s">
        <v>375</v>
      </c>
      <c r="J70" s="159" t="s">
        <v>332</v>
      </c>
      <c r="K70" s="616" t="s">
        <v>51</v>
      </c>
      <c r="L70" s="617"/>
      <c r="M70" s="127"/>
      <c r="N70" s="188"/>
      <c r="O70" s="388"/>
      <c r="P70" s="387"/>
      <c r="Q70" s="387"/>
      <c r="R70" s="198"/>
    </row>
    <row r="71" spans="1:18" ht="15.75" customHeight="1">
      <c r="A71" s="618">
        <v>6</v>
      </c>
      <c r="B71" s="619" t="s">
        <v>136</v>
      </c>
      <c r="C71" s="199">
        <v>1</v>
      </c>
      <c r="D71" s="620"/>
      <c r="E71" s="621"/>
      <c r="F71" s="621"/>
      <c r="G71" s="199"/>
      <c r="H71" s="201"/>
      <c r="I71" s="202"/>
      <c r="J71" s="352">
        <f t="shared" ref="J71:J76" si="2">I71-I45</f>
        <v>-89.597279293398643</v>
      </c>
      <c r="K71" s="620"/>
      <c r="L71" s="621"/>
      <c r="M71" s="98"/>
      <c r="N71" s="198"/>
      <c r="O71" s="198"/>
      <c r="P71" s="387"/>
      <c r="Q71" s="387"/>
      <c r="R71" s="198"/>
    </row>
    <row r="72" spans="1:18" ht="15.75" customHeight="1">
      <c r="A72" s="618"/>
      <c r="B72" s="619"/>
      <c r="C72" s="199">
        <v>2</v>
      </c>
      <c r="D72" s="620"/>
      <c r="E72" s="621"/>
      <c r="F72" s="621"/>
      <c r="G72" s="201"/>
      <c r="H72" s="201"/>
      <c r="I72" s="202"/>
      <c r="J72" s="352">
        <f t="shared" si="2"/>
        <v>-89.476005870095491</v>
      </c>
      <c r="K72" s="620"/>
      <c r="L72" s="621"/>
      <c r="M72" s="98"/>
      <c r="O72" s="198"/>
      <c r="P72" s="387"/>
      <c r="Q72" s="387"/>
      <c r="R72" s="198"/>
    </row>
    <row r="73" spans="1:18" ht="15.75" customHeight="1">
      <c r="A73" s="618"/>
      <c r="B73" s="619"/>
      <c r="C73" s="199">
        <v>3</v>
      </c>
      <c r="D73" s="620"/>
      <c r="E73" s="621"/>
      <c r="F73" s="621"/>
      <c r="G73" s="201"/>
      <c r="H73" s="201"/>
      <c r="I73" s="202"/>
      <c r="J73" s="352">
        <f t="shared" si="2"/>
        <v>-81.362712561364063</v>
      </c>
      <c r="K73" s="620"/>
      <c r="L73" s="621"/>
      <c r="M73" s="98"/>
      <c r="O73" s="198"/>
      <c r="P73" s="387"/>
      <c r="Q73" s="387"/>
      <c r="R73" s="198"/>
    </row>
    <row r="74" spans="1:18" ht="15.75" customHeight="1">
      <c r="A74" s="618"/>
      <c r="B74" s="619"/>
      <c r="C74" s="199">
        <v>4</v>
      </c>
      <c r="D74" s="620"/>
      <c r="E74" s="621"/>
      <c r="F74" s="621"/>
      <c r="G74" s="199"/>
      <c r="H74" s="201"/>
      <c r="I74" s="202"/>
      <c r="J74" s="352">
        <f t="shared" si="2"/>
        <v>-78.049709474656908</v>
      </c>
      <c r="K74" s="620"/>
      <c r="L74" s="621"/>
      <c r="M74" s="98"/>
      <c r="O74" s="198"/>
      <c r="P74" s="387"/>
      <c r="Q74" s="387"/>
      <c r="R74" s="198"/>
    </row>
    <row r="75" spans="1:18" ht="15.75" customHeight="1">
      <c r="A75" s="618"/>
      <c r="B75" s="619"/>
      <c r="C75" s="199">
        <v>5</v>
      </c>
      <c r="D75" s="620"/>
      <c r="E75" s="621"/>
      <c r="F75" s="621"/>
      <c r="G75" s="201"/>
      <c r="H75" s="201"/>
      <c r="I75" s="202"/>
      <c r="J75" s="352">
        <f t="shared" si="2"/>
        <v>-77.980960297883513</v>
      </c>
      <c r="K75" s="620"/>
      <c r="L75" s="621"/>
      <c r="M75" s="98"/>
      <c r="O75" s="198"/>
      <c r="P75" s="387"/>
      <c r="Q75" s="387"/>
      <c r="R75" s="198"/>
    </row>
    <row r="76" spans="1:18" ht="15.75" customHeight="1">
      <c r="A76" s="618"/>
      <c r="B76" s="619"/>
      <c r="C76" s="203" t="s">
        <v>204</v>
      </c>
      <c r="D76" s="620"/>
      <c r="E76" s="621"/>
      <c r="F76" s="621"/>
      <c r="G76" s="199"/>
      <c r="H76" s="201"/>
      <c r="I76" s="202"/>
      <c r="J76" s="352">
        <f t="shared" si="2"/>
        <v>-71.633726599067941</v>
      </c>
      <c r="K76" s="620"/>
      <c r="L76" s="621"/>
      <c r="M76" s="98"/>
      <c r="O76" s="198"/>
      <c r="P76" s="387"/>
      <c r="Q76" s="387"/>
      <c r="R76" s="198"/>
    </row>
    <row r="77" spans="1:18" ht="15.75" customHeight="1">
      <c r="A77" s="618"/>
      <c r="B77" s="619"/>
      <c r="C77" s="203" t="s">
        <v>209</v>
      </c>
      <c r="D77" s="620"/>
      <c r="E77" s="621"/>
      <c r="F77" s="621"/>
      <c r="G77" s="199"/>
      <c r="H77" s="201"/>
      <c r="I77" s="202"/>
      <c r="J77" s="352"/>
      <c r="K77" s="620"/>
      <c r="L77" s="621"/>
      <c r="M77" s="98"/>
      <c r="O77" s="198"/>
      <c r="P77" s="387"/>
      <c r="Q77" s="387"/>
      <c r="R77" s="198"/>
    </row>
    <row r="78" spans="1:18" ht="15.75" customHeight="1">
      <c r="A78" s="618"/>
      <c r="B78" s="619"/>
      <c r="C78" s="203" t="s">
        <v>205</v>
      </c>
      <c r="D78" s="620"/>
      <c r="E78" s="621"/>
      <c r="F78" s="621"/>
      <c r="G78" s="199"/>
      <c r="H78" s="201"/>
      <c r="I78" s="202"/>
      <c r="J78" s="352">
        <f>I78-I51</f>
        <v>-74.547734632386209</v>
      </c>
      <c r="K78" s="620"/>
      <c r="L78" s="621"/>
      <c r="M78" s="98"/>
      <c r="O78" s="198"/>
      <c r="P78" s="387"/>
      <c r="Q78" s="387"/>
      <c r="R78" s="198"/>
    </row>
    <row r="79" spans="1:18" ht="15.75" customHeight="1">
      <c r="A79" s="618"/>
      <c r="B79" s="619"/>
      <c r="C79" s="203" t="s">
        <v>210</v>
      </c>
      <c r="D79" s="620"/>
      <c r="E79" s="621"/>
      <c r="F79" s="621"/>
      <c r="G79" s="199"/>
      <c r="H79" s="201"/>
      <c r="I79" s="202"/>
      <c r="J79" s="352">
        <f>I79-I52</f>
        <v>-74.890962544891607</v>
      </c>
      <c r="K79" s="620"/>
      <c r="L79" s="621"/>
      <c r="M79" s="98"/>
      <c r="O79" s="198"/>
      <c r="P79" s="387"/>
      <c r="Q79" s="387"/>
      <c r="R79" s="198"/>
    </row>
    <row r="80" spans="1:18" ht="15.75" customHeight="1">
      <c r="A80" s="618"/>
      <c r="B80" s="619"/>
      <c r="C80" s="203" t="s">
        <v>211</v>
      </c>
      <c r="D80" s="620"/>
      <c r="E80" s="621"/>
      <c r="F80" s="621"/>
      <c r="G80" s="199"/>
      <c r="H80" s="201"/>
      <c r="I80" s="202"/>
      <c r="J80" s="352">
        <f>I80-I53</f>
        <v>-77.844702627983679</v>
      </c>
      <c r="K80" s="620"/>
      <c r="L80" s="621"/>
      <c r="M80" s="98"/>
      <c r="O80" s="198"/>
      <c r="P80" s="387"/>
      <c r="Q80" s="387"/>
      <c r="R80" s="198"/>
    </row>
  </sheetData>
  <mergeCells count="157"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K43:L43"/>
    <mergeCell ref="A1:L2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29:L30"/>
    <mergeCell ref="A31:A32"/>
    <mergeCell ref="A33:B33"/>
    <mergeCell ref="D33:F33"/>
    <mergeCell ref="K33:L33"/>
    <mergeCell ref="A34:A43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66:L66"/>
    <mergeCell ref="D67:F67"/>
    <mergeCell ref="K67:L67"/>
    <mergeCell ref="D68:F68"/>
    <mergeCell ref="D27:F27"/>
    <mergeCell ref="K27:L27"/>
    <mergeCell ref="D28:F28"/>
    <mergeCell ref="K28:L28"/>
    <mergeCell ref="K16:L16"/>
    <mergeCell ref="D17:F17"/>
    <mergeCell ref="K17:L17"/>
    <mergeCell ref="D51:F51"/>
    <mergeCell ref="K51:L51"/>
    <mergeCell ref="D52:F52"/>
    <mergeCell ref="K52:L52"/>
    <mergeCell ref="D53:F53"/>
    <mergeCell ref="K53:L53"/>
    <mergeCell ref="D54:F54"/>
    <mergeCell ref="K54:L54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1" manualBreakCount="1"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80"/>
  <sheetViews>
    <sheetView view="pageBreakPreview" topLeftCell="A16" zoomScale="110" zoomScaleNormal="60" zoomScaleSheetLayoutView="110" workbookViewId="0">
      <selection activeCell="J53" sqref="J53"/>
    </sheetView>
  </sheetViews>
  <sheetFormatPr defaultColWidth="12.54296875" defaultRowHeight="15.75" customHeight="1"/>
  <cols>
    <col min="1" max="1" width="6.453125" style="98" customWidth="1"/>
    <col min="2" max="10" width="11.54296875" style="98" customWidth="1"/>
    <col min="11" max="12" width="12.81640625" style="98" customWidth="1"/>
    <col min="13" max="13" width="12.54296875" style="99"/>
    <col min="14" max="18" width="12.54296875" style="188"/>
    <col min="19" max="16384" width="12.54296875" style="98"/>
  </cols>
  <sheetData>
    <row r="1" spans="1:18" ht="15.75" customHeight="1">
      <c r="A1" s="520" t="s">
        <v>372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98"/>
    </row>
    <row r="2" spans="1:18" s="99" customFormat="1" ht="15.75" customHeight="1">
      <c r="A2" s="520"/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N2" s="189"/>
      <c r="O2" s="189"/>
      <c r="P2" s="189"/>
      <c r="Q2" s="189"/>
      <c r="R2" s="189"/>
    </row>
    <row r="3" spans="1:18" s="188" customFormat="1" ht="15.75" customHeight="1">
      <c r="A3" s="622" t="s">
        <v>701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</row>
    <row r="4" spans="1:18" s="189" customFormat="1" ht="15.75" customHeight="1">
      <c r="A4" s="622"/>
      <c r="B4" s="622"/>
      <c r="C4" s="622"/>
      <c r="D4" s="622"/>
      <c r="E4" s="622"/>
      <c r="F4" s="622"/>
      <c r="G4" s="622"/>
      <c r="H4" s="622"/>
      <c r="I4" s="622"/>
      <c r="J4" s="622"/>
      <c r="K4" s="622"/>
      <c r="L4" s="622"/>
    </row>
    <row r="5" spans="1:18" s="105" customFormat="1" ht="16.399999999999999" customHeight="1">
      <c r="A5" s="631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90">
        <v>7</v>
      </c>
      <c r="I5" s="190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99999999999999" customHeight="1">
      <c r="A6" s="633"/>
      <c r="B6" s="194" t="s">
        <v>206</v>
      </c>
      <c r="C6" s="194" t="s">
        <v>155</v>
      </c>
      <c r="D6" s="194" t="s">
        <v>207</v>
      </c>
      <c r="E6" s="194" t="s">
        <v>156</v>
      </c>
      <c r="F6" s="194" t="s">
        <v>138</v>
      </c>
      <c r="G6" s="195" t="s">
        <v>136</v>
      </c>
      <c r="H6" s="193" t="s">
        <v>208</v>
      </c>
      <c r="I6" s="208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38" t="s">
        <v>188</v>
      </c>
      <c r="B7" s="639"/>
      <c r="C7" s="159" t="s">
        <v>47</v>
      </c>
      <c r="D7" s="638" t="s">
        <v>12</v>
      </c>
      <c r="E7" s="640"/>
      <c r="F7" s="639"/>
      <c r="G7" s="159" t="s">
        <v>46</v>
      </c>
      <c r="H7" s="159" t="s">
        <v>374</v>
      </c>
      <c r="I7" s="159" t="s">
        <v>375</v>
      </c>
      <c r="J7" s="159" t="s">
        <v>332</v>
      </c>
      <c r="K7" s="638" t="s">
        <v>51</v>
      </c>
      <c r="L7" s="639"/>
      <c r="M7" s="126"/>
      <c r="N7" s="188"/>
      <c r="O7" s="198"/>
      <c r="P7" s="387"/>
      <c r="Q7" s="387"/>
      <c r="R7" s="198"/>
    </row>
    <row r="8" spans="1:18" ht="15">
      <c r="A8" s="631">
        <v>7</v>
      </c>
      <c r="B8" s="634" t="s">
        <v>378</v>
      </c>
      <c r="C8" s="199">
        <v>1</v>
      </c>
      <c r="D8" s="637"/>
      <c r="E8" s="621"/>
      <c r="F8" s="621"/>
      <c r="G8" s="199"/>
      <c r="H8" s="201"/>
      <c r="I8" s="202"/>
      <c r="J8" s="199"/>
      <c r="K8" s="625"/>
      <c r="L8" s="627"/>
      <c r="N8" s="390"/>
      <c r="O8" s="198"/>
      <c r="P8" s="387"/>
      <c r="Q8" s="387"/>
      <c r="R8" s="198"/>
    </row>
    <row r="9" spans="1:18" ht="15">
      <c r="A9" s="632"/>
      <c r="B9" s="635"/>
      <c r="C9" s="199">
        <v>2</v>
      </c>
      <c r="D9" s="637"/>
      <c r="E9" s="621"/>
      <c r="F9" s="621"/>
      <c r="G9" s="199"/>
      <c r="H9" s="201"/>
      <c r="I9" s="202"/>
      <c r="J9" s="199"/>
      <c r="K9" s="625"/>
      <c r="L9" s="627"/>
      <c r="O9" s="198"/>
      <c r="P9" s="387"/>
      <c r="Q9" s="387"/>
      <c r="R9" s="198"/>
    </row>
    <row r="10" spans="1:18" ht="15">
      <c r="A10" s="632"/>
      <c r="B10" s="635"/>
      <c r="C10" s="199">
        <v>3</v>
      </c>
      <c r="D10" s="625"/>
      <c r="E10" s="626"/>
      <c r="F10" s="627"/>
      <c r="G10" s="199"/>
      <c r="H10" s="201"/>
      <c r="I10" s="202"/>
      <c r="J10" s="199"/>
      <c r="K10" s="625"/>
      <c r="L10" s="627"/>
      <c r="O10" s="198"/>
      <c r="P10" s="387"/>
      <c r="Q10" s="387"/>
      <c r="R10" s="198"/>
    </row>
    <row r="11" spans="1:18" ht="15">
      <c r="A11" s="632"/>
      <c r="B11" s="635"/>
      <c r="C11" s="199">
        <v>4</v>
      </c>
      <c r="D11" s="625"/>
      <c r="E11" s="626"/>
      <c r="F11" s="627"/>
      <c r="G11" s="199"/>
      <c r="H11" s="201"/>
      <c r="I11" s="202"/>
      <c r="J11" s="199"/>
      <c r="K11" s="625"/>
      <c r="L11" s="627"/>
      <c r="O11" s="198"/>
      <c r="P11" s="387"/>
      <c r="Q11" s="387"/>
      <c r="R11" s="198"/>
    </row>
    <row r="12" spans="1:18" ht="15">
      <c r="A12" s="632"/>
      <c r="B12" s="635"/>
      <c r="C12" s="199">
        <v>5</v>
      </c>
      <c r="D12" s="625"/>
      <c r="E12" s="626"/>
      <c r="F12" s="627"/>
      <c r="G12" s="199"/>
      <c r="H12" s="201"/>
      <c r="I12" s="202"/>
      <c r="J12" s="199"/>
      <c r="K12" s="625"/>
      <c r="L12" s="627"/>
      <c r="N12" s="177"/>
      <c r="O12" s="198"/>
      <c r="P12" s="387"/>
      <c r="Q12" s="387"/>
      <c r="R12" s="198"/>
    </row>
    <row r="13" spans="1:18" ht="15">
      <c r="A13" s="632"/>
      <c r="B13" s="635"/>
      <c r="C13" s="203" t="s">
        <v>204</v>
      </c>
      <c r="D13" s="625"/>
      <c r="E13" s="626"/>
      <c r="F13" s="627"/>
      <c r="G13" s="199"/>
      <c r="H13" s="201"/>
      <c r="I13" s="202"/>
      <c r="J13" s="199"/>
      <c r="K13" s="625"/>
      <c r="L13" s="627"/>
      <c r="N13" s="390"/>
      <c r="O13" s="198"/>
      <c r="P13" s="387"/>
      <c r="Q13" s="387"/>
      <c r="R13" s="198"/>
    </row>
    <row r="14" spans="1:18" ht="15">
      <c r="A14" s="632"/>
      <c r="B14" s="635"/>
      <c r="C14" s="203" t="s">
        <v>209</v>
      </c>
      <c r="D14" s="625"/>
      <c r="E14" s="626"/>
      <c r="F14" s="627"/>
      <c r="G14" s="199"/>
      <c r="H14" s="201"/>
      <c r="I14" s="202"/>
      <c r="J14" s="199"/>
      <c r="K14" s="625"/>
      <c r="L14" s="627"/>
      <c r="O14" s="198"/>
      <c r="P14" s="387"/>
      <c r="Q14" s="387"/>
      <c r="R14" s="198"/>
    </row>
    <row r="15" spans="1:18" ht="15">
      <c r="A15" s="632"/>
      <c r="B15" s="635"/>
      <c r="C15" s="203" t="s">
        <v>205</v>
      </c>
      <c r="D15" s="625"/>
      <c r="E15" s="626"/>
      <c r="F15" s="627"/>
      <c r="G15" s="199"/>
      <c r="H15" s="201"/>
      <c r="I15" s="202"/>
      <c r="J15" s="199"/>
      <c r="K15" s="625"/>
      <c r="L15" s="627"/>
      <c r="O15" s="198"/>
      <c r="P15" s="387"/>
      <c r="Q15" s="387"/>
      <c r="R15" s="198"/>
    </row>
    <row r="16" spans="1:18" ht="15">
      <c r="A16" s="632"/>
      <c r="B16" s="635"/>
      <c r="C16" s="203" t="s">
        <v>210</v>
      </c>
      <c r="D16" s="625"/>
      <c r="E16" s="626"/>
      <c r="F16" s="627"/>
      <c r="G16" s="199"/>
      <c r="H16" s="201"/>
      <c r="I16" s="202"/>
      <c r="J16" s="199"/>
      <c r="K16" s="625"/>
      <c r="L16" s="627"/>
      <c r="M16" s="98"/>
      <c r="O16" s="198"/>
      <c r="P16" s="387"/>
      <c r="Q16" s="387"/>
      <c r="R16" s="198"/>
    </row>
    <row r="17" spans="1:18" ht="15">
      <c r="A17" s="633"/>
      <c r="B17" s="636"/>
      <c r="C17" s="203" t="s">
        <v>211</v>
      </c>
      <c r="D17" s="625"/>
      <c r="E17" s="626"/>
      <c r="F17" s="627"/>
      <c r="G17" s="199"/>
      <c r="H17" s="201"/>
      <c r="I17" s="202"/>
      <c r="J17" s="199"/>
      <c r="K17" s="625"/>
      <c r="L17" s="627"/>
      <c r="M17" s="98"/>
      <c r="N17" s="198"/>
      <c r="O17" s="198"/>
      <c r="P17" s="387"/>
      <c r="Q17" s="387"/>
      <c r="R17" s="198"/>
    </row>
    <row r="18" spans="1:18" s="103" customFormat="1" ht="15">
      <c r="A18" s="628" t="s">
        <v>188</v>
      </c>
      <c r="B18" s="629"/>
      <c r="C18" s="206" t="s">
        <v>47</v>
      </c>
      <c r="D18" s="628" t="s">
        <v>12</v>
      </c>
      <c r="E18" s="630"/>
      <c r="F18" s="629"/>
      <c r="G18" s="206" t="s">
        <v>46</v>
      </c>
      <c r="H18" s="206" t="s">
        <v>374</v>
      </c>
      <c r="I18" s="206" t="s">
        <v>375</v>
      </c>
      <c r="J18" s="159" t="s">
        <v>332</v>
      </c>
      <c r="K18" s="628" t="s">
        <v>51</v>
      </c>
      <c r="L18" s="629"/>
      <c r="M18" s="127"/>
      <c r="N18" s="188"/>
      <c r="O18" s="198"/>
      <c r="P18" s="387"/>
      <c r="Q18" s="387"/>
      <c r="R18" s="198"/>
    </row>
    <row r="19" spans="1:18" ht="15">
      <c r="A19" s="631">
        <v>8</v>
      </c>
      <c r="B19" s="634" t="s">
        <v>379</v>
      </c>
      <c r="C19" s="199">
        <v>1</v>
      </c>
      <c r="D19" s="625" t="s">
        <v>534</v>
      </c>
      <c r="E19" s="626"/>
      <c r="F19" s="627"/>
      <c r="G19" s="199">
        <v>19</v>
      </c>
      <c r="H19" s="201">
        <v>3190.3979423240085</v>
      </c>
      <c r="I19" s="202">
        <v>167.91568117494782</v>
      </c>
      <c r="J19" s="352">
        <v>0.11639097744361493</v>
      </c>
      <c r="K19" s="620" t="s">
        <v>428</v>
      </c>
      <c r="L19" s="621"/>
      <c r="M19" s="98"/>
      <c r="O19" s="198"/>
      <c r="P19" s="387"/>
      <c r="Q19" s="387"/>
      <c r="R19" s="198"/>
    </row>
    <row r="20" spans="1:18" ht="15">
      <c r="A20" s="632"/>
      <c r="B20" s="635"/>
      <c r="C20" s="199">
        <v>2</v>
      </c>
      <c r="D20" s="625" t="s">
        <v>545</v>
      </c>
      <c r="E20" s="626"/>
      <c r="F20" s="627"/>
      <c r="G20" s="199">
        <v>19</v>
      </c>
      <c r="H20" s="201">
        <v>3187.0605783769715</v>
      </c>
      <c r="I20" s="202">
        <v>167.74003044089321</v>
      </c>
      <c r="J20" s="352">
        <v>9.7854892068312438E-2</v>
      </c>
      <c r="K20" s="620" t="s">
        <v>428</v>
      </c>
      <c r="L20" s="621"/>
      <c r="M20" s="98"/>
      <c r="O20" s="177"/>
      <c r="P20" s="386"/>
      <c r="Q20" s="386"/>
      <c r="R20" s="177"/>
    </row>
    <row r="21" spans="1:18" ht="15">
      <c r="A21" s="632"/>
      <c r="B21" s="635"/>
      <c r="C21" s="199">
        <v>3</v>
      </c>
      <c r="D21" s="625" t="s">
        <v>540</v>
      </c>
      <c r="E21" s="626"/>
      <c r="F21" s="627"/>
      <c r="G21" s="199">
        <v>19</v>
      </c>
      <c r="H21" s="201">
        <v>3185.7420154183096</v>
      </c>
      <c r="I21" s="202">
        <v>167.67063239043733</v>
      </c>
      <c r="J21" s="352">
        <v>-1.817269630353735E-2</v>
      </c>
      <c r="K21" s="620" t="s">
        <v>428</v>
      </c>
      <c r="L21" s="621"/>
      <c r="M21" s="98"/>
      <c r="O21" s="198"/>
      <c r="P21" s="387"/>
      <c r="Q21" s="387"/>
      <c r="R21" s="198"/>
    </row>
    <row r="22" spans="1:18" ht="15">
      <c r="A22" s="632"/>
      <c r="B22" s="635"/>
      <c r="C22" s="199">
        <v>4</v>
      </c>
      <c r="D22" s="625" t="s">
        <v>621</v>
      </c>
      <c r="E22" s="626"/>
      <c r="F22" s="627"/>
      <c r="G22" s="199">
        <v>19</v>
      </c>
      <c r="H22" s="201">
        <v>3184.8176608483977</v>
      </c>
      <c r="I22" s="202">
        <v>167.62198214991568</v>
      </c>
      <c r="J22" s="352">
        <v>-5.6240215624967504E-2</v>
      </c>
      <c r="K22" s="620" t="s">
        <v>428</v>
      </c>
      <c r="L22" s="621"/>
      <c r="M22" s="98"/>
      <c r="O22" s="198"/>
      <c r="P22" s="387"/>
      <c r="Q22" s="387"/>
      <c r="R22" s="198"/>
    </row>
    <row r="23" spans="1:18" ht="15">
      <c r="A23" s="632"/>
      <c r="B23" s="635"/>
      <c r="C23" s="199">
        <v>5</v>
      </c>
      <c r="D23" s="625" t="s">
        <v>532</v>
      </c>
      <c r="E23" s="626"/>
      <c r="F23" s="627"/>
      <c r="G23" s="199">
        <v>20</v>
      </c>
      <c r="H23" s="201">
        <v>3261.2765221447598</v>
      </c>
      <c r="I23" s="202">
        <v>163.06382610723799</v>
      </c>
      <c r="J23" s="352">
        <v>1.8000000000029104E-2</v>
      </c>
      <c r="K23" s="620" t="s">
        <v>428</v>
      </c>
      <c r="L23" s="621"/>
      <c r="M23" s="98"/>
      <c r="O23" s="198"/>
      <c r="P23" s="387"/>
      <c r="Q23" s="387"/>
      <c r="R23" s="198"/>
    </row>
    <row r="24" spans="1:18" ht="15">
      <c r="A24" s="632"/>
      <c r="B24" s="635"/>
      <c r="C24" s="203" t="s">
        <v>204</v>
      </c>
      <c r="D24" s="625" t="s">
        <v>601</v>
      </c>
      <c r="E24" s="626"/>
      <c r="F24" s="627"/>
      <c r="G24" s="199">
        <v>24</v>
      </c>
      <c r="H24" s="201">
        <v>3257.7008943134801</v>
      </c>
      <c r="I24" s="202">
        <v>135.73753726306168</v>
      </c>
      <c r="J24" s="352">
        <v>-0.16004051605551695</v>
      </c>
      <c r="K24" s="620" t="s">
        <v>428</v>
      </c>
      <c r="L24" s="621"/>
      <c r="M24" s="98"/>
      <c r="O24" s="198"/>
      <c r="P24" s="387"/>
      <c r="Q24" s="387"/>
      <c r="R24" s="198"/>
    </row>
    <row r="25" spans="1:18" ht="15">
      <c r="A25" s="632"/>
      <c r="B25" s="635"/>
      <c r="C25" s="203" t="s">
        <v>209</v>
      </c>
      <c r="D25" s="625" t="s">
        <v>642</v>
      </c>
      <c r="E25" s="626"/>
      <c r="F25" s="627"/>
      <c r="G25" s="199">
        <v>24</v>
      </c>
      <c r="H25" s="201">
        <v>3262.3733825413874</v>
      </c>
      <c r="I25" s="202">
        <v>135.93222427255782</v>
      </c>
      <c r="J25" s="352">
        <v>9.9513767793922625E-2</v>
      </c>
      <c r="K25" s="620" t="s">
        <v>428</v>
      </c>
      <c r="L25" s="621"/>
      <c r="M25" s="98"/>
      <c r="O25" s="198"/>
      <c r="P25" s="387"/>
      <c r="Q25" s="387"/>
      <c r="R25" s="198"/>
    </row>
    <row r="26" spans="1:18" ht="15">
      <c r="A26" s="632"/>
      <c r="B26" s="635"/>
      <c r="C26" s="203" t="s">
        <v>205</v>
      </c>
      <c r="D26" s="625" t="s">
        <v>533</v>
      </c>
      <c r="E26" s="626"/>
      <c r="F26" s="627"/>
      <c r="G26" s="199">
        <v>21</v>
      </c>
      <c r="H26" s="201">
        <v>3257.2949390732165</v>
      </c>
      <c r="I26" s="202">
        <v>155.10928281301025</v>
      </c>
      <c r="J26" s="352">
        <v>-1.9591836734662138E-2</v>
      </c>
      <c r="K26" s="620" t="s">
        <v>428</v>
      </c>
      <c r="L26" s="621"/>
      <c r="M26" s="98"/>
      <c r="O26" s="198"/>
      <c r="P26" s="387"/>
      <c r="Q26" s="387"/>
      <c r="R26" s="198"/>
    </row>
    <row r="27" spans="1:18" ht="15">
      <c r="A27" s="632"/>
      <c r="B27" s="635"/>
      <c r="C27" s="203" t="s">
        <v>210</v>
      </c>
      <c r="D27" s="625"/>
      <c r="E27" s="626"/>
      <c r="F27" s="627"/>
      <c r="G27" s="199"/>
      <c r="H27" s="201"/>
      <c r="I27" s="202"/>
      <c r="J27" s="199"/>
      <c r="K27" s="625"/>
      <c r="L27" s="627"/>
      <c r="M27" s="98"/>
      <c r="O27" s="198"/>
      <c r="P27" s="387"/>
      <c r="Q27" s="387"/>
      <c r="R27" s="198"/>
    </row>
    <row r="28" spans="1:18" ht="15">
      <c r="A28" s="633"/>
      <c r="B28" s="636"/>
      <c r="C28" s="203" t="s">
        <v>211</v>
      </c>
      <c r="D28" s="625"/>
      <c r="E28" s="626"/>
      <c r="F28" s="627"/>
      <c r="G28" s="199"/>
      <c r="H28" s="201"/>
      <c r="I28" s="202"/>
      <c r="J28" s="199"/>
      <c r="K28" s="625"/>
      <c r="L28" s="627"/>
      <c r="M28" s="98"/>
      <c r="O28" s="198"/>
      <c r="P28" s="387"/>
      <c r="Q28" s="387"/>
      <c r="R28" s="198"/>
    </row>
    <row r="29" spans="1:18" s="188" customFormat="1" ht="15.75" customHeight="1">
      <c r="A29" s="622" t="s">
        <v>799</v>
      </c>
      <c r="B29" s="622"/>
      <c r="C29" s="622"/>
      <c r="D29" s="622"/>
      <c r="E29" s="622"/>
      <c r="F29" s="622"/>
      <c r="G29" s="622"/>
      <c r="H29" s="622"/>
      <c r="I29" s="622"/>
      <c r="J29" s="622"/>
      <c r="K29" s="622"/>
      <c r="L29" s="622"/>
    </row>
    <row r="30" spans="1:18" s="189" customFormat="1" ht="15.75" customHeight="1">
      <c r="A30" s="622"/>
      <c r="B30" s="622"/>
      <c r="C30" s="622"/>
      <c r="D30" s="622"/>
      <c r="E30" s="622"/>
      <c r="F30" s="622"/>
      <c r="G30" s="622"/>
      <c r="H30" s="622"/>
      <c r="I30" s="622"/>
      <c r="J30" s="622"/>
      <c r="K30" s="622"/>
      <c r="L30" s="622"/>
    </row>
    <row r="31" spans="1:18" s="105" customFormat="1" ht="16.399999999999999" customHeight="1">
      <c r="A31" s="631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90">
        <v>7</v>
      </c>
      <c r="I31" s="190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99999999999999" customHeight="1">
      <c r="A32" s="633"/>
      <c r="B32" s="194" t="s">
        <v>206</v>
      </c>
      <c r="C32" s="194" t="s">
        <v>155</v>
      </c>
      <c r="D32" s="194" t="s">
        <v>207</v>
      </c>
      <c r="E32" s="194" t="s">
        <v>156</v>
      </c>
      <c r="F32" s="194" t="s">
        <v>138</v>
      </c>
      <c r="G32" s="195" t="s">
        <v>136</v>
      </c>
      <c r="H32" s="193" t="s">
        <v>208</v>
      </c>
      <c r="I32" s="208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38" t="s">
        <v>188</v>
      </c>
      <c r="B33" s="639"/>
      <c r="C33" s="159" t="s">
        <v>47</v>
      </c>
      <c r="D33" s="638" t="s">
        <v>12</v>
      </c>
      <c r="E33" s="640"/>
      <c r="F33" s="639"/>
      <c r="G33" s="159" t="s">
        <v>46</v>
      </c>
      <c r="H33" s="159" t="s">
        <v>374</v>
      </c>
      <c r="I33" s="159" t="s">
        <v>375</v>
      </c>
      <c r="J33" s="159" t="s">
        <v>332</v>
      </c>
      <c r="K33" s="638" t="s">
        <v>51</v>
      </c>
      <c r="L33" s="639"/>
      <c r="M33" s="126"/>
      <c r="N33" s="188"/>
      <c r="O33" s="198"/>
      <c r="P33" s="387"/>
      <c r="Q33" s="387"/>
      <c r="R33" s="198"/>
    </row>
    <row r="34" spans="1:18" ht="15">
      <c r="A34" s="631">
        <v>7</v>
      </c>
      <c r="B34" s="634" t="s">
        <v>378</v>
      </c>
      <c r="C34" s="199">
        <v>1</v>
      </c>
      <c r="D34" s="637"/>
      <c r="E34" s="621"/>
      <c r="F34" s="621"/>
      <c r="G34" s="199"/>
      <c r="H34" s="201"/>
      <c r="I34" s="202"/>
      <c r="J34" s="199"/>
      <c r="K34" s="625"/>
      <c r="L34" s="627"/>
      <c r="N34" s="390"/>
      <c r="O34" s="198"/>
      <c r="P34" s="387"/>
      <c r="Q34" s="387"/>
      <c r="R34" s="198"/>
    </row>
    <row r="35" spans="1:18" ht="15">
      <c r="A35" s="632"/>
      <c r="B35" s="635"/>
      <c r="C35" s="199">
        <v>2</v>
      </c>
      <c r="D35" s="637"/>
      <c r="E35" s="621"/>
      <c r="F35" s="621"/>
      <c r="G35" s="199"/>
      <c r="H35" s="201"/>
      <c r="I35" s="202"/>
      <c r="J35" s="199"/>
      <c r="K35" s="625"/>
      <c r="L35" s="627"/>
      <c r="O35" s="198"/>
      <c r="P35" s="387"/>
      <c r="Q35" s="387"/>
      <c r="R35" s="198"/>
    </row>
    <row r="36" spans="1:18" ht="15">
      <c r="A36" s="632"/>
      <c r="B36" s="635"/>
      <c r="C36" s="199">
        <v>3</v>
      </c>
      <c r="D36" s="625"/>
      <c r="E36" s="626"/>
      <c r="F36" s="627"/>
      <c r="G36" s="199"/>
      <c r="H36" s="201"/>
      <c r="I36" s="202"/>
      <c r="J36" s="199"/>
      <c r="K36" s="625"/>
      <c r="L36" s="627"/>
      <c r="O36" s="198"/>
      <c r="P36" s="387"/>
      <c r="Q36" s="387"/>
      <c r="R36" s="198"/>
    </row>
    <row r="37" spans="1:18" ht="15">
      <c r="A37" s="632"/>
      <c r="B37" s="635"/>
      <c r="C37" s="199">
        <v>4</v>
      </c>
      <c r="D37" s="625"/>
      <c r="E37" s="626"/>
      <c r="F37" s="627"/>
      <c r="G37" s="199"/>
      <c r="H37" s="201"/>
      <c r="I37" s="202"/>
      <c r="J37" s="199"/>
      <c r="K37" s="625"/>
      <c r="L37" s="627"/>
      <c r="O37" s="198"/>
      <c r="P37" s="387"/>
      <c r="Q37" s="387"/>
      <c r="R37" s="198"/>
    </row>
    <row r="38" spans="1:18" ht="15">
      <c r="A38" s="632"/>
      <c r="B38" s="635"/>
      <c r="C38" s="199">
        <v>5</v>
      </c>
      <c r="D38" s="625"/>
      <c r="E38" s="626"/>
      <c r="F38" s="627"/>
      <c r="G38" s="199"/>
      <c r="H38" s="201"/>
      <c r="I38" s="202"/>
      <c r="J38" s="199"/>
      <c r="K38" s="625"/>
      <c r="L38" s="627"/>
      <c r="N38" s="177"/>
      <c r="O38" s="198"/>
      <c r="P38" s="387"/>
      <c r="Q38" s="387"/>
      <c r="R38" s="198"/>
    </row>
    <row r="39" spans="1:18" ht="15">
      <c r="A39" s="632"/>
      <c r="B39" s="635"/>
      <c r="C39" s="203" t="s">
        <v>204</v>
      </c>
      <c r="D39" s="625"/>
      <c r="E39" s="626"/>
      <c r="F39" s="627"/>
      <c r="G39" s="199"/>
      <c r="H39" s="201"/>
      <c r="I39" s="202"/>
      <c r="J39" s="199"/>
      <c r="K39" s="625"/>
      <c r="L39" s="627"/>
      <c r="N39" s="390"/>
      <c r="O39" s="198"/>
      <c r="P39" s="387"/>
      <c r="Q39" s="387"/>
      <c r="R39" s="198"/>
    </row>
    <row r="40" spans="1:18" ht="15">
      <c r="A40" s="632"/>
      <c r="B40" s="635"/>
      <c r="C40" s="203" t="s">
        <v>209</v>
      </c>
      <c r="D40" s="625"/>
      <c r="E40" s="626"/>
      <c r="F40" s="627"/>
      <c r="G40" s="199"/>
      <c r="H40" s="201"/>
      <c r="I40" s="202"/>
      <c r="J40" s="199"/>
      <c r="K40" s="625"/>
      <c r="L40" s="627"/>
      <c r="O40" s="198"/>
      <c r="P40" s="387"/>
      <c r="Q40" s="387"/>
      <c r="R40" s="198"/>
    </row>
    <row r="41" spans="1:18" ht="15">
      <c r="A41" s="632"/>
      <c r="B41" s="635"/>
      <c r="C41" s="203" t="s">
        <v>205</v>
      </c>
      <c r="D41" s="625"/>
      <c r="E41" s="626"/>
      <c r="F41" s="627"/>
      <c r="G41" s="199"/>
      <c r="H41" s="201"/>
      <c r="I41" s="202"/>
      <c r="J41" s="199"/>
      <c r="K41" s="625"/>
      <c r="L41" s="627"/>
      <c r="O41" s="198"/>
      <c r="P41" s="387"/>
      <c r="Q41" s="387"/>
      <c r="R41" s="198"/>
    </row>
    <row r="42" spans="1:18" ht="15">
      <c r="A42" s="632"/>
      <c r="B42" s="635"/>
      <c r="C42" s="203" t="s">
        <v>210</v>
      </c>
      <c r="D42" s="625"/>
      <c r="E42" s="626"/>
      <c r="F42" s="627"/>
      <c r="G42" s="199"/>
      <c r="H42" s="201"/>
      <c r="I42" s="202"/>
      <c r="J42" s="199"/>
      <c r="K42" s="625"/>
      <c r="L42" s="627"/>
      <c r="M42" s="98"/>
      <c r="O42" s="198"/>
      <c r="P42" s="387"/>
      <c r="Q42" s="387"/>
      <c r="R42" s="198"/>
    </row>
    <row r="43" spans="1:18" ht="15">
      <c r="A43" s="633"/>
      <c r="B43" s="636"/>
      <c r="C43" s="203" t="s">
        <v>211</v>
      </c>
      <c r="D43" s="625"/>
      <c r="E43" s="626"/>
      <c r="F43" s="627"/>
      <c r="G43" s="199"/>
      <c r="H43" s="201"/>
      <c r="I43" s="202"/>
      <c r="J43" s="199"/>
      <c r="K43" s="625"/>
      <c r="L43" s="627"/>
      <c r="M43" s="98"/>
      <c r="N43" s="198"/>
      <c r="O43" s="198"/>
      <c r="P43" s="387"/>
      <c r="Q43" s="387"/>
      <c r="R43" s="198"/>
    </row>
    <row r="44" spans="1:18" s="103" customFormat="1" ht="15">
      <c r="A44" s="628" t="s">
        <v>188</v>
      </c>
      <c r="B44" s="629"/>
      <c r="C44" s="206" t="s">
        <v>47</v>
      </c>
      <c r="D44" s="628" t="s">
        <v>12</v>
      </c>
      <c r="E44" s="630"/>
      <c r="F44" s="629"/>
      <c r="G44" s="206" t="s">
        <v>46</v>
      </c>
      <c r="H44" s="206" t="s">
        <v>374</v>
      </c>
      <c r="I44" s="206" t="s">
        <v>375</v>
      </c>
      <c r="J44" s="159" t="s">
        <v>332</v>
      </c>
      <c r="K44" s="628" t="s">
        <v>51</v>
      </c>
      <c r="L44" s="629"/>
      <c r="M44" s="127"/>
      <c r="N44" s="188"/>
      <c r="O44" s="198"/>
      <c r="P44" s="387"/>
      <c r="Q44" s="387"/>
      <c r="R44" s="198"/>
    </row>
    <row r="45" spans="1:18" ht="15">
      <c r="A45" s="631">
        <v>8</v>
      </c>
      <c r="B45" s="634" t="s">
        <v>379</v>
      </c>
      <c r="C45" s="199">
        <v>1</v>
      </c>
      <c r="D45" s="625" t="s">
        <v>534</v>
      </c>
      <c r="E45" s="626"/>
      <c r="F45" s="627"/>
      <c r="G45" s="199">
        <v>19</v>
      </c>
      <c r="H45" s="201">
        <v>3191.1179423240069</v>
      </c>
      <c r="I45" s="202">
        <v>167.95357591178981</v>
      </c>
      <c r="J45" s="352">
        <f>I45-I19</f>
        <v>3.7894736841991516E-2</v>
      </c>
      <c r="K45" s="620"/>
      <c r="L45" s="621"/>
      <c r="M45" s="98"/>
      <c r="O45" s="198"/>
      <c r="P45" s="387"/>
      <c r="Q45" s="387"/>
      <c r="R45" s="198"/>
    </row>
    <row r="46" spans="1:18" ht="15">
      <c r="A46" s="632"/>
      <c r="B46" s="635"/>
      <c r="C46" s="199">
        <v>2</v>
      </c>
      <c r="D46" s="625" t="s">
        <v>621</v>
      </c>
      <c r="E46" s="626"/>
      <c r="F46" s="627"/>
      <c r="G46" s="199">
        <v>19</v>
      </c>
      <c r="H46" s="201">
        <v>3188.4312659167049</v>
      </c>
      <c r="I46" s="202">
        <v>167.81217189035289</v>
      </c>
      <c r="J46" s="352">
        <f>I46-I22</f>
        <v>0.19018974043720505</v>
      </c>
      <c r="K46" s="620"/>
      <c r="L46" s="621"/>
      <c r="M46" s="98"/>
      <c r="O46" s="177"/>
      <c r="P46" s="386"/>
      <c r="Q46" s="386"/>
      <c r="R46" s="177"/>
    </row>
    <row r="47" spans="1:18" ht="15">
      <c r="A47" s="632"/>
      <c r="B47" s="635"/>
      <c r="C47" s="199">
        <v>3</v>
      </c>
      <c r="D47" s="625" t="s">
        <v>545</v>
      </c>
      <c r="E47" s="626"/>
      <c r="F47" s="627"/>
      <c r="G47" s="199">
        <v>19</v>
      </c>
      <c r="H47" s="201">
        <v>3187.7634355198265</v>
      </c>
      <c r="I47" s="202">
        <v>167.77702292209611</v>
      </c>
      <c r="J47" s="352">
        <f>I47-I20</f>
        <v>3.6992481202901217E-2</v>
      </c>
      <c r="K47" s="620"/>
      <c r="L47" s="621"/>
      <c r="M47" s="98"/>
      <c r="O47" s="198"/>
      <c r="P47" s="387"/>
      <c r="Q47" s="387"/>
      <c r="R47" s="198"/>
    </row>
    <row r="48" spans="1:18" ht="15">
      <c r="A48" s="632"/>
      <c r="B48" s="635"/>
      <c r="C48" s="199">
        <v>4</v>
      </c>
      <c r="D48" s="625" t="s">
        <v>540</v>
      </c>
      <c r="E48" s="626"/>
      <c r="F48" s="627"/>
      <c r="G48" s="199">
        <v>19</v>
      </c>
      <c r="H48" s="201">
        <v>3187.4416259245554</v>
      </c>
      <c r="I48" s="202">
        <v>167.76008557497661</v>
      </c>
      <c r="J48" s="352">
        <f>I48-I21</f>
        <v>8.9453184539280528E-2</v>
      </c>
      <c r="K48" s="620"/>
      <c r="L48" s="621"/>
      <c r="M48" s="98"/>
      <c r="O48" s="198"/>
      <c r="P48" s="387"/>
      <c r="Q48" s="387"/>
      <c r="R48" s="198"/>
    </row>
    <row r="49" spans="1:18" ht="15">
      <c r="A49" s="632"/>
      <c r="B49" s="635"/>
      <c r="C49" s="199">
        <v>5</v>
      </c>
      <c r="D49" s="625" t="s">
        <v>532</v>
      </c>
      <c r="E49" s="626"/>
      <c r="F49" s="627"/>
      <c r="G49" s="199">
        <v>20</v>
      </c>
      <c r="H49" s="201">
        <v>3261.8936650019027</v>
      </c>
      <c r="I49" s="202">
        <v>163.09468325009513</v>
      </c>
      <c r="J49" s="352">
        <f>I49-I23</f>
        <v>3.0857142857144026E-2</v>
      </c>
      <c r="K49" s="620"/>
      <c r="L49" s="621"/>
      <c r="M49" s="98"/>
      <c r="O49" s="198"/>
      <c r="P49" s="387"/>
      <c r="Q49" s="387"/>
      <c r="R49" s="198"/>
    </row>
    <row r="50" spans="1:18" ht="15">
      <c r="A50" s="632"/>
      <c r="B50" s="635"/>
      <c r="C50" s="203" t="s">
        <v>204</v>
      </c>
      <c r="D50" s="625" t="s">
        <v>601</v>
      </c>
      <c r="E50" s="626"/>
      <c r="F50" s="627"/>
      <c r="G50" s="199">
        <v>24</v>
      </c>
      <c r="H50" s="201">
        <v>3256.7237514563381</v>
      </c>
      <c r="I50" s="202">
        <v>135.69682297734741</v>
      </c>
      <c r="J50" s="352">
        <f>I50-I24</f>
        <v>-4.0714285714273046E-2</v>
      </c>
      <c r="K50" s="620"/>
      <c r="L50" s="621"/>
      <c r="M50" s="98"/>
      <c r="O50" s="198"/>
      <c r="P50" s="387"/>
      <c r="Q50" s="387"/>
      <c r="R50" s="198"/>
    </row>
    <row r="51" spans="1:18" ht="15">
      <c r="A51" s="632"/>
      <c r="B51" s="635"/>
      <c r="C51" s="203" t="s">
        <v>209</v>
      </c>
      <c r="D51" s="625" t="s">
        <v>642</v>
      </c>
      <c r="E51" s="626"/>
      <c r="F51" s="627"/>
      <c r="G51" s="199">
        <v>24</v>
      </c>
      <c r="H51" s="201">
        <v>3263.9162396842435</v>
      </c>
      <c r="I51" s="202">
        <v>135.99650998684348</v>
      </c>
      <c r="J51" s="352">
        <f>I51-I25</f>
        <v>6.4285714285659878E-2</v>
      </c>
      <c r="K51" s="620"/>
      <c r="L51" s="621"/>
      <c r="M51" s="98"/>
      <c r="O51" s="198"/>
      <c r="P51" s="387"/>
      <c r="Q51" s="387"/>
      <c r="R51" s="198"/>
    </row>
    <row r="52" spans="1:18" ht="15">
      <c r="A52" s="632"/>
      <c r="B52" s="635"/>
      <c r="C52" s="203" t="s">
        <v>205</v>
      </c>
      <c r="D52" s="625" t="s">
        <v>533</v>
      </c>
      <c r="E52" s="626"/>
      <c r="F52" s="627"/>
      <c r="G52" s="199">
        <v>21</v>
      </c>
      <c r="H52" s="201">
        <v>3260.0206533589308</v>
      </c>
      <c r="I52" s="202">
        <v>155.23907873137765</v>
      </c>
      <c r="J52" s="352">
        <f>I52-I26</f>
        <v>0.12979591836739246</v>
      </c>
      <c r="K52" s="620"/>
      <c r="L52" s="621"/>
      <c r="M52" s="98"/>
      <c r="O52" s="198"/>
      <c r="P52" s="387"/>
      <c r="Q52" s="387"/>
      <c r="R52" s="198"/>
    </row>
    <row r="53" spans="1:18" ht="15">
      <c r="A53" s="632"/>
      <c r="B53" s="635"/>
      <c r="C53" s="203" t="s">
        <v>210</v>
      </c>
      <c r="D53" s="625" t="s">
        <v>810</v>
      </c>
      <c r="E53" s="626"/>
      <c r="F53" s="627"/>
      <c r="G53" s="199">
        <v>20</v>
      </c>
      <c r="H53" s="201">
        <v>3118.1563459605654</v>
      </c>
      <c r="I53" s="202">
        <v>155.90781729802828</v>
      </c>
      <c r="J53" s="352"/>
      <c r="K53" s="625"/>
      <c r="L53" s="627"/>
      <c r="M53" s="98"/>
      <c r="O53" s="198"/>
      <c r="P53" s="387"/>
      <c r="Q53" s="387"/>
      <c r="R53" s="198"/>
    </row>
    <row r="54" spans="1:18" ht="15">
      <c r="A54" s="633"/>
      <c r="B54" s="636"/>
      <c r="C54" s="203" t="s">
        <v>211</v>
      </c>
      <c r="D54" s="625"/>
      <c r="E54" s="626"/>
      <c r="F54" s="627"/>
      <c r="G54" s="199"/>
      <c r="H54" s="201"/>
      <c r="I54" s="202"/>
      <c r="J54" s="199"/>
      <c r="K54" s="625"/>
      <c r="L54" s="627"/>
      <c r="M54" s="98"/>
      <c r="O54" s="198"/>
      <c r="P54" s="387"/>
      <c r="Q54" s="387"/>
      <c r="R54" s="198"/>
    </row>
    <row r="55" spans="1:18" s="188" customFormat="1" ht="15.75" customHeight="1">
      <c r="A55" s="622" t="s">
        <v>805</v>
      </c>
      <c r="B55" s="622"/>
      <c r="C55" s="622"/>
      <c r="D55" s="622"/>
      <c r="E55" s="622"/>
      <c r="F55" s="622"/>
      <c r="G55" s="622"/>
      <c r="H55" s="622"/>
      <c r="I55" s="622"/>
      <c r="J55" s="622"/>
      <c r="K55" s="622"/>
      <c r="L55" s="622"/>
    </row>
    <row r="56" spans="1:18" s="189" customFormat="1" ht="15.75" customHeight="1">
      <c r="A56" s="622"/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</row>
    <row r="57" spans="1:18" s="105" customFormat="1" ht="16.399999999999999" customHeight="1">
      <c r="A57" s="631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90">
        <v>7</v>
      </c>
      <c r="I57" s="190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99999999999999" customHeight="1">
      <c r="A58" s="633"/>
      <c r="B58" s="194" t="s">
        <v>206</v>
      </c>
      <c r="C58" s="194" t="s">
        <v>155</v>
      </c>
      <c r="D58" s="194" t="s">
        <v>207</v>
      </c>
      <c r="E58" s="194" t="s">
        <v>156</v>
      </c>
      <c r="F58" s="194" t="s">
        <v>138</v>
      </c>
      <c r="G58" s="195" t="s">
        <v>136</v>
      </c>
      <c r="H58" s="193" t="s">
        <v>208</v>
      </c>
      <c r="I58" s="208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38" t="s">
        <v>188</v>
      </c>
      <c r="B59" s="639"/>
      <c r="C59" s="159" t="s">
        <v>47</v>
      </c>
      <c r="D59" s="638" t="s">
        <v>12</v>
      </c>
      <c r="E59" s="640"/>
      <c r="F59" s="639"/>
      <c r="G59" s="159" t="s">
        <v>46</v>
      </c>
      <c r="H59" s="159" t="s">
        <v>374</v>
      </c>
      <c r="I59" s="159" t="s">
        <v>375</v>
      </c>
      <c r="J59" s="159" t="s">
        <v>332</v>
      </c>
      <c r="K59" s="638" t="s">
        <v>51</v>
      </c>
      <c r="L59" s="639"/>
      <c r="M59" s="126"/>
      <c r="N59" s="188"/>
      <c r="O59" s="198"/>
      <c r="P59" s="387"/>
      <c r="Q59" s="387"/>
      <c r="R59" s="198"/>
    </row>
    <row r="60" spans="1:18" ht="15">
      <c r="A60" s="631">
        <v>7</v>
      </c>
      <c r="B60" s="634" t="s">
        <v>378</v>
      </c>
      <c r="C60" s="199">
        <v>1</v>
      </c>
      <c r="D60" s="637"/>
      <c r="E60" s="621"/>
      <c r="F60" s="621"/>
      <c r="G60" s="199"/>
      <c r="H60" s="201"/>
      <c r="I60" s="202"/>
      <c r="J60" s="199"/>
      <c r="K60" s="625"/>
      <c r="L60" s="627"/>
      <c r="N60" s="390"/>
      <c r="O60" s="198"/>
      <c r="P60" s="387"/>
      <c r="Q60" s="387"/>
      <c r="R60" s="198"/>
    </row>
    <row r="61" spans="1:18" ht="15">
      <c r="A61" s="632"/>
      <c r="B61" s="635"/>
      <c r="C61" s="199">
        <v>2</v>
      </c>
      <c r="D61" s="637"/>
      <c r="E61" s="621"/>
      <c r="F61" s="621"/>
      <c r="G61" s="199"/>
      <c r="H61" s="201"/>
      <c r="I61" s="202"/>
      <c r="J61" s="199"/>
      <c r="K61" s="625"/>
      <c r="L61" s="627"/>
      <c r="O61" s="198"/>
      <c r="P61" s="387"/>
      <c r="Q61" s="387"/>
      <c r="R61" s="198"/>
    </row>
    <row r="62" spans="1:18" ht="15">
      <c r="A62" s="632"/>
      <c r="B62" s="635"/>
      <c r="C62" s="199">
        <v>3</v>
      </c>
      <c r="D62" s="625"/>
      <c r="E62" s="626"/>
      <c r="F62" s="627"/>
      <c r="G62" s="199"/>
      <c r="H62" s="201"/>
      <c r="I62" s="202"/>
      <c r="J62" s="199"/>
      <c r="K62" s="625"/>
      <c r="L62" s="627"/>
      <c r="O62" s="198"/>
      <c r="P62" s="387"/>
      <c r="Q62" s="387"/>
      <c r="R62" s="198"/>
    </row>
    <row r="63" spans="1:18" ht="15">
      <c r="A63" s="632"/>
      <c r="B63" s="635"/>
      <c r="C63" s="199">
        <v>4</v>
      </c>
      <c r="D63" s="625"/>
      <c r="E63" s="626"/>
      <c r="F63" s="627"/>
      <c r="G63" s="199"/>
      <c r="H63" s="201"/>
      <c r="I63" s="202"/>
      <c r="J63" s="199"/>
      <c r="K63" s="625"/>
      <c r="L63" s="627"/>
      <c r="O63" s="198"/>
      <c r="P63" s="387"/>
      <c r="Q63" s="387"/>
      <c r="R63" s="198"/>
    </row>
    <row r="64" spans="1:18" ht="15">
      <c r="A64" s="632"/>
      <c r="B64" s="635"/>
      <c r="C64" s="199">
        <v>5</v>
      </c>
      <c r="D64" s="625"/>
      <c r="E64" s="626"/>
      <c r="F64" s="627"/>
      <c r="G64" s="199"/>
      <c r="H64" s="201"/>
      <c r="I64" s="202"/>
      <c r="J64" s="199"/>
      <c r="K64" s="625"/>
      <c r="L64" s="627"/>
      <c r="N64" s="177"/>
      <c r="O64" s="198"/>
      <c r="P64" s="387"/>
      <c r="Q64" s="387"/>
      <c r="R64" s="198"/>
    </row>
    <row r="65" spans="1:18" ht="15">
      <c r="A65" s="632"/>
      <c r="B65" s="635"/>
      <c r="C65" s="203" t="s">
        <v>204</v>
      </c>
      <c r="D65" s="625"/>
      <c r="E65" s="626"/>
      <c r="F65" s="627"/>
      <c r="G65" s="199"/>
      <c r="H65" s="201"/>
      <c r="I65" s="202"/>
      <c r="J65" s="199"/>
      <c r="K65" s="625"/>
      <c r="L65" s="627"/>
      <c r="N65" s="390"/>
      <c r="O65" s="198"/>
      <c r="P65" s="387"/>
      <c r="Q65" s="387"/>
      <c r="R65" s="198"/>
    </row>
    <row r="66" spans="1:18" ht="15">
      <c r="A66" s="632"/>
      <c r="B66" s="635"/>
      <c r="C66" s="203" t="s">
        <v>209</v>
      </c>
      <c r="D66" s="625"/>
      <c r="E66" s="626"/>
      <c r="F66" s="627"/>
      <c r="G66" s="199"/>
      <c r="H66" s="201"/>
      <c r="I66" s="202"/>
      <c r="J66" s="199"/>
      <c r="K66" s="625"/>
      <c r="L66" s="627"/>
      <c r="O66" s="198"/>
      <c r="P66" s="387"/>
      <c r="Q66" s="387"/>
      <c r="R66" s="198"/>
    </row>
    <row r="67" spans="1:18" ht="15">
      <c r="A67" s="632"/>
      <c r="B67" s="635"/>
      <c r="C67" s="203" t="s">
        <v>205</v>
      </c>
      <c r="D67" s="625"/>
      <c r="E67" s="626"/>
      <c r="F67" s="627"/>
      <c r="G67" s="199"/>
      <c r="H67" s="201"/>
      <c r="I67" s="202"/>
      <c r="J67" s="199"/>
      <c r="K67" s="625"/>
      <c r="L67" s="627"/>
      <c r="O67" s="198"/>
      <c r="P67" s="387"/>
      <c r="Q67" s="387"/>
      <c r="R67" s="198"/>
    </row>
    <row r="68" spans="1:18" ht="15">
      <c r="A68" s="632"/>
      <c r="B68" s="635"/>
      <c r="C68" s="203" t="s">
        <v>210</v>
      </c>
      <c r="D68" s="625"/>
      <c r="E68" s="626"/>
      <c r="F68" s="627"/>
      <c r="G68" s="199"/>
      <c r="H68" s="201"/>
      <c r="I68" s="202"/>
      <c r="J68" s="199"/>
      <c r="K68" s="625"/>
      <c r="L68" s="627"/>
      <c r="M68" s="98"/>
      <c r="O68" s="198"/>
      <c r="P68" s="387"/>
      <c r="Q68" s="387"/>
      <c r="R68" s="198"/>
    </row>
    <row r="69" spans="1:18" ht="15">
      <c r="A69" s="633"/>
      <c r="B69" s="636"/>
      <c r="C69" s="203" t="s">
        <v>211</v>
      </c>
      <c r="D69" s="625"/>
      <c r="E69" s="626"/>
      <c r="F69" s="627"/>
      <c r="G69" s="199"/>
      <c r="H69" s="201"/>
      <c r="I69" s="202"/>
      <c r="J69" s="199"/>
      <c r="K69" s="625"/>
      <c r="L69" s="627"/>
      <c r="M69" s="98"/>
      <c r="N69" s="198"/>
      <c r="O69" s="198"/>
      <c r="P69" s="387"/>
      <c r="Q69" s="387"/>
      <c r="R69" s="198"/>
    </row>
    <row r="70" spans="1:18" s="103" customFormat="1" ht="15">
      <c r="A70" s="628" t="s">
        <v>188</v>
      </c>
      <c r="B70" s="629"/>
      <c r="C70" s="206" t="s">
        <v>47</v>
      </c>
      <c r="D70" s="628" t="s">
        <v>12</v>
      </c>
      <c r="E70" s="630"/>
      <c r="F70" s="629"/>
      <c r="G70" s="206" t="s">
        <v>46</v>
      </c>
      <c r="H70" s="206" t="s">
        <v>374</v>
      </c>
      <c r="I70" s="206" t="s">
        <v>375</v>
      </c>
      <c r="J70" s="159" t="s">
        <v>332</v>
      </c>
      <c r="K70" s="628" t="s">
        <v>51</v>
      </c>
      <c r="L70" s="629"/>
      <c r="M70" s="127"/>
      <c r="N70" s="188"/>
      <c r="O70" s="198"/>
      <c r="P70" s="387"/>
      <c r="Q70" s="387"/>
      <c r="R70" s="198"/>
    </row>
    <row r="71" spans="1:18" ht="15">
      <c r="A71" s="631">
        <v>8</v>
      </c>
      <c r="B71" s="634" t="s">
        <v>379</v>
      </c>
      <c r="C71" s="199">
        <v>1</v>
      </c>
      <c r="D71" s="625"/>
      <c r="E71" s="626"/>
      <c r="F71" s="627"/>
      <c r="G71" s="199"/>
      <c r="H71" s="201"/>
      <c r="I71" s="202"/>
      <c r="J71" s="352">
        <f>I71-I45</f>
        <v>-167.95357591178981</v>
      </c>
      <c r="K71" s="620"/>
      <c r="L71" s="621"/>
      <c r="M71" s="98"/>
      <c r="O71" s="198"/>
      <c r="P71" s="387"/>
      <c r="Q71" s="387"/>
      <c r="R71" s="198"/>
    </row>
    <row r="72" spans="1:18" ht="15">
      <c r="A72" s="632"/>
      <c r="B72" s="635"/>
      <c r="C72" s="199">
        <v>2</v>
      </c>
      <c r="D72" s="625"/>
      <c r="E72" s="626"/>
      <c r="F72" s="627"/>
      <c r="G72" s="199"/>
      <c r="H72" s="201"/>
      <c r="I72" s="202"/>
      <c r="J72" s="352">
        <f>I72-I48</f>
        <v>-167.76008557497661</v>
      </c>
      <c r="K72" s="620"/>
      <c r="L72" s="621"/>
      <c r="M72" s="98"/>
      <c r="O72" s="177"/>
      <c r="P72" s="386"/>
      <c r="Q72" s="386"/>
      <c r="R72" s="177"/>
    </row>
    <row r="73" spans="1:18" ht="15">
      <c r="A73" s="632"/>
      <c r="B73" s="635"/>
      <c r="C73" s="199">
        <v>3</v>
      </c>
      <c r="D73" s="625"/>
      <c r="E73" s="626"/>
      <c r="F73" s="627"/>
      <c r="G73" s="199"/>
      <c r="H73" s="201"/>
      <c r="I73" s="202"/>
      <c r="J73" s="352">
        <f>I73-I46</f>
        <v>-167.81217189035289</v>
      </c>
      <c r="K73" s="620"/>
      <c r="L73" s="621"/>
      <c r="M73" s="98"/>
      <c r="O73" s="198"/>
      <c r="P73" s="387"/>
      <c r="Q73" s="387"/>
      <c r="R73" s="198"/>
    </row>
    <row r="74" spans="1:18" ht="15">
      <c r="A74" s="632"/>
      <c r="B74" s="635"/>
      <c r="C74" s="199">
        <v>4</v>
      </c>
      <c r="D74" s="625"/>
      <c r="E74" s="626"/>
      <c r="F74" s="627"/>
      <c r="G74" s="199"/>
      <c r="H74" s="201"/>
      <c r="I74" s="202"/>
      <c r="J74" s="352">
        <f>I74-I47</f>
        <v>-167.77702292209611</v>
      </c>
      <c r="K74" s="620"/>
      <c r="L74" s="621"/>
      <c r="M74" s="98"/>
      <c r="O74" s="198"/>
      <c r="P74" s="387"/>
      <c r="Q74" s="387"/>
      <c r="R74" s="198"/>
    </row>
    <row r="75" spans="1:18" ht="15">
      <c r="A75" s="632"/>
      <c r="B75" s="635"/>
      <c r="C75" s="199">
        <v>5</v>
      </c>
      <c r="D75" s="625"/>
      <c r="E75" s="626"/>
      <c r="F75" s="627"/>
      <c r="G75" s="199"/>
      <c r="H75" s="201"/>
      <c r="I75" s="202"/>
      <c r="J75" s="352">
        <f>I75-I49</f>
        <v>-163.09468325009513</v>
      </c>
      <c r="K75" s="620"/>
      <c r="L75" s="621"/>
      <c r="M75" s="98"/>
      <c r="O75" s="198"/>
      <c r="P75" s="387"/>
      <c r="Q75" s="387"/>
      <c r="R75" s="198"/>
    </row>
    <row r="76" spans="1:18" ht="15">
      <c r="A76" s="632"/>
      <c r="B76" s="635"/>
      <c r="C76" s="203" t="s">
        <v>204</v>
      </c>
      <c r="D76" s="625"/>
      <c r="E76" s="626"/>
      <c r="F76" s="627"/>
      <c r="G76" s="199"/>
      <c r="H76" s="201"/>
      <c r="I76" s="202"/>
      <c r="J76" s="352">
        <f>I76-I51</f>
        <v>-135.99650998684348</v>
      </c>
      <c r="K76" s="620"/>
      <c r="L76" s="621"/>
      <c r="M76" s="98"/>
      <c r="O76" s="198"/>
      <c r="P76" s="387"/>
      <c r="Q76" s="387"/>
      <c r="R76" s="198"/>
    </row>
    <row r="77" spans="1:18" ht="15">
      <c r="A77" s="632"/>
      <c r="B77" s="635"/>
      <c r="C77" s="203" t="s">
        <v>209</v>
      </c>
      <c r="D77" s="625"/>
      <c r="E77" s="626"/>
      <c r="F77" s="627"/>
      <c r="G77" s="199"/>
      <c r="H77" s="201"/>
      <c r="I77" s="202"/>
      <c r="J77" s="352">
        <f>I77-I50</f>
        <v>-135.69682297734741</v>
      </c>
      <c r="K77" s="620"/>
      <c r="L77" s="621"/>
      <c r="M77" s="98"/>
      <c r="O77" s="198"/>
      <c r="P77" s="387"/>
      <c r="Q77" s="387"/>
      <c r="R77" s="198"/>
    </row>
    <row r="78" spans="1:18" ht="15">
      <c r="A78" s="632"/>
      <c r="B78" s="635"/>
      <c r="C78" s="203" t="s">
        <v>205</v>
      </c>
      <c r="D78" s="625"/>
      <c r="E78" s="626"/>
      <c r="F78" s="627"/>
      <c r="G78" s="199"/>
      <c r="H78" s="201"/>
      <c r="I78" s="202"/>
      <c r="J78" s="352">
        <f>I78-I52</f>
        <v>-155.23907873137765</v>
      </c>
      <c r="K78" s="620"/>
      <c r="L78" s="621"/>
      <c r="M78" s="98"/>
      <c r="O78" s="198"/>
      <c r="P78" s="387"/>
      <c r="Q78" s="387"/>
      <c r="R78" s="198"/>
    </row>
    <row r="79" spans="1:18" ht="15">
      <c r="A79" s="632"/>
      <c r="B79" s="635"/>
      <c r="C79" s="203" t="s">
        <v>210</v>
      </c>
      <c r="D79" s="625"/>
      <c r="E79" s="626"/>
      <c r="F79" s="627"/>
      <c r="G79" s="199"/>
      <c r="H79" s="201"/>
      <c r="I79" s="202"/>
      <c r="J79" s="199"/>
      <c r="K79" s="625"/>
      <c r="L79" s="627"/>
      <c r="M79" s="98"/>
      <c r="O79" s="198"/>
      <c r="P79" s="387"/>
      <c r="Q79" s="387"/>
      <c r="R79" s="198"/>
    </row>
    <row r="80" spans="1:18" ht="15">
      <c r="A80" s="633"/>
      <c r="B80" s="636"/>
      <c r="C80" s="203" t="s">
        <v>211</v>
      </c>
      <c r="D80" s="625"/>
      <c r="E80" s="626"/>
      <c r="F80" s="627"/>
      <c r="G80" s="199"/>
      <c r="H80" s="201"/>
      <c r="I80" s="202"/>
      <c r="J80" s="199"/>
      <c r="K80" s="625"/>
      <c r="L80" s="627"/>
      <c r="M80" s="98"/>
      <c r="O80" s="198"/>
      <c r="P80" s="387"/>
      <c r="Q80" s="387"/>
      <c r="R80" s="198"/>
    </row>
  </sheetData>
  <mergeCells count="157"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D7:F7"/>
    <mergeCell ref="K7:L7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A1:L2"/>
    <mergeCell ref="A55:L56"/>
    <mergeCell ref="A57:A58"/>
    <mergeCell ref="A59:B59"/>
    <mergeCell ref="D59:F59"/>
    <mergeCell ref="K59:L59"/>
    <mergeCell ref="D66:F66"/>
    <mergeCell ref="K66:L66"/>
    <mergeCell ref="K65:L65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R80"/>
  <sheetViews>
    <sheetView view="pageBreakPreview" topLeftCell="A14" zoomScale="110" zoomScaleNormal="60" zoomScaleSheetLayoutView="110" workbookViewId="0">
      <selection activeCell="J39" sqref="J39"/>
    </sheetView>
  </sheetViews>
  <sheetFormatPr defaultColWidth="12.54296875" defaultRowHeight="15.75" customHeight="1"/>
  <cols>
    <col min="1" max="1" width="6.453125" style="98" customWidth="1"/>
    <col min="2" max="10" width="11.54296875" style="98" customWidth="1"/>
    <col min="11" max="12" width="12.81640625" style="98" customWidth="1"/>
    <col min="13" max="13" width="12.54296875" style="99"/>
    <col min="14" max="18" width="12.54296875" style="188"/>
    <col min="19" max="16384" width="12.54296875" style="98"/>
  </cols>
  <sheetData>
    <row r="1" spans="1:18" ht="15.75" customHeight="1">
      <c r="A1" s="520" t="s">
        <v>372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98"/>
    </row>
    <row r="2" spans="1:18" s="99" customFormat="1" ht="15.75" customHeight="1">
      <c r="A2" s="520"/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N2" s="189"/>
      <c r="O2" s="189"/>
      <c r="P2" s="189"/>
      <c r="Q2" s="189"/>
      <c r="R2" s="189"/>
    </row>
    <row r="3" spans="1:18" s="188" customFormat="1" ht="15.75" customHeight="1">
      <c r="A3" s="622" t="s">
        <v>701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</row>
    <row r="4" spans="1:18" s="189" customFormat="1" ht="15.75" customHeight="1">
      <c r="A4" s="622"/>
      <c r="B4" s="622"/>
      <c r="C4" s="622"/>
      <c r="D4" s="622"/>
      <c r="E4" s="622"/>
      <c r="F4" s="622"/>
      <c r="G4" s="622"/>
      <c r="H4" s="622"/>
      <c r="I4" s="622"/>
      <c r="J4" s="622"/>
      <c r="K4" s="622"/>
      <c r="L4" s="622"/>
    </row>
    <row r="5" spans="1:18" s="105" customFormat="1" ht="16.399999999999999" customHeight="1">
      <c r="A5" s="631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90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99999999999999" customHeight="1">
      <c r="A6" s="633"/>
      <c r="B6" s="194" t="s">
        <v>206</v>
      </c>
      <c r="C6" s="194" t="s">
        <v>155</v>
      </c>
      <c r="D6" s="194" t="s">
        <v>207</v>
      </c>
      <c r="E6" s="194" t="s">
        <v>156</v>
      </c>
      <c r="F6" s="194" t="s">
        <v>138</v>
      </c>
      <c r="G6" s="195" t="s">
        <v>136</v>
      </c>
      <c r="H6" s="196" t="s">
        <v>208</v>
      </c>
      <c r="I6" s="195" t="s">
        <v>373</v>
      </c>
      <c r="J6" s="208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38" t="s">
        <v>188</v>
      </c>
      <c r="B7" s="639"/>
      <c r="C7" s="159" t="s">
        <v>47</v>
      </c>
      <c r="D7" s="638" t="s">
        <v>12</v>
      </c>
      <c r="E7" s="640"/>
      <c r="F7" s="639"/>
      <c r="G7" s="159" t="s">
        <v>46</v>
      </c>
      <c r="H7" s="159" t="s">
        <v>374</v>
      </c>
      <c r="I7" s="159" t="s">
        <v>375</v>
      </c>
      <c r="J7" s="159" t="s">
        <v>332</v>
      </c>
      <c r="K7" s="638" t="s">
        <v>51</v>
      </c>
      <c r="L7" s="639"/>
      <c r="M7" s="126"/>
      <c r="N7" s="188"/>
      <c r="O7" s="198"/>
      <c r="P7" s="387"/>
      <c r="Q7" s="387"/>
      <c r="R7" s="198"/>
    </row>
    <row r="8" spans="1:18" ht="15.75" customHeight="1">
      <c r="A8" s="631">
        <f>J5</f>
        <v>9</v>
      </c>
      <c r="B8" s="634" t="str">
        <f>J6</f>
        <v>微波小吃</v>
      </c>
      <c r="C8" s="199">
        <v>1</v>
      </c>
      <c r="D8" s="625" t="s">
        <v>624</v>
      </c>
      <c r="E8" s="626"/>
      <c r="F8" s="627"/>
      <c r="G8" s="199">
        <v>11</v>
      </c>
      <c r="H8" s="201">
        <v>1806.1836633946248</v>
      </c>
      <c r="I8" s="202">
        <v>164.19851485405681</v>
      </c>
      <c r="J8" s="352">
        <v>0.14327235426668494</v>
      </c>
      <c r="K8" s="625" t="s">
        <v>428</v>
      </c>
      <c r="L8" s="627"/>
      <c r="O8" s="198"/>
      <c r="P8" s="387"/>
      <c r="Q8" s="387"/>
      <c r="R8" s="198"/>
    </row>
    <row r="9" spans="1:18" ht="15.75" customHeight="1">
      <c r="A9" s="632"/>
      <c r="B9" s="635"/>
      <c r="C9" s="199">
        <v>2</v>
      </c>
      <c r="D9" s="625" t="s">
        <v>622</v>
      </c>
      <c r="E9" s="626"/>
      <c r="F9" s="627"/>
      <c r="G9" s="199">
        <v>11</v>
      </c>
      <c r="H9" s="201">
        <v>1804.6932335150127</v>
      </c>
      <c r="I9" s="202">
        <v>164.0630212286375</v>
      </c>
      <c r="J9" s="352">
        <v>-1.1232403991840556E-2</v>
      </c>
      <c r="K9" s="625" t="s">
        <v>428</v>
      </c>
      <c r="L9" s="627"/>
      <c r="O9" s="198"/>
      <c r="P9" s="387"/>
      <c r="Q9" s="387"/>
      <c r="R9" s="198"/>
    </row>
    <row r="10" spans="1:18" ht="15.75" customHeight="1">
      <c r="A10" s="632"/>
      <c r="B10" s="635"/>
      <c r="C10" s="199">
        <v>3</v>
      </c>
      <c r="D10" s="625" t="s">
        <v>674</v>
      </c>
      <c r="E10" s="626"/>
      <c r="F10" s="627"/>
      <c r="G10" s="199">
        <v>19</v>
      </c>
      <c r="H10" s="201">
        <v>1787.7152450743363</v>
      </c>
      <c r="I10" s="202">
        <v>94.090276056543999</v>
      </c>
      <c r="J10" s="352">
        <v>3.436529041246672E-2</v>
      </c>
      <c r="K10" s="625" t="s">
        <v>428</v>
      </c>
      <c r="L10" s="627"/>
      <c r="O10" s="198"/>
      <c r="P10" s="387"/>
      <c r="Q10" s="387"/>
      <c r="R10" s="198"/>
    </row>
    <row r="11" spans="1:18" ht="15.75" customHeight="1">
      <c r="A11" s="632"/>
      <c r="B11" s="635"/>
      <c r="C11" s="199">
        <v>4</v>
      </c>
      <c r="D11" s="625" t="s">
        <v>354</v>
      </c>
      <c r="E11" s="626"/>
      <c r="F11" s="627"/>
      <c r="G11" s="201">
        <v>13</v>
      </c>
      <c r="H11" s="201">
        <v>1082.5362039531706</v>
      </c>
      <c r="I11" s="202">
        <v>83.272015688705451</v>
      </c>
      <c r="J11" s="352">
        <v>4.8512552283355603E-2</v>
      </c>
      <c r="K11" s="625" t="s">
        <v>428</v>
      </c>
      <c r="L11" s="627"/>
      <c r="O11" s="198"/>
      <c r="P11" s="387"/>
      <c r="Q11" s="387"/>
      <c r="R11" s="198"/>
    </row>
    <row r="12" spans="1:18" ht="15.75" customHeight="1">
      <c r="A12" s="632"/>
      <c r="B12" s="635"/>
      <c r="C12" s="199">
        <v>5</v>
      </c>
      <c r="D12" s="625" t="s">
        <v>623</v>
      </c>
      <c r="E12" s="626"/>
      <c r="F12" s="627"/>
      <c r="G12" s="199">
        <v>22</v>
      </c>
      <c r="H12" s="201">
        <v>1800.2072198559144</v>
      </c>
      <c r="I12" s="202">
        <v>81.827600902541576</v>
      </c>
      <c r="J12" s="352">
        <v>2.0779220779246543E-2</v>
      </c>
      <c r="K12" s="625" t="s">
        <v>428</v>
      </c>
      <c r="L12" s="627"/>
      <c r="O12" s="198"/>
      <c r="P12" s="387"/>
      <c r="Q12" s="387"/>
      <c r="R12" s="198"/>
    </row>
    <row r="13" spans="1:18" ht="15.75" customHeight="1">
      <c r="A13" s="632"/>
      <c r="B13" s="635"/>
      <c r="C13" s="203" t="s">
        <v>204</v>
      </c>
      <c r="D13" s="625"/>
      <c r="E13" s="626"/>
      <c r="F13" s="627"/>
      <c r="G13" s="199"/>
      <c r="H13" s="201"/>
      <c r="I13" s="202"/>
      <c r="J13" s="199"/>
      <c r="K13" s="625"/>
      <c r="L13" s="627"/>
      <c r="O13" s="198"/>
      <c r="P13" s="387"/>
      <c r="Q13" s="387"/>
      <c r="R13" s="198"/>
    </row>
    <row r="14" spans="1:18" ht="15.75" customHeight="1">
      <c r="A14" s="632"/>
      <c r="B14" s="635"/>
      <c r="C14" s="203" t="s">
        <v>209</v>
      </c>
      <c r="D14" s="625"/>
      <c r="E14" s="626"/>
      <c r="F14" s="627"/>
      <c r="G14" s="199"/>
      <c r="H14" s="201"/>
      <c r="I14" s="202"/>
      <c r="J14" s="199"/>
      <c r="K14" s="625"/>
      <c r="L14" s="627"/>
      <c r="N14" s="177"/>
      <c r="O14" s="177"/>
      <c r="P14" s="386"/>
      <c r="Q14" s="386"/>
      <c r="R14" s="177"/>
    </row>
    <row r="15" spans="1:18" ht="15.75" customHeight="1">
      <c r="A15" s="632"/>
      <c r="B15" s="635"/>
      <c r="C15" s="203" t="s">
        <v>205</v>
      </c>
      <c r="D15" s="625"/>
      <c r="E15" s="626"/>
      <c r="F15" s="627"/>
      <c r="G15" s="199"/>
      <c r="H15" s="201"/>
      <c r="I15" s="202"/>
      <c r="J15" s="199"/>
      <c r="K15" s="625"/>
      <c r="L15" s="627"/>
      <c r="O15" s="198"/>
      <c r="P15" s="387"/>
      <c r="Q15" s="387"/>
      <c r="R15" s="198"/>
    </row>
    <row r="16" spans="1:18" ht="15.75" customHeight="1">
      <c r="A16" s="632"/>
      <c r="B16" s="635"/>
      <c r="C16" s="203" t="s">
        <v>210</v>
      </c>
      <c r="D16" s="625"/>
      <c r="E16" s="626"/>
      <c r="F16" s="627"/>
      <c r="G16" s="199"/>
      <c r="H16" s="201"/>
      <c r="I16" s="202"/>
      <c r="J16" s="199"/>
      <c r="K16" s="625"/>
      <c r="L16" s="627"/>
      <c r="M16" s="98"/>
      <c r="O16" s="198"/>
      <c r="P16" s="387"/>
      <c r="Q16" s="387"/>
      <c r="R16" s="198"/>
    </row>
    <row r="17" spans="1:18" ht="15.75" customHeight="1">
      <c r="A17" s="633"/>
      <c r="B17" s="636"/>
      <c r="C17" s="203" t="s">
        <v>211</v>
      </c>
      <c r="D17" s="625"/>
      <c r="E17" s="626"/>
      <c r="F17" s="627"/>
      <c r="G17" s="199"/>
      <c r="H17" s="201"/>
      <c r="I17" s="202"/>
      <c r="J17" s="199"/>
      <c r="K17" s="625"/>
      <c r="L17" s="627"/>
      <c r="M17" s="98"/>
      <c r="O17" s="198"/>
      <c r="P17" s="387"/>
      <c r="Q17" s="387"/>
      <c r="R17" s="198"/>
    </row>
    <row r="18" spans="1:18" s="103" customFormat="1" ht="15.75" customHeight="1">
      <c r="A18" s="628" t="s">
        <v>188</v>
      </c>
      <c r="B18" s="629"/>
      <c r="C18" s="206" t="s">
        <v>47</v>
      </c>
      <c r="D18" s="628" t="s">
        <v>12</v>
      </c>
      <c r="E18" s="630"/>
      <c r="F18" s="629"/>
      <c r="G18" s="206" t="s">
        <v>46</v>
      </c>
      <c r="H18" s="206" t="s">
        <v>374</v>
      </c>
      <c r="I18" s="206" t="s">
        <v>375</v>
      </c>
      <c r="J18" s="159" t="s">
        <v>332</v>
      </c>
      <c r="K18" s="628" t="s">
        <v>51</v>
      </c>
      <c r="L18" s="629"/>
      <c r="M18" s="127"/>
      <c r="N18" s="188"/>
      <c r="O18" s="198"/>
      <c r="P18" s="387"/>
      <c r="Q18" s="387"/>
      <c r="R18" s="198"/>
    </row>
    <row r="19" spans="1:18" ht="15.75" customHeight="1">
      <c r="A19" s="631"/>
      <c r="B19" s="634"/>
      <c r="C19" s="199">
        <v>1</v>
      </c>
      <c r="D19" s="625"/>
      <c r="E19" s="626"/>
      <c r="F19" s="627"/>
      <c r="G19" s="199"/>
      <c r="H19" s="201"/>
      <c r="I19" s="202"/>
      <c r="J19" s="199"/>
      <c r="K19" s="625"/>
      <c r="L19" s="627"/>
      <c r="M19" s="98"/>
      <c r="N19" s="198"/>
      <c r="O19" s="198"/>
      <c r="P19" s="387"/>
      <c r="Q19" s="387"/>
      <c r="R19" s="198"/>
    </row>
    <row r="20" spans="1:18" ht="15.75" customHeight="1">
      <c r="A20" s="632"/>
      <c r="B20" s="635"/>
      <c r="C20" s="199">
        <v>2</v>
      </c>
      <c r="D20" s="625"/>
      <c r="E20" s="626"/>
      <c r="F20" s="627"/>
      <c r="G20" s="199"/>
      <c r="H20" s="201"/>
      <c r="I20" s="202"/>
      <c r="J20" s="199"/>
      <c r="K20" s="625"/>
      <c r="L20" s="627"/>
      <c r="M20" s="98"/>
      <c r="O20" s="198"/>
      <c r="P20" s="387"/>
      <c r="Q20" s="387"/>
      <c r="R20" s="198"/>
    </row>
    <row r="21" spans="1:18" ht="15.75" customHeight="1">
      <c r="A21" s="632"/>
      <c r="B21" s="635"/>
      <c r="C21" s="199">
        <v>3</v>
      </c>
      <c r="D21" s="625"/>
      <c r="E21" s="626"/>
      <c r="F21" s="627"/>
      <c r="G21" s="199"/>
      <c r="H21" s="201"/>
      <c r="I21" s="202"/>
      <c r="J21" s="199"/>
      <c r="K21" s="625"/>
      <c r="L21" s="627"/>
      <c r="M21" s="98"/>
      <c r="O21" s="198"/>
      <c r="P21" s="387"/>
      <c r="Q21" s="387"/>
      <c r="R21" s="198"/>
    </row>
    <row r="22" spans="1:18" ht="15.75" customHeight="1">
      <c r="A22" s="632"/>
      <c r="B22" s="635"/>
      <c r="C22" s="199">
        <v>4</v>
      </c>
      <c r="D22" s="625"/>
      <c r="E22" s="626"/>
      <c r="F22" s="627"/>
      <c r="G22" s="199"/>
      <c r="H22" s="201"/>
      <c r="I22" s="202"/>
      <c r="J22" s="199"/>
      <c r="K22" s="625"/>
      <c r="L22" s="627"/>
      <c r="M22" s="98"/>
      <c r="O22" s="198"/>
      <c r="P22" s="387"/>
      <c r="Q22" s="387"/>
      <c r="R22" s="198"/>
    </row>
    <row r="23" spans="1:18" ht="15.75" customHeight="1">
      <c r="A23" s="632"/>
      <c r="B23" s="635"/>
      <c r="C23" s="199">
        <v>5</v>
      </c>
      <c r="D23" s="625"/>
      <c r="E23" s="626"/>
      <c r="F23" s="627"/>
      <c r="G23" s="199"/>
      <c r="H23" s="201"/>
      <c r="I23" s="202"/>
      <c r="J23" s="199"/>
      <c r="K23" s="625"/>
      <c r="L23" s="627"/>
      <c r="M23" s="98"/>
      <c r="O23" s="198"/>
      <c r="P23" s="387"/>
      <c r="Q23" s="387"/>
      <c r="R23" s="198"/>
    </row>
    <row r="24" spans="1:18" ht="15.75" customHeight="1">
      <c r="A24" s="632"/>
      <c r="B24" s="635"/>
      <c r="C24" s="203" t="s">
        <v>204</v>
      </c>
      <c r="D24" s="625"/>
      <c r="E24" s="626"/>
      <c r="F24" s="627"/>
      <c r="G24" s="199"/>
      <c r="H24" s="201"/>
      <c r="I24" s="202"/>
      <c r="J24" s="199"/>
      <c r="K24" s="625"/>
      <c r="L24" s="627"/>
      <c r="M24" s="98"/>
      <c r="O24" s="198"/>
      <c r="P24" s="387"/>
      <c r="Q24" s="387"/>
      <c r="R24" s="198"/>
    </row>
    <row r="25" spans="1:18" ht="15.75" customHeight="1">
      <c r="A25" s="632"/>
      <c r="B25" s="635"/>
      <c r="C25" s="203" t="s">
        <v>209</v>
      </c>
      <c r="D25" s="625"/>
      <c r="E25" s="626"/>
      <c r="F25" s="627"/>
      <c r="G25" s="199"/>
      <c r="H25" s="201"/>
      <c r="I25" s="202"/>
      <c r="J25" s="199"/>
      <c r="K25" s="625"/>
      <c r="L25" s="627"/>
      <c r="M25" s="98"/>
      <c r="O25" s="198"/>
      <c r="P25" s="387"/>
      <c r="Q25" s="387"/>
      <c r="R25" s="198"/>
    </row>
    <row r="26" spans="1:18" ht="15.75" customHeight="1">
      <c r="A26" s="632"/>
      <c r="B26" s="635"/>
      <c r="C26" s="203" t="s">
        <v>205</v>
      </c>
      <c r="D26" s="625"/>
      <c r="E26" s="626"/>
      <c r="F26" s="627"/>
      <c r="G26" s="199"/>
      <c r="H26" s="201"/>
      <c r="I26" s="202"/>
      <c r="J26" s="199"/>
      <c r="K26" s="625"/>
      <c r="L26" s="627"/>
      <c r="M26" s="98"/>
      <c r="O26" s="198"/>
      <c r="P26" s="387"/>
      <c r="Q26" s="387"/>
      <c r="R26" s="198"/>
    </row>
    <row r="27" spans="1:18" ht="15.75" customHeight="1">
      <c r="A27" s="632"/>
      <c r="B27" s="635"/>
      <c r="C27" s="203" t="s">
        <v>210</v>
      </c>
      <c r="D27" s="625"/>
      <c r="E27" s="626"/>
      <c r="F27" s="627"/>
      <c r="G27" s="199"/>
      <c r="H27" s="201"/>
      <c r="I27" s="202"/>
      <c r="J27" s="199"/>
      <c r="K27" s="625"/>
      <c r="L27" s="627"/>
      <c r="M27" s="98"/>
      <c r="O27" s="198"/>
      <c r="P27" s="387"/>
      <c r="Q27" s="387"/>
      <c r="R27" s="198"/>
    </row>
    <row r="28" spans="1:18" ht="15.75" customHeight="1">
      <c r="A28" s="633"/>
      <c r="B28" s="636"/>
      <c r="C28" s="203" t="s">
        <v>211</v>
      </c>
      <c r="D28" s="625"/>
      <c r="E28" s="626"/>
      <c r="F28" s="627"/>
      <c r="G28" s="199"/>
      <c r="H28" s="201"/>
      <c r="I28" s="202"/>
      <c r="J28" s="199"/>
      <c r="K28" s="625"/>
      <c r="L28" s="627"/>
      <c r="M28" s="98"/>
      <c r="O28" s="198"/>
      <c r="P28" s="387"/>
      <c r="Q28" s="387"/>
      <c r="R28" s="198"/>
    </row>
    <row r="29" spans="1:18" s="188" customFormat="1" ht="15.75" customHeight="1">
      <c r="A29" s="622" t="s">
        <v>799</v>
      </c>
      <c r="B29" s="622"/>
      <c r="C29" s="622"/>
      <c r="D29" s="622"/>
      <c r="E29" s="622"/>
      <c r="F29" s="622"/>
      <c r="G29" s="622"/>
      <c r="H29" s="622"/>
      <c r="I29" s="622"/>
      <c r="J29" s="622"/>
      <c r="K29" s="622"/>
      <c r="L29" s="622"/>
    </row>
    <row r="30" spans="1:18" s="189" customFormat="1" ht="15.75" customHeight="1">
      <c r="A30" s="622"/>
      <c r="B30" s="622"/>
      <c r="C30" s="622"/>
      <c r="D30" s="622"/>
      <c r="E30" s="622"/>
      <c r="F30" s="622"/>
      <c r="G30" s="622"/>
      <c r="H30" s="622"/>
      <c r="I30" s="622"/>
      <c r="J30" s="622"/>
      <c r="K30" s="622"/>
      <c r="L30" s="622"/>
    </row>
    <row r="31" spans="1:18" s="105" customFormat="1" ht="16.399999999999999" customHeight="1">
      <c r="A31" s="631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90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99999999999999" customHeight="1">
      <c r="A32" s="633"/>
      <c r="B32" s="194" t="s">
        <v>206</v>
      </c>
      <c r="C32" s="194" t="s">
        <v>155</v>
      </c>
      <c r="D32" s="194" t="s">
        <v>207</v>
      </c>
      <c r="E32" s="194" t="s">
        <v>156</v>
      </c>
      <c r="F32" s="194" t="s">
        <v>138</v>
      </c>
      <c r="G32" s="195" t="s">
        <v>136</v>
      </c>
      <c r="H32" s="196" t="s">
        <v>208</v>
      </c>
      <c r="I32" s="195" t="s">
        <v>373</v>
      </c>
      <c r="J32" s="208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38" t="s">
        <v>188</v>
      </c>
      <c r="B33" s="639"/>
      <c r="C33" s="159" t="s">
        <v>47</v>
      </c>
      <c r="D33" s="638" t="s">
        <v>12</v>
      </c>
      <c r="E33" s="640"/>
      <c r="F33" s="639"/>
      <c r="G33" s="159" t="s">
        <v>46</v>
      </c>
      <c r="H33" s="159" t="s">
        <v>374</v>
      </c>
      <c r="I33" s="159" t="s">
        <v>375</v>
      </c>
      <c r="J33" s="159" t="s">
        <v>332</v>
      </c>
      <c r="K33" s="638" t="s">
        <v>51</v>
      </c>
      <c r="L33" s="639"/>
      <c r="M33" s="126"/>
      <c r="N33" s="188"/>
      <c r="O33" s="198"/>
      <c r="P33" s="387"/>
      <c r="Q33" s="387"/>
      <c r="R33" s="198"/>
    </row>
    <row r="34" spans="1:18" ht="15.75" customHeight="1">
      <c r="A34" s="631">
        <f>J31</f>
        <v>9</v>
      </c>
      <c r="B34" s="634" t="str">
        <f>J32</f>
        <v>微波小吃</v>
      </c>
      <c r="C34" s="199">
        <v>1</v>
      </c>
      <c r="D34" s="625" t="s">
        <v>624</v>
      </c>
      <c r="E34" s="626"/>
      <c r="F34" s="627"/>
      <c r="G34" s="199">
        <v>11</v>
      </c>
      <c r="H34" s="201">
        <v>1806.5606150917336</v>
      </c>
      <c r="I34" s="202">
        <v>164.23278319015759</v>
      </c>
      <c r="J34" s="352">
        <f>I34-I8</f>
        <v>3.4268336100780061E-2</v>
      </c>
      <c r="K34" s="625"/>
      <c r="L34" s="627"/>
      <c r="O34" s="198"/>
      <c r="P34" s="387"/>
      <c r="Q34" s="387"/>
      <c r="R34" s="198"/>
    </row>
    <row r="35" spans="1:18" ht="15.75" customHeight="1">
      <c r="A35" s="632"/>
      <c r="B35" s="635"/>
      <c r="C35" s="199">
        <v>2</v>
      </c>
      <c r="D35" s="625" t="s">
        <v>622</v>
      </c>
      <c r="E35" s="626"/>
      <c r="F35" s="627"/>
      <c r="G35" s="199">
        <v>11</v>
      </c>
      <c r="H35" s="201">
        <v>1805.0567096497603</v>
      </c>
      <c r="I35" s="202">
        <v>164.09606451361455</v>
      </c>
      <c r="J35" s="352">
        <f>I35-I9</f>
        <v>3.3043284977054554E-2</v>
      </c>
      <c r="K35" s="625"/>
      <c r="L35" s="627"/>
      <c r="O35" s="198"/>
      <c r="P35" s="387"/>
      <c r="Q35" s="387"/>
      <c r="R35" s="198"/>
    </row>
    <row r="36" spans="1:18" ht="15.75" customHeight="1">
      <c r="A36" s="632"/>
      <c r="B36" s="635"/>
      <c r="C36" s="199">
        <v>3</v>
      </c>
      <c r="D36" s="625" t="s">
        <v>674</v>
      </c>
      <c r="E36" s="626"/>
      <c r="F36" s="627"/>
      <c r="G36" s="199">
        <v>19</v>
      </c>
      <c r="H36" s="201">
        <v>1790.0171092346918</v>
      </c>
      <c r="I36" s="202">
        <v>94.21142680182588</v>
      </c>
      <c r="J36" s="352">
        <f>I36-I10</f>
        <v>0.12115074528188075</v>
      </c>
      <c r="K36" s="625"/>
      <c r="L36" s="627"/>
      <c r="O36" s="198"/>
      <c r="P36" s="387"/>
      <c r="Q36" s="387"/>
      <c r="R36" s="198"/>
    </row>
    <row r="37" spans="1:18" ht="15.75" customHeight="1">
      <c r="A37" s="632"/>
      <c r="B37" s="635"/>
      <c r="C37" s="199">
        <v>4</v>
      </c>
      <c r="D37" s="625" t="s">
        <v>354</v>
      </c>
      <c r="E37" s="626"/>
      <c r="F37" s="627"/>
      <c r="G37" s="201">
        <v>13</v>
      </c>
      <c r="H37" s="201">
        <v>1082.2619182388853</v>
      </c>
      <c r="I37" s="202">
        <v>83.250916787606556</v>
      </c>
      <c r="J37" s="352">
        <f>I37-I11</f>
        <v>-2.109890109889534E-2</v>
      </c>
      <c r="K37" s="625"/>
      <c r="L37" s="627"/>
      <c r="O37" s="198"/>
      <c r="P37" s="387"/>
      <c r="Q37" s="387"/>
      <c r="R37" s="198"/>
    </row>
    <row r="38" spans="1:18" ht="15.75" customHeight="1">
      <c r="A38" s="632"/>
      <c r="B38" s="635"/>
      <c r="C38" s="199">
        <v>5</v>
      </c>
      <c r="D38" s="625" t="s">
        <v>623</v>
      </c>
      <c r="E38" s="626"/>
      <c r="F38" s="627"/>
      <c r="G38" s="199">
        <v>22</v>
      </c>
      <c r="H38" s="201">
        <v>1799.9500769987733</v>
      </c>
      <c r="I38" s="202">
        <v>81.81591259085333</v>
      </c>
      <c r="J38" s="352">
        <f>I38-I12</f>
        <v>-1.1688311688246245E-2</v>
      </c>
      <c r="K38" s="625"/>
      <c r="L38" s="627"/>
      <c r="O38" s="198"/>
      <c r="P38" s="387"/>
      <c r="Q38" s="387"/>
      <c r="R38" s="198"/>
    </row>
    <row r="39" spans="1:18" ht="15.75" customHeight="1">
      <c r="A39" s="632"/>
      <c r="B39" s="635"/>
      <c r="C39" s="203" t="s">
        <v>204</v>
      </c>
      <c r="D39" s="625"/>
      <c r="E39" s="626"/>
      <c r="F39" s="627"/>
      <c r="G39" s="199"/>
      <c r="H39" s="201"/>
      <c r="I39" s="202"/>
      <c r="J39" s="199"/>
      <c r="K39" s="625"/>
      <c r="L39" s="627"/>
      <c r="O39" s="198"/>
      <c r="P39" s="387"/>
      <c r="Q39" s="387"/>
      <c r="R39" s="198"/>
    </row>
    <row r="40" spans="1:18" ht="15.75" customHeight="1">
      <c r="A40" s="632"/>
      <c r="B40" s="635"/>
      <c r="C40" s="203" t="s">
        <v>209</v>
      </c>
      <c r="D40" s="625"/>
      <c r="E40" s="626"/>
      <c r="F40" s="627"/>
      <c r="G40" s="199"/>
      <c r="H40" s="201"/>
      <c r="I40" s="202"/>
      <c r="J40" s="199"/>
      <c r="K40" s="625"/>
      <c r="L40" s="627"/>
      <c r="N40" s="177"/>
      <c r="O40" s="177"/>
      <c r="P40" s="386"/>
      <c r="Q40" s="386"/>
      <c r="R40" s="177"/>
    </row>
    <row r="41" spans="1:18" ht="15.75" customHeight="1">
      <c r="A41" s="632"/>
      <c r="B41" s="635"/>
      <c r="C41" s="203" t="s">
        <v>205</v>
      </c>
      <c r="D41" s="625"/>
      <c r="E41" s="626"/>
      <c r="F41" s="627"/>
      <c r="G41" s="199"/>
      <c r="H41" s="201"/>
      <c r="I41" s="202"/>
      <c r="J41" s="199"/>
      <c r="K41" s="625"/>
      <c r="L41" s="627"/>
      <c r="O41" s="198"/>
      <c r="P41" s="387"/>
      <c r="Q41" s="387"/>
      <c r="R41" s="198"/>
    </row>
    <row r="42" spans="1:18" ht="15.75" customHeight="1">
      <c r="A42" s="632"/>
      <c r="B42" s="635"/>
      <c r="C42" s="203" t="s">
        <v>210</v>
      </c>
      <c r="D42" s="625"/>
      <c r="E42" s="626"/>
      <c r="F42" s="627"/>
      <c r="G42" s="199"/>
      <c r="H42" s="201"/>
      <c r="I42" s="202"/>
      <c r="J42" s="199"/>
      <c r="K42" s="625"/>
      <c r="L42" s="627"/>
      <c r="M42" s="98"/>
      <c r="O42" s="198"/>
      <c r="P42" s="387"/>
      <c r="Q42" s="387"/>
      <c r="R42" s="198"/>
    </row>
    <row r="43" spans="1:18" ht="15.75" customHeight="1">
      <c r="A43" s="633"/>
      <c r="B43" s="636"/>
      <c r="C43" s="203" t="s">
        <v>211</v>
      </c>
      <c r="D43" s="625"/>
      <c r="E43" s="626"/>
      <c r="F43" s="627"/>
      <c r="G43" s="199"/>
      <c r="H43" s="201"/>
      <c r="I43" s="202"/>
      <c r="J43" s="199"/>
      <c r="K43" s="625"/>
      <c r="L43" s="627"/>
      <c r="M43" s="98"/>
      <c r="O43" s="198"/>
      <c r="P43" s="387"/>
      <c r="Q43" s="387"/>
      <c r="R43" s="198"/>
    </row>
    <row r="44" spans="1:18" s="103" customFormat="1" ht="15.75" customHeight="1">
      <c r="A44" s="628" t="s">
        <v>188</v>
      </c>
      <c r="B44" s="629"/>
      <c r="C44" s="206" t="s">
        <v>47</v>
      </c>
      <c r="D44" s="628" t="s">
        <v>12</v>
      </c>
      <c r="E44" s="630"/>
      <c r="F44" s="629"/>
      <c r="G44" s="206" t="s">
        <v>46</v>
      </c>
      <c r="H44" s="206" t="s">
        <v>374</v>
      </c>
      <c r="I44" s="206" t="s">
        <v>375</v>
      </c>
      <c r="J44" s="159" t="s">
        <v>332</v>
      </c>
      <c r="K44" s="628" t="s">
        <v>51</v>
      </c>
      <c r="L44" s="629"/>
      <c r="M44" s="127"/>
      <c r="N44" s="188"/>
      <c r="O44" s="198"/>
      <c r="P44" s="387"/>
      <c r="Q44" s="387"/>
      <c r="R44" s="198"/>
    </row>
    <row r="45" spans="1:18" ht="15.75" customHeight="1">
      <c r="A45" s="631"/>
      <c r="B45" s="634"/>
      <c r="C45" s="199">
        <v>1</v>
      </c>
      <c r="D45" s="625"/>
      <c r="E45" s="626"/>
      <c r="F45" s="627"/>
      <c r="G45" s="199"/>
      <c r="H45" s="201"/>
      <c r="I45" s="202"/>
      <c r="J45" s="199"/>
      <c r="K45" s="625"/>
      <c r="L45" s="627"/>
      <c r="M45" s="98"/>
      <c r="N45" s="198"/>
      <c r="O45" s="198"/>
      <c r="P45" s="387"/>
      <c r="Q45" s="387"/>
      <c r="R45" s="198"/>
    </row>
    <row r="46" spans="1:18" ht="15.75" customHeight="1">
      <c r="A46" s="632"/>
      <c r="B46" s="635"/>
      <c r="C46" s="199">
        <v>2</v>
      </c>
      <c r="D46" s="625"/>
      <c r="E46" s="626"/>
      <c r="F46" s="627"/>
      <c r="G46" s="199"/>
      <c r="H46" s="201"/>
      <c r="I46" s="202"/>
      <c r="J46" s="199"/>
      <c r="K46" s="625"/>
      <c r="L46" s="627"/>
      <c r="M46" s="98"/>
      <c r="O46" s="198"/>
      <c r="P46" s="387"/>
      <c r="Q46" s="387"/>
      <c r="R46" s="198"/>
    </row>
    <row r="47" spans="1:18" ht="15.75" customHeight="1">
      <c r="A47" s="632"/>
      <c r="B47" s="635"/>
      <c r="C47" s="199">
        <v>3</v>
      </c>
      <c r="D47" s="625"/>
      <c r="E47" s="626"/>
      <c r="F47" s="627"/>
      <c r="G47" s="199"/>
      <c r="H47" s="201"/>
      <c r="I47" s="202"/>
      <c r="J47" s="199"/>
      <c r="K47" s="625"/>
      <c r="L47" s="627"/>
      <c r="M47" s="98"/>
      <c r="O47" s="198"/>
      <c r="P47" s="387"/>
      <c r="Q47" s="387"/>
      <c r="R47" s="198"/>
    </row>
    <row r="48" spans="1:18" ht="15.75" customHeight="1">
      <c r="A48" s="632"/>
      <c r="B48" s="635"/>
      <c r="C48" s="199">
        <v>4</v>
      </c>
      <c r="D48" s="625"/>
      <c r="E48" s="626"/>
      <c r="F48" s="627"/>
      <c r="G48" s="199"/>
      <c r="H48" s="201"/>
      <c r="I48" s="202"/>
      <c r="J48" s="199"/>
      <c r="K48" s="625"/>
      <c r="L48" s="627"/>
      <c r="M48" s="98"/>
      <c r="O48" s="198"/>
      <c r="P48" s="387"/>
      <c r="Q48" s="387"/>
      <c r="R48" s="198"/>
    </row>
    <row r="49" spans="1:18" ht="15.75" customHeight="1">
      <c r="A49" s="632"/>
      <c r="B49" s="635"/>
      <c r="C49" s="199">
        <v>5</v>
      </c>
      <c r="D49" s="625"/>
      <c r="E49" s="626"/>
      <c r="F49" s="627"/>
      <c r="G49" s="199"/>
      <c r="H49" s="201"/>
      <c r="I49" s="202"/>
      <c r="J49" s="199"/>
      <c r="K49" s="625"/>
      <c r="L49" s="627"/>
      <c r="M49" s="98"/>
      <c r="O49" s="198"/>
      <c r="P49" s="387"/>
      <c r="Q49" s="387"/>
      <c r="R49" s="198"/>
    </row>
    <row r="50" spans="1:18" ht="15.75" customHeight="1">
      <c r="A50" s="632"/>
      <c r="B50" s="635"/>
      <c r="C50" s="203" t="s">
        <v>204</v>
      </c>
      <c r="D50" s="625"/>
      <c r="E50" s="626"/>
      <c r="F50" s="627"/>
      <c r="G50" s="199"/>
      <c r="H50" s="201"/>
      <c r="I50" s="202"/>
      <c r="J50" s="199"/>
      <c r="K50" s="625"/>
      <c r="L50" s="627"/>
      <c r="M50" s="98"/>
      <c r="O50" s="198"/>
      <c r="P50" s="387"/>
      <c r="Q50" s="387"/>
      <c r="R50" s="198"/>
    </row>
    <row r="51" spans="1:18" ht="15.75" customHeight="1">
      <c r="A51" s="632"/>
      <c r="B51" s="635"/>
      <c r="C51" s="203" t="s">
        <v>209</v>
      </c>
      <c r="D51" s="625"/>
      <c r="E51" s="626"/>
      <c r="F51" s="627"/>
      <c r="G51" s="199"/>
      <c r="H51" s="201"/>
      <c r="I51" s="202"/>
      <c r="J51" s="199"/>
      <c r="K51" s="625"/>
      <c r="L51" s="627"/>
      <c r="M51" s="98"/>
      <c r="O51" s="198"/>
      <c r="P51" s="387"/>
      <c r="Q51" s="387"/>
      <c r="R51" s="198"/>
    </row>
    <row r="52" spans="1:18" ht="15.75" customHeight="1">
      <c r="A52" s="632"/>
      <c r="B52" s="635"/>
      <c r="C52" s="203" t="s">
        <v>205</v>
      </c>
      <c r="D52" s="625"/>
      <c r="E52" s="626"/>
      <c r="F52" s="627"/>
      <c r="G52" s="199"/>
      <c r="H52" s="201"/>
      <c r="I52" s="202"/>
      <c r="J52" s="199"/>
      <c r="K52" s="625"/>
      <c r="L52" s="627"/>
      <c r="M52" s="98"/>
      <c r="O52" s="198"/>
      <c r="P52" s="387"/>
      <c r="Q52" s="387"/>
      <c r="R52" s="198"/>
    </row>
    <row r="53" spans="1:18" ht="15.75" customHeight="1">
      <c r="A53" s="632"/>
      <c r="B53" s="635"/>
      <c r="C53" s="203" t="s">
        <v>210</v>
      </c>
      <c r="D53" s="625"/>
      <c r="E53" s="626"/>
      <c r="F53" s="627"/>
      <c r="G53" s="199"/>
      <c r="H53" s="201"/>
      <c r="I53" s="202"/>
      <c r="J53" s="199"/>
      <c r="K53" s="625"/>
      <c r="L53" s="627"/>
      <c r="M53" s="98"/>
      <c r="O53" s="198"/>
      <c r="P53" s="387"/>
      <c r="Q53" s="387"/>
      <c r="R53" s="198"/>
    </row>
    <row r="54" spans="1:18" ht="15.75" customHeight="1">
      <c r="A54" s="633"/>
      <c r="B54" s="636"/>
      <c r="C54" s="203" t="s">
        <v>211</v>
      </c>
      <c r="D54" s="625"/>
      <c r="E54" s="626"/>
      <c r="F54" s="627"/>
      <c r="G54" s="199"/>
      <c r="H54" s="201"/>
      <c r="I54" s="202"/>
      <c r="J54" s="199"/>
      <c r="K54" s="625"/>
      <c r="L54" s="627"/>
      <c r="M54" s="98"/>
      <c r="O54" s="198"/>
      <c r="P54" s="387"/>
      <c r="Q54" s="387"/>
      <c r="R54" s="198"/>
    </row>
    <row r="55" spans="1:18" s="188" customFormat="1" ht="15.75" customHeight="1">
      <c r="A55" s="622" t="s">
        <v>805</v>
      </c>
      <c r="B55" s="622"/>
      <c r="C55" s="622"/>
      <c r="D55" s="622"/>
      <c r="E55" s="622"/>
      <c r="F55" s="622"/>
      <c r="G55" s="622"/>
      <c r="H55" s="622"/>
      <c r="I55" s="622"/>
      <c r="J55" s="622"/>
      <c r="K55" s="622"/>
      <c r="L55" s="622"/>
    </row>
    <row r="56" spans="1:18" s="189" customFormat="1" ht="15.75" customHeight="1">
      <c r="A56" s="622"/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</row>
    <row r="57" spans="1:18" s="105" customFormat="1" ht="16.399999999999999" customHeight="1">
      <c r="A57" s="631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90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99999999999999" customHeight="1">
      <c r="A58" s="633"/>
      <c r="B58" s="194" t="s">
        <v>206</v>
      </c>
      <c r="C58" s="194" t="s">
        <v>155</v>
      </c>
      <c r="D58" s="194" t="s">
        <v>207</v>
      </c>
      <c r="E58" s="194" t="s">
        <v>156</v>
      </c>
      <c r="F58" s="194" t="s">
        <v>138</v>
      </c>
      <c r="G58" s="195" t="s">
        <v>136</v>
      </c>
      <c r="H58" s="196" t="s">
        <v>208</v>
      </c>
      <c r="I58" s="195" t="s">
        <v>373</v>
      </c>
      <c r="J58" s="208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38" t="s">
        <v>188</v>
      </c>
      <c r="B59" s="639"/>
      <c r="C59" s="159" t="s">
        <v>47</v>
      </c>
      <c r="D59" s="638" t="s">
        <v>12</v>
      </c>
      <c r="E59" s="640"/>
      <c r="F59" s="639"/>
      <c r="G59" s="159" t="s">
        <v>46</v>
      </c>
      <c r="H59" s="159" t="s">
        <v>374</v>
      </c>
      <c r="I59" s="159" t="s">
        <v>375</v>
      </c>
      <c r="J59" s="159" t="s">
        <v>332</v>
      </c>
      <c r="K59" s="638" t="s">
        <v>51</v>
      </c>
      <c r="L59" s="639"/>
      <c r="M59" s="126"/>
      <c r="N59" s="188"/>
      <c r="O59" s="198"/>
      <c r="P59" s="387"/>
      <c r="Q59" s="387"/>
      <c r="R59" s="198"/>
    </row>
    <row r="60" spans="1:18" ht="15.75" customHeight="1">
      <c r="A60" s="631">
        <f>J57</f>
        <v>9</v>
      </c>
      <c r="B60" s="634" t="str">
        <f>J58</f>
        <v>微波小吃</v>
      </c>
      <c r="C60" s="199">
        <v>1</v>
      </c>
      <c r="D60" s="625"/>
      <c r="E60" s="626"/>
      <c r="F60" s="627"/>
      <c r="G60" s="199"/>
      <c r="H60" s="201"/>
      <c r="I60" s="202"/>
      <c r="J60" s="352">
        <f>I60-I35</f>
        <v>-164.09606451361455</v>
      </c>
      <c r="K60" s="625"/>
      <c r="L60" s="627"/>
      <c r="O60" s="198"/>
      <c r="P60" s="387"/>
      <c r="Q60" s="387"/>
      <c r="R60" s="198"/>
    </row>
    <row r="61" spans="1:18" ht="15.75" customHeight="1">
      <c r="A61" s="632"/>
      <c r="B61" s="635"/>
      <c r="C61" s="199">
        <v>2</v>
      </c>
      <c r="D61" s="625"/>
      <c r="E61" s="626"/>
      <c r="F61" s="627"/>
      <c r="G61" s="199"/>
      <c r="H61" s="201"/>
      <c r="I61" s="202"/>
      <c r="J61" s="352">
        <f>I61-I34</f>
        <v>-164.23278319015759</v>
      </c>
      <c r="K61" s="625"/>
      <c r="L61" s="627"/>
      <c r="O61" s="198"/>
      <c r="P61" s="387"/>
      <c r="Q61" s="387"/>
      <c r="R61" s="198"/>
    </row>
    <row r="62" spans="1:18" ht="15.75" customHeight="1">
      <c r="A62" s="632"/>
      <c r="B62" s="635"/>
      <c r="C62" s="199">
        <v>3</v>
      </c>
      <c r="D62" s="625"/>
      <c r="E62" s="626"/>
      <c r="F62" s="627"/>
      <c r="G62" s="199"/>
      <c r="H62" s="201"/>
      <c r="I62" s="202"/>
      <c r="J62" s="352">
        <f>I62-I36</f>
        <v>-94.21142680182588</v>
      </c>
      <c r="K62" s="625"/>
      <c r="L62" s="627"/>
      <c r="O62" s="198"/>
      <c r="P62" s="387"/>
      <c r="Q62" s="387"/>
      <c r="R62" s="198"/>
    </row>
    <row r="63" spans="1:18" ht="15.75" customHeight="1">
      <c r="A63" s="632"/>
      <c r="B63" s="635"/>
      <c r="C63" s="199">
        <v>4</v>
      </c>
      <c r="D63" s="625"/>
      <c r="E63" s="626"/>
      <c r="F63" s="627"/>
      <c r="G63" s="201"/>
      <c r="H63" s="201"/>
      <c r="I63" s="202"/>
      <c r="J63" s="352">
        <f>I63-I37</f>
        <v>-83.250916787606556</v>
      </c>
      <c r="K63" s="625"/>
      <c r="L63" s="627"/>
      <c r="O63" s="198"/>
      <c r="P63" s="387"/>
      <c r="Q63" s="387"/>
      <c r="R63" s="198"/>
    </row>
    <row r="64" spans="1:18" ht="15.75" customHeight="1">
      <c r="A64" s="632"/>
      <c r="B64" s="635"/>
      <c r="C64" s="199">
        <v>5</v>
      </c>
      <c r="D64" s="625"/>
      <c r="E64" s="626"/>
      <c r="F64" s="627"/>
      <c r="G64" s="199"/>
      <c r="H64" s="201"/>
      <c r="I64" s="202"/>
      <c r="J64" s="352">
        <f>I64-I38</f>
        <v>-81.81591259085333</v>
      </c>
      <c r="K64" s="625"/>
      <c r="L64" s="627"/>
      <c r="O64" s="198"/>
      <c r="P64" s="387"/>
      <c r="Q64" s="387"/>
      <c r="R64" s="198"/>
    </row>
    <row r="65" spans="1:18" ht="15.75" customHeight="1">
      <c r="A65" s="632"/>
      <c r="B65" s="635"/>
      <c r="C65" s="203" t="s">
        <v>204</v>
      </c>
      <c r="D65" s="625"/>
      <c r="E65" s="626"/>
      <c r="F65" s="627"/>
      <c r="G65" s="199"/>
      <c r="H65" s="201"/>
      <c r="I65" s="202"/>
      <c r="J65" s="199"/>
      <c r="K65" s="625"/>
      <c r="L65" s="627"/>
      <c r="O65" s="198"/>
      <c r="P65" s="387"/>
      <c r="Q65" s="387"/>
      <c r="R65" s="198"/>
    </row>
    <row r="66" spans="1:18" ht="15.75" customHeight="1">
      <c r="A66" s="632"/>
      <c r="B66" s="635"/>
      <c r="C66" s="203" t="s">
        <v>209</v>
      </c>
      <c r="D66" s="625"/>
      <c r="E66" s="626"/>
      <c r="F66" s="627"/>
      <c r="G66" s="199"/>
      <c r="H66" s="201"/>
      <c r="I66" s="202"/>
      <c r="J66" s="199"/>
      <c r="K66" s="625"/>
      <c r="L66" s="627"/>
      <c r="N66" s="177"/>
      <c r="O66" s="177"/>
      <c r="P66" s="386"/>
      <c r="Q66" s="386"/>
      <c r="R66" s="177"/>
    </row>
    <row r="67" spans="1:18" ht="15.75" customHeight="1">
      <c r="A67" s="632"/>
      <c r="B67" s="635"/>
      <c r="C67" s="203" t="s">
        <v>205</v>
      </c>
      <c r="D67" s="625"/>
      <c r="E67" s="626"/>
      <c r="F67" s="627"/>
      <c r="G67" s="199"/>
      <c r="H67" s="201"/>
      <c r="I67" s="202"/>
      <c r="J67" s="199"/>
      <c r="K67" s="625"/>
      <c r="L67" s="627"/>
      <c r="O67" s="198"/>
      <c r="P67" s="387"/>
      <c r="Q67" s="387"/>
      <c r="R67" s="198"/>
    </row>
    <row r="68" spans="1:18" ht="15.75" customHeight="1">
      <c r="A68" s="632"/>
      <c r="B68" s="635"/>
      <c r="C68" s="203" t="s">
        <v>210</v>
      </c>
      <c r="D68" s="625"/>
      <c r="E68" s="626"/>
      <c r="F68" s="627"/>
      <c r="G68" s="199"/>
      <c r="H68" s="201"/>
      <c r="I68" s="202"/>
      <c r="J68" s="199"/>
      <c r="K68" s="625"/>
      <c r="L68" s="627"/>
      <c r="M68" s="98"/>
      <c r="O68" s="198"/>
      <c r="P68" s="387"/>
      <c r="Q68" s="387"/>
      <c r="R68" s="198"/>
    </row>
    <row r="69" spans="1:18" ht="15.75" customHeight="1">
      <c r="A69" s="633"/>
      <c r="B69" s="636"/>
      <c r="C69" s="203" t="s">
        <v>211</v>
      </c>
      <c r="D69" s="625"/>
      <c r="E69" s="626"/>
      <c r="F69" s="627"/>
      <c r="G69" s="199"/>
      <c r="H69" s="201"/>
      <c r="I69" s="202"/>
      <c r="J69" s="199"/>
      <c r="K69" s="625"/>
      <c r="L69" s="627"/>
      <c r="M69" s="98"/>
      <c r="O69" s="198"/>
      <c r="P69" s="387"/>
      <c r="Q69" s="387"/>
      <c r="R69" s="198"/>
    </row>
    <row r="70" spans="1:18" s="103" customFormat="1" ht="15.75" customHeight="1">
      <c r="A70" s="628" t="s">
        <v>188</v>
      </c>
      <c r="B70" s="629"/>
      <c r="C70" s="206" t="s">
        <v>47</v>
      </c>
      <c r="D70" s="628" t="s">
        <v>12</v>
      </c>
      <c r="E70" s="630"/>
      <c r="F70" s="629"/>
      <c r="G70" s="206" t="s">
        <v>46</v>
      </c>
      <c r="H70" s="206" t="s">
        <v>374</v>
      </c>
      <c r="I70" s="206" t="s">
        <v>375</v>
      </c>
      <c r="J70" s="159" t="s">
        <v>332</v>
      </c>
      <c r="K70" s="628" t="s">
        <v>51</v>
      </c>
      <c r="L70" s="629"/>
      <c r="M70" s="127"/>
      <c r="N70" s="188"/>
      <c r="O70" s="198"/>
      <c r="P70" s="387"/>
      <c r="Q70" s="387"/>
      <c r="R70" s="198"/>
    </row>
    <row r="71" spans="1:18" ht="15.75" customHeight="1">
      <c r="A71" s="631"/>
      <c r="B71" s="634"/>
      <c r="C71" s="199">
        <v>1</v>
      </c>
      <c r="D71" s="625"/>
      <c r="E71" s="626"/>
      <c r="F71" s="627"/>
      <c r="G71" s="199"/>
      <c r="H71" s="201"/>
      <c r="I71" s="202"/>
      <c r="J71" s="199"/>
      <c r="K71" s="625"/>
      <c r="L71" s="627"/>
      <c r="M71" s="98"/>
      <c r="N71" s="198"/>
      <c r="O71" s="198"/>
      <c r="P71" s="387"/>
      <c r="Q71" s="387"/>
      <c r="R71" s="198"/>
    </row>
    <row r="72" spans="1:18" ht="15.75" customHeight="1">
      <c r="A72" s="632"/>
      <c r="B72" s="635"/>
      <c r="C72" s="199">
        <v>2</v>
      </c>
      <c r="D72" s="625"/>
      <c r="E72" s="626"/>
      <c r="F72" s="627"/>
      <c r="G72" s="199"/>
      <c r="H72" s="201"/>
      <c r="I72" s="202"/>
      <c r="J72" s="199"/>
      <c r="K72" s="625"/>
      <c r="L72" s="627"/>
      <c r="M72" s="98"/>
      <c r="O72" s="198"/>
      <c r="P72" s="387"/>
      <c r="Q72" s="387"/>
      <c r="R72" s="198"/>
    </row>
    <row r="73" spans="1:18" ht="15.75" customHeight="1">
      <c r="A73" s="632"/>
      <c r="B73" s="635"/>
      <c r="C73" s="199">
        <v>3</v>
      </c>
      <c r="D73" s="625"/>
      <c r="E73" s="626"/>
      <c r="F73" s="627"/>
      <c r="G73" s="199"/>
      <c r="H73" s="201"/>
      <c r="I73" s="202"/>
      <c r="J73" s="199"/>
      <c r="K73" s="625"/>
      <c r="L73" s="627"/>
      <c r="M73" s="98"/>
      <c r="O73" s="198"/>
      <c r="P73" s="387"/>
      <c r="Q73" s="387"/>
      <c r="R73" s="198"/>
    </row>
    <row r="74" spans="1:18" ht="15.75" customHeight="1">
      <c r="A74" s="632"/>
      <c r="B74" s="635"/>
      <c r="C74" s="199">
        <v>4</v>
      </c>
      <c r="D74" s="625"/>
      <c r="E74" s="626"/>
      <c r="F74" s="627"/>
      <c r="G74" s="199"/>
      <c r="H74" s="201"/>
      <c r="I74" s="202"/>
      <c r="J74" s="199"/>
      <c r="K74" s="625"/>
      <c r="L74" s="627"/>
      <c r="M74" s="98"/>
      <c r="O74" s="198"/>
      <c r="P74" s="387"/>
      <c r="Q74" s="387"/>
      <c r="R74" s="198"/>
    </row>
    <row r="75" spans="1:18" ht="15.75" customHeight="1">
      <c r="A75" s="632"/>
      <c r="B75" s="635"/>
      <c r="C75" s="199">
        <v>5</v>
      </c>
      <c r="D75" s="625"/>
      <c r="E75" s="626"/>
      <c r="F75" s="627"/>
      <c r="G75" s="199"/>
      <c r="H75" s="201"/>
      <c r="I75" s="202"/>
      <c r="J75" s="199"/>
      <c r="K75" s="625"/>
      <c r="L75" s="627"/>
      <c r="M75" s="98"/>
      <c r="O75" s="198"/>
      <c r="P75" s="387"/>
      <c r="Q75" s="387"/>
      <c r="R75" s="198"/>
    </row>
    <row r="76" spans="1:18" ht="15.75" customHeight="1">
      <c r="A76" s="632"/>
      <c r="B76" s="635"/>
      <c r="C76" s="203" t="s">
        <v>204</v>
      </c>
      <c r="D76" s="625"/>
      <c r="E76" s="626"/>
      <c r="F76" s="627"/>
      <c r="G76" s="199"/>
      <c r="H76" s="201"/>
      <c r="I76" s="202"/>
      <c r="J76" s="199"/>
      <c r="K76" s="625"/>
      <c r="L76" s="627"/>
      <c r="M76" s="98"/>
      <c r="O76" s="198"/>
      <c r="P76" s="387"/>
      <c r="Q76" s="387"/>
      <c r="R76" s="198"/>
    </row>
    <row r="77" spans="1:18" ht="15.75" customHeight="1">
      <c r="A77" s="632"/>
      <c r="B77" s="635"/>
      <c r="C77" s="203" t="s">
        <v>209</v>
      </c>
      <c r="D77" s="625"/>
      <c r="E77" s="626"/>
      <c r="F77" s="627"/>
      <c r="G77" s="199"/>
      <c r="H77" s="201"/>
      <c r="I77" s="202"/>
      <c r="J77" s="199"/>
      <c r="K77" s="625"/>
      <c r="L77" s="627"/>
      <c r="M77" s="98"/>
      <c r="O77" s="198"/>
      <c r="P77" s="387"/>
      <c r="Q77" s="387"/>
      <c r="R77" s="198"/>
    </row>
    <row r="78" spans="1:18" ht="15.75" customHeight="1">
      <c r="A78" s="632"/>
      <c r="B78" s="635"/>
      <c r="C78" s="203" t="s">
        <v>205</v>
      </c>
      <c r="D78" s="625"/>
      <c r="E78" s="626"/>
      <c r="F78" s="627"/>
      <c r="G78" s="199"/>
      <c r="H78" s="201"/>
      <c r="I78" s="202"/>
      <c r="J78" s="199"/>
      <c r="K78" s="625"/>
      <c r="L78" s="627"/>
      <c r="M78" s="98"/>
      <c r="O78" s="198"/>
      <c r="P78" s="387"/>
      <c r="Q78" s="387"/>
      <c r="R78" s="198"/>
    </row>
    <row r="79" spans="1:18" ht="15.75" customHeight="1">
      <c r="A79" s="632"/>
      <c r="B79" s="635"/>
      <c r="C79" s="203" t="s">
        <v>210</v>
      </c>
      <c r="D79" s="625"/>
      <c r="E79" s="626"/>
      <c r="F79" s="627"/>
      <c r="G79" s="199"/>
      <c r="H79" s="201"/>
      <c r="I79" s="202"/>
      <c r="J79" s="199"/>
      <c r="K79" s="625"/>
      <c r="L79" s="627"/>
      <c r="M79" s="98"/>
      <c r="O79" s="198"/>
      <c r="P79" s="387"/>
      <c r="Q79" s="387"/>
      <c r="R79" s="198"/>
    </row>
    <row r="80" spans="1:18" ht="15.75" customHeight="1">
      <c r="A80" s="633"/>
      <c r="B80" s="636"/>
      <c r="C80" s="203" t="s">
        <v>211</v>
      </c>
      <c r="D80" s="625"/>
      <c r="E80" s="626"/>
      <c r="F80" s="627"/>
      <c r="G80" s="199"/>
      <c r="H80" s="201"/>
      <c r="I80" s="202"/>
      <c r="J80" s="199"/>
      <c r="K80" s="625"/>
      <c r="L80" s="627"/>
      <c r="M80" s="98"/>
      <c r="O80" s="198"/>
      <c r="P80" s="387"/>
      <c r="Q80" s="387"/>
      <c r="R80" s="198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A1:L2"/>
    <mergeCell ref="K66:L66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57:A58"/>
    <mergeCell ref="A59:B59"/>
    <mergeCell ref="D59:F59"/>
    <mergeCell ref="K59:L59"/>
    <mergeCell ref="D66:F66"/>
    <mergeCell ref="D27:F27"/>
    <mergeCell ref="K27:L27"/>
    <mergeCell ref="D28:F28"/>
    <mergeCell ref="K28:L28"/>
    <mergeCell ref="D65:F65"/>
    <mergeCell ref="K65:L65"/>
    <mergeCell ref="A55:L56"/>
    <mergeCell ref="K40:L40"/>
    <mergeCell ref="D41:F41"/>
    <mergeCell ref="K41:L41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9" sqref="B9:B14"/>
    </sheetView>
  </sheetViews>
  <sheetFormatPr defaultColWidth="12.54296875" defaultRowHeight="15.75" customHeight="1"/>
  <cols>
    <col min="1" max="1" width="18" style="135" bestFit="1" customWidth="1"/>
    <col min="2" max="2" width="14.81640625" style="135" customWidth="1"/>
    <col min="3" max="3" width="12.81640625" style="135" customWidth="1"/>
    <col min="4" max="4" width="2.54296875" style="135" customWidth="1"/>
    <col min="5" max="5" width="7.54296875" style="135" customWidth="1"/>
    <col min="6" max="6" width="12.81640625" style="135" customWidth="1"/>
    <col min="7" max="7" width="9.453125" style="135" customWidth="1"/>
    <col min="8" max="8" width="12.81640625" style="135" customWidth="1"/>
    <col min="9" max="9" width="9.453125" style="135" customWidth="1"/>
    <col min="10" max="10" width="12.81640625" style="135" customWidth="1"/>
    <col min="11" max="11" width="9.453125" style="135" customWidth="1"/>
    <col min="12" max="12" width="12.81640625" style="135" customWidth="1"/>
    <col min="13" max="13" width="9.453125" style="135" customWidth="1"/>
    <col min="14" max="16384" width="12.54296875" style="135"/>
  </cols>
  <sheetData>
    <row r="1" spans="1:13" ht="15.75" customHeight="1">
      <c r="A1" s="643" t="s">
        <v>361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3" s="136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3" ht="15.75" customHeight="1">
      <c r="A3" s="644" t="s">
        <v>238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13" s="136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13" ht="15.75" customHeight="1">
      <c r="A5" s="225" t="s">
        <v>422</v>
      </c>
      <c r="B5" s="137" t="e">
        <f>'生產管理報表(月)'!B6</f>
        <v>#REF!</v>
      </c>
    </row>
    <row r="6" spans="1:13" ht="15.75" customHeight="1">
      <c r="A6" s="645" t="s">
        <v>239</v>
      </c>
      <c r="B6" s="646" t="s">
        <v>10</v>
      </c>
      <c r="C6" s="646"/>
      <c r="D6" s="647"/>
      <c r="E6" s="645" t="s">
        <v>197</v>
      </c>
      <c r="F6" s="649">
        <v>1</v>
      </c>
      <c r="G6" s="649"/>
      <c r="H6" s="649">
        <v>2</v>
      </c>
      <c r="I6" s="649"/>
      <c r="J6" s="649">
        <v>3</v>
      </c>
      <c r="K6" s="649"/>
      <c r="L6" s="649">
        <v>4</v>
      </c>
      <c r="M6" s="649"/>
    </row>
    <row r="7" spans="1:13" ht="31.4" customHeight="1">
      <c r="A7" s="645"/>
      <c r="B7" s="646"/>
      <c r="C7" s="646"/>
      <c r="D7" s="648"/>
      <c r="E7" s="645"/>
      <c r="F7" s="641" t="s">
        <v>453</v>
      </c>
      <c r="G7" s="641"/>
      <c r="H7" s="641" t="s">
        <v>240</v>
      </c>
      <c r="I7" s="641"/>
      <c r="J7" s="641" t="s">
        <v>166</v>
      </c>
      <c r="K7" s="641"/>
      <c r="L7" s="641" t="s">
        <v>430</v>
      </c>
      <c r="M7" s="641"/>
    </row>
    <row r="8" spans="1:13" ht="15.75" customHeight="1">
      <c r="A8" s="645"/>
      <c r="B8" s="154" t="s">
        <v>11</v>
      </c>
      <c r="C8" s="154" t="s">
        <v>241</v>
      </c>
      <c r="D8" s="648"/>
      <c r="E8" s="645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3" ht="19.399999999999999" customHeight="1">
      <c r="A9" s="138" t="s">
        <v>242</v>
      </c>
      <c r="B9" s="139">
        <f>日別報廢率總表!B2</f>
        <v>175989.05050000001</v>
      </c>
      <c r="C9" s="140" t="e">
        <f>B9/($B$5*1000)</f>
        <v>#REF!</v>
      </c>
      <c r="D9" s="648"/>
      <c r="E9" s="138" t="s">
        <v>242</v>
      </c>
      <c r="F9" s="141">
        <f>'報廢20大－原因別分析'!AG113</f>
        <v>32991.704942857148</v>
      </c>
      <c r="G9" s="357">
        <f>'報廢20大－原因別分析'!AG114</f>
        <v>0.35</v>
      </c>
      <c r="H9" s="141">
        <f>'報廢20大－原因別分析'!AH113</f>
        <v>0</v>
      </c>
      <c r="I9" s="357">
        <f>'報廢20大－原因別分析'!AH114</f>
        <v>0</v>
      </c>
      <c r="J9" s="141">
        <f>'報廢20大－原因別分析'!AI113</f>
        <v>40853.813199999997</v>
      </c>
      <c r="K9" s="357">
        <f>'報廢20大－原因別分析'!AI114</f>
        <v>0.32500000000000001</v>
      </c>
      <c r="L9" s="141">
        <f>'報廢20大－原因別分析'!AJ113</f>
        <v>0</v>
      </c>
      <c r="M9" s="357">
        <f>'報廢20大－原因別分析'!AJ114</f>
        <v>0</v>
      </c>
    </row>
    <row r="10" spans="1:13" ht="19.399999999999999" customHeight="1">
      <c r="A10" s="143" t="s">
        <v>243</v>
      </c>
      <c r="B10" s="144" t="str">
        <f>日別報廢率總表!F2</f>
        <v>7月總超用率A
(多展)</v>
      </c>
      <c r="C10" s="140" t="e">
        <f>B10/($B$5*1000)</f>
        <v>#VALUE!</v>
      </c>
      <c r="D10" s="648"/>
      <c r="E10" s="143" t="s">
        <v>243</v>
      </c>
      <c r="F10" s="141">
        <f>'超用20大－原因別分析'!AG113</f>
        <v>0</v>
      </c>
      <c r="G10" s="357">
        <f>'超用20大－原因別分析'!AG114</f>
        <v>0</v>
      </c>
      <c r="H10" s="141">
        <f>'超用20大－原因別分析'!AH113</f>
        <v>0</v>
      </c>
      <c r="I10" s="357">
        <f>'超用20大－原因別分析'!AH114</f>
        <v>0</v>
      </c>
      <c r="J10" s="141">
        <f>'報廢20大－原因別分析'!AI113</f>
        <v>40853.813199999997</v>
      </c>
      <c r="K10" s="357">
        <f>'超用20大－原因別分析'!AI114</f>
        <v>0</v>
      </c>
      <c r="L10" s="141">
        <f>'超用20大－原因別分析'!AJ113</f>
        <v>289451.13219999993</v>
      </c>
      <c r="M10" s="357">
        <f>'超用20大－原因別分析'!AJ114</f>
        <v>0.57999999999999996</v>
      </c>
    </row>
    <row r="11" spans="1:13" ht="15.75" customHeight="1">
      <c r="D11" s="648"/>
      <c r="E11" s="645" t="s">
        <v>197</v>
      </c>
      <c r="F11" s="649">
        <v>5</v>
      </c>
      <c r="G11" s="649"/>
      <c r="H11" s="649">
        <v>6</v>
      </c>
      <c r="I11" s="649"/>
      <c r="J11" s="649">
        <v>7</v>
      </c>
      <c r="K11" s="649"/>
      <c r="L11" s="650">
        <v>8</v>
      </c>
      <c r="M11" s="650"/>
    </row>
    <row r="12" spans="1:13" ht="31.4" customHeight="1">
      <c r="D12" s="648"/>
      <c r="E12" s="645"/>
      <c r="F12" s="641" t="s">
        <v>189</v>
      </c>
      <c r="G12" s="641"/>
      <c r="H12" s="641" t="s">
        <v>167</v>
      </c>
      <c r="I12" s="641"/>
      <c r="J12" s="641" t="s">
        <v>190</v>
      </c>
      <c r="K12" s="641"/>
      <c r="L12" s="642"/>
      <c r="M12" s="642"/>
    </row>
    <row r="13" spans="1:13" ht="15.75" customHeight="1">
      <c r="D13" s="648"/>
      <c r="E13" s="645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3" ht="19.399999999999999" customHeight="1">
      <c r="D14" s="648"/>
      <c r="E14" s="138" t="s">
        <v>242</v>
      </c>
      <c r="F14" s="141">
        <f>'報廢20大－原因別分析'!AK113</f>
        <v>7198.4020000000019</v>
      </c>
      <c r="G14" s="357">
        <f>'報廢20大－原因別分析'!AK114</f>
        <v>6.25E-2</v>
      </c>
      <c r="H14" s="141">
        <f>'報廢20大－原因別分析'!AL113</f>
        <v>32060.451799999995</v>
      </c>
      <c r="I14" s="357">
        <f>'報廢20大－原因別分析'!AL114</f>
        <v>0.26250000000000001</v>
      </c>
      <c r="J14" s="141">
        <f>'報廢20大－原因別分析'!AM113</f>
        <v>0</v>
      </c>
      <c r="K14" s="357">
        <f>'報廢20大－原因別分析'!AM114</f>
        <v>0</v>
      </c>
      <c r="L14" s="141"/>
      <c r="M14" s="142"/>
    </row>
    <row r="15" spans="1:13" ht="19.399999999999999" customHeight="1">
      <c r="D15" s="648"/>
      <c r="E15" s="143" t="s">
        <v>243</v>
      </c>
      <c r="F15" s="141">
        <f>'超用20大－原因別分析'!AK113</f>
        <v>61171.655599999933</v>
      </c>
      <c r="G15" s="357">
        <f>'超用20大－原因別分析'!AK114</f>
        <v>0.05</v>
      </c>
      <c r="H15" s="141">
        <f>'超用20大－原因別分析'!AL113</f>
        <v>214304.63423000017</v>
      </c>
      <c r="I15" s="357">
        <f>'超用20大－原因別分析'!AL114</f>
        <v>0.37</v>
      </c>
      <c r="J15" s="141">
        <f>'超用20大－原因別分析'!AM113</f>
        <v>0</v>
      </c>
      <c r="K15" s="357">
        <f>'超用20大－原因別分析'!AM114</f>
        <v>0</v>
      </c>
      <c r="L15" s="141"/>
      <c r="M15" s="142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19" zoomScaleNormal="60" zoomScaleSheetLayoutView="100" workbookViewId="0">
      <selection activeCell="B9" sqref="B9:B14"/>
    </sheetView>
  </sheetViews>
  <sheetFormatPr defaultColWidth="12.54296875" defaultRowHeight="15.75" customHeight="1"/>
  <cols>
    <col min="1" max="1" width="5.453125" style="135" customWidth="1"/>
    <col min="2" max="2" width="11.453125" style="232" customWidth="1"/>
    <col min="3" max="3" width="4" style="233" customWidth="1"/>
    <col min="4" max="15" width="9.54296875" style="135" customWidth="1"/>
    <col min="16" max="16" width="55.453125" style="135" customWidth="1"/>
    <col min="17" max="20" width="12.54296875" style="231"/>
    <col min="21" max="21" width="24.453125" style="135" bestFit="1" customWidth="1"/>
    <col min="22" max="22" width="19.453125" style="135" bestFit="1" customWidth="1"/>
    <col min="23" max="23" width="23" style="135" bestFit="1" customWidth="1"/>
    <col min="24" max="24" width="11.7265625" style="135" bestFit="1" customWidth="1"/>
    <col min="25" max="25" width="15.81640625" style="135" bestFit="1" customWidth="1"/>
    <col min="26" max="26" width="23.54296875" style="135" bestFit="1" customWidth="1"/>
    <col min="27" max="27" width="23" style="135" bestFit="1" customWidth="1"/>
    <col min="28" max="28" width="11.7265625" style="135" bestFit="1" customWidth="1"/>
    <col min="29" max="29" width="20.54296875" style="135" bestFit="1" customWidth="1"/>
    <col min="30" max="30" width="15" style="135" bestFit="1" customWidth="1"/>
    <col min="31" max="31" width="23" style="135" bestFit="1" customWidth="1"/>
    <col min="32" max="32" width="11.7265625" style="135" bestFit="1" customWidth="1"/>
    <col min="33" max="33" width="15.81640625" style="135" bestFit="1" customWidth="1"/>
    <col min="34" max="34" width="15" style="135" bestFit="1" customWidth="1"/>
    <col min="35" max="35" width="23" style="135" bestFit="1" customWidth="1"/>
    <col min="36" max="36" width="15" style="135" bestFit="1" customWidth="1"/>
    <col min="37" max="37" width="23" style="135" bestFit="1" customWidth="1"/>
    <col min="38" max="38" width="11.7265625" style="135" bestFit="1" customWidth="1"/>
    <col min="39" max="39" width="13.81640625" style="135" bestFit="1" customWidth="1"/>
    <col min="40" max="40" width="27.81640625" style="135" bestFit="1" customWidth="1"/>
    <col min="41" max="41" width="23" style="135" bestFit="1" customWidth="1"/>
    <col min="42" max="42" width="8" style="135" bestFit="1" customWidth="1"/>
    <col min="43" max="43" width="30.7265625" style="135" bestFit="1" customWidth="1"/>
    <col min="44" max="44" width="25.7265625" style="135" bestFit="1" customWidth="1"/>
    <col min="45" max="45" width="23" style="135" bestFit="1" customWidth="1"/>
    <col min="46" max="46" width="15" style="135" bestFit="1" customWidth="1"/>
    <col min="47" max="47" width="23" style="135" bestFit="1" customWidth="1"/>
    <col min="48" max="48" width="11.7265625" style="135" bestFit="1" customWidth="1"/>
    <col min="49" max="49" width="20.1796875" style="135" bestFit="1" customWidth="1"/>
    <col min="50" max="50" width="23.54296875" style="135" bestFit="1" customWidth="1"/>
    <col min="51" max="51" width="23" style="135" bestFit="1" customWidth="1"/>
    <col min="52" max="52" width="11.7265625" style="135" bestFit="1" customWidth="1"/>
    <col min="53" max="53" width="21.453125" style="135" bestFit="1" customWidth="1"/>
    <col min="54" max="54" width="15" style="135" bestFit="1" customWidth="1"/>
    <col min="55" max="55" width="23" style="135" bestFit="1" customWidth="1"/>
    <col min="56" max="56" width="11.7265625" style="135" bestFit="1" customWidth="1"/>
    <col min="57" max="57" width="13.81640625" style="135" bestFit="1" customWidth="1"/>
    <col min="58" max="58" width="22" style="135" bestFit="1" customWidth="1"/>
    <col min="59" max="59" width="23" style="135" bestFit="1" customWidth="1"/>
    <col min="60" max="60" width="15" style="135" bestFit="1" customWidth="1"/>
    <col min="61" max="61" width="23" style="135" bestFit="1" customWidth="1"/>
    <col min="62" max="62" width="11.7265625" style="135" bestFit="1" customWidth="1"/>
    <col min="63" max="63" width="24.7265625" style="135" bestFit="1" customWidth="1"/>
    <col min="64" max="64" width="18.7265625" style="135" bestFit="1" customWidth="1"/>
    <col min="65" max="65" width="23" style="135" bestFit="1" customWidth="1"/>
    <col min="66" max="66" width="15" style="135" bestFit="1" customWidth="1"/>
    <col min="67" max="67" width="23" style="135" bestFit="1" customWidth="1"/>
    <col min="68" max="68" width="15" style="135" bestFit="1" customWidth="1"/>
    <col min="69" max="69" width="23" style="135" bestFit="1" customWidth="1"/>
    <col min="70" max="70" width="15" style="135" bestFit="1" customWidth="1"/>
    <col min="71" max="71" width="21.81640625" style="135" bestFit="1" customWidth="1"/>
    <col min="72" max="72" width="10.54296875" style="135" bestFit="1" customWidth="1"/>
    <col min="73" max="73" width="21.453125" style="135" bestFit="1" customWidth="1"/>
    <col min="74" max="74" width="5.453125" style="135" bestFit="1" customWidth="1"/>
    <col min="75" max="16384" width="12.54296875" style="135"/>
  </cols>
  <sheetData>
    <row r="1" spans="1:74" ht="15.75" customHeight="1">
      <c r="A1" s="643" t="s">
        <v>361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74" s="136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74" ht="15.75" customHeight="1">
      <c r="A3" s="644" t="s">
        <v>431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5"/>
    </row>
    <row r="4" spans="1:74" s="136" customFormat="1" ht="15.75" customHeight="1">
      <c r="A4" s="655"/>
      <c r="B4" s="655"/>
      <c r="C4" s="655"/>
      <c r="D4" s="655"/>
      <c r="E4" s="655"/>
      <c r="F4" s="655"/>
      <c r="G4" s="655"/>
      <c r="H4" s="655"/>
      <c r="I4" s="655"/>
      <c r="J4" s="655"/>
      <c r="K4" s="655"/>
      <c r="L4" s="655"/>
      <c r="M4" s="655"/>
    </row>
    <row r="5" spans="1:74" ht="15.75" customHeight="1">
      <c r="A5" s="646" t="s">
        <v>191</v>
      </c>
      <c r="B5" s="656">
        <v>1</v>
      </c>
      <c r="C5" s="656"/>
      <c r="D5" s="656">
        <v>2</v>
      </c>
      <c r="E5" s="656"/>
      <c r="F5" s="656">
        <v>3</v>
      </c>
      <c r="G5" s="656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353">
        <v>8</v>
      </c>
    </row>
    <row r="6" spans="1:74" ht="15.75" customHeight="1">
      <c r="A6" s="646"/>
      <c r="B6" s="657" t="s">
        <v>453</v>
      </c>
      <c r="C6" s="657"/>
      <c r="D6" s="657" t="s">
        <v>212</v>
      </c>
      <c r="E6" s="657"/>
      <c r="F6" s="657" t="s">
        <v>166</v>
      </c>
      <c r="G6" s="657"/>
      <c r="H6" s="646" t="s">
        <v>429</v>
      </c>
      <c r="I6" s="646"/>
      <c r="J6" s="646" t="s">
        <v>189</v>
      </c>
      <c r="K6" s="646"/>
      <c r="L6" s="646" t="s">
        <v>167</v>
      </c>
      <c r="M6" s="646"/>
      <c r="N6" s="646" t="s">
        <v>190</v>
      </c>
      <c r="O6" s="646"/>
      <c r="P6" s="354" t="s">
        <v>217</v>
      </c>
    </row>
    <row r="8" spans="1:74" s="235" customFormat="1" ht="15.75" customHeight="1">
      <c r="A8" s="649" t="s">
        <v>191</v>
      </c>
      <c r="B8" s="649"/>
      <c r="C8" s="234" t="s">
        <v>47</v>
      </c>
      <c r="D8" s="658" t="s">
        <v>12</v>
      </c>
      <c r="E8" s="658"/>
      <c r="F8" s="658"/>
      <c r="G8" s="659" t="s">
        <v>53</v>
      </c>
      <c r="H8" s="660"/>
      <c r="I8" s="661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654" t="s">
        <v>51</v>
      </c>
      <c r="P8" s="654"/>
    </row>
    <row r="9" spans="1:74" ht="55" customHeight="1">
      <c r="A9" s="649">
        <v>1</v>
      </c>
      <c r="B9" s="666" t="s">
        <v>454</v>
      </c>
      <c r="C9" s="236">
        <v>1</v>
      </c>
      <c r="D9" s="237" t="s">
        <v>340</v>
      </c>
      <c r="E9" s="238"/>
      <c r="F9" s="239"/>
      <c r="G9" s="306" t="s">
        <v>386</v>
      </c>
      <c r="H9" s="305"/>
      <c r="I9" s="306"/>
      <c r="J9" s="236">
        <v>127.84000000000002</v>
      </c>
      <c r="K9" s="242">
        <v>2.551137568927081E-3</v>
      </c>
      <c r="L9" s="236">
        <v>41.82</v>
      </c>
      <c r="M9" s="322">
        <f>L9*J9</f>
        <v>5346.2688000000007</v>
      </c>
      <c r="N9" s="243"/>
      <c r="O9" s="662" t="s">
        <v>744</v>
      </c>
      <c r="P9" s="662"/>
    </row>
    <row r="10" spans="1:74" ht="55" customHeight="1">
      <c r="A10" s="649"/>
      <c r="B10" s="666"/>
      <c r="C10" s="236">
        <v>2</v>
      </c>
      <c r="D10" s="237" t="s">
        <v>642</v>
      </c>
      <c r="E10" s="238"/>
      <c r="F10" s="239"/>
      <c r="G10" s="306" t="s">
        <v>654</v>
      </c>
      <c r="H10" s="305"/>
      <c r="I10" s="306"/>
      <c r="J10" s="236">
        <v>212.78</v>
      </c>
      <c r="K10" s="242">
        <v>9.322595695379049E-3</v>
      </c>
      <c r="L10" s="236">
        <v>21.89</v>
      </c>
      <c r="M10" s="322">
        <f t="shared" ref="M10:M13" si="0">L10*J10</f>
        <v>4657.7542000000003</v>
      </c>
      <c r="N10" s="243"/>
      <c r="O10" s="663" t="s">
        <v>745</v>
      </c>
      <c r="P10" s="663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ht="55" customHeight="1">
      <c r="A11" s="649"/>
      <c r="B11" s="666"/>
      <c r="C11" s="236">
        <v>3</v>
      </c>
      <c r="D11" s="237" t="s">
        <v>434</v>
      </c>
      <c r="E11" s="238"/>
      <c r="F11" s="239"/>
      <c r="G11" s="306" t="s">
        <v>463</v>
      </c>
      <c r="H11" s="305"/>
      <c r="I11" s="306"/>
      <c r="J11" s="236">
        <v>160.49</v>
      </c>
      <c r="K11" s="242">
        <v>1.0408029179243682E-2</v>
      </c>
      <c r="L11" s="236">
        <v>28.129999999999995</v>
      </c>
      <c r="M11" s="322">
        <f t="shared" si="0"/>
        <v>4514.5836999999992</v>
      </c>
      <c r="N11" s="243"/>
      <c r="O11" s="664" t="s">
        <v>746</v>
      </c>
      <c r="P11" s="664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ht="66.75" customHeight="1">
      <c r="A12" s="649"/>
      <c r="B12" s="666"/>
      <c r="C12" s="236">
        <v>4</v>
      </c>
      <c r="D12" s="237" t="s">
        <v>674</v>
      </c>
      <c r="E12" s="238"/>
      <c r="F12" s="239"/>
      <c r="G12" s="306" t="s">
        <v>675</v>
      </c>
      <c r="H12" s="305"/>
      <c r="I12" s="306"/>
      <c r="J12" s="236">
        <v>655.37</v>
      </c>
      <c r="K12" s="242">
        <v>3.7863375378633744E-3</v>
      </c>
      <c r="L12" s="236">
        <v>3.3499999999999996</v>
      </c>
      <c r="M12" s="322">
        <f t="shared" si="0"/>
        <v>2195.4894999999997</v>
      </c>
      <c r="N12" s="243"/>
      <c r="O12" s="664" t="s">
        <v>747</v>
      </c>
      <c r="P12" s="664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ht="55" customHeight="1" thickBot="1">
      <c r="A13" s="649"/>
      <c r="B13" s="666"/>
      <c r="C13" s="236">
        <v>5</v>
      </c>
      <c r="D13" s="244" t="s">
        <v>436</v>
      </c>
      <c r="E13" s="245"/>
      <c r="F13" s="246"/>
      <c r="G13" s="361" t="s">
        <v>658</v>
      </c>
      <c r="H13" s="360"/>
      <c r="I13" s="361"/>
      <c r="J13" s="247">
        <v>1.1500000000000001</v>
      </c>
      <c r="K13" s="248">
        <v>2.0985061815599004E-2</v>
      </c>
      <c r="L13" s="247">
        <v>1833</v>
      </c>
      <c r="M13" s="323">
        <f t="shared" si="0"/>
        <v>2107.9500000000003</v>
      </c>
      <c r="N13" s="243"/>
      <c r="O13" s="665" t="s">
        <v>748</v>
      </c>
      <c r="P13" s="665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ht="15.75" customHeight="1" thickTop="1">
      <c r="A14" s="649"/>
      <c r="B14" s="666"/>
      <c r="C14" s="667"/>
      <c r="D14" s="668"/>
      <c r="E14" s="668"/>
      <c r="F14" s="668"/>
      <c r="G14" s="668"/>
      <c r="H14" s="668"/>
      <c r="I14" s="669"/>
      <c r="J14" s="249" t="s">
        <v>58</v>
      </c>
      <c r="K14" s="338">
        <f>M14/'生產管理報表 7-1(月)'!$B$9</f>
        <v>0.10695009801192149</v>
      </c>
      <c r="L14" s="249" t="s">
        <v>59</v>
      </c>
      <c r="M14" s="355">
        <f>SUM(M9:M13)</f>
        <v>18822.046200000001</v>
      </c>
      <c r="N14" s="652"/>
      <c r="O14" s="652"/>
      <c r="P14" s="652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ht="15.75" customHeight="1">
      <c r="A16" s="649" t="s">
        <v>191</v>
      </c>
      <c r="B16" s="649"/>
      <c r="C16" s="252" t="s">
        <v>47</v>
      </c>
      <c r="D16" s="671" t="s">
        <v>12</v>
      </c>
      <c r="E16" s="672"/>
      <c r="F16" s="673"/>
      <c r="G16" s="659" t="s">
        <v>53</v>
      </c>
      <c r="H16" s="660"/>
      <c r="I16" s="661"/>
      <c r="J16" s="254" t="s">
        <v>54</v>
      </c>
      <c r="K16" s="254" t="s">
        <v>55</v>
      </c>
      <c r="L16" s="254" t="s">
        <v>56</v>
      </c>
      <c r="M16" s="254" t="s">
        <v>11</v>
      </c>
      <c r="N16" s="234" t="s">
        <v>333</v>
      </c>
      <c r="O16" s="654" t="s">
        <v>51</v>
      </c>
      <c r="P16" s="654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ht="20.149999999999999" customHeight="1">
      <c r="A17" s="649">
        <v>2</v>
      </c>
      <c r="B17" s="666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43"/>
      <c r="O17" s="670"/>
      <c r="P17" s="670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ht="20.149999999999999" customHeight="1">
      <c r="A18" s="649"/>
      <c r="B18" s="666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43"/>
      <c r="O18" s="670"/>
      <c r="P18" s="670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ht="20.149999999999999" customHeight="1">
      <c r="A19" s="649"/>
      <c r="B19" s="666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43"/>
      <c r="O19" s="653"/>
      <c r="P19" s="653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ht="20.149999999999999" customHeight="1">
      <c r="A20" s="649"/>
      <c r="B20" s="666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43"/>
      <c r="O20" s="653"/>
      <c r="P20" s="653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ht="20.149999999999999" customHeight="1" thickBot="1">
      <c r="A21" s="649"/>
      <c r="B21" s="666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43"/>
      <c r="O21" s="653"/>
      <c r="P21" s="653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ht="15.75" customHeight="1" thickTop="1">
      <c r="A22" s="649"/>
      <c r="B22" s="666"/>
      <c r="C22" s="667"/>
      <c r="D22" s="668"/>
      <c r="E22" s="668"/>
      <c r="F22" s="668"/>
      <c r="G22" s="668"/>
      <c r="H22" s="668"/>
      <c r="I22" s="669"/>
      <c r="J22" s="249" t="s">
        <v>58</v>
      </c>
      <c r="K22" s="338">
        <f>M22/'生產管理報表 7-1(月)'!$B$9</f>
        <v>0</v>
      </c>
      <c r="L22" s="249" t="s">
        <v>59</v>
      </c>
      <c r="M22" s="250">
        <f>SUM(M17:M21)</f>
        <v>0</v>
      </c>
      <c r="N22" s="652"/>
      <c r="O22" s="652"/>
      <c r="P22" s="652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ht="15.75" customHeight="1">
      <c r="A24" s="649" t="s">
        <v>191</v>
      </c>
      <c r="B24" s="649"/>
      <c r="C24" s="252" t="s">
        <v>47</v>
      </c>
      <c r="D24" s="671" t="s">
        <v>12</v>
      </c>
      <c r="E24" s="672"/>
      <c r="F24" s="673"/>
      <c r="G24" s="659" t="s">
        <v>53</v>
      </c>
      <c r="H24" s="660"/>
      <c r="I24" s="661"/>
      <c r="J24" s="253" t="s">
        <v>54</v>
      </c>
      <c r="K24" s="254" t="s">
        <v>55</v>
      </c>
      <c r="L24" s="254" t="s">
        <v>56</v>
      </c>
      <c r="M24" s="254" t="s">
        <v>11</v>
      </c>
      <c r="N24" s="234" t="s">
        <v>333</v>
      </c>
      <c r="O24" s="654" t="s">
        <v>51</v>
      </c>
      <c r="P24" s="654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ht="60" customHeight="1">
      <c r="A25" s="649">
        <v>3</v>
      </c>
      <c r="B25" s="666" t="s">
        <v>423</v>
      </c>
      <c r="C25" s="256">
        <v>1</v>
      </c>
      <c r="D25" s="237" t="s">
        <v>340</v>
      </c>
      <c r="E25" s="238"/>
      <c r="F25" s="239"/>
      <c r="G25" s="361" t="s">
        <v>449</v>
      </c>
      <c r="H25" s="360"/>
      <c r="I25" s="361"/>
      <c r="J25" s="257">
        <v>2.4499999999999997</v>
      </c>
      <c r="K25" s="258">
        <v>6.9048175450579109E-3</v>
      </c>
      <c r="L25" s="257">
        <v>3953</v>
      </c>
      <c r="M25" s="325">
        <f t="shared" ref="M25:M29" si="2">L25*J25</f>
        <v>9684.8499999999985</v>
      </c>
      <c r="N25" s="243"/>
      <c r="O25" s="670" t="s">
        <v>749</v>
      </c>
      <c r="P25" s="67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ht="60" customHeight="1">
      <c r="A26" s="649"/>
      <c r="B26" s="666"/>
      <c r="C26" s="256">
        <v>2</v>
      </c>
      <c r="D26" s="237" t="s">
        <v>340</v>
      </c>
      <c r="E26" s="238"/>
      <c r="F26" s="239"/>
      <c r="G26" s="361" t="s">
        <v>448</v>
      </c>
      <c r="H26" s="360"/>
      <c r="I26" s="361"/>
      <c r="J26" s="257">
        <v>1.17</v>
      </c>
      <c r="K26" s="258">
        <v>7.3295515795044714E-3</v>
      </c>
      <c r="L26" s="257">
        <v>8091</v>
      </c>
      <c r="M26" s="325">
        <f t="shared" si="2"/>
        <v>9466.4699999999993</v>
      </c>
      <c r="N26" s="243"/>
      <c r="O26" s="670" t="s">
        <v>750</v>
      </c>
      <c r="P26" s="67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ht="60" customHeight="1">
      <c r="A27" s="649"/>
      <c r="B27" s="666"/>
      <c r="C27" s="256">
        <v>3</v>
      </c>
      <c r="D27" s="237" t="s">
        <v>342</v>
      </c>
      <c r="E27" s="238"/>
      <c r="F27" s="239"/>
      <c r="G27" s="361" t="s">
        <v>460</v>
      </c>
      <c r="H27" s="360"/>
      <c r="I27" s="361"/>
      <c r="J27" s="257">
        <v>605.77999999999986</v>
      </c>
      <c r="K27" s="258">
        <v>2.5175649885336069E-3</v>
      </c>
      <c r="L27" s="257">
        <v>5.3599999999999994</v>
      </c>
      <c r="M27" s="325">
        <f t="shared" si="2"/>
        <v>3246.9807999999989</v>
      </c>
      <c r="N27" s="243"/>
      <c r="O27" s="651" t="s">
        <v>751</v>
      </c>
      <c r="P27" s="65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ht="60" customHeight="1">
      <c r="A28" s="649"/>
      <c r="B28" s="666"/>
      <c r="C28" s="256">
        <v>4</v>
      </c>
      <c r="D28" s="237" t="s">
        <v>568</v>
      </c>
      <c r="E28" s="238"/>
      <c r="F28" s="239"/>
      <c r="G28" s="246" t="s">
        <v>584</v>
      </c>
      <c r="H28" s="245"/>
      <c r="I28" s="246"/>
      <c r="J28" s="257">
        <v>24.59</v>
      </c>
      <c r="K28" s="258">
        <v>3.6959430920785984E-3</v>
      </c>
      <c r="L28" s="257">
        <v>120</v>
      </c>
      <c r="M28" s="325">
        <f t="shared" si="2"/>
        <v>2950.8</v>
      </c>
      <c r="N28" s="243"/>
      <c r="O28" s="651" t="s">
        <v>752</v>
      </c>
      <c r="P28" s="65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ht="60" customHeight="1" thickBot="1">
      <c r="A29" s="649"/>
      <c r="B29" s="666"/>
      <c r="C29" s="262">
        <v>5</v>
      </c>
      <c r="D29" s="244" t="s">
        <v>340</v>
      </c>
      <c r="E29" s="245"/>
      <c r="F29" s="246"/>
      <c r="G29" s="361" t="s">
        <v>660</v>
      </c>
      <c r="H29" s="360"/>
      <c r="I29" s="361"/>
      <c r="J29" s="263">
        <v>3.2199999999999998</v>
      </c>
      <c r="K29" s="264">
        <v>1.7437132760637964E-3</v>
      </c>
      <c r="L29" s="263">
        <v>715</v>
      </c>
      <c r="M29" s="325">
        <f t="shared" si="2"/>
        <v>2302.2999999999997</v>
      </c>
      <c r="N29" s="243"/>
      <c r="O29" s="651" t="s">
        <v>753</v>
      </c>
      <c r="P29" s="65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ht="15.75" customHeight="1" thickTop="1">
      <c r="A30" s="649"/>
      <c r="B30" s="666"/>
      <c r="C30" s="667"/>
      <c r="D30" s="668"/>
      <c r="E30" s="668"/>
      <c r="F30" s="668"/>
      <c r="G30" s="668"/>
      <c r="H30" s="668"/>
      <c r="I30" s="669"/>
      <c r="J30" s="274" t="s">
        <v>58</v>
      </c>
      <c r="K30" s="338">
        <f>M30/'生產管理報表 7-1(月)'!$B$9</f>
        <v>0.15712000673587356</v>
      </c>
      <c r="L30" s="274" t="s">
        <v>59</v>
      </c>
      <c r="M30" s="326">
        <f>SUM(M25:M29)</f>
        <v>27651.400799999996</v>
      </c>
      <c r="N30" s="652"/>
      <c r="O30" s="652"/>
      <c r="P30" s="652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B9" sqref="B9:B14"/>
    </sheetView>
  </sheetViews>
  <sheetFormatPr defaultColWidth="12.54296875" defaultRowHeight="15.75" customHeight="1"/>
  <cols>
    <col min="1" max="1" width="5.453125" style="289" customWidth="1"/>
    <col min="2" max="2" width="11.453125" style="297" customWidth="1"/>
    <col min="3" max="3" width="4" style="298" customWidth="1"/>
    <col min="4" max="4" width="9.54296875" style="289" customWidth="1"/>
    <col min="5" max="5" width="10.26953125" style="289" customWidth="1"/>
    <col min="6" max="15" width="9.54296875" style="289" customWidth="1"/>
    <col min="16" max="16" width="38" style="289" customWidth="1"/>
    <col min="17" max="16384" width="12.54296875" style="289"/>
  </cols>
  <sheetData>
    <row r="1" spans="1:20" s="135" customFormat="1" ht="15.75" customHeight="1">
      <c r="A1" s="643" t="s">
        <v>361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36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35" customFormat="1" ht="15.75" customHeight="1">
      <c r="A3" s="644" t="s">
        <v>431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6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20" s="135" customFormat="1" ht="15.75" customHeight="1">
      <c r="A5" s="681" t="s">
        <v>191</v>
      </c>
      <c r="B5" s="683">
        <v>1</v>
      </c>
      <c r="C5" s="684"/>
      <c r="D5" s="683">
        <v>2</v>
      </c>
      <c r="E5" s="684"/>
      <c r="F5" s="683">
        <v>3</v>
      </c>
      <c r="G5" s="684"/>
      <c r="H5" s="674">
        <v>4</v>
      </c>
      <c r="I5" s="675"/>
      <c r="J5" s="674">
        <v>5</v>
      </c>
      <c r="K5" s="675"/>
      <c r="L5" s="674">
        <v>6</v>
      </c>
      <c r="M5" s="675"/>
      <c r="N5" s="674">
        <v>7</v>
      </c>
      <c r="O5" s="675"/>
      <c r="P5" s="327">
        <v>8</v>
      </c>
    </row>
    <row r="6" spans="1:20" s="135" customFormat="1" ht="15.75" customHeight="1">
      <c r="A6" s="682"/>
      <c r="B6" s="678" t="s">
        <v>453</v>
      </c>
      <c r="C6" s="679"/>
      <c r="D6" s="678" t="s">
        <v>212</v>
      </c>
      <c r="E6" s="679"/>
      <c r="F6" s="678" t="s">
        <v>166</v>
      </c>
      <c r="G6" s="679"/>
      <c r="H6" s="676" t="s">
        <v>429</v>
      </c>
      <c r="I6" s="677"/>
      <c r="J6" s="676" t="s">
        <v>189</v>
      </c>
      <c r="K6" s="677"/>
      <c r="L6" s="676" t="s">
        <v>167</v>
      </c>
      <c r="M6" s="677"/>
      <c r="N6" s="676" t="s">
        <v>190</v>
      </c>
      <c r="O6" s="677"/>
      <c r="P6" s="328" t="s">
        <v>217</v>
      </c>
    </row>
    <row r="7" spans="1:20" s="135" customFormat="1" ht="15.75" customHeight="1">
      <c r="B7" s="232"/>
      <c r="C7" s="233"/>
    </row>
    <row r="8" spans="1:20" s="278" customFormat="1" ht="15.75" customHeight="1">
      <c r="A8" s="685" t="s">
        <v>191</v>
      </c>
      <c r="B8" s="686"/>
      <c r="C8" s="275" t="s">
        <v>47</v>
      </c>
      <c r="D8" s="687" t="s">
        <v>12</v>
      </c>
      <c r="E8" s="688"/>
      <c r="F8" s="689"/>
      <c r="G8" s="690" t="s">
        <v>53</v>
      </c>
      <c r="H8" s="691"/>
      <c r="I8" s="692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693" t="s">
        <v>51</v>
      </c>
      <c r="P8" s="694"/>
      <c r="R8" s="339"/>
      <c r="S8" s="340"/>
    </row>
    <row r="9" spans="1:20" s="298" customFormat="1" ht="20.149999999999999" customHeight="1">
      <c r="A9" s="695">
        <v>4</v>
      </c>
      <c r="B9" s="698" t="s">
        <v>429</v>
      </c>
      <c r="C9" s="279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 t="shared" ref="M9:M13" si="0">L9*J9</f>
        <v>0</v>
      </c>
      <c r="N9" s="314"/>
      <c r="O9" s="701"/>
      <c r="P9" s="702"/>
      <c r="R9" s="341"/>
      <c r="S9" s="341"/>
    </row>
    <row r="10" spans="1:20" s="298" customFormat="1" ht="20.149999999999999" customHeight="1">
      <c r="A10" s="696"/>
      <c r="B10" s="699"/>
      <c r="C10" s="279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si="0"/>
        <v>0</v>
      </c>
      <c r="N10" s="314"/>
      <c r="O10" s="703"/>
      <c r="P10" s="704"/>
      <c r="R10" s="341"/>
      <c r="S10" s="341"/>
    </row>
    <row r="11" spans="1:20" s="298" customFormat="1" ht="20.149999999999999" customHeight="1">
      <c r="A11" s="696"/>
      <c r="B11" s="699"/>
      <c r="C11" s="279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314"/>
      <c r="O11" s="705"/>
      <c r="P11" s="706"/>
      <c r="R11" s="341"/>
      <c r="S11" s="339"/>
    </row>
    <row r="12" spans="1:20" s="298" customFormat="1" ht="20.149999999999999" customHeight="1">
      <c r="A12" s="696"/>
      <c r="B12" s="699"/>
      <c r="C12" s="279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314"/>
      <c r="O12" s="703"/>
      <c r="P12" s="704"/>
      <c r="R12" s="341"/>
      <c r="S12" s="339"/>
    </row>
    <row r="13" spans="1:20" s="298" customFormat="1" ht="20.149999999999999" customHeight="1" thickBot="1">
      <c r="A13" s="696"/>
      <c r="B13" s="699"/>
      <c r="C13" s="279">
        <v>5</v>
      </c>
      <c r="D13" s="244"/>
      <c r="E13" s="245"/>
      <c r="F13" s="246"/>
      <c r="G13" s="361"/>
      <c r="H13" s="360"/>
      <c r="I13" s="361"/>
      <c r="J13" s="247"/>
      <c r="K13" s="248"/>
      <c r="L13" s="247"/>
      <c r="M13" s="322">
        <f t="shared" si="0"/>
        <v>0</v>
      </c>
      <c r="N13" s="314"/>
      <c r="O13" s="707"/>
      <c r="P13" s="708"/>
      <c r="R13" s="342"/>
      <c r="S13" s="339"/>
      <c r="T13" s="289"/>
    </row>
    <row r="14" spans="1:20" ht="15.75" customHeight="1" thickTop="1" thickBot="1">
      <c r="A14" s="697"/>
      <c r="B14" s="700"/>
      <c r="C14" s="709"/>
      <c r="D14" s="710"/>
      <c r="E14" s="710"/>
      <c r="F14" s="710"/>
      <c r="G14" s="710"/>
      <c r="H14" s="710"/>
      <c r="I14" s="711"/>
      <c r="J14" s="295" t="s">
        <v>58</v>
      </c>
      <c r="K14" s="441">
        <f>M14/'生產管理報表 7-1(月)'!$B$9</f>
        <v>0</v>
      </c>
      <c r="L14" s="296" t="s">
        <v>59</v>
      </c>
      <c r="M14" s="334">
        <f>SUM(M9:M13)</f>
        <v>0</v>
      </c>
      <c r="N14" s="712"/>
      <c r="O14" s="713"/>
      <c r="P14" s="714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685" t="s">
        <v>191</v>
      </c>
      <c r="B16" s="686"/>
      <c r="C16" s="275" t="s">
        <v>47</v>
      </c>
      <c r="D16" s="687" t="s">
        <v>12</v>
      </c>
      <c r="E16" s="688"/>
      <c r="F16" s="689"/>
      <c r="G16" s="690" t="s">
        <v>53</v>
      </c>
      <c r="H16" s="691"/>
      <c r="I16" s="692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693" t="s">
        <v>51</v>
      </c>
      <c r="P16" s="694"/>
      <c r="S16" s="340"/>
      <c r="T16" s="298"/>
    </row>
    <row r="17" spans="1:20" s="298" customFormat="1" ht="66.75" customHeight="1">
      <c r="A17" s="695">
        <v>5</v>
      </c>
      <c r="B17" s="715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2.23719723270005E-3</v>
      </c>
      <c r="L17" s="314">
        <v>41.400000000000006</v>
      </c>
      <c r="M17" s="322">
        <f t="shared" ref="M17:M21" si="1">L17*J17</f>
        <v>6103.6020000000026</v>
      </c>
      <c r="N17" s="314"/>
      <c r="O17" s="718" t="s">
        <v>754</v>
      </c>
      <c r="P17" s="719"/>
      <c r="S17" s="339"/>
    </row>
    <row r="18" spans="1:20" s="298" customFormat="1" ht="66.75" customHeight="1">
      <c r="A18" s="696"/>
      <c r="B18" s="716"/>
      <c r="C18" s="279">
        <v>2</v>
      </c>
      <c r="D18" s="237" t="s">
        <v>436</v>
      </c>
      <c r="E18" s="238"/>
      <c r="F18" s="239"/>
      <c r="G18" s="306" t="s">
        <v>658</v>
      </c>
      <c r="H18" s="305"/>
      <c r="I18" s="306"/>
      <c r="J18" s="312">
        <v>1.1500000000000001</v>
      </c>
      <c r="K18" s="313">
        <v>1.9785107134692521E-2</v>
      </c>
      <c r="L18" s="314">
        <v>952</v>
      </c>
      <c r="M18" s="322">
        <f t="shared" si="1"/>
        <v>1094.8000000000002</v>
      </c>
      <c r="N18" s="314"/>
      <c r="O18" s="720" t="s">
        <v>748</v>
      </c>
      <c r="P18" s="721"/>
      <c r="S18" s="289"/>
      <c r="T18" s="289"/>
    </row>
    <row r="19" spans="1:20" ht="20.149999999999999" customHeight="1">
      <c r="A19" s="696"/>
      <c r="B19" s="716"/>
      <c r="C19" s="279">
        <v>3</v>
      </c>
      <c r="D19" s="237"/>
      <c r="E19" s="281"/>
      <c r="F19" s="282"/>
      <c r="G19" s="351"/>
      <c r="H19" s="305"/>
      <c r="I19" s="306"/>
      <c r="J19" s="312"/>
      <c r="K19" s="313"/>
      <c r="L19" s="314"/>
      <c r="M19" s="322">
        <f t="shared" si="1"/>
        <v>0</v>
      </c>
      <c r="N19" s="288"/>
      <c r="O19" s="722"/>
      <c r="P19" s="723"/>
    </row>
    <row r="20" spans="1:20" ht="20.149999999999999" customHeight="1">
      <c r="A20" s="696"/>
      <c r="B20" s="716"/>
      <c r="C20" s="279">
        <v>4</v>
      </c>
      <c r="D20" s="237"/>
      <c r="E20" s="281"/>
      <c r="F20" s="282"/>
      <c r="G20" s="351"/>
      <c r="H20" s="305"/>
      <c r="I20" s="306"/>
      <c r="J20" s="312"/>
      <c r="K20" s="313"/>
      <c r="L20" s="314"/>
      <c r="M20" s="322">
        <f t="shared" si="1"/>
        <v>0</v>
      </c>
      <c r="N20" s="288"/>
      <c r="O20" s="703"/>
      <c r="P20" s="704"/>
    </row>
    <row r="21" spans="1:20" ht="20.149999999999999" customHeight="1" thickBot="1">
      <c r="A21" s="696"/>
      <c r="B21" s="716"/>
      <c r="C21" s="279">
        <v>5</v>
      </c>
      <c r="D21" s="244"/>
      <c r="E21" s="291"/>
      <c r="F21" s="292"/>
      <c r="G21" s="351"/>
      <c r="H21" s="305"/>
      <c r="I21" s="306"/>
      <c r="J21" s="316"/>
      <c r="K21" s="264"/>
      <c r="L21" s="317"/>
      <c r="M21" s="322">
        <f t="shared" si="1"/>
        <v>0</v>
      </c>
      <c r="N21" s="288"/>
      <c r="O21" s="727"/>
      <c r="P21" s="728"/>
      <c r="R21" s="343"/>
    </row>
    <row r="22" spans="1:20" ht="15.75" customHeight="1" thickTop="1" thickBot="1">
      <c r="A22" s="697"/>
      <c r="B22" s="717"/>
      <c r="C22" s="724"/>
      <c r="D22" s="725"/>
      <c r="E22" s="725"/>
      <c r="F22" s="725"/>
      <c r="G22" s="725"/>
      <c r="H22" s="725"/>
      <c r="I22" s="726"/>
      <c r="J22" s="295" t="s">
        <v>58</v>
      </c>
      <c r="K22" s="338">
        <f>M22/'生產管理報表 7-1(月)'!$B$9</f>
        <v>4.0902556037143926E-2</v>
      </c>
      <c r="L22" s="296" t="s">
        <v>59</v>
      </c>
      <c r="M22" s="334">
        <f>SUM(M17:M21)</f>
        <v>7198.4020000000028</v>
      </c>
      <c r="N22" s="712"/>
      <c r="O22" s="713"/>
      <c r="P22" s="714"/>
      <c r="R22" s="339"/>
    </row>
    <row r="23" spans="1:20" ht="15.75" customHeight="1" thickTop="1">
      <c r="M23" s="329"/>
      <c r="R23" s="339"/>
    </row>
    <row r="24" spans="1:20" ht="15.75" customHeight="1">
      <c r="A24" s="685" t="s">
        <v>191</v>
      </c>
      <c r="B24" s="686"/>
      <c r="C24" s="303" t="s">
        <v>47</v>
      </c>
      <c r="D24" s="729" t="s">
        <v>12</v>
      </c>
      <c r="E24" s="730"/>
      <c r="F24" s="731"/>
      <c r="G24" s="732" t="s">
        <v>53</v>
      </c>
      <c r="H24" s="733"/>
      <c r="I24" s="734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693" t="s">
        <v>51</v>
      </c>
      <c r="P24" s="694"/>
      <c r="R24" s="339"/>
    </row>
    <row r="25" spans="1:20" s="298" customFormat="1" ht="81" customHeight="1">
      <c r="A25" s="695">
        <v>6</v>
      </c>
      <c r="B25" s="715" t="s">
        <v>216</v>
      </c>
      <c r="C25" s="279">
        <v>1</v>
      </c>
      <c r="D25" s="237" t="s">
        <v>524</v>
      </c>
      <c r="E25" s="238"/>
      <c r="F25" s="239"/>
      <c r="G25" s="306" t="s">
        <v>335</v>
      </c>
      <c r="H25" s="305"/>
      <c r="I25" s="306"/>
      <c r="J25" s="312">
        <v>15.450000000000001</v>
      </c>
      <c r="K25" s="313">
        <v>2.2688194130221365E-3</v>
      </c>
      <c r="L25" s="314">
        <v>662.85</v>
      </c>
      <c r="M25" s="322">
        <f t="shared" ref="M25:M29" si="2">L25*J25</f>
        <v>10241.032500000001</v>
      </c>
      <c r="N25" s="314"/>
      <c r="O25" s="735" t="s">
        <v>755</v>
      </c>
      <c r="P25" s="736"/>
    </row>
    <row r="26" spans="1:20" ht="81" customHeight="1">
      <c r="A26" s="696"/>
      <c r="B26" s="716"/>
      <c r="C26" s="279">
        <v>2</v>
      </c>
      <c r="D26" s="237" t="s">
        <v>340</v>
      </c>
      <c r="E26" s="281"/>
      <c r="F26" s="282"/>
      <c r="G26" s="240" t="s">
        <v>535</v>
      </c>
      <c r="H26" s="241"/>
      <c r="I26" s="240"/>
      <c r="J26" s="312">
        <v>39.389999999999993</v>
      </c>
      <c r="K26" s="313">
        <v>1.2078131900386628E-3</v>
      </c>
      <c r="L26" s="314">
        <v>147.94999999999999</v>
      </c>
      <c r="M26" s="322">
        <f t="shared" si="2"/>
        <v>5827.7504999999983</v>
      </c>
      <c r="N26" s="288"/>
      <c r="O26" s="720" t="s">
        <v>756</v>
      </c>
      <c r="P26" s="721"/>
    </row>
    <row r="27" spans="1:20" ht="81" customHeight="1">
      <c r="A27" s="696"/>
      <c r="B27" s="716"/>
      <c r="C27" s="279">
        <v>3</v>
      </c>
      <c r="D27" s="237" t="s">
        <v>545</v>
      </c>
      <c r="E27" s="281"/>
      <c r="F27" s="282"/>
      <c r="G27" s="240" t="s">
        <v>546</v>
      </c>
      <c r="H27" s="241"/>
      <c r="I27" s="240"/>
      <c r="J27" s="312">
        <v>62.43</v>
      </c>
      <c r="K27" s="313">
        <v>8.8527130546013702E-3</v>
      </c>
      <c r="L27" s="314">
        <v>65.03</v>
      </c>
      <c r="M27" s="322">
        <f t="shared" si="2"/>
        <v>4059.8229000000001</v>
      </c>
      <c r="N27" s="288"/>
      <c r="O27" s="720" t="s">
        <v>757</v>
      </c>
      <c r="P27" s="721"/>
    </row>
    <row r="28" spans="1:20" ht="81" customHeight="1">
      <c r="A28" s="696"/>
      <c r="B28" s="716"/>
      <c r="C28" s="279">
        <v>4</v>
      </c>
      <c r="D28" s="237" t="s">
        <v>621</v>
      </c>
      <c r="E28" s="281"/>
      <c r="F28" s="282"/>
      <c r="G28" s="240" t="s">
        <v>626</v>
      </c>
      <c r="H28" s="241"/>
      <c r="I28" s="240"/>
      <c r="J28" s="312">
        <v>39.389999999999993</v>
      </c>
      <c r="K28" s="313">
        <v>5.1635396565913186E-3</v>
      </c>
      <c r="L28" s="314">
        <v>91.46</v>
      </c>
      <c r="M28" s="322">
        <f t="shared" si="2"/>
        <v>3602.6093999999994</v>
      </c>
      <c r="N28" s="288"/>
      <c r="O28" s="720" t="s">
        <v>758</v>
      </c>
      <c r="P28" s="721"/>
    </row>
    <row r="29" spans="1:20" ht="81" customHeight="1" thickBot="1">
      <c r="A29" s="696"/>
      <c r="B29" s="716"/>
      <c r="C29" s="279">
        <v>5</v>
      </c>
      <c r="D29" s="244" t="s">
        <v>642</v>
      </c>
      <c r="E29" s="291"/>
      <c r="F29" s="292"/>
      <c r="G29" s="240" t="s">
        <v>651</v>
      </c>
      <c r="H29" s="241"/>
      <c r="I29" s="240"/>
      <c r="J29" s="316">
        <v>43.889999999999993</v>
      </c>
      <c r="K29" s="385">
        <v>7.1860410301573929E-3</v>
      </c>
      <c r="L29" s="317">
        <v>66.02000000000001</v>
      </c>
      <c r="M29" s="322">
        <f t="shared" si="2"/>
        <v>2897.6178</v>
      </c>
      <c r="N29" s="288"/>
      <c r="O29" s="720" t="s">
        <v>759</v>
      </c>
      <c r="P29" s="721"/>
    </row>
    <row r="30" spans="1:20" ht="15.75" customHeight="1" thickTop="1" thickBot="1">
      <c r="A30" s="697"/>
      <c r="B30" s="717"/>
      <c r="C30" s="724"/>
      <c r="D30" s="725"/>
      <c r="E30" s="725"/>
      <c r="F30" s="725"/>
      <c r="G30" s="725"/>
      <c r="H30" s="725"/>
      <c r="I30" s="726"/>
      <c r="J30" s="295" t="s">
        <v>58</v>
      </c>
      <c r="K30" s="441">
        <f>M30/'生產管理報表 7-1(月)'!$B$9</f>
        <v>0.15130960150273665</v>
      </c>
      <c r="L30" s="296" t="s">
        <v>59</v>
      </c>
      <c r="M30" s="334">
        <f>SUM(M25:M29)</f>
        <v>26628.833099999996</v>
      </c>
      <c r="N30" s="712"/>
      <c r="O30" s="713"/>
      <c r="P30" s="714"/>
    </row>
    <row r="31" spans="1:20" ht="15.75" customHeight="1" thickTop="1">
      <c r="M31" s="329"/>
    </row>
    <row r="32" spans="1:20" ht="15.75" customHeight="1">
      <c r="A32" s="685" t="s">
        <v>191</v>
      </c>
      <c r="B32" s="686"/>
      <c r="C32" s="303" t="s">
        <v>47</v>
      </c>
      <c r="D32" s="729" t="s">
        <v>12</v>
      </c>
      <c r="E32" s="730"/>
      <c r="F32" s="731"/>
      <c r="G32" s="732" t="s">
        <v>53</v>
      </c>
      <c r="H32" s="733"/>
      <c r="I32" s="734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693" t="s">
        <v>51</v>
      </c>
      <c r="P32" s="694"/>
    </row>
    <row r="33" spans="1:16" ht="20.149999999999999" customHeight="1">
      <c r="A33" s="695">
        <v>7</v>
      </c>
      <c r="B33" s="737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40"/>
      <c r="P33" s="741"/>
    </row>
    <row r="34" spans="1:16" ht="20.149999999999999" customHeight="1">
      <c r="A34" s="696"/>
      <c r="B34" s="738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42"/>
      <c r="P34" s="743"/>
    </row>
    <row r="35" spans="1:16" ht="20.149999999999999" customHeight="1">
      <c r="A35" s="696"/>
      <c r="B35" s="738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42"/>
      <c r="P35" s="743"/>
    </row>
    <row r="36" spans="1:16" ht="20.149999999999999" customHeight="1">
      <c r="A36" s="696"/>
      <c r="B36" s="738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20.149999999999999" customHeight="1" thickBot="1">
      <c r="A37" s="696"/>
      <c r="B37" s="738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697"/>
      <c r="B38" s="739"/>
      <c r="C38" s="724"/>
      <c r="D38" s="725"/>
      <c r="E38" s="725"/>
      <c r="F38" s="725"/>
      <c r="G38" s="725"/>
      <c r="H38" s="725"/>
      <c r="I38" s="726"/>
      <c r="J38" s="295" t="s">
        <v>58</v>
      </c>
      <c r="K38" s="441">
        <f>M38/'生產管理報表 7-1(月)'!$B$9</f>
        <v>0</v>
      </c>
      <c r="L38" s="296" t="s">
        <v>59</v>
      </c>
      <c r="M38" s="334">
        <f>SUM(M33:M37)</f>
        <v>0</v>
      </c>
      <c r="N38" s="712"/>
      <c r="O38" s="713"/>
      <c r="P38" s="714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7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2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B9" sqref="B9:B14"/>
    </sheetView>
  </sheetViews>
  <sheetFormatPr defaultColWidth="12.54296875" defaultRowHeight="15.75" customHeight="1"/>
  <cols>
    <col min="1" max="1" width="5.453125" style="135" customWidth="1"/>
    <col min="2" max="2" width="11.453125" style="232" customWidth="1"/>
    <col min="3" max="3" width="4" style="233" customWidth="1"/>
    <col min="4" max="15" width="9.54296875" style="135" customWidth="1"/>
    <col min="16" max="16" width="47.81640625" style="135" customWidth="1"/>
    <col min="17" max="17" width="9.54296875" style="135" customWidth="1"/>
    <col min="18" max="21" width="12.54296875" style="231"/>
    <col min="22" max="22" width="24.453125" style="135" bestFit="1" customWidth="1"/>
    <col min="23" max="23" width="19.453125" style="135" bestFit="1" customWidth="1"/>
    <col min="24" max="24" width="23" style="135" bestFit="1" customWidth="1"/>
    <col min="25" max="25" width="11.7265625" style="135" bestFit="1" customWidth="1"/>
    <col min="26" max="26" width="15.81640625" style="135" bestFit="1" customWidth="1"/>
    <col min="27" max="27" width="23.54296875" style="135" bestFit="1" customWidth="1"/>
    <col min="28" max="28" width="23" style="135" bestFit="1" customWidth="1"/>
    <col min="29" max="29" width="11.7265625" style="135" bestFit="1" customWidth="1"/>
    <col min="30" max="30" width="20.54296875" style="135" bestFit="1" customWidth="1"/>
    <col min="31" max="31" width="15" style="135" bestFit="1" customWidth="1"/>
    <col min="32" max="32" width="23" style="135" bestFit="1" customWidth="1"/>
    <col min="33" max="33" width="11.7265625" style="135" bestFit="1" customWidth="1"/>
    <col min="34" max="34" width="15.8164062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265625" style="135" bestFit="1" customWidth="1"/>
    <col min="40" max="40" width="13.81640625" style="135" bestFit="1" customWidth="1"/>
    <col min="41" max="41" width="27.81640625" style="135" bestFit="1" customWidth="1"/>
    <col min="42" max="42" width="23" style="135" bestFit="1" customWidth="1"/>
    <col min="43" max="43" width="8" style="135" bestFit="1" customWidth="1"/>
    <col min="44" max="44" width="30.7265625" style="135" bestFit="1" customWidth="1"/>
    <col min="45" max="45" width="25.726562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265625" style="135" bestFit="1" customWidth="1"/>
    <col min="50" max="50" width="20.1796875" style="135" bestFit="1" customWidth="1"/>
    <col min="51" max="51" width="23.54296875" style="135" bestFit="1" customWidth="1"/>
    <col min="52" max="52" width="23" style="135" bestFit="1" customWidth="1"/>
    <col min="53" max="53" width="11.7265625" style="135" bestFit="1" customWidth="1"/>
    <col min="54" max="54" width="21.453125" style="135" bestFit="1" customWidth="1"/>
    <col min="55" max="55" width="15" style="135" bestFit="1" customWidth="1"/>
    <col min="56" max="56" width="23" style="135" bestFit="1" customWidth="1"/>
    <col min="57" max="57" width="11.7265625" style="135" bestFit="1" customWidth="1"/>
    <col min="58" max="58" width="13.8164062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265625" style="135" bestFit="1" customWidth="1"/>
    <col min="64" max="64" width="24.7265625" style="135" bestFit="1" customWidth="1"/>
    <col min="65" max="65" width="18.726562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1640625" style="135" bestFit="1" customWidth="1"/>
    <col min="73" max="73" width="10.54296875" style="135" bestFit="1" customWidth="1"/>
    <col min="74" max="74" width="21.453125" style="135" bestFit="1" customWidth="1"/>
    <col min="75" max="75" width="5.453125" style="135" bestFit="1" customWidth="1"/>
    <col min="76" max="16384" width="12.54296875" style="135"/>
  </cols>
  <sheetData>
    <row r="1" spans="1:75" ht="15.75" customHeight="1">
      <c r="A1" s="643" t="s">
        <v>361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</row>
    <row r="2" spans="1:75" s="136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75" ht="15.75" customHeight="1">
      <c r="A3" s="644" t="s">
        <v>432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5"/>
    </row>
    <row r="4" spans="1:75" s="136" customFormat="1" ht="15.75" customHeight="1">
      <c r="A4" s="655"/>
      <c r="B4" s="655"/>
      <c r="C4" s="655"/>
      <c r="D4" s="655"/>
      <c r="E4" s="655"/>
      <c r="F4" s="655"/>
      <c r="G4" s="655"/>
      <c r="H4" s="655"/>
      <c r="I4" s="655"/>
      <c r="J4" s="655"/>
      <c r="K4" s="655"/>
      <c r="L4" s="655"/>
      <c r="M4" s="655"/>
    </row>
    <row r="5" spans="1:75" ht="15.75" customHeight="1">
      <c r="A5" s="646" t="s">
        <v>191</v>
      </c>
      <c r="B5" s="656">
        <v>1</v>
      </c>
      <c r="C5" s="656"/>
      <c r="D5" s="656">
        <v>2</v>
      </c>
      <c r="E5" s="656"/>
      <c r="F5" s="656">
        <v>3</v>
      </c>
      <c r="G5" s="656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649">
        <v>8</v>
      </c>
      <c r="Q5" s="649"/>
    </row>
    <row r="6" spans="1:75" ht="15.75" customHeight="1">
      <c r="A6" s="646"/>
      <c r="B6" s="657" t="s">
        <v>453</v>
      </c>
      <c r="C6" s="657"/>
      <c r="D6" s="657" t="s">
        <v>212</v>
      </c>
      <c r="E6" s="657"/>
      <c r="F6" s="657" t="s">
        <v>166</v>
      </c>
      <c r="G6" s="657"/>
      <c r="H6" s="646" t="s">
        <v>429</v>
      </c>
      <c r="I6" s="646"/>
      <c r="J6" s="646" t="s">
        <v>189</v>
      </c>
      <c r="K6" s="646"/>
      <c r="L6" s="646" t="s">
        <v>167</v>
      </c>
      <c r="M6" s="646"/>
      <c r="N6" s="646" t="s">
        <v>190</v>
      </c>
      <c r="O6" s="646"/>
      <c r="P6" s="744" t="s">
        <v>217</v>
      </c>
      <c r="Q6" s="646"/>
    </row>
    <row r="8" spans="1:75" s="235" customFormat="1" ht="15.75" customHeight="1">
      <c r="A8" s="649" t="s">
        <v>191</v>
      </c>
      <c r="B8" s="649"/>
      <c r="C8" s="234" t="s">
        <v>47</v>
      </c>
      <c r="D8" s="658" t="s">
        <v>12</v>
      </c>
      <c r="E8" s="658"/>
      <c r="F8" s="658"/>
      <c r="G8" s="659" t="s">
        <v>53</v>
      </c>
      <c r="H8" s="660"/>
      <c r="I8" s="661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654" t="s">
        <v>51</v>
      </c>
      <c r="P8" s="654"/>
    </row>
    <row r="9" spans="1:75" ht="25" customHeight="1">
      <c r="A9" s="649">
        <v>1</v>
      </c>
      <c r="B9" s="666" t="s">
        <v>454</v>
      </c>
      <c r="C9" s="236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>L9*J9</f>
        <v>0</v>
      </c>
      <c r="N9" s="243"/>
      <c r="O9" s="701"/>
      <c r="P9" s="702"/>
    </row>
    <row r="10" spans="1:75" ht="25" customHeight="1">
      <c r="A10" s="649"/>
      <c r="B10" s="666"/>
      <c r="C10" s="236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ref="M10:M13" si="0">L10*J10</f>
        <v>0</v>
      </c>
      <c r="N10" s="243"/>
      <c r="O10" s="745"/>
      <c r="P10" s="746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5" customHeight="1">
      <c r="A11" s="649"/>
      <c r="B11" s="666"/>
      <c r="C11" s="236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243"/>
      <c r="O11" s="745"/>
      <c r="P11" s="746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5" customHeight="1">
      <c r="A12" s="649"/>
      <c r="B12" s="666"/>
      <c r="C12" s="236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243"/>
      <c r="O12" s="745"/>
      <c r="P12" s="746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5" customHeight="1" thickBot="1">
      <c r="A13" s="649"/>
      <c r="B13" s="666"/>
      <c r="C13" s="236">
        <v>5</v>
      </c>
      <c r="D13" s="244"/>
      <c r="E13" s="245"/>
      <c r="F13" s="246"/>
      <c r="G13" s="361"/>
      <c r="H13" s="360"/>
      <c r="I13" s="361"/>
      <c r="J13" s="247"/>
      <c r="K13" s="248"/>
      <c r="L13" s="247"/>
      <c r="M13" s="323">
        <f t="shared" si="0"/>
        <v>0</v>
      </c>
      <c r="N13" s="243"/>
      <c r="O13" s="745"/>
      <c r="P13" s="746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>
      <c r="A14" s="649"/>
      <c r="B14" s="666"/>
      <c r="C14" s="667"/>
      <c r="D14" s="668"/>
      <c r="E14" s="668"/>
      <c r="F14" s="668"/>
      <c r="G14" s="668"/>
      <c r="H14" s="668"/>
      <c r="I14" s="669"/>
      <c r="J14" s="249" t="s">
        <v>58</v>
      </c>
      <c r="K14" s="338" t="e">
        <f>M14/'生產管理報表 7-1(月)'!$B$10</f>
        <v>#VALUE!</v>
      </c>
      <c r="L14" s="249" t="s">
        <v>59</v>
      </c>
      <c r="M14" s="324">
        <f>SUM(M9:M13)</f>
        <v>0</v>
      </c>
      <c r="N14" s="747"/>
      <c r="O14" s="748"/>
      <c r="P14" s="749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649" t="s">
        <v>191</v>
      </c>
      <c r="B16" s="649"/>
      <c r="C16" s="252" t="s">
        <v>47</v>
      </c>
      <c r="D16" s="671" t="s">
        <v>12</v>
      </c>
      <c r="E16" s="672"/>
      <c r="F16" s="673"/>
      <c r="G16" s="659" t="s">
        <v>53</v>
      </c>
      <c r="H16" s="660"/>
      <c r="I16" s="661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750" t="s">
        <v>51</v>
      </c>
      <c r="P16" s="75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49999999999999" customHeight="1">
      <c r="A17" s="649">
        <v>2</v>
      </c>
      <c r="B17" s="666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52"/>
      <c r="P17" s="753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49999999999999" customHeight="1">
      <c r="A18" s="649"/>
      <c r="B18" s="666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52"/>
      <c r="P18" s="753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49999999999999" customHeight="1">
      <c r="A19" s="649"/>
      <c r="B19" s="666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52"/>
      <c r="P19" s="753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49999999999999" customHeight="1">
      <c r="A20" s="649"/>
      <c r="B20" s="666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52"/>
      <c r="P20" s="753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49999999999999" customHeight="1" thickBot="1">
      <c r="A21" s="649"/>
      <c r="B21" s="666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52"/>
      <c r="P21" s="753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>
      <c r="A22" s="649"/>
      <c r="B22" s="666"/>
      <c r="C22" s="667"/>
      <c r="D22" s="668"/>
      <c r="E22" s="668"/>
      <c r="F22" s="668"/>
      <c r="G22" s="668"/>
      <c r="H22" s="668"/>
      <c r="I22" s="669"/>
      <c r="J22" s="249" t="s">
        <v>58</v>
      </c>
      <c r="K22" s="338" t="e">
        <f>M22/'生產管理報表 7-1(月)'!$B$10</f>
        <v>#VALUE!</v>
      </c>
      <c r="L22" s="249" t="s">
        <v>59</v>
      </c>
      <c r="M22" s="250">
        <f>SUM(M17:M21)</f>
        <v>0</v>
      </c>
      <c r="N22" s="754"/>
      <c r="O22" s="755"/>
      <c r="P22" s="756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649" t="s">
        <v>191</v>
      </c>
      <c r="B24" s="649"/>
      <c r="C24" s="252" t="s">
        <v>47</v>
      </c>
      <c r="D24" s="671" t="s">
        <v>12</v>
      </c>
      <c r="E24" s="672"/>
      <c r="F24" s="673"/>
      <c r="G24" s="659" t="s">
        <v>53</v>
      </c>
      <c r="H24" s="660"/>
      <c r="I24" s="661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762" t="s">
        <v>51</v>
      </c>
      <c r="P24" s="763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5" customHeight="1">
      <c r="A25" s="649">
        <v>3</v>
      </c>
      <c r="B25" s="666" t="s">
        <v>423</v>
      </c>
      <c r="C25" s="256">
        <v>1</v>
      </c>
      <c r="D25" s="237"/>
      <c r="E25" s="238"/>
      <c r="F25" s="239"/>
      <c r="G25" s="359"/>
      <c r="H25" s="360"/>
      <c r="I25" s="361"/>
      <c r="J25" s="269"/>
      <c r="K25" s="258"/>
      <c r="L25" s="257"/>
      <c r="M25" s="325">
        <f t="shared" ref="M25:M29" si="2">L25*J25</f>
        <v>0</v>
      </c>
      <c r="N25" s="270"/>
      <c r="O25" s="757"/>
      <c r="P25" s="758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5" customHeight="1">
      <c r="A26" s="649"/>
      <c r="B26" s="666"/>
      <c r="C26" s="256">
        <v>2</v>
      </c>
      <c r="D26" s="237"/>
      <c r="E26" s="238"/>
      <c r="F26" s="239"/>
      <c r="G26" s="359"/>
      <c r="H26" s="360"/>
      <c r="I26" s="361"/>
      <c r="J26" s="269"/>
      <c r="K26" s="258"/>
      <c r="L26" s="257"/>
      <c r="M26" s="325">
        <f t="shared" si="2"/>
        <v>0</v>
      </c>
      <c r="N26" s="270"/>
      <c r="O26" s="757"/>
      <c r="P26" s="758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5" customHeight="1">
      <c r="A27" s="649"/>
      <c r="B27" s="666"/>
      <c r="C27" s="256">
        <v>3</v>
      </c>
      <c r="D27" s="237"/>
      <c r="E27" s="238"/>
      <c r="F27" s="239"/>
      <c r="G27" s="359"/>
      <c r="H27" s="360"/>
      <c r="I27" s="361"/>
      <c r="J27" s="269"/>
      <c r="K27" s="258"/>
      <c r="L27" s="257"/>
      <c r="M27" s="325">
        <f t="shared" si="2"/>
        <v>0</v>
      </c>
      <c r="N27" s="270"/>
      <c r="O27" s="757"/>
      <c r="P27" s="758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5" customHeight="1">
      <c r="A28" s="649"/>
      <c r="B28" s="666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57"/>
      <c r="P28" s="758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5" customHeight="1" thickBot="1">
      <c r="A29" s="649"/>
      <c r="B29" s="666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57"/>
      <c r="P29" s="758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>
      <c r="A30" s="649"/>
      <c r="B30" s="666"/>
      <c r="C30" s="667"/>
      <c r="D30" s="668"/>
      <c r="E30" s="668"/>
      <c r="F30" s="668"/>
      <c r="G30" s="668"/>
      <c r="H30" s="668"/>
      <c r="I30" s="669"/>
      <c r="J30" s="274" t="s">
        <v>58</v>
      </c>
      <c r="K30" s="338" t="e">
        <f>M30/'生產管理報表 7-1(月)'!$B$10</f>
        <v>#VALUE!</v>
      </c>
      <c r="L30" s="274" t="s">
        <v>59</v>
      </c>
      <c r="M30" s="326">
        <f>SUM(M25:M29)</f>
        <v>0</v>
      </c>
      <c r="N30" s="759"/>
      <c r="O30" s="760"/>
      <c r="P30" s="76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25" zoomScale="91" zoomScaleNormal="60" zoomScaleSheetLayoutView="91" workbookViewId="0">
      <selection activeCell="B9" sqref="B9:B14"/>
    </sheetView>
  </sheetViews>
  <sheetFormatPr defaultColWidth="12.54296875" defaultRowHeight="15.75" customHeight="1"/>
  <cols>
    <col min="1" max="1" width="5.453125" style="289" customWidth="1"/>
    <col min="2" max="2" width="11.453125" style="297" customWidth="1"/>
    <col min="3" max="3" width="4" style="298" customWidth="1"/>
    <col min="4" max="4" width="9.54296875" style="289" customWidth="1"/>
    <col min="5" max="5" width="10.26953125" style="289" customWidth="1"/>
    <col min="6" max="15" width="9.54296875" style="289" customWidth="1"/>
    <col min="16" max="16" width="52" style="289" customWidth="1"/>
    <col min="17" max="16384" width="12.54296875" style="289"/>
  </cols>
  <sheetData>
    <row r="1" spans="1:20" s="135" customFormat="1" ht="15.75" customHeight="1">
      <c r="A1" s="643" t="s">
        <v>361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36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35" customFormat="1" ht="15.75" customHeight="1">
      <c r="A3" s="644" t="s">
        <v>432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36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20" s="135" customFormat="1" ht="15.75" customHeight="1">
      <c r="A5" s="681" t="s">
        <v>191</v>
      </c>
      <c r="B5" s="683">
        <v>1</v>
      </c>
      <c r="C5" s="684"/>
      <c r="D5" s="683">
        <v>2</v>
      </c>
      <c r="E5" s="684"/>
      <c r="F5" s="683">
        <v>3</v>
      </c>
      <c r="G5" s="684"/>
      <c r="H5" s="674">
        <v>4</v>
      </c>
      <c r="I5" s="675"/>
      <c r="J5" s="674">
        <v>5</v>
      </c>
      <c r="K5" s="675"/>
      <c r="L5" s="674">
        <v>6</v>
      </c>
      <c r="M5" s="675"/>
      <c r="N5" s="674">
        <v>7</v>
      </c>
      <c r="O5" s="675"/>
      <c r="P5" s="327">
        <v>8</v>
      </c>
    </row>
    <row r="6" spans="1:20" s="135" customFormat="1" ht="15.75" customHeight="1">
      <c r="A6" s="682"/>
      <c r="B6" s="678" t="s">
        <v>453</v>
      </c>
      <c r="C6" s="679"/>
      <c r="D6" s="678" t="s">
        <v>212</v>
      </c>
      <c r="E6" s="679"/>
      <c r="F6" s="678" t="s">
        <v>166</v>
      </c>
      <c r="G6" s="679"/>
      <c r="H6" s="676" t="s">
        <v>429</v>
      </c>
      <c r="I6" s="677"/>
      <c r="J6" s="676" t="s">
        <v>189</v>
      </c>
      <c r="K6" s="677"/>
      <c r="L6" s="676" t="s">
        <v>167</v>
      </c>
      <c r="M6" s="677"/>
      <c r="N6" s="676" t="s">
        <v>190</v>
      </c>
      <c r="O6" s="677"/>
      <c r="P6" s="328" t="s">
        <v>217</v>
      </c>
    </row>
    <row r="7" spans="1:20" s="135" customFormat="1" ht="15.75" customHeight="1">
      <c r="B7" s="232"/>
      <c r="C7" s="233"/>
    </row>
    <row r="8" spans="1:20" s="278" customFormat="1" ht="15.75" customHeight="1">
      <c r="A8" s="685" t="s">
        <v>191</v>
      </c>
      <c r="B8" s="686"/>
      <c r="C8" s="275" t="s">
        <v>47</v>
      </c>
      <c r="D8" s="764" t="s">
        <v>12</v>
      </c>
      <c r="E8" s="765"/>
      <c r="F8" s="766"/>
      <c r="G8" s="767" t="s">
        <v>53</v>
      </c>
      <c r="H8" s="768"/>
      <c r="I8" s="769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693" t="s">
        <v>51</v>
      </c>
      <c r="P8" s="694"/>
      <c r="R8" s="339"/>
      <c r="S8" s="340"/>
    </row>
    <row r="9" spans="1:20" s="298" customFormat="1" ht="60" customHeight="1">
      <c r="A9" s="695">
        <v>4</v>
      </c>
      <c r="B9" s="698" t="s">
        <v>429</v>
      </c>
      <c r="C9" s="279">
        <v>1</v>
      </c>
      <c r="D9" s="377" t="s">
        <v>340</v>
      </c>
      <c r="E9" s="360"/>
      <c r="F9" s="360"/>
      <c r="G9" s="358" t="s">
        <v>386</v>
      </c>
      <c r="H9" s="305"/>
      <c r="I9" s="306"/>
      <c r="J9" s="312">
        <v>127.84000000000002</v>
      </c>
      <c r="K9" s="313">
        <v>2.551137568927081E-3</v>
      </c>
      <c r="L9" s="314">
        <v>160.19999999999982</v>
      </c>
      <c r="M9" s="322">
        <f t="shared" ref="M9:M13" si="0">L9*J9</f>
        <v>20479.967999999979</v>
      </c>
      <c r="N9" s="314"/>
      <c r="O9" s="703" t="s">
        <v>760</v>
      </c>
      <c r="P9" s="704"/>
      <c r="R9" s="341"/>
      <c r="S9" s="341"/>
    </row>
    <row r="10" spans="1:20" s="298" customFormat="1" ht="60" customHeight="1">
      <c r="A10" s="696"/>
      <c r="B10" s="699"/>
      <c r="C10" s="279">
        <v>2</v>
      </c>
      <c r="D10" s="356" t="s">
        <v>340</v>
      </c>
      <c r="E10" s="238"/>
      <c r="F10" s="239"/>
      <c r="G10" s="358" t="s">
        <v>653</v>
      </c>
      <c r="H10" s="305"/>
      <c r="I10" s="306"/>
      <c r="J10" s="312">
        <v>144.79999999999998</v>
      </c>
      <c r="K10" s="313">
        <v>2.7315573525144138E-3</v>
      </c>
      <c r="L10" s="314">
        <v>138.17000000000007</v>
      </c>
      <c r="M10" s="322">
        <f t="shared" si="0"/>
        <v>20007.016000000007</v>
      </c>
      <c r="N10" s="314"/>
      <c r="O10" s="703" t="s">
        <v>761</v>
      </c>
      <c r="P10" s="704"/>
      <c r="R10" s="341"/>
      <c r="S10" s="341"/>
    </row>
    <row r="11" spans="1:20" s="298" customFormat="1" ht="60" customHeight="1">
      <c r="A11" s="696"/>
      <c r="B11" s="699"/>
      <c r="C11" s="279">
        <v>3</v>
      </c>
      <c r="D11" s="356" t="s">
        <v>623</v>
      </c>
      <c r="E11" s="238"/>
      <c r="F11" s="239"/>
      <c r="G11" s="358" t="s">
        <v>655</v>
      </c>
      <c r="H11" s="305"/>
      <c r="I11" s="306"/>
      <c r="J11" s="312">
        <v>49.82</v>
      </c>
      <c r="K11" s="313">
        <v>6.1906029536992948E-3</v>
      </c>
      <c r="L11" s="314">
        <v>397.05999999999995</v>
      </c>
      <c r="M11" s="322">
        <f t="shared" si="0"/>
        <v>19781.529199999997</v>
      </c>
      <c r="N11" s="314"/>
      <c r="O11" s="703" t="s">
        <v>762</v>
      </c>
      <c r="P11" s="704"/>
      <c r="R11" s="341"/>
      <c r="S11" s="339"/>
    </row>
    <row r="12" spans="1:20" s="298" customFormat="1" ht="60" customHeight="1">
      <c r="A12" s="696"/>
      <c r="B12" s="699"/>
      <c r="C12" s="279">
        <v>4</v>
      </c>
      <c r="D12" s="382" t="s">
        <v>568</v>
      </c>
      <c r="E12" s="238"/>
      <c r="F12" s="239"/>
      <c r="G12" s="358" t="s">
        <v>586</v>
      </c>
      <c r="H12" s="305"/>
      <c r="I12" s="306"/>
      <c r="J12" s="312">
        <v>113.68000000000004</v>
      </c>
      <c r="K12" s="313">
        <v>6.0908484164653581E-3</v>
      </c>
      <c r="L12" s="314">
        <v>161.8599999999999</v>
      </c>
      <c r="M12" s="322">
        <f t="shared" si="0"/>
        <v>18400.244799999993</v>
      </c>
      <c r="N12" s="314"/>
      <c r="O12" s="703" t="s">
        <v>762</v>
      </c>
      <c r="P12" s="704"/>
      <c r="R12" s="341"/>
      <c r="S12" s="339"/>
    </row>
    <row r="13" spans="1:20" s="298" customFormat="1" ht="60" customHeight="1" thickBot="1">
      <c r="A13" s="696"/>
      <c r="B13" s="699"/>
      <c r="C13" s="279">
        <v>5</v>
      </c>
      <c r="D13" s="382" t="s">
        <v>341</v>
      </c>
      <c r="E13" s="245"/>
      <c r="F13" s="246"/>
      <c r="G13" s="358" t="s">
        <v>547</v>
      </c>
      <c r="H13" s="305"/>
      <c r="I13" s="306"/>
      <c r="J13" s="316">
        <v>66.13</v>
      </c>
      <c r="K13" s="264">
        <v>7.4764651319386526E-3</v>
      </c>
      <c r="L13" s="317">
        <v>259.79999999999995</v>
      </c>
      <c r="M13" s="322">
        <f t="shared" si="0"/>
        <v>17180.573999999997</v>
      </c>
      <c r="N13" s="314"/>
      <c r="O13" s="703" t="s">
        <v>762</v>
      </c>
      <c r="P13" s="704"/>
      <c r="R13" s="342"/>
      <c r="S13" s="339"/>
      <c r="T13" s="289"/>
    </row>
    <row r="14" spans="1:20" ht="15.75" customHeight="1" thickTop="1" thickBot="1">
      <c r="A14" s="697"/>
      <c r="B14" s="700"/>
      <c r="C14" s="709"/>
      <c r="D14" s="710"/>
      <c r="E14" s="710"/>
      <c r="F14" s="710"/>
      <c r="G14" s="710"/>
      <c r="H14" s="710"/>
      <c r="I14" s="711"/>
      <c r="J14" s="295" t="s">
        <v>58</v>
      </c>
      <c r="K14" s="441" t="e">
        <f>M14/'生產管理報表 7-1(月)'!$B$10</f>
        <v>#VALUE!</v>
      </c>
      <c r="L14" s="296" t="s">
        <v>59</v>
      </c>
      <c r="M14" s="334">
        <f>SUM(M9:M13)</f>
        <v>95849.331999999966</v>
      </c>
      <c r="N14" s="712"/>
      <c r="O14" s="713"/>
      <c r="P14" s="714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685" t="s">
        <v>191</v>
      </c>
      <c r="B16" s="686"/>
      <c r="C16" s="275" t="s">
        <v>47</v>
      </c>
      <c r="D16" s="687" t="s">
        <v>12</v>
      </c>
      <c r="E16" s="688"/>
      <c r="F16" s="689"/>
      <c r="G16" s="690" t="s">
        <v>53</v>
      </c>
      <c r="H16" s="691"/>
      <c r="I16" s="692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693" t="s">
        <v>51</v>
      </c>
      <c r="P16" s="694"/>
      <c r="S16" s="340"/>
      <c r="T16" s="298"/>
    </row>
    <row r="17" spans="1:20" s="298" customFormat="1" ht="50.15" customHeight="1">
      <c r="A17" s="695">
        <v>5</v>
      </c>
      <c r="B17" s="715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2.23719723270005E-3</v>
      </c>
      <c r="L17" s="314">
        <v>303.80999999999949</v>
      </c>
      <c r="M17" s="322">
        <f t="shared" ref="M17:M19" si="1">L17*J17</f>
        <v>44790.708299999933</v>
      </c>
      <c r="N17" s="314"/>
      <c r="O17" s="770" t="s">
        <v>763</v>
      </c>
      <c r="P17" s="771"/>
      <c r="S17" s="339"/>
    </row>
    <row r="18" spans="1:20" s="298" customFormat="1" ht="20.149999999999999" customHeight="1">
      <c r="A18" s="696"/>
      <c r="B18" s="716"/>
      <c r="C18" s="279">
        <v>2</v>
      </c>
      <c r="D18" s="237"/>
      <c r="E18" s="238"/>
      <c r="F18" s="239"/>
      <c r="G18" s="351"/>
      <c r="H18" s="305"/>
      <c r="I18" s="306"/>
      <c r="J18" s="312"/>
      <c r="K18" s="313"/>
      <c r="L18" s="314"/>
      <c r="M18" s="322">
        <f t="shared" si="1"/>
        <v>0</v>
      </c>
      <c r="N18" s="314"/>
      <c r="O18" s="720"/>
      <c r="P18" s="721"/>
      <c r="S18" s="289"/>
      <c r="T18" s="289"/>
    </row>
    <row r="19" spans="1:20" ht="20.149999999999999" customHeight="1">
      <c r="A19" s="696"/>
      <c r="B19" s="716"/>
      <c r="C19" s="279">
        <v>3</v>
      </c>
      <c r="D19" s="237"/>
      <c r="E19" s="281"/>
      <c r="F19" s="282"/>
      <c r="G19" s="351"/>
      <c r="H19" s="305"/>
      <c r="I19" s="306"/>
      <c r="J19" s="312"/>
      <c r="K19" s="313"/>
      <c r="L19" s="314"/>
      <c r="M19" s="322">
        <f t="shared" si="1"/>
        <v>0</v>
      </c>
      <c r="N19" s="288"/>
      <c r="O19" s="770"/>
      <c r="P19" s="771"/>
    </row>
    <row r="20" spans="1:20" ht="20.149999999999999" customHeight="1">
      <c r="A20" s="696"/>
      <c r="B20" s="716"/>
      <c r="C20" s="279">
        <v>4</v>
      </c>
      <c r="D20" s="280"/>
      <c r="E20" s="281"/>
      <c r="F20" s="282"/>
      <c r="G20" s="283"/>
      <c r="H20" s="284"/>
      <c r="I20" s="285"/>
      <c r="J20" s="286"/>
      <c r="K20" s="287"/>
      <c r="L20" s="288"/>
      <c r="M20" s="332">
        <v>0</v>
      </c>
      <c r="N20" s="288"/>
      <c r="O20" s="299"/>
      <c r="P20" s="300"/>
    </row>
    <row r="21" spans="1:20" ht="20.149999999999999" customHeight="1" thickBot="1">
      <c r="A21" s="696"/>
      <c r="B21" s="716"/>
      <c r="C21" s="279">
        <v>5</v>
      </c>
      <c r="D21" s="290"/>
      <c r="E21" s="291"/>
      <c r="F21" s="292"/>
      <c r="G21" s="283"/>
      <c r="H21" s="284"/>
      <c r="I21" s="285"/>
      <c r="J21" s="293"/>
      <c r="K21" s="264"/>
      <c r="L21" s="294"/>
      <c r="M21" s="333">
        <v>0</v>
      </c>
      <c r="N21" s="288"/>
      <c r="O21" s="301"/>
      <c r="P21" s="302"/>
      <c r="R21" s="343"/>
    </row>
    <row r="22" spans="1:20" ht="15.75" customHeight="1" thickTop="1" thickBot="1">
      <c r="A22" s="697"/>
      <c r="B22" s="717"/>
      <c r="C22" s="724"/>
      <c r="D22" s="725"/>
      <c r="E22" s="725"/>
      <c r="F22" s="725"/>
      <c r="G22" s="725"/>
      <c r="H22" s="725"/>
      <c r="I22" s="726"/>
      <c r="J22" s="295" t="s">
        <v>58</v>
      </c>
      <c r="K22" s="441" t="e">
        <f>M22/'生產管理報表 7-1(月)'!$B$10</f>
        <v>#VALUE!</v>
      </c>
      <c r="L22" s="296" t="s">
        <v>59</v>
      </c>
      <c r="M22" s="334">
        <f>SUM(M17:M21)</f>
        <v>44790.708299999933</v>
      </c>
      <c r="N22" s="712"/>
      <c r="O22" s="713"/>
      <c r="P22" s="714"/>
      <c r="R22" s="339"/>
    </row>
    <row r="23" spans="1:20" ht="15.75" customHeight="1" thickTop="1">
      <c r="M23" s="329"/>
      <c r="R23" s="339"/>
    </row>
    <row r="24" spans="1:20" ht="15.75" customHeight="1">
      <c r="A24" s="685" t="s">
        <v>191</v>
      </c>
      <c r="B24" s="686"/>
      <c r="C24" s="303" t="s">
        <v>47</v>
      </c>
      <c r="D24" s="729" t="s">
        <v>12</v>
      </c>
      <c r="E24" s="730"/>
      <c r="F24" s="731"/>
      <c r="G24" s="732" t="s">
        <v>53</v>
      </c>
      <c r="H24" s="733"/>
      <c r="I24" s="734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693" t="s">
        <v>51</v>
      </c>
      <c r="P24" s="694"/>
      <c r="R24" s="339"/>
    </row>
    <row r="25" spans="1:20" ht="60" customHeight="1">
      <c r="A25" s="695">
        <v>6</v>
      </c>
      <c r="B25" s="715" t="s">
        <v>216</v>
      </c>
      <c r="C25" s="279">
        <v>1</v>
      </c>
      <c r="D25" s="237" t="s">
        <v>340</v>
      </c>
      <c r="E25" s="281"/>
      <c r="F25" s="281"/>
      <c r="G25" s="358" t="s">
        <v>535</v>
      </c>
      <c r="H25" s="305"/>
      <c r="I25" s="306"/>
      <c r="J25" s="312">
        <v>39.389999999999993</v>
      </c>
      <c r="K25" s="313">
        <v>1.2078131900386628E-3</v>
      </c>
      <c r="L25" s="314">
        <v>735.85000000000218</v>
      </c>
      <c r="M25" s="322">
        <f t="shared" ref="M25:M28" si="2">L25*J25</f>
        <v>28985.13150000008</v>
      </c>
      <c r="N25" s="288"/>
      <c r="O25" s="772" t="s">
        <v>764</v>
      </c>
      <c r="P25" s="773"/>
    </row>
    <row r="26" spans="1:20" ht="60" customHeight="1">
      <c r="A26" s="696"/>
      <c r="B26" s="716"/>
      <c r="C26" s="279">
        <v>2</v>
      </c>
      <c r="D26" s="237" t="s">
        <v>464</v>
      </c>
      <c r="E26" s="281"/>
      <c r="F26" s="281"/>
      <c r="G26" s="358" t="s">
        <v>462</v>
      </c>
      <c r="H26" s="305"/>
      <c r="I26" s="306"/>
      <c r="J26" s="312">
        <v>407.74000000000007</v>
      </c>
      <c r="K26" s="313">
        <v>2.2290034167953038E-3</v>
      </c>
      <c r="L26" s="314">
        <v>54.880000000000223</v>
      </c>
      <c r="M26" s="322">
        <f t="shared" si="2"/>
        <v>22376.771200000094</v>
      </c>
      <c r="N26" s="288"/>
      <c r="O26" s="774" t="s">
        <v>765</v>
      </c>
      <c r="P26" s="775"/>
    </row>
    <row r="27" spans="1:20" ht="60" customHeight="1">
      <c r="A27" s="696"/>
      <c r="B27" s="716"/>
      <c r="C27" s="279">
        <v>3</v>
      </c>
      <c r="D27" s="237" t="s">
        <v>642</v>
      </c>
      <c r="E27" s="281"/>
      <c r="F27" s="281"/>
      <c r="G27" s="358" t="s">
        <v>651</v>
      </c>
      <c r="H27" s="305"/>
      <c r="I27" s="306"/>
      <c r="J27" s="312">
        <v>43.889999999999993</v>
      </c>
      <c r="K27" s="313">
        <v>6.7178272876674975E-3</v>
      </c>
      <c r="L27" s="314">
        <v>456.75999999999976</v>
      </c>
      <c r="M27" s="322">
        <f t="shared" si="2"/>
        <v>20047.196399999986</v>
      </c>
      <c r="N27" s="288"/>
      <c r="O27" s="772" t="s">
        <v>766</v>
      </c>
      <c r="P27" s="773"/>
    </row>
    <row r="28" spans="1:20" ht="60" customHeight="1">
      <c r="A28" s="696"/>
      <c r="B28" s="716"/>
      <c r="C28" s="279">
        <v>4</v>
      </c>
      <c r="D28" s="237" t="s">
        <v>621</v>
      </c>
      <c r="E28" s="281"/>
      <c r="F28" s="281"/>
      <c r="G28" s="358" t="s">
        <v>626</v>
      </c>
      <c r="H28" s="305"/>
      <c r="I28" s="306"/>
      <c r="J28" s="312">
        <v>39.389999999999993</v>
      </c>
      <c r="K28" s="313">
        <v>4.7086299203464264E-3</v>
      </c>
      <c r="L28" s="314">
        <v>473.11999999999898</v>
      </c>
      <c r="M28" s="322">
        <f t="shared" si="2"/>
        <v>18636.196799999958</v>
      </c>
      <c r="N28" s="288"/>
      <c r="O28" s="772" t="s">
        <v>767</v>
      </c>
      <c r="P28" s="773"/>
    </row>
    <row r="29" spans="1:20" ht="60" customHeight="1" thickBot="1">
      <c r="A29" s="696"/>
      <c r="B29" s="716"/>
      <c r="C29" s="279">
        <v>5</v>
      </c>
      <c r="D29" s="244" t="s">
        <v>674</v>
      </c>
      <c r="E29" s="291"/>
      <c r="F29" s="291"/>
      <c r="G29" s="358" t="s">
        <v>676</v>
      </c>
      <c r="H29" s="305"/>
      <c r="I29" s="306"/>
      <c r="J29" s="316">
        <v>31.59</v>
      </c>
      <c r="K29" s="264">
        <v>5.1155275168430353E-3</v>
      </c>
      <c r="L29" s="317">
        <v>575.02700000000004</v>
      </c>
      <c r="M29" s="322">
        <f>L29*J29</f>
        <v>18165.102930000001</v>
      </c>
      <c r="N29" s="288"/>
      <c r="O29" s="774" t="s">
        <v>762</v>
      </c>
      <c r="P29" s="775"/>
    </row>
    <row r="30" spans="1:20" ht="15.75" customHeight="1" thickTop="1" thickBot="1">
      <c r="A30" s="697"/>
      <c r="B30" s="717"/>
      <c r="C30" s="724"/>
      <c r="D30" s="725"/>
      <c r="E30" s="725"/>
      <c r="F30" s="725"/>
      <c r="G30" s="725"/>
      <c r="H30" s="725"/>
      <c r="I30" s="726"/>
      <c r="J30" s="295" t="s">
        <v>58</v>
      </c>
      <c r="K30" s="441" t="e">
        <f>M30/'生產管理報表 7-1(月)'!$B$10</f>
        <v>#VALUE!</v>
      </c>
      <c r="L30" s="296" t="s">
        <v>59</v>
      </c>
      <c r="M30" s="334">
        <f>SUM(M25:M29)</f>
        <v>108210.39883000014</v>
      </c>
      <c r="N30" s="712"/>
      <c r="O30" s="713"/>
      <c r="P30" s="714"/>
    </row>
    <row r="31" spans="1:20" ht="15.75" customHeight="1" thickTop="1">
      <c r="M31" s="329"/>
    </row>
    <row r="32" spans="1:20" ht="15.75" customHeight="1">
      <c r="A32" s="685" t="s">
        <v>191</v>
      </c>
      <c r="B32" s="686"/>
      <c r="C32" s="303" t="s">
        <v>47</v>
      </c>
      <c r="D32" s="729" t="s">
        <v>12</v>
      </c>
      <c r="E32" s="730"/>
      <c r="F32" s="731"/>
      <c r="G32" s="732" t="s">
        <v>53</v>
      </c>
      <c r="H32" s="733"/>
      <c r="I32" s="734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693" t="s">
        <v>51</v>
      </c>
      <c r="P32" s="694"/>
    </row>
    <row r="33" spans="1:16" ht="15.75" customHeight="1">
      <c r="A33" s="695">
        <v>7</v>
      </c>
      <c r="B33" s="737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40"/>
      <c r="P33" s="741"/>
    </row>
    <row r="34" spans="1:16" ht="15.75" customHeight="1">
      <c r="A34" s="696"/>
      <c r="B34" s="738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42"/>
      <c r="P34" s="743"/>
    </row>
    <row r="35" spans="1:16" ht="15.75" customHeight="1">
      <c r="A35" s="696"/>
      <c r="B35" s="738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42"/>
      <c r="P35" s="743"/>
    </row>
    <row r="36" spans="1:16" ht="15.75" customHeight="1">
      <c r="A36" s="696"/>
      <c r="B36" s="738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15.75" customHeight="1" thickBot="1">
      <c r="A37" s="696"/>
      <c r="B37" s="738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697"/>
      <c r="B38" s="739"/>
      <c r="C38" s="724"/>
      <c r="D38" s="725"/>
      <c r="E38" s="725"/>
      <c r="F38" s="725"/>
      <c r="G38" s="725"/>
      <c r="H38" s="725"/>
      <c r="I38" s="726"/>
      <c r="J38" s="295" t="s">
        <v>58</v>
      </c>
      <c r="K38" s="441" t="e">
        <f>M38/'生產管理報表 7-1(月)'!$B$10</f>
        <v>#VALUE!</v>
      </c>
      <c r="L38" s="296" t="s">
        <v>59</v>
      </c>
      <c r="M38" s="334">
        <f>SUM(M33:M37)</f>
        <v>0</v>
      </c>
      <c r="N38" s="712"/>
      <c r="O38" s="713"/>
      <c r="P38" s="714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26"/>
  <sheetViews>
    <sheetView tabSelected="1" view="pageBreakPreview" topLeftCell="A16" zoomScale="115" zoomScaleNormal="60" zoomScaleSheetLayoutView="115" workbookViewId="0">
      <selection activeCell="J29" sqref="J29"/>
    </sheetView>
  </sheetViews>
  <sheetFormatPr defaultColWidth="12.54296875" defaultRowHeight="15.75" customHeight="1"/>
  <cols>
    <col min="1" max="1" width="14.1796875" style="135" customWidth="1"/>
    <col min="2" max="2" width="14.81640625" style="135" customWidth="1"/>
    <col min="3" max="3" width="12.81640625" style="135" customWidth="1"/>
    <col min="4" max="4" width="2.54296875" style="135" customWidth="1"/>
    <col min="5" max="5" width="7.54296875" style="135" customWidth="1"/>
    <col min="6" max="6" width="12.81640625" style="135" customWidth="1"/>
    <col min="7" max="7" width="9.453125" style="135" customWidth="1"/>
    <col min="8" max="8" width="12.81640625" style="135" customWidth="1"/>
    <col min="9" max="9" width="9.453125" style="135" customWidth="1"/>
    <col min="10" max="10" width="12.81640625" style="135" customWidth="1"/>
    <col min="11" max="11" width="9.453125" style="135" customWidth="1"/>
    <col min="12" max="12" width="12.81640625" style="135" customWidth="1"/>
    <col min="13" max="13" width="9.453125" style="135" customWidth="1"/>
    <col min="14" max="16384" width="12.54296875" style="135"/>
  </cols>
  <sheetData>
    <row r="1" spans="1:14" ht="15.75" customHeight="1">
      <c r="A1" s="643" t="s">
        <v>361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4" s="136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4" ht="15.75" customHeight="1">
      <c r="A3" s="644" t="s">
        <v>451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14" s="136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14" ht="15.75" customHeight="1">
      <c r="A5" s="225" t="s">
        <v>422</v>
      </c>
      <c r="B5" s="226">
        <v>46397.166829999995</v>
      </c>
      <c r="E5" s="782" t="s">
        <v>452</v>
      </c>
      <c r="F5" s="783"/>
      <c r="G5" s="783"/>
      <c r="H5" s="783"/>
      <c r="I5" s="783"/>
      <c r="J5" s="783"/>
      <c r="K5" s="783"/>
      <c r="L5" s="783"/>
      <c r="M5" s="783"/>
      <c r="N5" s="451"/>
    </row>
    <row r="6" spans="1:14" ht="15.75" customHeight="1">
      <c r="A6" s="784" t="s">
        <v>197</v>
      </c>
      <c r="B6" s="646" t="s">
        <v>10</v>
      </c>
      <c r="C6" s="646"/>
      <c r="D6" s="647"/>
      <c r="E6" s="645" t="s">
        <v>197</v>
      </c>
      <c r="F6" s="649">
        <v>1</v>
      </c>
      <c r="G6" s="649"/>
      <c r="H6" s="649">
        <v>2</v>
      </c>
      <c r="I6" s="649"/>
      <c r="J6" s="649">
        <v>3</v>
      </c>
      <c r="K6" s="649"/>
      <c r="L6" s="649">
        <v>4</v>
      </c>
      <c r="M6" s="649"/>
    </row>
    <row r="7" spans="1:14" ht="31.4" customHeight="1">
      <c r="A7" s="784"/>
      <c r="B7" s="646"/>
      <c r="C7" s="646"/>
      <c r="D7" s="648"/>
      <c r="E7" s="645"/>
      <c r="F7" s="641" t="s">
        <v>453</v>
      </c>
      <c r="G7" s="641"/>
      <c r="H7" s="641" t="s">
        <v>240</v>
      </c>
      <c r="I7" s="641"/>
      <c r="J7" s="641" t="s">
        <v>166</v>
      </c>
      <c r="K7" s="641"/>
      <c r="L7" s="641" t="s">
        <v>429</v>
      </c>
      <c r="M7" s="641"/>
    </row>
    <row r="8" spans="1:14" ht="15.75" customHeight="1">
      <c r="A8" s="784"/>
      <c r="B8" s="154" t="s">
        <v>11</v>
      </c>
      <c r="C8" s="154" t="s">
        <v>41</v>
      </c>
      <c r="D8" s="648"/>
      <c r="E8" s="645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4" ht="19.399999999999999" customHeight="1">
      <c r="A9" s="227" t="s">
        <v>242</v>
      </c>
      <c r="B9" s="139">
        <f>日別報廢率總表!I12</f>
        <v>93200.448800000013</v>
      </c>
      <c r="C9" s="229">
        <f>B9/($B$5*1000)</f>
        <v>2.0087530159220287E-3</v>
      </c>
      <c r="D9" s="648"/>
      <c r="E9" s="138" t="s">
        <v>242</v>
      </c>
      <c r="F9" s="141">
        <f>'報廢20大－原因別分析'!AG120</f>
        <v>11669.386100000003</v>
      </c>
      <c r="G9" s="142">
        <f>'報廢20大－原因別分析'!AG121</f>
        <v>0.55000000000000004</v>
      </c>
      <c r="H9" s="141">
        <f>'報廢20大－原因別分析'!AH120</f>
        <v>0</v>
      </c>
      <c r="I9" s="142">
        <f>'報廢20大－原因別分析'!AH121</f>
        <v>0</v>
      </c>
      <c r="J9" s="141">
        <f>'報廢20大－原因別分析'!AI120</f>
        <v>6221.9974000000002</v>
      </c>
      <c r="K9" s="142">
        <f>'報廢20大－原因別分析'!AI121</f>
        <v>0.2</v>
      </c>
      <c r="L9" s="141">
        <f>'報廢20大－原因別分析'!AJ120</f>
        <v>0</v>
      </c>
      <c r="M9" s="142">
        <f>'報廢20大－原因別分析'!AJ121</f>
        <v>0</v>
      </c>
    </row>
    <row r="10" spans="1:14" ht="19.399999999999999" customHeight="1">
      <c r="A10" s="228" t="s">
        <v>243</v>
      </c>
      <c r="B10" s="144">
        <f>日別報廢率總表!J12</f>
        <v>279158.78502000007</v>
      </c>
      <c r="C10" s="140">
        <f>B10/($B$5*1000)</f>
        <v>6.0167205045696557E-3</v>
      </c>
      <c r="D10" s="648"/>
      <c r="E10" s="143" t="s">
        <v>243</v>
      </c>
      <c r="F10" s="141">
        <f>'超用20大－原因別分析'!AG120</f>
        <v>0</v>
      </c>
      <c r="G10" s="142">
        <f>'超用20大－原因別分析'!AG121</f>
        <v>0</v>
      </c>
      <c r="H10" s="141">
        <f>'超用20大－原因別分析'!AH120</f>
        <v>0</v>
      </c>
      <c r="I10" s="142">
        <f>'超用20大－原因別分析'!AH121</f>
        <v>0</v>
      </c>
      <c r="J10" s="141">
        <f>'超用20大－原因別分析'!AI120</f>
        <v>0</v>
      </c>
      <c r="K10" s="142">
        <f>'超用20大－原因別分析'!AI121</f>
        <v>0</v>
      </c>
      <c r="L10" s="141">
        <f>'超用20大－原因別分析'!AJ120</f>
        <v>57234.067640000016</v>
      </c>
      <c r="M10" s="142">
        <f>'超用20大－原因別分析'!AJ121</f>
        <v>0.6</v>
      </c>
    </row>
    <row r="11" spans="1:14" ht="15.75" customHeight="1">
      <c r="A11" s="224" t="s">
        <v>418</v>
      </c>
      <c r="B11" s="384" t="s">
        <v>739</v>
      </c>
      <c r="C11" s="223"/>
      <c r="D11" s="648"/>
      <c r="E11" s="645" t="s">
        <v>197</v>
      </c>
      <c r="F11" s="683">
        <v>5</v>
      </c>
      <c r="G11" s="684"/>
      <c r="H11" s="683">
        <v>6</v>
      </c>
      <c r="I11" s="684"/>
      <c r="J11" s="683">
        <v>7</v>
      </c>
      <c r="K11" s="684"/>
      <c r="L11" s="776"/>
      <c r="M11" s="777"/>
    </row>
    <row r="12" spans="1:14" ht="31.4" customHeight="1">
      <c r="A12" s="135" t="s">
        <v>419</v>
      </c>
      <c r="B12" s="384" t="s">
        <v>739</v>
      </c>
      <c r="C12" s="223"/>
      <c r="D12" s="648"/>
      <c r="E12" s="645"/>
      <c r="F12" s="778" t="s">
        <v>189</v>
      </c>
      <c r="G12" s="779"/>
      <c r="H12" s="778" t="s">
        <v>167</v>
      </c>
      <c r="I12" s="779"/>
      <c r="J12" s="778" t="s">
        <v>190</v>
      </c>
      <c r="K12" s="779"/>
      <c r="L12" s="780"/>
      <c r="M12" s="781"/>
    </row>
    <row r="13" spans="1:14" ht="15.75" customHeight="1">
      <c r="D13" s="648"/>
      <c r="E13" s="645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4" ht="19.399999999999999" customHeight="1">
      <c r="D14" s="648"/>
      <c r="E14" s="138" t="s">
        <v>242</v>
      </c>
      <c r="F14" s="141">
        <f>'報廢20大－原因別分析'!AK120</f>
        <v>0</v>
      </c>
      <c r="G14" s="142">
        <f>'報廢20大－原因別分析'!AK121</f>
        <v>0</v>
      </c>
      <c r="H14" s="141">
        <f>'報廢20大－原因別分析'!AL120</f>
        <v>7207.4537999999993</v>
      </c>
      <c r="I14" s="142">
        <f>'報廢20大－原因別分析'!AL121</f>
        <v>0.25</v>
      </c>
      <c r="J14" s="141">
        <f>'報廢20大－原因別分析'!AM120</f>
        <v>0</v>
      </c>
      <c r="K14" s="142">
        <f>'報廢20大－原因別分析'!AM121</f>
        <v>0</v>
      </c>
      <c r="L14" s="141"/>
      <c r="M14" s="142"/>
    </row>
    <row r="15" spans="1:14" ht="19.399999999999999" customHeight="1">
      <c r="D15" s="648"/>
      <c r="E15" s="143" t="s">
        <v>243</v>
      </c>
      <c r="F15" s="141">
        <f>'超用20大－原因別分析'!AK120</f>
        <v>9270.3984000000182</v>
      </c>
      <c r="G15" s="142">
        <f>'超用20大－原因別分析'!AK121</f>
        <v>0.05</v>
      </c>
      <c r="H15" s="141">
        <f>'超用20大－原因別分析'!AL120</f>
        <v>34878.453199999967</v>
      </c>
      <c r="I15" s="142">
        <f>'超用20大－原因別分析'!AL121</f>
        <v>0.35</v>
      </c>
      <c r="J15" s="141">
        <f>'超用20大－原因別分析'!AM120</f>
        <v>0</v>
      </c>
      <c r="K15" s="142">
        <f>'超用20大－原因別分析'!AM121</f>
        <v>0</v>
      </c>
      <c r="L15" s="141"/>
      <c r="M15" s="142"/>
    </row>
    <row r="16" spans="1:14" ht="15.75" customHeight="1">
      <c r="A16" s="225" t="s">
        <v>422</v>
      </c>
      <c r="B16" s="226">
        <f>'生產管理報表(週) '!B6</f>
        <v>48409.401949999999</v>
      </c>
      <c r="E16" s="782" t="s">
        <v>452</v>
      </c>
      <c r="F16" s="783"/>
      <c r="G16" s="783"/>
      <c r="H16" s="783"/>
      <c r="I16" s="783"/>
      <c r="J16" s="783"/>
      <c r="K16" s="783"/>
      <c r="L16" s="783"/>
      <c r="M16" s="783"/>
      <c r="N16" s="451"/>
    </row>
    <row r="17" spans="1:13" ht="15.75" customHeight="1">
      <c r="A17" s="784" t="s">
        <v>197</v>
      </c>
      <c r="B17" s="646" t="s">
        <v>10</v>
      </c>
      <c r="C17" s="646"/>
      <c r="D17" s="647"/>
      <c r="E17" s="645" t="s">
        <v>197</v>
      </c>
      <c r="F17" s="649">
        <v>1</v>
      </c>
      <c r="G17" s="649"/>
      <c r="H17" s="649">
        <v>2</v>
      </c>
      <c r="I17" s="649"/>
      <c r="J17" s="649">
        <v>3</v>
      </c>
      <c r="K17" s="649"/>
      <c r="L17" s="649">
        <v>4</v>
      </c>
      <c r="M17" s="649"/>
    </row>
    <row r="18" spans="1:13" ht="31.4" customHeight="1">
      <c r="A18" s="784"/>
      <c r="B18" s="646"/>
      <c r="C18" s="646"/>
      <c r="D18" s="648"/>
      <c r="E18" s="645"/>
      <c r="F18" s="641" t="s">
        <v>453</v>
      </c>
      <c r="G18" s="641"/>
      <c r="H18" s="641" t="s">
        <v>240</v>
      </c>
      <c r="I18" s="641"/>
      <c r="J18" s="641" t="s">
        <v>166</v>
      </c>
      <c r="K18" s="641"/>
      <c r="L18" s="641" t="s">
        <v>429</v>
      </c>
      <c r="M18" s="641"/>
    </row>
    <row r="19" spans="1:13" ht="15.75" customHeight="1">
      <c r="A19" s="784"/>
      <c r="B19" s="154" t="s">
        <v>11</v>
      </c>
      <c r="C19" s="154" t="s">
        <v>41</v>
      </c>
      <c r="D19" s="648"/>
      <c r="E19" s="645"/>
      <c r="F19" s="154" t="s">
        <v>11</v>
      </c>
      <c r="G19" s="154" t="s">
        <v>41</v>
      </c>
      <c r="H19" s="154" t="s">
        <v>11</v>
      </c>
      <c r="I19" s="154" t="s">
        <v>41</v>
      </c>
      <c r="J19" s="154" t="s">
        <v>11</v>
      </c>
      <c r="K19" s="154" t="s">
        <v>41</v>
      </c>
      <c r="L19" s="154" t="s">
        <v>11</v>
      </c>
      <c r="M19" s="154" t="s">
        <v>41</v>
      </c>
    </row>
    <row r="20" spans="1:13" ht="19.399999999999999" customHeight="1">
      <c r="A20" s="227" t="s">
        <v>242</v>
      </c>
      <c r="B20" s="139">
        <f>日別報廢率總表!I19</f>
        <v>97471.614600000001</v>
      </c>
      <c r="C20" s="229">
        <f>B20/($B$16*1000)</f>
        <v>2.013485204809476E-3</v>
      </c>
      <c r="D20" s="648"/>
      <c r="E20" s="138" t="s">
        <v>242</v>
      </c>
      <c r="F20" s="141">
        <f>'報廢20大－原因別分析'!AG142</f>
        <v>7386.9941000000008</v>
      </c>
      <c r="G20" s="142">
        <f>'報廢20大－原因別分析'!AG143</f>
        <v>0.35</v>
      </c>
      <c r="H20" s="141">
        <f>'報廢20大－原因別分析'!AH142</f>
        <v>0</v>
      </c>
      <c r="I20" s="142">
        <f>'報廢20大－原因別分析'!AH143</f>
        <v>0</v>
      </c>
      <c r="J20" s="141">
        <f>'報廢20大－原因別分析'!AI142</f>
        <v>9438.261599999998</v>
      </c>
      <c r="K20" s="142">
        <f>'報廢20大－原因別分析'!AI143</f>
        <v>0.35</v>
      </c>
      <c r="L20" s="141">
        <f>'報廢20大－原因別分析'!AJ142</f>
        <v>0</v>
      </c>
      <c r="M20" s="142">
        <f>'報廢20大－原因別分析'!AJ143</f>
        <v>0</v>
      </c>
    </row>
    <row r="21" spans="1:13" ht="19.399999999999999" customHeight="1">
      <c r="A21" s="228" t="s">
        <v>243</v>
      </c>
      <c r="B21" s="144">
        <f>日別報廢率總表!J19</f>
        <v>292062.31539999996</v>
      </c>
      <c r="C21" s="140">
        <f>B21/($B$16*1000)</f>
        <v>6.0331733844111238E-3</v>
      </c>
      <c r="D21" s="648"/>
      <c r="E21" s="143" t="s">
        <v>243</v>
      </c>
      <c r="F21" s="141">
        <f>'超用20大－原因別分析'!AG142</f>
        <v>0</v>
      </c>
      <c r="G21" s="142">
        <f>'超用20大－原因別分析'!AG144</f>
        <v>0</v>
      </c>
      <c r="H21" s="141">
        <f>'超用20大－原因別分析'!AH142</f>
        <v>0</v>
      </c>
      <c r="I21" s="142">
        <f>'超用20大－原因別分析'!AH144</f>
        <v>0</v>
      </c>
      <c r="J21" s="141">
        <f>'超用20大－原因別分析'!AI142</f>
        <v>0</v>
      </c>
      <c r="K21" s="142">
        <f>'超用20大－原因別分析'!AI144</f>
        <v>0</v>
      </c>
      <c r="L21" s="141">
        <f>'超用20大－原因別分析'!AJ142</f>
        <v>59297.47359999999</v>
      </c>
      <c r="M21" s="142">
        <f>'超用20大－原因別分析'!AJ143</f>
        <v>0.6</v>
      </c>
    </row>
    <row r="22" spans="1:13" ht="15.75" customHeight="1">
      <c r="A22" s="224" t="s">
        <v>418</v>
      </c>
      <c r="B22" s="384" t="s">
        <v>811</v>
      </c>
      <c r="C22" s="223"/>
      <c r="D22" s="648"/>
      <c r="E22" s="645" t="s">
        <v>197</v>
      </c>
      <c r="F22" s="683">
        <v>5</v>
      </c>
      <c r="G22" s="684"/>
      <c r="H22" s="683">
        <v>6</v>
      </c>
      <c r="I22" s="684"/>
      <c r="J22" s="683">
        <v>7</v>
      </c>
      <c r="K22" s="684"/>
      <c r="L22" s="776"/>
      <c r="M22" s="777"/>
    </row>
    <row r="23" spans="1:13" ht="31.4" customHeight="1">
      <c r="A23" s="135" t="s">
        <v>419</v>
      </c>
      <c r="B23" s="384" t="s">
        <v>811</v>
      </c>
      <c r="C23" s="223"/>
      <c r="D23" s="648"/>
      <c r="E23" s="645"/>
      <c r="F23" s="778" t="s">
        <v>189</v>
      </c>
      <c r="G23" s="779"/>
      <c r="H23" s="778" t="s">
        <v>167</v>
      </c>
      <c r="I23" s="779"/>
      <c r="J23" s="778" t="s">
        <v>190</v>
      </c>
      <c r="K23" s="779"/>
      <c r="L23" s="780"/>
      <c r="M23" s="781"/>
    </row>
    <row r="24" spans="1:13" ht="15.75" customHeight="1">
      <c r="D24" s="648"/>
      <c r="E24" s="645"/>
      <c r="F24" s="154" t="s">
        <v>11</v>
      </c>
      <c r="G24" s="154" t="s">
        <v>41</v>
      </c>
      <c r="H24" s="154" t="s">
        <v>11</v>
      </c>
      <c r="I24" s="154" t="s">
        <v>41</v>
      </c>
      <c r="J24" s="154" t="s">
        <v>11</v>
      </c>
      <c r="K24" s="154" t="s">
        <v>41</v>
      </c>
      <c r="L24" s="154"/>
      <c r="M24" s="154"/>
    </row>
    <row r="25" spans="1:13" ht="19.399999999999999" customHeight="1">
      <c r="D25" s="648"/>
      <c r="E25" s="138" t="s">
        <v>242</v>
      </c>
      <c r="F25" s="141">
        <f>'報廢20大－原因別分析'!AK142</f>
        <v>1637.9473000000003</v>
      </c>
      <c r="G25" s="142">
        <f>'報廢20大－原因別分析'!AK143</f>
        <v>0.05</v>
      </c>
      <c r="H25" s="141">
        <f>'報廢20大－原因別分析'!AL142</f>
        <v>7115.5838000000003</v>
      </c>
      <c r="I25" s="142">
        <f>'報廢20大－原因別分析'!AL143</f>
        <v>0.25</v>
      </c>
      <c r="J25" s="141">
        <f>'報廢20大－原因別分析'!AM142</f>
        <v>0</v>
      </c>
      <c r="K25" s="142">
        <f>'報廢20大－原因別分析'!AM143</f>
        <v>0</v>
      </c>
      <c r="L25" s="141"/>
      <c r="M25" s="142"/>
    </row>
    <row r="26" spans="1:13" ht="19.399999999999999" customHeight="1">
      <c r="D26" s="648"/>
      <c r="E26" s="143" t="s">
        <v>243</v>
      </c>
      <c r="F26" s="141">
        <f>'超用20大－原因別分析'!AK142</f>
        <v>11128.016399999939</v>
      </c>
      <c r="G26" s="142">
        <f>'超用20大－原因別分析'!AK143</f>
        <v>0.05</v>
      </c>
      <c r="H26" s="141">
        <f>'超用20大－原因別分析'!AL142</f>
        <v>39880.301799999957</v>
      </c>
      <c r="I26" s="142">
        <f>'超用20大－原因別分析'!AL143</f>
        <v>0.35</v>
      </c>
      <c r="J26" s="141">
        <f>'超用20大－原因別分析'!AM142</f>
        <v>0</v>
      </c>
      <c r="K26" s="142">
        <f>'超用20大－原因別分析'!AM144</f>
        <v>0</v>
      </c>
      <c r="L26" s="141"/>
      <c r="M26" s="142"/>
    </row>
  </sheetData>
  <mergeCells count="46">
    <mergeCell ref="E16:M16"/>
    <mergeCell ref="A17:A19"/>
    <mergeCell ref="B17:C18"/>
    <mergeCell ref="D17:D26"/>
    <mergeCell ref="E17:E19"/>
    <mergeCell ref="F17:G17"/>
    <mergeCell ref="H17:I17"/>
    <mergeCell ref="J17:K17"/>
    <mergeCell ref="L17:M17"/>
    <mergeCell ref="F18:G18"/>
    <mergeCell ref="H18:I18"/>
    <mergeCell ref="J18:K18"/>
    <mergeCell ref="L18:M18"/>
    <mergeCell ref="E22:E24"/>
    <mergeCell ref="F22:G22"/>
    <mergeCell ref="H22:I22"/>
    <mergeCell ref="J22:K22"/>
    <mergeCell ref="L22:M22"/>
    <mergeCell ref="F23:G23"/>
    <mergeCell ref="H23:I23"/>
    <mergeCell ref="J23:K23"/>
    <mergeCell ref="L23:M23"/>
    <mergeCell ref="A1:M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W170"/>
  <sheetViews>
    <sheetView view="pageBreakPreview" topLeftCell="A155" zoomScaleNormal="60" zoomScaleSheetLayoutView="100" workbookViewId="0">
      <selection activeCell="M167" sqref="M167"/>
    </sheetView>
  </sheetViews>
  <sheetFormatPr defaultColWidth="12.54296875" defaultRowHeight="15.75" customHeight="1"/>
  <cols>
    <col min="1" max="1" width="5.453125" style="98" customWidth="1"/>
    <col min="2" max="2" width="11.453125" style="131" customWidth="1"/>
    <col min="3" max="3" width="4" style="129" customWidth="1"/>
    <col min="4" max="9" width="9.54296875" style="98" customWidth="1"/>
    <col min="10" max="10" width="9.81640625" style="98" customWidth="1"/>
    <col min="11" max="15" width="9.54296875" style="98" customWidth="1"/>
    <col min="16" max="16" width="47.81640625" style="98" customWidth="1"/>
    <col min="17" max="17" width="9.54296875" style="98" customWidth="1"/>
    <col min="22" max="22" width="24.453125" style="98" bestFit="1" customWidth="1"/>
    <col min="23" max="23" width="19.453125" style="98" bestFit="1" customWidth="1"/>
    <col min="24" max="24" width="23" style="98" bestFit="1" customWidth="1"/>
    <col min="25" max="25" width="11.7265625" style="98" bestFit="1" customWidth="1"/>
    <col min="26" max="26" width="15.81640625" style="98" bestFit="1" customWidth="1"/>
    <col min="27" max="27" width="23.54296875" style="98" bestFit="1" customWidth="1"/>
    <col min="28" max="28" width="23" style="98" bestFit="1" customWidth="1"/>
    <col min="29" max="29" width="11.7265625" style="98" bestFit="1" customWidth="1"/>
    <col min="30" max="30" width="20.54296875" style="98" bestFit="1" customWidth="1"/>
    <col min="31" max="31" width="15" style="98" bestFit="1" customWidth="1"/>
    <col min="32" max="32" width="23" style="98" bestFit="1" customWidth="1"/>
    <col min="33" max="33" width="11.7265625" style="98" bestFit="1" customWidth="1"/>
    <col min="34" max="34" width="15.81640625" style="98" bestFit="1" customWidth="1"/>
    <col min="35" max="35" width="15" style="98" bestFit="1" customWidth="1"/>
    <col min="36" max="36" width="23" style="98" bestFit="1" customWidth="1"/>
    <col min="37" max="37" width="15" style="98" bestFit="1" customWidth="1"/>
    <col min="38" max="38" width="23" style="98" bestFit="1" customWidth="1"/>
    <col min="39" max="39" width="11.7265625" style="98" bestFit="1" customWidth="1"/>
    <col min="40" max="40" width="13.81640625" style="98" bestFit="1" customWidth="1"/>
    <col min="41" max="41" width="27.81640625" style="98" bestFit="1" customWidth="1"/>
    <col min="42" max="42" width="23" style="98" bestFit="1" customWidth="1"/>
    <col min="43" max="43" width="8" style="98" bestFit="1" customWidth="1"/>
    <col min="44" max="44" width="30.7265625" style="98" bestFit="1" customWidth="1"/>
    <col min="45" max="45" width="25.7265625" style="98" bestFit="1" customWidth="1"/>
    <col min="46" max="46" width="23" style="98" bestFit="1" customWidth="1"/>
    <col min="47" max="47" width="15" style="98" bestFit="1" customWidth="1"/>
    <col min="48" max="48" width="23" style="98" bestFit="1" customWidth="1"/>
    <col min="49" max="49" width="11.7265625" style="98" bestFit="1" customWidth="1"/>
    <col min="50" max="50" width="20.1796875" style="98" bestFit="1" customWidth="1"/>
    <col min="51" max="51" width="23.54296875" style="98" bestFit="1" customWidth="1"/>
    <col min="52" max="52" width="23" style="98" bestFit="1" customWidth="1"/>
    <col min="53" max="53" width="11.7265625" style="98" bestFit="1" customWidth="1"/>
    <col min="54" max="54" width="21.453125" style="98" bestFit="1" customWidth="1"/>
    <col min="55" max="55" width="15" style="98" bestFit="1" customWidth="1"/>
    <col min="56" max="56" width="23" style="98" bestFit="1" customWidth="1"/>
    <col min="57" max="57" width="11.7265625" style="98" bestFit="1" customWidth="1"/>
    <col min="58" max="58" width="13.81640625" style="98" bestFit="1" customWidth="1"/>
    <col min="59" max="59" width="22" style="98" bestFit="1" customWidth="1"/>
    <col min="60" max="60" width="23" style="98" bestFit="1" customWidth="1"/>
    <col min="61" max="61" width="15" style="98" bestFit="1" customWidth="1"/>
    <col min="62" max="62" width="23" style="98" bestFit="1" customWidth="1"/>
    <col min="63" max="63" width="11.7265625" style="98" bestFit="1" customWidth="1"/>
    <col min="64" max="64" width="24.7265625" style="98" bestFit="1" customWidth="1"/>
    <col min="65" max="65" width="18.7265625" style="98" bestFit="1" customWidth="1"/>
    <col min="66" max="66" width="23" style="98" bestFit="1" customWidth="1"/>
    <col min="67" max="67" width="15" style="98" bestFit="1" customWidth="1"/>
    <col min="68" max="68" width="23" style="98" bestFit="1" customWidth="1"/>
    <col min="69" max="69" width="15" style="98" bestFit="1" customWidth="1"/>
    <col min="70" max="70" width="23" style="98" bestFit="1" customWidth="1"/>
    <col min="71" max="71" width="15" style="98" bestFit="1" customWidth="1"/>
    <col min="72" max="72" width="21.81640625" style="98" bestFit="1" customWidth="1"/>
    <col min="73" max="73" width="10.54296875" style="98" bestFit="1" customWidth="1"/>
    <col min="74" max="74" width="21.453125" style="98" bestFit="1" customWidth="1"/>
    <col min="75" max="75" width="5.453125" style="98" bestFit="1" customWidth="1"/>
    <col min="76" max="16384" width="12.54296875" style="98"/>
  </cols>
  <sheetData>
    <row r="1" spans="1:75" ht="15.75" customHeight="1">
      <c r="A1" s="520" t="s">
        <v>361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75" s="99" customFormat="1" ht="15.75" customHeight="1">
      <c r="A2" s="520"/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</row>
    <row r="3" spans="1:75" s="135" customFormat="1" ht="15.75" customHeight="1">
      <c r="A3" s="805" t="s">
        <v>606</v>
      </c>
      <c r="B3" s="805"/>
      <c r="C3" s="805"/>
      <c r="D3" s="805"/>
      <c r="E3" s="805"/>
      <c r="F3" s="805"/>
      <c r="G3" s="805"/>
      <c r="H3" s="805"/>
      <c r="I3" s="805"/>
      <c r="J3" s="805"/>
      <c r="K3" s="805"/>
      <c r="L3" s="805"/>
      <c r="M3" s="805"/>
      <c r="R3" s="231"/>
      <c r="S3" s="231"/>
      <c r="T3" s="231"/>
      <c r="U3" s="231"/>
    </row>
    <row r="4" spans="1:75" s="136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75" s="135" customFormat="1" ht="15.75" customHeight="1">
      <c r="A5" s="681" t="s">
        <v>191</v>
      </c>
      <c r="B5" s="674">
        <v>1</v>
      </c>
      <c r="C5" s="675"/>
      <c r="D5" s="674">
        <v>2</v>
      </c>
      <c r="E5" s="675"/>
      <c r="F5" s="674">
        <v>3</v>
      </c>
      <c r="G5" s="675"/>
      <c r="H5" s="683">
        <v>4</v>
      </c>
      <c r="I5" s="684"/>
      <c r="J5" s="683">
        <v>5</v>
      </c>
      <c r="K5" s="684"/>
      <c r="L5" s="683">
        <v>6</v>
      </c>
      <c r="M5" s="684"/>
      <c r="N5" s="683">
        <v>7</v>
      </c>
      <c r="O5" s="684"/>
      <c r="P5" s="683">
        <v>8</v>
      </c>
      <c r="Q5" s="684"/>
      <c r="R5" s="231"/>
      <c r="S5" s="231"/>
      <c r="T5" s="231"/>
      <c r="U5" s="231"/>
    </row>
    <row r="6" spans="1:75" s="135" customFormat="1" ht="15.75" customHeight="1">
      <c r="A6" s="682"/>
      <c r="B6" s="676" t="s">
        <v>453</v>
      </c>
      <c r="C6" s="677"/>
      <c r="D6" s="676" t="s">
        <v>212</v>
      </c>
      <c r="E6" s="677"/>
      <c r="F6" s="676" t="s">
        <v>166</v>
      </c>
      <c r="G6" s="677"/>
      <c r="H6" s="678" t="s">
        <v>429</v>
      </c>
      <c r="I6" s="679"/>
      <c r="J6" s="678" t="s">
        <v>189</v>
      </c>
      <c r="K6" s="679"/>
      <c r="L6" s="678" t="s">
        <v>167</v>
      </c>
      <c r="M6" s="679"/>
      <c r="N6" s="678" t="s">
        <v>190</v>
      </c>
      <c r="O6" s="679"/>
      <c r="P6" s="803" t="s">
        <v>217</v>
      </c>
      <c r="Q6" s="804"/>
      <c r="R6" s="231"/>
      <c r="S6" s="231"/>
      <c r="T6" s="231"/>
      <c r="U6" s="231"/>
    </row>
    <row r="7" spans="1:75" s="135" customFormat="1" ht="15.75" customHeight="1">
      <c r="B7" s="232"/>
      <c r="C7" s="233"/>
      <c r="R7" s="231"/>
      <c r="S7" s="231"/>
      <c r="T7" s="231"/>
      <c r="U7" s="231"/>
    </row>
    <row r="8" spans="1:75" s="235" customFormat="1" ht="15.75" customHeight="1">
      <c r="A8" s="683" t="s">
        <v>191</v>
      </c>
      <c r="B8" s="684"/>
      <c r="C8" s="234" t="s">
        <v>47</v>
      </c>
      <c r="D8" s="795" t="s">
        <v>12</v>
      </c>
      <c r="E8" s="672"/>
      <c r="F8" s="785"/>
      <c r="G8" s="796" t="s">
        <v>53</v>
      </c>
      <c r="H8" s="797"/>
      <c r="I8" s="798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799" t="s">
        <v>51</v>
      </c>
      <c r="P8" s="800"/>
    </row>
    <row r="9" spans="1:75" s="135" customFormat="1" ht="50.15" customHeight="1">
      <c r="A9" s="786">
        <v>1</v>
      </c>
      <c r="B9" s="789" t="s">
        <v>454</v>
      </c>
      <c r="C9" s="236">
        <v>1</v>
      </c>
      <c r="D9" s="237" t="s">
        <v>340</v>
      </c>
      <c r="E9" s="238"/>
      <c r="F9" s="238"/>
      <c r="G9" s="358" t="s">
        <v>386</v>
      </c>
      <c r="H9" s="305"/>
      <c r="I9" s="306"/>
      <c r="J9" s="236">
        <v>127.84000000000002</v>
      </c>
      <c r="K9" s="242">
        <v>4.4689817974587183E-3</v>
      </c>
      <c r="L9" s="236">
        <v>19.840000000000003</v>
      </c>
      <c r="M9" s="322">
        <f>L9*J9</f>
        <v>2536.3456000000006</v>
      </c>
      <c r="N9" s="243"/>
      <c r="O9" s="701" t="s">
        <v>579</v>
      </c>
      <c r="P9" s="702"/>
      <c r="R9" s="231"/>
      <c r="S9" s="393"/>
      <c r="T9" s="261"/>
      <c r="U9" s="231"/>
    </row>
    <row r="10" spans="1:75" s="135" customFormat="1" ht="50.15" customHeight="1">
      <c r="A10" s="787"/>
      <c r="B10" s="790"/>
      <c r="C10" s="236">
        <v>2</v>
      </c>
      <c r="D10" s="237" t="s">
        <v>434</v>
      </c>
      <c r="E10" s="238"/>
      <c r="F10" s="238"/>
      <c r="G10" s="358" t="s">
        <v>463</v>
      </c>
      <c r="H10" s="305"/>
      <c r="I10" s="306"/>
      <c r="J10" s="236">
        <v>160.49</v>
      </c>
      <c r="K10" s="242">
        <v>1.5915915915915919E-2</v>
      </c>
      <c r="L10" s="236">
        <v>11.13</v>
      </c>
      <c r="M10" s="322">
        <f t="shared" ref="M10:M13" si="0">L10*J10</f>
        <v>1786.2537000000002</v>
      </c>
      <c r="N10" s="243"/>
      <c r="O10" s="801" t="s">
        <v>632</v>
      </c>
      <c r="P10" s="793"/>
      <c r="R10" s="231"/>
      <c r="S10" s="394"/>
      <c r="T10" s="394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s="135" customFormat="1" ht="50.15" customHeight="1">
      <c r="A11" s="787"/>
      <c r="B11" s="790"/>
      <c r="C11" s="236">
        <v>3</v>
      </c>
      <c r="D11" s="237" t="s">
        <v>473</v>
      </c>
      <c r="E11" s="238"/>
      <c r="F11" s="238"/>
      <c r="G11" s="358" t="s">
        <v>476</v>
      </c>
      <c r="H11" s="305"/>
      <c r="I11" s="306"/>
      <c r="J11" s="236">
        <v>118.30999999999997</v>
      </c>
      <c r="K11" s="242">
        <v>1.3094459384160671E-2</v>
      </c>
      <c r="L11" s="236">
        <v>10.81</v>
      </c>
      <c r="M11" s="322">
        <f t="shared" si="0"/>
        <v>1278.9310999999998</v>
      </c>
      <c r="N11" s="243"/>
      <c r="O11" s="802" t="s">
        <v>578</v>
      </c>
      <c r="P11" s="758"/>
      <c r="R11" s="231"/>
      <c r="S11" s="393"/>
      <c r="T11" s="393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s="135" customFormat="1" ht="50.15" customHeight="1">
      <c r="A12" s="787"/>
      <c r="B12" s="790"/>
      <c r="C12" s="236">
        <v>4</v>
      </c>
      <c r="D12" s="237" t="s">
        <v>474</v>
      </c>
      <c r="E12" s="238"/>
      <c r="F12" s="238"/>
      <c r="G12" s="358" t="s">
        <v>475</v>
      </c>
      <c r="H12" s="305"/>
      <c r="I12" s="306"/>
      <c r="J12" s="236">
        <v>84.3</v>
      </c>
      <c r="K12" s="242">
        <v>1.0827659748995157E-2</v>
      </c>
      <c r="L12" s="236">
        <v>14.52</v>
      </c>
      <c r="M12" s="322">
        <f t="shared" si="0"/>
        <v>1224.0359999999998</v>
      </c>
      <c r="N12" s="243"/>
      <c r="O12" s="802" t="s">
        <v>633</v>
      </c>
      <c r="P12" s="758"/>
      <c r="R12" s="231"/>
      <c r="S12" s="394"/>
      <c r="T12" s="394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s="135" customFormat="1" ht="50.15" customHeight="1" thickBot="1">
      <c r="A13" s="787"/>
      <c r="B13" s="790"/>
      <c r="C13" s="236">
        <v>5</v>
      </c>
      <c r="D13" s="244" t="s">
        <v>441</v>
      </c>
      <c r="E13" s="245"/>
      <c r="F13" s="245"/>
      <c r="G13" s="358" t="s">
        <v>477</v>
      </c>
      <c r="H13" s="305"/>
      <c r="I13" s="306"/>
      <c r="J13" s="247">
        <v>421.40999999999997</v>
      </c>
      <c r="K13" s="248">
        <v>1.1739495015373148E-2</v>
      </c>
      <c r="L13" s="247">
        <v>2.52</v>
      </c>
      <c r="M13" s="323">
        <f t="shared" si="0"/>
        <v>1061.9531999999999</v>
      </c>
      <c r="N13" s="243"/>
      <c r="O13" s="802" t="s">
        <v>634</v>
      </c>
      <c r="P13" s="758"/>
      <c r="R13" s="231"/>
      <c r="S13" s="393"/>
      <c r="T13" s="393"/>
      <c r="U13" s="231"/>
      <c r="V13" s="395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s="135" customFormat="1" ht="15.75" customHeight="1" thickTop="1">
      <c r="A14" s="788"/>
      <c r="B14" s="791"/>
      <c r="C14" s="659"/>
      <c r="D14" s="660"/>
      <c r="E14" s="660"/>
      <c r="F14" s="660"/>
      <c r="G14" s="660"/>
      <c r="H14" s="660"/>
      <c r="I14" s="794"/>
      <c r="J14" s="249" t="s">
        <v>58</v>
      </c>
      <c r="K14" s="212" t="e">
        <f>M14/'生產管理報表 7-1 (週)'!#REF!</f>
        <v>#REF!</v>
      </c>
      <c r="L14" s="249" t="s">
        <v>59</v>
      </c>
      <c r="M14" s="324">
        <f>SUM(M9:M13)</f>
        <v>7887.5196000000005</v>
      </c>
      <c r="N14" s="747"/>
      <c r="O14" s="748"/>
      <c r="P14" s="749"/>
      <c r="R14" s="231"/>
      <c r="S14" s="210"/>
      <c r="T14" s="210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s="135" customFormat="1" ht="15.75" customHeight="1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R15" s="231"/>
      <c r="S15" s="261"/>
      <c r="T15" s="26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s="135" customFormat="1" ht="15.75" customHeight="1">
      <c r="A16" s="683" t="s">
        <v>191</v>
      </c>
      <c r="B16" s="684"/>
      <c r="C16" s="252" t="s">
        <v>47</v>
      </c>
      <c r="D16" s="671" t="s">
        <v>12</v>
      </c>
      <c r="E16" s="672"/>
      <c r="F16" s="673"/>
      <c r="G16" s="671" t="s">
        <v>53</v>
      </c>
      <c r="H16" s="672"/>
      <c r="I16" s="673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750" t="s">
        <v>51</v>
      </c>
      <c r="P16" s="751"/>
      <c r="R16" s="231"/>
      <c r="S16" s="210"/>
      <c r="T16" s="210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s="135" customFormat="1" ht="20.149999999999999" customHeight="1">
      <c r="A17" s="786">
        <v>2</v>
      </c>
      <c r="B17" s="789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52"/>
      <c r="P17" s="753"/>
      <c r="R17" s="231"/>
      <c r="S17" s="261"/>
      <c r="T17" s="26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s="135" customFormat="1" ht="20.149999999999999" customHeight="1">
      <c r="A18" s="787"/>
      <c r="B18" s="790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52"/>
      <c r="P18" s="753"/>
      <c r="R18" s="231"/>
      <c r="S18" s="210"/>
      <c r="T18" s="210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s="135" customFormat="1" ht="20.149999999999999" customHeight="1">
      <c r="A19" s="787"/>
      <c r="B19" s="790"/>
      <c r="C19" s="256">
        <v>3</v>
      </c>
      <c r="D19" s="237"/>
      <c r="E19" s="238"/>
      <c r="F19" s="239"/>
      <c r="G19" s="237"/>
      <c r="H19" s="238"/>
      <c r="I19" s="268"/>
      <c r="J19" s="257"/>
      <c r="K19" s="258"/>
      <c r="L19" s="257"/>
      <c r="M19" s="259">
        <f t="shared" si="1"/>
        <v>0</v>
      </c>
      <c r="N19" s="260"/>
      <c r="O19" s="752"/>
      <c r="P19" s="753"/>
      <c r="R19" s="231"/>
      <c r="S19" s="261"/>
      <c r="T19" s="26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s="135" customFormat="1" ht="20.149999999999999" customHeight="1">
      <c r="A20" s="787"/>
      <c r="B20" s="790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52"/>
      <c r="P20" s="753"/>
      <c r="R20" s="231"/>
      <c r="S20" s="210"/>
      <c r="T20" s="210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s="135" customFormat="1" ht="20.149999999999999" customHeight="1" thickBot="1">
      <c r="A21" s="787"/>
      <c r="B21" s="790"/>
      <c r="C21" s="262">
        <v>5</v>
      </c>
      <c r="D21" s="244"/>
      <c r="E21" s="245"/>
      <c r="F21" s="246"/>
      <c r="G21" s="237"/>
      <c r="H21" s="238"/>
      <c r="I21" s="239"/>
      <c r="J21" s="263"/>
      <c r="K21" s="264"/>
      <c r="L21" s="263"/>
      <c r="M21" s="265">
        <f t="shared" si="1"/>
        <v>0</v>
      </c>
      <c r="N21" s="266"/>
      <c r="O21" s="752"/>
      <c r="P21" s="753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s="135" customFormat="1" ht="15.75" customHeight="1" thickTop="1">
      <c r="A22" s="788"/>
      <c r="B22" s="791"/>
      <c r="C22" s="659"/>
      <c r="D22" s="660"/>
      <c r="E22" s="660"/>
      <c r="F22" s="660"/>
      <c r="G22" s="660"/>
      <c r="H22" s="660"/>
      <c r="I22" s="794"/>
      <c r="J22" s="249" t="s">
        <v>58</v>
      </c>
      <c r="K22" s="212" t="e">
        <f>M22/'生產管理報表 7-1 (週)'!#REF!</f>
        <v>#REF!</v>
      </c>
      <c r="L22" s="249" t="s">
        <v>59</v>
      </c>
      <c r="M22" s="250">
        <f>SUM(M17:M21)</f>
        <v>0</v>
      </c>
      <c r="N22" s="754"/>
      <c r="O22" s="755"/>
      <c r="P22" s="756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s="135" customFormat="1" ht="15.75" customHeight="1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s="135" customFormat="1" ht="15.75" customHeight="1">
      <c r="A24" s="683" t="s">
        <v>191</v>
      </c>
      <c r="B24" s="684"/>
      <c r="C24" s="252" t="s">
        <v>47</v>
      </c>
      <c r="D24" s="671" t="s">
        <v>12</v>
      </c>
      <c r="E24" s="672"/>
      <c r="F24" s="673"/>
      <c r="G24" s="671" t="s">
        <v>53</v>
      </c>
      <c r="H24" s="672"/>
      <c r="I24" s="785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762" t="s">
        <v>51</v>
      </c>
      <c r="P24" s="763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s="135" customFormat="1" ht="50.15" customHeight="1">
      <c r="A25" s="786">
        <v>3</v>
      </c>
      <c r="B25" s="789" t="s">
        <v>423</v>
      </c>
      <c r="C25" s="256">
        <v>1</v>
      </c>
      <c r="D25" s="237" t="s">
        <v>340</v>
      </c>
      <c r="E25" s="238"/>
      <c r="F25" s="239"/>
      <c r="G25" s="246" t="s">
        <v>449</v>
      </c>
      <c r="H25" s="245"/>
      <c r="I25" s="246"/>
      <c r="J25" s="257">
        <v>2.4499999999999997</v>
      </c>
      <c r="K25" s="258">
        <v>1.0117182821590888E-2</v>
      </c>
      <c r="L25" s="257">
        <v>1605</v>
      </c>
      <c r="M25" s="325">
        <f t="shared" ref="M25:M29" si="2">L25*J25</f>
        <v>3932.2499999999995</v>
      </c>
      <c r="N25" s="270"/>
      <c r="O25" s="792" t="s">
        <v>461</v>
      </c>
      <c r="P25" s="793"/>
      <c r="R25" s="231"/>
      <c r="S25" s="395"/>
      <c r="T25" s="395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s="135" customFormat="1" ht="50.15" customHeight="1">
      <c r="A26" s="787"/>
      <c r="B26" s="790"/>
      <c r="C26" s="256">
        <v>2</v>
      </c>
      <c r="D26" s="237" t="s">
        <v>340</v>
      </c>
      <c r="E26" s="238"/>
      <c r="F26" s="239"/>
      <c r="G26" s="246" t="s">
        <v>448</v>
      </c>
      <c r="H26" s="245"/>
      <c r="I26" s="246"/>
      <c r="J26" s="257">
        <v>1.17</v>
      </c>
      <c r="K26" s="258">
        <v>9.8520029512607962E-3</v>
      </c>
      <c r="L26" s="257">
        <v>2951</v>
      </c>
      <c r="M26" s="325">
        <f t="shared" si="2"/>
        <v>3452.6699999999996</v>
      </c>
      <c r="N26" s="270"/>
      <c r="O26" s="757" t="s">
        <v>529</v>
      </c>
      <c r="P26" s="758"/>
      <c r="R26" s="231"/>
      <c r="S26" s="395"/>
      <c r="T26" s="40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s="135" customFormat="1" ht="50.15" customHeight="1">
      <c r="A27" s="787"/>
      <c r="B27" s="790"/>
      <c r="C27" s="256">
        <v>3</v>
      </c>
      <c r="D27" s="237" t="s">
        <v>464</v>
      </c>
      <c r="E27" s="238"/>
      <c r="F27" s="239"/>
      <c r="G27" s="246" t="s">
        <v>462</v>
      </c>
      <c r="H27" s="245"/>
      <c r="I27" s="246"/>
      <c r="J27" s="257">
        <v>407.74000000000007</v>
      </c>
      <c r="K27" s="258">
        <v>5.5205047318611991E-3</v>
      </c>
      <c r="L27" s="257">
        <v>6.65</v>
      </c>
      <c r="M27" s="325">
        <f t="shared" si="2"/>
        <v>2711.4710000000005</v>
      </c>
      <c r="N27" s="270"/>
      <c r="O27" s="757" t="s">
        <v>597</v>
      </c>
      <c r="P27" s="758"/>
      <c r="R27" s="395"/>
      <c r="S27" s="395"/>
      <c r="T27" s="40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s="135" customFormat="1" ht="50.15" customHeight="1">
      <c r="A28" s="787"/>
      <c r="B28" s="790"/>
      <c r="C28" s="256">
        <v>4</v>
      </c>
      <c r="D28" s="237" t="s">
        <v>568</v>
      </c>
      <c r="E28" s="238"/>
      <c r="F28" s="239"/>
      <c r="G28" s="246" t="s">
        <v>584</v>
      </c>
      <c r="H28" s="245"/>
      <c r="I28" s="246"/>
      <c r="J28" s="269">
        <v>24.59</v>
      </c>
      <c r="K28" s="258">
        <v>4.9395941200976014E-3</v>
      </c>
      <c r="L28" s="257">
        <v>83</v>
      </c>
      <c r="M28" s="325">
        <f t="shared" si="2"/>
        <v>2040.97</v>
      </c>
      <c r="N28" s="270"/>
      <c r="O28" s="757" t="s">
        <v>617</v>
      </c>
      <c r="P28" s="758"/>
      <c r="R28" s="231"/>
      <c r="S28" s="231"/>
      <c r="T2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s="135" customFormat="1" ht="50.15" customHeight="1" thickBot="1">
      <c r="A29" s="787"/>
      <c r="B29" s="790"/>
      <c r="C29" s="262">
        <v>5</v>
      </c>
      <c r="D29" s="244" t="s">
        <v>342</v>
      </c>
      <c r="E29" s="245"/>
      <c r="F29" s="246"/>
      <c r="G29" s="379" t="s">
        <v>460</v>
      </c>
      <c r="H29" s="378"/>
      <c r="I29" s="379"/>
      <c r="J29" s="272">
        <v>605.77999999999986</v>
      </c>
      <c r="K29" s="264">
        <v>2.4467637726038921E-3</v>
      </c>
      <c r="L29" s="273">
        <v>2.56</v>
      </c>
      <c r="M29" s="325">
        <f t="shared" si="2"/>
        <v>1550.7967999999996</v>
      </c>
      <c r="N29" s="270"/>
      <c r="O29" s="757" t="s">
        <v>597</v>
      </c>
      <c r="P29" s="758"/>
      <c r="R29" s="231"/>
      <c r="S29" s="231"/>
      <c r="T29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s="135" customFormat="1" ht="15.75" customHeight="1" thickTop="1">
      <c r="A30" s="788"/>
      <c r="B30" s="791"/>
      <c r="C30" s="659"/>
      <c r="D30" s="660"/>
      <c r="E30" s="660"/>
      <c r="F30" s="660"/>
      <c r="G30" s="660"/>
      <c r="H30" s="660"/>
      <c r="I30" s="794"/>
      <c r="J30" s="274" t="s">
        <v>58</v>
      </c>
      <c r="K30" s="212" t="e">
        <f>M30/'生產管理報表 7-1 (週)'!#REF!</f>
        <v>#REF!</v>
      </c>
      <c r="L30" s="274" t="s">
        <v>59</v>
      </c>
      <c r="M30" s="326">
        <f>SUM(M25:M29)</f>
        <v>13688.157799999999</v>
      </c>
      <c r="N30" s="759"/>
      <c r="O30" s="760"/>
      <c r="P30" s="761"/>
      <c r="R30" s="231"/>
      <c r="S30" s="231"/>
      <c r="T30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pans="1:36" s="135" customFormat="1" ht="15.75" customHeight="1">
      <c r="A31" s="805" t="s">
        <v>643</v>
      </c>
      <c r="B31" s="805"/>
      <c r="C31" s="805"/>
      <c r="D31" s="805"/>
      <c r="E31" s="805"/>
      <c r="F31" s="805"/>
      <c r="G31" s="805"/>
      <c r="H31" s="805"/>
      <c r="I31" s="805"/>
      <c r="J31" s="805"/>
      <c r="K31" s="805"/>
      <c r="L31" s="805"/>
      <c r="M31" s="805"/>
      <c r="R31" s="231"/>
      <c r="S31" s="231"/>
      <c r="T31" s="231"/>
      <c r="U31" s="231"/>
    </row>
    <row r="32" spans="1:36" s="136" customFormat="1" ht="15.75" customHeight="1">
      <c r="A32" s="680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</row>
    <row r="33" spans="1:75" s="135" customFormat="1" ht="15.75" customHeight="1">
      <c r="A33" s="681" t="s">
        <v>191</v>
      </c>
      <c r="B33" s="674">
        <v>1</v>
      </c>
      <c r="C33" s="675"/>
      <c r="D33" s="674">
        <v>2</v>
      </c>
      <c r="E33" s="675"/>
      <c r="F33" s="674">
        <v>3</v>
      </c>
      <c r="G33" s="675"/>
      <c r="H33" s="683">
        <v>4</v>
      </c>
      <c r="I33" s="684"/>
      <c r="J33" s="683">
        <v>5</v>
      </c>
      <c r="K33" s="684"/>
      <c r="L33" s="683">
        <v>6</v>
      </c>
      <c r="M33" s="684"/>
      <c r="N33" s="683">
        <v>7</v>
      </c>
      <c r="O33" s="684"/>
      <c r="P33" s="683">
        <v>8</v>
      </c>
      <c r="Q33" s="684"/>
      <c r="R33" s="231"/>
      <c r="S33" s="231"/>
      <c r="T33" s="231"/>
      <c r="U33" s="231"/>
    </row>
    <row r="34" spans="1:75" s="135" customFormat="1" ht="15.75" customHeight="1">
      <c r="A34" s="682"/>
      <c r="B34" s="676" t="s">
        <v>453</v>
      </c>
      <c r="C34" s="677"/>
      <c r="D34" s="676" t="s">
        <v>212</v>
      </c>
      <c r="E34" s="677"/>
      <c r="F34" s="676" t="s">
        <v>166</v>
      </c>
      <c r="G34" s="677"/>
      <c r="H34" s="678" t="s">
        <v>429</v>
      </c>
      <c r="I34" s="679"/>
      <c r="J34" s="678" t="s">
        <v>189</v>
      </c>
      <c r="K34" s="679"/>
      <c r="L34" s="678" t="s">
        <v>167</v>
      </c>
      <c r="M34" s="679"/>
      <c r="N34" s="678" t="s">
        <v>190</v>
      </c>
      <c r="O34" s="679"/>
      <c r="P34" s="803" t="s">
        <v>217</v>
      </c>
      <c r="Q34" s="804"/>
      <c r="R34" s="231"/>
      <c r="S34" s="231"/>
      <c r="T34" s="231"/>
      <c r="U34" s="231"/>
    </row>
    <row r="35" spans="1:75" s="135" customFormat="1" ht="15.75" customHeight="1">
      <c r="B35" s="232"/>
      <c r="C35" s="233"/>
      <c r="R35" s="231"/>
      <c r="S35" s="231"/>
      <c r="T35" s="231"/>
      <c r="U35" s="231"/>
    </row>
    <row r="36" spans="1:75" s="235" customFormat="1" ht="15.75" customHeight="1">
      <c r="A36" s="683" t="s">
        <v>191</v>
      </c>
      <c r="B36" s="684"/>
      <c r="C36" s="234" t="s">
        <v>47</v>
      </c>
      <c r="D36" s="795" t="s">
        <v>12</v>
      </c>
      <c r="E36" s="672"/>
      <c r="F36" s="785"/>
      <c r="G36" s="659" t="s">
        <v>53</v>
      </c>
      <c r="H36" s="660"/>
      <c r="I36" s="661"/>
      <c r="J36" s="234" t="s">
        <v>54</v>
      </c>
      <c r="K36" s="234" t="s">
        <v>55</v>
      </c>
      <c r="L36" s="234" t="s">
        <v>56</v>
      </c>
      <c r="M36" s="234" t="s">
        <v>11</v>
      </c>
      <c r="N36" s="234" t="s">
        <v>333</v>
      </c>
      <c r="O36" s="799" t="s">
        <v>51</v>
      </c>
      <c r="P36" s="800"/>
    </row>
    <row r="37" spans="1:75" s="135" customFormat="1" ht="50.15" customHeight="1">
      <c r="A37" s="786">
        <v>1</v>
      </c>
      <c r="B37" s="789" t="s">
        <v>454</v>
      </c>
      <c r="C37" s="236">
        <v>1</v>
      </c>
      <c r="D37" s="237" t="s">
        <v>340</v>
      </c>
      <c r="E37" s="238"/>
      <c r="F37" s="238"/>
      <c r="G37" s="306" t="s">
        <v>386</v>
      </c>
      <c r="H37" s="305"/>
      <c r="I37" s="306"/>
      <c r="J37" s="236">
        <v>127.84000000000002</v>
      </c>
      <c r="K37" s="242">
        <v>3.2030090997231535E-3</v>
      </c>
      <c r="L37" s="236">
        <v>13.71</v>
      </c>
      <c r="M37" s="322">
        <f>L37*J37</f>
        <v>1752.6864000000003</v>
      </c>
      <c r="N37" s="243"/>
      <c r="O37" s="701" t="s">
        <v>579</v>
      </c>
      <c r="P37" s="702"/>
      <c r="R37" s="231"/>
      <c r="S37" s="393"/>
      <c r="T37" s="261"/>
      <c r="U37" s="231"/>
    </row>
    <row r="38" spans="1:75" s="135" customFormat="1" ht="50.15" customHeight="1">
      <c r="A38" s="787"/>
      <c r="B38" s="790"/>
      <c r="C38" s="236">
        <v>2</v>
      </c>
      <c r="D38" s="237" t="s">
        <v>642</v>
      </c>
      <c r="E38" s="238"/>
      <c r="F38" s="238"/>
      <c r="G38" s="306" t="s">
        <v>654</v>
      </c>
      <c r="H38" s="305"/>
      <c r="I38" s="306"/>
      <c r="J38" s="236">
        <v>212.78</v>
      </c>
      <c r="K38" s="242">
        <v>8.2036712805435355E-3</v>
      </c>
      <c r="L38" s="236">
        <v>7.45</v>
      </c>
      <c r="M38" s="322">
        <f t="shared" ref="M38:M41" si="3">L38*J38</f>
        <v>1585.211</v>
      </c>
      <c r="N38" s="243"/>
      <c r="O38" s="801" t="s">
        <v>578</v>
      </c>
      <c r="P38" s="793"/>
      <c r="R38" s="231"/>
      <c r="S38" s="394"/>
      <c r="T38" s="394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  <c r="BW38" s="231"/>
    </row>
    <row r="39" spans="1:75" s="135" customFormat="1" ht="50.15" customHeight="1">
      <c r="A39" s="787"/>
      <c r="B39" s="790"/>
      <c r="C39" s="236">
        <v>3</v>
      </c>
      <c r="D39" s="237" t="s">
        <v>340</v>
      </c>
      <c r="E39" s="238"/>
      <c r="F39" s="238"/>
      <c r="G39" s="306" t="s">
        <v>604</v>
      </c>
      <c r="H39" s="305"/>
      <c r="I39" s="306"/>
      <c r="J39" s="236">
        <v>413.94999999999993</v>
      </c>
      <c r="K39" s="242">
        <v>4.4329560690429901E-3</v>
      </c>
      <c r="L39" s="236">
        <v>3.6700000000000004</v>
      </c>
      <c r="M39" s="322">
        <f t="shared" si="3"/>
        <v>1519.1965</v>
      </c>
      <c r="N39" s="243"/>
      <c r="O39" s="802" t="s">
        <v>670</v>
      </c>
      <c r="P39" s="758"/>
      <c r="R39" s="231"/>
      <c r="S39" s="393"/>
      <c r="T39" s="393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231"/>
      <c r="BQ39" s="231"/>
      <c r="BR39" s="231"/>
      <c r="BS39" s="231"/>
      <c r="BT39" s="231"/>
      <c r="BU39" s="231"/>
      <c r="BV39" s="231"/>
      <c r="BW39" s="231"/>
    </row>
    <row r="40" spans="1:75" s="135" customFormat="1" ht="50.15" customHeight="1">
      <c r="A40" s="787"/>
      <c r="B40" s="790"/>
      <c r="C40" s="236">
        <v>4</v>
      </c>
      <c r="D40" s="237" t="s">
        <v>434</v>
      </c>
      <c r="E40" s="238"/>
      <c r="F40" s="238"/>
      <c r="G40" s="306" t="s">
        <v>463</v>
      </c>
      <c r="H40" s="305"/>
      <c r="I40" s="306"/>
      <c r="J40" s="236">
        <v>160.49</v>
      </c>
      <c r="K40" s="242">
        <v>1.114444299523209E-2</v>
      </c>
      <c r="L40" s="236">
        <v>7.6899999999999986</v>
      </c>
      <c r="M40" s="322">
        <f t="shared" si="3"/>
        <v>1234.1680999999999</v>
      </c>
      <c r="N40" s="243"/>
      <c r="O40" s="802" t="s">
        <v>671</v>
      </c>
      <c r="P40" s="758"/>
      <c r="R40" s="231"/>
      <c r="S40" s="394"/>
      <c r="T40" s="394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  <c r="BW40" s="231"/>
    </row>
    <row r="41" spans="1:75" s="135" customFormat="1" ht="50.15" customHeight="1" thickBot="1">
      <c r="A41" s="787"/>
      <c r="B41" s="790"/>
      <c r="C41" s="236">
        <v>5</v>
      </c>
      <c r="D41" s="244" t="s">
        <v>436</v>
      </c>
      <c r="E41" s="245"/>
      <c r="F41" s="245"/>
      <c r="G41" s="306" t="s">
        <v>658</v>
      </c>
      <c r="H41" s="305"/>
      <c r="I41" s="306"/>
      <c r="J41" s="247">
        <v>1.1500000000000001</v>
      </c>
      <c r="K41" s="248">
        <v>2.2355184430271551E-2</v>
      </c>
      <c r="L41" s="247">
        <v>1020</v>
      </c>
      <c r="M41" s="323">
        <f t="shared" si="3"/>
        <v>1173.0000000000002</v>
      </c>
      <c r="N41" s="243"/>
      <c r="O41" s="802" t="s">
        <v>668</v>
      </c>
      <c r="P41" s="758"/>
      <c r="R41" s="231"/>
      <c r="S41" s="393"/>
      <c r="T41" s="393"/>
      <c r="U41" s="231"/>
      <c r="V41" s="395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  <c r="BW41" s="231"/>
    </row>
    <row r="42" spans="1:75" s="135" customFormat="1" ht="15.75" customHeight="1" thickTop="1">
      <c r="A42" s="788"/>
      <c r="B42" s="791"/>
      <c r="C42" s="659"/>
      <c r="D42" s="660"/>
      <c r="E42" s="660"/>
      <c r="F42" s="660"/>
      <c r="G42" s="660"/>
      <c r="H42" s="660"/>
      <c r="I42" s="794"/>
      <c r="J42" s="249" t="s">
        <v>58</v>
      </c>
      <c r="K42" s="212" t="e">
        <f>M42/'生產管理報表 7-1 (週)'!#REF!</f>
        <v>#REF!</v>
      </c>
      <c r="L42" s="249" t="s">
        <v>59</v>
      </c>
      <c r="M42" s="324">
        <f>SUM(M37:M41)</f>
        <v>7264.2619999999997</v>
      </c>
      <c r="N42" s="747"/>
      <c r="O42" s="748"/>
      <c r="P42" s="749"/>
      <c r="R42" s="231"/>
      <c r="S42" s="210"/>
      <c r="T42" s="210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1"/>
      <c r="BK42" s="231"/>
      <c r="BL42" s="231"/>
      <c r="BM42" s="231"/>
      <c r="BN42" s="231"/>
      <c r="BO42" s="231"/>
      <c r="BP42" s="231"/>
      <c r="BQ42" s="231"/>
      <c r="BR42" s="231"/>
      <c r="BS42" s="231"/>
      <c r="BT42" s="231"/>
      <c r="BU42" s="231"/>
      <c r="BV42" s="231"/>
      <c r="BW42" s="231"/>
    </row>
    <row r="43" spans="1:75" s="135" customFormat="1" ht="15.75" customHeight="1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51"/>
      <c r="O43" s="251"/>
      <c r="P43" s="251"/>
      <c r="R43" s="231"/>
      <c r="S43" s="261"/>
      <c r="T43" s="26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  <c r="BW43" s="231"/>
    </row>
    <row r="44" spans="1:75" s="135" customFormat="1" ht="15.75" customHeight="1">
      <c r="A44" s="683" t="s">
        <v>191</v>
      </c>
      <c r="B44" s="684"/>
      <c r="C44" s="252" t="s">
        <v>47</v>
      </c>
      <c r="D44" s="671" t="s">
        <v>12</v>
      </c>
      <c r="E44" s="672"/>
      <c r="F44" s="673"/>
      <c r="G44" s="671" t="s">
        <v>53</v>
      </c>
      <c r="H44" s="672"/>
      <c r="I44" s="673"/>
      <c r="J44" s="254" t="s">
        <v>54</v>
      </c>
      <c r="K44" s="254" t="s">
        <v>55</v>
      </c>
      <c r="L44" s="254" t="s">
        <v>56</v>
      </c>
      <c r="M44" s="254" t="s">
        <v>11</v>
      </c>
      <c r="N44" s="255" t="s">
        <v>333</v>
      </c>
      <c r="O44" s="750" t="s">
        <v>51</v>
      </c>
      <c r="P44" s="751"/>
      <c r="R44" s="231"/>
      <c r="S44" s="210"/>
      <c r="T44" s="210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</row>
    <row r="45" spans="1:75" s="135" customFormat="1" ht="20.149999999999999" customHeight="1">
      <c r="A45" s="786">
        <v>2</v>
      </c>
      <c r="B45" s="789" t="s">
        <v>213</v>
      </c>
      <c r="C45" s="256">
        <v>1</v>
      </c>
      <c r="D45" s="237"/>
      <c r="E45" s="238"/>
      <c r="F45" s="239"/>
      <c r="G45" s="237"/>
      <c r="H45" s="238"/>
      <c r="I45" s="239"/>
      <c r="J45" s="257"/>
      <c r="K45" s="258"/>
      <c r="L45" s="257"/>
      <c r="M45" s="259">
        <f t="shared" ref="M45:M49" si="4">L45*J45</f>
        <v>0</v>
      </c>
      <c r="N45" s="260"/>
      <c r="O45" s="752"/>
      <c r="P45" s="753"/>
      <c r="R45" s="231"/>
      <c r="S45" s="261"/>
      <c r="T45" s="26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</row>
    <row r="46" spans="1:75" s="135" customFormat="1" ht="20.149999999999999" customHeight="1">
      <c r="A46" s="787"/>
      <c r="B46" s="790"/>
      <c r="C46" s="256">
        <v>2</v>
      </c>
      <c r="D46" s="237"/>
      <c r="E46" s="238"/>
      <c r="F46" s="239"/>
      <c r="G46" s="237"/>
      <c r="H46" s="238"/>
      <c r="I46" s="239"/>
      <c r="J46" s="257"/>
      <c r="K46" s="258"/>
      <c r="L46" s="257"/>
      <c r="M46" s="259">
        <f t="shared" si="4"/>
        <v>0</v>
      </c>
      <c r="N46" s="260"/>
      <c r="O46" s="752"/>
      <c r="P46" s="753"/>
      <c r="R46" s="231"/>
      <c r="S46" s="210"/>
      <c r="T46" s="210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</row>
    <row r="47" spans="1:75" s="135" customFormat="1" ht="20.149999999999999" customHeight="1">
      <c r="A47" s="787"/>
      <c r="B47" s="790"/>
      <c r="C47" s="256">
        <v>3</v>
      </c>
      <c r="D47" s="237"/>
      <c r="E47" s="238"/>
      <c r="F47" s="239"/>
      <c r="G47" s="237"/>
      <c r="H47" s="238"/>
      <c r="I47" s="268"/>
      <c r="J47" s="257"/>
      <c r="K47" s="258"/>
      <c r="L47" s="257"/>
      <c r="M47" s="259">
        <f t="shared" si="4"/>
        <v>0</v>
      </c>
      <c r="N47" s="260"/>
      <c r="O47" s="752"/>
      <c r="P47" s="753"/>
      <c r="R47" s="231"/>
      <c r="S47" s="261"/>
      <c r="T47" s="26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  <c r="AH47" s="231"/>
    </row>
    <row r="48" spans="1:75" s="135" customFormat="1" ht="20.149999999999999" customHeight="1">
      <c r="A48" s="787"/>
      <c r="B48" s="790"/>
      <c r="C48" s="256">
        <v>4</v>
      </c>
      <c r="D48" s="237"/>
      <c r="E48" s="238"/>
      <c r="F48" s="239"/>
      <c r="G48" s="237"/>
      <c r="H48" s="238"/>
      <c r="I48" s="239"/>
      <c r="J48" s="257"/>
      <c r="K48" s="258"/>
      <c r="L48" s="257"/>
      <c r="M48" s="259">
        <f t="shared" si="4"/>
        <v>0</v>
      </c>
      <c r="N48" s="260"/>
      <c r="O48" s="752"/>
      <c r="P48" s="753"/>
      <c r="R48" s="231"/>
      <c r="S48" s="210"/>
      <c r="T48" s="210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</row>
    <row r="49" spans="1:36" s="135" customFormat="1" ht="20.149999999999999" customHeight="1" thickBot="1">
      <c r="A49" s="787"/>
      <c r="B49" s="790"/>
      <c r="C49" s="262">
        <v>5</v>
      </c>
      <c r="D49" s="244"/>
      <c r="E49" s="245"/>
      <c r="F49" s="246"/>
      <c r="G49" s="237"/>
      <c r="H49" s="238"/>
      <c r="I49" s="239"/>
      <c r="J49" s="263"/>
      <c r="K49" s="264"/>
      <c r="L49" s="263"/>
      <c r="M49" s="265">
        <f t="shared" si="4"/>
        <v>0</v>
      </c>
      <c r="N49" s="266"/>
      <c r="O49" s="752"/>
      <c r="P49" s="753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  <c r="AH49" s="231"/>
    </row>
    <row r="50" spans="1:36" s="135" customFormat="1" ht="15.75" customHeight="1" thickTop="1">
      <c r="A50" s="788"/>
      <c r="B50" s="791"/>
      <c r="C50" s="667"/>
      <c r="D50" s="668"/>
      <c r="E50" s="668"/>
      <c r="F50" s="668"/>
      <c r="G50" s="668"/>
      <c r="H50" s="668"/>
      <c r="I50" s="669"/>
      <c r="J50" s="249" t="s">
        <v>58</v>
      </c>
      <c r="K50" s="212" t="e">
        <f>M50/'生產管理報表 7-1 (週)'!#REF!</f>
        <v>#REF!</v>
      </c>
      <c r="L50" s="249" t="s">
        <v>59</v>
      </c>
      <c r="M50" s="250">
        <f>SUM(M45:M49)</f>
        <v>0</v>
      </c>
      <c r="N50" s="754"/>
      <c r="O50" s="755"/>
      <c r="P50" s="756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</row>
    <row r="51" spans="1:36" s="135" customFormat="1" ht="15.75" customHeight="1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67"/>
      <c r="O51" s="267"/>
      <c r="P51" s="267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  <c r="AH51" s="231"/>
    </row>
    <row r="52" spans="1:36" s="135" customFormat="1" ht="15.75" customHeight="1">
      <c r="A52" s="683" t="s">
        <v>191</v>
      </c>
      <c r="B52" s="684"/>
      <c r="C52" s="252" t="s">
        <v>47</v>
      </c>
      <c r="D52" s="671" t="s">
        <v>12</v>
      </c>
      <c r="E52" s="672"/>
      <c r="F52" s="673"/>
      <c r="G52" s="671" t="s">
        <v>53</v>
      </c>
      <c r="H52" s="672"/>
      <c r="I52" s="785"/>
      <c r="J52" s="253" t="s">
        <v>54</v>
      </c>
      <c r="K52" s="254" t="s">
        <v>55</v>
      </c>
      <c r="L52" s="254" t="s">
        <v>56</v>
      </c>
      <c r="M52" s="254" t="s">
        <v>11</v>
      </c>
      <c r="N52" s="255" t="s">
        <v>333</v>
      </c>
      <c r="O52" s="762" t="s">
        <v>51</v>
      </c>
      <c r="P52" s="763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</row>
    <row r="53" spans="1:36" s="135" customFormat="1" ht="50.15" customHeight="1">
      <c r="A53" s="786">
        <v>3</v>
      </c>
      <c r="B53" s="789" t="s">
        <v>423</v>
      </c>
      <c r="C53" s="256">
        <v>1</v>
      </c>
      <c r="D53" s="237" t="s">
        <v>340</v>
      </c>
      <c r="E53" s="238"/>
      <c r="F53" s="239"/>
      <c r="G53" s="246" t="s">
        <v>449</v>
      </c>
      <c r="H53" s="245"/>
      <c r="I53" s="246"/>
      <c r="J53" s="257">
        <v>2.4499999999999997</v>
      </c>
      <c r="K53" s="258">
        <v>8.8657902782023849E-3</v>
      </c>
      <c r="L53" s="257">
        <v>1334</v>
      </c>
      <c r="M53" s="325">
        <f t="shared" ref="M53:M57" si="5">L53*J53</f>
        <v>3268.2999999999997</v>
      </c>
      <c r="N53" s="270"/>
      <c r="O53" s="792" t="s">
        <v>461</v>
      </c>
      <c r="P53" s="793"/>
      <c r="R53" s="231"/>
      <c r="S53" s="395"/>
      <c r="T53" s="395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  <c r="AJ53" s="231"/>
    </row>
    <row r="54" spans="1:36" s="135" customFormat="1" ht="50.15" customHeight="1">
      <c r="A54" s="787"/>
      <c r="B54" s="790"/>
      <c r="C54" s="256">
        <v>2</v>
      </c>
      <c r="D54" s="237" t="s">
        <v>340</v>
      </c>
      <c r="E54" s="238"/>
      <c r="F54" s="239"/>
      <c r="G54" s="246" t="s">
        <v>448</v>
      </c>
      <c r="H54" s="245"/>
      <c r="I54" s="246"/>
      <c r="J54" s="257">
        <v>1.17</v>
      </c>
      <c r="K54" s="258">
        <v>8.4835408099644821E-3</v>
      </c>
      <c r="L54" s="257">
        <v>2422</v>
      </c>
      <c r="M54" s="325">
        <f t="shared" si="5"/>
        <v>2833.74</v>
      </c>
      <c r="N54" s="270"/>
      <c r="O54" s="757" t="s">
        <v>529</v>
      </c>
      <c r="P54" s="758"/>
      <c r="R54" s="231"/>
      <c r="S54" s="395"/>
      <c r="T54" s="40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  <c r="AJ54" s="231"/>
    </row>
    <row r="55" spans="1:36" s="135" customFormat="1" ht="50.15" customHeight="1">
      <c r="A55" s="787"/>
      <c r="B55" s="790"/>
      <c r="C55" s="256">
        <v>3</v>
      </c>
      <c r="D55" s="237" t="s">
        <v>342</v>
      </c>
      <c r="E55" s="238"/>
      <c r="F55" s="239"/>
      <c r="G55" s="246" t="s">
        <v>460</v>
      </c>
      <c r="H55" s="245"/>
      <c r="I55" s="246"/>
      <c r="J55" s="257">
        <v>605.77999999999986</v>
      </c>
      <c r="K55" s="258">
        <v>2.6059131234551342E-3</v>
      </c>
      <c r="L55" s="257">
        <v>2.7199999999999998</v>
      </c>
      <c r="M55" s="325">
        <f t="shared" si="5"/>
        <v>1647.7215999999994</v>
      </c>
      <c r="N55" s="270"/>
      <c r="O55" s="757" t="s">
        <v>597</v>
      </c>
      <c r="P55" s="758"/>
      <c r="R55" s="395"/>
      <c r="S55" s="395"/>
      <c r="T55" s="40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</row>
    <row r="56" spans="1:36" s="135" customFormat="1" ht="50.15" customHeight="1">
      <c r="A56" s="787"/>
      <c r="B56" s="790"/>
      <c r="C56" s="256">
        <v>4</v>
      </c>
      <c r="D56" s="237" t="s">
        <v>568</v>
      </c>
      <c r="E56" s="238"/>
      <c r="F56" s="239"/>
      <c r="G56" s="246" t="s">
        <v>584</v>
      </c>
      <c r="H56" s="245"/>
      <c r="I56" s="246"/>
      <c r="J56" s="269">
        <v>24.59</v>
      </c>
      <c r="K56" s="258">
        <v>3.6090225563909775E-3</v>
      </c>
      <c r="L56" s="257">
        <v>60</v>
      </c>
      <c r="M56" s="325">
        <f t="shared" si="5"/>
        <v>1475.4</v>
      </c>
      <c r="N56" s="270"/>
      <c r="O56" s="757" t="s">
        <v>617</v>
      </c>
      <c r="P56" s="758"/>
      <c r="R56" s="231"/>
      <c r="S56" s="231"/>
      <c r="T56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</row>
    <row r="57" spans="1:36" s="135" customFormat="1" ht="50.15" customHeight="1" thickBot="1">
      <c r="A57" s="787"/>
      <c r="B57" s="790"/>
      <c r="C57" s="262">
        <v>5</v>
      </c>
      <c r="D57" s="244" t="s">
        <v>509</v>
      </c>
      <c r="E57" s="245"/>
      <c r="F57" s="246"/>
      <c r="G57" s="351" t="s">
        <v>602</v>
      </c>
      <c r="H57" s="305"/>
      <c r="I57" s="462"/>
      <c r="J57" s="272">
        <v>6.04</v>
      </c>
      <c r="K57" s="264">
        <v>2.3562255723059745E-2</v>
      </c>
      <c r="L57" s="273">
        <v>211</v>
      </c>
      <c r="M57" s="325">
        <f t="shared" si="5"/>
        <v>1274.44</v>
      </c>
      <c r="N57" s="270"/>
      <c r="O57" s="757" t="s">
        <v>668</v>
      </c>
      <c r="P57" s="758"/>
      <c r="R57" s="231"/>
      <c r="S57" s="231"/>
      <c r="T57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</row>
    <row r="58" spans="1:36" s="135" customFormat="1" ht="15.75" customHeight="1" thickTop="1">
      <c r="A58" s="788"/>
      <c r="B58" s="791"/>
      <c r="C58" s="659"/>
      <c r="D58" s="660"/>
      <c r="E58" s="660"/>
      <c r="F58" s="660"/>
      <c r="G58" s="660"/>
      <c r="H58" s="660"/>
      <c r="I58" s="794"/>
      <c r="J58" s="274" t="s">
        <v>58</v>
      </c>
      <c r="K58" s="212" t="e">
        <f>M58/'生產管理報表 7-1 (週)'!#REF!</f>
        <v>#REF!</v>
      </c>
      <c r="L58" s="274" t="s">
        <v>59</v>
      </c>
      <c r="M58" s="326">
        <f>SUM(M53:M57)</f>
        <v>10499.601599999998</v>
      </c>
      <c r="N58" s="759"/>
      <c r="O58" s="760"/>
      <c r="P58" s="761"/>
      <c r="R58" s="231"/>
      <c r="S58" s="231"/>
      <c r="T58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</row>
    <row r="59" spans="1:36" s="135" customFormat="1" ht="15.75" customHeight="1">
      <c r="A59" s="805" t="s">
        <v>645</v>
      </c>
      <c r="B59" s="805"/>
      <c r="C59" s="805"/>
      <c r="D59" s="805"/>
      <c r="E59" s="805"/>
      <c r="F59" s="805"/>
      <c r="G59" s="805"/>
      <c r="H59" s="805"/>
      <c r="I59" s="805"/>
      <c r="J59" s="805"/>
      <c r="K59" s="805"/>
      <c r="L59" s="805"/>
      <c r="M59" s="805"/>
      <c r="R59" s="231"/>
      <c r="S59" s="231"/>
      <c r="T59" s="231"/>
      <c r="U59" s="231"/>
    </row>
    <row r="60" spans="1:36" s="136" customFormat="1" ht="15.75" customHeight="1">
      <c r="A60" s="680"/>
      <c r="B60" s="680"/>
      <c r="C60" s="680"/>
      <c r="D60" s="680"/>
      <c r="E60" s="680"/>
      <c r="F60" s="680"/>
      <c r="G60" s="680"/>
      <c r="H60" s="680"/>
      <c r="I60" s="680"/>
      <c r="J60" s="680"/>
      <c r="K60" s="680"/>
      <c r="L60" s="680"/>
      <c r="M60" s="680"/>
    </row>
    <row r="61" spans="1:36" s="135" customFormat="1" ht="15.75" customHeight="1">
      <c r="A61" s="681" t="s">
        <v>191</v>
      </c>
      <c r="B61" s="674">
        <v>1</v>
      </c>
      <c r="C61" s="675"/>
      <c r="D61" s="674">
        <v>2</v>
      </c>
      <c r="E61" s="675"/>
      <c r="F61" s="674">
        <v>3</v>
      </c>
      <c r="G61" s="675"/>
      <c r="H61" s="683">
        <v>4</v>
      </c>
      <c r="I61" s="684"/>
      <c r="J61" s="683">
        <v>5</v>
      </c>
      <c r="K61" s="684"/>
      <c r="L61" s="683">
        <v>6</v>
      </c>
      <c r="M61" s="684"/>
      <c r="N61" s="683">
        <v>7</v>
      </c>
      <c r="O61" s="684"/>
      <c r="P61" s="683">
        <v>8</v>
      </c>
      <c r="Q61" s="684"/>
      <c r="R61" s="231"/>
      <c r="S61" s="231"/>
      <c r="T61" s="231"/>
      <c r="U61" s="231"/>
    </row>
    <row r="62" spans="1:36" s="135" customFormat="1" ht="15.75" customHeight="1">
      <c r="A62" s="682"/>
      <c r="B62" s="676" t="s">
        <v>453</v>
      </c>
      <c r="C62" s="677"/>
      <c r="D62" s="676" t="s">
        <v>212</v>
      </c>
      <c r="E62" s="677"/>
      <c r="F62" s="676" t="s">
        <v>166</v>
      </c>
      <c r="G62" s="677"/>
      <c r="H62" s="678" t="s">
        <v>429</v>
      </c>
      <c r="I62" s="679"/>
      <c r="J62" s="678" t="s">
        <v>189</v>
      </c>
      <c r="K62" s="679"/>
      <c r="L62" s="678" t="s">
        <v>167</v>
      </c>
      <c r="M62" s="679"/>
      <c r="N62" s="678" t="s">
        <v>190</v>
      </c>
      <c r="O62" s="679"/>
      <c r="P62" s="803" t="s">
        <v>217</v>
      </c>
      <c r="Q62" s="804"/>
      <c r="R62" s="231"/>
      <c r="S62" s="231"/>
      <c r="T62" s="231"/>
      <c r="U62" s="231"/>
    </row>
    <row r="63" spans="1:36" s="135" customFormat="1" ht="15.75" customHeight="1">
      <c r="B63" s="232"/>
      <c r="C63" s="233"/>
      <c r="R63" s="231"/>
      <c r="S63" s="231"/>
      <c r="T63" s="231"/>
      <c r="U63" s="231"/>
    </row>
    <row r="64" spans="1:36" s="235" customFormat="1" ht="15.75" customHeight="1">
      <c r="A64" s="683" t="s">
        <v>191</v>
      </c>
      <c r="B64" s="684"/>
      <c r="C64" s="234" t="s">
        <v>47</v>
      </c>
      <c r="D64" s="795" t="s">
        <v>12</v>
      </c>
      <c r="E64" s="672"/>
      <c r="F64" s="785"/>
      <c r="G64" s="659" t="s">
        <v>53</v>
      </c>
      <c r="H64" s="660"/>
      <c r="I64" s="661"/>
      <c r="J64" s="234" t="s">
        <v>54</v>
      </c>
      <c r="K64" s="234" t="s">
        <v>55</v>
      </c>
      <c r="L64" s="234" t="s">
        <v>56</v>
      </c>
      <c r="M64" s="234" t="s">
        <v>11</v>
      </c>
      <c r="N64" s="234" t="s">
        <v>333</v>
      </c>
      <c r="O64" s="799" t="s">
        <v>51</v>
      </c>
      <c r="P64" s="800"/>
    </row>
    <row r="65" spans="1:75" s="135" customFormat="1" ht="50.15" customHeight="1">
      <c r="A65" s="786">
        <v>1</v>
      </c>
      <c r="B65" s="789" t="s">
        <v>454</v>
      </c>
      <c r="C65" s="236">
        <v>1</v>
      </c>
      <c r="D65" s="237" t="s">
        <v>674</v>
      </c>
      <c r="E65" s="238"/>
      <c r="F65" s="238"/>
      <c r="G65" s="358" t="s">
        <v>675</v>
      </c>
      <c r="H65" s="305"/>
      <c r="I65" s="306"/>
      <c r="J65" s="236">
        <v>655.37</v>
      </c>
      <c r="K65" s="242">
        <v>3.7863375378633744E-3</v>
      </c>
      <c r="L65" s="236">
        <v>3.3499999999999996</v>
      </c>
      <c r="M65" s="322">
        <f>L65*J65</f>
        <v>2195.4894999999997</v>
      </c>
      <c r="N65" s="243"/>
      <c r="O65" s="701" t="s">
        <v>691</v>
      </c>
      <c r="P65" s="702"/>
      <c r="R65" s="231"/>
      <c r="S65" s="393"/>
      <c r="T65" s="261"/>
      <c r="U65" s="231"/>
    </row>
    <row r="66" spans="1:75" s="135" customFormat="1" ht="50.15" customHeight="1">
      <c r="A66" s="787"/>
      <c r="B66" s="790"/>
      <c r="C66" s="236">
        <v>2</v>
      </c>
      <c r="D66" s="237" t="s">
        <v>674</v>
      </c>
      <c r="E66" s="238"/>
      <c r="F66" s="238"/>
      <c r="G66" s="358" t="s">
        <v>676</v>
      </c>
      <c r="H66" s="305"/>
      <c r="I66" s="306"/>
      <c r="J66" s="236">
        <v>31.59</v>
      </c>
      <c r="K66" s="242">
        <v>4.6422716920356951E-3</v>
      </c>
      <c r="L66" s="236">
        <v>43.639999999999993</v>
      </c>
      <c r="M66" s="322">
        <f t="shared" ref="M66:M69" si="6">L66*J66</f>
        <v>1378.5875999999998</v>
      </c>
      <c r="N66" s="243"/>
      <c r="O66" s="801" t="s">
        <v>633</v>
      </c>
      <c r="P66" s="793"/>
      <c r="R66" s="231"/>
      <c r="S66" s="394"/>
      <c r="T66" s="394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  <c r="BW66" s="231"/>
    </row>
    <row r="67" spans="1:75" s="135" customFormat="1" ht="50.15" customHeight="1">
      <c r="A67" s="787"/>
      <c r="B67" s="790"/>
      <c r="C67" s="236">
        <v>3</v>
      </c>
      <c r="D67" s="237" t="s">
        <v>434</v>
      </c>
      <c r="E67" s="238"/>
      <c r="F67" s="238"/>
      <c r="G67" s="358" t="s">
        <v>463</v>
      </c>
      <c r="H67" s="305"/>
      <c r="I67" s="306"/>
      <c r="J67" s="236">
        <v>160.49</v>
      </c>
      <c r="K67" s="242">
        <v>1.1127073620297086E-2</v>
      </c>
      <c r="L67" s="236">
        <v>8.2100000000000009</v>
      </c>
      <c r="M67" s="322">
        <f t="shared" si="6"/>
        <v>1317.6229000000003</v>
      </c>
      <c r="N67" s="243"/>
      <c r="O67" s="802" t="s">
        <v>671</v>
      </c>
      <c r="P67" s="758"/>
      <c r="R67" s="231"/>
      <c r="S67" s="393"/>
      <c r="T67" s="393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  <c r="BW67" s="231"/>
    </row>
    <row r="68" spans="1:75" s="135" customFormat="1" ht="50.15" customHeight="1">
      <c r="A68" s="787"/>
      <c r="B68" s="790"/>
      <c r="C68" s="236">
        <v>4</v>
      </c>
      <c r="D68" s="237" t="s">
        <v>340</v>
      </c>
      <c r="E68" s="238"/>
      <c r="F68" s="238"/>
      <c r="G68" s="358" t="s">
        <v>386</v>
      </c>
      <c r="H68" s="305"/>
      <c r="I68" s="306"/>
      <c r="J68" s="236">
        <v>127.84000000000002</v>
      </c>
      <c r="K68" s="242">
        <v>2.1127309224064053E-3</v>
      </c>
      <c r="L68" s="236">
        <v>9.2200000000000006</v>
      </c>
      <c r="M68" s="322">
        <f t="shared" si="6"/>
        <v>1178.6848000000002</v>
      </c>
      <c r="N68" s="243"/>
      <c r="O68" s="802" t="s">
        <v>671</v>
      </c>
      <c r="P68" s="758"/>
      <c r="R68" s="231"/>
      <c r="S68" s="394"/>
      <c r="T68" s="394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/>
      <c r="BJ68" s="231"/>
      <c r="BK68" s="231"/>
      <c r="BL68" s="231"/>
      <c r="BM68" s="231"/>
      <c r="BN68" s="231"/>
      <c r="BO68" s="231"/>
      <c r="BP68" s="231"/>
      <c r="BQ68" s="231"/>
      <c r="BR68" s="231"/>
      <c r="BS68" s="231"/>
      <c r="BT68" s="231"/>
      <c r="BU68" s="231"/>
      <c r="BV68" s="231"/>
      <c r="BW68" s="231"/>
    </row>
    <row r="69" spans="1:75" s="135" customFormat="1" ht="50.15" customHeight="1" thickBot="1">
      <c r="A69" s="787"/>
      <c r="B69" s="790"/>
      <c r="C69" s="236">
        <v>5</v>
      </c>
      <c r="D69" s="244" t="s">
        <v>642</v>
      </c>
      <c r="E69" s="245"/>
      <c r="F69" s="245"/>
      <c r="G69" s="358" t="s">
        <v>654</v>
      </c>
      <c r="H69" s="305"/>
      <c r="I69" s="306"/>
      <c r="J69" s="247">
        <v>212.78</v>
      </c>
      <c r="K69" s="248">
        <v>9.8614832126774216E-3</v>
      </c>
      <c r="L69" s="247">
        <v>5.1899999999999995</v>
      </c>
      <c r="M69" s="323">
        <f t="shared" si="6"/>
        <v>1104.3281999999999</v>
      </c>
      <c r="N69" s="243"/>
      <c r="O69" s="802" t="s">
        <v>578</v>
      </c>
      <c r="P69" s="758"/>
      <c r="R69" s="231"/>
      <c r="S69" s="393"/>
      <c r="T69" s="393"/>
      <c r="U69" s="231"/>
      <c r="V69" s="395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  <c r="BW69" s="231"/>
    </row>
    <row r="70" spans="1:75" s="135" customFormat="1" ht="15.75" customHeight="1" thickTop="1">
      <c r="A70" s="788"/>
      <c r="B70" s="791"/>
      <c r="C70" s="659"/>
      <c r="D70" s="660"/>
      <c r="E70" s="660"/>
      <c r="F70" s="660"/>
      <c r="G70" s="660"/>
      <c r="H70" s="660"/>
      <c r="I70" s="794"/>
      <c r="J70" s="249" t="s">
        <v>58</v>
      </c>
      <c r="K70" s="212" t="e">
        <f>M70/'生產管理報表 7-1 (週)'!#REF!</f>
        <v>#REF!</v>
      </c>
      <c r="L70" s="249" t="s">
        <v>59</v>
      </c>
      <c r="M70" s="324">
        <f>SUM(M65:M69)</f>
        <v>7174.7129999999997</v>
      </c>
      <c r="N70" s="747"/>
      <c r="O70" s="748"/>
      <c r="P70" s="749"/>
      <c r="R70" s="231"/>
      <c r="S70" s="210"/>
      <c r="T70" s="210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  <c r="BW70" s="231"/>
    </row>
    <row r="71" spans="1:75" s="135" customFormat="1" ht="15.75" customHeight="1">
      <c r="B71" s="232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51"/>
      <c r="O71" s="251"/>
      <c r="P71" s="251"/>
      <c r="R71" s="231"/>
      <c r="S71" s="261"/>
      <c r="T71" s="26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N71" s="231"/>
      <c r="BO71" s="231"/>
      <c r="BP71" s="231"/>
      <c r="BQ71" s="231"/>
      <c r="BR71" s="231"/>
      <c r="BS71" s="231"/>
      <c r="BT71" s="231"/>
      <c r="BU71" s="231"/>
      <c r="BV71" s="231"/>
      <c r="BW71" s="231"/>
    </row>
    <row r="72" spans="1:75" s="135" customFormat="1" ht="15.75" customHeight="1">
      <c r="A72" s="683" t="s">
        <v>191</v>
      </c>
      <c r="B72" s="684"/>
      <c r="C72" s="252" t="s">
        <v>47</v>
      </c>
      <c r="D72" s="671" t="s">
        <v>12</v>
      </c>
      <c r="E72" s="672"/>
      <c r="F72" s="673"/>
      <c r="G72" s="671" t="s">
        <v>53</v>
      </c>
      <c r="H72" s="672"/>
      <c r="I72" s="673"/>
      <c r="J72" s="254" t="s">
        <v>54</v>
      </c>
      <c r="K72" s="254" t="s">
        <v>55</v>
      </c>
      <c r="L72" s="254" t="s">
        <v>56</v>
      </c>
      <c r="M72" s="254" t="s">
        <v>11</v>
      </c>
      <c r="N72" s="255" t="s">
        <v>333</v>
      </c>
      <c r="O72" s="750" t="s">
        <v>51</v>
      </c>
      <c r="P72" s="751"/>
      <c r="R72" s="231"/>
      <c r="S72" s="210"/>
      <c r="T72" s="210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</row>
    <row r="73" spans="1:75" s="135" customFormat="1" ht="20.149999999999999" customHeight="1">
      <c r="A73" s="786">
        <v>2</v>
      </c>
      <c r="B73" s="789" t="s">
        <v>213</v>
      </c>
      <c r="C73" s="256">
        <v>1</v>
      </c>
      <c r="D73" s="237"/>
      <c r="E73" s="238"/>
      <c r="F73" s="239"/>
      <c r="G73" s="237"/>
      <c r="H73" s="238"/>
      <c r="I73" s="239"/>
      <c r="J73" s="257"/>
      <c r="K73" s="258"/>
      <c r="L73" s="257"/>
      <c r="M73" s="259">
        <f t="shared" ref="M73:M77" si="7">L73*J73</f>
        <v>0</v>
      </c>
      <c r="N73" s="260"/>
      <c r="O73" s="752"/>
      <c r="P73" s="753"/>
      <c r="R73" s="231"/>
      <c r="S73" s="261"/>
      <c r="T73" s="26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</row>
    <row r="74" spans="1:75" s="135" customFormat="1" ht="20.149999999999999" customHeight="1">
      <c r="A74" s="787"/>
      <c r="B74" s="790"/>
      <c r="C74" s="256">
        <v>2</v>
      </c>
      <c r="D74" s="237"/>
      <c r="E74" s="238"/>
      <c r="F74" s="239" t="s">
        <v>644</v>
      </c>
      <c r="G74" s="237"/>
      <c r="H74" s="238"/>
      <c r="I74" s="239"/>
      <c r="J74" s="257"/>
      <c r="K74" s="258"/>
      <c r="L74" s="257"/>
      <c r="M74" s="259">
        <f t="shared" si="7"/>
        <v>0</v>
      </c>
      <c r="N74" s="260"/>
      <c r="O74" s="752"/>
      <c r="P74" s="753"/>
      <c r="R74" s="231"/>
      <c r="S74" s="210"/>
      <c r="T74" s="210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</row>
    <row r="75" spans="1:75" s="135" customFormat="1" ht="20.149999999999999" customHeight="1">
      <c r="A75" s="787"/>
      <c r="B75" s="790"/>
      <c r="C75" s="256">
        <v>3</v>
      </c>
      <c r="D75" s="237"/>
      <c r="E75" s="238"/>
      <c r="F75" s="239"/>
      <c r="G75" s="237"/>
      <c r="H75" s="238"/>
      <c r="I75" s="268"/>
      <c r="J75" s="257"/>
      <c r="K75" s="258"/>
      <c r="L75" s="257"/>
      <c r="M75" s="259">
        <f t="shared" si="7"/>
        <v>0</v>
      </c>
      <c r="N75" s="260"/>
      <c r="O75" s="752"/>
      <c r="P75" s="753"/>
      <c r="R75" s="231"/>
      <c r="S75" s="261"/>
      <c r="T75" s="26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</row>
    <row r="76" spans="1:75" s="135" customFormat="1" ht="20.149999999999999" customHeight="1">
      <c r="A76" s="787"/>
      <c r="B76" s="790"/>
      <c r="C76" s="256">
        <v>4</v>
      </c>
      <c r="D76" s="237"/>
      <c r="E76" s="238"/>
      <c r="F76" s="239"/>
      <c r="G76" s="237"/>
      <c r="H76" s="238"/>
      <c r="I76" s="239"/>
      <c r="J76" s="257"/>
      <c r="K76" s="258"/>
      <c r="L76" s="257"/>
      <c r="M76" s="259">
        <f t="shared" si="7"/>
        <v>0</v>
      </c>
      <c r="N76" s="260"/>
      <c r="O76" s="752"/>
      <c r="P76" s="753"/>
      <c r="R76" s="231"/>
      <c r="S76" s="210"/>
      <c r="T76" s="210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  <c r="AH76" s="231"/>
    </row>
    <row r="77" spans="1:75" s="135" customFormat="1" ht="20.149999999999999" customHeight="1" thickBot="1">
      <c r="A77" s="787"/>
      <c r="B77" s="790"/>
      <c r="C77" s="262">
        <v>5</v>
      </c>
      <c r="D77" s="244"/>
      <c r="E77" s="245"/>
      <c r="F77" s="246"/>
      <c r="G77" s="237"/>
      <c r="H77" s="238"/>
      <c r="I77" s="239"/>
      <c r="J77" s="263"/>
      <c r="K77" s="264"/>
      <c r="L77" s="263"/>
      <c r="M77" s="265">
        <f t="shared" si="7"/>
        <v>0</v>
      </c>
      <c r="N77" s="266"/>
      <c r="O77" s="752"/>
      <c r="P77" s="753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</row>
    <row r="78" spans="1:75" s="135" customFormat="1" ht="15.75" customHeight="1" thickTop="1">
      <c r="A78" s="788"/>
      <c r="B78" s="791"/>
      <c r="C78" s="667"/>
      <c r="D78" s="668"/>
      <c r="E78" s="668"/>
      <c r="F78" s="668"/>
      <c r="G78" s="668"/>
      <c r="H78" s="668"/>
      <c r="I78" s="669"/>
      <c r="J78" s="249" t="s">
        <v>58</v>
      </c>
      <c r="K78" s="212" t="e">
        <f>M78/'生產管理報表 7-1 (週)'!#REF!</f>
        <v>#REF!</v>
      </c>
      <c r="L78" s="249" t="s">
        <v>59</v>
      </c>
      <c r="M78" s="250">
        <f>SUM(M73:M77)</f>
        <v>0</v>
      </c>
      <c r="N78" s="754"/>
      <c r="O78" s="755"/>
      <c r="P78" s="756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  <c r="AH78" s="231"/>
    </row>
    <row r="79" spans="1:75" s="135" customFormat="1" ht="15.75" customHeight="1">
      <c r="B79" s="232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67"/>
      <c r="O79" s="267"/>
      <c r="P79" s="267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</row>
    <row r="80" spans="1:75" s="135" customFormat="1" ht="15.75" customHeight="1">
      <c r="A80" s="683" t="s">
        <v>191</v>
      </c>
      <c r="B80" s="684"/>
      <c r="C80" s="252" t="s">
        <v>47</v>
      </c>
      <c r="D80" s="671" t="s">
        <v>12</v>
      </c>
      <c r="E80" s="672"/>
      <c r="F80" s="673"/>
      <c r="G80" s="671" t="s">
        <v>53</v>
      </c>
      <c r="H80" s="672"/>
      <c r="I80" s="785"/>
      <c r="J80" s="253" t="s">
        <v>54</v>
      </c>
      <c r="K80" s="254" t="s">
        <v>55</v>
      </c>
      <c r="L80" s="254" t="s">
        <v>56</v>
      </c>
      <c r="M80" s="254" t="s">
        <v>11</v>
      </c>
      <c r="N80" s="255" t="s">
        <v>333</v>
      </c>
      <c r="O80" s="762" t="s">
        <v>51</v>
      </c>
      <c r="P80" s="763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</row>
    <row r="81" spans="1:75" s="135" customFormat="1" ht="50.15" customHeight="1">
      <c r="A81" s="786">
        <v>3</v>
      </c>
      <c r="B81" s="789" t="s">
        <v>423</v>
      </c>
      <c r="C81" s="256">
        <v>1</v>
      </c>
      <c r="D81" s="237" t="s">
        <v>340</v>
      </c>
      <c r="E81" s="238"/>
      <c r="F81" s="239"/>
      <c r="G81" s="246" t="s">
        <v>449</v>
      </c>
      <c r="H81" s="245"/>
      <c r="I81" s="246"/>
      <c r="J81" s="257">
        <v>2.4499999999999997</v>
      </c>
      <c r="K81" s="258">
        <v>6.8482274008495776E-3</v>
      </c>
      <c r="L81" s="257">
        <v>1035</v>
      </c>
      <c r="M81" s="325">
        <f t="shared" ref="M81:M85" si="8">L81*J81</f>
        <v>2535.7499999999995</v>
      </c>
      <c r="N81" s="270"/>
      <c r="O81" s="792" t="s">
        <v>461</v>
      </c>
      <c r="P81" s="793"/>
      <c r="R81" s="231"/>
      <c r="S81" s="395"/>
      <c r="T81" s="395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  <c r="AJ81" s="231"/>
    </row>
    <row r="82" spans="1:75" s="135" customFormat="1" ht="50.15" customHeight="1">
      <c r="A82" s="787"/>
      <c r="B82" s="790"/>
      <c r="C82" s="256">
        <v>2</v>
      </c>
      <c r="D82" s="237" t="s">
        <v>340</v>
      </c>
      <c r="E82" s="238"/>
      <c r="F82" s="239"/>
      <c r="G82" s="246" t="s">
        <v>448</v>
      </c>
      <c r="H82" s="245"/>
      <c r="I82" s="246"/>
      <c r="J82" s="257">
        <v>1.17</v>
      </c>
      <c r="K82" s="258">
        <v>7.3244334982035687E-3</v>
      </c>
      <c r="L82" s="257">
        <v>2165</v>
      </c>
      <c r="M82" s="325">
        <f t="shared" si="8"/>
        <v>2533.0499999999997</v>
      </c>
      <c r="N82" s="270"/>
      <c r="O82" s="757" t="s">
        <v>529</v>
      </c>
      <c r="P82" s="758"/>
      <c r="R82" s="231"/>
      <c r="S82" s="395"/>
      <c r="T82" s="40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</row>
    <row r="83" spans="1:75" s="135" customFormat="1" ht="50.15" customHeight="1">
      <c r="A83" s="787"/>
      <c r="B83" s="790"/>
      <c r="C83" s="256">
        <v>3</v>
      </c>
      <c r="D83" s="237" t="s">
        <v>342</v>
      </c>
      <c r="E83" s="238"/>
      <c r="F83" s="239"/>
      <c r="G83" s="246" t="s">
        <v>460</v>
      </c>
      <c r="H83" s="245"/>
      <c r="I83" s="246"/>
      <c r="J83" s="257">
        <v>605.77999999999986</v>
      </c>
      <c r="K83" s="258">
        <v>2.4292168536120796E-3</v>
      </c>
      <c r="L83" s="257">
        <v>2.6399999999999997</v>
      </c>
      <c r="M83" s="325">
        <f t="shared" si="8"/>
        <v>1599.2591999999995</v>
      </c>
      <c r="N83" s="270"/>
      <c r="O83" s="757" t="s">
        <v>597</v>
      </c>
      <c r="P83" s="758"/>
      <c r="R83" s="395"/>
      <c r="S83" s="395"/>
      <c r="T83" s="40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</row>
    <row r="84" spans="1:75" s="135" customFormat="1" ht="50.15" customHeight="1">
      <c r="A84" s="787"/>
      <c r="B84" s="790"/>
      <c r="C84" s="256">
        <v>4</v>
      </c>
      <c r="D84" s="237" t="s">
        <v>568</v>
      </c>
      <c r="E84" s="238"/>
      <c r="F84" s="239"/>
      <c r="G84" s="246" t="s">
        <v>584</v>
      </c>
      <c r="H84" s="245"/>
      <c r="I84" s="246"/>
      <c r="J84" s="269">
        <v>24.59</v>
      </c>
      <c r="K84" s="258">
        <v>3.7828636277662192E-3</v>
      </c>
      <c r="L84" s="257">
        <v>60</v>
      </c>
      <c r="M84" s="325">
        <f t="shared" si="8"/>
        <v>1475.4</v>
      </c>
      <c r="N84" s="270"/>
      <c r="O84" s="757" t="s">
        <v>686</v>
      </c>
      <c r="P84" s="758"/>
      <c r="R84" s="231"/>
      <c r="S84" s="231"/>
      <c r="T84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  <c r="AJ84" s="231"/>
    </row>
    <row r="85" spans="1:75" s="135" customFormat="1" ht="50.15" customHeight="1" thickBot="1">
      <c r="A85" s="787"/>
      <c r="B85" s="790"/>
      <c r="C85" s="262">
        <v>5</v>
      </c>
      <c r="D85" s="244" t="s">
        <v>353</v>
      </c>
      <c r="E85" s="245"/>
      <c r="F85" s="246"/>
      <c r="G85" s="379" t="s">
        <v>484</v>
      </c>
      <c r="H85" s="378"/>
      <c r="I85" s="379"/>
      <c r="J85" s="272">
        <v>370.50999999999993</v>
      </c>
      <c r="K85" s="264">
        <v>6.8702998793055432E-3</v>
      </c>
      <c r="L85" s="273">
        <v>2.9600000000000004</v>
      </c>
      <c r="M85" s="325">
        <f t="shared" si="8"/>
        <v>1096.7095999999999</v>
      </c>
      <c r="N85" s="270"/>
      <c r="O85" s="757" t="s">
        <v>687</v>
      </c>
      <c r="P85" s="758"/>
      <c r="R85" s="231"/>
      <c r="S85" s="231"/>
      <c r="T85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</row>
    <row r="86" spans="1:75" s="135" customFormat="1" ht="15.75" customHeight="1" thickTop="1">
      <c r="A86" s="788"/>
      <c r="B86" s="791"/>
      <c r="C86" s="659"/>
      <c r="D86" s="660"/>
      <c r="E86" s="660"/>
      <c r="F86" s="660"/>
      <c r="G86" s="660"/>
      <c r="H86" s="660"/>
      <c r="I86" s="794"/>
      <c r="J86" s="274" t="s">
        <v>58</v>
      </c>
      <c r="K86" s="212" t="e">
        <f>M86/'生產管理報表 7-1 (週)'!#REF!</f>
        <v>#REF!</v>
      </c>
      <c r="L86" s="274" t="s">
        <v>59</v>
      </c>
      <c r="M86" s="326">
        <f>SUM(M81:M85)</f>
        <v>9240.1687999999995</v>
      </c>
      <c r="N86" s="759"/>
      <c r="O86" s="760"/>
      <c r="P86" s="761"/>
      <c r="R86" s="231"/>
      <c r="S86" s="231"/>
      <c r="T86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  <c r="AJ86" s="231"/>
    </row>
    <row r="87" spans="1:75" s="135" customFormat="1" ht="15.75" customHeight="1">
      <c r="A87" s="805" t="s">
        <v>647</v>
      </c>
      <c r="B87" s="805"/>
      <c r="C87" s="805"/>
      <c r="D87" s="805"/>
      <c r="E87" s="805"/>
      <c r="F87" s="805"/>
      <c r="G87" s="805"/>
      <c r="H87" s="805"/>
      <c r="I87" s="805"/>
      <c r="J87" s="805"/>
      <c r="K87" s="805"/>
      <c r="L87" s="805"/>
      <c r="M87" s="805"/>
      <c r="R87" s="231"/>
      <c r="S87" s="231"/>
      <c r="T87" s="231"/>
      <c r="U87" s="231"/>
    </row>
    <row r="88" spans="1:75" s="136" customFormat="1" ht="15.75" customHeight="1">
      <c r="A88" s="680"/>
      <c r="B88" s="680"/>
      <c r="C88" s="680"/>
      <c r="D88" s="680"/>
      <c r="E88" s="680"/>
      <c r="F88" s="680"/>
      <c r="G88" s="680"/>
      <c r="H88" s="680"/>
      <c r="I88" s="680"/>
      <c r="J88" s="680"/>
      <c r="K88" s="680"/>
      <c r="L88" s="680"/>
      <c r="M88" s="680"/>
    </row>
    <row r="89" spans="1:75" s="135" customFormat="1" ht="15.75" customHeight="1">
      <c r="A89" s="681" t="s">
        <v>191</v>
      </c>
      <c r="B89" s="674">
        <v>1</v>
      </c>
      <c r="C89" s="675"/>
      <c r="D89" s="674">
        <v>2</v>
      </c>
      <c r="E89" s="675"/>
      <c r="F89" s="674">
        <v>3</v>
      </c>
      <c r="G89" s="675"/>
      <c r="H89" s="683">
        <v>4</v>
      </c>
      <c r="I89" s="684"/>
      <c r="J89" s="683">
        <v>5</v>
      </c>
      <c r="K89" s="684"/>
      <c r="L89" s="683">
        <v>6</v>
      </c>
      <c r="M89" s="684"/>
      <c r="N89" s="683">
        <v>7</v>
      </c>
      <c r="O89" s="684"/>
      <c r="P89" s="683">
        <v>8</v>
      </c>
      <c r="Q89" s="684"/>
      <c r="R89" s="231"/>
      <c r="S89" s="231"/>
      <c r="T89" s="231"/>
      <c r="U89" s="231"/>
    </row>
    <row r="90" spans="1:75" s="135" customFormat="1" ht="15.75" customHeight="1">
      <c r="A90" s="682"/>
      <c r="B90" s="676" t="s">
        <v>453</v>
      </c>
      <c r="C90" s="677"/>
      <c r="D90" s="676" t="s">
        <v>212</v>
      </c>
      <c r="E90" s="677"/>
      <c r="F90" s="676" t="s">
        <v>166</v>
      </c>
      <c r="G90" s="677"/>
      <c r="H90" s="678" t="s">
        <v>429</v>
      </c>
      <c r="I90" s="679"/>
      <c r="J90" s="678" t="s">
        <v>189</v>
      </c>
      <c r="K90" s="679"/>
      <c r="L90" s="678" t="s">
        <v>167</v>
      </c>
      <c r="M90" s="679"/>
      <c r="N90" s="678" t="s">
        <v>190</v>
      </c>
      <c r="O90" s="679"/>
      <c r="P90" s="803" t="s">
        <v>217</v>
      </c>
      <c r="Q90" s="804"/>
      <c r="R90" s="231"/>
      <c r="S90" s="231"/>
      <c r="T90" s="231"/>
      <c r="U90" s="231"/>
    </row>
    <row r="91" spans="1:75" s="135" customFormat="1" ht="15.75" customHeight="1">
      <c r="B91" s="232"/>
      <c r="C91" s="233"/>
      <c r="R91" s="231"/>
      <c r="S91" s="231"/>
      <c r="T91" s="231"/>
      <c r="U91" s="231"/>
    </row>
    <row r="92" spans="1:75" s="235" customFormat="1" ht="15.75" customHeight="1">
      <c r="A92" s="683" t="s">
        <v>191</v>
      </c>
      <c r="B92" s="684"/>
      <c r="C92" s="234" t="s">
        <v>47</v>
      </c>
      <c r="D92" s="795" t="s">
        <v>12</v>
      </c>
      <c r="E92" s="672"/>
      <c r="F92" s="785"/>
      <c r="G92" s="659" t="s">
        <v>53</v>
      </c>
      <c r="H92" s="660"/>
      <c r="I92" s="661"/>
      <c r="J92" s="234" t="s">
        <v>54</v>
      </c>
      <c r="K92" s="234" t="s">
        <v>55</v>
      </c>
      <c r="L92" s="234" t="s">
        <v>56</v>
      </c>
      <c r="M92" s="234" t="s">
        <v>11</v>
      </c>
      <c r="N92" s="234" t="s">
        <v>333</v>
      </c>
      <c r="O92" s="799" t="s">
        <v>51</v>
      </c>
      <c r="P92" s="800"/>
    </row>
    <row r="93" spans="1:75" s="135" customFormat="1" ht="50.15" customHeight="1">
      <c r="A93" s="786">
        <v>1</v>
      </c>
      <c r="B93" s="789" t="s">
        <v>454</v>
      </c>
      <c r="C93" s="236">
        <v>1</v>
      </c>
      <c r="D93" s="237" t="s">
        <v>340</v>
      </c>
      <c r="E93" s="238"/>
      <c r="F93" s="238"/>
      <c r="G93" s="358" t="s">
        <v>386</v>
      </c>
      <c r="H93" s="305"/>
      <c r="I93" s="306"/>
      <c r="J93" s="236">
        <v>127.84000000000002</v>
      </c>
      <c r="K93" s="242">
        <v>2.5999323417396896E-3</v>
      </c>
      <c r="L93" s="236">
        <v>9.5299999999999994</v>
      </c>
      <c r="M93" s="322">
        <f>L93*J93</f>
        <v>1218.3152</v>
      </c>
      <c r="N93" s="243"/>
      <c r="O93" s="701" t="s">
        <v>671</v>
      </c>
      <c r="P93" s="702"/>
      <c r="R93" s="231"/>
      <c r="S93" s="393"/>
      <c r="T93" s="261"/>
      <c r="U93" s="231"/>
    </row>
    <row r="94" spans="1:75" s="135" customFormat="1" ht="50.15" customHeight="1">
      <c r="A94" s="787"/>
      <c r="B94" s="790"/>
      <c r="C94" s="236">
        <v>2</v>
      </c>
      <c r="D94" s="237" t="s">
        <v>583</v>
      </c>
      <c r="E94" s="238"/>
      <c r="F94" s="238"/>
      <c r="G94" s="358" t="s">
        <v>697</v>
      </c>
      <c r="H94" s="305"/>
      <c r="I94" s="306"/>
      <c r="J94" s="236">
        <v>127.72000000000001</v>
      </c>
      <c r="K94" s="242">
        <v>1.0151797457255588E-2</v>
      </c>
      <c r="L94" s="236">
        <v>7.4099999999999993</v>
      </c>
      <c r="M94" s="322">
        <f t="shared" ref="M94:M97" si="9">L94*J94</f>
        <v>946.40520000000004</v>
      </c>
      <c r="N94" s="243"/>
      <c r="O94" s="801" t="s">
        <v>720</v>
      </c>
      <c r="P94" s="793"/>
      <c r="R94" s="231"/>
      <c r="S94" s="394"/>
      <c r="T94" s="394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  <c r="BM94" s="231"/>
      <c r="BN94" s="231"/>
      <c r="BO94" s="231"/>
      <c r="BP94" s="231"/>
      <c r="BQ94" s="231"/>
      <c r="BR94" s="231"/>
      <c r="BS94" s="231"/>
      <c r="BT94" s="231"/>
      <c r="BU94" s="231"/>
      <c r="BV94" s="231"/>
      <c r="BW94" s="231"/>
    </row>
    <row r="95" spans="1:75" s="135" customFormat="1" ht="50.15" customHeight="1">
      <c r="A95" s="787"/>
      <c r="B95" s="790"/>
      <c r="C95" s="236">
        <v>3</v>
      </c>
      <c r="D95" s="237" t="s">
        <v>642</v>
      </c>
      <c r="E95" s="238"/>
      <c r="F95" s="238"/>
      <c r="G95" s="358" t="s">
        <v>654</v>
      </c>
      <c r="H95" s="305"/>
      <c r="I95" s="306"/>
      <c r="J95" s="236">
        <v>212.78</v>
      </c>
      <c r="K95" s="242">
        <v>9.7245088354736033E-3</v>
      </c>
      <c r="L95" s="236">
        <v>4.43</v>
      </c>
      <c r="M95" s="322">
        <f t="shared" si="9"/>
        <v>942.61539999999991</v>
      </c>
      <c r="N95" s="243"/>
      <c r="O95" s="802" t="s">
        <v>578</v>
      </c>
      <c r="P95" s="758"/>
      <c r="R95" s="231"/>
      <c r="S95" s="393"/>
      <c r="T95" s="393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1"/>
      <c r="BK95" s="231"/>
      <c r="BL95" s="231"/>
      <c r="BM95" s="231"/>
      <c r="BN95" s="231"/>
      <c r="BO95" s="231"/>
      <c r="BP95" s="231"/>
      <c r="BQ95" s="231"/>
      <c r="BR95" s="231"/>
      <c r="BS95" s="231"/>
      <c r="BT95" s="231"/>
      <c r="BU95" s="231"/>
      <c r="BV95" s="231"/>
      <c r="BW95" s="231"/>
    </row>
    <row r="96" spans="1:75" s="135" customFormat="1" ht="50.15" customHeight="1">
      <c r="A96" s="787"/>
      <c r="B96" s="790"/>
      <c r="C96" s="236">
        <v>4</v>
      </c>
      <c r="D96" s="237" t="s">
        <v>674</v>
      </c>
      <c r="E96" s="238"/>
      <c r="F96" s="238"/>
      <c r="G96" s="358" t="s">
        <v>699</v>
      </c>
      <c r="H96" s="305"/>
      <c r="I96" s="306"/>
      <c r="J96" s="236">
        <v>108.96000000000001</v>
      </c>
      <c r="K96" s="242">
        <v>1.4125126995051291E-2</v>
      </c>
      <c r="L96" s="236">
        <v>8.620000000000001</v>
      </c>
      <c r="M96" s="322">
        <f t="shared" si="9"/>
        <v>939.23520000000019</v>
      </c>
      <c r="N96" s="243"/>
      <c r="O96" s="802" t="s">
        <v>721</v>
      </c>
      <c r="P96" s="758"/>
      <c r="R96" s="231"/>
      <c r="S96" s="394"/>
      <c r="T96" s="394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/>
      <c r="BJ96" s="231"/>
      <c r="BK96" s="231"/>
      <c r="BL96" s="231"/>
      <c r="BM96" s="231"/>
      <c r="BN96" s="231"/>
      <c r="BO96" s="231"/>
      <c r="BP96" s="231"/>
      <c r="BQ96" s="231"/>
      <c r="BR96" s="231"/>
      <c r="BS96" s="231"/>
      <c r="BT96" s="231"/>
      <c r="BU96" s="231"/>
      <c r="BV96" s="231"/>
      <c r="BW96" s="231"/>
    </row>
    <row r="97" spans="1:75" s="135" customFormat="1" ht="50.15" customHeight="1" thickBot="1">
      <c r="A97" s="787"/>
      <c r="B97" s="790"/>
      <c r="C97" s="236">
        <v>5</v>
      </c>
      <c r="D97" s="244" t="s">
        <v>353</v>
      </c>
      <c r="E97" s="245"/>
      <c r="F97" s="245"/>
      <c r="G97" s="358" t="s">
        <v>484</v>
      </c>
      <c r="H97" s="305"/>
      <c r="I97" s="306"/>
      <c r="J97" s="247">
        <v>370.50999999999993</v>
      </c>
      <c r="K97" s="248">
        <v>6.6313692598028943E-3</v>
      </c>
      <c r="L97" s="247">
        <v>2.5300000000000002</v>
      </c>
      <c r="M97" s="323">
        <f t="shared" si="9"/>
        <v>937.39029999999991</v>
      </c>
      <c r="N97" s="243"/>
      <c r="O97" s="802" t="s">
        <v>687</v>
      </c>
      <c r="P97" s="758"/>
      <c r="R97" s="231"/>
      <c r="S97" s="393"/>
      <c r="T97" s="393"/>
      <c r="U97" s="231"/>
      <c r="V97" s="395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  <c r="BM97" s="231"/>
      <c r="BN97" s="231"/>
      <c r="BO97" s="231"/>
      <c r="BP97" s="231"/>
      <c r="BQ97" s="231"/>
      <c r="BR97" s="231"/>
      <c r="BS97" s="231"/>
      <c r="BT97" s="231"/>
      <c r="BU97" s="231"/>
      <c r="BV97" s="231"/>
      <c r="BW97" s="231"/>
    </row>
    <row r="98" spans="1:75" s="135" customFormat="1" ht="15.75" customHeight="1" thickTop="1">
      <c r="A98" s="788"/>
      <c r="B98" s="791"/>
      <c r="C98" s="659"/>
      <c r="D98" s="660"/>
      <c r="E98" s="660"/>
      <c r="F98" s="660"/>
      <c r="G98" s="660"/>
      <c r="H98" s="660"/>
      <c r="I98" s="794"/>
      <c r="J98" s="249" t="s">
        <v>58</v>
      </c>
      <c r="K98" s="212" t="e">
        <f>M98/'生產管理報表 7-1 (週)'!#REF!</f>
        <v>#REF!</v>
      </c>
      <c r="L98" s="249" t="s">
        <v>59</v>
      </c>
      <c r="M98" s="324">
        <f>SUM(M93:M97)</f>
        <v>4983.9612999999999</v>
      </c>
      <c r="N98" s="747"/>
      <c r="O98" s="748"/>
      <c r="P98" s="749"/>
      <c r="R98" s="231"/>
      <c r="S98" s="210"/>
      <c r="T98" s="210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  <c r="AP98" s="231"/>
      <c r="AQ98" s="231"/>
      <c r="AR98" s="231"/>
      <c r="AS98" s="231"/>
      <c r="AT98" s="231"/>
      <c r="AU98" s="231"/>
      <c r="AV98" s="231"/>
      <c r="AW98" s="231"/>
      <c r="AX98" s="231"/>
      <c r="AY98" s="231"/>
      <c r="AZ98" s="231"/>
      <c r="BA98" s="231"/>
      <c r="BB98" s="231"/>
      <c r="BC98" s="231"/>
      <c r="BD98" s="231"/>
      <c r="BE98" s="231"/>
      <c r="BF98" s="231"/>
      <c r="BG98" s="231"/>
      <c r="BH98" s="231"/>
      <c r="BI98" s="231"/>
      <c r="BJ98" s="231"/>
      <c r="BK98" s="231"/>
      <c r="BL98" s="231"/>
      <c r="BM98" s="231"/>
      <c r="BN98" s="231"/>
      <c r="BO98" s="231"/>
      <c r="BP98" s="231"/>
      <c r="BQ98" s="231"/>
      <c r="BR98" s="231"/>
      <c r="BS98" s="231"/>
      <c r="BT98" s="231"/>
      <c r="BU98" s="231"/>
      <c r="BV98" s="231"/>
      <c r="BW98" s="231"/>
    </row>
    <row r="99" spans="1:75" s="135" customFormat="1" ht="15.75" customHeight="1">
      <c r="B99" s="232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51"/>
      <c r="O99" s="251"/>
      <c r="P99" s="251"/>
      <c r="R99" s="231"/>
      <c r="S99" s="261"/>
      <c r="T99" s="26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/>
      <c r="BJ99" s="231"/>
      <c r="BK99" s="231"/>
      <c r="BL99" s="231"/>
      <c r="BM99" s="231"/>
      <c r="BN99" s="231"/>
      <c r="BO99" s="231"/>
      <c r="BP99" s="231"/>
      <c r="BQ99" s="231"/>
      <c r="BR99" s="231"/>
      <c r="BS99" s="231"/>
      <c r="BT99" s="231"/>
      <c r="BU99" s="231"/>
      <c r="BV99" s="231"/>
      <c r="BW99" s="231"/>
    </row>
    <row r="100" spans="1:75" s="135" customFormat="1" ht="15.75" customHeight="1">
      <c r="A100" s="683" t="s">
        <v>191</v>
      </c>
      <c r="B100" s="684"/>
      <c r="C100" s="252" t="s">
        <v>47</v>
      </c>
      <c r="D100" s="671" t="s">
        <v>12</v>
      </c>
      <c r="E100" s="672"/>
      <c r="F100" s="673"/>
      <c r="G100" s="671" t="s">
        <v>53</v>
      </c>
      <c r="H100" s="672"/>
      <c r="I100" s="673"/>
      <c r="J100" s="254" t="s">
        <v>54</v>
      </c>
      <c r="K100" s="254" t="s">
        <v>55</v>
      </c>
      <c r="L100" s="254" t="s">
        <v>56</v>
      </c>
      <c r="M100" s="254" t="s">
        <v>11</v>
      </c>
      <c r="N100" s="255" t="s">
        <v>333</v>
      </c>
      <c r="O100" s="750" t="s">
        <v>51</v>
      </c>
      <c r="P100" s="751"/>
      <c r="R100" s="231"/>
      <c r="S100" s="210"/>
      <c r="T100" s="210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  <c r="AJ100" s="231"/>
    </row>
    <row r="101" spans="1:75" s="135" customFormat="1" ht="20.149999999999999" customHeight="1">
      <c r="A101" s="786">
        <v>2</v>
      </c>
      <c r="B101" s="789" t="s">
        <v>213</v>
      </c>
      <c r="C101" s="256">
        <v>1</v>
      </c>
      <c r="D101" s="237"/>
      <c r="E101" s="238"/>
      <c r="F101" s="239"/>
      <c r="G101" s="237"/>
      <c r="H101" s="238"/>
      <c r="I101" s="239"/>
      <c r="J101" s="257"/>
      <c r="K101" s="258"/>
      <c r="L101" s="257"/>
      <c r="M101" s="259">
        <f t="shared" ref="M101:M105" si="10">L101*J101</f>
        <v>0</v>
      </c>
      <c r="N101" s="260"/>
      <c r="O101" s="752"/>
      <c r="P101" s="753"/>
      <c r="R101" s="231"/>
      <c r="S101" s="261"/>
      <c r="T101" s="26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  <c r="AJ101" s="231"/>
    </row>
    <row r="102" spans="1:75" s="135" customFormat="1" ht="20.149999999999999" customHeight="1">
      <c r="A102" s="787"/>
      <c r="B102" s="790"/>
      <c r="C102" s="256">
        <v>2</v>
      </c>
      <c r="D102" s="237"/>
      <c r="E102" s="238"/>
      <c r="F102" s="239"/>
      <c r="G102" s="237"/>
      <c r="H102" s="238"/>
      <c r="I102" s="239"/>
      <c r="J102" s="257"/>
      <c r="K102" s="258"/>
      <c r="L102" s="257"/>
      <c r="M102" s="259">
        <f t="shared" si="10"/>
        <v>0</v>
      </c>
      <c r="N102" s="260"/>
      <c r="O102" s="752"/>
      <c r="P102" s="753"/>
      <c r="R102" s="231"/>
      <c r="S102" s="210"/>
      <c r="T102" s="210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  <c r="AJ102" s="231"/>
    </row>
    <row r="103" spans="1:75" s="135" customFormat="1" ht="20.149999999999999" customHeight="1">
      <c r="A103" s="787"/>
      <c r="B103" s="790"/>
      <c r="C103" s="256">
        <v>3</v>
      </c>
      <c r="D103" s="237"/>
      <c r="E103" s="238"/>
      <c r="F103" s="239"/>
      <c r="G103" s="237"/>
      <c r="H103" s="238"/>
      <c r="I103" s="268"/>
      <c r="J103" s="257"/>
      <c r="K103" s="258"/>
      <c r="L103" s="257"/>
      <c r="M103" s="259">
        <f t="shared" si="10"/>
        <v>0</v>
      </c>
      <c r="N103" s="260"/>
      <c r="O103" s="752"/>
      <c r="P103" s="753"/>
      <c r="R103" s="231"/>
      <c r="S103" s="261"/>
      <c r="T103" s="26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  <c r="AH103" s="231"/>
    </row>
    <row r="104" spans="1:75" s="135" customFormat="1" ht="20.149999999999999" customHeight="1">
      <c r="A104" s="787"/>
      <c r="B104" s="790"/>
      <c r="C104" s="256">
        <v>4</v>
      </c>
      <c r="D104" s="237"/>
      <c r="E104" s="238"/>
      <c r="F104" s="239"/>
      <c r="G104" s="237"/>
      <c r="H104" s="238"/>
      <c r="I104" s="239"/>
      <c r="J104" s="257"/>
      <c r="K104" s="258"/>
      <c r="L104" s="257"/>
      <c r="M104" s="259">
        <f t="shared" si="10"/>
        <v>0</v>
      </c>
      <c r="N104" s="260"/>
      <c r="O104" s="752"/>
      <c r="P104" s="753"/>
      <c r="R104" s="231"/>
      <c r="S104" s="210"/>
      <c r="T104" s="210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  <c r="AH104" s="231"/>
    </row>
    <row r="105" spans="1:75" s="135" customFormat="1" ht="20.149999999999999" customHeight="1" thickBot="1">
      <c r="A105" s="787"/>
      <c r="B105" s="790"/>
      <c r="C105" s="262">
        <v>5</v>
      </c>
      <c r="D105" s="244"/>
      <c r="E105" s="245"/>
      <c r="F105" s="246"/>
      <c r="G105" s="237"/>
      <c r="H105" s="238"/>
      <c r="I105" s="239"/>
      <c r="J105" s="263"/>
      <c r="K105" s="264"/>
      <c r="L105" s="263"/>
      <c r="M105" s="265">
        <f t="shared" si="10"/>
        <v>0</v>
      </c>
      <c r="N105" s="266"/>
      <c r="O105" s="752"/>
      <c r="P105" s="753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  <c r="AH105" s="231"/>
    </row>
    <row r="106" spans="1:75" s="135" customFormat="1" ht="15.75" customHeight="1" thickTop="1">
      <c r="A106" s="788"/>
      <c r="B106" s="791"/>
      <c r="C106" s="667"/>
      <c r="D106" s="668"/>
      <c r="E106" s="668"/>
      <c r="F106" s="668"/>
      <c r="G106" s="668"/>
      <c r="H106" s="668"/>
      <c r="I106" s="669"/>
      <c r="J106" s="249" t="s">
        <v>58</v>
      </c>
      <c r="K106" s="212" t="e">
        <f>M106/'生產管理報表 7-1 (週)'!#REF!</f>
        <v>#REF!</v>
      </c>
      <c r="L106" s="249" t="s">
        <v>59</v>
      </c>
      <c r="M106" s="250">
        <f>SUM(M101:M105)</f>
        <v>0</v>
      </c>
      <c r="N106" s="754"/>
      <c r="O106" s="755"/>
      <c r="P106" s="756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  <c r="AH106" s="231"/>
    </row>
    <row r="107" spans="1:75" s="135" customFormat="1" ht="15.75" customHeight="1">
      <c r="B107" s="232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67"/>
      <c r="O107" s="267"/>
      <c r="P107" s="267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  <c r="AH107" s="231"/>
    </row>
    <row r="108" spans="1:75" s="135" customFormat="1" ht="15.75" customHeight="1">
      <c r="A108" s="683" t="s">
        <v>191</v>
      </c>
      <c r="B108" s="684"/>
      <c r="C108" s="252" t="s">
        <v>47</v>
      </c>
      <c r="D108" s="671" t="s">
        <v>12</v>
      </c>
      <c r="E108" s="672"/>
      <c r="F108" s="673"/>
      <c r="G108" s="671" t="s">
        <v>53</v>
      </c>
      <c r="H108" s="672"/>
      <c r="I108" s="785"/>
      <c r="J108" s="253" t="s">
        <v>54</v>
      </c>
      <c r="K108" s="254" t="s">
        <v>55</v>
      </c>
      <c r="L108" s="254" t="s">
        <v>56</v>
      </c>
      <c r="M108" s="254" t="s">
        <v>11</v>
      </c>
      <c r="N108" s="255" t="s">
        <v>333</v>
      </c>
      <c r="O108" s="762" t="s">
        <v>51</v>
      </c>
      <c r="P108" s="763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  <c r="AJ108" s="231"/>
    </row>
    <row r="109" spans="1:75" s="135" customFormat="1" ht="50.15" customHeight="1">
      <c r="A109" s="786">
        <v>3</v>
      </c>
      <c r="B109" s="789" t="s">
        <v>423</v>
      </c>
      <c r="C109" s="256">
        <v>1</v>
      </c>
      <c r="D109" s="237" t="s">
        <v>340</v>
      </c>
      <c r="E109" s="238"/>
      <c r="F109" s="239"/>
      <c r="G109" s="246" t="s">
        <v>448</v>
      </c>
      <c r="H109" s="245"/>
      <c r="I109" s="246"/>
      <c r="J109" s="257">
        <v>1.17</v>
      </c>
      <c r="K109" s="258">
        <v>6.4782942269741564E-3</v>
      </c>
      <c r="L109" s="257">
        <v>1579</v>
      </c>
      <c r="M109" s="325">
        <f t="shared" ref="M109:M113" si="11">L109*J109</f>
        <v>1847.4299999999998</v>
      </c>
      <c r="N109" s="270"/>
      <c r="O109" s="792" t="s">
        <v>529</v>
      </c>
      <c r="P109" s="793"/>
      <c r="R109" s="231"/>
      <c r="S109" s="395"/>
      <c r="T109" s="395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</row>
    <row r="110" spans="1:75" s="135" customFormat="1" ht="50.15" customHeight="1">
      <c r="A110" s="787"/>
      <c r="B110" s="790"/>
      <c r="C110" s="256">
        <v>2</v>
      </c>
      <c r="D110" s="237" t="s">
        <v>340</v>
      </c>
      <c r="E110" s="238"/>
      <c r="F110" s="239"/>
      <c r="G110" s="246" t="s">
        <v>449</v>
      </c>
      <c r="H110" s="245"/>
      <c r="I110" s="246"/>
      <c r="J110" s="257">
        <v>2.4499999999999997</v>
      </c>
      <c r="K110" s="258">
        <v>5.9628885436071814E-3</v>
      </c>
      <c r="L110" s="257">
        <v>733</v>
      </c>
      <c r="M110" s="325">
        <f t="shared" si="11"/>
        <v>1795.85</v>
      </c>
      <c r="N110" s="270"/>
      <c r="O110" s="757" t="s">
        <v>461</v>
      </c>
      <c r="P110" s="758"/>
      <c r="R110" s="231"/>
      <c r="S110" s="395"/>
      <c r="T110" s="40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</row>
    <row r="111" spans="1:75" s="135" customFormat="1" ht="50.15" customHeight="1">
      <c r="A111" s="787"/>
      <c r="B111" s="790"/>
      <c r="C111" s="256">
        <v>3</v>
      </c>
      <c r="D111" s="237" t="s">
        <v>464</v>
      </c>
      <c r="E111" s="238"/>
      <c r="F111" s="239"/>
      <c r="G111" s="246" t="s">
        <v>462</v>
      </c>
      <c r="H111" s="245"/>
      <c r="I111" s="246"/>
      <c r="J111" s="257">
        <v>407.74000000000007</v>
      </c>
      <c r="K111" s="258">
        <v>2.9414506323083137E-3</v>
      </c>
      <c r="L111" s="257">
        <v>2.84</v>
      </c>
      <c r="M111" s="325">
        <f t="shared" si="11"/>
        <v>1157.9816000000001</v>
      </c>
      <c r="N111" s="270"/>
      <c r="O111" s="757" t="s">
        <v>597</v>
      </c>
      <c r="P111" s="758"/>
      <c r="R111" s="395"/>
      <c r="S111" s="395"/>
      <c r="T111" s="40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  <c r="AJ111" s="231"/>
    </row>
    <row r="112" spans="1:75" s="135" customFormat="1" ht="50.15" customHeight="1">
      <c r="A112" s="787"/>
      <c r="B112" s="790"/>
      <c r="C112" s="256">
        <v>4</v>
      </c>
      <c r="D112" s="237" t="s">
        <v>340</v>
      </c>
      <c r="E112" s="238"/>
      <c r="F112" s="239"/>
      <c r="G112" s="381" t="s">
        <v>660</v>
      </c>
      <c r="H112" s="360"/>
      <c r="I112" s="381"/>
      <c r="J112" s="269">
        <v>3.2199999999999998</v>
      </c>
      <c r="K112" s="258">
        <v>1.8418302411969828E-3</v>
      </c>
      <c r="L112" s="257">
        <v>356</v>
      </c>
      <c r="M112" s="325">
        <f t="shared" si="11"/>
        <v>1146.32</v>
      </c>
      <c r="N112" s="270"/>
      <c r="O112" s="757" t="s">
        <v>722</v>
      </c>
      <c r="P112" s="758"/>
      <c r="R112" s="231"/>
      <c r="S112" s="231"/>
      <c r="T112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</row>
    <row r="113" spans="1:75" s="135" customFormat="1" ht="50.15" customHeight="1" thickBot="1">
      <c r="A113" s="787"/>
      <c r="B113" s="790"/>
      <c r="C113" s="262">
        <v>5</v>
      </c>
      <c r="D113" s="244" t="s">
        <v>673</v>
      </c>
      <c r="E113" s="245"/>
      <c r="F113" s="246"/>
      <c r="G113" s="379" t="s">
        <v>696</v>
      </c>
      <c r="H113" s="378"/>
      <c r="I113" s="379"/>
      <c r="J113" s="272">
        <v>4.63</v>
      </c>
      <c r="K113" s="264">
        <v>2.0180250783699062E-3</v>
      </c>
      <c r="L113" s="273">
        <v>206</v>
      </c>
      <c r="M113" s="325">
        <f t="shared" si="11"/>
        <v>953.78</v>
      </c>
      <c r="N113" s="270"/>
      <c r="O113" s="757" t="s">
        <v>722</v>
      </c>
      <c r="P113" s="758"/>
      <c r="R113" s="231"/>
      <c r="S113" s="231"/>
      <c r="T113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  <c r="AJ113" s="231"/>
    </row>
    <row r="114" spans="1:75" s="135" customFormat="1" ht="15.75" customHeight="1" thickTop="1">
      <c r="A114" s="788"/>
      <c r="B114" s="791"/>
      <c r="C114" s="659"/>
      <c r="D114" s="660"/>
      <c r="E114" s="660"/>
      <c r="F114" s="660"/>
      <c r="G114" s="660"/>
      <c r="H114" s="660"/>
      <c r="I114" s="794"/>
      <c r="J114" s="274" t="s">
        <v>58</v>
      </c>
      <c r="K114" s="212" t="e">
        <f>M114/'生產管理報表 7-1 (週)'!#REF!</f>
        <v>#REF!</v>
      </c>
      <c r="L114" s="274" t="s">
        <v>59</v>
      </c>
      <c r="M114" s="326">
        <f>SUM(M109:M113)</f>
        <v>6901.3615999999993</v>
      </c>
      <c r="N114" s="759"/>
      <c r="O114" s="760"/>
      <c r="P114" s="761"/>
      <c r="R114" s="231"/>
      <c r="S114" s="231"/>
      <c r="T114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  <c r="AJ114" s="231"/>
    </row>
    <row r="115" spans="1:75" s="135" customFormat="1" ht="15.75" customHeight="1">
      <c r="A115" s="805" t="s">
        <v>646</v>
      </c>
      <c r="B115" s="805"/>
      <c r="C115" s="805"/>
      <c r="D115" s="805"/>
      <c r="E115" s="805"/>
      <c r="F115" s="805"/>
      <c r="G115" s="805"/>
      <c r="H115" s="805"/>
      <c r="I115" s="805"/>
      <c r="J115" s="805"/>
      <c r="K115" s="805"/>
      <c r="L115" s="805"/>
      <c r="M115" s="805"/>
      <c r="R115" s="231"/>
      <c r="S115" s="231"/>
      <c r="T115" s="231"/>
      <c r="U115" s="231"/>
    </row>
    <row r="116" spans="1:75" s="136" customFormat="1" ht="15.75" customHeight="1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</row>
    <row r="117" spans="1:75" s="135" customFormat="1" ht="15.75" customHeight="1">
      <c r="A117" s="681" t="s">
        <v>191</v>
      </c>
      <c r="B117" s="674">
        <v>1</v>
      </c>
      <c r="C117" s="675"/>
      <c r="D117" s="674">
        <v>2</v>
      </c>
      <c r="E117" s="675"/>
      <c r="F117" s="674">
        <v>3</v>
      </c>
      <c r="G117" s="675"/>
      <c r="H117" s="683">
        <v>4</v>
      </c>
      <c r="I117" s="684"/>
      <c r="J117" s="683">
        <v>5</v>
      </c>
      <c r="K117" s="684"/>
      <c r="L117" s="683">
        <v>6</v>
      </c>
      <c r="M117" s="684"/>
      <c r="N117" s="683">
        <v>7</v>
      </c>
      <c r="O117" s="684"/>
      <c r="P117" s="683">
        <v>8</v>
      </c>
      <c r="Q117" s="684"/>
      <c r="R117" s="231"/>
      <c r="S117" s="231"/>
      <c r="T117" s="231"/>
      <c r="U117" s="231"/>
    </row>
    <row r="118" spans="1:75" s="135" customFormat="1" ht="15.75" customHeight="1">
      <c r="A118" s="682"/>
      <c r="B118" s="676" t="s">
        <v>453</v>
      </c>
      <c r="C118" s="677"/>
      <c r="D118" s="676" t="s">
        <v>212</v>
      </c>
      <c r="E118" s="677"/>
      <c r="F118" s="676" t="s">
        <v>166</v>
      </c>
      <c r="G118" s="677"/>
      <c r="H118" s="678" t="s">
        <v>429</v>
      </c>
      <c r="I118" s="679"/>
      <c r="J118" s="678" t="s">
        <v>189</v>
      </c>
      <c r="K118" s="679"/>
      <c r="L118" s="678" t="s">
        <v>167</v>
      </c>
      <c r="M118" s="679"/>
      <c r="N118" s="678" t="s">
        <v>190</v>
      </c>
      <c r="O118" s="679"/>
      <c r="P118" s="803" t="s">
        <v>217</v>
      </c>
      <c r="Q118" s="804"/>
      <c r="R118" s="231"/>
      <c r="S118" s="231"/>
      <c r="T118" s="231"/>
      <c r="U118" s="231"/>
    </row>
    <row r="119" spans="1:75" s="135" customFormat="1" ht="15.75" customHeight="1">
      <c r="B119" s="232"/>
      <c r="C119" s="233"/>
      <c r="R119" s="231"/>
      <c r="S119" s="231"/>
      <c r="T119" s="231"/>
      <c r="U119" s="231"/>
    </row>
    <row r="120" spans="1:75" s="235" customFormat="1" ht="15.75" customHeight="1">
      <c r="A120" s="683" t="s">
        <v>191</v>
      </c>
      <c r="B120" s="684"/>
      <c r="C120" s="234" t="s">
        <v>47</v>
      </c>
      <c r="D120" s="795" t="s">
        <v>12</v>
      </c>
      <c r="E120" s="672"/>
      <c r="F120" s="785"/>
      <c r="G120" s="796" t="s">
        <v>53</v>
      </c>
      <c r="H120" s="797"/>
      <c r="I120" s="798"/>
      <c r="J120" s="234" t="s">
        <v>54</v>
      </c>
      <c r="K120" s="234" t="s">
        <v>55</v>
      </c>
      <c r="L120" s="234" t="s">
        <v>56</v>
      </c>
      <c r="M120" s="234" t="s">
        <v>11</v>
      </c>
      <c r="N120" s="234" t="s">
        <v>333</v>
      </c>
      <c r="O120" s="799" t="s">
        <v>51</v>
      </c>
      <c r="P120" s="800"/>
    </row>
    <row r="121" spans="1:75" s="135" customFormat="1" ht="50.15" customHeight="1">
      <c r="A121" s="786">
        <v>1</v>
      </c>
      <c r="B121" s="789" t="s">
        <v>454</v>
      </c>
      <c r="C121" s="236">
        <v>1</v>
      </c>
      <c r="D121" s="237" t="s">
        <v>621</v>
      </c>
      <c r="E121" s="238"/>
      <c r="F121" s="238"/>
      <c r="G121" s="358" t="s">
        <v>653</v>
      </c>
      <c r="H121" s="305"/>
      <c r="I121" s="306"/>
      <c r="J121" s="236">
        <v>144.79999999999998</v>
      </c>
      <c r="K121" s="242">
        <v>3.1903366195932146E-3</v>
      </c>
      <c r="L121" s="236">
        <v>8.98</v>
      </c>
      <c r="M121" s="322">
        <f>L121*J121</f>
        <v>1300.3039999999999</v>
      </c>
      <c r="N121" s="243"/>
      <c r="O121" s="701" t="s">
        <v>721</v>
      </c>
      <c r="P121" s="702"/>
      <c r="R121" s="231"/>
      <c r="S121" s="393"/>
      <c r="T121" s="261"/>
      <c r="U121" s="231"/>
    </row>
    <row r="122" spans="1:75" s="135" customFormat="1" ht="50.15" customHeight="1">
      <c r="A122" s="787"/>
      <c r="B122" s="790"/>
      <c r="C122" s="236">
        <v>2</v>
      </c>
      <c r="D122" s="237" t="s">
        <v>340</v>
      </c>
      <c r="E122" s="238"/>
      <c r="F122" s="238"/>
      <c r="G122" s="358" t="s">
        <v>386</v>
      </c>
      <c r="H122" s="305"/>
      <c r="I122" s="306"/>
      <c r="J122" s="236">
        <v>127.84000000000002</v>
      </c>
      <c r="K122" s="242">
        <v>2.2888779118390742E-3</v>
      </c>
      <c r="L122" s="236">
        <v>9.36</v>
      </c>
      <c r="M122" s="322">
        <f t="shared" ref="M122:M125" si="12">L122*J122</f>
        <v>1196.5824</v>
      </c>
      <c r="N122" s="243"/>
      <c r="O122" s="801" t="s">
        <v>671</v>
      </c>
      <c r="P122" s="793"/>
      <c r="R122" s="231"/>
      <c r="S122" s="394"/>
      <c r="T122" s="394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31"/>
      <c r="AT122" s="231"/>
      <c r="AU122" s="231"/>
      <c r="AV122" s="231"/>
      <c r="AW122" s="231"/>
      <c r="AX122" s="231"/>
      <c r="AY122" s="231"/>
      <c r="AZ122" s="231"/>
      <c r="BA122" s="231"/>
      <c r="BB122" s="231"/>
      <c r="BC122" s="231"/>
      <c r="BD122" s="231"/>
      <c r="BE122" s="231"/>
      <c r="BF122" s="231"/>
      <c r="BG122" s="231"/>
      <c r="BH122" s="231"/>
      <c r="BI122" s="231"/>
      <c r="BJ122" s="231"/>
      <c r="BK122" s="231"/>
      <c r="BL122" s="231"/>
      <c r="BM122" s="231"/>
      <c r="BN122" s="231"/>
      <c r="BO122" s="231"/>
      <c r="BP122" s="231"/>
      <c r="BQ122" s="231"/>
      <c r="BR122" s="231"/>
      <c r="BS122" s="231"/>
      <c r="BT122" s="231"/>
      <c r="BU122" s="231"/>
      <c r="BV122" s="231"/>
      <c r="BW122" s="231"/>
    </row>
    <row r="123" spans="1:75" s="135" customFormat="1" ht="50.15" customHeight="1">
      <c r="A123" s="787"/>
      <c r="B123" s="790"/>
      <c r="C123" s="236">
        <v>3</v>
      </c>
      <c r="D123" s="237" t="s">
        <v>642</v>
      </c>
      <c r="E123" s="238"/>
      <c r="F123" s="238"/>
      <c r="G123" s="358" t="s">
        <v>547</v>
      </c>
      <c r="H123" s="305"/>
      <c r="I123" s="306"/>
      <c r="J123" s="236">
        <v>66.13</v>
      </c>
      <c r="K123" s="242">
        <v>8.0889892388478629E-3</v>
      </c>
      <c r="L123" s="236">
        <v>15.62</v>
      </c>
      <c r="M123" s="322">
        <f t="shared" si="12"/>
        <v>1032.9505999999999</v>
      </c>
      <c r="N123" s="243"/>
      <c r="O123" s="802" t="s">
        <v>633</v>
      </c>
      <c r="P123" s="758"/>
      <c r="R123" s="231"/>
      <c r="S123" s="393"/>
      <c r="T123" s="393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  <c r="BA123" s="231"/>
      <c r="BB123" s="231"/>
      <c r="BC123" s="231"/>
      <c r="BD123" s="231"/>
      <c r="BE123" s="231"/>
      <c r="BF123" s="231"/>
      <c r="BG123" s="231"/>
      <c r="BH123" s="231"/>
      <c r="BI123" s="231"/>
      <c r="BJ123" s="231"/>
      <c r="BK123" s="231"/>
      <c r="BL123" s="231"/>
      <c r="BM123" s="231"/>
      <c r="BN123" s="231"/>
      <c r="BO123" s="231"/>
      <c r="BP123" s="231"/>
      <c r="BQ123" s="231"/>
      <c r="BR123" s="231"/>
      <c r="BS123" s="231"/>
      <c r="BT123" s="231"/>
      <c r="BU123" s="231"/>
      <c r="BV123" s="231"/>
      <c r="BW123" s="231"/>
    </row>
    <row r="124" spans="1:75" s="135" customFormat="1" ht="50.15" customHeight="1">
      <c r="A124" s="787"/>
      <c r="B124" s="790"/>
      <c r="C124" s="236">
        <v>4</v>
      </c>
      <c r="D124" s="237" t="s">
        <v>350</v>
      </c>
      <c r="E124" s="238"/>
      <c r="F124" s="238"/>
      <c r="G124" s="358" t="s">
        <v>463</v>
      </c>
      <c r="H124" s="305"/>
      <c r="I124" s="306"/>
      <c r="J124" s="236">
        <v>160.49</v>
      </c>
      <c r="K124" s="242">
        <v>9.6866182838692156E-3</v>
      </c>
      <c r="L124" s="236">
        <v>6.42</v>
      </c>
      <c r="M124" s="322">
        <f t="shared" si="12"/>
        <v>1030.3458000000001</v>
      </c>
      <c r="N124" s="243"/>
      <c r="O124" s="802" t="s">
        <v>671</v>
      </c>
      <c r="P124" s="758"/>
      <c r="R124" s="231"/>
      <c r="S124" s="394"/>
      <c r="T124" s="394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31"/>
      <c r="AT124" s="231"/>
      <c r="AU124" s="231"/>
      <c r="AV124" s="231"/>
      <c r="AW124" s="231"/>
      <c r="AX124" s="231"/>
      <c r="AY124" s="231"/>
      <c r="AZ124" s="231"/>
      <c r="BA124" s="231"/>
      <c r="BB124" s="231"/>
      <c r="BC124" s="231"/>
      <c r="BD124" s="231"/>
      <c r="BE124" s="231"/>
      <c r="BF124" s="231"/>
      <c r="BG124" s="231"/>
      <c r="BH124" s="231"/>
      <c r="BI124" s="231"/>
      <c r="BJ124" s="231"/>
      <c r="BK124" s="231"/>
      <c r="BL124" s="231"/>
      <c r="BM124" s="231"/>
      <c r="BN124" s="231"/>
      <c r="BO124" s="231"/>
      <c r="BP124" s="231"/>
      <c r="BQ124" s="231"/>
      <c r="BR124" s="231"/>
      <c r="BS124" s="231"/>
      <c r="BT124" s="231"/>
      <c r="BU124" s="231"/>
      <c r="BV124" s="231"/>
      <c r="BW124" s="231"/>
    </row>
    <row r="125" spans="1:75" s="135" customFormat="1" ht="50.15" customHeight="1" thickBot="1">
      <c r="A125" s="787"/>
      <c r="B125" s="790"/>
      <c r="C125" s="236">
        <v>5</v>
      </c>
      <c r="D125" s="244" t="s">
        <v>353</v>
      </c>
      <c r="E125" s="245"/>
      <c r="F125" s="245"/>
      <c r="G125" s="469" t="s">
        <v>700</v>
      </c>
      <c r="H125" s="305"/>
      <c r="I125" s="306"/>
      <c r="J125" s="247">
        <v>99.51</v>
      </c>
      <c r="K125" s="248">
        <v>8.6726998491704378E-3</v>
      </c>
      <c r="L125" s="247">
        <v>10.35</v>
      </c>
      <c r="M125" s="323">
        <f t="shared" si="12"/>
        <v>1029.9285</v>
      </c>
      <c r="N125" s="243"/>
      <c r="O125" s="802" t="s">
        <v>633</v>
      </c>
      <c r="P125" s="758"/>
      <c r="R125" s="231"/>
      <c r="S125" s="393"/>
      <c r="T125" s="393"/>
      <c r="U125" s="231"/>
      <c r="V125" s="395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1"/>
      <c r="AX125" s="231"/>
      <c r="AY125" s="231"/>
      <c r="AZ125" s="231"/>
      <c r="BA125" s="231"/>
      <c r="BB125" s="231"/>
      <c r="BC125" s="231"/>
      <c r="BD125" s="231"/>
      <c r="BE125" s="231"/>
      <c r="BF125" s="231"/>
      <c r="BG125" s="231"/>
      <c r="BH125" s="231"/>
      <c r="BI125" s="231"/>
      <c r="BJ125" s="231"/>
      <c r="BK125" s="231"/>
      <c r="BL125" s="231"/>
      <c r="BM125" s="231"/>
      <c r="BN125" s="231"/>
      <c r="BO125" s="231"/>
      <c r="BP125" s="231"/>
      <c r="BQ125" s="231"/>
      <c r="BR125" s="231"/>
      <c r="BS125" s="231"/>
      <c r="BT125" s="231"/>
      <c r="BU125" s="231"/>
      <c r="BV125" s="231"/>
      <c r="BW125" s="231"/>
    </row>
    <row r="126" spans="1:75" s="135" customFormat="1" ht="15.75" customHeight="1" thickTop="1">
      <c r="A126" s="788"/>
      <c r="B126" s="791"/>
      <c r="C126" s="659"/>
      <c r="D126" s="660"/>
      <c r="E126" s="660"/>
      <c r="F126" s="660"/>
      <c r="G126" s="660"/>
      <c r="H126" s="660"/>
      <c r="I126" s="794"/>
      <c r="J126" s="249" t="s">
        <v>58</v>
      </c>
      <c r="K126" s="212" t="e">
        <f>M126/'生產管理報表 7-1 (週)'!#REF!</f>
        <v>#REF!</v>
      </c>
      <c r="L126" s="249" t="s">
        <v>59</v>
      </c>
      <c r="M126" s="324">
        <f>SUM(M121:M125)</f>
        <v>5590.1112999999996</v>
      </c>
      <c r="N126" s="747"/>
      <c r="O126" s="748"/>
      <c r="P126" s="749"/>
      <c r="R126" s="231"/>
      <c r="S126" s="210"/>
      <c r="T126" s="210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31"/>
      <c r="AT126" s="231"/>
      <c r="AU126" s="231"/>
      <c r="AV126" s="231"/>
      <c r="AW126" s="231"/>
      <c r="AX126" s="231"/>
      <c r="AY126" s="231"/>
      <c r="AZ126" s="231"/>
      <c r="BA126" s="231"/>
      <c r="BB126" s="231"/>
      <c r="BC126" s="231"/>
      <c r="BD126" s="231"/>
      <c r="BE126" s="231"/>
      <c r="BF126" s="231"/>
      <c r="BG126" s="231"/>
      <c r="BH126" s="231"/>
      <c r="BI126" s="231"/>
      <c r="BJ126" s="231"/>
      <c r="BK126" s="231"/>
      <c r="BL126" s="231"/>
      <c r="BM126" s="231"/>
      <c r="BN126" s="231"/>
      <c r="BO126" s="231"/>
      <c r="BP126" s="231"/>
      <c r="BQ126" s="231"/>
      <c r="BR126" s="231"/>
      <c r="BS126" s="231"/>
      <c r="BT126" s="231"/>
      <c r="BU126" s="231"/>
      <c r="BV126" s="231"/>
      <c r="BW126" s="231"/>
    </row>
    <row r="127" spans="1:75" s="135" customFormat="1" ht="15.75" customHeight="1">
      <c r="B127" s="232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51"/>
      <c r="O127" s="251"/>
      <c r="P127" s="251"/>
      <c r="R127" s="231"/>
      <c r="S127" s="261"/>
      <c r="T127" s="26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31"/>
      <c r="AT127" s="231"/>
      <c r="AU127" s="231"/>
      <c r="AV127" s="231"/>
      <c r="AW127" s="231"/>
      <c r="AX127" s="231"/>
      <c r="AY127" s="231"/>
      <c r="AZ127" s="231"/>
      <c r="BA127" s="231"/>
      <c r="BB127" s="231"/>
      <c r="BC127" s="231"/>
      <c r="BD127" s="231"/>
      <c r="BE127" s="231"/>
      <c r="BF127" s="231"/>
      <c r="BG127" s="231"/>
      <c r="BH127" s="231"/>
      <c r="BI127" s="231"/>
      <c r="BJ127" s="231"/>
      <c r="BK127" s="231"/>
      <c r="BL127" s="231"/>
      <c r="BM127" s="231"/>
      <c r="BN127" s="231"/>
      <c r="BO127" s="231"/>
      <c r="BP127" s="231"/>
      <c r="BQ127" s="231"/>
      <c r="BR127" s="231"/>
      <c r="BS127" s="231"/>
      <c r="BT127" s="231"/>
      <c r="BU127" s="231"/>
      <c r="BV127" s="231"/>
      <c r="BW127" s="231"/>
    </row>
    <row r="128" spans="1:75" s="135" customFormat="1" ht="15.75" customHeight="1">
      <c r="A128" s="683" t="s">
        <v>191</v>
      </c>
      <c r="B128" s="684"/>
      <c r="C128" s="252" t="s">
        <v>47</v>
      </c>
      <c r="D128" s="671" t="s">
        <v>12</v>
      </c>
      <c r="E128" s="672"/>
      <c r="F128" s="673"/>
      <c r="G128" s="671" t="s">
        <v>53</v>
      </c>
      <c r="H128" s="672"/>
      <c r="I128" s="673"/>
      <c r="J128" s="254" t="s">
        <v>54</v>
      </c>
      <c r="K128" s="254" t="s">
        <v>55</v>
      </c>
      <c r="L128" s="254" t="s">
        <v>56</v>
      </c>
      <c r="M128" s="254" t="s">
        <v>11</v>
      </c>
      <c r="N128" s="255" t="s">
        <v>333</v>
      </c>
      <c r="O128" s="750" t="s">
        <v>51</v>
      </c>
      <c r="P128" s="751"/>
      <c r="R128" s="231"/>
      <c r="S128" s="210"/>
      <c r="T128" s="210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  <c r="AJ128" s="231"/>
    </row>
    <row r="129" spans="1:36" s="135" customFormat="1" ht="20.149999999999999" customHeight="1">
      <c r="A129" s="786">
        <v>2</v>
      </c>
      <c r="B129" s="789" t="s">
        <v>213</v>
      </c>
      <c r="C129" s="256">
        <v>1</v>
      </c>
      <c r="D129" s="237"/>
      <c r="E129" s="238"/>
      <c r="F129" s="239"/>
      <c r="G129" s="237"/>
      <c r="H129" s="238"/>
      <c r="I129" s="239"/>
      <c r="J129" s="257"/>
      <c r="K129" s="258"/>
      <c r="L129" s="257"/>
      <c r="M129" s="259">
        <f t="shared" ref="M129:M133" si="13">L129*J129</f>
        <v>0</v>
      </c>
      <c r="N129" s="260"/>
      <c r="O129" s="752"/>
      <c r="P129" s="753"/>
      <c r="R129" s="231"/>
      <c r="S129" s="261"/>
      <c r="T129" s="26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  <c r="AJ129" s="231"/>
    </row>
    <row r="130" spans="1:36" s="135" customFormat="1" ht="20.149999999999999" customHeight="1">
      <c r="A130" s="787"/>
      <c r="B130" s="790"/>
      <c r="C130" s="256">
        <v>2</v>
      </c>
      <c r="D130" s="237"/>
      <c r="E130" s="238"/>
      <c r="F130" s="239"/>
      <c r="G130" s="237"/>
      <c r="H130" s="238"/>
      <c r="I130" s="239"/>
      <c r="J130" s="257"/>
      <c r="K130" s="258"/>
      <c r="L130" s="257"/>
      <c r="M130" s="259">
        <f t="shared" si="13"/>
        <v>0</v>
      </c>
      <c r="N130" s="260"/>
      <c r="O130" s="752"/>
      <c r="P130" s="753"/>
      <c r="R130" s="231"/>
      <c r="S130" s="210"/>
      <c r="T130" s="210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  <c r="AJ130" s="231"/>
    </row>
    <row r="131" spans="1:36" s="135" customFormat="1" ht="20.149999999999999" customHeight="1">
      <c r="A131" s="787"/>
      <c r="B131" s="790"/>
      <c r="C131" s="256">
        <v>3</v>
      </c>
      <c r="D131" s="237"/>
      <c r="E131" s="238"/>
      <c r="F131" s="239"/>
      <c r="G131" s="237"/>
      <c r="H131" s="238"/>
      <c r="I131" s="268"/>
      <c r="J131" s="257"/>
      <c r="K131" s="258"/>
      <c r="L131" s="257"/>
      <c r="M131" s="259">
        <f t="shared" si="13"/>
        <v>0</v>
      </c>
      <c r="N131" s="260"/>
      <c r="O131" s="752"/>
      <c r="P131" s="753"/>
      <c r="R131" s="231"/>
      <c r="S131" s="261"/>
      <c r="T131" s="26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</row>
    <row r="132" spans="1:36" s="135" customFormat="1" ht="20.149999999999999" customHeight="1">
      <c r="A132" s="787"/>
      <c r="B132" s="790"/>
      <c r="C132" s="256">
        <v>4</v>
      </c>
      <c r="D132" s="237"/>
      <c r="E132" s="238"/>
      <c r="F132" s="239"/>
      <c r="G132" s="237"/>
      <c r="H132" s="238"/>
      <c r="I132" s="239"/>
      <c r="J132" s="257"/>
      <c r="K132" s="258"/>
      <c r="L132" s="257"/>
      <c r="M132" s="259">
        <f t="shared" si="13"/>
        <v>0</v>
      </c>
      <c r="N132" s="260"/>
      <c r="O132" s="752"/>
      <c r="P132" s="753"/>
      <c r="R132" s="231"/>
      <c r="S132" s="210"/>
      <c r="T132" s="210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</row>
    <row r="133" spans="1:36" s="135" customFormat="1" ht="20.149999999999999" customHeight="1" thickBot="1">
      <c r="A133" s="787"/>
      <c r="B133" s="790"/>
      <c r="C133" s="262">
        <v>5</v>
      </c>
      <c r="D133" s="244"/>
      <c r="E133" s="245"/>
      <c r="F133" s="246"/>
      <c r="G133" s="237"/>
      <c r="H133" s="238"/>
      <c r="I133" s="239"/>
      <c r="J133" s="263"/>
      <c r="K133" s="264"/>
      <c r="L133" s="263"/>
      <c r="M133" s="265">
        <f t="shared" si="13"/>
        <v>0</v>
      </c>
      <c r="N133" s="266"/>
      <c r="O133" s="752"/>
      <c r="P133" s="753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</row>
    <row r="134" spans="1:36" s="135" customFormat="1" ht="15.75" customHeight="1" thickTop="1">
      <c r="A134" s="788"/>
      <c r="B134" s="791"/>
      <c r="C134" s="659"/>
      <c r="D134" s="660"/>
      <c r="E134" s="660"/>
      <c r="F134" s="660"/>
      <c r="G134" s="660"/>
      <c r="H134" s="660"/>
      <c r="I134" s="794"/>
      <c r="J134" s="249" t="s">
        <v>58</v>
      </c>
      <c r="K134" s="212" t="e">
        <f>M134/'生產管理報表 7-1 (週)'!#REF!</f>
        <v>#REF!</v>
      </c>
      <c r="L134" s="249" t="s">
        <v>59</v>
      </c>
      <c r="M134" s="250">
        <f>SUM(M129:M133)</f>
        <v>0</v>
      </c>
      <c r="N134" s="754"/>
      <c r="O134" s="755"/>
      <c r="P134" s="756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</row>
    <row r="135" spans="1:36" s="135" customFormat="1" ht="15.75" customHeight="1">
      <c r="B135" s="232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67"/>
      <c r="O135" s="267"/>
      <c r="P135" s="267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</row>
    <row r="136" spans="1:36" s="135" customFormat="1" ht="15.75" customHeight="1">
      <c r="A136" s="683" t="s">
        <v>191</v>
      </c>
      <c r="B136" s="684"/>
      <c r="C136" s="252" t="s">
        <v>47</v>
      </c>
      <c r="D136" s="671" t="s">
        <v>12</v>
      </c>
      <c r="E136" s="672"/>
      <c r="F136" s="673"/>
      <c r="G136" s="671" t="s">
        <v>53</v>
      </c>
      <c r="H136" s="672"/>
      <c r="I136" s="785"/>
      <c r="J136" s="253" t="s">
        <v>54</v>
      </c>
      <c r="K136" s="254" t="s">
        <v>55</v>
      </c>
      <c r="L136" s="254" t="s">
        <v>56</v>
      </c>
      <c r="M136" s="254" t="s">
        <v>11</v>
      </c>
      <c r="N136" s="255" t="s">
        <v>333</v>
      </c>
      <c r="O136" s="762" t="s">
        <v>51</v>
      </c>
      <c r="P136" s="763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  <c r="AJ136" s="231"/>
    </row>
    <row r="137" spans="1:36" s="135" customFormat="1" ht="50.15" customHeight="1">
      <c r="A137" s="786">
        <v>3</v>
      </c>
      <c r="B137" s="789" t="s">
        <v>423</v>
      </c>
      <c r="C137" s="256">
        <v>1</v>
      </c>
      <c r="D137" s="237" t="s">
        <v>340</v>
      </c>
      <c r="E137" s="238"/>
      <c r="F137" s="239"/>
      <c r="G137" s="246" t="s">
        <v>448</v>
      </c>
      <c r="H137" s="245"/>
      <c r="I137" s="246"/>
      <c r="J137" s="257">
        <v>1.17</v>
      </c>
      <c r="K137" s="258">
        <v>7.0319377828756786E-3</v>
      </c>
      <c r="L137" s="257">
        <v>1925</v>
      </c>
      <c r="M137" s="325">
        <f t="shared" ref="M137:M141" si="14">L137*J137</f>
        <v>2252.25</v>
      </c>
      <c r="N137" s="270"/>
      <c r="O137" s="792" t="s">
        <v>529</v>
      </c>
      <c r="P137" s="793"/>
      <c r="R137" s="231"/>
      <c r="S137" s="395"/>
      <c r="T137" s="395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</row>
    <row r="138" spans="1:36" s="135" customFormat="1" ht="50.15" customHeight="1">
      <c r="A138" s="787"/>
      <c r="B138" s="790"/>
      <c r="C138" s="256">
        <v>2</v>
      </c>
      <c r="D138" s="237" t="s">
        <v>340</v>
      </c>
      <c r="E138" s="238"/>
      <c r="F138" s="239"/>
      <c r="G138" s="246" t="s">
        <v>449</v>
      </c>
      <c r="H138" s="245"/>
      <c r="I138" s="246"/>
      <c r="J138" s="257">
        <v>2.4499999999999997</v>
      </c>
      <c r="K138" s="258">
        <v>5.9423639575724987E-3</v>
      </c>
      <c r="L138" s="257">
        <v>851</v>
      </c>
      <c r="M138" s="325">
        <f t="shared" si="14"/>
        <v>2084.9499999999998</v>
      </c>
      <c r="N138" s="270"/>
      <c r="O138" s="757" t="s">
        <v>461</v>
      </c>
      <c r="P138" s="758"/>
      <c r="R138" s="231"/>
      <c r="S138" s="395"/>
      <c r="T138" s="40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  <c r="AJ138" s="231"/>
    </row>
    <row r="139" spans="1:36" s="135" customFormat="1" ht="50.15" customHeight="1">
      <c r="A139" s="787"/>
      <c r="B139" s="790"/>
      <c r="C139" s="256">
        <v>3</v>
      </c>
      <c r="D139" s="237" t="s">
        <v>601</v>
      </c>
      <c r="E139" s="238"/>
      <c r="F139" s="239"/>
      <c r="G139" s="246" t="s">
        <v>725</v>
      </c>
      <c r="H139" s="245"/>
      <c r="I139" s="246"/>
      <c r="J139" s="257">
        <v>625.93999999999994</v>
      </c>
      <c r="K139" s="258">
        <v>1.0192789329605684E-3</v>
      </c>
      <c r="L139" s="257">
        <v>1.75</v>
      </c>
      <c r="M139" s="325">
        <f t="shared" si="14"/>
        <v>1095.395</v>
      </c>
      <c r="N139" s="270"/>
      <c r="O139" s="757" t="s">
        <v>597</v>
      </c>
      <c r="P139" s="758"/>
      <c r="R139" s="395"/>
      <c r="S139" s="395"/>
      <c r="T139" s="40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</row>
    <row r="140" spans="1:36" s="135" customFormat="1" ht="50.15" customHeight="1">
      <c r="A140" s="787"/>
      <c r="B140" s="790"/>
      <c r="C140" s="256">
        <v>4</v>
      </c>
      <c r="D140" s="237" t="s">
        <v>534</v>
      </c>
      <c r="E140" s="238"/>
      <c r="F140" s="239"/>
      <c r="G140" s="246" t="s">
        <v>462</v>
      </c>
      <c r="H140" s="245"/>
      <c r="I140" s="246"/>
      <c r="J140" s="269">
        <v>407.74000000000007</v>
      </c>
      <c r="K140" s="258">
        <v>2.3859310492734976E-3</v>
      </c>
      <c r="L140" s="257">
        <v>2.67</v>
      </c>
      <c r="M140" s="325">
        <f t="shared" si="14"/>
        <v>1088.6658000000002</v>
      </c>
      <c r="N140" s="270"/>
      <c r="O140" s="757" t="s">
        <v>597</v>
      </c>
      <c r="P140" s="758"/>
      <c r="R140" s="231"/>
      <c r="S140" s="231"/>
      <c r="T140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</row>
    <row r="141" spans="1:36" s="135" customFormat="1" ht="50.15" customHeight="1" thickBot="1">
      <c r="A141" s="787"/>
      <c r="B141" s="790"/>
      <c r="C141" s="262">
        <v>5</v>
      </c>
      <c r="D141" s="244" t="s">
        <v>583</v>
      </c>
      <c r="E141" s="245"/>
      <c r="F141" s="246"/>
      <c r="G141" s="379" t="s">
        <v>696</v>
      </c>
      <c r="H141" s="378"/>
      <c r="I141" s="379"/>
      <c r="J141" s="272">
        <v>4.63</v>
      </c>
      <c r="K141" s="264">
        <v>2.8738212842388863E-3</v>
      </c>
      <c r="L141" s="273">
        <v>224</v>
      </c>
      <c r="M141" s="325">
        <f t="shared" si="14"/>
        <v>1037.1199999999999</v>
      </c>
      <c r="N141" s="270"/>
      <c r="O141" s="757" t="s">
        <v>722</v>
      </c>
      <c r="P141" s="758"/>
      <c r="R141" s="231"/>
      <c r="S141" s="231"/>
      <c r="T14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</row>
    <row r="142" spans="1:36" s="135" customFormat="1" ht="15.75" customHeight="1" thickTop="1">
      <c r="A142" s="788"/>
      <c r="B142" s="791"/>
      <c r="C142" s="659"/>
      <c r="D142" s="660"/>
      <c r="E142" s="660"/>
      <c r="F142" s="660"/>
      <c r="G142" s="660"/>
      <c r="H142" s="660"/>
      <c r="I142" s="794"/>
      <c r="J142" s="274" t="s">
        <v>58</v>
      </c>
      <c r="K142" s="212" t="e">
        <f>M142/'生產管理報表 7-1 (週)'!#REF!</f>
        <v>#REF!</v>
      </c>
      <c r="L142" s="274" t="s">
        <v>59</v>
      </c>
      <c r="M142" s="326">
        <f>SUM(M137:M141)</f>
        <v>7558.3807999999999</v>
      </c>
      <c r="N142" s="759"/>
      <c r="O142" s="760"/>
      <c r="P142" s="761"/>
      <c r="R142" s="231"/>
      <c r="S142" s="231"/>
      <c r="T142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</row>
    <row r="143" spans="1:36" s="135" customFormat="1" ht="15.75" customHeight="1">
      <c r="A143" s="805" t="s">
        <v>801</v>
      </c>
      <c r="B143" s="805"/>
      <c r="C143" s="805"/>
      <c r="D143" s="805"/>
      <c r="E143" s="805"/>
      <c r="F143" s="805"/>
      <c r="G143" s="805"/>
      <c r="H143" s="805"/>
      <c r="I143" s="805"/>
      <c r="J143" s="805"/>
      <c r="K143" s="805"/>
      <c r="L143" s="805"/>
      <c r="M143" s="805"/>
      <c r="R143" s="231"/>
      <c r="S143" s="231"/>
      <c r="T143" s="231"/>
      <c r="U143" s="231"/>
    </row>
    <row r="144" spans="1:36" s="136" customFormat="1" ht="15.75" customHeight="1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</row>
    <row r="145" spans="1:75" s="135" customFormat="1" ht="15.75" customHeight="1">
      <c r="A145" s="681" t="s">
        <v>191</v>
      </c>
      <c r="B145" s="674">
        <v>1</v>
      </c>
      <c r="C145" s="675"/>
      <c r="D145" s="674">
        <v>2</v>
      </c>
      <c r="E145" s="675"/>
      <c r="F145" s="674">
        <v>3</v>
      </c>
      <c r="G145" s="675"/>
      <c r="H145" s="683">
        <v>4</v>
      </c>
      <c r="I145" s="684"/>
      <c r="J145" s="683">
        <v>5</v>
      </c>
      <c r="K145" s="684"/>
      <c r="L145" s="683">
        <v>6</v>
      </c>
      <c r="M145" s="684"/>
      <c r="N145" s="683">
        <v>7</v>
      </c>
      <c r="O145" s="684"/>
      <c r="P145" s="683">
        <v>8</v>
      </c>
      <c r="Q145" s="684"/>
      <c r="R145" s="231"/>
      <c r="S145" s="231"/>
      <c r="T145" s="231"/>
      <c r="U145" s="231"/>
    </row>
    <row r="146" spans="1:75" s="135" customFormat="1" ht="15.75" customHeight="1">
      <c r="A146" s="682"/>
      <c r="B146" s="676" t="s">
        <v>453</v>
      </c>
      <c r="C146" s="677"/>
      <c r="D146" s="676" t="s">
        <v>212</v>
      </c>
      <c r="E146" s="677"/>
      <c r="F146" s="676" t="s">
        <v>166</v>
      </c>
      <c r="G146" s="677"/>
      <c r="H146" s="678" t="s">
        <v>429</v>
      </c>
      <c r="I146" s="679"/>
      <c r="J146" s="678" t="s">
        <v>189</v>
      </c>
      <c r="K146" s="679"/>
      <c r="L146" s="678" t="s">
        <v>167</v>
      </c>
      <c r="M146" s="679"/>
      <c r="N146" s="678" t="s">
        <v>190</v>
      </c>
      <c r="O146" s="679"/>
      <c r="P146" s="803" t="s">
        <v>217</v>
      </c>
      <c r="Q146" s="804"/>
      <c r="R146" s="231"/>
      <c r="S146" s="231"/>
      <c r="T146" s="231"/>
      <c r="U146" s="231"/>
    </row>
    <row r="147" spans="1:75" s="135" customFormat="1" ht="15.75" customHeight="1">
      <c r="B147" s="232"/>
      <c r="C147" s="233"/>
      <c r="R147" s="231"/>
      <c r="S147" s="231"/>
      <c r="T147" s="231"/>
      <c r="U147" s="231"/>
    </row>
    <row r="148" spans="1:75" s="235" customFormat="1" ht="15.75" customHeight="1">
      <c r="A148" s="683" t="s">
        <v>191</v>
      </c>
      <c r="B148" s="684"/>
      <c r="C148" s="234" t="s">
        <v>47</v>
      </c>
      <c r="D148" s="795" t="s">
        <v>12</v>
      </c>
      <c r="E148" s="672"/>
      <c r="F148" s="785"/>
      <c r="G148" s="796" t="s">
        <v>53</v>
      </c>
      <c r="H148" s="797"/>
      <c r="I148" s="798"/>
      <c r="J148" s="234" t="s">
        <v>54</v>
      </c>
      <c r="K148" s="234" t="s">
        <v>55</v>
      </c>
      <c r="L148" s="234" t="s">
        <v>56</v>
      </c>
      <c r="M148" s="234" t="s">
        <v>11</v>
      </c>
      <c r="N148" s="234" t="s">
        <v>333</v>
      </c>
      <c r="O148" s="799" t="s">
        <v>51</v>
      </c>
      <c r="P148" s="800"/>
    </row>
    <row r="149" spans="1:75" s="135" customFormat="1" ht="50.15" customHeight="1">
      <c r="A149" s="786">
        <v>1</v>
      </c>
      <c r="B149" s="789" t="s">
        <v>454</v>
      </c>
      <c r="C149" s="236">
        <v>1</v>
      </c>
      <c r="D149" s="237" t="s">
        <v>358</v>
      </c>
      <c r="E149" s="238"/>
      <c r="F149" s="238"/>
      <c r="G149" s="358" t="s">
        <v>770</v>
      </c>
      <c r="H149" s="305"/>
      <c r="I149" s="306"/>
      <c r="J149" s="236">
        <v>426.69</v>
      </c>
      <c r="K149" s="242">
        <v>2.4598187766166615E-3</v>
      </c>
      <c r="L149" s="236">
        <v>2.94</v>
      </c>
      <c r="M149" s="322">
        <f>L149*J149</f>
        <v>1254.4685999999999</v>
      </c>
      <c r="N149" s="243"/>
      <c r="O149" s="701" t="s">
        <v>720</v>
      </c>
      <c r="P149" s="702"/>
      <c r="R149" s="231"/>
      <c r="S149" s="393"/>
      <c r="T149" s="261"/>
      <c r="U149" s="231"/>
    </row>
    <row r="150" spans="1:75" s="135" customFormat="1" ht="50.15" customHeight="1">
      <c r="A150" s="787"/>
      <c r="B150" s="790"/>
      <c r="C150" s="236">
        <v>2</v>
      </c>
      <c r="D150" s="237" t="s">
        <v>743</v>
      </c>
      <c r="E150" s="238"/>
      <c r="F150" s="238"/>
      <c r="G150" s="358" t="s">
        <v>771</v>
      </c>
      <c r="H150" s="305"/>
      <c r="I150" s="306"/>
      <c r="J150" s="236">
        <v>91.13</v>
      </c>
      <c r="K150" s="242">
        <v>6.7821719761284342E-3</v>
      </c>
      <c r="L150" s="236">
        <v>12.909999999999998</v>
      </c>
      <c r="M150" s="322">
        <f t="shared" ref="M150:M153" si="15">L150*J150</f>
        <v>1176.4882999999998</v>
      </c>
      <c r="N150" s="243"/>
      <c r="O150" s="801" t="s">
        <v>578</v>
      </c>
      <c r="P150" s="793"/>
      <c r="R150" s="231"/>
      <c r="S150" s="394"/>
      <c r="T150" s="394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31"/>
      <c r="AT150" s="231"/>
      <c r="AU150" s="231"/>
      <c r="AV150" s="231"/>
      <c r="AW150" s="231"/>
      <c r="AX150" s="231"/>
      <c r="AY150" s="231"/>
      <c r="AZ150" s="231"/>
      <c r="BA150" s="231"/>
      <c r="BB150" s="231"/>
      <c r="BC150" s="231"/>
      <c r="BD150" s="231"/>
      <c r="BE150" s="231"/>
      <c r="BF150" s="231"/>
      <c r="BG150" s="231"/>
      <c r="BH150" s="231"/>
      <c r="BI150" s="231"/>
      <c r="BJ150" s="231"/>
      <c r="BK150" s="231"/>
      <c r="BL150" s="231"/>
      <c r="BM150" s="231"/>
      <c r="BN150" s="231"/>
      <c r="BO150" s="231"/>
      <c r="BP150" s="231"/>
      <c r="BQ150" s="231"/>
      <c r="BR150" s="231"/>
      <c r="BS150" s="231"/>
      <c r="BT150" s="231"/>
      <c r="BU150" s="231"/>
      <c r="BV150" s="231"/>
      <c r="BW150" s="231"/>
    </row>
    <row r="151" spans="1:75" s="135" customFormat="1" ht="50.15" customHeight="1">
      <c r="A151" s="787"/>
      <c r="B151" s="790"/>
      <c r="C151" s="236">
        <v>3</v>
      </c>
      <c r="D151" s="237" t="s">
        <v>340</v>
      </c>
      <c r="E151" s="238"/>
      <c r="F151" s="238"/>
      <c r="G151" s="358" t="s">
        <v>386</v>
      </c>
      <c r="H151" s="305"/>
      <c r="I151" s="306"/>
      <c r="J151" s="236">
        <v>127.84000000000002</v>
      </c>
      <c r="K151" s="242">
        <v>2.1443798327383731E-3</v>
      </c>
      <c r="L151" s="236">
        <v>8.5</v>
      </c>
      <c r="M151" s="322">
        <f t="shared" si="15"/>
        <v>1086.6400000000001</v>
      </c>
      <c r="N151" s="243"/>
      <c r="O151" s="802" t="s">
        <v>721</v>
      </c>
      <c r="P151" s="758"/>
      <c r="R151" s="231"/>
      <c r="S151" s="393"/>
      <c r="T151" s="393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1"/>
      <c r="AW151" s="231"/>
      <c r="AX151" s="231"/>
      <c r="AY151" s="231"/>
      <c r="AZ151" s="231"/>
      <c r="BA151" s="231"/>
      <c r="BB151" s="231"/>
      <c r="BC151" s="231"/>
      <c r="BD151" s="231"/>
      <c r="BE151" s="231"/>
      <c r="BF151" s="231"/>
      <c r="BG151" s="231"/>
      <c r="BH151" s="231"/>
      <c r="BI151" s="231"/>
      <c r="BJ151" s="231"/>
      <c r="BK151" s="231"/>
      <c r="BL151" s="231"/>
      <c r="BM151" s="231"/>
      <c r="BN151" s="231"/>
      <c r="BO151" s="231"/>
      <c r="BP151" s="231"/>
      <c r="BQ151" s="231"/>
      <c r="BR151" s="231"/>
      <c r="BS151" s="231"/>
      <c r="BT151" s="231"/>
      <c r="BU151" s="231"/>
      <c r="BV151" s="231"/>
      <c r="BW151" s="231"/>
    </row>
    <row r="152" spans="1:75" s="135" customFormat="1" ht="50.15" customHeight="1">
      <c r="A152" s="787"/>
      <c r="B152" s="790"/>
      <c r="C152" s="236">
        <v>4</v>
      </c>
      <c r="D152" s="237" t="s">
        <v>340</v>
      </c>
      <c r="E152" s="238"/>
      <c r="F152" s="238"/>
      <c r="G152" s="358" t="s">
        <v>653</v>
      </c>
      <c r="H152" s="305"/>
      <c r="I152" s="306"/>
      <c r="J152" s="236">
        <v>144.79999999999998</v>
      </c>
      <c r="K152" s="242">
        <v>2.7763492311934945E-3</v>
      </c>
      <c r="L152" s="236">
        <v>7.4500000000000011</v>
      </c>
      <c r="M152" s="322">
        <f t="shared" si="15"/>
        <v>1078.76</v>
      </c>
      <c r="N152" s="243"/>
      <c r="O152" s="802" t="s">
        <v>721</v>
      </c>
      <c r="P152" s="758"/>
      <c r="R152" s="231"/>
      <c r="S152" s="394"/>
      <c r="T152" s="394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31"/>
      <c r="AT152" s="231"/>
      <c r="AU152" s="231"/>
      <c r="AV152" s="231"/>
      <c r="AW152" s="231"/>
      <c r="AX152" s="231"/>
      <c r="AY152" s="231"/>
      <c r="AZ152" s="231"/>
      <c r="BA152" s="231"/>
      <c r="BB152" s="231"/>
      <c r="BC152" s="231"/>
      <c r="BD152" s="231"/>
      <c r="BE152" s="231"/>
      <c r="BF152" s="231"/>
      <c r="BG152" s="231"/>
      <c r="BH152" s="231"/>
      <c r="BI152" s="231"/>
      <c r="BJ152" s="231"/>
      <c r="BK152" s="231"/>
      <c r="BL152" s="231"/>
      <c r="BM152" s="231"/>
      <c r="BN152" s="231"/>
      <c r="BO152" s="231"/>
      <c r="BP152" s="231"/>
      <c r="BQ152" s="231"/>
      <c r="BR152" s="231"/>
      <c r="BS152" s="231"/>
      <c r="BT152" s="231"/>
      <c r="BU152" s="231"/>
      <c r="BV152" s="231"/>
      <c r="BW152" s="231"/>
    </row>
    <row r="153" spans="1:75" s="135" customFormat="1" ht="50.15" customHeight="1" thickBot="1">
      <c r="A153" s="787"/>
      <c r="B153" s="790"/>
      <c r="C153" s="236">
        <v>5</v>
      </c>
      <c r="D153" s="244" t="s">
        <v>623</v>
      </c>
      <c r="E153" s="245"/>
      <c r="F153" s="245"/>
      <c r="G153" s="358" t="s">
        <v>655</v>
      </c>
      <c r="H153" s="305"/>
      <c r="I153" s="306"/>
      <c r="J153" s="247">
        <v>49.82</v>
      </c>
      <c r="K153" s="248">
        <v>7.1838542110193304E-3</v>
      </c>
      <c r="L153" s="247">
        <v>21.09</v>
      </c>
      <c r="M153" s="323">
        <f t="shared" si="15"/>
        <v>1050.7038</v>
      </c>
      <c r="N153" s="243"/>
      <c r="O153" s="802" t="s">
        <v>633</v>
      </c>
      <c r="P153" s="758"/>
      <c r="R153" s="231"/>
      <c r="S153" s="393"/>
      <c r="T153" s="393"/>
      <c r="U153" s="231"/>
      <c r="V153" s="395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31"/>
      <c r="AT153" s="231"/>
      <c r="AU153" s="231"/>
      <c r="AV153" s="231"/>
      <c r="AW153" s="231"/>
      <c r="AX153" s="231"/>
      <c r="AY153" s="231"/>
      <c r="AZ153" s="231"/>
      <c r="BA153" s="231"/>
      <c r="BB153" s="231"/>
      <c r="BC153" s="231"/>
      <c r="BD153" s="231"/>
      <c r="BE153" s="231"/>
      <c r="BF153" s="231"/>
      <c r="BG153" s="231"/>
      <c r="BH153" s="231"/>
      <c r="BI153" s="231"/>
      <c r="BJ153" s="231"/>
      <c r="BK153" s="231"/>
      <c r="BL153" s="231"/>
      <c r="BM153" s="231"/>
      <c r="BN153" s="231"/>
      <c r="BO153" s="231"/>
      <c r="BP153" s="231"/>
      <c r="BQ153" s="231"/>
      <c r="BR153" s="231"/>
      <c r="BS153" s="231"/>
      <c r="BT153" s="231"/>
      <c r="BU153" s="231"/>
      <c r="BV153" s="231"/>
      <c r="BW153" s="231"/>
    </row>
    <row r="154" spans="1:75" s="135" customFormat="1" ht="15.75" customHeight="1" thickTop="1">
      <c r="A154" s="788"/>
      <c r="B154" s="791"/>
      <c r="C154" s="659"/>
      <c r="D154" s="660"/>
      <c r="E154" s="660"/>
      <c r="F154" s="660"/>
      <c r="G154" s="660"/>
      <c r="H154" s="660"/>
      <c r="I154" s="794"/>
      <c r="J154" s="249" t="s">
        <v>58</v>
      </c>
      <c r="K154" s="212">
        <f>M154/'生產管理報表 7-1 (週)'!$B$9</f>
        <v>6.0590488272412688E-2</v>
      </c>
      <c r="L154" s="249" t="s">
        <v>59</v>
      </c>
      <c r="M154" s="324">
        <f>SUM(M149:M153)</f>
        <v>5647.0607</v>
      </c>
      <c r="N154" s="747"/>
      <c r="O154" s="748"/>
      <c r="P154" s="749"/>
      <c r="R154" s="231"/>
      <c r="S154" s="210"/>
      <c r="T154" s="210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31"/>
      <c r="AT154" s="231"/>
      <c r="AU154" s="231"/>
      <c r="AV154" s="231"/>
      <c r="AW154" s="231"/>
      <c r="AX154" s="231"/>
      <c r="AY154" s="231"/>
      <c r="AZ154" s="231"/>
      <c r="BA154" s="231"/>
      <c r="BB154" s="231"/>
      <c r="BC154" s="231"/>
      <c r="BD154" s="231"/>
      <c r="BE154" s="231"/>
      <c r="BF154" s="231"/>
      <c r="BG154" s="231"/>
      <c r="BH154" s="231"/>
      <c r="BI154" s="231"/>
      <c r="BJ154" s="231"/>
      <c r="BK154" s="231"/>
      <c r="BL154" s="231"/>
      <c r="BM154" s="231"/>
      <c r="BN154" s="231"/>
      <c r="BO154" s="231"/>
      <c r="BP154" s="231"/>
      <c r="BQ154" s="231"/>
      <c r="BR154" s="231"/>
      <c r="BS154" s="231"/>
      <c r="BT154" s="231"/>
      <c r="BU154" s="231"/>
      <c r="BV154" s="231"/>
      <c r="BW154" s="231"/>
    </row>
    <row r="155" spans="1:75" s="135" customFormat="1" ht="15.75" customHeight="1">
      <c r="B155" s="232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51"/>
      <c r="O155" s="251"/>
      <c r="P155" s="251"/>
      <c r="R155" s="231"/>
      <c r="S155" s="261"/>
      <c r="T155" s="26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31"/>
      <c r="AT155" s="231"/>
      <c r="AU155" s="231"/>
      <c r="AV155" s="231"/>
      <c r="AW155" s="231"/>
      <c r="AX155" s="231"/>
      <c r="AY155" s="231"/>
      <c r="AZ155" s="231"/>
      <c r="BA155" s="231"/>
      <c r="BB155" s="231"/>
      <c r="BC155" s="231"/>
      <c r="BD155" s="231"/>
      <c r="BE155" s="231"/>
      <c r="BF155" s="231"/>
      <c r="BG155" s="231"/>
      <c r="BH155" s="231"/>
      <c r="BI155" s="231"/>
      <c r="BJ155" s="231"/>
      <c r="BK155" s="231"/>
      <c r="BL155" s="231"/>
      <c r="BM155" s="231"/>
      <c r="BN155" s="231"/>
      <c r="BO155" s="231"/>
      <c r="BP155" s="231"/>
      <c r="BQ155" s="231"/>
      <c r="BR155" s="231"/>
      <c r="BS155" s="231"/>
      <c r="BT155" s="231"/>
      <c r="BU155" s="231"/>
      <c r="BV155" s="231"/>
      <c r="BW155" s="231"/>
    </row>
    <row r="156" spans="1:75" s="135" customFormat="1" ht="15.75" customHeight="1">
      <c r="A156" s="683" t="s">
        <v>191</v>
      </c>
      <c r="B156" s="684"/>
      <c r="C156" s="252" t="s">
        <v>47</v>
      </c>
      <c r="D156" s="671" t="s">
        <v>12</v>
      </c>
      <c r="E156" s="672"/>
      <c r="F156" s="673"/>
      <c r="G156" s="671" t="s">
        <v>53</v>
      </c>
      <c r="H156" s="672"/>
      <c r="I156" s="673"/>
      <c r="J156" s="254" t="s">
        <v>54</v>
      </c>
      <c r="K156" s="254" t="s">
        <v>55</v>
      </c>
      <c r="L156" s="254" t="s">
        <v>56</v>
      </c>
      <c r="M156" s="254" t="s">
        <v>11</v>
      </c>
      <c r="N156" s="255" t="s">
        <v>333</v>
      </c>
      <c r="O156" s="750" t="s">
        <v>51</v>
      </c>
      <c r="P156" s="751"/>
      <c r="R156" s="231"/>
      <c r="S156" s="210"/>
      <c r="T156" s="210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</row>
    <row r="157" spans="1:75" s="135" customFormat="1" ht="20.149999999999999" customHeight="1">
      <c r="A157" s="786">
        <v>2</v>
      </c>
      <c r="B157" s="789" t="s">
        <v>213</v>
      </c>
      <c r="C157" s="256">
        <v>1</v>
      </c>
      <c r="D157" s="237"/>
      <c r="E157" s="238"/>
      <c r="F157" s="239"/>
      <c r="G157" s="237"/>
      <c r="H157" s="238"/>
      <c r="I157" s="239"/>
      <c r="J157" s="257"/>
      <c r="K157" s="258"/>
      <c r="L157" s="257"/>
      <c r="M157" s="259">
        <f t="shared" ref="M157:M161" si="16">L157*J157</f>
        <v>0</v>
      </c>
      <c r="N157" s="260"/>
      <c r="O157" s="752"/>
      <c r="P157" s="753"/>
      <c r="R157" s="231"/>
      <c r="S157" s="261"/>
      <c r="T157" s="26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  <c r="AJ157" s="231"/>
    </row>
    <row r="158" spans="1:75" s="135" customFormat="1" ht="20.149999999999999" customHeight="1">
      <c r="A158" s="787"/>
      <c r="B158" s="790"/>
      <c r="C158" s="256">
        <v>2</v>
      </c>
      <c r="D158" s="237"/>
      <c r="E158" s="238"/>
      <c r="F158" s="239"/>
      <c r="G158" s="237"/>
      <c r="H158" s="238"/>
      <c r="I158" s="239"/>
      <c r="J158" s="257"/>
      <c r="K158" s="258"/>
      <c r="L158" s="257"/>
      <c r="M158" s="259">
        <f t="shared" si="16"/>
        <v>0</v>
      </c>
      <c r="N158" s="260"/>
      <c r="O158" s="752"/>
      <c r="P158" s="753"/>
      <c r="R158" s="231"/>
      <c r="S158" s="210"/>
      <c r="T158" s="210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  <c r="AJ158" s="231"/>
    </row>
    <row r="159" spans="1:75" s="135" customFormat="1" ht="20.149999999999999" customHeight="1">
      <c r="A159" s="787"/>
      <c r="B159" s="790"/>
      <c r="C159" s="256">
        <v>3</v>
      </c>
      <c r="D159" s="237"/>
      <c r="E159" s="238"/>
      <c r="F159" s="239"/>
      <c r="G159" s="237"/>
      <c r="H159" s="238"/>
      <c r="I159" s="268"/>
      <c r="J159" s="257"/>
      <c r="K159" s="258"/>
      <c r="L159" s="257"/>
      <c r="M159" s="259">
        <f t="shared" si="16"/>
        <v>0</v>
      </c>
      <c r="N159" s="260"/>
      <c r="O159" s="752"/>
      <c r="P159" s="753"/>
      <c r="R159" s="231"/>
      <c r="S159" s="261"/>
      <c r="T159" s="26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</row>
    <row r="160" spans="1:75" s="135" customFormat="1" ht="20.149999999999999" customHeight="1">
      <c r="A160" s="787"/>
      <c r="B160" s="790"/>
      <c r="C160" s="256">
        <v>4</v>
      </c>
      <c r="D160" s="237"/>
      <c r="E160" s="238"/>
      <c r="F160" s="239"/>
      <c r="G160" s="237"/>
      <c r="H160" s="238"/>
      <c r="I160" s="239"/>
      <c r="J160" s="257"/>
      <c r="K160" s="258"/>
      <c r="L160" s="257"/>
      <c r="M160" s="259">
        <f t="shared" si="16"/>
        <v>0</v>
      </c>
      <c r="N160" s="260"/>
      <c r="O160" s="752"/>
      <c r="P160" s="753"/>
      <c r="R160" s="231"/>
      <c r="S160" s="210"/>
      <c r="T160" s="210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</row>
    <row r="161" spans="1:36" s="135" customFormat="1" ht="20.149999999999999" customHeight="1" thickBot="1">
      <c r="A161" s="787"/>
      <c r="B161" s="790"/>
      <c r="C161" s="262">
        <v>5</v>
      </c>
      <c r="D161" s="244"/>
      <c r="E161" s="245"/>
      <c r="F161" s="246"/>
      <c r="G161" s="237"/>
      <c r="H161" s="238"/>
      <c r="I161" s="239"/>
      <c r="J161" s="263"/>
      <c r="K161" s="264"/>
      <c r="L161" s="263"/>
      <c r="M161" s="265">
        <f t="shared" si="16"/>
        <v>0</v>
      </c>
      <c r="N161" s="266"/>
      <c r="O161" s="752"/>
      <c r="P161" s="753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  <c r="AH161" s="231"/>
    </row>
    <row r="162" spans="1:36" s="135" customFormat="1" ht="15.75" customHeight="1" thickTop="1">
      <c r="A162" s="788"/>
      <c r="B162" s="791"/>
      <c r="C162" s="659"/>
      <c r="D162" s="660"/>
      <c r="E162" s="660"/>
      <c r="F162" s="660"/>
      <c r="G162" s="660"/>
      <c r="H162" s="660"/>
      <c r="I162" s="794"/>
      <c r="J162" s="249" t="s">
        <v>58</v>
      </c>
      <c r="K162" s="212">
        <f>M162/'生產管理報表 7-1 (週)'!$B$9</f>
        <v>0</v>
      </c>
      <c r="L162" s="249" t="s">
        <v>59</v>
      </c>
      <c r="M162" s="250">
        <f>SUM(M157:M161)</f>
        <v>0</v>
      </c>
      <c r="N162" s="754"/>
      <c r="O162" s="755"/>
      <c r="P162" s="756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</row>
    <row r="163" spans="1:36" s="135" customFormat="1" ht="15.75" customHeight="1">
      <c r="B163" s="232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67"/>
      <c r="O163" s="267"/>
      <c r="P163" s="267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</row>
    <row r="164" spans="1:36" s="135" customFormat="1" ht="15.75" customHeight="1">
      <c r="A164" s="683" t="s">
        <v>191</v>
      </c>
      <c r="B164" s="684"/>
      <c r="C164" s="252" t="s">
        <v>47</v>
      </c>
      <c r="D164" s="671" t="s">
        <v>12</v>
      </c>
      <c r="E164" s="672"/>
      <c r="F164" s="673"/>
      <c r="G164" s="671" t="s">
        <v>53</v>
      </c>
      <c r="H164" s="672"/>
      <c r="I164" s="785"/>
      <c r="J164" s="253" t="s">
        <v>54</v>
      </c>
      <c r="K164" s="254" t="s">
        <v>55</v>
      </c>
      <c r="L164" s="254" t="s">
        <v>56</v>
      </c>
      <c r="M164" s="254" t="s">
        <v>11</v>
      </c>
      <c r="N164" s="255" t="s">
        <v>333</v>
      </c>
      <c r="O164" s="762" t="s">
        <v>51</v>
      </c>
      <c r="P164" s="763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</row>
    <row r="165" spans="1:36" s="135" customFormat="1" ht="50.15" customHeight="1">
      <c r="A165" s="786">
        <v>3</v>
      </c>
      <c r="B165" s="789" t="s">
        <v>423</v>
      </c>
      <c r="C165" s="256">
        <v>1</v>
      </c>
      <c r="D165" s="237" t="s">
        <v>340</v>
      </c>
      <c r="E165" s="238"/>
      <c r="F165" s="239"/>
      <c r="G165" s="246" t="s">
        <v>449</v>
      </c>
      <c r="H165" s="245"/>
      <c r="I165" s="246"/>
      <c r="J165" s="257">
        <v>2.4499999999999997</v>
      </c>
      <c r="K165" s="258">
        <v>6.8011560527413114E-3</v>
      </c>
      <c r="L165" s="257">
        <v>946</v>
      </c>
      <c r="M165" s="325">
        <f t="shared" ref="M165:M169" si="17">L165*J165</f>
        <v>2317.6999999999998</v>
      </c>
      <c r="N165" s="270"/>
      <c r="O165" s="792" t="s">
        <v>461</v>
      </c>
      <c r="P165" s="793"/>
      <c r="R165" s="231"/>
      <c r="S165" s="395"/>
      <c r="T165" s="395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</row>
    <row r="166" spans="1:36" s="135" customFormat="1" ht="50.15" customHeight="1">
      <c r="A166" s="787"/>
      <c r="B166" s="790"/>
      <c r="C166" s="256">
        <v>2</v>
      </c>
      <c r="D166" s="237" t="s">
        <v>340</v>
      </c>
      <c r="E166" s="238"/>
      <c r="F166" s="239"/>
      <c r="G166" s="246" t="s">
        <v>448</v>
      </c>
      <c r="H166" s="245"/>
      <c r="I166" s="246"/>
      <c r="J166" s="257">
        <v>1.17</v>
      </c>
      <c r="K166" s="258">
        <v>6.8587695496433012E-3</v>
      </c>
      <c r="L166" s="257">
        <v>1595</v>
      </c>
      <c r="M166" s="325">
        <f t="shared" si="17"/>
        <v>1866.1499999999999</v>
      </c>
      <c r="N166" s="270"/>
      <c r="O166" s="757" t="s">
        <v>529</v>
      </c>
      <c r="P166" s="758"/>
      <c r="R166" s="231"/>
      <c r="S166" s="395"/>
      <c r="T166" s="40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</row>
    <row r="167" spans="1:36" s="135" customFormat="1" ht="50.15" customHeight="1">
      <c r="A167" s="787"/>
      <c r="B167" s="790"/>
      <c r="C167" s="256">
        <v>3</v>
      </c>
      <c r="D167" s="237" t="s">
        <v>464</v>
      </c>
      <c r="E167" s="238"/>
      <c r="F167" s="239"/>
      <c r="G167" s="246" t="s">
        <v>462</v>
      </c>
      <c r="H167" s="245"/>
      <c r="I167" s="246"/>
      <c r="J167" s="257">
        <v>407.74000000000007</v>
      </c>
      <c r="K167" s="258">
        <v>2.3218811862870253E-3</v>
      </c>
      <c r="L167" s="257">
        <v>2.5100000000000002</v>
      </c>
      <c r="M167" s="325">
        <f t="shared" si="17"/>
        <v>1023.4274000000003</v>
      </c>
      <c r="N167" s="270"/>
      <c r="O167" s="757" t="s">
        <v>597</v>
      </c>
      <c r="P167" s="758"/>
      <c r="R167" s="395"/>
      <c r="S167" s="395"/>
      <c r="T167" s="40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</row>
    <row r="168" spans="1:36" s="135" customFormat="1" ht="50.15" customHeight="1">
      <c r="A168" s="787"/>
      <c r="B168" s="790"/>
      <c r="C168" s="256">
        <v>4</v>
      </c>
      <c r="D168" s="237" t="s">
        <v>509</v>
      </c>
      <c r="E168" s="238"/>
      <c r="F168" s="239"/>
      <c r="G168" s="359" t="s">
        <v>602</v>
      </c>
      <c r="H168" s="360"/>
      <c r="I168" s="381"/>
      <c r="J168" s="269">
        <v>6.04</v>
      </c>
      <c r="K168" s="258">
        <v>2.5408348457350273E-2</v>
      </c>
      <c r="L168" s="257">
        <v>168</v>
      </c>
      <c r="M168" s="325">
        <f t="shared" si="17"/>
        <v>1014.72</v>
      </c>
      <c r="N168" s="270"/>
      <c r="O168" s="757" t="s">
        <v>668</v>
      </c>
      <c r="P168" s="758"/>
      <c r="R168" s="231"/>
      <c r="S168" s="231"/>
      <c r="T168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</row>
    <row r="169" spans="1:36" s="135" customFormat="1" ht="50.15" customHeight="1" thickBot="1">
      <c r="A169" s="787"/>
      <c r="B169" s="790"/>
      <c r="C169" s="262">
        <v>5</v>
      </c>
      <c r="D169" s="244"/>
      <c r="E169" s="245"/>
      <c r="F169" s="246"/>
      <c r="G169" s="244"/>
      <c r="H169" s="245"/>
      <c r="I169" s="271"/>
      <c r="J169" s="272"/>
      <c r="K169" s="264"/>
      <c r="L169" s="273"/>
      <c r="M169" s="325">
        <f t="shared" si="17"/>
        <v>0</v>
      </c>
      <c r="N169" s="270"/>
      <c r="O169" s="757"/>
      <c r="P169" s="758"/>
      <c r="R169" s="231"/>
      <c r="S169" s="231"/>
      <c r="T169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</row>
    <row r="170" spans="1:36" s="135" customFormat="1" ht="15.75" customHeight="1" thickTop="1">
      <c r="A170" s="788"/>
      <c r="B170" s="791"/>
      <c r="C170" s="659"/>
      <c r="D170" s="660"/>
      <c r="E170" s="660"/>
      <c r="F170" s="660"/>
      <c r="G170" s="660"/>
      <c r="H170" s="660"/>
      <c r="I170" s="794"/>
      <c r="J170" s="274" t="s">
        <v>58</v>
      </c>
      <c r="K170" s="212">
        <f>M170/'生產管理報表 7-1 (週)'!$B$9</f>
        <v>6.6759307279215585E-2</v>
      </c>
      <c r="L170" s="274" t="s">
        <v>59</v>
      </c>
      <c r="M170" s="326">
        <f>SUM(M165:M169)</f>
        <v>6221.9974000000002</v>
      </c>
      <c r="N170" s="759"/>
      <c r="O170" s="760"/>
      <c r="P170" s="761"/>
      <c r="R170" s="231"/>
      <c r="S170" s="231"/>
      <c r="T170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</row>
  </sheetData>
  <mergeCells count="343"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O160:P160"/>
    <mergeCell ref="O161:P161"/>
    <mergeCell ref="C162:I162"/>
    <mergeCell ref="N162:P162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P145:Q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L34:M34"/>
    <mergeCell ref="N34:O34"/>
    <mergeCell ref="P34:Q34"/>
    <mergeCell ref="A36:B36"/>
    <mergeCell ref="D36:F36"/>
    <mergeCell ref="G36:I36"/>
    <mergeCell ref="O36:P36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A3:M4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5" manualBreakCount="5">
    <brk id="30" max="16" man="1"/>
    <brk id="58" max="16" man="1"/>
    <brk id="86" max="16" man="1"/>
    <brk id="114" max="16" man="1"/>
    <brk id="142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219"/>
  <sheetViews>
    <sheetView view="pageBreakPreview" topLeftCell="A196" zoomScale="91" zoomScaleNormal="60" zoomScaleSheetLayoutView="91" workbookViewId="0">
      <selection activeCell="M198" sqref="M198"/>
    </sheetView>
  </sheetViews>
  <sheetFormatPr defaultColWidth="12.54296875" defaultRowHeight="15.75" customHeight="1"/>
  <cols>
    <col min="1" max="1" width="5.453125" style="2" customWidth="1"/>
    <col min="2" max="2" width="11.453125" style="97" customWidth="1"/>
    <col min="3" max="3" width="4" style="96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1" s="98" customFormat="1" ht="15.75" customHeight="1">
      <c r="A1" s="520" t="s">
        <v>361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</row>
    <row r="2" spans="1:21" s="99" customFormat="1" ht="15.75" customHeight="1">
      <c r="A2" s="520"/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</row>
    <row r="3" spans="1:21" s="135" customFormat="1" ht="15.75" customHeight="1">
      <c r="A3" s="805" t="s">
        <v>606</v>
      </c>
      <c r="B3" s="805"/>
      <c r="C3" s="805"/>
      <c r="D3" s="805"/>
      <c r="E3" s="805"/>
      <c r="F3" s="805"/>
      <c r="G3" s="805"/>
      <c r="H3" s="805"/>
      <c r="I3" s="805"/>
      <c r="J3" s="805"/>
      <c r="K3" s="805"/>
      <c r="L3" s="805"/>
      <c r="M3" s="805"/>
      <c r="R3" s="231"/>
      <c r="S3" s="231"/>
      <c r="T3" s="231"/>
      <c r="U3" s="231"/>
    </row>
    <row r="4" spans="1:21" s="136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21" s="135" customFormat="1" ht="15.75" customHeight="1">
      <c r="A5" s="681" t="s">
        <v>191</v>
      </c>
      <c r="B5" s="683">
        <v>1</v>
      </c>
      <c r="C5" s="684"/>
      <c r="D5" s="683">
        <v>2</v>
      </c>
      <c r="E5" s="684"/>
      <c r="F5" s="683">
        <v>3</v>
      </c>
      <c r="G5" s="684"/>
      <c r="H5" s="674">
        <v>4</v>
      </c>
      <c r="I5" s="675"/>
      <c r="J5" s="674">
        <v>5</v>
      </c>
      <c r="K5" s="675"/>
      <c r="L5" s="674">
        <v>6</v>
      </c>
      <c r="M5" s="675"/>
      <c r="N5" s="674">
        <v>7</v>
      </c>
      <c r="O5" s="675"/>
      <c r="P5" s="327">
        <v>8</v>
      </c>
    </row>
    <row r="6" spans="1:21" s="135" customFormat="1" ht="15.75" customHeight="1">
      <c r="A6" s="682"/>
      <c r="B6" s="678" t="s">
        <v>453</v>
      </c>
      <c r="C6" s="679"/>
      <c r="D6" s="678" t="s">
        <v>212</v>
      </c>
      <c r="E6" s="679"/>
      <c r="F6" s="678" t="s">
        <v>166</v>
      </c>
      <c r="G6" s="679"/>
      <c r="H6" s="676" t="s">
        <v>429</v>
      </c>
      <c r="I6" s="677"/>
      <c r="J6" s="676" t="s">
        <v>189</v>
      </c>
      <c r="K6" s="677"/>
      <c r="L6" s="676" t="s">
        <v>167</v>
      </c>
      <c r="M6" s="677"/>
      <c r="N6" s="676" t="s">
        <v>190</v>
      </c>
      <c r="O6" s="677"/>
      <c r="P6" s="328" t="s">
        <v>217</v>
      </c>
    </row>
    <row r="7" spans="1:21" s="135" customFormat="1" ht="15.75" customHeight="1">
      <c r="B7" s="232"/>
      <c r="C7" s="233"/>
    </row>
    <row r="8" spans="1:21" s="278" customFormat="1" ht="15.75" customHeight="1">
      <c r="A8" s="685" t="s">
        <v>191</v>
      </c>
      <c r="B8" s="686"/>
      <c r="C8" s="275" t="s">
        <v>47</v>
      </c>
      <c r="D8" s="687" t="s">
        <v>12</v>
      </c>
      <c r="E8" s="688"/>
      <c r="F8" s="689"/>
      <c r="G8" s="690" t="s">
        <v>53</v>
      </c>
      <c r="H8" s="691"/>
      <c r="I8" s="692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693" t="s">
        <v>51</v>
      </c>
      <c r="P8" s="694"/>
      <c r="R8" s="210"/>
      <c r="S8" s="261"/>
    </row>
    <row r="9" spans="1:21" s="298" customFormat="1" ht="20.149999999999999" customHeight="1">
      <c r="A9" s="695">
        <v>4</v>
      </c>
      <c r="B9" s="698" t="s">
        <v>429</v>
      </c>
      <c r="C9" s="279">
        <v>1</v>
      </c>
      <c r="D9" s="237"/>
      <c r="E9" s="238"/>
      <c r="F9" s="239"/>
      <c r="G9" s="351"/>
      <c r="H9" s="305"/>
      <c r="I9" s="306"/>
      <c r="J9" s="312"/>
      <c r="K9" s="313"/>
      <c r="L9" s="314"/>
      <c r="M9" s="322">
        <f t="shared" ref="M9:M13" si="0">L9*J9</f>
        <v>0</v>
      </c>
      <c r="N9" s="314"/>
      <c r="O9" s="701"/>
      <c r="P9" s="702"/>
      <c r="R9" s="315"/>
      <c r="S9" s="261"/>
    </row>
    <row r="10" spans="1:21" s="298" customFormat="1" ht="20.149999999999999" customHeight="1">
      <c r="A10" s="696"/>
      <c r="B10" s="699"/>
      <c r="C10" s="279">
        <v>2</v>
      </c>
      <c r="D10" s="237"/>
      <c r="E10" s="238"/>
      <c r="F10" s="239"/>
      <c r="G10" s="351"/>
      <c r="H10" s="305"/>
      <c r="I10" s="306"/>
      <c r="J10" s="312"/>
      <c r="K10" s="313"/>
      <c r="L10" s="314"/>
      <c r="M10" s="322">
        <f t="shared" si="0"/>
        <v>0</v>
      </c>
      <c r="N10" s="314"/>
      <c r="O10" s="703"/>
      <c r="P10" s="704"/>
      <c r="R10" s="315"/>
      <c r="S10" s="210"/>
      <c r="T10" s="335"/>
    </row>
    <row r="11" spans="1:21" s="298" customFormat="1" ht="20.149999999999999" customHeight="1">
      <c r="A11" s="696"/>
      <c r="B11" s="699"/>
      <c r="C11" s="279">
        <v>3</v>
      </c>
      <c r="D11" s="237"/>
      <c r="E11" s="238"/>
      <c r="F11" s="239"/>
      <c r="G11" s="351"/>
      <c r="H11" s="305"/>
      <c r="I11" s="306"/>
      <c r="J11" s="312"/>
      <c r="K11" s="313"/>
      <c r="L11" s="314"/>
      <c r="M11" s="322">
        <f t="shared" si="0"/>
        <v>0</v>
      </c>
      <c r="N11" s="314"/>
      <c r="O11" s="701"/>
      <c r="P11" s="702"/>
      <c r="R11" s="315"/>
      <c r="S11" s="261"/>
    </row>
    <row r="12" spans="1:21" s="298" customFormat="1" ht="20.149999999999999" customHeight="1">
      <c r="A12" s="696"/>
      <c r="B12" s="699"/>
      <c r="C12" s="279">
        <v>4</v>
      </c>
      <c r="D12" s="237"/>
      <c r="E12" s="238"/>
      <c r="F12" s="239"/>
      <c r="G12" s="351"/>
      <c r="H12" s="305"/>
      <c r="I12" s="306"/>
      <c r="J12" s="312"/>
      <c r="K12" s="313"/>
      <c r="L12" s="314"/>
      <c r="M12" s="322">
        <f t="shared" si="0"/>
        <v>0</v>
      </c>
      <c r="N12" s="314"/>
      <c r="O12" s="701"/>
      <c r="P12" s="702"/>
      <c r="R12" s="315"/>
      <c r="S12" s="210"/>
      <c r="T12" s="335"/>
    </row>
    <row r="13" spans="1:21" s="298" customFormat="1" ht="20.149999999999999" customHeight="1" thickBot="1">
      <c r="A13" s="696"/>
      <c r="B13" s="699"/>
      <c r="C13" s="279">
        <v>5</v>
      </c>
      <c r="D13" s="237"/>
      <c r="E13" s="245"/>
      <c r="F13" s="246"/>
      <c r="G13" s="351"/>
      <c r="H13" s="305"/>
      <c r="I13" s="306"/>
      <c r="J13" s="391"/>
      <c r="K13" s="385"/>
      <c r="L13" s="317"/>
      <c r="M13" s="322">
        <f t="shared" si="0"/>
        <v>0</v>
      </c>
      <c r="N13" s="314"/>
      <c r="O13" s="701"/>
      <c r="P13" s="702"/>
      <c r="R13" s="318"/>
      <c r="S13" s="261"/>
      <c r="T13" s="289"/>
    </row>
    <row r="14" spans="1:21" s="289" customFormat="1" ht="15.75" customHeight="1" thickTop="1" thickBot="1">
      <c r="A14" s="697"/>
      <c r="B14" s="700"/>
      <c r="C14" s="709"/>
      <c r="D14" s="710"/>
      <c r="E14" s="710"/>
      <c r="F14" s="710"/>
      <c r="G14" s="710"/>
      <c r="H14" s="710"/>
      <c r="I14" s="711"/>
      <c r="J14" s="348" t="s">
        <v>58</v>
      </c>
      <c r="K14" s="212" t="e">
        <f>M14/'生產管理報表 7-1 (週)'!#REF!</f>
        <v>#REF!</v>
      </c>
      <c r="L14" s="349" t="s">
        <v>59</v>
      </c>
      <c r="M14" s="392">
        <f>SUM(M9:M13)</f>
        <v>0</v>
      </c>
      <c r="N14" s="712"/>
      <c r="O14" s="713"/>
      <c r="P14" s="714"/>
      <c r="R14" s="210"/>
      <c r="S14" s="210"/>
    </row>
    <row r="15" spans="1:21" s="289" customFormat="1" ht="15.75" customHeight="1" thickTop="1">
      <c r="B15" s="297"/>
      <c r="C15" s="298"/>
      <c r="M15" s="329"/>
      <c r="S15" s="261"/>
    </row>
    <row r="16" spans="1:21" s="289" customFormat="1" ht="15.75" customHeight="1">
      <c r="A16" s="685" t="s">
        <v>191</v>
      </c>
      <c r="B16" s="686"/>
      <c r="C16" s="275" t="s">
        <v>47</v>
      </c>
      <c r="D16" s="687" t="s">
        <v>12</v>
      </c>
      <c r="E16" s="688"/>
      <c r="F16" s="689"/>
      <c r="G16" s="690" t="s">
        <v>53</v>
      </c>
      <c r="H16" s="691"/>
      <c r="I16" s="692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693" t="s">
        <v>51</v>
      </c>
      <c r="P16" s="694"/>
      <c r="S16" s="210"/>
      <c r="T16" s="335"/>
    </row>
    <row r="17" spans="1:20" s="298" customFormat="1" ht="40" customHeight="1">
      <c r="A17" s="695">
        <v>5</v>
      </c>
      <c r="B17" s="715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1.9463405817969496E-3</v>
      </c>
      <c r="L17" s="314">
        <v>9.8000000000000007</v>
      </c>
      <c r="M17" s="322">
        <f>L17*J17</f>
        <v>1444.8140000000005</v>
      </c>
      <c r="N17" s="314"/>
      <c r="O17" s="703" t="s">
        <v>616</v>
      </c>
      <c r="P17" s="704"/>
      <c r="R17" s="335"/>
      <c r="S17" s="393"/>
    </row>
    <row r="18" spans="1:20" s="298" customFormat="1" ht="20.149999999999999" customHeight="1">
      <c r="A18" s="696"/>
      <c r="B18" s="716"/>
      <c r="C18" s="279">
        <v>2</v>
      </c>
      <c r="D18" s="237"/>
      <c r="E18" s="238"/>
      <c r="F18" s="239"/>
      <c r="G18" s="351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03"/>
      <c r="P18" s="704"/>
      <c r="S18" s="210"/>
      <c r="T18" s="336"/>
    </row>
    <row r="19" spans="1:20" s="289" customFormat="1" ht="20.149999999999999" customHeight="1">
      <c r="A19" s="696"/>
      <c r="B19" s="716"/>
      <c r="C19" s="279">
        <v>3</v>
      </c>
      <c r="D19" s="237"/>
      <c r="E19" s="281"/>
      <c r="F19" s="282"/>
      <c r="G19" s="351"/>
      <c r="H19" s="305"/>
      <c r="I19" s="306"/>
      <c r="J19" s="312"/>
      <c r="K19" s="313"/>
      <c r="L19" s="314"/>
      <c r="M19" s="322">
        <f t="shared" si="1"/>
        <v>0</v>
      </c>
      <c r="N19" s="288"/>
      <c r="O19" s="720"/>
      <c r="P19" s="721"/>
    </row>
    <row r="20" spans="1:20" s="289" customFormat="1" ht="20.149999999999999" customHeight="1">
      <c r="A20" s="696"/>
      <c r="B20" s="716"/>
      <c r="C20" s="279">
        <v>4</v>
      </c>
      <c r="D20" s="237"/>
      <c r="E20" s="281"/>
      <c r="F20" s="282"/>
      <c r="G20" s="351"/>
      <c r="H20" s="305"/>
      <c r="I20" s="306"/>
      <c r="J20" s="312"/>
      <c r="K20" s="313"/>
      <c r="L20" s="314"/>
      <c r="M20" s="322">
        <f t="shared" si="1"/>
        <v>0</v>
      </c>
      <c r="N20" s="288"/>
      <c r="O20" s="703"/>
      <c r="P20" s="704"/>
    </row>
    <row r="21" spans="1:20" s="289" customFormat="1" ht="20.149999999999999" customHeight="1" thickBot="1">
      <c r="A21" s="696"/>
      <c r="B21" s="716"/>
      <c r="C21" s="279">
        <v>5</v>
      </c>
      <c r="D21" s="244"/>
      <c r="E21" s="291"/>
      <c r="F21" s="292"/>
      <c r="G21" s="351"/>
      <c r="H21" s="305"/>
      <c r="I21" s="306"/>
      <c r="J21" s="391"/>
      <c r="K21" s="385"/>
      <c r="L21" s="317"/>
      <c r="M21" s="322">
        <f t="shared" si="1"/>
        <v>0</v>
      </c>
      <c r="N21" s="288"/>
      <c r="O21" s="808"/>
      <c r="P21" s="809"/>
      <c r="R21" s="211"/>
    </row>
    <row r="22" spans="1:20" s="289" customFormat="1" ht="15.75" customHeight="1" thickTop="1" thickBot="1">
      <c r="A22" s="697"/>
      <c r="B22" s="717"/>
      <c r="C22" s="724"/>
      <c r="D22" s="725"/>
      <c r="E22" s="725"/>
      <c r="F22" s="725"/>
      <c r="G22" s="725"/>
      <c r="H22" s="725"/>
      <c r="I22" s="726"/>
      <c r="J22" s="348" t="s">
        <v>58</v>
      </c>
      <c r="K22" s="212" t="e">
        <f>M22/'生產管理報表 7-1 (週)'!#REF!</f>
        <v>#REF!</v>
      </c>
      <c r="L22" s="349" t="s">
        <v>59</v>
      </c>
      <c r="M22" s="392">
        <f>SUM(M17:M21)</f>
        <v>1444.8140000000005</v>
      </c>
      <c r="N22" s="712"/>
      <c r="O22" s="713"/>
      <c r="P22" s="714"/>
      <c r="R22" s="210"/>
    </row>
    <row r="23" spans="1:20" s="289" customFormat="1" ht="15.75" customHeight="1" thickTop="1">
      <c r="B23" s="297"/>
      <c r="C23" s="298"/>
      <c r="M23" s="329"/>
      <c r="R23" s="210"/>
    </row>
    <row r="24" spans="1:20" s="289" customFormat="1" ht="15.75" customHeight="1">
      <c r="A24" s="685" t="s">
        <v>191</v>
      </c>
      <c r="B24" s="686"/>
      <c r="C24" s="303" t="s">
        <v>47</v>
      </c>
      <c r="D24" s="729" t="s">
        <v>12</v>
      </c>
      <c r="E24" s="730"/>
      <c r="F24" s="731"/>
      <c r="G24" s="732" t="s">
        <v>53</v>
      </c>
      <c r="H24" s="733"/>
      <c r="I24" s="734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693" t="s">
        <v>51</v>
      </c>
      <c r="P24" s="694"/>
      <c r="R24" s="210"/>
      <c r="S24" s="2"/>
    </row>
    <row r="25" spans="1:20" s="289" customFormat="1" ht="40" customHeight="1">
      <c r="A25" s="695">
        <v>6</v>
      </c>
      <c r="B25" s="715" t="s">
        <v>216</v>
      </c>
      <c r="C25" s="279">
        <v>1</v>
      </c>
      <c r="D25" s="337" t="s">
        <v>524</v>
      </c>
      <c r="E25" s="281"/>
      <c r="F25" s="282"/>
      <c r="G25" s="240" t="s">
        <v>335</v>
      </c>
      <c r="H25" s="241"/>
      <c r="I25" s="240"/>
      <c r="J25" s="312">
        <v>15.450000000000001</v>
      </c>
      <c r="K25" s="313">
        <v>3.1708401244628834E-3</v>
      </c>
      <c r="L25" s="314">
        <v>214</v>
      </c>
      <c r="M25" s="322">
        <f t="shared" ref="M25:M26" si="2">L25*J25</f>
        <v>3306.3</v>
      </c>
      <c r="N25" s="288"/>
      <c r="O25" s="720" t="s">
        <v>577</v>
      </c>
      <c r="P25" s="721"/>
      <c r="R25" s="336"/>
      <c r="S25" s="400"/>
    </row>
    <row r="26" spans="1:20" s="298" customFormat="1" ht="40" customHeight="1">
      <c r="A26" s="696"/>
      <c r="B26" s="716"/>
      <c r="C26" s="279">
        <v>2</v>
      </c>
      <c r="D26" s="237" t="s">
        <v>340</v>
      </c>
      <c r="E26" s="238"/>
      <c r="F26" s="239"/>
      <c r="G26" s="240" t="s">
        <v>535</v>
      </c>
      <c r="H26" s="241"/>
      <c r="I26" s="240"/>
      <c r="J26" s="312">
        <v>39.389999999999993</v>
      </c>
      <c r="K26" s="313">
        <v>9.8903901396435066E-4</v>
      </c>
      <c r="L26" s="314">
        <v>38.200000000000003</v>
      </c>
      <c r="M26" s="322">
        <f t="shared" si="2"/>
        <v>1504.6979999999999</v>
      </c>
      <c r="N26" s="314"/>
      <c r="O26" s="806" t="s">
        <v>598</v>
      </c>
      <c r="P26" s="807"/>
      <c r="S26" s="96"/>
    </row>
    <row r="27" spans="1:20" s="289" customFormat="1" ht="20.149999999999999" customHeight="1">
      <c r="A27" s="696"/>
      <c r="B27" s="716"/>
      <c r="C27" s="279">
        <v>3</v>
      </c>
      <c r="D27" s="280"/>
      <c r="E27" s="281"/>
      <c r="F27" s="282"/>
      <c r="G27" s="283"/>
      <c r="H27" s="284"/>
      <c r="I27" s="285"/>
      <c r="J27" s="286"/>
      <c r="K27" s="287"/>
      <c r="L27" s="288"/>
      <c r="M27" s="331">
        <v>0</v>
      </c>
      <c r="N27" s="288"/>
      <c r="O27" s="299"/>
      <c r="P27" s="300"/>
      <c r="S27" s="2"/>
    </row>
    <row r="28" spans="1:20" s="289" customFormat="1" ht="20.149999999999999" customHeight="1">
      <c r="A28" s="696"/>
      <c r="B28" s="716"/>
      <c r="C28" s="279">
        <v>4</v>
      </c>
      <c r="D28" s="280"/>
      <c r="E28" s="281"/>
      <c r="F28" s="282"/>
      <c r="G28" s="283"/>
      <c r="H28" s="284"/>
      <c r="I28" s="285"/>
      <c r="J28" s="286"/>
      <c r="K28" s="287"/>
      <c r="L28" s="288"/>
      <c r="M28" s="331">
        <v>0</v>
      </c>
      <c r="N28" s="288"/>
      <c r="O28" s="299"/>
      <c r="P28" s="300"/>
      <c r="R28" s="2"/>
      <c r="S28" s="2"/>
    </row>
    <row r="29" spans="1:20" s="289" customFormat="1" ht="20.149999999999999" customHeight="1" thickBot="1">
      <c r="A29" s="696"/>
      <c r="B29" s="716"/>
      <c r="C29" s="279">
        <v>5</v>
      </c>
      <c r="D29" s="290"/>
      <c r="E29" s="291"/>
      <c r="F29" s="292"/>
      <c r="G29" s="283"/>
      <c r="H29" s="284"/>
      <c r="I29" s="285"/>
      <c r="J29" s="391"/>
      <c r="K29" s="385"/>
      <c r="L29" s="317"/>
      <c r="M29" s="322">
        <v>0</v>
      </c>
      <c r="N29" s="288"/>
      <c r="O29" s="301"/>
      <c r="P29" s="302"/>
      <c r="R29" s="2"/>
      <c r="S29" s="2"/>
    </row>
    <row r="30" spans="1:20" s="289" customFormat="1" ht="15.75" customHeight="1" thickTop="1" thickBot="1">
      <c r="A30" s="697"/>
      <c r="B30" s="717"/>
      <c r="C30" s="724"/>
      <c r="D30" s="725"/>
      <c r="E30" s="725"/>
      <c r="F30" s="725"/>
      <c r="G30" s="725"/>
      <c r="H30" s="725"/>
      <c r="I30" s="726"/>
      <c r="J30" s="348" t="s">
        <v>58</v>
      </c>
      <c r="K30" s="212" t="e">
        <f>M30/'生產管理報表 7-1 (週)'!#REF!</f>
        <v>#REF!</v>
      </c>
      <c r="L30" s="349" t="s">
        <v>59</v>
      </c>
      <c r="M30" s="392">
        <f>SUM(M25:M29)</f>
        <v>4810.9979999999996</v>
      </c>
      <c r="N30" s="712"/>
      <c r="O30" s="713"/>
      <c r="P30" s="714"/>
      <c r="R30" s="2"/>
      <c r="S30" s="2"/>
    </row>
    <row r="31" spans="1:20" s="289" customFormat="1" ht="15.75" customHeight="1" thickTop="1">
      <c r="B31" s="297"/>
      <c r="C31" s="298"/>
      <c r="M31" s="329"/>
      <c r="R31" s="2"/>
      <c r="S31" s="2"/>
    </row>
    <row r="32" spans="1:20" s="289" customFormat="1" ht="15.75" customHeight="1">
      <c r="A32" s="685" t="s">
        <v>191</v>
      </c>
      <c r="B32" s="686"/>
      <c r="C32" s="303" t="s">
        <v>47</v>
      </c>
      <c r="D32" s="729" t="s">
        <v>12</v>
      </c>
      <c r="E32" s="730"/>
      <c r="F32" s="731"/>
      <c r="G32" s="732" t="s">
        <v>53</v>
      </c>
      <c r="H32" s="733"/>
      <c r="I32" s="734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693" t="s">
        <v>51</v>
      </c>
      <c r="P32" s="694"/>
      <c r="R32" s="2"/>
      <c r="S32" s="2"/>
    </row>
    <row r="33" spans="1:21" s="289" customFormat="1" ht="20.149999999999999" customHeight="1">
      <c r="A33" s="695">
        <v>7</v>
      </c>
      <c r="B33" s="737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40"/>
      <c r="P33" s="741"/>
      <c r="R33" s="2"/>
      <c r="S33" s="2"/>
    </row>
    <row r="34" spans="1:21" s="289" customFormat="1" ht="20.149999999999999" customHeight="1">
      <c r="A34" s="696"/>
      <c r="B34" s="738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42"/>
      <c r="P34" s="743"/>
      <c r="R34" s="2"/>
      <c r="S34" s="2"/>
    </row>
    <row r="35" spans="1:21" s="289" customFormat="1" ht="20.149999999999999" customHeight="1">
      <c r="A35" s="696"/>
      <c r="B35" s="738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42"/>
      <c r="P35" s="743"/>
      <c r="R35" s="2"/>
      <c r="S35" s="2"/>
    </row>
    <row r="36" spans="1:21" s="289" customFormat="1" ht="20.149999999999999" customHeight="1">
      <c r="A36" s="696"/>
      <c r="B36" s="738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  <c r="R36" s="2"/>
      <c r="S36" s="2"/>
    </row>
    <row r="37" spans="1:21" s="289" customFormat="1" ht="20.149999999999999" customHeight="1" thickBot="1">
      <c r="A37" s="696"/>
      <c r="B37" s="738"/>
      <c r="C37" s="279">
        <v>5</v>
      </c>
      <c r="D37" s="290"/>
      <c r="E37" s="291"/>
      <c r="F37" s="292"/>
      <c r="G37" s="283"/>
      <c r="H37" s="284"/>
      <c r="I37" s="285"/>
      <c r="J37" s="391"/>
      <c r="K37" s="385"/>
      <c r="L37" s="317"/>
      <c r="M37" s="333">
        <v>0</v>
      </c>
      <c r="N37" s="288"/>
      <c r="O37" s="301"/>
      <c r="P37" s="302"/>
      <c r="R37" s="2"/>
      <c r="S37" s="2"/>
    </row>
    <row r="38" spans="1:21" s="289" customFormat="1" ht="15.75" customHeight="1" thickTop="1" thickBot="1">
      <c r="A38" s="697"/>
      <c r="B38" s="739"/>
      <c r="C38" s="724"/>
      <c r="D38" s="725"/>
      <c r="E38" s="725"/>
      <c r="F38" s="725"/>
      <c r="G38" s="725"/>
      <c r="H38" s="725"/>
      <c r="I38" s="726"/>
      <c r="J38" s="348" t="s">
        <v>58</v>
      </c>
      <c r="K38" s="212" t="e">
        <f>M38/'生產管理報表 7-1 (週)'!#REF!</f>
        <v>#REF!</v>
      </c>
      <c r="L38" s="349" t="s">
        <v>59</v>
      </c>
      <c r="M38" s="392">
        <f>SUM(M33:M37)</f>
        <v>0</v>
      </c>
      <c r="N38" s="712"/>
      <c r="O38" s="713"/>
      <c r="P38" s="714"/>
      <c r="R38" s="2"/>
      <c r="S38" s="2"/>
      <c r="T38" s="2"/>
    </row>
    <row r="39" spans="1:21" s="135" customFormat="1" ht="15.75" customHeight="1" thickTop="1">
      <c r="A39" s="810" t="s">
        <v>643</v>
      </c>
      <c r="B39" s="805"/>
      <c r="C39" s="805"/>
      <c r="D39" s="805"/>
      <c r="E39" s="805"/>
      <c r="F39" s="805"/>
      <c r="G39" s="805"/>
      <c r="H39" s="805"/>
      <c r="I39" s="805"/>
      <c r="J39" s="805"/>
      <c r="K39" s="805"/>
      <c r="L39" s="805"/>
      <c r="M39" s="805"/>
      <c r="N39" s="456"/>
      <c r="O39" s="456"/>
      <c r="P39" s="457"/>
      <c r="R39" s="231"/>
      <c r="S39" s="231"/>
      <c r="T39" s="231"/>
      <c r="U39" s="231"/>
    </row>
    <row r="40" spans="1:21" s="136" customFormat="1" ht="15.75" customHeight="1">
      <c r="A40" s="811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458"/>
      <c r="O40" s="458"/>
      <c r="P40" s="459"/>
    </row>
    <row r="41" spans="1:21" s="135" customFormat="1" ht="15.75" customHeight="1">
      <c r="A41" s="681" t="s">
        <v>191</v>
      </c>
      <c r="B41" s="683">
        <v>1</v>
      </c>
      <c r="C41" s="684"/>
      <c r="D41" s="683">
        <v>2</v>
      </c>
      <c r="E41" s="684"/>
      <c r="F41" s="683">
        <v>3</v>
      </c>
      <c r="G41" s="684"/>
      <c r="H41" s="674">
        <v>4</v>
      </c>
      <c r="I41" s="675"/>
      <c r="J41" s="674">
        <v>5</v>
      </c>
      <c r="K41" s="675"/>
      <c r="L41" s="674">
        <v>6</v>
      </c>
      <c r="M41" s="675"/>
      <c r="N41" s="674">
        <v>7</v>
      </c>
      <c r="O41" s="675"/>
      <c r="P41" s="327">
        <v>8</v>
      </c>
    </row>
    <row r="42" spans="1:21" s="135" customFormat="1" ht="15.75" customHeight="1">
      <c r="A42" s="682"/>
      <c r="B42" s="678" t="s">
        <v>453</v>
      </c>
      <c r="C42" s="679"/>
      <c r="D42" s="678" t="s">
        <v>212</v>
      </c>
      <c r="E42" s="679"/>
      <c r="F42" s="678" t="s">
        <v>166</v>
      </c>
      <c r="G42" s="679"/>
      <c r="H42" s="676" t="s">
        <v>429</v>
      </c>
      <c r="I42" s="677"/>
      <c r="J42" s="676" t="s">
        <v>189</v>
      </c>
      <c r="K42" s="677"/>
      <c r="L42" s="676" t="s">
        <v>167</v>
      </c>
      <c r="M42" s="677"/>
      <c r="N42" s="676" t="s">
        <v>190</v>
      </c>
      <c r="O42" s="677"/>
      <c r="P42" s="328" t="s">
        <v>217</v>
      </c>
    </row>
    <row r="43" spans="1:21" s="135" customFormat="1" ht="15.75" customHeight="1">
      <c r="B43" s="232"/>
      <c r="C43" s="233"/>
    </row>
    <row r="44" spans="1:21" s="278" customFormat="1" ht="15.75" customHeight="1">
      <c r="A44" s="685" t="s">
        <v>191</v>
      </c>
      <c r="B44" s="686"/>
      <c r="C44" s="275" t="s">
        <v>47</v>
      </c>
      <c r="D44" s="687" t="s">
        <v>12</v>
      </c>
      <c r="E44" s="688"/>
      <c r="F44" s="689"/>
      <c r="G44" s="690" t="s">
        <v>53</v>
      </c>
      <c r="H44" s="691"/>
      <c r="I44" s="692"/>
      <c r="J44" s="276" t="s">
        <v>54</v>
      </c>
      <c r="K44" s="276" t="s">
        <v>55</v>
      </c>
      <c r="L44" s="276" t="s">
        <v>56</v>
      </c>
      <c r="M44" s="277" t="s">
        <v>11</v>
      </c>
      <c r="N44" s="277" t="s">
        <v>333</v>
      </c>
      <c r="O44" s="693" t="s">
        <v>51</v>
      </c>
      <c r="P44" s="694"/>
      <c r="R44" s="210"/>
      <c r="S44" s="261"/>
    </row>
    <row r="45" spans="1:21" s="298" customFormat="1" ht="20.149999999999999" customHeight="1">
      <c r="A45" s="695">
        <v>4</v>
      </c>
      <c r="B45" s="698" t="s">
        <v>429</v>
      </c>
      <c r="C45" s="279">
        <v>1</v>
      </c>
      <c r="D45" s="237"/>
      <c r="E45" s="238"/>
      <c r="F45" s="239"/>
      <c r="G45" s="351"/>
      <c r="H45" s="305"/>
      <c r="I45" s="306"/>
      <c r="J45" s="312"/>
      <c r="K45" s="313"/>
      <c r="L45" s="314"/>
      <c r="M45" s="322">
        <f t="shared" ref="M45:M49" si="4">L45*J45</f>
        <v>0</v>
      </c>
      <c r="N45" s="314"/>
      <c r="O45" s="701"/>
      <c r="P45" s="702"/>
      <c r="R45" s="315"/>
      <c r="S45" s="261"/>
    </row>
    <row r="46" spans="1:21" s="298" customFormat="1" ht="20.149999999999999" customHeight="1">
      <c r="A46" s="696"/>
      <c r="B46" s="699"/>
      <c r="C46" s="279">
        <v>2</v>
      </c>
      <c r="D46" s="237"/>
      <c r="E46" s="238"/>
      <c r="F46" s="239"/>
      <c r="G46" s="351"/>
      <c r="H46" s="305"/>
      <c r="I46" s="306"/>
      <c r="J46" s="312"/>
      <c r="K46" s="313"/>
      <c r="L46" s="314"/>
      <c r="M46" s="322">
        <f t="shared" si="4"/>
        <v>0</v>
      </c>
      <c r="N46" s="314"/>
      <c r="O46" s="703"/>
      <c r="P46" s="704"/>
      <c r="R46" s="315"/>
      <c r="S46" s="210"/>
      <c r="T46" s="335"/>
    </row>
    <row r="47" spans="1:21" s="298" customFormat="1" ht="20.149999999999999" customHeight="1">
      <c r="A47" s="696"/>
      <c r="B47" s="699"/>
      <c r="C47" s="279">
        <v>3</v>
      </c>
      <c r="D47" s="237"/>
      <c r="E47" s="238"/>
      <c r="F47" s="239"/>
      <c r="G47" s="351"/>
      <c r="H47" s="305"/>
      <c r="I47" s="306"/>
      <c r="J47" s="312"/>
      <c r="K47" s="313"/>
      <c r="L47" s="314"/>
      <c r="M47" s="322">
        <f t="shared" si="4"/>
        <v>0</v>
      </c>
      <c r="N47" s="314"/>
      <c r="O47" s="701"/>
      <c r="P47" s="702"/>
      <c r="R47" s="315"/>
      <c r="S47" s="261"/>
    </row>
    <row r="48" spans="1:21" s="298" customFormat="1" ht="20.149999999999999" customHeight="1">
      <c r="A48" s="696"/>
      <c r="B48" s="699"/>
      <c r="C48" s="279">
        <v>4</v>
      </c>
      <c r="D48" s="237"/>
      <c r="E48" s="238"/>
      <c r="F48" s="239"/>
      <c r="G48" s="351"/>
      <c r="H48" s="305"/>
      <c r="I48" s="306"/>
      <c r="J48" s="312"/>
      <c r="K48" s="313"/>
      <c r="L48" s="314"/>
      <c r="M48" s="322">
        <f t="shared" si="4"/>
        <v>0</v>
      </c>
      <c r="N48" s="314"/>
      <c r="O48" s="701"/>
      <c r="P48" s="702"/>
      <c r="R48" s="315"/>
      <c r="S48" s="210"/>
      <c r="T48" s="335"/>
    </row>
    <row r="49" spans="1:20" s="298" customFormat="1" ht="20.149999999999999" customHeight="1" thickBot="1">
      <c r="A49" s="696"/>
      <c r="B49" s="699"/>
      <c r="C49" s="279">
        <v>5</v>
      </c>
      <c r="D49" s="237"/>
      <c r="E49" s="245"/>
      <c r="F49" s="246"/>
      <c r="G49" s="351"/>
      <c r="H49" s="305"/>
      <c r="I49" s="306"/>
      <c r="J49" s="391"/>
      <c r="K49" s="385"/>
      <c r="L49" s="317"/>
      <c r="M49" s="322">
        <f t="shared" si="4"/>
        <v>0</v>
      </c>
      <c r="N49" s="314"/>
      <c r="O49" s="701"/>
      <c r="P49" s="702"/>
      <c r="R49" s="318"/>
      <c r="S49" s="261"/>
      <c r="T49" s="289"/>
    </row>
    <row r="50" spans="1:20" s="289" customFormat="1" ht="15.75" customHeight="1" thickTop="1" thickBot="1">
      <c r="A50" s="697"/>
      <c r="B50" s="700"/>
      <c r="C50" s="709"/>
      <c r="D50" s="710"/>
      <c r="E50" s="710"/>
      <c r="F50" s="710"/>
      <c r="G50" s="710"/>
      <c r="H50" s="710"/>
      <c r="I50" s="711"/>
      <c r="J50" s="348" t="s">
        <v>58</v>
      </c>
      <c r="K50" s="212" t="e">
        <f>M50/'生產管理報表 7-1 (週)'!#REF!</f>
        <v>#REF!</v>
      </c>
      <c r="L50" s="349" t="s">
        <v>59</v>
      </c>
      <c r="M50" s="392">
        <f>SUM(M45:M49)</f>
        <v>0</v>
      </c>
      <c r="N50" s="712"/>
      <c r="O50" s="713"/>
      <c r="P50" s="714"/>
      <c r="R50" s="210"/>
      <c r="S50" s="210"/>
    </row>
    <row r="51" spans="1:20" s="289" customFormat="1" ht="15.75" customHeight="1" thickTop="1">
      <c r="B51" s="297"/>
      <c r="C51" s="298"/>
      <c r="M51" s="329"/>
      <c r="S51" s="261"/>
    </row>
    <row r="52" spans="1:20" s="289" customFormat="1" ht="15.75" customHeight="1">
      <c r="A52" s="685" t="s">
        <v>191</v>
      </c>
      <c r="B52" s="686"/>
      <c r="C52" s="275" t="s">
        <v>47</v>
      </c>
      <c r="D52" s="687" t="s">
        <v>12</v>
      </c>
      <c r="E52" s="688"/>
      <c r="F52" s="689"/>
      <c r="G52" s="690" t="s">
        <v>53</v>
      </c>
      <c r="H52" s="691"/>
      <c r="I52" s="692"/>
      <c r="J52" s="276" t="s">
        <v>54</v>
      </c>
      <c r="K52" s="276" t="s">
        <v>55</v>
      </c>
      <c r="L52" s="276" t="s">
        <v>56</v>
      </c>
      <c r="M52" s="330" t="s">
        <v>11</v>
      </c>
      <c r="N52" s="277" t="s">
        <v>333</v>
      </c>
      <c r="O52" s="693" t="s">
        <v>51</v>
      </c>
      <c r="P52" s="694"/>
      <c r="S52" s="210"/>
      <c r="T52" s="335"/>
    </row>
    <row r="53" spans="1:20" s="298" customFormat="1" ht="40" customHeight="1">
      <c r="A53" s="695">
        <v>5</v>
      </c>
      <c r="B53" s="715" t="s">
        <v>215</v>
      </c>
      <c r="C53" s="279">
        <v>1</v>
      </c>
      <c r="D53" s="237" t="s">
        <v>340</v>
      </c>
      <c r="E53" s="238"/>
      <c r="F53" s="239"/>
      <c r="G53" s="306" t="s">
        <v>336</v>
      </c>
      <c r="H53" s="305"/>
      <c r="I53" s="306"/>
      <c r="J53" s="312">
        <v>147.43000000000004</v>
      </c>
      <c r="K53" s="313">
        <v>2.1109509193583701E-3</v>
      </c>
      <c r="L53" s="314">
        <v>10.220000000000001</v>
      </c>
      <c r="M53" s="322">
        <f>L53*J53</f>
        <v>1506.7346000000005</v>
      </c>
      <c r="N53" s="314"/>
      <c r="O53" s="703" t="s">
        <v>616</v>
      </c>
      <c r="P53" s="704"/>
      <c r="R53" s="335"/>
      <c r="S53" s="393"/>
    </row>
    <row r="54" spans="1:20" s="298" customFormat="1" ht="20.149999999999999" customHeight="1">
      <c r="A54" s="696"/>
      <c r="B54" s="716"/>
      <c r="C54" s="279">
        <v>2</v>
      </c>
      <c r="D54" s="237"/>
      <c r="E54" s="238"/>
      <c r="F54" s="239"/>
      <c r="G54" s="351"/>
      <c r="H54" s="305"/>
      <c r="I54" s="306"/>
      <c r="J54" s="312"/>
      <c r="K54" s="313"/>
      <c r="L54" s="314"/>
      <c r="M54" s="322">
        <f t="shared" ref="M54:M57" si="5">L54*J54</f>
        <v>0</v>
      </c>
      <c r="N54" s="314"/>
      <c r="O54" s="703"/>
      <c r="P54" s="704"/>
      <c r="S54" s="210"/>
      <c r="T54" s="336"/>
    </row>
    <row r="55" spans="1:20" s="289" customFormat="1" ht="20.149999999999999" customHeight="1">
      <c r="A55" s="696"/>
      <c r="B55" s="716"/>
      <c r="C55" s="279">
        <v>3</v>
      </c>
      <c r="D55" s="237"/>
      <c r="E55" s="281"/>
      <c r="F55" s="282"/>
      <c r="G55" s="351"/>
      <c r="H55" s="305"/>
      <c r="I55" s="306"/>
      <c r="J55" s="312"/>
      <c r="K55" s="313"/>
      <c r="L55" s="314"/>
      <c r="M55" s="322">
        <f t="shared" si="5"/>
        <v>0</v>
      </c>
      <c r="N55" s="288"/>
      <c r="O55" s="720"/>
      <c r="P55" s="721"/>
    </row>
    <row r="56" spans="1:20" s="289" customFormat="1" ht="20.149999999999999" customHeight="1">
      <c r="A56" s="696"/>
      <c r="B56" s="716"/>
      <c r="C56" s="279">
        <v>4</v>
      </c>
      <c r="D56" s="237"/>
      <c r="E56" s="281"/>
      <c r="F56" s="282"/>
      <c r="G56" s="351"/>
      <c r="H56" s="305"/>
      <c r="I56" s="306"/>
      <c r="J56" s="312"/>
      <c r="K56" s="313"/>
      <c r="L56" s="314"/>
      <c r="M56" s="322">
        <f t="shared" si="5"/>
        <v>0</v>
      </c>
      <c r="N56" s="288"/>
      <c r="O56" s="703"/>
      <c r="P56" s="704"/>
    </row>
    <row r="57" spans="1:20" s="289" customFormat="1" ht="20.149999999999999" customHeight="1" thickBot="1">
      <c r="A57" s="696"/>
      <c r="B57" s="716"/>
      <c r="C57" s="279">
        <v>5</v>
      </c>
      <c r="D57" s="244"/>
      <c r="E57" s="291"/>
      <c r="F57" s="292"/>
      <c r="G57" s="351"/>
      <c r="H57" s="305"/>
      <c r="I57" s="306"/>
      <c r="J57" s="391"/>
      <c r="K57" s="385"/>
      <c r="L57" s="317"/>
      <c r="M57" s="322">
        <f t="shared" si="5"/>
        <v>0</v>
      </c>
      <c r="N57" s="288"/>
      <c r="O57" s="808"/>
      <c r="P57" s="809"/>
      <c r="R57" s="211"/>
    </row>
    <row r="58" spans="1:20" s="289" customFormat="1" ht="15.75" customHeight="1" thickTop="1" thickBot="1">
      <c r="A58" s="697"/>
      <c r="B58" s="717"/>
      <c r="C58" s="724"/>
      <c r="D58" s="725"/>
      <c r="E58" s="725"/>
      <c r="F58" s="725"/>
      <c r="G58" s="725"/>
      <c r="H58" s="725"/>
      <c r="I58" s="726"/>
      <c r="J58" s="348" t="s">
        <v>58</v>
      </c>
      <c r="K58" s="212" t="e">
        <f>M58/'生產管理報表 7-1 (週)'!#REF!</f>
        <v>#REF!</v>
      </c>
      <c r="L58" s="349" t="s">
        <v>59</v>
      </c>
      <c r="M58" s="392">
        <f>SUM(M53:M57)</f>
        <v>1506.7346000000005</v>
      </c>
      <c r="N58" s="712"/>
      <c r="O58" s="713"/>
      <c r="P58" s="714"/>
      <c r="R58" s="210"/>
    </row>
    <row r="59" spans="1:20" s="289" customFormat="1" ht="15.75" customHeight="1" thickTop="1">
      <c r="B59" s="297"/>
      <c r="C59" s="298"/>
      <c r="M59" s="329"/>
      <c r="R59" s="210"/>
    </row>
    <row r="60" spans="1:20" s="289" customFormat="1" ht="15.75" customHeight="1">
      <c r="A60" s="685" t="s">
        <v>191</v>
      </c>
      <c r="B60" s="686"/>
      <c r="C60" s="303" t="s">
        <v>47</v>
      </c>
      <c r="D60" s="729" t="s">
        <v>12</v>
      </c>
      <c r="E60" s="730"/>
      <c r="F60" s="731"/>
      <c r="G60" s="732" t="s">
        <v>53</v>
      </c>
      <c r="H60" s="733"/>
      <c r="I60" s="734"/>
      <c r="J60" s="304" t="s">
        <v>54</v>
      </c>
      <c r="K60" s="276" t="s">
        <v>55</v>
      </c>
      <c r="L60" s="276" t="s">
        <v>56</v>
      </c>
      <c r="M60" s="330" t="s">
        <v>11</v>
      </c>
      <c r="N60" s="277" t="s">
        <v>333</v>
      </c>
      <c r="O60" s="693" t="s">
        <v>51</v>
      </c>
      <c r="P60" s="694"/>
      <c r="R60" s="210"/>
      <c r="S60" s="2"/>
    </row>
    <row r="61" spans="1:20" s="289" customFormat="1" ht="40" customHeight="1">
      <c r="A61" s="695">
        <v>6</v>
      </c>
      <c r="B61" s="715" t="s">
        <v>216</v>
      </c>
      <c r="C61" s="279">
        <v>1</v>
      </c>
      <c r="D61" s="337" t="s">
        <v>524</v>
      </c>
      <c r="E61" s="281"/>
      <c r="F61" s="282"/>
      <c r="G61" s="240" t="s">
        <v>335</v>
      </c>
      <c r="H61" s="241"/>
      <c r="I61" s="240"/>
      <c r="J61" s="312">
        <v>15.450000000000001</v>
      </c>
      <c r="K61" s="313">
        <v>2.7153030380654745E-3</v>
      </c>
      <c r="L61" s="314">
        <v>212</v>
      </c>
      <c r="M61" s="322">
        <f t="shared" ref="M61:M65" si="6">L61*J61</f>
        <v>3275.4</v>
      </c>
      <c r="N61" s="288"/>
      <c r="O61" s="720" t="s">
        <v>577</v>
      </c>
      <c r="P61" s="721"/>
      <c r="R61" s="336"/>
      <c r="S61" s="400"/>
    </row>
    <row r="62" spans="1:20" s="289" customFormat="1" ht="30" customHeight="1">
      <c r="A62" s="696"/>
      <c r="B62" s="716"/>
      <c r="C62" s="279">
        <v>2</v>
      </c>
      <c r="D62" s="280" t="s">
        <v>340</v>
      </c>
      <c r="E62" s="281"/>
      <c r="F62" s="282"/>
      <c r="G62" s="285" t="s">
        <v>535</v>
      </c>
      <c r="H62" s="284"/>
      <c r="I62" s="285"/>
      <c r="J62" s="286">
        <v>39.389999999999993</v>
      </c>
      <c r="K62" s="287">
        <v>1.0461859327062402E-3</v>
      </c>
      <c r="L62" s="288">
        <v>37.22</v>
      </c>
      <c r="M62" s="322">
        <f t="shared" si="6"/>
        <v>1466.0957999999996</v>
      </c>
      <c r="N62" s="288"/>
      <c r="O62" s="720" t="s">
        <v>598</v>
      </c>
      <c r="P62" s="721"/>
      <c r="S62" s="2"/>
    </row>
    <row r="63" spans="1:20" s="289" customFormat="1" ht="30" customHeight="1">
      <c r="A63" s="696"/>
      <c r="B63" s="716"/>
      <c r="C63" s="279">
        <v>3</v>
      </c>
      <c r="D63" s="280" t="s">
        <v>642</v>
      </c>
      <c r="E63" s="281"/>
      <c r="F63" s="282"/>
      <c r="G63" s="285" t="s">
        <v>651</v>
      </c>
      <c r="H63" s="284"/>
      <c r="I63" s="285"/>
      <c r="J63" s="286">
        <v>43.889999999999993</v>
      </c>
      <c r="K63" s="287">
        <v>5.2488788879845533E-3</v>
      </c>
      <c r="L63" s="288">
        <v>32.89</v>
      </c>
      <c r="M63" s="322">
        <f t="shared" si="6"/>
        <v>1443.5420999999999</v>
      </c>
      <c r="N63" s="288"/>
      <c r="O63" s="720" t="s">
        <v>598</v>
      </c>
      <c r="P63" s="721"/>
      <c r="S63" s="2"/>
    </row>
    <row r="64" spans="1:20" s="289" customFormat="1" ht="30" customHeight="1">
      <c r="A64" s="696"/>
      <c r="B64" s="716"/>
      <c r="C64" s="279">
        <v>4</v>
      </c>
      <c r="D64" s="280" t="s">
        <v>545</v>
      </c>
      <c r="E64" s="281"/>
      <c r="F64" s="282"/>
      <c r="G64" s="285" t="s">
        <v>546</v>
      </c>
      <c r="H64" s="284"/>
      <c r="I64" s="285"/>
      <c r="J64" s="286">
        <v>62.43</v>
      </c>
      <c r="K64" s="287">
        <v>6.8846475001072636E-3</v>
      </c>
      <c r="L64" s="288">
        <v>20.86</v>
      </c>
      <c r="M64" s="322">
        <f t="shared" si="6"/>
        <v>1302.2898</v>
      </c>
      <c r="N64" s="288"/>
      <c r="O64" s="720" t="s">
        <v>598</v>
      </c>
      <c r="P64" s="721"/>
      <c r="R64" s="2"/>
      <c r="S64" s="2"/>
    </row>
    <row r="65" spans="1:21" s="289" customFormat="1" ht="30" customHeight="1" thickBot="1">
      <c r="A65" s="696"/>
      <c r="B65" s="716"/>
      <c r="C65" s="279">
        <v>5</v>
      </c>
      <c r="D65" s="290" t="s">
        <v>621</v>
      </c>
      <c r="E65" s="291"/>
      <c r="F65" s="292"/>
      <c r="G65" s="285" t="s">
        <v>626</v>
      </c>
      <c r="H65" s="284"/>
      <c r="I65" s="285"/>
      <c r="J65" s="391">
        <v>39.389999999999993</v>
      </c>
      <c r="K65" s="385">
        <v>5.8750987266000636E-3</v>
      </c>
      <c r="L65" s="317">
        <v>29.68</v>
      </c>
      <c r="M65" s="322">
        <f t="shared" si="6"/>
        <v>1169.0951999999997</v>
      </c>
      <c r="N65" s="288"/>
      <c r="O65" s="720" t="s">
        <v>598</v>
      </c>
      <c r="P65" s="721"/>
      <c r="R65" s="2"/>
      <c r="S65" s="2"/>
    </row>
    <row r="66" spans="1:21" s="289" customFormat="1" ht="15.75" customHeight="1" thickTop="1" thickBot="1">
      <c r="A66" s="697"/>
      <c r="B66" s="717"/>
      <c r="C66" s="724"/>
      <c r="D66" s="725"/>
      <c r="E66" s="725"/>
      <c r="F66" s="725"/>
      <c r="G66" s="725"/>
      <c r="H66" s="725"/>
      <c r="I66" s="726"/>
      <c r="J66" s="348" t="s">
        <v>58</v>
      </c>
      <c r="K66" s="212" t="e">
        <f>M66/'生產管理報表 7-1 (週)'!#REF!</f>
        <v>#REF!</v>
      </c>
      <c r="L66" s="349" t="s">
        <v>59</v>
      </c>
      <c r="M66" s="392">
        <f>SUM(M61:M65)</f>
        <v>8656.4228999999996</v>
      </c>
      <c r="N66" s="712"/>
      <c r="O66" s="713"/>
      <c r="P66" s="714"/>
      <c r="R66" s="2"/>
      <c r="S66" s="2"/>
    </row>
    <row r="67" spans="1:21" s="289" customFormat="1" ht="15.75" customHeight="1" thickTop="1">
      <c r="B67" s="297"/>
      <c r="C67" s="298"/>
      <c r="M67" s="329"/>
      <c r="O67" s="289" t="s">
        <v>669</v>
      </c>
      <c r="R67" s="2"/>
      <c r="S67" s="2"/>
    </row>
    <row r="68" spans="1:21" s="289" customFormat="1" ht="15.75" customHeight="1">
      <c r="A68" s="685" t="s">
        <v>191</v>
      </c>
      <c r="B68" s="686"/>
      <c r="C68" s="303" t="s">
        <v>47</v>
      </c>
      <c r="D68" s="729" t="s">
        <v>12</v>
      </c>
      <c r="E68" s="730"/>
      <c r="F68" s="731"/>
      <c r="G68" s="732" t="s">
        <v>53</v>
      </c>
      <c r="H68" s="733"/>
      <c r="I68" s="734"/>
      <c r="J68" s="304" t="s">
        <v>54</v>
      </c>
      <c r="K68" s="276" t="s">
        <v>55</v>
      </c>
      <c r="L68" s="276" t="s">
        <v>56</v>
      </c>
      <c r="M68" s="330" t="s">
        <v>11</v>
      </c>
      <c r="N68" s="277" t="s">
        <v>333</v>
      </c>
      <c r="O68" s="693" t="s">
        <v>51</v>
      </c>
      <c r="P68" s="694"/>
      <c r="R68" s="2"/>
      <c r="S68" s="2"/>
    </row>
    <row r="69" spans="1:21" s="289" customFormat="1" ht="20.149999999999999" customHeight="1">
      <c r="A69" s="695">
        <v>7</v>
      </c>
      <c r="B69" s="737" t="s">
        <v>249</v>
      </c>
      <c r="C69" s="279">
        <v>1</v>
      </c>
      <c r="D69" s="280"/>
      <c r="E69" s="281"/>
      <c r="F69" s="282"/>
      <c r="G69" s="283"/>
      <c r="H69" s="284"/>
      <c r="I69" s="285"/>
      <c r="J69" s="286"/>
      <c r="K69" s="287"/>
      <c r="L69" s="288"/>
      <c r="M69" s="331">
        <f t="shared" ref="M69:M71" si="7">L69*J69</f>
        <v>0</v>
      </c>
      <c r="N69" s="288"/>
      <c r="O69" s="740"/>
      <c r="P69" s="741"/>
      <c r="R69" s="2"/>
      <c r="S69" s="2"/>
    </row>
    <row r="70" spans="1:21" s="289" customFormat="1" ht="20.149999999999999" customHeight="1">
      <c r="A70" s="696"/>
      <c r="B70" s="738"/>
      <c r="C70" s="279">
        <v>2</v>
      </c>
      <c r="D70" s="280"/>
      <c r="E70" s="281"/>
      <c r="F70" s="282"/>
      <c r="G70" s="283"/>
      <c r="H70" s="284"/>
      <c r="I70" s="285"/>
      <c r="J70" s="286"/>
      <c r="K70" s="287"/>
      <c r="L70" s="288"/>
      <c r="M70" s="331">
        <f t="shared" si="7"/>
        <v>0</v>
      </c>
      <c r="N70" s="288"/>
      <c r="O70" s="742"/>
      <c r="P70" s="743"/>
      <c r="R70" s="2"/>
      <c r="S70" s="2"/>
    </row>
    <row r="71" spans="1:21" s="289" customFormat="1" ht="20.149999999999999" customHeight="1">
      <c r="A71" s="696"/>
      <c r="B71" s="738"/>
      <c r="C71" s="279">
        <v>3</v>
      </c>
      <c r="D71" s="280"/>
      <c r="E71" s="281"/>
      <c r="F71" s="282"/>
      <c r="G71" s="283"/>
      <c r="H71" s="284"/>
      <c r="I71" s="285"/>
      <c r="J71" s="286"/>
      <c r="K71" s="287"/>
      <c r="L71" s="288"/>
      <c r="M71" s="331">
        <f t="shared" si="7"/>
        <v>0</v>
      </c>
      <c r="N71" s="288"/>
      <c r="O71" s="742"/>
      <c r="P71" s="743"/>
      <c r="R71" s="2"/>
      <c r="S71" s="2"/>
    </row>
    <row r="72" spans="1:21" s="289" customFormat="1" ht="20.149999999999999" customHeight="1">
      <c r="A72" s="696"/>
      <c r="B72" s="738"/>
      <c r="C72" s="279">
        <v>4</v>
      </c>
      <c r="D72" s="280"/>
      <c r="E72" s="281"/>
      <c r="F72" s="282"/>
      <c r="G72" s="283"/>
      <c r="H72" s="284"/>
      <c r="I72" s="285"/>
      <c r="J72" s="286"/>
      <c r="K72" s="287"/>
      <c r="L72" s="288"/>
      <c r="M72" s="332">
        <v>0</v>
      </c>
      <c r="N72" s="288"/>
      <c r="O72" s="299"/>
      <c r="P72" s="300"/>
      <c r="R72" s="2"/>
      <c r="S72" s="2"/>
    </row>
    <row r="73" spans="1:21" s="289" customFormat="1" ht="20.149999999999999" customHeight="1" thickBot="1">
      <c r="A73" s="696"/>
      <c r="B73" s="738"/>
      <c r="C73" s="279">
        <v>5</v>
      </c>
      <c r="D73" s="290"/>
      <c r="E73" s="291"/>
      <c r="F73" s="292"/>
      <c r="G73" s="283"/>
      <c r="H73" s="284"/>
      <c r="I73" s="285"/>
      <c r="J73" s="391"/>
      <c r="K73" s="385"/>
      <c r="L73" s="317"/>
      <c r="M73" s="333">
        <v>0</v>
      </c>
      <c r="N73" s="288"/>
      <c r="O73" s="301"/>
      <c r="P73" s="302"/>
      <c r="R73" s="2"/>
      <c r="S73" s="2"/>
    </row>
    <row r="74" spans="1:21" s="289" customFormat="1" ht="15.75" customHeight="1" thickTop="1" thickBot="1">
      <c r="A74" s="697"/>
      <c r="B74" s="739"/>
      <c r="C74" s="724"/>
      <c r="D74" s="725"/>
      <c r="E74" s="725"/>
      <c r="F74" s="725"/>
      <c r="G74" s="725"/>
      <c r="H74" s="725"/>
      <c r="I74" s="726"/>
      <c r="J74" s="348" t="s">
        <v>58</v>
      </c>
      <c r="K74" s="212" t="e">
        <f>M74/'生產管理報表 7-1 (週)'!#REF!</f>
        <v>#REF!</v>
      </c>
      <c r="L74" s="349" t="s">
        <v>59</v>
      </c>
      <c r="M74" s="392">
        <f>SUM(M69:M73)</f>
        <v>0</v>
      </c>
      <c r="N74" s="712"/>
      <c r="O74" s="713"/>
      <c r="P74" s="714"/>
      <c r="R74" s="2"/>
      <c r="S74" s="2"/>
      <c r="T74" s="2"/>
    </row>
    <row r="75" spans="1:21" s="135" customFormat="1" ht="15.75" customHeight="1" thickTop="1">
      <c r="A75" s="810" t="s">
        <v>645</v>
      </c>
      <c r="B75" s="805"/>
      <c r="C75" s="805"/>
      <c r="D75" s="805"/>
      <c r="E75" s="805"/>
      <c r="F75" s="805"/>
      <c r="G75" s="805"/>
      <c r="H75" s="805"/>
      <c r="I75" s="805"/>
      <c r="J75" s="805"/>
      <c r="K75" s="805"/>
      <c r="L75" s="805"/>
      <c r="M75" s="805"/>
      <c r="N75" s="456"/>
      <c r="O75" s="456"/>
      <c r="P75" s="457"/>
      <c r="R75" s="231"/>
      <c r="S75" s="231"/>
      <c r="T75" s="231"/>
      <c r="U75" s="231"/>
    </row>
    <row r="76" spans="1:21" s="136" customFormat="1" ht="15.75" customHeight="1">
      <c r="A76" s="811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458"/>
      <c r="O76" s="458"/>
      <c r="P76" s="459"/>
    </row>
    <row r="77" spans="1:21" s="135" customFormat="1" ht="15.75" customHeight="1">
      <c r="A77" s="681" t="s">
        <v>191</v>
      </c>
      <c r="B77" s="683">
        <v>1</v>
      </c>
      <c r="C77" s="684"/>
      <c r="D77" s="683">
        <v>2</v>
      </c>
      <c r="E77" s="684"/>
      <c r="F77" s="683">
        <v>3</v>
      </c>
      <c r="G77" s="684"/>
      <c r="H77" s="674">
        <v>4</v>
      </c>
      <c r="I77" s="675"/>
      <c r="J77" s="674">
        <v>5</v>
      </c>
      <c r="K77" s="675"/>
      <c r="L77" s="674">
        <v>6</v>
      </c>
      <c r="M77" s="675"/>
      <c r="N77" s="674">
        <v>7</v>
      </c>
      <c r="O77" s="675"/>
      <c r="P77" s="327">
        <v>8</v>
      </c>
    </row>
    <row r="78" spans="1:21" s="135" customFormat="1" ht="15.75" customHeight="1">
      <c r="A78" s="682"/>
      <c r="B78" s="678" t="s">
        <v>453</v>
      </c>
      <c r="C78" s="679"/>
      <c r="D78" s="678" t="s">
        <v>212</v>
      </c>
      <c r="E78" s="679"/>
      <c r="F78" s="678" t="s">
        <v>166</v>
      </c>
      <c r="G78" s="679"/>
      <c r="H78" s="676" t="s">
        <v>429</v>
      </c>
      <c r="I78" s="677"/>
      <c r="J78" s="676" t="s">
        <v>189</v>
      </c>
      <c r="K78" s="677"/>
      <c r="L78" s="676" t="s">
        <v>167</v>
      </c>
      <c r="M78" s="677"/>
      <c r="N78" s="676" t="s">
        <v>190</v>
      </c>
      <c r="O78" s="677"/>
      <c r="P78" s="328" t="s">
        <v>217</v>
      </c>
    </row>
    <row r="79" spans="1:21" s="135" customFormat="1" ht="15.75" customHeight="1">
      <c r="B79" s="232"/>
      <c r="C79" s="233"/>
    </row>
    <row r="80" spans="1:21" s="278" customFormat="1" ht="15.75" customHeight="1">
      <c r="A80" s="685" t="s">
        <v>191</v>
      </c>
      <c r="B80" s="686"/>
      <c r="C80" s="275" t="s">
        <v>47</v>
      </c>
      <c r="D80" s="687" t="s">
        <v>12</v>
      </c>
      <c r="E80" s="688"/>
      <c r="F80" s="689"/>
      <c r="G80" s="690" t="s">
        <v>53</v>
      </c>
      <c r="H80" s="691"/>
      <c r="I80" s="692"/>
      <c r="J80" s="276" t="s">
        <v>54</v>
      </c>
      <c r="K80" s="276" t="s">
        <v>55</v>
      </c>
      <c r="L80" s="276" t="s">
        <v>56</v>
      </c>
      <c r="M80" s="277" t="s">
        <v>11</v>
      </c>
      <c r="N80" s="277" t="s">
        <v>333</v>
      </c>
      <c r="O80" s="693" t="s">
        <v>51</v>
      </c>
      <c r="P80" s="694"/>
      <c r="R80" s="210"/>
      <c r="S80" s="261"/>
    </row>
    <row r="81" spans="1:20" s="298" customFormat="1" ht="20.149999999999999" customHeight="1">
      <c r="A81" s="695">
        <v>4</v>
      </c>
      <c r="B81" s="698" t="s">
        <v>429</v>
      </c>
      <c r="C81" s="279">
        <v>1</v>
      </c>
      <c r="D81" s="237"/>
      <c r="E81" s="238"/>
      <c r="F81" s="239"/>
      <c r="G81" s="351"/>
      <c r="H81" s="305"/>
      <c r="I81" s="306"/>
      <c r="J81" s="312"/>
      <c r="K81" s="313"/>
      <c r="L81" s="314"/>
      <c r="M81" s="322">
        <f t="shared" ref="M81:M85" si="8">L81*J81</f>
        <v>0</v>
      </c>
      <c r="N81" s="314"/>
      <c r="O81" s="701"/>
      <c r="P81" s="702"/>
      <c r="R81" s="315"/>
      <c r="S81" s="261"/>
    </row>
    <row r="82" spans="1:20" s="298" customFormat="1" ht="20.149999999999999" customHeight="1">
      <c r="A82" s="696"/>
      <c r="B82" s="699"/>
      <c r="C82" s="279">
        <v>2</v>
      </c>
      <c r="D82" s="237"/>
      <c r="E82" s="238"/>
      <c r="F82" s="239"/>
      <c r="G82" s="351"/>
      <c r="H82" s="305"/>
      <c r="I82" s="306"/>
      <c r="J82" s="312"/>
      <c r="K82" s="313"/>
      <c r="L82" s="314"/>
      <c r="M82" s="322">
        <f t="shared" si="8"/>
        <v>0</v>
      </c>
      <c r="N82" s="314"/>
      <c r="O82" s="703"/>
      <c r="P82" s="704"/>
      <c r="R82" s="315"/>
      <c r="S82" s="210"/>
      <c r="T82" s="335"/>
    </row>
    <row r="83" spans="1:20" s="298" customFormat="1" ht="20.149999999999999" customHeight="1">
      <c r="A83" s="696"/>
      <c r="B83" s="699"/>
      <c r="C83" s="279">
        <v>3</v>
      </c>
      <c r="D83" s="237"/>
      <c r="E83" s="238"/>
      <c r="F83" s="239"/>
      <c r="G83" s="351"/>
      <c r="H83" s="305"/>
      <c r="I83" s="306"/>
      <c r="J83" s="312"/>
      <c r="K83" s="313"/>
      <c r="L83" s="314"/>
      <c r="M83" s="322">
        <f t="shared" si="8"/>
        <v>0</v>
      </c>
      <c r="N83" s="314"/>
      <c r="O83" s="701"/>
      <c r="P83" s="702"/>
      <c r="R83" s="315"/>
      <c r="S83" s="261"/>
    </row>
    <row r="84" spans="1:20" s="298" customFormat="1" ht="20.149999999999999" customHeight="1">
      <c r="A84" s="696"/>
      <c r="B84" s="699"/>
      <c r="C84" s="279">
        <v>4</v>
      </c>
      <c r="D84" s="237"/>
      <c r="E84" s="238"/>
      <c r="F84" s="239"/>
      <c r="G84" s="351"/>
      <c r="H84" s="305"/>
      <c r="I84" s="306"/>
      <c r="J84" s="312"/>
      <c r="K84" s="313"/>
      <c r="L84" s="314"/>
      <c r="M84" s="322">
        <f t="shared" si="8"/>
        <v>0</v>
      </c>
      <c r="N84" s="314"/>
      <c r="O84" s="701"/>
      <c r="P84" s="702"/>
      <c r="R84" s="315"/>
      <c r="S84" s="210"/>
      <c r="T84" s="335"/>
    </row>
    <row r="85" spans="1:20" s="298" customFormat="1" ht="20.149999999999999" customHeight="1" thickBot="1">
      <c r="A85" s="696"/>
      <c r="B85" s="699"/>
      <c r="C85" s="279">
        <v>5</v>
      </c>
      <c r="D85" s="237"/>
      <c r="E85" s="245"/>
      <c r="F85" s="246"/>
      <c r="G85" s="351"/>
      <c r="H85" s="305"/>
      <c r="I85" s="306"/>
      <c r="J85" s="391"/>
      <c r="K85" s="385"/>
      <c r="L85" s="317"/>
      <c r="M85" s="322">
        <f t="shared" si="8"/>
        <v>0</v>
      </c>
      <c r="N85" s="314"/>
      <c r="O85" s="701"/>
      <c r="P85" s="702"/>
      <c r="R85" s="318"/>
      <c r="S85" s="261"/>
      <c r="T85" s="289"/>
    </row>
    <row r="86" spans="1:20" s="289" customFormat="1" ht="15.75" customHeight="1" thickTop="1" thickBot="1">
      <c r="A86" s="697"/>
      <c r="B86" s="700"/>
      <c r="C86" s="709"/>
      <c r="D86" s="710"/>
      <c r="E86" s="710"/>
      <c r="F86" s="710"/>
      <c r="G86" s="710"/>
      <c r="H86" s="710"/>
      <c r="I86" s="711"/>
      <c r="J86" s="348" t="s">
        <v>58</v>
      </c>
      <c r="K86" s="212" t="e">
        <f>M86/'生產管理報表 7-1 (週)'!#REF!</f>
        <v>#REF!</v>
      </c>
      <c r="L86" s="349" t="s">
        <v>59</v>
      </c>
      <c r="M86" s="392">
        <f>SUM(M81:M85)</f>
        <v>0</v>
      </c>
      <c r="N86" s="712"/>
      <c r="O86" s="713"/>
      <c r="P86" s="714"/>
      <c r="R86" s="210"/>
      <c r="S86" s="210"/>
    </row>
    <row r="87" spans="1:20" s="289" customFormat="1" ht="15.75" customHeight="1" thickTop="1">
      <c r="B87" s="297"/>
      <c r="C87" s="298"/>
      <c r="M87" s="329"/>
      <c r="S87" s="261"/>
    </row>
    <row r="88" spans="1:20" s="289" customFormat="1" ht="15.75" customHeight="1">
      <c r="A88" s="685" t="s">
        <v>191</v>
      </c>
      <c r="B88" s="686"/>
      <c r="C88" s="275" t="s">
        <v>47</v>
      </c>
      <c r="D88" s="687" t="s">
        <v>12</v>
      </c>
      <c r="E88" s="688"/>
      <c r="F88" s="689"/>
      <c r="G88" s="690" t="s">
        <v>53</v>
      </c>
      <c r="H88" s="691"/>
      <c r="I88" s="692"/>
      <c r="J88" s="276" t="s">
        <v>54</v>
      </c>
      <c r="K88" s="276" t="s">
        <v>55</v>
      </c>
      <c r="L88" s="276" t="s">
        <v>56</v>
      </c>
      <c r="M88" s="330" t="s">
        <v>11</v>
      </c>
      <c r="N88" s="277" t="s">
        <v>333</v>
      </c>
      <c r="O88" s="693" t="s">
        <v>51</v>
      </c>
      <c r="P88" s="694"/>
      <c r="S88" s="210"/>
      <c r="T88" s="335"/>
    </row>
    <row r="89" spans="1:20" s="298" customFormat="1" ht="40" customHeight="1">
      <c r="A89" s="695">
        <v>5</v>
      </c>
      <c r="B89" s="715" t="s">
        <v>215</v>
      </c>
      <c r="C89" s="279">
        <v>1</v>
      </c>
      <c r="D89" s="237" t="s">
        <v>340</v>
      </c>
      <c r="E89" s="238"/>
      <c r="F89" s="239"/>
      <c r="G89" s="306" t="s">
        <v>336</v>
      </c>
      <c r="H89" s="305"/>
      <c r="I89" s="306"/>
      <c r="J89" s="312">
        <v>147.43000000000004</v>
      </c>
      <c r="K89" s="313">
        <v>2.4846051519672656E-3</v>
      </c>
      <c r="L89" s="314">
        <v>12.290000000000001</v>
      </c>
      <c r="M89" s="322">
        <f>L89*J89</f>
        <v>1811.9147000000005</v>
      </c>
      <c r="N89" s="314"/>
      <c r="O89" s="703" t="s">
        <v>616</v>
      </c>
      <c r="P89" s="704"/>
      <c r="R89" s="335"/>
      <c r="S89" s="393"/>
    </row>
    <row r="90" spans="1:20" s="298" customFormat="1" ht="40" customHeight="1">
      <c r="A90" s="696"/>
      <c r="B90" s="716"/>
      <c r="C90" s="279">
        <v>2</v>
      </c>
      <c r="D90" s="237" t="s">
        <v>436</v>
      </c>
      <c r="E90" s="238"/>
      <c r="F90" s="239"/>
      <c r="G90" s="351" t="s">
        <v>658</v>
      </c>
      <c r="H90" s="305"/>
      <c r="I90" s="306"/>
      <c r="J90" s="312">
        <v>1.1500000000000001</v>
      </c>
      <c r="K90" s="313">
        <v>1.9785107134692521E-2</v>
      </c>
      <c r="L90" s="314">
        <v>952</v>
      </c>
      <c r="M90" s="322">
        <f t="shared" ref="M90:M93" si="9">L90*J90</f>
        <v>1094.8000000000002</v>
      </c>
      <c r="N90" s="314"/>
      <c r="O90" s="703" t="s">
        <v>685</v>
      </c>
      <c r="P90" s="704"/>
      <c r="S90" s="210"/>
      <c r="T90" s="336"/>
    </row>
    <row r="91" spans="1:20" s="289" customFormat="1" ht="20.149999999999999" customHeight="1">
      <c r="A91" s="696"/>
      <c r="B91" s="716"/>
      <c r="C91" s="279">
        <v>3</v>
      </c>
      <c r="D91" s="237"/>
      <c r="E91" s="281"/>
      <c r="F91" s="282"/>
      <c r="G91" s="351"/>
      <c r="H91" s="305"/>
      <c r="I91" s="306"/>
      <c r="J91" s="312"/>
      <c r="K91" s="313"/>
      <c r="L91" s="314"/>
      <c r="M91" s="322">
        <f t="shared" si="9"/>
        <v>0</v>
      </c>
      <c r="N91" s="288"/>
      <c r="O91" s="720"/>
      <c r="P91" s="721"/>
    </row>
    <row r="92" spans="1:20" s="289" customFormat="1" ht="20.149999999999999" customHeight="1">
      <c r="A92" s="696"/>
      <c r="B92" s="716"/>
      <c r="C92" s="279">
        <v>4</v>
      </c>
      <c r="D92" s="237"/>
      <c r="E92" s="281"/>
      <c r="F92" s="282"/>
      <c r="G92" s="351"/>
      <c r="H92" s="305"/>
      <c r="I92" s="306"/>
      <c r="J92" s="312"/>
      <c r="K92" s="313"/>
      <c r="L92" s="314"/>
      <c r="M92" s="322">
        <f t="shared" si="9"/>
        <v>0</v>
      </c>
      <c r="N92" s="288"/>
      <c r="O92" s="703"/>
      <c r="P92" s="704"/>
    </row>
    <row r="93" spans="1:20" s="289" customFormat="1" ht="20.149999999999999" customHeight="1" thickBot="1">
      <c r="A93" s="696"/>
      <c r="B93" s="716"/>
      <c r="C93" s="279">
        <v>5</v>
      </c>
      <c r="D93" s="244"/>
      <c r="E93" s="291"/>
      <c r="F93" s="292"/>
      <c r="G93" s="351"/>
      <c r="H93" s="305"/>
      <c r="I93" s="306"/>
      <c r="J93" s="391"/>
      <c r="K93" s="385"/>
      <c r="L93" s="317"/>
      <c r="M93" s="322">
        <f t="shared" si="9"/>
        <v>0</v>
      </c>
      <c r="N93" s="288"/>
      <c r="O93" s="808"/>
      <c r="P93" s="809"/>
      <c r="R93" s="211"/>
    </row>
    <row r="94" spans="1:20" s="289" customFormat="1" ht="15.75" customHeight="1" thickTop="1" thickBot="1">
      <c r="A94" s="697"/>
      <c r="B94" s="717"/>
      <c r="C94" s="724"/>
      <c r="D94" s="725"/>
      <c r="E94" s="725"/>
      <c r="F94" s="725"/>
      <c r="G94" s="725"/>
      <c r="H94" s="725"/>
      <c r="I94" s="726"/>
      <c r="J94" s="348" t="s">
        <v>58</v>
      </c>
      <c r="K94" s="212" t="e">
        <f>M94/'生產管理報表 7-1 (週)'!#REF!</f>
        <v>#REF!</v>
      </c>
      <c r="L94" s="349" t="s">
        <v>59</v>
      </c>
      <c r="M94" s="392">
        <f>SUM(M89:M93)</f>
        <v>2906.7147000000004</v>
      </c>
      <c r="N94" s="712"/>
      <c r="O94" s="713"/>
      <c r="P94" s="714"/>
      <c r="R94" s="210"/>
    </row>
    <row r="95" spans="1:20" s="289" customFormat="1" ht="15.75" customHeight="1" thickTop="1">
      <c r="B95" s="297"/>
      <c r="C95" s="298"/>
      <c r="M95" s="329"/>
      <c r="R95" s="210"/>
    </row>
    <row r="96" spans="1:20" s="289" customFormat="1" ht="15.75" customHeight="1">
      <c r="A96" s="685" t="s">
        <v>191</v>
      </c>
      <c r="B96" s="686"/>
      <c r="C96" s="303" t="s">
        <v>47</v>
      </c>
      <c r="D96" s="729" t="s">
        <v>12</v>
      </c>
      <c r="E96" s="730"/>
      <c r="F96" s="731"/>
      <c r="G96" s="732" t="s">
        <v>53</v>
      </c>
      <c r="H96" s="733"/>
      <c r="I96" s="734"/>
      <c r="J96" s="304" t="s">
        <v>54</v>
      </c>
      <c r="K96" s="276" t="s">
        <v>55</v>
      </c>
      <c r="L96" s="276" t="s">
        <v>56</v>
      </c>
      <c r="M96" s="330" t="s">
        <v>11</v>
      </c>
      <c r="N96" s="277" t="s">
        <v>333</v>
      </c>
      <c r="O96" s="693" t="s">
        <v>51</v>
      </c>
      <c r="P96" s="694"/>
      <c r="R96" s="210"/>
      <c r="S96" s="2"/>
    </row>
    <row r="97" spans="1:21" s="289" customFormat="1" ht="40" customHeight="1">
      <c r="A97" s="695">
        <v>6</v>
      </c>
      <c r="B97" s="715" t="s">
        <v>216</v>
      </c>
      <c r="C97" s="279">
        <v>1</v>
      </c>
      <c r="D97" s="337" t="s">
        <v>524</v>
      </c>
      <c r="E97" s="281"/>
      <c r="F97" s="282"/>
      <c r="G97" s="240" t="s">
        <v>335</v>
      </c>
      <c r="H97" s="241"/>
      <c r="I97" s="240"/>
      <c r="J97" s="312">
        <v>15.450000000000001</v>
      </c>
      <c r="K97" s="313">
        <v>2.1069463820378512E-3</v>
      </c>
      <c r="L97" s="314">
        <v>160.09</v>
      </c>
      <c r="M97" s="322">
        <f t="shared" ref="M97:M101" si="10">L97*J97</f>
        <v>2473.3905000000004</v>
      </c>
      <c r="N97" s="288"/>
      <c r="O97" s="703" t="s">
        <v>577</v>
      </c>
      <c r="P97" s="704"/>
      <c r="R97" s="336"/>
      <c r="S97" s="400"/>
    </row>
    <row r="98" spans="1:21" s="289" customFormat="1" ht="40" customHeight="1">
      <c r="A98" s="696"/>
      <c r="B98" s="716"/>
      <c r="C98" s="279">
        <v>2</v>
      </c>
      <c r="D98" s="237" t="s">
        <v>642</v>
      </c>
      <c r="E98" s="281"/>
      <c r="F98" s="282"/>
      <c r="G98" s="240" t="s">
        <v>651</v>
      </c>
      <c r="H98" s="284"/>
      <c r="I98" s="285"/>
      <c r="J98" s="312">
        <v>43.889999999999993</v>
      </c>
      <c r="K98" s="313">
        <v>9.1232031723302316E-3</v>
      </c>
      <c r="L98" s="314">
        <v>33.130000000000003</v>
      </c>
      <c r="M98" s="322">
        <f t="shared" si="10"/>
        <v>1454.0756999999999</v>
      </c>
      <c r="N98" s="288"/>
      <c r="O98" s="703" t="s">
        <v>688</v>
      </c>
      <c r="P98" s="704"/>
      <c r="S98" s="2"/>
    </row>
    <row r="99" spans="1:21" s="289" customFormat="1" ht="40" customHeight="1">
      <c r="A99" s="696"/>
      <c r="B99" s="716"/>
      <c r="C99" s="279">
        <v>3</v>
      </c>
      <c r="D99" s="237" t="s">
        <v>340</v>
      </c>
      <c r="E99" s="281"/>
      <c r="F99" s="282"/>
      <c r="G99" s="240" t="s">
        <v>535</v>
      </c>
      <c r="H99" s="284"/>
      <c r="I99" s="285"/>
      <c r="J99" s="312">
        <v>39.389999999999993</v>
      </c>
      <c r="K99" s="313">
        <v>1.4251984588853999E-3</v>
      </c>
      <c r="L99" s="314">
        <v>36</v>
      </c>
      <c r="M99" s="322">
        <f t="shared" si="10"/>
        <v>1418.0399999999997</v>
      </c>
      <c r="N99" s="288"/>
      <c r="O99" s="703" t="s">
        <v>688</v>
      </c>
      <c r="P99" s="704"/>
      <c r="S99" s="2"/>
    </row>
    <row r="100" spans="1:21" s="289" customFormat="1" ht="40" customHeight="1">
      <c r="A100" s="696"/>
      <c r="B100" s="716"/>
      <c r="C100" s="279">
        <v>4</v>
      </c>
      <c r="D100" s="237" t="s">
        <v>674</v>
      </c>
      <c r="E100" s="281"/>
      <c r="F100" s="282"/>
      <c r="G100" s="464" t="s">
        <v>677</v>
      </c>
      <c r="H100" s="284"/>
      <c r="I100" s="285"/>
      <c r="J100" s="312">
        <v>40.420000000000009</v>
      </c>
      <c r="K100" s="313">
        <v>5.7991513437057989E-3</v>
      </c>
      <c r="L100" s="314">
        <v>29.93</v>
      </c>
      <c r="M100" s="322">
        <f t="shared" si="10"/>
        <v>1209.7706000000003</v>
      </c>
      <c r="N100" s="288"/>
      <c r="O100" s="703" t="s">
        <v>690</v>
      </c>
      <c r="P100" s="704"/>
      <c r="R100" s="2"/>
      <c r="S100" s="2"/>
    </row>
    <row r="101" spans="1:21" s="289" customFormat="1" ht="40" customHeight="1" thickBot="1">
      <c r="A101" s="696"/>
      <c r="B101" s="716"/>
      <c r="C101" s="279">
        <v>5</v>
      </c>
      <c r="D101" s="244" t="s">
        <v>545</v>
      </c>
      <c r="E101" s="291"/>
      <c r="F101" s="292"/>
      <c r="G101" s="464" t="s">
        <v>546</v>
      </c>
      <c r="H101" s="284"/>
      <c r="I101" s="285"/>
      <c r="J101" s="391">
        <v>62.43</v>
      </c>
      <c r="K101" s="385">
        <v>8.3598360203687699E-3</v>
      </c>
      <c r="L101" s="317">
        <v>18.190000000000001</v>
      </c>
      <c r="M101" s="322">
        <f t="shared" si="10"/>
        <v>1135.6017000000002</v>
      </c>
      <c r="N101" s="288"/>
      <c r="O101" s="703" t="s">
        <v>688</v>
      </c>
      <c r="P101" s="704"/>
      <c r="R101" s="2"/>
      <c r="S101" s="2"/>
    </row>
    <row r="102" spans="1:21" s="289" customFormat="1" ht="15.75" customHeight="1" thickTop="1" thickBot="1">
      <c r="A102" s="697"/>
      <c r="B102" s="717"/>
      <c r="C102" s="724"/>
      <c r="D102" s="725"/>
      <c r="E102" s="725"/>
      <c r="F102" s="725"/>
      <c r="G102" s="725"/>
      <c r="H102" s="725"/>
      <c r="I102" s="726"/>
      <c r="J102" s="348" t="s">
        <v>58</v>
      </c>
      <c r="K102" s="212" t="e">
        <f>M102/'生產管理報表 7-1 (週)'!#REF!</f>
        <v>#REF!</v>
      </c>
      <c r="L102" s="349" t="s">
        <v>59</v>
      </c>
      <c r="M102" s="392">
        <f>SUM(M97:M101)</f>
        <v>7690.8784999999998</v>
      </c>
      <c r="N102" s="712"/>
      <c r="O102" s="713"/>
      <c r="P102" s="714"/>
      <c r="R102" s="2"/>
      <c r="S102" s="2"/>
    </row>
    <row r="103" spans="1:21" s="289" customFormat="1" ht="15.75" customHeight="1" thickTop="1">
      <c r="B103" s="297"/>
      <c r="C103" s="298"/>
      <c r="M103" s="329"/>
      <c r="R103" s="2"/>
      <c r="S103" s="2"/>
    </row>
    <row r="104" spans="1:21" s="289" customFormat="1" ht="15.75" customHeight="1">
      <c r="A104" s="685" t="s">
        <v>191</v>
      </c>
      <c r="B104" s="686"/>
      <c r="C104" s="303" t="s">
        <v>47</v>
      </c>
      <c r="D104" s="729" t="s">
        <v>12</v>
      </c>
      <c r="E104" s="730"/>
      <c r="F104" s="731"/>
      <c r="G104" s="732" t="s">
        <v>53</v>
      </c>
      <c r="H104" s="733"/>
      <c r="I104" s="734"/>
      <c r="J104" s="304" t="s">
        <v>54</v>
      </c>
      <c r="K104" s="276" t="s">
        <v>55</v>
      </c>
      <c r="L104" s="276" t="s">
        <v>56</v>
      </c>
      <c r="M104" s="330" t="s">
        <v>11</v>
      </c>
      <c r="N104" s="277" t="s">
        <v>333</v>
      </c>
      <c r="O104" s="693" t="s">
        <v>51</v>
      </c>
      <c r="P104" s="694"/>
      <c r="R104" s="2"/>
      <c r="S104" s="2"/>
    </row>
    <row r="105" spans="1:21" s="289" customFormat="1" ht="20.149999999999999" customHeight="1">
      <c r="A105" s="695">
        <v>7</v>
      </c>
      <c r="B105" s="737" t="s">
        <v>249</v>
      </c>
      <c r="C105" s="279">
        <v>1</v>
      </c>
      <c r="D105" s="280"/>
      <c r="E105" s="281"/>
      <c r="F105" s="282"/>
      <c r="G105" s="283"/>
      <c r="H105" s="284"/>
      <c r="I105" s="285"/>
      <c r="J105" s="286"/>
      <c r="K105" s="287"/>
      <c r="L105" s="288"/>
      <c r="M105" s="331">
        <f t="shared" ref="M105:M107" si="11">L105*J105</f>
        <v>0</v>
      </c>
      <c r="N105" s="288"/>
      <c r="O105" s="740"/>
      <c r="P105" s="741"/>
      <c r="R105" s="2"/>
      <c r="S105" s="2"/>
    </row>
    <row r="106" spans="1:21" s="289" customFormat="1" ht="20.149999999999999" customHeight="1">
      <c r="A106" s="696"/>
      <c r="B106" s="738"/>
      <c r="C106" s="279">
        <v>2</v>
      </c>
      <c r="D106" s="280"/>
      <c r="E106" s="281"/>
      <c r="F106" s="282"/>
      <c r="G106" s="283"/>
      <c r="H106" s="284"/>
      <c r="I106" s="285"/>
      <c r="J106" s="286"/>
      <c r="K106" s="287"/>
      <c r="L106" s="288"/>
      <c r="M106" s="331">
        <f t="shared" si="11"/>
        <v>0</v>
      </c>
      <c r="N106" s="288"/>
      <c r="O106" s="742"/>
      <c r="P106" s="743"/>
      <c r="R106" s="2"/>
      <c r="S106" s="2"/>
    </row>
    <row r="107" spans="1:21" s="289" customFormat="1" ht="20.149999999999999" customHeight="1">
      <c r="A107" s="696"/>
      <c r="B107" s="738"/>
      <c r="C107" s="279">
        <v>3</v>
      </c>
      <c r="D107" s="280"/>
      <c r="E107" s="281"/>
      <c r="F107" s="282"/>
      <c r="G107" s="283"/>
      <c r="H107" s="284"/>
      <c r="I107" s="285"/>
      <c r="J107" s="286"/>
      <c r="K107" s="287"/>
      <c r="L107" s="288"/>
      <c r="M107" s="331">
        <f t="shared" si="11"/>
        <v>0</v>
      </c>
      <c r="N107" s="288"/>
      <c r="O107" s="742"/>
      <c r="P107" s="743"/>
      <c r="R107" s="2"/>
      <c r="S107" s="2"/>
    </row>
    <row r="108" spans="1:21" s="289" customFormat="1" ht="20.149999999999999" customHeight="1">
      <c r="A108" s="696"/>
      <c r="B108" s="738"/>
      <c r="C108" s="279">
        <v>4</v>
      </c>
      <c r="D108" s="280"/>
      <c r="E108" s="281"/>
      <c r="F108" s="282"/>
      <c r="G108" s="283"/>
      <c r="H108" s="284"/>
      <c r="I108" s="285"/>
      <c r="J108" s="286"/>
      <c r="K108" s="287"/>
      <c r="L108" s="288"/>
      <c r="M108" s="332">
        <v>0</v>
      </c>
      <c r="N108" s="288"/>
      <c r="O108" s="299"/>
      <c r="P108" s="300"/>
      <c r="R108" s="2"/>
      <c r="S108" s="2"/>
    </row>
    <row r="109" spans="1:21" s="289" customFormat="1" ht="20.149999999999999" customHeight="1" thickBot="1">
      <c r="A109" s="696"/>
      <c r="B109" s="738"/>
      <c r="C109" s="279">
        <v>5</v>
      </c>
      <c r="D109" s="290"/>
      <c r="E109" s="291"/>
      <c r="F109" s="292"/>
      <c r="G109" s="283"/>
      <c r="H109" s="284"/>
      <c r="I109" s="285"/>
      <c r="J109" s="391"/>
      <c r="K109" s="385"/>
      <c r="L109" s="317"/>
      <c r="M109" s="333">
        <v>0</v>
      </c>
      <c r="N109" s="288"/>
      <c r="O109" s="301"/>
      <c r="P109" s="302"/>
      <c r="R109" s="2"/>
      <c r="S109" s="2"/>
    </row>
    <row r="110" spans="1:21" s="289" customFormat="1" ht="15.75" customHeight="1" thickTop="1" thickBot="1">
      <c r="A110" s="697"/>
      <c r="B110" s="739"/>
      <c r="C110" s="724"/>
      <c r="D110" s="725"/>
      <c r="E110" s="725"/>
      <c r="F110" s="725"/>
      <c r="G110" s="725"/>
      <c r="H110" s="725"/>
      <c r="I110" s="726"/>
      <c r="J110" s="348" t="s">
        <v>58</v>
      </c>
      <c r="K110" s="212" t="e">
        <f>M110/'生產管理報表 7-1 (週)'!#REF!</f>
        <v>#REF!</v>
      </c>
      <c r="L110" s="349" t="s">
        <v>59</v>
      </c>
      <c r="M110" s="392">
        <f>SUM(M105:M109)</f>
        <v>0</v>
      </c>
      <c r="N110" s="712"/>
      <c r="O110" s="713"/>
      <c r="P110" s="714"/>
      <c r="R110" s="2"/>
      <c r="S110" s="2"/>
      <c r="T110" s="2"/>
    </row>
    <row r="111" spans="1:21" s="135" customFormat="1" ht="15.75" customHeight="1" thickTop="1">
      <c r="A111" s="810" t="s">
        <v>647</v>
      </c>
      <c r="B111" s="805"/>
      <c r="C111" s="805"/>
      <c r="D111" s="805"/>
      <c r="E111" s="805"/>
      <c r="F111" s="805"/>
      <c r="G111" s="805"/>
      <c r="H111" s="805"/>
      <c r="I111" s="805"/>
      <c r="J111" s="805"/>
      <c r="K111" s="805"/>
      <c r="L111" s="805"/>
      <c r="M111" s="805"/>
      <c r="N111" s="456"/>
      <c r="O111" s="456"/>
      <c r="P111" s="457"/>
      <c r="R111" s="231"/>
      <c r="S111" s="231"/>
      <c r="T111" s="231"/>
      <c r="U111" s="231"/>
    </row>
    <row r="112" spans="1:21" s="136" customFormat="1" ht="15.75" customHeight="1">
      <c r="A112" s="811"/>
      <c r="B112" s="680"/>
      <c r="C112" s="680"/>
      <c r="D112" s="680"/>
      <c r="E112" s="680"/>
      <c r="F112" s="680"/>
      <c r="G112" s="680"/>
      <c r="H112" s="680"/>
      <c r="I112" s="680"/>
      <c r="J112" s="680"/>
      <c r="K112" s="680"/>
      <c r="L112" s="680"/>
      <c r="M112" s="680"/>
      <c r="N112" s="458"/>
      <c r="O112" s="458"/>
      <c r="P112" s="459"/>
    </row>
    <row r="113" spans="1:20" s="135" customFormat="1" ht="15.75" customHeight="1">
      <c r="A113" s="681" t="s">
        <v>191</v>
      </c>
      <c r="B113" s="683">
        <v>1</v>
      </c>
      <c r="C113" s="684"/>
      <c r="D113" s="683">
        <v>2</v>
      </c>
      <c r="E113" s="684"/>
      <c r="F113" s="683">
        <v>3</v>
      </c>
      <c r="G113" s="684"/>
      <c r="H113" s="674">
        <v>4</v>
      </c>
      <c r="I113" s="675"/>
      <c r="J113" s="674">
        <v>5</v>
      </c>
      <c r="K113" s="675"/>
      <c r="L113" s="674">
        <v>6</v>
      </c>
      <c r="M113" s="675"/>
      <c r="N113" s="674">
        <v>7</v>
      </c>
      <c r="O113" s="675"/>
      <c r="P113" s="327">
        <v>8</v>
      </c>
    </row>
    <row r="114" spans="1:20" s="135" customFormat="1" ht="15.75" customHeight="1">
      <c r="A114" s="682"/>
      <c r="B114" s="678" t="s">
        <v>453</v>
      </c>
      <c r="C114" s="679"/>
      <c r="D114" s="678" t="s">
        <v>212</v>
      </c>
      <c r="E114" s="679"/>
      <c r="F114" s="678" t="s">
        <v>166</v>
      </c>
      <c r="G114" s="679"/>
      <c r="H114" s="676" t="s">
        <v>429</v>
      </c>
      <c r="I114" s="677"/>
      <c r="J114" s="676" t="s">
        <v>189</v>
      </c>
      <c r="K114" s="677"/>
      <c r="L114" s="676" t="s">
        <v>167</v>
      </c>
      <c r="M114" s="677"/>
      <c r="N114" s="676" t="s">
        <v>190</v>
      </c>
      <c r="O114" s="677"/>
      <c r="P114" s="328" t="s">
        <v>217</v>
      </c>
    </row>
    <row r="115" spans="1:20" s="135" customFormat="1" ht="15.75" customHeight="1">
      <c r="B115" s="232"/>
      <c r="C115" s="233"/>
    </row>
    <row r="116" spans="1:20" s="278" customFormat="1" ht="15.75" customHeight="1">
      <c r="A116" s="685" t="s">
        <v>191</v>
      </c>
      <c r="B116" s="686"/>
      <c r="C116" s="275" t="s">
        <v>47</v>
      </c>
      <c r="D116" s="687" t="s">
        <v>12</v>
      </c>
      <c r="E116" s="688"/>
      <c r="F116" s="689"/>
      <c r="G116" s="690" t="s">
        <v>53</v>
      </c>
      <c r="H116" s="691"/>
      <c r="I116" s="692"/>
      <c r="J116" s="276" t="s">
        <v>54</v>
      </c>
      <c r="K116" s="276" t="s">
        <v>55</v>
      </c>
      <c r="L116" s="276" t="s">
        <v>56</v>
      </c>
      <c r="M116" s="277" t="s">
        <v>11</v>
      </c>
      <c r="N116" s="277" t="s">
        <v>333</v>
      </c>
      <c r="O116" s="693" t="s">
        <v>51</v>
      </c>
      <c r="P116" s="694"/>
      <c r="R116" s="210"/>
      <c r="S116" s="261"/>
    </row>
    <row r="117" spans="1:20" s="298" customFormat="1" ht="20.149999999999999" customHeight="1">
      <c r="A117" s="695">
        <v>4</v>
      </c>
      <c r="B117" s="698" t="s">
        <v>429</v>
      </c>
      <c r="C117" s="279">
        <v>1</v>
      </c>
      <c r="D117" s="237"/>
      <c r="E117" s="238"/>
      <c r="F117" s="239"/>
      <c r="G117" s="351"/>
      <c r="H117" s="305"/>
      <c r="I117" s="306"/>
      <c r="J117" s="312"/>
      <c r="K117" s="313"/>
      <c r="L117" s="314"/>
      <c r="M117" s="322">
        <f t="shared" ref="M117:M121" si="12">L117*J117</f>
        <v>0</v>
      </c>
      <c r="N117" s="314"/>
      <c r="O117" s="701"/>
      <c r="P117" s="702"/>
      <c r="R117" s="315"/>
      <c r="S117" s="261"/>
    </row>
    <row r="118" spans="1:20" s="298" customFormat="1" ht="20.149999999999999" customHeight="1">
      <c r="A118" s="696"/>
      <c r="B118" s="699"/>
      <c r="C118" s="279">
        <v>2</v>
      </c>
      <c r="D118" s="237"/>
      <c r="E118" s="238"/>
      <c r="F118" s="239"/>
      <c r="G118" s="351"/>
      <c r="H118" s="305"/>
      <c r="I118" s="306"/>
      <c r="J118" s="312"/>
      <c r="K118" s="313"/>
      <c r="L118" s="314"/>
      <c r="M118" s="322">
        <f t="shared" si="12"/>
        <v>0</v>
      </c>
      <c r="N118" s="314"/>
      <c r="O118" s="703"/>
      <c r="P118" s="704"/>
      <c r="R118" s="315"/>
      <c r="S118" s="210"/>
      <c r="T118" s="335"/>
    </row>
    <row r="119" spans="1:20" s="298" customFormat="1" ht="20.149999999999999" customHeight="1">
      <c r="A119" s="696"/>
      <c r="B119" s="699"/>
      <c r="C119" s="279">
        <v>3</v>
      </c>
      <c r="D119" s="237"/>
      <c r="E119" s="238"/>
      <c r="F119" s="239"/>
      <c r="G119" s="351"/>
      <c r="H119" s="305"/>
      <c r="I119" s="306"/>
      <c r="J119" s="312"/>
      <c r="K119" s="313"/>
      <c r="L119" s="314"/>
      <c r="M119" s="322">
        <f t="shared" si="12"/>
        <v>0</v>
      </c>
      <c r="N119" s="314"/>
      <c r="O119" s="701"/>
      <c r="P119" s="702"/>
      <c r="R119" s="315"/>
      <c r="S119" s="261"/>
    </row>
    <row r="120" spans="1:20" s="298" customFormat="1" ht="20.149999999999999" customHeight="1">
      <c r="A120" s="696"/>
      <c r="B120" s="699"/>
      <c r="C120" s="279">
        <v>4</v>
      </c>
      <c r="D120" s="237"/>
      <c r="E120" s="238"/>
      <c r="F120" s="239"/>
      <c r="G120" s="351"/>
      <c r="H120" s="305"/>
      <c r="I120" s="306"/>
      <c r="J120" s="312"/>
      <c r="K120" s="313"/>
      <c r="L120" s="314"/>
      <c r="M120" s="322">
        <f t="shared" si="12"/>
        <v>0</v>
      </c>
      <c r="N120" s="314"/>
      <c r="O120" s="701"/>
      <c r="P120" s="702"/>
      <c r="R120" s="315"/>
      <c r="S120" s="210"/>
      <c r="T120" s="335"/>
    </row>
    <row r="121" spans="1:20" s="298" customFormat="1" ht="20.149999999999999" customHeight="1" thickBot="1">
      <c r="A121" s="696"/>
      <c r="B121" s="699"/>
      <c r="C121" s="279">
        <v>5</v>
      </c>
      <c r="D121" s="237"/>
      <c r="E121" s="245"/>
      <c r="F121" s="246"/>
      <c r="G121" s="351"/>
      <c r="H121" s="305"/>
      <c r="I121" s="306"/>
      <c r="J121" s="391"/>
      <c r="K121" s="385"/>
      <c r="L121" s="317"/>
      <c r="M121" s="322">
        <f t="shared" si="12"/>
        <v>0</v>
      </c>
      <c r="N121" s="314"/>
      <c r="O121" s="701"/>
      <c r="P121" s="702"/>
      <c r="R121" s="318"/>
      <c r="S121" s="261"/>
      <c r="T121" s="289"/>
    </row>
    <row r="122" spans="1:20" s="289" customFormat="1" ht="15.75" customHeight="1" thickTop="1" thickBot="1">
      <c r="A122" s="697"/>
      <c r="B122" s="700"/>
      <c r="C122" s="709"/>
      <c r="D122" s="710"/>
      <c r="E122" s="710"/>
      <c r="F122" s="710"/>
      <c r="G122" s="710"/>
      <c r="H122" s="710"/>
      <c r="I122" s="711"/>
      <c r="J122" s="348" t="s">
        <v>58</v>
      </c>
      <c r="K122" s="212" t="e">
        <f>M122/'生產管理報表 7-1 (週)'!#REF!</f>
        <v>#REF!</v>
      </c>
      <c r="L122" s="349" t="s">
        <v>59</v>
      </c>
      <c r="M122" s="392">
        <f>SUM(M117:M121)</f>
        <v>0</v>
      </c>
      <c r="N122" s="712"/>
      <c r="O122" s="713"/>
      <c r="P122" s="714"/>
      <c r="R122" s="210"/>
      <c r="S122" s="210"/>
    </row>
    <row r="123" spans="1:20" s="289" customFormat="1" ht="15.75" customHeight="1" thickTop="1">
      <c r="B123" s="297"/>
      <c r="C123" s="298"/>
      <c r="M123" s="329"/>
      <c r="S123" s="261"/>
    </row>
    <row r="124" spans="1:20" s="289" customFormat="1" ht="15.75" customHeight="1">
      <c r="A124" s="685" t="s">
        <v>191</v>
      </c>
      <c r="B124" s="686"/>
      <c r="C124" s="275" t="s">
        <v>47</v>
      </c>
      <c r="D124" s="687" t="s">
        <v>12</v>
      </c>
      <c r="E124" s="688"/>
      <c r="F124" s="689"/>
      <c r="G124" s="690" t="s">
        <v>53</v>
      </c>
      <c r="H124" s="691"/>
      <c r="I124" s="692"/>
      <c r="J124" s="276" t="s">
        <v>54</v>
      </c>
      <c r="K124" s="276" t="s">
        <v>55</v>
      </c>
      <c r="L124" s="276" t="s">
        <v>56</v>
      </c>
      <c r="M124" s="330" t="s">
        <v>11</v>
      </c>
      <c r="N124" s="277" t="s">
        <v>333</v>
      </c>
      <c r="O124" s="693" t="s">
        <v>51</v>
      </c>
      <c r="P124" s="694"/>
      <c r="S124" s="210"/>
      <c r="T124" s="335"/>
    </row>
    <row r="125" spans="1:20" s="298" customFormat="1" ht="40" customHeight="1">
      <c r="A125" s="695">
        <v>5</v>
      </c>
      <c r="B125" s="715" t="s">
        <v>215</v>
      </c>
      <c r="C125" s="279">
        <v>1</v>
      </c>
      <c r="D125" s="237" t="s">
        <v>340</v>
      </c>
      <c r="E125" s="238"/>
      <c r="F125" s="239"/>
      <c r="G125" s="306" t="s">
        <v>336</v>
      </c>
      <c r="H125" s="305"/>
      <c r="I125" s="306"/>
      <c r="J125" s="312">
        <v>147.43000000000004</v>
      </c>
      <c r="K125" s="313">
        <v>2.3366535417722505E-3</v>
      </c>
      <c r="L125" s="314">
        <v>9.59</v>
      </c>
      <c r="M125" s="322">
        <f>L125*J125</f>
        <v>1413.8537000000003</v>
      </c>
      <c r="N125" s="314"/>
      <c r="O125" s="703" t="s">
        <v>718</v>
      </c>
      <c r="P125" s="704"/>
      <c r="R125" s="335"/>
      <c r="S125" s="393"/>
    </row>
    <row r="126" spans="1:20" s="298" customFormat="1" ht="20.149999999999999" customHeight="1">
      <c r="A126" s="696"/>
      <c r="B126" s="716"/>
      <c r="C126" s="279">
        <v>2</v>
      </c>
      <c r="D126" s="237"/>
      <c r="E126" s="238"/>
      <c r="F126" s="239"/>
      <c r="G126" s="351"/>
      <c r="H126" s="305"/>
      <c r="I126" s="306"/>
      <c r="J126" s="312"/>
      <c r="K126" s="313"/>
      <c r="L126" s="314"/>
      <c r="M126" s="322">
        <f t="shared" ref="M126:M129" si="13">L126*J126</f>
        <v>0</v>
      </c>
      <c r="N126" s="314"/>
      <c r="O126" s="703"/>
      <c r="P126" s="704"/>
      <c r="S126" s="210"/>
      <c r="T126" s="336"/>
    </row>
    <row r="127" spans="1:20" s="289" customFormat="1" ht="20.149999999999999" customHeight="1">
      <c r="A127" s="696"/>
      <c r="B127" s="716"/>
      <c r="C127" s="279">
        <v>3</v>
      </c>
      <c r="D127" s="237"/>
      <c r="E127" s="281"/>
      <c r="F127" s="282"/>
      <c r="G127" s="351"/>
      <c r="H127" s="305"/>
      <c r="I127" s="306"/>
      <c r="J127" s="312"/>
      <c r="K127" s="313"/>
      <c r="L127" s="314"/>
      <c r="M127" s="322">
        <f t="shared" si="13"/>
        <v>0</v>
      </c>
      <c r="N127" s="288"/>
      <c r="O127" s="720"/>
      <c r="P127" s="721"/>
    </row>
    <row r="128" spans="1:20" s="289" customFormat="1" ht="20.149999999999999" customHeight="1">
      <c r="A128" s="696"/>
      <c r="B128" s="716"/>
      <c r="C128" s="279">
        <v>4</v>
      </c>
      <c r="D128" s="237"/>
      <c r="E128" s="281"/>
      <c r="F128" s="282"/>
      <c r="G128" s="351"/>
      <c r="H128" s="305"/>
      <c r="I128" s="306"/>
      <c r="J128" s="312"/>
      <c r="K128" s="313"/>
      <c r="L128" s="314"/>
      <c r="M128" s="322">
        <f t="shared" si="13"/>
        <v>0</v>
      </c>
      <c r="N128" s="288"/>
      <c r="O128" s="703"/>
      <c r="P128" s="704"/>
    </row>
    <row r="129" spans="1:19" s="289" customFormat="1" ht="20.149999999999999" customHeight="1" thickBot="1">
      <c r="A129" s="696"/>
      <c r="B129" s="716"/>
      <c r="C129" s="279">
        <v>5</v>
      </c>
      <c r="D129" s="244"/>
      <c r="E129" s="291"/>
      <c r="F129" s="292"/>
      <c r="G129" s="351"/>
      <c r="H129" s="305"/>
      <c r="I129" s="306"/>
      <c r="J129" s="391"/>
      <c r="K129" s="385"/>
      <c r="L129" s="317"/>
      <c r="M129" s="322">
        <f t="shared" si="13"/>
        <v>0</v>
      </c>
      <c r="N129" s="288"/>
      <c r="O129" s="808"/>
      <c r="P129" s="809"/>
      <c r="R129" s="211"/>
    </row>
    <row r="130" spans="1:19" s="289" customFormat="1" ht="15.75" customHeight="1" thickTop="1" thickBot="1">
      <c r="A130" s="697"/>
      <c r="B130" s="717"/>
      <c r="C130" s="724"/>
      <c r="D130" s="725"/>
      <c r="E130" s="725"/>
      <c r="F130" s="725"/>
      <c r="G130" s="725"/>
      <c r="H130" s="725"/>
      <c r="I130" s="726"/>
      <c r="J130" s="348" t="s">
        <v>58</v>
      </c>
      <c r="K130" s="212" t="e">
        <f>M130/'生產管理報表 7-1 (週)'!#REF!</f>
        <v>#REF!</v>
      </c>
      <c r="L130" s="349" t="s">
        <v>59</v>
      </c>
      <c r="M130" s="392">
        <f>SUM(M125:M129)</f>
        <v>1413.8537000000003</v>
      </c>
      <c r="N130" s="712"/>
      <c r="O130" s="713"/>
      <c r="P130" s="714"/>
      <c r="R130" s="210"/>
    </row>
    <row r="131" spans="1:19" s="289" customFormat="1" ht="15.75" customHeight="1" thickTop="1">
      <c r="B131" s="297"/>
      <c r="C131" s="298"/>
      <c r="M131" s="329"/>
      <c r="R131" s="210"/>
    </row>
    <row r="132" spans="1:19" s="289" customFormat="1" ht="15.75" customHeight="1">
      <c r="A132" s="685" t="s">
        <v>191</v>
      </c>
      <c r="B132" s="686"/>
      <c r="C132" s="303" t="s">
        <v>47</v>
      </c>
      <c r="D132" s="729" t="s">
        <v>12</v>
      </c>
      <c r="E132" s="730"/>
      <c r="F132" s="731"/>
      <c r="G132" s="732" t="s">
        <v>53</v>
      </c>
      <c r="H132" s="733"/>
      <c r="I132" s="734"/>
      <c r="J132" s="304" t="s">
        <v>54</v>
      </c>
      <c r="K132" s="276" t="s">
        <v>55</v>
      </c>
      <c r="L132" s="276" t="s">
        <v>56</v>
      </c>
      <c r="M132" s="330" t="s">
        <v>11</v>
      </c>
      <c r="N132" s="277" t="s">
        <v>333</v>
      </c>
      <c r="O132" s="693" t="s">
        <v>51</v>
      </c>
      <c r="P132" s="694"/>
      <c r="R132" s="210"/>
      <c r="S132" s="2"/>
    </row>
    <row r="133" spans="1:19" s="289" customFormat="1" ht="40" customHeight="1">
      <c r="A133" s="695">
        <v>6</v>
      </c>
      <c r="B133" s="715" t="s">
        <v>216</v>
      </c>
      <c r="C133" s="279">
        <v>1</v>
      </c>
      <c r="D133" s="337" t="s">
        <v>524</v>
      </c>
      <c r="E133" s="281"/>
      <c r="F133" s="282"/>
      <c r="G133" s="240" t="s">
        <v>335</v>
      </c>
      <c r="H133" s="241"/>
      <c r="I133" s="240"/>
      <c r="J133" s="312">
        <v>15.450000000000001</v>
      </c>
      <c r="K133" s="313">
        <v>2.0237452779276847E-3</v>
      </c>
      <c r="L133" s="314">
        <v>135</v>
      </c>
      <c r="M133" s="322">
        <f t="shared" ref="M133" si="14">L133*J133</f>
        <v>2085.75</v>
      </c>
      <c r="N133" s="288"/>
      <c r="O133" s="720" t="s">
        <v>577</v>
      </c>
      <c r="P133" s="721"/>
      <c r="R133" s="336"/>
      <c r="S133" s="400"/>
    </row>
    <row r="134" spans="1:19" s="289" customFormat="1" ht="40" customHeight="1">
      <c r="A134" s="696"/>
      <c r="B134" s="716"/>
      <c r="C134" s="279">
        <v>2</v>
      </c>
      <c r="D134" s="237" t="s">
        <v>340</v>
      </c>
      <c r="E134" s="238"/>
      <c r="F134" s="239"/>
      <c r="G134" s="240" t="s">
        <v>535</v>
      </c>
      <c r="H134" s="241"/>
      <c r="I134" s="240"/>
      <c r="J134" s="312">
        <v>39.389999999999993</v>
      </c>
      <c r="K134" s="313">
        <v>1.3334732657130689E-3</v>
      </c>
      <c r="L134" s="314">
        <v>38.880000000000003</v>
      </c>
      <c r="M134" s="322">
        <f>L134*J134</f>
        <v>1531.4831999999999</v>
      </c>
      <c r="N134" s="288"/>
      <c r="O134" s="720" t="s">
        <v>719</v>
      </c>
      <c r="P134" s="721"/>
      <c r="S134" s="2"/>
    </row>
    <row r="135" spans="1:19" s="289" customFormat="1" ht="40" customHeight="1">
      <c r="A135" s="696"/>
      <c r="B135" s="716"/>
      <c r="C135" s="279">
        <v>3</v>
      </c>
      <c r="D135" s="280" t="s">
        <v>621</v>
      </c>
      <c r="E135" s="281"/>
      <c r="F135" s="282"/>
      <c r="G135" s="464" t="s">
        <v>626</v>
      </c>
      <c r="H135" s="241"/>
      <c r="I135" s="240"/>
      <c r="J135" s="312">
        <v>39.389999999999993</v>
      </c>
      <c r="K135" s="313">
        <v>5.0525166821185647E-3</v>
      </c>
      <c r="L135" s="314">
        <v>29.81</v>
      </c>
      <c r="M135" s="322">
        <f t="shared" ref="M135:M137" si="15">L135*J135</f>
        <v>1174.2158999999997</v>
      </c>
      <c r="N135" s="288"/>
      <c r="O135" s="720" t="s">
        <v>719</v>
      </c>
      <c r="P135" s="721"/>
      <c r="S135" s="2"/>
    </row>
    <row r="136" spans="1:19" s="289" customFormat="1" ht="40" customHeight="1">
      <c r="A136" s="696"/>
      <c r="B136" s="716"/>
      <c r="C136" s="279">
        <v>4</v>
      </c>
      <c r="D136" s="280" t="s">
        <v>601</v>
      </c>
      <c r="E136" s="281"/>
      <c r="F136" s="282"/>
      <c r="G136" s="464" t="s">
        <v>605</v>
      </c>
      <c r="H136" s="241"/>
      <c r="I136" s="240"/>
      <c r="J136" s="312">
        <v>46.149999999999991</v>
      </c>
      <c r="K136" s="313">
        <v>1.0605552546278384E-2</v>
      </c>
      <c r="L136" s="314">
        <v>24.669999999999998</v>
      </c>
      <c r="M136" s="322">
        <f t="shared" si="15"/>
        <v>1138.5204999999996</v>
      </c>
      <c r="N136" s="288"/>
      <c r="O136" s="720" t="s">
        <v>719</v>
      </c>
      <c r="P136" s="721"/>
      <c r="R136" s="2"/>
      <c r="S136" s="2"/>
    </row>
    <row r="137" spans="1:19" s="289" customFormat="1" ht="40" customHeight="1" thickBot="1">
      <c r="A137" s="696"/>
      <c r="B137" s="716"/>
      <c r="C137" s="279">
        <v>5</v>
      </c>
      <c r="D137" s="290" t="s">
        <v>534</v>
      </c>
      <c r="E137" s="291"/>
      <c r="F137" s="292"/>
      <c r="G137" s="464" t="s">
        <v>570</v>
      </c>
      <c r="H137" s="241"/>
      <c r="I137" s="240"/>
      <c r="J137" s="391">
        <v>40.04</v>
      </c>
      <c r="K137" s="385">
        <v>8.3802888331602019E-3</v>
      </c>
      <c r="L137" s="317">
        <v>23.96</v>
      </c>
      <c r="M137" s="322">
        <f t="shared" si="15"/>
        <v>959.35839999999996</v>
      </c>
      <c r="N137" s="288"/>
      <c r="O137" s="720" t="s">
        <v>719</v>
      </c>
      <c r="P137" s="721"/>
      <c r="R137" s="2"/>
    </row>
    <row r="138" spans="1:19" s="289" customFormat="1" ht="15.75" customHeight="1" thickTop="1" thickBot="1">
      <c r="A138" s="697"/>
      <c r="B138" s="717"/>
      <c r="C138" s="724"/>
      <c r="D138" s="725"/>
      <c r="E138" s="725"/>
      <c r="F138" s="725"/>
      <c r="G138" s="725"/>
      <c r="H138" s="725"/>
      <c r="I138" s="726"/>
      <c r="J138" s="348" t="s">
        <v>58</v>
      </c>
      <c r="K138" s="212" t="e">
        <f>M138/'生產管理報表 7-1 (週)'!#REF!</f>
        <v>#REF!</v>
      </c>
      <c r="L138" s="349" t="s">
        <v>59</v>
      </c>
      <c r="M138" s="392">
        <f>SUM(M133:M137)</f>
        <v>6889.3279999999995</v>
      </c>
      <c r="N138" s="712"/>
      <c r="O138" s="713"/>
      <c r="P138" s="714"/>
      <c r="R138" s="2"/>
      <c r="S138" s="2"/>
    </row>
    <row r="139" spans="1:19" s="289" customFormat="1" ht="15.75" customHeight="1" thickTop="1">
      <c r="B139" s="297"/>
      <c r="C139" s="298"/>
      <c r="M139" s="329"/>
      <c r="R139" s="2"/>
      <c r="S139" s="2"/>
    </row>
    <row r="140" spans="1:19" s="289" customFormat="1" ht="15.75" customHeight="1">
      <c r="A140" s="685" t="s">
        <v>191</v>
      </c>
      <c r="B140" s="686"/>
      <c r="C140" s="303" t="s">
        <v>47</v>
      </c>
      <c r="D140" s="729" t="s">
        <v>12</v>
      </c>
      <c r="E140" s="730"/>
      <c r="F140" s="731"/>
      <c r="G140" s="732" t="s">
        <v>53</v>
      </c>
      <c r="H140" s="733"/>
      <c r="I140" s="734"/>
      <c r="J140" s="304" t="s">
        <v>54</v>
      </c>
      <c r="K140" s="276" t="s">
        <v>55</v>
      </c>
      <c r="L140" s="276" t="s">
        <v>56</v>
      </c>
      <c r="M140" s="330" t="s">
        <v>11</v>
      </c>
      <c r="N140" s="277" t="s">
        <v>333</v>
      </c>
      <c r="O140" s="693" t="s">
        <v>51</v>
      </c>
      <c r="P140" s="694"/>
      <c r="R140" s="2"/>
      <c r="S140" s="2"/>
    </row>
    <row r="141" spans="1:19" s="289" customFormat="1" ht="20.149999999999999" customHeight="1">
      <c r="A141" s="695">
        <v>7</v>
      </c>
      <c r="B141" s="737" t="s">
        <v>249</v>
      </c>
      <c r="C141" s="279">
        <v>1</v>
      </c>
      <c r="D141" s="280"/>
      <c r="E141" s="281"/>
      <c r="F141" s="282"/>
      <c r="G141" s="283"/>
      <c r="H141" s="284"/>
      <c r="I141" s="285"/>
      <c r="J141" s="286"/>
      <c r="K141" s="287"/>
      <c r="L141" s="288"/>
      <c r="M141" s="331">
        <f t="shared" ref="M141:M143" si="16">L141*J141</f>
        <v>0</v>
      </c>
      <c r="N141" s="288"/>
      <c r="O141" s="740"/>
      <c r="P141" s="741"/>
      <c r="R141" s="2"/>
      <c r="S141" s="2"/>
    </row>
    <row r="142" spans="1:19" s="289" customFormat="1" ht="20.149999999999999" customHeight="1">
      <c r="A142" s="696"/>
      <c r="B142" s="738"/>
      <c r="C142" s="279">
        <v>2</v>
      </c>
      <c r="D142" s="280"/>
      <c r="E142" s="281"/>
      <c r="F142" s="282"/>
      <c r="G142" s="283"/>
      <c r="H142" s="284"/>
      <c r="I142" s="285"/>
      <c r="J142" s="286"/>
      <c r="K142" s="287"/>
      <c r="L142" s="288"/>
      <c r="M142" s="331">
        <f t="shared" si="16"/>
        <v>0</v>
      </c>
      <c r="N142" s="288"/>
      <c r="O142" s="742"/>
      <c r="P142" s="743"/>
      <c r="R142" s="2"/>
      <c r="S142" s="2"/>
    </row>
    <row r="143" spans="1:19" s="289" customFormat="1" ht="20.149999999999999" customHeight="1">
      <c r="A143" s="696"/>
      <c r="B143" s="738"/>
      <c r="C143" s="279">
        <v>3</v>
      </c>
      <c r="D143" s="280"/>
      <c r="E143" s="281"/>
      <c r="F143" s="282"/>
      <c r="G143" s="283"/>
      <c r="H143" s="284"/>
      <c r="I143" s="285"/>
      <c r="J143" s="286"/>
      <c r="K143" s="287"/>
      <c r="L143" s="288"/>
      <c r="M143" s="331">
        <f t="shared" si="16"/>
        <v>0</v>
      </c>
      <c r="N143" s="288"/>
      <c r="O143" s="742"/>
      <c r="P143" s="743"/>
      <c r="R143" s="2"/>
      <c r="S143" s="2"/>
    </row>
    <row r="144" spans="1:19" s="289" customFormat="1" ht="20.149999999999999" customHeight="1">
      <c r="A144" s="696"/>
      <c r="B144" s="738"/>
      <c r="C144" s="279">
        <v>4</v>
      </c>
      <c r="D144" s="280"/>
      <c r="E144" s="281"/>
      <c r="F144" s="282"/>
      <c r="G144" s="283"/>
      <c r="H144" s="284"/>
      <c r="I144" s="285"/>
      <c r="J144" s="286"/>
      <c r="K144" s="287"/>
      <c r="L144" s="288"/>
      <c r="M144" s="332">
        <v>0</v>
      </c>
      <c r="N144" s="288"/>
      <c r="O144" s="299"/>
      <c r="P144" s="300"/>
      <c r="R144" s="2"/>
      <c r="S144" s="2"/>
    </row>
    <row r="145" spans="1:21" s="289" customFormat="1" ht="20.149999999999999" customHeight="1" thickBot="1">
      <c r="A145" s="696"/>
      <c r="B145" s="738"/>
      <c r="C145" s="279">
        <v>5</v>
      </c>
      <c r="D145" s="290"/>
      <c r="E145" s="291"/>
      <c r="F145" s="292"/>
      <c r="G145" s="283"/>
      <c r="H145" s="284"/>
      <c r="I145" s="285"/>
      <c r="J145" s="391"/>
      <c r="K145" s="385"/>
      <c r="L145" s="317"/>
      <c r="M145" s="333">
        <v>0</v>
      </c>
      <c r="N145" s="288"/>
      <c r="O145" s="301"/>
      <c r="P145" s="302"/>
      <c r="R145" s="2"/>
      <c r="S145" s="2"/>
    </row>
    <row r="146" spans="1:21" s="289" customFormat="1" ht="15.75" customHeight="1" thickTop="1" thickBot="1">
      <c r="A146" s="697"/>
      <c r="B146" s="739"/>
      <c r="C146" s="724"/>
      <c r="D146" s="725"/>
      <c r="E146" s="725"/>
      <c r="F146" s="725"/>
      <c r="G146" s="725"/>
      <c r="H146" s="725"/>
      <c r="I146" s="726"/>
      <c r="J146" s="348" t="s">
        <v>58</v>
      </c>
      <c r="K146" s="212" t="e">
        <f>M146/'生產管理報表 7-1 (週)'!#REF!</f>
        <v>#REF!</v>
      </c>
      <c r="L146" s="349" t="s">
        <v>59</v>
      </c>
      <c r="M146" s="392">
        <f>SUM(M141:M145)</f>
        <v>0</v>
      </c>
      <c r="N146" s="712"/>
      <c r="O146" s="713"/>
      <c r="P146" s="714"/>
      <c r="R146" s="2"/>
      <c r="S146" s="2"/>
      <c r="T146" s="2"/>
    </row>
    <row r="147" spans="1:21" s="135" customFormat="1" ht="15.75" customHeight="1" thickTop="1">
      <c r="A147" s="805" t="s">
        <v>646</v>
      </c>
      <c r="B147" s="805"/>
      <c r="C147" s="805"/>
      <c r="D147" s="805"/>
      <c r="E147" s="805"/>
      <c r="F147" s="805"/>
      <c r="G147" s="805"/>
      <c r="H147" s="805"/>
      <c r="I147" s="805"/>
      <c r="J147" s="805"/>
      <c r="K147" s="805"/>
      <c r="L147" s="805"/>
      <c r="M147" s="805"/>
      <c r="R147" s="231"/>
      <c r="S147" s="231"/>
      <c r="T147" s="231"/>
      <c r="U147" s="231"/>
    </row>
    <row r="148" spans="1:21" s="136" customFormat="1" ht="15.75" customHeight="1">
      <c r="A148" s="680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</row>
    <row r="149" spans="1:21" s="135" customFormat="1" ht="15.75" customHeight="1">
      <c r="A149" s="681" t="s">
        <v>191</v>
      </c>
      <c r="B149" s="683">
        <v>1</v>
      </c>
      <c r="C149" s="684"/>
      <c r="D149" s="683">
        <v>2</v>
      </c>
      <c r="E149" s="684"/>
      <c r="F149" s="683">
        <v>3</v>
      </c>
      <c r="G149" s="684"/>
      <c r="H149" s="674">
        <v>4</v>
      </c>
      <c r="I149" s="675"/>
      <c r="J149" s="674">
        <v>5</v>
      </c>
      <c r="K149" s="675"/>
      <c r="L149" s="674">
        <v>6</v>
      </c>
      <c r="M149" s="675"/>
      <c r="N149" s="674">
        <v>7</v>
      </c>
      <c r="O149" s="675"/>
      <c r="P149" s="327">
        <v>8</v>
      </c>
    </row>
    <row r="150" spans="1:21" s="135" customFormat="1" ht="15.75" customHeight="1">
      <c r="A150" s="682"/>
      <c r="B150" s="678" t="s">
        <v>453</v>
      </c>
      <c r="C150" s="679"/>
      <c r="D150" s="678" t="s">
        <v>212</v>
      </c>
      <c r="E150" s="679"/>
      <c r="F150" s="678" t="s">
        <v>166</v>
      </c>
      <c r="G150" s="679"/>
      <c r="H150" s="676" t="s">
        <v>429</v>
      </c>
      <c r="I150" s="677"/>
      <c r="J150" s="676" t="s">
        <v>189</v>
      </c>
      <c r="K150" s="677"/>
      <c r="L150" s="676" t="s">
        <v>167</v>
      </c>
      <c r="M150" s="677"/>
      <c r="N150" s="676" t="s">
        <v>190</v>
      </c>
      <c r="O150" s="677"/>
      <c r="P150" s="328" t="s">
        <v>217</v>
      </c>
    </row>
    <row r="151" spans="1:21" s="135" customFormat="1" ht="15.75" customHeight="1">
      <c r="B151" s="232"/>
      <c r="C151" s="233"/>
    </row>
    <row r="152" spans="1:21" s="278" customFormat="1" ht="15.75" customHeight="1">
      <c r="A152" s="685" t="s">
        <v>191</v>
      </c>
      <c r="B152" s="686"/>
      <c r="C152" s="275" t="s">
        <v>47</v>
      </c>
      <c r="D152" s="687" t="s">
        <v>12</v>
      </c>
      <c r="E152" s="688"/>
      <c r="F152" s="689"/>
      <c r="G152" s="690" t="s">
        <v>53</v>
      </c>
      <c r="H152" s="691"/>
      <c r="I152" s="692"/>
      <c r="J152" s="276" t="s">
        <v>54</v>
      </c>
      <c r="K152" s="276" t="s">
        <v>55</v>
      </c>
      <c r="L152" s="276" t="s">
        <v>56</v>
      </c>
      <c r="M152" s="277" t="s">
        <v>11</v>
      </c>
      <c r="N152" s="277" t="s">
        <v>333</v>
      </c>
      <c r="O152" s="693" t="s">
        <v>51</v>
      </c>
      <c r="P152" s="694"/>
      <c r="R152" s="210"/>
      <c r="S152" s="261"/>
    </row>
    <row r="153" spans="1:21" s="298" customFormat="1" ht="20.149999999999999" customHeight="1">
      <c r="A153" s="695">
        <v>4</v>
      </c>
      <c r="B153" s="698" t="s">
        <v>429</v>
      </c>
      <c r="C153" s="279">
        <v>1</v>
      </c>
      <c r="D153" s="237"/>
      <c r="E153" s="238"/>
      <c r="F153" s="239"/>
      <c r="G153" s="351"/>
      <c r="H153" s="305"/>
      <c r="I153" s="306"/>
      <c r="J153" s="312"/>
      <c r="K153" s="313"/>
      <c r="L153" s="314"/>
      <c r="M153" s="322">
        <f t="shared" ref="M153:M157" si="17">L153*J153</f>
        <v>0</v>
      </c>
      <c r="N153" s="314"/>
      <c r="O153" s="701"/>
      <c r="P153" s="702"/>
      <c r="R153" s="315"/>
      <c r="S153" s="261"/>
    </row>
    <row r="154" spans="1:21" s="298" customFormat="1" ht="20.149999999999999" customHeight="1">
      <c r="A154" s="696"/>
      <c r="B154" s="699"/>
      <c r="C154" s="279">
        <v>2</v>
      </c>
      <c r="D154" s="237"/>
      <c r="E154" s="238"/>
      <c r="F154" s="239"/>
      <c r="G154" s="351"/>
      <c r="H154" s="305"/>
      <c r="I154" s="306"/>
      <c r="J154" s="312"/>
      <c r="K154" s="313"/>
      <c r="L154" s="314"/>
      <c r="M154" s="322">
        <f t="shared" si="17"/>
        <v>0</v>
      </c>
      <c r="N154" s="314"/>
      <c r="O154" s="703"/>
      <c r="P154" s="704"/>
      <c r="R154" s="315"/>
      <c r="S154" s="210"/>
      <c r="T154" s="335"/>
    </row>
    <row r="155" spans="1:21" s="298" customFormat="1" ht="20.149999999999999" customHeight="1">
      <c r="A155" s="696"/>
      <c r="B155" s="699"/>
      <c r="C155" s="279">
        <v>3</v>
      </c>
      <c r="D155" s="237"/>
      <c r="E155" s="238"/>
      <c r="F155" s="239"/>
      <c r="G155" s="351"/>
      <c r="H155" s="305"/>
      <c r="I155" s="306"/>
      <c r="J155" s="312"/>
      <c r="K155" s="313"/>
      <c r="L155" s="314"/>
      <c r="M155" s="322">
        <f t="shared" si="17"/>
        <v>0</v>
      </c>
      <c r="N155" s="314"/>
      <c r="O155" s="701"/>
      <c r="P155" s="702"/>
      <c r="R155" s="315"/>
      <c r="S155" s="261"/>
    </row>
    <row r="156" spans="1:21" s="298" customFormat="1" ht="20.149999999999999" customHeight="1">
      <c r="A156" s="696"/>
      <c r="B156" s="699"/>
      <c r="C156" s="279">
        <v>4</v>
      </c>
      <c r="D156" s="237"/>
      <c r="E156" s="238"/>
      <c r="F156" s="239"/>
      <c r="G156" s="351"/>
      <c r="H156" s="305"/>
      <c r="I156" s="306"/>
      <c r="J156" s="312"/>
      <c r="K156" s="313"/>
      <c r="L156" s="314"/>
      <c r="M156" s="322">
        <f t="shared" si="17"/>
        <v>0</v>
      </c>
      <c r="N156" s="314"/>
      <c r="O156" s="701"/>
      <c r="P156" s="702"/>
      <c r="R156" s="315"/>
      <c r="S156" s="210"/>
      <c r="T156" s="335"/>
    </row>
    <row r="157" spans="1:21" s="298" customFormat="1" ht="20.149999999999999" customHeight="1" thickBot="1">
      <c r="A157" s="696"/>
      <c r="B157" s="699"/>
      <c r="C157" s="279">
        <v>5</v>
      </c>
      <c r="D157" s="237"/>
      <c r="E157" s="245"/>
      <c r="F157" s="246"/>
      <c r="G157" s="351"/>
      <c r="H157" s="305"/>
      <c r="I157" s="306"/>
      <c r="J157" s="391"/>
      <c r="K157" s="385"/>
      <c r="L157" s="317"/>
      <c r="M157" s="322">
        <f t="shared" si="17"/>
        <v>0</v>
      </c>
      <c r="N157" s="314"/>
      <c r="O157" s="701"/>
      <c r="P157" s="702"/>
      <c r="R157" s="318"/>
      <c r="S157" s="261"/>
      <c r="T157" s="289"/>
    </row>
    <row r="158" spans="1:21" s="289" customFormat="1" ht="15.75" customHeight="1" thickTop="1" thickBot="1">
      <c r="A158" s="697"/>
      <c r="B158" s="700"/>
      <c r="C158" s="709"/>
      <c r="D158" s="710"/>
      <c r="E158" s="710"/>
      <c r="F158" s="710"/>
      <c r="G158" s="710"/>
      <c r="H158" s="710"/>
      <c r="I158" s="711"/>
      <c r="J158" s="348" t="s">
        <v>58</v>
      </c>
      <c r="K158" s="212" t="e">
        <f>M158/'生產管理報表 7-1 (週)'!#REF!</f>
        <v>#REF!</v>
      </c>
      <c r="L158" s="349" t="s">
        <v>59</v>
      </c>
      <c r="M158" s="392">
        <f>SUM(M153:M157)</f>
        <v>0</v>
      </c>
      <c r="N158" s="712"/>
      <c r="O158" s="713"/>
      <c r="P158" s="714"/>
      <c r="R158" s="210"/>
      <c r="S158" s="210"/>
    </row>
    <row r="159" spans="1:21" s="289" customFormat="1" ht="15.75" customHeight="1" thickTop="1">
      <c r="B159" s="297"/>
      <c r="C159" s="298"/>
      <c r="M159" s="329"/>
      <c r="S159" s="261"/>
    </row>
    <row r="160" spans="1:21" s="289" customFormat="1" ht="15.75" customHeight="1">
      <c r="A160" s="685" t="s">
        <v>191</v>
      </c>
      <c r="B160" s="686"/>
      <c r="C160" s="275" t="s">
        <v>47</v>
      </c>
      <c r="D160" s="687" t="s">
        <v>12</v>
      </c>
      <c r="E160" s="688"/>
      <c r="F160" s="689"/>
      <c r="G160" s="690" t="s">
        <v>53</v>
      </c>
      <c r="H160" s="691"/>
      <c r="I160" s="692"/>
      <c r="J160" s="276" t="s">
        <v>54</v>
      </c>
      <c r="K160" s="276" t="s">
        <v>55</v>
      </c>
      <c r="L160" s="276" t="s">
        <v>56</v>
      </c>
      <c r="M160" s="330" t="s">
        <v>11</v>
      </c>
      <c r="N160" s="277" t="s">
        <v>333</v>
      </c>
      <c r="O160" s="693" t="s">
        <v>51</v>
      </c>
      <c r="P160" s="694"/>
      <c r="S160" s="210"/>
      <c r="T160" s="335"/>
    </row>
    <row r="161" spans="1:20" s="298" customFormat="1" ht="40" customHeight="1">
      <c r="A161" s="695">
        <v>5</v>
      </c>
      <c r="B161" s="715" t="s">
        <v>215</v>
      </c>
      <c r="C161" s="279">
        <v>1</v>
      </c>
      <c r="D161" s="237" t="s">
        <v>340</v>
      </c>
      <c r="E161" s="238"/>
      <c r="F161" s="239"/>
      <c r="G161" s="306" t="s">
        <v>336</v>
      </c>
      <c r="H161" s="305"/>
      <c r="I161" s="306"/>
      <c r="J161" s="312">
        <v>147.43000000000004</v>
      </c>
      <c r="K161" s="313">
        <v>2.0165793177023142E-3</v>
      </c>
      <c r="L161" s="314">
        <v>9.3000000000000007</v>
      </c>
      <c r="M161" s="322">
        <f>L161*J161</f>
        <v>1371.0990000000004</v>
      </c>
      <c r="N161" s="314"/>
      <c r="O161" s="703" t="s">
        <v>718</v>
      </c>
      <c r="P161" s="704"/>
      <c r="R161" s="335"/>
      <c r="S161" s="393"/>
    </row>
    <row r="162" spans="1:20" s="298" customFormat="1" ht="20.149999999999999" customHeight="1">
      <c r="A162" s="696"/>
      <c r="B162" s="716"/>
      <c r="C162" s="279">
        <v>2</v>
      </c>
      <c r="D162" s="237"/>
      <c r="E162" s="238"/>
      <c r="F162" s="239"/>
      <c r="G162" s="351"/>
      <c r="H162" s="305"/>
      <c r="I162" s="306"/>
      <c r="J162" s="312"/>
      <c r="K162" s="313"/>
      <c r="L162" s="314"/>
      <c r="M162" s="322">
        <f t="shared" ref="M162:M165" si="18">L162*J162</f>
        <v>0</v>
      </c>
      <c r="N162" s="314"/>
      <c r="O162" s="703"/>
      <c r="P162" s="704"/>
      <c r="S162" s="210"/>
      <c r="T162" s="336"/>
    </row>
    <row r="163" spans="1:20" s="289" customFormat="1" ht="20.149999999999999" customHeight="1">
      <c r="A163" s="696"/>
      <c r="B163" s="716"/>
      <c r="C163" s="279">
        <v>3</v>
      </c>
      <c r="D163" s="237"/>
      <c r="E163" s="281"/>
      <c r="F163" s="282"/>
      <c r="G163" s="351"/>
      <c r="H163" s="305"/>
      <c r="I163" s="306"/>
      <c r="J163" s="312"/>
      <c r="K163" s="313"/>
      <c r="L163" s="314"/>
      <c r="M163" s="322">
        <f t="shared" si="18"/>
        <v>0</v>
      </c>
      <c r="N163" s="288"/>
      <c r="O163" s="720"/>
      <c r="P163" s="721"/>
    </row>
    <row r="164" spans="1:20" s="289" customFormat="1" ht="20.149999999999999" customHeight="1">
      <c r="A164" s="696"/>
      <c r="B164" s="716"/>
      <c r="C164" s="279">
        <v>4</v>
      </c>
      <c r="D164" s="237"/>
      <c r="E164" s="281"/>
      <c r="F164" s="282"/>
      <c r="G164" s="351"/>
      <c r="H164" s="305"/>
      <c r="I164" s="306"/>
      <c r="J164" s="312"/>
      <c r="K164" s="313"/>
      <c r="L164" s="314"/>
      <c r="M164" s="322">
        <f t="shared" si="18"/>
        <v>0</v>
      </c>
      <c r="N164" s="288"/>
      <c r="O164" s="703"/>
      <c r="P164" s="704"/>
    </row>
    <row r="165" spans="1:20" s="289" customFormat="1" ht="20.149999999999999" customHeight="1" thickBot="1">
      <c r="A165" s="696"/>
      <c r="B165" s="716"/>
      <c r="C165" s="279">
        <v>5</v>
      </c>
      <c r="D165" s="244"/>
      <c r="E165" s="291"/>
      <c r="F165" s="292"/>
      <c r="G165" s="351"/>
      <c r="H165" s="305"/>
      <c r="I165" s="306"/>
      <c r="J165" s="391"/>
      <c r="K165" s="385"/>
      <c r="L165" s="317"/>
      <c r="M165" s="322">
        <f t="shared" si="18"/>
        <v>0</v>
      </c>
      <c r="N165" s="288"/>
      <c r="O165" s="808"/>
      <c r="P165" s="809"/>
      <c r="R165" s="211"/>
    </row>
    <row r="166" spans="1:20" s="289" customFormat="1" ht="15.75" customHeight="1" thickTop="1" thickBot="1">
      <c r="A166" s="697"/>
      <c r="B166" s="717"/>
      <c r="C166" s="724"/>
      <c r="D166" s="725"/>
      <c r="E166" s="725"/>
      <c r="F166" s="725"/>
      <c r="G166" s="725"/>
      <c r="H166" s="725"/>
      <c r="I166" s="726"/>
      <c r="J166" s="348" t="s">
        <v>58</v>
      </c>
      <c r="K166" s="212" t="e">
        <f>M166/'生產管理報表 7-1 (週)'!#REF!</f>
        <v>#REF!</v>
      </c>
      <c r="L166" s="349" t="s">
        <v>59</v>
      </c>
      <c r="M166" s="392">
        <f>SUM(M161:M165)</f>
        <v>1371.0990000000004</v>
      </c>
      <c r="N166" s="712"/>
      <c r="O166" s="713"/>
      <c r="P166" s="714"/>
      <c r="R166" s="210"/>
    </row>
    <row r="167" spans="1:20" s="289" customFormat="1" ht="15.75" customHeight="1" thickTop="1">
      <c r="B167" s="297"/>
      <c r="C167" s="298"/>
      <c r="M167" s="329"/>
      <c r="R167" s="210"/>
    </row>
    <row r="168" spans="1:20" s="289" customFormat="1" ht="15.75" customHeight="1">
      <c r="A168" s="685" t="s">
        <v>191</v>
      </c>
      <c r="B168" s="686"/>
      <c r="C168" s="303" t="s">
        <v>47</v>
      </c>
      <c r="D168" s="729" t="s">
        <v>12</v>
      </c>
      <c r="E168" s="730"/>
      <c r="F168" s="731"/>
      <c r="G168" s="732" t="s">
        <v>53</v>
      </c>
      <c r="H168" s="733"/>
      <c r="I168" s="734"/>
      <c r="J168" s="304" t="s">
        <v>54</v>
      </c>
      <c r="K168" s="276" t="s">
        <v>55</v>
      </c>
      <c r="L168" s="276" t="s">
        <v>56</v>
      </c>
      <c r="M168" s="330" t="s">
        <v>11</v>
      </c>
      <c r="N168" s="277" t="s">
        <v>333</v>
      </c>
      <c r="O168" s="693" t="s">
        <v>51</v>
      </c>
      <c r="P168" s="694"/>
      <c r="R168" s="210"/>
      <c r="S168" s="2"/>
    </row>
    <row r="169" spans="1:20" s="289" customFormat="1" ht="40" customHeight="1">
      <c r="A169" s="695">
        <v>6</v>
      </c>
      <c r="B169" s="715" t="s">
        <v>216</v>
      </c>
      <c r="C169" s="279">
        <v>1</v>
      </c>
      <c r="D169" s="337" t="s">
        <v>524</v>
      </c>
      <c r="E169" s="281"/>
      <c r="F169" s="282"/>
      <c r="G169" s="240" t="s">
        <v>335</v>
      </c>
      <c r="H169" s="241"/>
      <c r="I169" s="240"/>
      <c r="J169" s="312">
        <v>15.450000000000001</v>
      </c>
      <c r="K169" s="313">
        <v>2.2292829540575352E-3</v>
      </c>
      <c r="L169" s="314">
        <v>155.76</v>
      </c>
      <c r="M169" s="322">
        <f t="shared" ref="M169:M173" si="19">L169*J169</f>
        <v>2406.4920000000002</v>
      </c>
      <c r="N169" s="288"/>
      <c r="O169" s="720" t="s">
        <v>577</v>
      </c>
      <c r="P169" s="721"/>
      <c r="R169" s="336"/>
      <c r="S169" s="400"/>
    </row>
    <row r="170" spans="1:20" s="298" customFormat="1" ht="40" customHeight="1">
      <c r="A170" s="696"/>
      <c r="B170" s="716"/>
      <c r="C170" s="279">
        <v>2</v>
      </c>
      <c r="D170" s="237" t="s">
        <v>340</v>
      </c>
      <c r="E170" s="238"/>
      <c r="F170" s="239"/>
      <c r="G170" s="240" t="s">
        <v>546</v>
      </c>
      <c r="H170" s="241"/>
      <c r="I170" s="240"/>
      <c r="J170" s="312">
        <v>62.43</v>
      </c>
      <c r="K170" s="313">
        <v>1.1313655643328079E-2</v>
      </c>
      <c r="L170" s="314">
        <v>25.980000000000004</v>
      </c>
      <c r="M170" s="322">
        <f t="shared" si="19"/>
        <v>1621.9314000000002</v>
      </c>
      <c r="N170" s="314"/>
      <c r="O170" s="806" t="s">
        <v>719</v>
      </c>
      <c r="P170" s="807"/>
      <c r="S170" s="96"/>
    </row>
    <row r="171" spans="1:20" s="289" customFormat="1" ht="40" customHeight="1">
      <c r="A171" s="696"/>
      <c r="B171" s="716"/>
      <c r="C171" s="279">
        <v>3</v>
      </c>
      <c r="D171" s="237" t="s">
        <v>340</v>
      </c>
      <c r="E171" s="281"/>
      <c r="F171" s="282"/>
      <c r="G171" s="240" t="s">
        <v>535</v>
      </c>
      <c r="H171" s="284"/>
      <c r="I171" s="285"/>
      <c r="J171" s="312">
        <v>39.389999999999993</v>
      </c>
      <c r="K171" s="313">
        <v>1.0263951028499424E-3</v>
      </c>
      <c r="L171" s="314">
        <v>35.849999999999994</v>
      </c>
      <c r="M171" s="322">
        <f t="shared" si="19"/>
        <v>1412.1314999999995</v>
      </c>
      <c r="N171" s="288"/>
      <c r="O171" s="806" t="s">
        <v>719</v>
      </c>
      <c r="P171" s="807"/>
      <c r="S171" s="2"/>
    </row>
    <row r="172" spans="1:20" s="289" customFormat="1" ht="40" customHeight="1">
      <c r="A172" s="696"/>
      <c r="B172" s="716"/>
      <c r="C172" s="279">
        <v>4</v>
      </c>
      <c r="D172" s="237" t="s">
        <v>464</v>
      </c>
      <c r="E172" s="281"/>
      <c r="F172" s="282"/>
      <c r="G172" s="240" t="s">
        <v>626</v>
      </c>
      <c r="H172" s="284"/>
      <c r="I172" s="285"/>
      <c r="J172" s="312">
        <v>39.389999999999993</v>
      </c>
      <c r="K172" s="313">
        <v>4.5630035610553276E-3</v>
      </c>
      <c r="L172" s="314">
        <v>31.970000000000002</v>
      </c>
      <c r="M172" s="322">
        <f t="shared" si="19"/>
        <v>1259.2982999999999</v>
      </c>
      <c r="N172" s="288"/>
      <c r="O172" s="806" t="s">
        <v>719</v>
      </c>
      <c r="P172" s="807"/>
      <c r="R172" s="2"/>
      <c r="S172" s="2"/>
    </row>
    <row r="173" spans="1:20" s="289" customFormat="1" ht="40" customHeight="1" thickBot="1">
      <c r="A173" s="696"/>
      <c r="B173" s="716"/>
      <c r="C173" s="279">
        <v>5</v>
      </c>
      <c r="D173" s="244" t="s">
        <v>673</v>
      </c>
      <c r="E173" s="291"/>
      <c r="F173" s="292"/>
      <c r="G173" s="240" t="s">
        <v>677</v>
      </c>
      <c r="H173" s="284"/>
      <c r="I173" s="285"/>
      <c r="J173" s="391">
        <v>40.420000000000009</v>
      </c>
      <c r="K173" s="385">
        <v>8.3695778428816651E-3</v>
      </c>
      <c r="L173" s="317">
        <v>25.94</v>
      </c>
      <c r="M173" s="322">
        <f t="shared" si="19"/>
        <v>1048.4948000000002</v>
      </c>
      <c r="N173" s="288"/>
      <c r="O173" s="806" t="s">
        <v>719</v>
      </c>
      <c r="P173" s="807"/>
      <c r="R173" s="2"/>
      <c r="S173" s="2"/>
    </row>
    <row r="174" spans="1:20" s="289" customFormat="1" ht="15.75" customHeight="1" thickTop="1" thickBot="1">
      <c r="A174" s="697"/>
      <c r="B174" s="717"/>
      <c r="C174" s="724"/>
      <c r="D174" s="725"/>
      <c r="E174" s="725"/>
      <c r="F174" s="725"/>
      <c r="G174" s="725"/>
      <c r="H174" s="725"/>
      <c r="I174" s="726"/>
      <c r="J174" s="348" t="s">
        <v>58</v>
      </c>
      <c r="K174" s="212" t="e">
        <f>M174/'生產管理報表 7-1 (週)'!#REF!</f>
        <v>#REF!</v>
      </c>
      <c r="L174" s="349" t="s">
        <v>59</v>
      </c>
      <c r="M174" s="392">
        <f>SUM(M169:M173)</f>
        <v>7748.348</v>
      </c>
      <c r="N174" s="712"/>
      <c r="O174" s="713"/>
      <c r="P174" s="714"/>
      <c r="R174" s="2"/>
      <c r="S174" s="2"/>
    </row>
    <row r="175" spans="1:20" s="289" customFormat="1" ht="15.75" customHeight="1" thickTop="1">
      <c r="B175" s="297"/>
      <c r="C175" s="298"/>
      <c r="M175" s="329"/>
      <c r="R175" s="2"/>
      <c r="S175" s="2"/>
    </row>
    <row r="176" spans="1:20" s="289" customFormat="1" ht="15.75" customHeight="1">
      <c r="A176" s="685" t="s">
        <v>191</v>
      </c>
      <c r="B176" s="686"/>
      <c r="C176" s="303" t="s">
        <v>47</v>
      </c>
      <c r="D176" s="729" t="s">
        <v>12</v>
      </c>
      <c r="E176" s="730"/>
      <c r="F176" s="731"/>
      <c r="G176" s="732" t="s">
        <v>53</v>
      </c>
      <c r="H176" s="733"/>
      <c r="I176" s="734"/>
      <c r="J176" s="304" t="s">
        <v>54</v>
      </c>
      <c r="K176" s="276" t="s">
        <v>55</v>
      </c>
      <c r="L176" s="276" t="s">
        <v>56</v>
      </c>
      <c r="M176" s="330" t="s">
        <v>11</v>
      </c>
      <c r="N176" s="277" t="s">
        <v>333</v>
      </c>
      <c r="O176" s="693" t="s">
        <v>51</v>
      </c>
      <c r="P176" s="694"/>
      <c r="R176" s="2"/>
      <c r="S176" s="2"/>
    </row>
    <row r="177" spans="1:21" s="289" customFormat="1" ht="20.149999999999999" customHeight="1">
      <c r="A177" s="695">
        <v>7</v>
      </c>
      <c r="B177" s="737" t="s">
        <v>249</v>
      </c>
      <c r="C177" s="279">
        <v>1</v>
      </c>
      <c r="D177" s="280"/>
      <c r="E177" s="281"/>
      <c r="F177" s="282"/>
      <c r="G177" s="283"/>
      <c r="H177" s="284"/>
      <c r="I177" s="285"/>
      <c r="J177" s="286"/>
      <c r="K177" s="287"/>
      <c r="L177" s="288"/>
      <c r="M177" s="331">
        <f t="shared" ref="M177:M179" si="20">L177*J177</f>
        <v>0</v>
      </c>
      <c r="N177" s="288"/>
      <c r="O177" s="740"/>
      <c r="P177" s="741"/>
      <c r="R177" s="2"/>
      <c r="S177" s="2"/>
    </row>
    <row r="178" spans="1:21" s="289" customFormat="1" ht="20.149999999999999" customHeight="1">
      <c r="A178" s="696"/>
      <c r="B178" s="738"/>
      <c r="C178" s="279">
        <v>2</v>
      </c>
      <c r="D178" s="280"/>
      <c r="E178" s="281"/>
      <c r="F178" s="282"/>
      <c r="G178" s="283"/>
      <c r="H178" s="284"/>
      <c r="I178" s="285"/>
      <c r="J178" s="286"/>
      <c r="K178" s="287"/>
      <c r="L178" s="288"/>
      <c r="M178" s="331">
        <f t="shared" si="20"/>
        <v>0</v>
      </c>
      <c r="N178" s="288"/>
      <c r="O178" s="742"/>
      <c r="P178" s="743"/>
      <c r="R178" s="2"/>
      <c r="S178" s="2"/>
    </row>
    <row r="179" spans="1:21" s="289" customFormat="1" ht="20.149999999999999" customHeight="1">
      <c r="A179" s="696"/>
      <c r="B179" s="738"/>
      <c r="C179" s="279">
        <v>3</v>
      </c>
      <c r="D179" s="280"/>
      <c r="E179" s="281"/>
      <c r="F179" s="282"/>
      <c r="G179" s="283"/>
      <c r="H179" s="284"/>
      <c r="I179" s="285"/>
      <c r="J179" s="286"/>
      <c r="K179" s="287"/>
      <c r="L179" s="288"/>
      <c r="M179" s="331">
        <f t="shared" si="20"/>
        <v>0</v>
      </c>
      <c r="N179" s="288"/>
      <c r="O179" s="742"/>
      <c r="P179" s="743"/>
      <c r="R179" s="2"/>
      <c r="S179" s="2"/>
    </row>
    <row r="180" spans="1:21" s="289" customFormat="1" ht="20.149999999999999" customHeight="1">
      <c r="A180" s="696"/>
      <c r="B180" s="738"/>
      <c r="C180" s="279">
        <v>4</v>
      </c>
      <c r="D180" s="280"/>
      <c r="E180" s="281"/>
      <c r="F180" s="282"/>
      <c r="G180" s="283"/>
      <c r="H180" s="284"/>
      <c r="I180" s="285"/>
      <c r="J180" s="286"/>
      <c r="K180" s="287"/>
      <c r="L180" s="288"/>
      <c r="M180" s="332">
        <v>0</v>
      </c>
      <c r="N180" s="288"/>
      <c r="O180" s="299"/>
      <c r="P180" s="300"/>
      <c r="R180" s="2"/>
      <c r="S180" s="2"/>
    </row>
    <row r="181" spans="1:21" s="289" customFormat="1" ht="20.149999999999999" customHeight="1" thickBot="1">
      <c r="A181" s="696"/>
      <c r="B181" s="738"/>
      <c r="C181" s="279">
        <v>5</v>
      </c>
      <c r="D181" s="290"/>
      <c r="E181" s="291"/>
      <c r="F181" s="292"/>
      <c r="G181" s="283"/>
      <c r="H181" s="284"/>
      <c r="I181" s="285"/>
      <c r="J181" s="391"/>
      <c r="K181" s="385"/>
      <c r="L181" s="317"/>
      <c r="M181" s="333">
        <v>0</v>
      </c>
      <c r="N181" s="288"/>
      <c r="O181" s="301"/>
      <c r="P181" s="302"/>
      <c r="R181" s="2"/>
      <c r="S181" s="2"/>
    </row>
    <row r="182" spans="1:21" s="289" customFormat="1" ht="15.75" customHeight="1" thickTop="1" thickBot="1">
      <c r="A182" s="697"/>
      <c r="B182" s="739"/>
      <c r="C182" s="724"/>
      <c r="D182" s="725"/>
      <c r="E182" s="725"/>
      <c r="F182" s="725"/>
      <c r="G182" s="725"/>
      <c r="H182" s="725"/>
      <c r="I182" s="726"/>
      <c r="J182" s="348" t="s">
        <v>58</v>
      </c>
      <c r="K182" s="212" t="e">
        <f>M182/'生產管理報表 7-1 (週)'!#REF!</f>
        <v>#REF!</v>
      </c>
      <c r="L182" s="349" t="s">
        <v>59</v>
      </c>
      <c r="M182" s="392">
        <f>SUM(M177:M181)</f>
        <v>0</v>
      </c>
      <c r="N182" s="712"/>
      <c r="O182" s="713"/>
      <c r="P182" s="714"/>
      <c r="R182" s="2"/>
      <c r="S182" s="2"/>
      <c r="T182" s="2"/>
    </row>
    <row r="183" spans="1:21" s="135" customFormat="1" ht="15.75" customHeight="1" thickTop="1">
      <c r="A183" s="805" t="s">
        <v>801</v>
      </c>
      <c r="B183" s="805"/>
      <c r="C183" s="805"/>
      <c r="D183" s="805"/>
      <c r="E183" s="805"/>
      <c r="F183" s="805"/>
      <c r="G183" s="805"/>
      <c r="H183" s="805"/>
      <c r="I183" s="805"/>
      <c r="J183" s="805"/>
      <c r="K183" s="805"/>
      <c r="L183" s="805"/>
      <c r="M183" s="805"/>
      <c r="R183" s="231"/>
      <c r="S183" s="231"/>
      <c r="T183" s="231"/>
      <c r="U183" s="231"/>
    </row>
    <row r="184" spans="1:21" s="136" customFormat="1" ht="15.75" customHeight="1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</row>
    <row r="185" spans="1:21" s="135" customFormat="1" ht="15.75" customHeight="1">
      <c r="A185" s="681" t="s">
        <v>191</v>
      </c>
      <c r="B185" s="683">
        <v>1</v>
      </c>
      <c r="C185" s="684"/>
      <c r="D185" s="683">
        <v>2</v>
      </c>
      <c r="E185" s="684"/>
      <c r="F185" s="683">
        <v>3</v>
      </c>
      <c r="G185" s="684"/>
      <c r="H185" s="674">
        <v>4</v>
      </c>
      <c r="I185" s="675"/>
      <c r="J185" s="674">
        <v>5</v>
      </c>
      <c r="K185" s="675"/>
      <c r="L185" s="674">
        <v>6</v>
      </c>
      <c r="M185" s="675"/>
      <c r="N185" s="674">
        <v>7</v>
      </c>
      <c r="O185" s="675"/>
      <c r="P185" s="327">
        <v>8</v>
      </c>
    </row>
    <row r="186" spans="1:21" s="135" customFormat="1" ht="15.75" customHeight="1">
      <c r="A186" s="682"/>
      <c r="B186" s="678" t="s">
        <v>453</v>
      </c>
      <c r="C186" s="679"/>
      <c r="D186" s="678" t="s">
        <v>212</v>
      </c>
      <c r="E186" s="679"/>
      <c r="F186" s="678" t="s">
        <v>166</v>
      </c>
      <c r="G186" s="679"/>
      <c r="H186" s="676" t="s">
        <v>429</v>
      </c>
      <c r="I186" s="677"/>
      <c r="J186" s="676" t="s">
        <v>189</v>
      </c>
      <c r="K186" s="677"/>
      <c r="L186" s="676" t="s">
        <v>167</v>
      </c>
      <c r="M186" s="677"/>
      <c r="N186" s="676" t="s">
        <v>190</v>
      </c>
      <c r="O186" s="677"/>
      <c r="P186" s="328" t="s">
        <v>217</v>
      </c>
    </row>
    <row r="187" spans="1:21" s="135" customFormat="1" ht="15.75" customHeight="1">
      <c r="B187" s="232"/>
      <c r="C187" s="233"/>
    </row>
    <row r="188" spans="1:21" s="278" customFormat="1" ht="15.75" customHeight="1">
      <c r="A188" s="685" t="s">
        <v>191</v>
      </c>
      <c r="B188" s="686"/>
      <c r="C188" s="275" t="s">
        <v>47</v>
      </c>
      <c r="D188" s="687" t="s">
        <v>12</v>
      </c>
      <c r="E188" s="688"/>
      <c r="F188" s="689"/>
      <c r="G188" s="690" t="s">
        <v>53</v>
      </c>
      <c r="H188" s="691"/>
      <c r="I188" s="692"/>
      <c r="J188" s="276" t="s">
        <v>54</v>
      </c>
      <c r="K188" s="276" t="s">
        <v>55</v>
      </c>
      <c r="L188" s="276" t="s">
        <v>56</v>
      </c>
      <c r="M188" s="277" t="s">
        <v>11</v>
      </c>
      <c r="N188" s="277" t="s">
        <v>333</v>
      </c>
      <c r="O188" s="693" t="s">
        <v>51</v>
      </c>
      <c r="P188" s="694"/>
      <c r="R188" s="210"/>
      <c r="S188" s="261"/>
    </row>
    <row r="189" spans="1:21" s="298" customFormat="1" ht="20.149999999999999" customHeight="1">
      <c r="A189" s="695">
        <v>4</v>
      </c>
      <c r="B189" s="698" t="s">
        <v>429</v>
      </c>
      <c r="C189" s="279">
        <v>1</v>
      </c>
      <c r="D189" s="237"/>
      <c r="E189" s="238"/>
      <c r="F189" s="239"/>
      <c r="G189" s="351"/>
      <c r="H189" s="305"/>
      <c r="I189" s="306"/>
      <c r="J189" s="312"/>
      <c r="K189" s="313"/>
      <c r="L189" s="314"/>
      <c r="M189" s="322">
        <f t="shared" ref="M189:M193" si="21">L189*J189</f>
        <v>0</v>
      </c>
      <c r="N189" s="314"/>
      <c r="O189" s="701"/>
      <c r="P189" s="702"/>
      <c r="R189" s="315"/>
      <c r="S189" s="261"/>
    </row>
    <row r="190" spans="1:21" s="298" customFormat="1" ht="20.149999999999999" customHeight="1">
      <c r="A190" s="696"/>
      <c r="B190" s="699"/>
      <c r="C190" s="279">
        <v>2</v>
      </c>
      <c r="D190" s="237"/>
      <c r="E190" s="238"/>
      <c r="F190" s="239"/>
      <c r="G190" s="351"/>
      <c r="H190" s="305"/>
      <c r="I190" s="306"/>
      <c r="J190" s="312"/>
      <c r="K190" s="313"/>
      <c r="L190" s="314"/>
      <c r="M190" s="322">
        <f t="shared" si="21"/>
        <v>0</v>
      </c>
      <c r="N190" s="314"/>
      <c r="O190" s="703"/>
      <c r="P190" s="704"/>
      <c r="R190" s="315"/>
      <c r="S190" s="210"/>
      <c r="T190" s="335"/>
    </row>
    <row r="191" spans="1:21" s="298" customFormat="1" ht="20.149999999999999" customHeight="1">
      <c r="A191" s="696"/>
      <c r="B191" s="699"/>
      <c r="C191" s="279">
        <v>3</v>
      </c>
      <c r="D191" s="237"/>
      <c r="E191" s="238"/>
      <c r="F191" s="239"/>
      <c r="G191" s="351"/>
      <c r="H191" s="305"/>
      <c r="I191" s="306"/>
      <c r="J191" s="312"/>
      <c r="K191" s="313"/>
      <c r="L191" s="314"/>
      <c r="M191" s="322">
        <f t="shared" si="21"/>
        <v>0</v>
      </c>
      <c r="N191" s="314"/>
      <c r="O191" s="701"/>
      <c r="P191" s="702"/>
      <c r="R191" s="315"/>
      <c r="S191" s="261"/>
    </row>
    <row r="192" spans="1:21" s="298" customFormat="1" ht="20.149999999999999" customHeight="1">
      <c r="A192" s="696"/>
      <c r="B192" s="699"/>
      <c r="C192" s="279">
        <v>4</v>
      </c>
      <c r="D192" s="237"/>
      <c r="E192" s="238"/>
      <c r="F192" s="239"/>
      <c r="G192" s="351"/>
      <c r="H192" s="305"/>
      <c r="I192" s="306"/>
      <c r="J192" s="312"/>
      <c r="K192" s="313"/>
      <c r="L192" s="314"/>
      <c r="M192" s="322">
        <f t="shared" si="21"/>
        <v>0</v>
      </c>
      <c r="N192" s="314"/>
      <c r="O192" s="701"/>
      <c r="P192" s="702"/>
      <c r="R192" s="315"/>
      <c r="S192" s="210"/>
      <c r="T192" s="335"/>
    </row>
    <row r="193" spans="1:20" s="298" customFormat="1" ht="20.149999999999999" customHeight="1" thickBot="1">
      <c r="A193" s="696"/>
      <c r="B193" s="699"/>
      <c r="C193" s="279">
        <v>5</v>
      </c>
      <c r="D193" s="237"/>
      <c r="E193" s="245"/>
      <c r="F193" s="246"/>
      <c r="G193" s="351"/>
      <c r="H193" s="305"/>
      <c r="I193" s="306"/>
      <c r="J193" s="391"/>
      <c r="K193" s="385"/>
      <c r="L193" s="317"/>
      <c r="M193" s="322">
        <f t="shared" si="21"/>
        <v>0</v>
      </c>
      <c r="N193" s="314"/>
      <c r="O193" s="701"/>
      <c r="P193" s="702"/>
      <c r="R193" s="318"/>
      <c r="S193" s="261"/>
      <c r="T193" s="289"/>
    </row>
    <row r="194" spans="1:20" s="289" customFormat="1" ht="15.75" customHeight="1" thickTop="1" thickBot="1">
      <c r="A194" s="697"/>
      <c r="B194" s="700"/>
      <c r="C194" s="709"/>
      <c r="D194" s="710"/>
      <c r="E194" s="710"/>
      <c r="F194" s="710"/>
      <c r="G194" s="710"/>
      <c r="H194" s="710"/>
      <c r="I194" s="711"/>
      <c r="J194" s="348" t="s">
        <v>58</v>
      </c>
      <c r="K194" s="212">
        <f>M194/'生產管理報表 7-1 (週)'!$B$9</f>
        <v>0</v>
      </c>
      <c r="L194" s="349" t="s">
        <v>59</v>
      </c>
      <c r="M194" s="392">
        <f>SUM(M189:M193)</f>
        <v>0</v>
      </c>
      <c r="N194" s="712"/>
      <c r="O194" s="713"/>
      <c r="P194" s="714"/>
      <c r="R194" s="210"/>
      <c r="S194" s="210"/>
    </row>
    <row r="195" spans="1:20" s="289" customFormat="1" ht="15.75" customHeight="1" thickTop="1">
      <c r="B195" s="297"/>
      <c r="C195" s="298"/>
      <c r="M195" s="329"/>
      <c r="S195" s="261"/>
    </row>
    <row r="196" spans="1:20" s="289" customFormat="1" ht="15.75" customHeight="1">
      <c r="A196" s="685" t="s">
        <v>191</v>
      </c>
      <c r="B196" s="686"/>
      <c r="C196" s="275" t="s">
        <v>47</v>
      </c>
      <c r="D196" s="687" t="s">
        <v>12</v>
      </c>
      <c r="E196" s="688"/>
      <c r="F196" s="689"/>
      <c r="G196" s="690" t="s">
        <v>53</v>
      </c>
      <c r="H196" s="691"/>
      <c r="I196" s="692"/>
      <c r="J196" s="276" t="s">
        <v>54</v>
      </c>
      <c r="K196" s="276" t="s">
        <v>55</v>
      </c>
      <c r="L196" s="276" t="s">
        <v>56</v>
      </c>
      <c r="M196" s="330" t="s">
        <v>11</v>
      </c>
      <c r="N196" s="277" t="s">
        <v>333</v>
      </c>
      <c r="O196" s="693" t="s">
        <v>51</v>
      </c>
      <c r="P196" s="694"/>
      <c r="S196" s="210"/>
      <c r="T196" s="335"/>
    </row>
    <row r="197" spans="1:20" s="298" customFormat="1" ht="20.149999999999999" customHeight="1">
      <c r="A197" s="695">
        <v>5</v>
      </c>
      <c r="B197" s="715" t="s">
        <v>215</v>
      </c>
      <c r="C197" s="279">
        <v>1</v>
      </c>
      <c r="D197" s="237"/>
      <c r="E197" s="238"/>
      <c r="F197" s="239"/>
      <c r="G197" s="351"/>
      <c r="H197" s="305"/>
      <c r="I197" s="306"/>
      <c r="J197" s="312"/>
      <c r="K197" s="313"/>
      <c r="L197" s="314"/>
      <c r="M197" s="322">
        <f>L197*J197</f>
        <v>0</v>
      </c>
      <c r="N197" s="314"/>
      <c r="O197" s="703"/>
      <c r="P197" s="704"/>
      <c r="R197" s="335"/>
      <c r="S197" s="393"/>
    </row>
    <row r="198" spans="1:20" s="298" customFormat="1" ht="20.149999999999999" customHeight="1">
      <c r="A198" s="696"/>
      <c r="B198" s="716"/>
      <c r="C198" s="279">
        <v>2</v>
      </c>
      <c r="D198" s="237"/>
      <c r="E198" s="238"/>
      <c r="F198" s="239"/>
      <c r="G198" s="351"/>
      <c r="H198" s="305"/>
      <c r="I198" s="306"/>
      <c r="J198" s="312"/>
      <c r="K198" s="313"/>
      <c r="L198" s="314"/>
      <c r="M198" s="322">
        <f t="shared" ref="M198:M201" si="22">L198*J198</f>
        <v>0</v>
      </c>
      <c r="N198" s="314"/>
      <c r="O198" s="703"/>
      <c r="P198" s="704"/>
      <c r="S198" s="210"/>
      <c r="T198" s="336"/>
    </row>
    <row r="199" spans="1:20" s="289" customFormat="1" ht="20.149999999999999" customHeight="1">
      <c r="A199" s="696"/>
      <c r="B199" s="716"/>
      <c r="C199" s="279">
        <v>3</v>
      </c>
      <c r="D199" s="237"/>
      <c r="E199" s="281"/>
      <c r="F199" s="282"/>
      <c r="G199" s="351"/>
      <c r="H199" s="305"/>
      <c r="I199" s="306"/>
      <c r="J199" s="312"/>
      <c r="K199" s="313"/>
      <c r="L199" s="314"/>
      <c r="M199" s="322">
        <f t="shared" si="22"/>
        <v>0</v>
      </c>
      <c r="N199" s="288"/>
      <c r="O199" s="720"/>
      <c r="P199" s="721"/>
    </row>
    <row r="200" spans="1:20" s="289" customFormat="1" ht="20.149999999999999" customHeight="1">
      <c r="A200" s="696"/>
      <c r="B200" s="716"/>
      <c r="C200" s="279">
        <v>4</v>
      </c>
      <c r="D200" s="237"/>
      <c r="E200" s="281"/>
      <c r="F200" s="282"/>
      <c r="G200" s="351"/>
      <c r="H200" s="305"/>
      <c r="I200" s="306"/>
      <c r="J200" s="312"/>
      <c r="K200" s="313"/>
      <c r="L200" s="314"/>
      <c r="M200" s="322">
        <f t="shared" si="22"/>
        <v>0</v>
      </c>
      <c r="N200" s="288"/>
      <c r="O200" s="703"/>
      <c r="P200" s="704"/>
    </row>
    <row r="201" spans="1:20" s="289" customFormat="1" ht="20.149999999999999" customHeight="1" thickBot="1">
      <c r="A201" s="696"/>
      <c r="B201" s="716"/>
      <c r="C201" s="279">
        <v>5</v>
      </c>
      <c r="D201" s="244"/>
      <c r="E201" s="291"/>
      <c r="F201" s="292"/>
      <c r="G201" s="351"/>
      <c r="H201" s="305"/>
      <c r="I201" s="306"/>
      <c r="J201" s="391"/>
      <c r="K201" s="385"/>
      <c r="L201" s="317"/>
      <c r="M201" s="322">
        <f t="shared" si="22"/>
        <v>0</v>
      </c>
      <c r="N201" s="288"/>
      <c r="O201" s="808"/>
      <c r="P201" s="809"/>
      <c r="R201" s="211"/>
    </row>
    <row r="202" spans="1:20" s="289" customFormat="1" ht="15.75" customHeight="1" thickTop="1" thickBot="1">
      <c r="A202" s="697"/>
      <c r="B202" s="717"/>
      <c r="C202" s="724"/>
      <c r="D202" s="725"/>
      <c r="E202" s="725"/>
      <c r="F202" s="725"/>
      <c r="G202" s="725"/>
      <c r="H202" s="725"/>
      <c r="I202" s="726"/>
      <c r="J202" s="348" t="s">
        <v>58</v>
      </c>
      <c r="K202" s="212">
        <f>M202/'生產管理報表 7-1 (週)'!$B$9</f>
        <v>0</v>
      </c>
      <c r="L202" s="349" t="s">
        <v>59</v>
      </c>
      <c r="M202" s="392">
        <f>SUM(M197:M201)</f>
        <v>0</v>
      </c>
      <c r="N202" s="712"/>
      <c r="O202" s="713"/>
      <c r="P202" s="714"/>
      <c r="R202" s="210"/>
    </row>
    <row r="203" spans="1:20" s="289" customFormat="1" ht="15.75" customHeight="1" thickTop="1">
      <c r="B203" s="297"/>
      <c r="C203" s="298"/>
      <c r="M203" s="329"/>
      <c r="R203" s="210"/>
    </row>
    <row r="204" spans="1:20" s="289" customFormat="1" ht="15.75" customHeight="1">
      <c r="A204" s="685" t="s">
        <v>191</v>
      </c>
      <c r="B204" s="686"/>
      <c r="C204" s="303" t="s">
        <v>47</v>
      </c>
      <c r="D204" s="729" t="s">
        <v>12</v>
      </c>
      <c r="E204" s="730"/>
      <c r="F204" s="731"/>
      <c r="G204" s="732" t="s">
        <v>53</v>
      </c>
      <c r="H204" s="733"/>
      <c r="I204" s="734"/>
      <c r="J204" s="304" t="s">
        <v>54</v>
      </c>
      <c r="K204" s="276" t="s">
        <v>55</v>
      </c>
      <c r="L204" s="276" t="s">
        <v>56</v>
      </c>
      <c r="M204" s="330" t="s">
        <v>11</v>
      </c>
      <c r="N204" s="277" t="s">
        <v>333</v>
      </c>
      <c r="O204" s="693" t="s">
        <v>51</v>
      </c>
      <c r="P204" s="694"/>
      <c r="R204" s="210"/>
      <c r="S204" s="2"/>
    </row>
    <row r="205" spans="1:20" s="289" customFormat="1" ht="40" customHeight="1">
      <c r="A205" s="695">
        <v>6</v>
      </c>
      <c r="B205" s="715" t="s">
        <v>216</v>
      </c>
      <c r="C205" s="279">
        <v>1</v>
      </c>
      <c r="D205" s="337" t="s">
        <v>524</v>
      </c>
      <c r="E205" s="281"/>
      <c r="F205" s="282"/>
      <c r="G205" s="306" t="s">
        <v>335</v>
      </c>
      <c r="H205" s="305"/>
      <c r="I205" s="240"/>
      <c r="J205" s="312">
        <v>15.450000000000001</v>
      </c>
      <c r="K205" s="313">
        <v>1.9950625789413251E-3</v>
      </c>
      <c r="L205" s="314">
        <v>139</v>
      </c>
      <c r="M205" s="322">
        <f t="shared" ref="M205:M209" si="23">L205*J205</f>
        <v>2147.5500000000002</v>
      </c>
      <c r="N205" s="288"/>
      <c r="O205" s="720" t="s">
        <v>577</v>
      </c>
      <c r="P205" s="721"/>
      <c r="R205" s="336"/>
      <c r="S205" s="400"/>
    </row>
    <row r="206" spans="1:20" s="298" customFormat="1" ht="40" customHeight="1">
      <c r="A206" s="696"/>
      <c r="B206" s="716"/>
      <c r="C206" s="279">
        <v>2</v>
      </c>
      <c r="D206" s="237" t="s">
        <v>621</v>
      </c>
      <c r="E206" s="238"/>
      <c r="F206" s="239"/>
      <c r="G206" s="306" t="s">
        <v>626</v>
      </c>
      <c r="H206" s="305"/>
      <c r="I206" s="240"/>
      <c r="J206" s="312">
        <v>39.389999999999993</v>
      </c>
      <c r="K206" s="313">
        <v>6.0830035127875017E-3</v>
      </c>
      <c r="L206" s="314">
        <v>38.270000000000003</v>
      </c>
      <c r="M206" s="322">
        <f t="shared" si="23"/>
        <v>1507.4552999999999</v>
      </c>
      <c r="N206" s="314"/>
      <c r="O206" s="806" t="s">
        <v>719</v>
      </c>
      <c r="P206" s="807"/>
      <c r="S206" s="96"/>
    </row>
    <row r="207" spans="1:20" s="289" customFormat="1" ht="40" customHeight="1">
      <c r="A207" s="696"/>
      <c r="B207" s="716"/>
      <c r="C207" s="279">
        <v>3</v>
      </c>
      <c r="D207" s="237" t="s">
        <v>340</v>
      </c>
      <c r="E207" s="281"/>
      <c r="F207" s="282"/>
      <c r="G207" s="306" t="s">
        <v>535</v>
      </c>
      <c r="H207" s="305"/>
      <c r="I207" s="285"/>
      <c r="J207" s="312">
        <v>39.389999999999993</v>
      </c>
      <c r="K207" s="313">
        <v>1.1123997896361564E-3</v>
      </c>
      <c r="L207" s="314">
        <v>38.01</v>
      </c>
      <c r="M207" s="322">
        <f t="shared" si="23"/>
        <v>1497.2138999999997</v>
      </c>
      <c r="N207" s="288"/>
      <c r="O207" s="806" t="s">
        <v>719</v>
      </c>
      <c r="P207" s="807"/>
      <c r="S207" s="2"/>
    </row>
    <row r="208" spans="1:20" s="289" customFormat="1" ht="40" customHeight="1">
      <c r="A208" s="696"/>
      <c r="B208" s="716"/>
      <c r="C208" s="279">
        <v>4</v>
      </c>
      <c r="D208" s="237" t="s">
        <v>674</v>
      </c>
      <c r="E208" s="281"/>
      <c r="F208" s="282"/>
      <c r="G208" s="306" t="s">
        <v>677</v>
      </c>
      <c r="H208" s="305"/>
      <c r="I208" s="285"/>
      <c r="J208" s="312">
        <v>40.420000000000009</v>
      </c>
      <c r="K208" s="313">
        <v>1.0029803727782324E-2</v>
      </c>
      <c r="L208" s="314">
        <v>25.98</v>
      </c>
      <c r="M208" s="322">
        <f t="shared" si="23"/>
        <v>1050.1116000000002</v>
      </c>
      <c r="N208" s="288"/>
      <c r="O208" s="806" t="s">
        <v>719</v>
      </c>
      <c r="P208" s="807"/>
      <c r="R208" s="2"/>
      <c r="S208" s="2"/>
    </row>
    <row r="209" spans="1:20" s="289" customFormat="1" ht="40" customHeight="1" thickBot="1">
      <c r="A209" s="696"/>
      <c r="B209" s="716"/>
      <c r="C209" s="279">
        <v>5</v>
      </c>
      <c r="D209" s="244" t="s">
        <v>545</v>
      </c>
      <c r="E209" s="291"/>
      <c r="F209" s="292"/>
      <c r="G209" s="306" t="s">
        <v>546</v>
      </c>
      <c r="H209" s="305"/>
      <c r="I209" s="285"/>
      <c r="J209" s="391">
        <v>62.43</v>
      </c>
      <c r="K209" s="385">
        <v>7.3703437510014048E-3</v>
      </c>
      <c r="L209" s="317">
        <v>16.099999999999998</v>
      </c>
      <c r="M209" s="322">
        <f t="shared" si="23"/>
        <v>1005.1229999999998</v>
      </c>
      <c r="N209" s="288"/>
      <c r="O209" s="806" t="s">
        <v>719</v>
      </c>
      <c r="P209" s="807"/>
      <c r="R209" s="2"/>
      <c r="S209" s="2"/>
    </row>
    <row r="210" spans="1:20" s="289" customFormat="1" ht="15.75" customHeight="1" thickTop="1" thickBot="1">
      <c r="A210" s="697"/>
      <c r="B210" s="717"/>
      <c r="C210" s="724"/>
      <c r="D210" s="725"/>
      <c r="E210" s="725"/>
      <c r="F210" s="725"/>
      <c r="G210" s="725"/>
      <c r="H210" s="725"/>
      <c r="I210" s="726"/>
      <c r="J210" s="348" t="s">
        <v>58</v>
      </c>
      <c r="K210" s="212">
        <f>M210/'生產管理報表 7-1 (週)'!$B$9</f>
        <v>7.7332822886578181E-2</v>
      </c>
      <c r="L210" s="349" t="s">
        <v>59</v>
      </c>
      <c r="M210" s="392">
        <f>SUM(M205:M209)</f>
        <v>7207.4537999999993</v>
      </c>
      <c r="N210" s="712"/>
      <c r="O210" s="713"/>
      <c r="P210" s="714"/>
      <c r="R210" s="2"/>
      <c r="S210" s="2"/>
    </row>
    <row r="211" spans="1:20" s="289" customFormat="1" ht="15.75" customHeight="1" thickTop="1">
      <c r="B211" s="297"/>
      <c r="C211" s="298"/>
      <c r="M211" s="329"/>
      <c r="R211" s="2"/>
      <c r="S211" s="2"/>
    </row>
    <row r="212" spans="1:20" s="289" customFormat="1" ht="15.75" customHeight="1">
      <c r="A212" s="685" t="s">
        <v>191</v>
      </c>
      <c r="B212" s="686"/>
      <c r="C212" s="303" t="s">
        <v>47</v>
      </c>
      <c r="D212" s="729" t="s">
        <v>12</v>
      </c>
      <c r="E212" s="730"/>
      <c r="F212" s="731"/>
      <c r="G212" s="732" t="s">
        <v>53</v>
      </c>
      <c r="H212" s="733"/>
      <c r="I212" s="734"/>
      <c r="J212" s="304" t="s">
        <v>54</v>
      </c>
      <c r="K212" s="276" t="s">
        <v>55</v>
      </c>
      <c r="L212" s="276" t="s">
        <v>56</v>
      </c>
      <c r="M212" s="330" t="s">
        <v>11</v>
      </c>
      <c r="N212" s="277" t="s">
        <v>333</v>
      </c>
      <c r="O212" s="693" t="s">
        <v>51</v>
      </c>
      <c r="P212" s="694"/>
      <c r="R212" s="2"/>
      <c r="S212" s="2"/>
    </row>
    <row r="213" spans="1:20" s="289" customFormat="1" ht="20.149999999999999" customHeight="1">
      <c r="A213" s="695">
        <v>7</v>
      </c>
      <c r="B213" s="737" t="s">
        <v>249</v>
      </c>
      <c r="C213" s="279">
        <v>1</v>
      </c>
      <c r="D213" s="280"/>
      <c r="E213" s="281"/>
      <c r="F213" s="282"/>
      <c r="G213" s="283"/>
      <c r="H213" s="284"/>
      <c r="I213" s="285"/>
      <c r="J213" s="286"/>
      <c r="K213" s="287"/>
      <c r="L213" s="288"/>
      <c r="M213" s="331">
        <f t="shared" ref="M213:M215" si="24">L213*J213</f>
        <v>0</v>
      </c>
      <c r="N213" s="288"/>
      <c r="O213" s="740"/>
      <c r="P213" s="741"/>
      <c r="R213" s="2"/>
      <c r="S213" s="2"/>
    </row>
    <row r="214" spans="1:20" s="289" customFormat="1" ht="20.149999999999999" customHeight="1">
      <c r="A214" s="696"/>
      <c r="B214" s="738"/>
      <c r="C214" s="279">
        <v>2</v>
      </c>
      <c r="D214" s="280"/>
      <c r="E214" s="281"/>
      <c r="F214" s="282"/>
      <c r="G214" s="283"/>
      <c r="H214" s="284"/>
      <c r="I214" s="285"/>
      <c r="J214" s="286"/>
      <c r="K214" s="287"/>
      <c r="L214" s="288"/>
      <c r="M214" s="331">
        <f t="shared" si="24"/>
        <v>0</v>
      </c>
      <c r="N214" s="288"/>
      <c r="O214" s="742"/>
      <c r="P214" s="743"/>
      <c r="R214" s="2"/>
      <c r="S214" s="2"/>
    </row>
    <row r="215" spans="1:20" s="289" customFormat="1" ht="20.149999999999999" customHeight="1">
      <c r="A215" s="696"/>
      <c r="B215" s="738"/>
      <c r="C215" s="279">
        <v>3</v>
      </c>
      <c r="D215" s="280"/>
      <c r="E215" s="281"/>
      <c r="F215" s="282"/>
      <c r="G215" s="283"/>
      <c r="H215" s="284"/>
      <c r="I215" s="285"/>
      <c r="J215" s="286"/>
      <c r="K215" s="287"/>
      <c r="L215" s="288"/>
      <c r="M215" s="331">
        <f t="shared" si="24"/>
        <v>0</v>
      </c>
      <c r="N215" s="288"/>
      <c r="O215" s="742"/>
      <c r="P215" s="743"/>
      <c r="R215" s="2"/>
      <c r="S215" s="2"/>
    </row>
    <row r="216" spans="1:20" s="289" customFormat="1" ht="20.149999999999999" customHeight="1">
      <c r="A216" s="696"/>
      <c r="B216" s="738"/>
      <c r="C216" s="279">
        <v>4</v>
      </c>
      <c r="D216" s="280"/>
      <c r="E216" s="281"/>
      <c r="F216" s="282"/>
      <c r="G216" s="283"/>
      <c r="H216" s="284"/>
      <c r="I216" s="285"/>
      <c r="J216" s="286"/>
      <c r="K216" s="287"/>
      <c r="L216" s="288"/>
      <c r="M216" s="332">
        <v>0</v>
      </c>
      <c r="N216" s="288"/>
      <c r="O216" s="299"/>
      <c r="P216" s="300"/>
      <c r="R216" s="2"/>
      <c r="S216" s="2"/>
    </row>
    <row r="217" spans="1:20" s="289" customFormat="1" ht="20.149999999999999" customHeight="1" thickBot="1">
      <c r="A217" s="696"/>
      <c r="B217" s="738"/>
      <c r="C217" s="279">
        <v>5</v>
      </c>
      <c r="D217" s="290"/>
      <c r="E217" s="291"/>
      <c r="F217" s="292"/>
      <c r="G217" s="283"/>
      <c r="H217" s="284"/>
      <c r="I217" s="285"/>
      <c r="J217" s="391"/>
      <c r="K217" s="385"/>
      <c r="L217" s="317"/>
      <c r="M217" s="333">
        <v>0</v>
      </c>
      <c r="N217" s="288"/>
      <c r="O217" s="301"/>
      <c r="P217" s="302"/>
      <c r="R217" s="2"/>
      <c r="S217" s="2"/>
    </row>
    <row r="218" spans="1:20" s="289" customFormat="1" ht="15.75" customHeight="1" thickTop="1" thickBot="1">
      <c r="A218" s="697"/>
      <c r="B218" s="739"/>
      <c r="C218" s="724"/>
      <c r="D218" s="725"/>
      <c r="E218" s="725"/>
      <c r="F218" s="725"/>
      <c r="G218" s="725"/>
      <c r="H218" s="725"/>
      <c r="I218" s="726"/>
      <c r="J218" s="348" t="s">
        <v>58</v>
      </c>
      <c r="K218" s="212">
        <f>M218/'生產管理報表 7-1 (週)'!$B$9</f>
        <v>0</v>
      </c>
      <c r="L218" s="349" t="s">
        <v>59</v>
      </c>
      <c r="M218" s="392">
        <f>SUM(M213:M217)</f>
        <v>0</v>
      </c>
      <c r="N218" s="712"/>
      <c r="O218" s="713"/>
      <c r="P218" s="714"/>
      <c r="R218" s="2"/>
      <c r="S218" s="2"/>
      <c r="T218" s="2"/>
    </row>
    <row r="219" spans="1:20" ht="15.75" customHeight="1" thickTop="1"/>
  </sheetData>
  <mergeCells count="394"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C218:I218"/>
    <mergeCell ref="N218:P218"/>
    <mergeCell ref="A204:B204"/>
    <mergeCell ref="D204:F204"/>
    <mergeCell ref="G204:I204"/>
    <mergeCell ref="O204:P204"/>
    <mergeCell ref="A205:A210"/>
    <mergeCell ref="B205:B210"/>
    <mergeCell ref="O205:P205"/>
    <mergeCell ref="O206:P206"/>
    <mergeCell ref="O207:P207"/>
    <mergeCell ref="O208:P208"/>
    <mergeCell ref="O209:P209"/>
    <mergeCell ref="C210:I210"/>
    <mergeCell ref="N210:P210"/>
    <mergeCell ref="A196:B196"/>
    <mergeCell ref="D196:F196"/>
    <mergeCell ref="G196:I196"/>
    <mergeCell ref="O196:P196"/>
    <mergeCell ref="A197:A202"/>
    <mergeCell ref="B197:B202"/>
    <mergeCell ref="O197:P197"/>
    <mergeCell ref="O198:P198"/>
    <mergeCell ref="O199:P199"/>
    <mergeCell ref="O200:P200"/>
    <mergeCell ref="O201:P201"/>
    <mergeCell ref="C202:I202"/>
    <mergeCell ref="N202:P202"/>
    <mergeCell ref="A188:B188"/>
    <mergeCell ref="D188:F188"/>
    <mergeCell ref="G188:I188"/>
    <mergeCell ref="O188:P188"/>
    <mergeCell ref="A189:A194"/>
    <mergeCell ref="B189:B194"/>
    <mergeCell ref="O189:P189"/>
    <mergeCell ref="O190:P190"/>
    <mergeCell ref="O191:P191"/>
    <mergeCell ref="O192:P192"/>
    <mergeCell ref="O193:P193"/>
    <mergeCell ref="C194:I194"/>
    <mergeCell ref="N194:P194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B186:C186"/>
    <mergeCell ref="D186:E186"/>
    <mergeCell ref="F186:G186"/>
    <mergeCell ref="H186:I186"/>
    <mergeCell ref="J186:K186"/>
    <mergeCell ref="L186:M186"/>
    <mergeCell ref="N186:O186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O134:P134"/>
    <mergeCell ref="O135:P135"/>
    <mergeCell ref="O136:P136"/>
    <mergeCell ref="O137:P137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5:O5"/>
    <mergeCell ref="B6:C6"/>
    <mergeCell ref="D6:E6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O62:P62"/>
    <mergeCell ref="O63:P63"/>
    <mergeCell ref="O64:P64"/>
    <mergeCell ref="O65:P65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O170:P170"/>
    <mergeCell ref="O171:P171"/>
    <mergeCell ref="O172:P172"/>
    <mergeCell ref="O173:P173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5" manualBreakCount="5">
    <brk id="38" max="15" man="1"/>
    <brk id="74" max="15" man="1"/>
    <brk id="110" max="15" man="1"/>
    <brk id="146" max="15" man="1"/>
    <brk id="182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topLeftCell="A7" zoomScaleNormal="60" zoomScaleSheetLayoutView="100" workbookViewId="0">
      <selection activeCell="K30" sqref="K30"/>
    </sheetView>
  </sheetViews>
  <sheetFormatPr defaultColWidth="12.54296875" defaultRowHeight="15.75" customHeight="1"/>
  <cols>
    <col min="1" max="1" width="5.453125" style="135" customWidth="1"/>
    <col min="2" max="2" width="11.453125" style="232" customWidth="1"/>
    <col min="3" max="3" width="4" style="233" customWidth="1"/>
    <col min="4" max="15" width="9.54296875" style="135" customWidth="1"/>
    <col min="16" max="16" width="47.81640625" style="135" customWidth="1"/>
    <col min="17" max="17" width="9.54296875" style="135" customWidth="1"/>
    <col min="18" max="21" width="12.54296875" style="231"/>
    <col min="22" max="22" width="24.453125" style="135" bestFit="1" customWidth="1"/>
    <col min="23" max="23" width="19.453125" style="135" bestFit="1" customWidth="1"/>
    <col min="24" max="24" width="23" style="135" bestFit="1" customWidth="1"/>
    <col min="25" max="25" width="11.7265625" style="135" bestFit="1" customWidth="1"/>
    <col min="26" max="26" width="15.81640625" style="135" bestFit="1" customWidth="1"/>
    <col min="27" max="27" width="23.54296875" style="135" bestFit="1" customWidth="1"/>
    <col min="28" max="28" width="23" style="135" bestFit="1" customWidth="1"/>
    <col min="29" max="29" width="11.7265625" style="135" bestFit="1" customWidth="1"/>
    <col min="30" max="30" width="20.54296875" style="135" bestFit="1" customWidth="1"/>
    <col min="31" max="31" width="15" style="135" bestFit="1" customWidth="1"/>
    <col min="32" max="32" width="23" style="135" bestFit="1" customWidth="1"/>
    <col min="33" max="33" width="11.7265625" style="135" bestFit="1" customWidth="1"/>
    <col min="34" max="34" width="15.8164062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265625" style="135" bestFit="1" customWidth="1"/>
    <col min="40" max="40" width="13.81640625" style="135" bestFit="1" customWidth="1"/>
    <col min="41" max="41" width="27.81640625" style="135" bestFit="1" customWidth="1"/>
    <col min="42" max="42" width="23" style="135" bestFit="1" customWidth="1"/>
    <col min="43" max="43" width="8" style="135" bestFit="1" customWidth="1"/>
    <col min="44" max="44" width="30.7265625" style="135" bestFit="1" customWidth="1"/>
    <col min="45" max="45" width="25.726562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265625" style="135" bestFit="1" customWidth="1"/>
    <col min="50" max="50" width="20.1796875" style="135" bestFit="1" customWidth="1"/>
    <col min="51" max="51" width="23.54296875" style="135" bestFit="1" customWidth="1"/>
    <col min="52" max="52" width="23" style="135" bestFit="1" customWidth="1"/>
    <col min="53" max="53" width="11.7265625" style="135" bestFit="1" customWidth="1"/>
    <col min="54" max="54" width="21.453125" style="135" bestFit="1" customWidth="1"/>
    <col min="55" max="55" width="15" style="135" bestFit="1" customWidth="1"/>
    <col min="56" max="56" width="23" style="135" bestFit="1" customWidth="1"/>
    <col min="57" max="57" width="11.7265625" style="135" bestFit="1" customWidth="1"/>
    <col min="58" max="58" width="13.8164062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265625" style="135" bestFit="1" customWidth="1"/>
    <col min="64" max="64" width="24.7265625" style="135" bestFit="1" customWidth="1"/>
    <col min="65" max="65" width="18.726562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1640625" style="135" bestFit="1" customWidth="1"/>
    <col min="73" max="73" width="10.54296875" style="135" bestFit="1" customWidth="1"/>
    <col min="74" max="74" width="21.453125" style="135" bestFit="1" customWidth="1"/>
    <col min="75" max="75" width="5.453125" style="135" bestFit="1" customWidth="1"/>
    <col min="76" max="16384" width="12.54296875" style="135"/>
  </cols>
  <sheetData>
    <row r="1" spans="1:75" ht="15.75" customHeight="1">
      <c r="A1" s="643" t="s">
        <v>361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</row>
    <row r="2" spans="1:75" s="136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75" ht="15.75" customHeight="1">
      <c r="A3" s="644" t="s">
        <v>432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75" s="136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75" ht="15.75" customHeight="1">
      <c r="A5" s="646" t="s">
        <v>191</v>
      </c>
      <c r="B5" s="656">
        <v>1</v>
      </c>
      <c r="C5" s="656"/>
      <c r="D5" s="656">
        <v>2</v>
      </c>
      <c r="E5" s="656"/>
      <c r="F5" s="656">
        <v>3</v>
      </c>
      <c r="G5" s="656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649">
        <v>8</v>
      </c>
      <c r="Q5" s="649"/>
    </row>
    <row r="6" spans="1:75" ht="15.75" customHeight="1">
      <c r="A6" s="646"/>
      <c r="B6" s="657" t="s">
        <v>453</v>
      </c>
      <c r="C6" s="657"/>
      <c r="D6" s="657" t="s">
        <v>212</v>
      </c>
      <c r="E6" s="657"/>
      <c r="F6" s="657" t="s">
        <v>166</v>
      </c>
      <c r="G6" s="657"/>
      <c r="H6" s="646" t="s">
        <v>429</v>
      </c>
      <c r="I6" s="646"/>
      <c r="J6" s="646" t="s">
        <v>189</v>
      </c>
      <c r="K6" s="646"/>
      <c r="L6" s="646" t="s">
        <v>167</v>
      </c>
      <c r="M6" s="646"/>
      <c r="N6" s="646" t="s">
        <v>190</v>
      </c>
      <c r="O6" s="646"/>
      <c r="P6" s="744" t="s">
        <v>217</v>
      </c>
      <c r="Q6" s="744"/>
    </row>
    <row r="8" spans="1:75" s="235" customFormat="1" ht="15.75" customHeight="1">
      <c r="A8" s="683" t="s">
        <v>191</v>
      </c>
      <c r="B8" s="684"/>
      <c r="C8" s="234" t="s">
        <v>47</v>
      </c>
      <c r="D8" s="795" t="s">
        <v>12</v>
      </c>
      <c r="E8" s="672"/>
      <c r="F8" s="785"/>
      <c r="G8" s="796" t="s">
        <v>53</v>
      </c>
      <c r="H8" s="797"/>
      <c r="I8" s="798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799" t="s">
        <v>51</v>
      </c>
      <c r="P8" s="800"/>
    </row>
    <row r="9" spans="1:75" ht="20.149999999999999" customHeight="1">
      <c r="A9" s="786">
        <v>1</v>
      </c>
      <c r="B9" s="789" t="s">
        <v>454</v>
      </c>
      <c r="C9" s="236">
        <v>1</v>
      </c>
      <c r="D9" s="237"/>
      <c r="E9" s="238"/>
      <c r="F9" s="238"/>
      <c r="G9" s="237"/>
      <c r="H9" s="238"/>
      <c r="I9" s="239"/>
      <c r="J9" s="236"/>
      <c r="K9" s="242"/>
      <c r="L9" s="236"/>
      <c r="M9" s="322">
        <f>L9*J9</f>
        <v>0</v>
      </c>
      <c r="N9" s="243"/>
      <c r="O9" s="701"/>
      <c r="P9" s="702"/>
      <c r="S9" s="340"/>
      <c r="T9" s="339"/>
    </row>
    <row r="10" spans="1:75" ht="20.149999999999999" customHeight="1">
      <c r="A10" s="787"/>
      <c r="B10" s="790"/>
      <c r="C10" s="236">
        <v>2</v>
      </c>
      <c r="D10" s="237"/>
      <c r="E10" s="238"/>
      <c r="F10" s="239"/>
      <c r="G10" s="237"/>
      <c r="H10" s="238"/>
      <c r="I10" s="239"/>
      <c r="J10" s="236"/>
      <c r="K10" s="242"/>
      <c r="L10" s="236"/>
      <c r="M10" s="322">
        <f t="shared" ref="M10:M13" si="0">L10*J10</f>
        <v>0</v>
      </c>
      <c r="N10" s="243"/>
      <c r="O10" s="802"/>
      <c r="P10" s="758"/>
      <c r="S10" s="339"/>
      <c r="T10" s="339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0.149999999999999" customHeight="1">
      <c r="A11" s="787"/>
      <c r="B11" s="790"/>
      <c r="C11" s="236">
        <v>3</v>
      </c>
      <c r="D11" s="237"/>
      <c r="E11" s="238"/>
      <c r="F11" s="239"/>
      <c r="G11" s="237"/>
      <c r="H11" s="238"/>
      <c r="I11" s="239"/>
      <c r="J11" s="236"/>
      <c r="K11" s="242"/>
      <c r="L11" s="236"/>
      <c r="M11" s="322">
        <f t="shared" si="0"/>
        <v>0</v>
      </c>
      <c r="N11" s="243"/>
      <c r="O11" s="802"/>
      <c r="P11" s="758"/>
      <c r="S11" s="340"/>
      <c r="T11" s="339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0.149999999999999" customHeight="1">
      <c r="A12" s="787"/>
      <c r="B12" s="790"/>
      <c r="C12" s="236">
        <v>4</v>
      </c>
      <c r="D12" s="237"/>
      <c r="E12" s="238"/>
      <c r="F12" s="239"/>
      <c r="G12" s="237"/>
      <c r="H12" s="238"/>
      <c r="I12" s="239"/>
      <c r="J12" s="236"/>
      <c r="K12" s="242"/>
      <c r="L12" s="236"/>
      <c r="M12" s="322">
        <f t="shared" si="0"/>
        <v>0</v>
      </c>
      <c r="N12" s="243"/>
      <c r="O12" s="802"/>
      <c r="P12" s="758"/>
      <c r="S12" s="339"/>
      <c r="T12" s="339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0.149999999999999" customHeight="1" thickBot="1">
      <c r="A13" s="787"/>
      <c r="B13" s="790"/>
      <c r="C13" s="236">
        <v>5</v>
      </c>
      <c r="D13" s="244"/>
      <c r="E13" s="245"/>
      <c r="F13" s="246"/>
      <c r="G13" s="237"/>
      <c r="H13" s="238"/>
      <c r="I13" s="268"/>
      <c r="J13" s="247"/>
      <c r="K13" s="248"/>
      <c r="L13" s="247"/>
      <c r="M13" s="323">
        <f t="shared" si="0"/>
        <v>0</v>
      </c>
      <c r="N13" s="243"/>
      <c r="O13" s="802"/>
      <c r="P13" s="758"/>
      <c r="S13" s="340"/>
      <c r="T13" s="339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 thickBot="1">
      <c r="A14" s="788"/>
      <c r="B14" s="791"/>
      <c r="C14" s="659"/>
      <c r="D14" s="660"/>
      <c r="E14" s="660"/>
      <c r="F14" s="660"/>
      <c r="G14" s="660"/>
      <c r="H14" s="660"/>
      <c r="I14" s="794"/>
      <c r="J14" s="345" t="s">
        <v>58</v>
      </c>
      <c r="K14" s="346" t="e">
        <f>M14/'生產管理報表 7-1 (週)'!#REF!</f>
        <v>#REF!</v>
      </c>
      <c r="L14" s="345" t="s">
        <v>59</v>
      </c>
      <c r="M14" s="324">
        <f>SUM(M9:M13)</f>
        <v>0</v>
      </c>
      <c r="N14" s="747"/>
      <c r="O14" s="748"/>
      <c r="P14" s="749"/>
      <c r="S14" s="339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 thickTop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S15" s="340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683" t="s">
        <v>191</v>
      </c>
      <c r="B16" s="684"/>
      <c r="C16" s="252" t="s">
        <v>47</v>
      </c>
      <c r="D16" s="671" t="s">
        <v>12</v>
      </c>
      <c r="E16" s="672"/>
      <c r="F16" s="673"/>
      <c r="G16" s="671" t="s">
        <v>53</v>
      </c>
      <c r="H16" s="672"/>
      <c r="I16" s="673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750" t="s">
        <v>51</v>
      </c>
      <c r="P16" s="751"/>
      <c r="S16" s="339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49999999999999" customHeight="1">
      <c r="A17" s="786">
        <v>2</v>
      </c>
      <c r="B17" s="789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52"/>
      <c r="P17" s="753"/>
      <c r="S17" s="340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49999999999999" customHeight="1">
      <c r="A18" s="787"/>
      <c r="B18" s="790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52"/>
      <c r="P18" s="753"/>
      <c r="S18" s="339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49999999999999" customHeight="1">
      <c r="A19" s="787"/>
      <c r="B19" s="790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52"/>
      <c r="P19" s="753"/>
      <c r="S19" s="340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49999999999999" customHeight="1">
      <c r="A20" s="787"/>
      <c r="B20" s="790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52"/>
      <c r="P20" s="753"/>
      <c r="S20" s="339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49999999999999" customHeight="1" thickBot="1">
      <c r="A21" s="787"/>
      <c r="B21" s="790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52"/>
      <c r="P21" s="753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 thickBot="1">
      <c r="A22" s="788"/>
      <c r="B22" s="791"/>
      <c r="C22" s="659"/>
      <c r="D22" s="660"/>
      <c r="E22" s="660"/>
      <c r="F22" s="660"/>
      <c r="G22" s="660"/>
      <c r="H22" s="660"/>
      <c r="I22" s="794"/>
      <c r="J22" s="345" t="s">
        <v>58</v>
      </c>
      <c r="K22" s="346" t="e">
        <f>M22/'生產管理報表 7-1 (週)'!#REF!</f>
        <v>#REF!</v>
      </c>
      <c r="L22" s="345" t="s">
        <v>59</v>
      </c>
      <c r="M22" s="250">
        <f>SUM(M17:M21)</f>
        <v>0</v>
      </c>
      <c r="N22" s="754"/>
      <c r="O22" s="755"/>
      <c r="P22" s="756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 thickTop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683" t="s">
        <v>191</v>
      </c>
      <c r="B24" s="684"/>
      <c r="C24" s="252" t="s">
        <v>47</v>
      </c>
      <c r="D24" s="671" t="s">
        <v>12</v>
      </c>
      <c r="E24" s="672"/>
      <c r="F24" s="673"/>
      <c r="G24" s="671" t="s">
        <v>53</v>
      </c>
      <c r="H24" s="672"/>
      <c r="I24" s="785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762" t="s">
        <v>51</v>
      </c>
      <c r="P24" s="763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0.149999999999999" customHeight="1">
      <c r="A25" s="786">
        <v>3</v>
      </c>
      <c r="B25" s="789" t="s">
        <v>423</v>
      </c>
      <c r="C25" s="256">
        <v>1</v>
      </c>
      <c r="D25" s="237"/>
      <c r="E25" s="238"/>
      <c r="F25" s="239"/>
      <c r="G25" s="237"/>
      <c r="H25" s="238"/>
      <c r="I25" s="239"/>
      <c r="J25" s="257"/>
      <c r="K25" s="258"/>
      <c r="L25" s="257"/>
      <c r="M25" s="325">
        <f t="shared" ref="M25:M29" si="2">L25*J25</f>
        <v>0</v>
      </c>
      <c r="N25" s="270"/>
      <c r="O25" s="757"/>
      <c r="P25" s="758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0.149999999999999" customHeight="1">
      <c r="A26" s="787"/>
      <c r="B26" s="790"/>
      <c r="C26" s="256">
        <v>2</v>
      </c>
      <c r="D26" s="237"/>
      <c r="E26" s="238"/>
      <c r="F26" s="239"/>
      <c r="G26" s="237"/>
      <c r="H26" s="238"/>
      <c r="I26" s="239"/>
      <c r="J26" s="257"/>
      <c r="K26" s="258"/>
      <c r="L26" s="257"/>
      <c r="M26" s="325">
        <f t="shared" si="2"/>
        <v>0</v>
      </c>
      <c r="N26" s="270"/>
      <c r="O26" s="757"/>
      <c r="P26" s="758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0.149999999999999" customHeight="1">
      <c r="A27" s="787"/>
      <c r="B27" s="790"/>
      <c r="C27" s="256">
        <v>3</v>
      </c>
      <c r="D27" s="237"/>
      <c r="E27" s="238"/>
      <c r="F27" s="239"/>
      <c r="G27" s="237"/>
      <c r="H27" s="238"/>
      <c r="I27" s="239"/>
      <c r="J27" s="257"/>
      <c r="K27" s="258"/>
      <c r="L27" s="257"/>
      <c r="M27" s="325">
        <f t="shared" si="2"/>
        <v>0</v>
      </c>
      <c r="N27" s="270"/>
      <c r="O27" s="757"/>
      <c r="P27" s="758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0.149999999999999" customHeight="1">
      <c r="A28" s="787"/>
      <c r="B28" s="790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57"/>
      <c r="P28" s="758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0.149999999999999" customHeight="1" thickBot="1">
      <c r="A29" s="787"/>
      <c r="B29" s="790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57"/>
      <c r="P29" s="758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 thickBot="1">
      <c r="A30" s="788"/>
      <c r="B30" s="791"/>
      <c r="C30" s="659"/>
      <c r="D30" s="660"/>
      <c r="E30" s="660"/>
      <c r="F30" s="660"/>
      <c r="G30" s="660"/>
      <c r="H30" s="660"/>
      <c r="I30" s="794"/>
      <c r="J30" s="347" t="s">
        <v>58</v>
      </c>
      <c r="K30" s="346" t="e">
        <f>M30/'生產管理報表 7-1 (週)'!#REF!</f>
        <v>#REF!</v>
      </c>
      <c r="L30" s="347" t="s">
        <v>59</v>
      </c>
      <c r="M30" s="326">
        <f>SUM(M25:M29)</f>
        <v>0</v>
      </c>
      <c r="N30" s="759"/>
      <c r="O30" s="760"/>
      <c r="P30" s="76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U171"/>
  <sheetViews>
    <sheetView view="pageBreakPreview" topLeftCell="A66" zoomScaleNormal="60" zoomScaleSheetLayoutView="100" workbookViewId="0">
      <selection activeCell="N126" sqref="N126:P126"/>
    </sheetView>
  </sheetViews>
  <sheetFormatPr defaultColWidth="12.54296875" defaultRowHeight="15.75" customHeight="1"/>
  <cols>
    <col min="1" max="1" width="5.453125" style="289" customWidth="1"/>
    <col min="2" max="2" width="11.453125" style="297" customWidth="1"/>
    <col min="3" max="3" width="4" style="298" customWidth="1"/>
    <col min="4" max="4" width="9.54296875" style="289" customWidth="1"/>
    <col min="5" max="5" width="10.26953125" style="289" customWidth="1"/>
    <col min="6" max="15" width="9.54296875" style="289" customWidth="1"/>
    <col min="16" max="16" width="35.453125" style="289" customWidth="1"/>
    <col min="17" max="17" width="12.54296875" style="289"/>
    <col min="18" max="18" width="27.453125" style="289" bestFit="1" customWidth="1"/>
    <col min="19" max="16384" width="12.54296875" style="289"/>
  </cols>
  <sheetData>
    <row r="1" spans="1:21" s="135" customFormat="1" ht="15.75" customHeight="1">
      <c r="A1" s="643" t="s">
        <v>361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1" s="136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1" s="135" customFormat="1" ht="15.75" customHeight="1">
      <c r="A3" s="805" t="s">
        <v>606</v>
      </c>
      <c r="B3" s="805"/>
      <c r="C3" s="805"/>
      <c r="D3" s="805"/>
      <c r="E3" s="805"/>
      <c r="F3" s="805"/>
      <c r="G3" s="805"/>
      <c r="H3" s="805"/>
      <c r="I3" s="805"/>
      <c r="J3" s="805"/>
      <c r="K3" s="805"/>
      <c r="L3" s="805"/>
      <c r="M3" s="805"/>
      <c r="R3" s="231"/>
      <c r="S3" s="231"/>
      <c r="T3" s="231"/>
      <c r="U3" s="231"/>
    </row>
    <row r="4" spans="1:21" s="136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21" s="135" customFormat="1" ht="15.75" customHeight="1">
      <c r="A5" s="681" t="s">
        <v>191</v>
      </c>
      <c r="B5" s="683">
        <v>1</v>
      </c>
      <c r="C5" s="684"/>
      <c r="D5" s="683">
        <v>2</v>
      </c>
      <c r="E5" s="684"/>
      <c r="F5" s="683">
        <v>3</v>
      </c>
      <c r="G5" s="684"/>
      <c r="H5" s="674">
        <v>4</v>
      </c>
      <c r="I5" s="675"/>
      <c r="J5" s="674">
        <v>5</v>
      </c>
      <c r="K5" s="675"/>
      <c r="L5" s="674">
        <v>6</v>
      </c>
      <c r="M5" s="675"/>
      <c r="N5" s="674">
        <v>7</v>
      </c>
      <c r="O5" s="675"/>
      <c r="P5" s="327">
        <v>8</v>
      </c>
    </row>
    <row r="6" spans="1:21" s="135" customFormat="1" ht="15.75" customHeight="1">
      <c r="A6" s="682"/>
      <c r="B6" s="678" t="s">
        <v>453</v>
      </c>
      <c r="C6" s="679"/>
      <c r="D6" s="678" t="s">
        <v>212</v>
      </c>
      <c r="E6" s="679"/>
      <c r="F6" s="678" t="s">
        <v>166</v>
      </c>
      <c r="G6" s="679"/>
      <c r="H6" s="676" t="s">
        <v>429</v>
      </c>
      <c r="I6" s="677"/>
      <c r="J6" s="676" t="s">
        <v>189</v>
      </c>
      <c r="K6" s="677"/>
      <c r="L6" s="676" t="s">
        <v>167</v>
      </c>
      <c r="M6" s="677"/>
      <c r="N6" s="676" t="s">
        <v>190</v>
      </c>
      <c r="O6" s="677"/>
      <c r="P6" s="328" t="s">
        <v>217</v>
      </c>
    </row>
    <row r="7" spans="1:21" s="135" customFormat="1" ht="15.75" customHeight="1">
      <c r="B7" s="232"/>
      <c r="C7" s="233"/>
    </row>
    <row r="8" spans="1:21" s="278" customFormat="1" ht="15.75" customHeight="1">
      <c r="A8" s="685" t="s">
        <v>191</v>
      </c>
      <c r="B8" s="686"/>
      <c r="C8" s="275" t="s">
        <v>47</v>
      </c>
      <c r="D8" s="687" t="s">
        <v>12</v>
      </c>
      <c r="E8" s="688"/>
      <c r="F8" s="689"/>
      <c r="G8" s="690" t="s">
        <v>53</v>
      </c>
      <c r="H8" s="691"/>
      <c r="I8" s="692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693" t="s">
        <v>51</v>
      </c>
      <c r="P8" s="694"/>
      <c r="R8" s="339"/>
      <c r="S8" s="340"/>
    </row>
    <row r="9" spans="1:21" s="298" customFormat="1" ht="60" customHeight="1">
      <c r="A9" s="695">
        <v>4</v>
      </c>
      <c r="B9" s="698" t="s">
        <v>429</v>
      </c>
      <c r="C9" s="279">
        <v>1</v>
      </c>
      <c r="D9" s="237" t="s">
        <v>358</v>
      </c>
      <c r="E9" s="238"/>
      <c r="F9" s="239"/>
      <c r="G9" s="351" t="s">
        <v>357</v>
      </c>
      <c r="H9" s="305"/>
      <c r="I9" s="306"/>
      <c r="J9" s="312">
        <v>152.75</v>
      </c>
      <c r="K9" s="313">
        <v>4.8946515397082658E-3</v>
      </c>
      <c r="L9" s="314">
        <v>38.200000000000045</v>
      </c>
      <c r="M9" s="322">
        <f t="shared" ref="M9:M13" si="0">L9*J9</f>
        <v>5835.0500000000065</v>
      </c>
      <c r="N9" s="314"/>
      <c r="O9" s="703" t="s">
        <v>619</v>
      </c>
      <c r="P9" s="704"/>
      <c r="R9" s="396"/>
      <c r="S9" s="340"/>
    </row>
    <row r="10" spans="1:21" s="298" customFormat="1" ht="60" customHeight="1">
      <c r="A10" s="696"/>
      <c r="B10" s="699"/>
      <c r="C10" s="279">
        <v>2</v>
      </c>
      <c r="D10" s="237" t="s">
        <v>341</v>
      </c>
      <c r="E10" s="238"/>
      <c r="F10" s="239"/>
      <c r="G10" s="306" t="s">
        <v>547</v>
      </c>
      <c r="H10" s="305"/>
      <c r="I10" s="306"/>
      <c r="J10" s="312">
        <v>66.13</v>
      </c>
      <c r="K10" s="313">
        <v>7.0558225589262445E-3</v>
      </c>
      <c r="L10" s="314">
        <v>79.240000000000009</v>
      </c>
      <c r="M10" s="322">
        <f t="shared" si="0"/>
        <v>5240.1412</v>
      </c>
      <c r="N10" s="314"/>
      <c r="O10" s="703" t="s">
        <v>618</v>
      </c>
      <c r="P10" s="704"/>
      <c r="R10" s="396"/>
      <c r="S10" s="397"/>
      <c r="T10" s="335"/>
    </row>
    <row r="11" spans="1:21" s="298" customFormat="1" ht="60" customHeight="1">
      <c r="A11" s="696"/>
      <c r="B11" s="699"/>
      <c r="C11" s="279">
        <v>3</v>
      </c>
      <c r="D11" s="237" t="s">
        <v>459</v>
      </c>
      <c r="E11" s="238"/>
      <c r="F11" s="239"/>
      <c r="G11" s="306" t="s">
        <v>465</v>
      </c>
      <c r="H11" s="305"/>
      <c r="I11" s="306"/>
      <c r="J11" s="312">
        <v>629</v>
      </c>
      <c r="K11" s="313">
        <v>4.9655833704325197E-3</v>
      </c>
      <c r="L11" s="314">
        <v>9.6800000000000068</v>
      </c>
      <c r="M11" s="322">
        <f t="shared" si="0"/>
        <v>6088.7200000000039</v>
      </c>
      <c r="N11" s="314"/>
      <c r="O11" s="705" t="s">
        <v>550</v>
      </c>
      <c r="P11" s="706"/>
      <c r="R11" s="396"/>
      <c r="S11" s="398"/>
    </row>
    <row r="12" spans="1:21" s="298" customFormat="1" ht="60" customHeight="1">
      <c r="A12" s="696"/>
      <c r="B12" s="699"/>
      <c r="C12" s="279">
        <v>4</v>
      </c>
      <c r="D12" s="237" t="s">
        <v>472</v>
      </c>
      <c r="E12" s="238"/>
      <c r="F12" s="239"/>
      <c r="G12" s="306" t="s">
        <v>471</v>
      </c>
      <c r="H12" s="305"/>
      <c r="I12" s="306"/>
      <c r="J12" s="312">
        <v>266.27999999999997</v>
      </c>
      <c r="K12" s="313">
        <v>1.8497802928940654E-3</v>
      </c>
      <c r="L12" s="314">
        <v>16.630000000000109</v>
      </c>
      <c r="M12" s="322">
        <f t="shared" si="0"/>
        <v>4428.2364000000289</v>
      </c>
      <c r="N12" s="314"/>
      <c r="O12" s="705" t="s">
        <v>635</v>
      </c>
      <c r="P12" s="706"/>
      <c r="R12" s="396"/>
      <c r="S12" s="397"/>
      <c r="T12" s="335"/>
    </row>
    <row r="13" spans="1:21" s="298" customFormat="1" ht="60" customHeight="1" thickBot="1">
      <c r="A13" s="696"/>
      <c r="B13" s="699"/>
      <c r="C13" s="279">
        <v>5</v>
      </c>
      <c r="D13" s="237" t="s">
        <v>434</v>
      </c>
      <c r="E13" s="245"/>
      <c r="F13" s="246"/>
      <c r="G13" s="306" t="s">
        <v>433</v>
      </c>
      <c r="H13" s="305"/>
      <c r="I13" s="306"/>
      <c r="J13" s="316">
        <v>368.13999999999993</v>
      </c>
      <c r="K13" s="248">
        <v>5.9832559832559834E-3</v>
      </c>
      <c r="L13" s="317">
        <v>12.649999999999977</v>
      </c>
      <c r="M13" s="322">
        <f t="shared" si="0"/>
        <v>4656.9709999999905</v>
      </c>
      <c r="N13" s="314"/>
      <c r="O13" s="705" t="s">
        <v>636</v>
      </c>
      <c r="P13" s="706"/>
      <c r="R13" s="399"/>
      <c r="S13" s="398"/>
      <c r="T13" s="289"/>
    </row>
    <row r="14" spans="1:21" ht="15.75" customHeight="1" thickTop="1" thickBot="1">
      <c r="A14" s="697"/>
      <c r="B14" s="700"/>
      <c r="C14" s="709"/>
      <c r="D14" s="710"/>
      <c r="E14" s="710"/>
      <c r="F14" s="710"/>
      <c r="G14" s="710"/>
      <c r="H14" s="710"/>
      <c r="I14" s="711"/>
      <c r="J14" s="348" t="s">
        <v>58</v>
      </c>
      <c r="K14" s="346" t="e">
        <f>M14/'生產管理報表 7-1 (週)'!#REF!</f>
        <v>#REF!</v>
      </c>
      <c r="L14" s="349" t="s">
        <v>59</v>
      </c>
      <c r="M14" s="350">
        <f>SUM(M9:M13)</f>
        <v>26249.118600000031</v>
      </c>
      <c r="N14" s="712"/>
      <c r="O14" s="713"/>
      <c r="P14" s="714"/>
      <c r="R14" s="339"/>
      <c r="S14" s="339"/>
    </row>
    <row r="15" spans="1:21" ht="15.75" customHeight="1" thickTop="1">
      <c r="M15" s="329"/>
      <c r="S15" s="340"/>
    </row>
    <row r="16" spans="1:21" ht="15.75" customHeight="1">
      <c r="A16" s="685" t="s">
        <v>191</v>
      </c>
      <c r="B16" s="686"/>
      <c r="C16" s="275" t="s">
        <v>47</v>
      </c>
      <c r="D16" s="687" t="s">
        <v>12</v>
      </c>
      <c r="E16" s="688"/>
      <c r="F16" s="689"/>
      <c r="G16" s="690" t="s">
        <v>53</v>
      </c>
      <c r="H16" s="691"/>
      <c r="I16" s="692"/>
      <c r="J16" s="380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693" t="s">
        <v>51</v>
      </c>
      <c r="P16" s="694"/>
      <c r="S16" s="339"/>
      <c r="T16" s="335"/>
    </row>
    <row r="17" spans="1:20" s="298" customFormat="1" ht="60" customHeight="1">
      <c r="A17" s="695">
        <v>5</v>
      </c>
      <c r="B17" s="715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1.9463405817969496E-3</v>
      </c>
      <c r="L17" s="314">
        <v>111.10999999999967</v>
      </c>
      <c r="M17" s="322">
        <f>L17*J17</f>
        <v>16380.947299999956</v>
      </c>
      <c r="N17" s="314"/>
      <c r="O17" s="770" t="s">
        <v>530</v>
      </c>
      <c r="P17" s="771"/>
      <c r="S17" s="398"/>
      <c r="T17" s="335"/>
    </row>
    <row r="18" spans="1:20" s="298" customFormat="1" ht="25" customHeight="1">
      <c r="A18" s="696"/>
      <c r="B18" s="716"/>
      <c r="C18" s="279">
        <v>2</v>
      </c>
      <c r="D18" s="237"/>
      <c r="E18" s="238"/>
      <c r="F18" s="239"/>
      <c r="G18" s="306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20"/>
      <c r="P18" s="721"/>
      <c r="S18" s="339"/>
      <c r="T18" s="336"/>
    </row>
    <row r="19" spans="1:20" ht="25" customHeight="1">
      <c r="A19" s="696"/>
      <c r="B19" s="716"/>
      <c r="C19" s="279">
        <v>3</v>
      </c>
      <c r="D19" s="237"/>
      <c r="E19" s="238"/>
      <c r="F19" s="239"/>
      <c r="G19" s="351"/>
      <c r="H19" s="305"/>
      <c r="I19" s="306"/>
      <c r="J19" s="312"/>
      <c r="K19" s="313"/>
      <c r="L19" s="314"/>
      <c r="M19" s="322">
        <f t="shared" si="1"/>
        <v>0</v>
      </c>
      <c r="N19" s="288"/>
      <c r="O19" s="742"/>
      <c r="P19" s="743"/>
    </row>
    <row r="20" spans="1:20" ht="25" customHeight="1">
      <c r="A20" s="696"/>
      <c r="B20" s="716"/>
      <c r="C20" s="279">
        <v>4</v>
      </c>
      <c r="D20" s="280"/>
      <c r="E20" s="281"/>
      <c r="F20" s="282"/>
      <c r="G20" s="351"/>
      <c r="H20" s="305"/>
      <c r="I20" s="306"/>
      <c r="J20" s="286"/>
      <c r="K20" s="287"/>
      <c r="L20" s="288"/>
      <c r="M20" s="322">
        <f t="shared" si="1"/>
        <v>0</v>
      </c>
      <c r="N20" s="288"/>
      <c r="O20" s="299"/>
      <c r="P20" s="300"/>
    </row>
    <row r="21" spans="1:20" ht="25" customHeight="1" thickBot="1">
      <c r="A21" s="696"/>
      <c r="B21" s="716"/>
      <c r="C21" s="279">
        <v>5</v>
      </c>
      <c r="D21" s="290"/>
      <c r="E21" s="291"/>
      <c r="F21" s="292"/>
      <c r="G21" s="351"/>
      <c r="H21" s="305"/>
      <c r="I21" s="306"/>
      <c r="J21" s="293"/>
      <c r="K21" s="248"/>
      <c r="L21" s="294"/>
      <c r="M21" s="322">
        <f t="shared" si="1"/>
        <v>0</v>
      </c>
      <c r="N21" s="288"/>
      <c r="O21" s="301"/>
      <c r="P21" s="302"/>
      <c r="R21" s="343"/>
    </row>
    <row r="22" spans="1:20" ht="15.75" customHeight="1" thickTop="1" thickBot="1">
      <c r="A22" s="697"/>
      <c r="B22" s="717"/>
      <c r="C22" s="724"/>
      <c r="D22" s="725"/>
      <c r="E22" s="725"/>
      <c r="F22" s="725"/>
      <c r="G22" s="725"/>
      <c r="H22" s="725"/>
      <c r="I22" s="726"/>
      <c r="J22" s="348" t="s">
        <v>58</v>
      </c>
      <c r="K22" s="346" t="e">
        <f>M22/'生產管理報表 7-1 (週)'!#REF!</f>
        <v>#REF!</v>
      </c>
      <c r="L22" s="349" t="s">
        <v>59</v>
      </c>
      <c r="M22" s="350">
        <f>SUM(M17:M21)</f>
        <v>16380.947299999956</v>
      </c>
      <c r="N22" s="712"/>
      <c r="O22" s="713"/>
      <c r="P22" s="714"/>
      <c r="R22" s="339"/>
    </row>
    <row r="23" spans="1:20" ht="15.75" customHeight="1" thickTop="1">
      <c r="K23" s="289" t="s">
        <v>457</v>
      </c>
      <c r="M23" s="329"/>
      <c r="R23" s="339"/>
    </row>
    <row r="24" spans="1:20" ht="25" customHeight="1">
      <c r="A24" s="685" t="s">
        <v>191</v>
      </c>
      <c r="B24" s="686"/>
      <c r="C24" s="303" t="s">
        <v>47</v>
      </c>
      <c r="D24" s="729" t="s">
        <v>12</v>
      </c>
      <c r="E24" s="730"/>
      <c r="F24" s="731"/>
      <c r="G24" s="732" t="s">
        <v>53</v>
      </c>
      <c r="H24" s="733"/>
      <c r="I24" s="734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693" t="s">
        <v>51</v>
      </c>
      <c r="P24" s="694"/>
      <c r="R24" s="339"/>
    </row>
    <row r="25" spans="1:20" ht="55" customHeight="1">
      <c r="A25" s="695">
        <v>6</v>
      </c>
      <c r="B25" s="715" t="s">
        <v>216</v>
      </c>
      <c r="C25" s="279">
        <v>1</v>
      </c>
      <c r="D25" s="344" t="s">
        <v>340</v>
      </c>
      <c r="E25" s="281"/>
      <c r="F25" s="282"/>
      <c r="G25" s="306" t="s">
        <v>535</v>
      </c>
      <c r="H25" s="305"/>
      <c r="I25" s="306"/>
      <c r="J25" s="312">
        <v>39.389999999999993</v>
      </c>
      <c r="K25" s="313">
        <v>9.8903901396435066E-4</v>
      </c>
      <c r="L25" s="314">
        <v>330.73999999999796</v>
      </c>
      <c r="M25" s="322">
        <f t="shared" ref="M25:M29" si="2">L25*J25</f>
        <v>13027.848599999917</v>
      </c>
      <c r="N25" s="288"/>
      <c r="O25" s="707" t="s">
        <v>544</v>
      </c>
      <c r="P25" s="708"/>
      <c r="R25" s="336"/>
      <c r="S25" s="336"/>
    </row>
    <row r="26" spans="1:20" ht="55" customHeight="1">
      <c r="A26" s="696"/>
      <c r="B26" s="716"/>
      <c r="C26" s="279">
        <v>2</v>
      </c>
      <c r="D26" s="237" t="s">
        <v>464</v>
      </c>
      <c r="E26" s="281"/>
      <c r="F26" s="282"/>
      <c r="G26" s="306" t="s">
        <v>462</v>
      </c>
      <c r="H26" s="305"/>
      <c r="I26" s="306"/>
      <c r="J26" s="312">
        <v>407.74000000000007</v>
      </c>
      <c r="K26" s="313">
        <v>5.5205047318611991E-3</v>
      </c>
      <c r="L26" s="314">
        <v>15.759999999999991</v>
      </c>
      <c r="M26" s="322">
        <f t="shared" si="2"/>
        <v>6425.9823999999971</v>
      </c>
      <c r="N26" s="288"/>
      <c r="O26" s="707" t="s">
        <v>538</v>
      </c>
      <c r="P26" s="708"/>
      <c r="R26" s="336"/>
      <c r="S26" s="336"/>
    </row>
    <row r="27" spans="1:20" ht="55" customHeight="1">
      <c r="A27" s="696"/>
      <c r="B27" s="716"/>
      <c r="C27" s="279">
        <v>3</v>
      </c>
      <c r="D27" s="237" t="s">
        <v>342</v>
      </c>
      <c r="E27" s="281"/>
      <c r="F27" s="282"/>
      <c r="G27" s="306" t="s">
        <v>460</v>
      </c>
      <c r="H27" s="305"/>
      <c r="I27" s="306"/>
      <c r="J27" s="312">
        <v>605.77999999999986</v>
      </c>
      <c r="K27" s="313">
        <v>2.4467637726038921E-3</v>
      </c>
      <c r="L27" s="314">
        <v>16.549999999999955</v>
      </c>
      <c r="M27" s="322">
        <f t="shared" si="2"/>
        <v>10025.658999999971</v>
      </c>
      <c r="N27" s="288"/>
      <c r="O27" s="707" t="s">
        <v>628</v>
      </c>
      <c r="P27" s="708"/>
      <c r="R27" s="336"/>
    </row>
    <row r="28" spans="1:20" ht="55" customHeight="1">
      <c r="A28" s="696"/>
      <c r="B28" s="716"/>
      <c r="C28" s="279">
        <v>4</v>
      </c>
      <c r="D28" s="237" t="s">
        <v>545</v>
      </c>
      <c r="E28" s="281"/>
      <c r="F28" s="282"/>
      <c r="G28" s="306" t="s">
        <v>546</v>
      </c>
      <c r="H28" s="305"/>
      <c r="I28" s="306"/>
      <c r="J28" s="312">
        <v>62.43</v>
      </c>
      <c r="K28" s="313">
        <v>5.0760780750653831E-3</v>
      </c>
      <c r="L28" s="314">
        <v>105.88999999999987</v>
      </c>
      <c r="M28" s="322">
        <f t="shared" si="2"/>
        <v>6610.7126999999919</v>
      </c>
      <c r="N28" s="288"/>
      <c r="O28" s="707" t="s">
        <v>544</v>
      </c>
      <c r="P28" s="708"/>
      <c r="R28" s="336"/>
      <c r="S28" s="336"/>
    </row>
    <row r="29" spans="1:20" ht="54.75" customHeight="1" thickBot="1">
      <c r="A29" s="696"/>
      <c r="B29" s="716"/>
      <c r="C29" s="279">
        <v>5</v>
      </c>
      <c r="D29" s="244" t="s">
        <v>534</v>
      </c>
      <c r="E29" s="291"/>
      <c r="F29" s="292"/>
      <c r="G29" s="306" t="s">
        <v>570</v>
      </c>
      <c r="H29" s="305"/>
      <c r="I29" s="306"/>
      <c r="J29" s="316">
        <v>40.04</v>
      </c>
      <c r="K29" s="248">
        <v>5.4455135825022824E-3</v>
      </c>
      <c r="L29" s="317">
        <v>134.5600000000004</v>
      </c>
      <c r="M29" s="322">
        <f t="shared" si="2"/>
        <v>5387.7824000000155</v>
      </c>
      <c r="N29" s="288"/>
      <c r="O29" s="707" t="s">
        <v>544</v>
      </c>
      <c r="P29" s="708"/>
    </row>
    <row r="30" spans="1:20" ht="15.75" customHeight="1" thickTop="1" thickBot="1">
      <c r="A30" s="697"/>
      <c r="B30" s="717"/>
      <c r="C30" s="724"/>
      <c r="D30" s="725"/>
      <c r="E30" s="725"/>
      <c r="F30" s="725"/>
      <c r="G30" s="725"/>
      <c r="H30" s="725"/>
      <c r="I30" s="726"/>
      <c r="J30" s="348" t="s">
        <v>58</v>
      </c>
      <c r="K30" s="346" t="e">
        <f>M30/'生產管理報表 7-1 (週)'!#REF!</f>
        <v>#REF!</v>
      </c>
      <c r="L30" s="349" t="s">
        <v>59</v>
      </c>
      <c r="M30" s="350">
        <f>SUM(M25:M29)</f>
        <v>41477.985099999896</v>
      </c>
      <c r="N30" s="712"/>
      <c r="O30" s="713"/>
      <c r="P30" s="714"/>
    </row>
    <row r="31" spans="1:20" s="135" customFormat="1" ht="15.75" customHeight="1" thickTop="1">
      <c r="A31" s="644" t="s">
        <v>648</v>
      </c>
      <c r="B31" s="644"/>
      <c r="C31" s="644"/>
      <c r="D31" s="644"/>
      <c r="E31" s="644"/>
      <c r="F31" s="644"/>
      <c r="G31" s="644"/>
      <c r="H31" s="644"/>
      <c r="I31" s="644"/>
      <c r="J31" s="644"/>
      <c r="K31" s="644"/>
      <c r="L31" s="644"/>
      <c r="M31" s="644"/>
    </row>
    <row r="32" spans="1:20" s="136" customFormat="1" ht="15.75" customHeight="1">
      <c r="A32" s="680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</row>
    <row r="33" spans="1:20" s="135" customFormat="1" ht="15.75" customHeight="1">
      <c r="A33" s="681" t="s">
        <v>191</v>
      </c>
      <c r="B33" s="683">
        <v>1</v>
      </c>
      <c r="C33" s="684"/>
      <c r="D33" s="683">
        <v>2</v>
      </c>
      <c r="E33" s="684"/>
      <c r="F33" s="683">
        <v>3</v>
      </c>
      <c r="G33" s="684"/>
      <c r="H33" s="674">
        <v>4</v>
      </c>
      <c r="I33" s="675"/>
      <c r="J33" s="674">
        <v>5</v>
      </c>
      <c r="K33" s="675"/>
      <c r="L33" s="674">
        <v>6</v>
      </c>
      <c r="M33" s="675"/>
      <c r="N33" s="674">
        <v>7</v>
      </c>
      <c r="O33" s="675"/>
      <c r="P33" s="327">
        <v>8</v>
      </c>
    </row>
    <row r="34" spans="1:20" s="135" customFormat="1" ht="15.75" customHeight="1">
      <c r="A34" s="682"/>
      <c r="B34" s="678" t="s">
        <v>453</v>
      </c>
      <c r="C34" s="679"/>
      <c r="D34" s="678" t="s">
        <v>212</v>
      </c>
      <c r="E34" s="679"/>
      <c r="F34" s="678" t="s">
        <v>166</v>
      </c>
      <c r="G34" s="679"/>
      <c r="H34" s="676" t="s">
        <v>429</v>
      </c>
      <c r="I34" s="677"/>
      <c r="J34" s="676" t="s">
        <v>189</v>
      </c>
      <c r="K34" s="677"/>
      <c r="L34" s="676" t="s">
        <v>167</v>
      </c>
      <c r="M34" s="677"/>
      <c r="N34" s="676" t="s">
        <v>190</v>
      </c>
      <c r="O34" s="677"/>
      <c r="P34" s="328" t="s">
        <v>217</v>
      </c>
    </row>
    <row r="35" spans="1:20" s="135" customFormat="1" ht="15.75" customHeight="1">
      <c r="B35" s="232"/>
      <c r="C35" s="233"/>
    </row>
    <row r="36" spans="1:20" s="278" customFormat="1" ht="15.75" customHeight="1">
      <c r="A36" s="685" t="s">
        <v>191</v>
      </c>
      <c r="B36" s="686"/>
      <c r="C36" s="275" t="s">
        <v>47</v>
      </c>
      <c r="D36" s="687" t="s">
        <v>12</v>
      </c>
      <c r="E36" s="688"/>
      <c r="F36" s="689"/>
      <c r="G36" s="690" t="s">
        <v>53</v>
      </c>
      <c r="H36" s="691"/>
      <c r="I36" s="692"/>
      <c r="J36" s="276" t="s">
        <v>54</v>
      </c>
      <c r="K36" s="276" t="s">
        <v>55</v>
      </c>
      <c r="L36" s="276" t="s">
        <v>56</v>
      </c>
      <c r="M36" s="277" t="s">
        <v>11</v>
      </c>
      <c r="N36" s="277" t="s">
        <v>333</v>
      </c>
      <c r="O36" s="693" t="s">
        <v>51</v>
      </c>
      <c r="P36" s="694"/>
      <c r="R36" s="339"/>
      <c r="S36" s="340"/>
    </row>
    <row r="37" spans="1:20" s="298" customFormat="1" ht="60" customHeight="1">
      <c r="A37" s="695">
        <v>4</v>
      </c>
      <c r="B37" s="698" t="s">
        <v>429</v>
      </c>
      <c r="C37" s="279">
        <v>1</v>
      </c>
      <c r="D37" s="237" t="s">
        <v>340</v>
      </c>
      <c r="E37" s="238"/>
      <c r="F37" s="239"/>
      <c r="G37" s="306" t="s">
        <v>653</v>
      </c>
      <c r="H37" s="305"/>
      <c r="I37" s="306"/>
      <c r="J37" s="312">
        <v>144.79999999999998</v>
      </c>
      <c r="K37" s="313">
        <v>2.5324073761013774E-3</v>
      </c>
      <c r="L37" s="314">
        <v>40.75</v>
      </c>
      <c r="M37" s="322">
        <f t="shared" ref="M37:M41" si="3">L37*J37</f>
        <v>5900.5999999999995</v>
      </c>
      <c r="N37" s="314"/>
      <c r="O37" s="703" t="s">
        <v>619</v>
      </c>
      <c r="P37" s="704"/>
      <c r="R37" s="396"/>
      <c r="S37" s="340"/>
    </row>
    <row r="38" spans="1:20" s="298" customFormat="1" ht="60" customHeight="1">
      <c r="A38" s="696"/>
      <c r="B38" s="699"/>
      <c r="C38" s="279">
        <v>2</v>
      </c>
      <c r="D38" s="237" t="s">
        <v>341</v>
      </c>
      <c r="E38" s="238"/>
      <c r="F38" s="239"/>
      <c r="G38" s="306" t="s">
        <v>547</v>
      </c>
      <c r="H38" s="305"/>
      <c r="I38" s="306"/>
      <c r="J38" s="312">
        <v>66.13</v>
      </c>
      <c r="K38" s="313">
        <v>7.4138273100337266E-3</v>
      </c>
      <c r="L38" s="314">
        <v>68.539999999999964</v>
      </c>
      <c r="M38" s="322">
        <f t="shared" si="3"/>
        <v>4532.5501999999969</v>
      </c>
      <c r="N38" s="314"/>
      <c r="O38" s="703" t="s">
        <v>618</v>
      </c>
      <c r="P38" s="704"/>
      <c r="R38" s="396"/>
      <c r="S38" s="397"/>
      <c r="T38" s="335"/>
    </row>
    <row r="39" spans="1:20" s="298" customFormat="1" ht="60" customHeight="1">
      <c r="A39" s="696"/>
      <c r="B39" s="699"/>
      <c r="C39" s="279">
        <v>3</v>
      </c>
      <c r="D39" s="237" t="s">
        <v>459</v>
      </c>
      <c r="E39" s="238"/>
      <c r="F39" s="239"/>
      <c r="G39" s="306" t="s">
        <v>465</v>
      </c>
      <c r="H39" s="305"/>
      <c r="I39" s="306"/>
      <c r="J39" s="312">
        <v>629</v>
      </c>
      <c r="K39" s="313">
        <v>8.7751371115173671E-3</v>
      </c>
      <c r="L39" s="314">
        <v>7.1699999999999875</v>
      </c>
      <c r="M39" s="322">
        <f t="shared" si="3"/>
        <v>4509.9299999999921</v>
      </c>
      <c r="N39" s="314"/>
      <c r="O39" s="705" t="s">
        <v>550</v>
      </c>
      <c r="P39" s="706"/>
      <c r="R39" s="396"/>
      <c r="S39" s="398"/>
    </row>
    <row r="40" spans="1:20" s="298" customFormat="1" ht="60" customHeight="1">
      <c r="A40" s="696"/>
      <c r="B40" s="699"/>
      <c r="C40" s="279">
        <v>4</v>
      </c>
      <c r="D40" s="237" t="s">
        <v>472</v>
      </c>
      <c r="E40" s="238"/>
      <c r="F40" s="239"/>
      <c r="G40" s="306" t="s">
        <v>471</v>
      </c>
      <c r="H40" s="305"/>
      <c r="I40" s="306"/>
      <c r="J40" s="312">
        <v>266.27999999999997</v>
      </c>
      <c r="K40" s="313">
        <v>9.0517011873702136E-4</v>
      </c>
      <c r="L40" s="314">
        <v>18.839999999999918</v>
      </c>
      <c r="M40" s="322">
        <f t="shared" si="3"/>
        <v>5016.7151999999778</v>
      </c>
      <c r="N40" s="314"/>
      <c r="O40" s="705" t="s">
        <v>619</v>
      </c>
      <c r="P40" s="706"/>
      <c r="R40" s="396"/>
      <c r="S40" s="397"/>
      <c r="T40" s="335"/>
    </row>
    <row r="41" spans="1:20" s="298" customFormat="1" ht="60" customHeight="1" thickBot="1">
      <c r="A41" s="696"/>
      <c r="B41" s="699"/>
      <c r="C41" s="279">
        <v>5</v>
      </c>
      <c r="D41" s="237" t="s">
        <v>340</v>
      </c>
      <c r="E41" s="245"/>
      <c r="F41" s="246"/>
      <c r="G41" s="306" t="s">
        <v>386</v>
      </c>
      <c r="H41" s="305"/>
      <c r="I41" s="306"/>
      <c r="J41" s="316">
        <v>127.84000000000002</v>
      </c>
      <c r="K41" s="248">
        <v>3.2030090997231535E-3</v>
      </c>
      <c r="L41" s="317">
        <v>39.600000000000364</v>
      </c>
      <c r="M41" s="322">
        <f t="shared" si="3"/>
        <v>5062.4640000000472</v>
      </c>
      <c r="N41" s="314"/>
      <c r="O41" s="705" t="s">
        <v>619</v>
      </c>
      <c r="P41" s="706"/>
      <c r="R41" s="399"/>
      <c r="S41" s="398"/>
      <c r="T41" s="289"/>
    </row>
    <row r="42" spans="1:20" ht="15.75" customHeight="1" thickTop="1" thickBot="1">
      <c r="A42" s="697"/>
      <c r="B42" s="700"/>
      <c r="C42" s="709"/>
      <c r="D42" s="710"/>
      <c r="E42" s="710"/>
      <c r="F42" s="710"/>
      <c r="G42" s="710"/>
      <c r="H42" s="710"/>
      <c r="I42" s="711"/>
      <c r="J42" s="348" t="s">
        <v>58</v>
      </c>
      <c r="K42" s="346" t="e">
        <f>M42/'生產管理報表 7-1 (週)'!#REF!</f>
        <v>#REF!</v>
      </c>
      <c r="L42" s="349" t="s">
        <v>59</v>
      </c>
      <c r="M42" s="350">
        <f>SUM(M37:M41)</f>
        <v>25022.259400000014</v>
      </c>
      <c r="N42" s="712"/>
      <c r="O42" s="713"/>
      <c r="P42" s="714"/>
      <c r="R42" s="339"/>
      <c r="S42" s="339"/>
    </row>
    <row r="43" spans="1:20" ht="15.75" customHeight="1" thickTop="1">
      <c r="M43" s="329"/>
      <c r="S43" s="340"/>
    </row>
    <row r="44" spans="1:20" ht="15.75" customHeight="1">
      <c r="A44" s="685" t="s">
        <v>191</v>
      </c>
      <c r="B44" s="686"/>
      <c r="C44" s="275" t="s">
        <v>47</v>
      </c>
      <c r="D44" s="687" t="s">
        <v>12</v>
      </c>
      <c r="E44" s="688"/>
      <c r="F44" s="689"/>
      <c r="G44" s="690" t="s">
        <v>53</v>
      </c>
      <c r="H44" s="691"/>
      <c r="I44" s="692"/>
      <c r="J44" s="380" t="s">
        <v>54</v>
      </c>
      <c r="K44" s="276" t="s">
        <v>55</v>
      </c>
      <c r="L44" s="276" t="s">
        <v>56</v>
      </c>
      <c r="M44" s="330" t="s">
        <v>11</v>
      </c>
      <c r="N44" s="277" t="s">
        <v>333</v>
      </c>
      <c r="O44" s="693" t="s">
        <v>51</v>
      </c>
      <c r="P44" s="694"/>
      <c r="S44" s="339"/>
      <c r="T44" s="335"/>
    </row>
    <row r="45" spans="1:20" s="298" customFormat="1" ht="60" customHeight="1">
      <c r="A45" s="695">
        <v>5</v>
      </c>
      <c r="B45" s="715" t="s">
        <v>215</v>
      </c>
      <c r="C45" s="279">
        <v>1</v>
      </c>
      <c r="D45" s="237" t="s">
        <v>340</v>
      </c>
      <c r="E45" s="238"/>
      <c r="F45" s="239"/>
      <c r="G45" s="306" t="s">
        <v>336</v>
      </c>
      <c r="H45" s="305"/>
      <c r="I45" s="306"/>
      <c r="J45" s="312">
        <v>147.43000000000004</v>
      </c>
      <c r="K45" s="313">
        <v>2.1109509193583701E-3</v>
      </c>
      <c r="L45" s="314">
        <v>83.1899999999996</v>
      </c>
      <c r="M45" s="322">
        <f>L45*J45</f>
        <v>12264.701699999943</v>
      </c>
      <c r="N45" s="314"/>
      <c r="O45" s="770" t="s">
        <v>530</v>
      </c>
      <c r="P45" s="771"/>
      <c r="S45" s="398"/>
      <c r="T45" s="335"/>
    </row>
    <row r="46" spans="1:20" s="298" customFormat="1" ht="25" customHeight="1">
      <c r="A46" s="696"/>
      <c r="B46" s="716"/>
      <c r="C46" s="279">
        <v>2</v>
      </c>
      <c r="D46" s="237"/>
      <c r="E46" s="238"/>
      <c r="F46" s="239"/>
      <c r="G46" s="463"/>
      <c r="H46" s="241"/>
      <c r="I46" s="240"/>
      <c r="J46" s="312"/>
      <c r="K46" s="313"/>
      <c r="L46" s="314"/>
      <c r="M46" s="322">
        <f t="shared" ref="M46:M49" si="4">L46*J46</f>
        <v>0</v>
      </c>
      <c r="N46" s="314"/>
      <c r="O46" s="720"/>
      <c r="P46" s="721"/>
      <c r="S46" s="339"/>
      <c r="T46" s="336"/>
    </row>
    <row r="47" spans="1:20" ht="25" customHeight="1">
      <c r="A47" s="696"/>
      <c r="B47" s="716"/>
      <c r="C47" s="279">
        <v>3</v>
      </c>
      <c r="D47" s="237"/>
      <c r="E47" s="238"/>
      <c r="F47" s="239"/>
      <c r="G47" s="351"/>
      <c r="H47" s="305"/>
      <c r="I47" s="306"/>
      <c r="J47" s="312"/>
      <c r="K47" s="313"/>
      <c r="L47" s="314"/>
      <c r="M47" s="322">
        <f t="shared" si="4"/>
        <v>0</v>
      </c>
      <c r="N47" s="288"/>
      <c r="O47" s="742"/>
      <c r="P47" s="743"/>
    </row>
    <row r="48" spans="1:20" ht="25" customHeight="1">
      <c r="A48" s="696"/>
      <c r="B48" s="716"/>
      <c r="C48" s="279">
        <v>4</v>
      </c>
      <c r="D48" s="280"/>
      <c r="E48" s="281"/>
      <c r="F48" s="282"/>
      <c r="G48" s="351"/>
      <c r="H48" s="305"/>
      <c r="I48" s="306"/>
      <c r="J48" s="286"/>
      <c r="K48" s="287"/>
      <c r="L48" s="288"/>
      <c r="M48" s="322">
        <f t="shared" si="4"/>
        <v>0</v>
      </c>
      <c r="N48" s="288"/>
      <c r="O48" s="299"/>
      <c r="P48" s="300"/>
    </row>
    <row r="49" spans="1:19" ht="25" customHeight="1" thickBot="1">
      <c r="A49" s="696"/>
      <c r="B49" s="716"/>
      <c r="C49" s="279">
        <v>5</v>
      </c>
      <c r="D49" s="290"/>
      <c r="E49" s="291"/>
      <c r="F49" s="292"/>
      <c r="G49" s="351"/>
      <c r="H49" s="305"/>
      <c r="I49" s="306"/>
      <c r="J49" s="293"/>
      <c r="K49" s="248"/>
      <c r="L49" s="294"/>
      <c r="M49" s="322">
        <f t="shared" si="4"/>
        <v>0</v>
      </c>
      <c r="N49" s="288"/>
      <c r="O49" s="301"/>
      <c r="P49" s="302"/>
      <c r="R49" s="343"/>
    </row>
    <row r="50" spans="1:19" ht="15.75" customHeight="1" thickTop="1" thickBot="1">
      <c r="A50" s="697"/>
      <c r="B50" s="717"/>
      <c r="C50" s="724"/>
      <c r="D50" s="725"/>
      <c r="E50" s="725"/>
      <c r="F50" s="725"/>
      <c r="G50" s="725"/>
      <c r="H50" s="725"/>
      <c r="I50" s="726"/>
      <c r="J50" s="348" t="s">
        <v>58</v>
      </c>
      <c r="K50" s="346" t="e">
        <f>M50/'生產管理報表 7-1 (週)'!#REF!</f>
        <v>#REF!</v>
      </c>
      <c r="L50" s="349" t="s">
        <v>59</v>
      </c>
      <c r="M50" s="350">
        <f>SUM(M45:M49)</f>
        <v>12264.701699999943</v>
      </c>
      <c r="N50" s="712"/>
      <c r="O50" s="713"/>
      <c r="P50" s="714"/>
      <c r="R50" s="339"/>
    </row>
    <row r="51" spans="1:19" ht="15.75" customHeight="1" thickTop="1">
      <c r="K51" s="289" t="s">
        <v>457</v>
      </c>
      <c r="M51" s="329"/>
      <c r="R51" s="339"/>
    </row>
    <row r="52" spans="1:19" ht="25" customHeight="1">
      <c r="A52" s="685" t="s">
        <v>191</v>
      </c>
      <c r="B52" s="686"/>
      <c r="C52" s="303" t="s">
        <v>47</v>
      </c>
      <c r="D52" s="729" t="s">
        <v>12</v>
      </c>
      <c r="E52" s="730"/>
      <c r="F52" s="731"/>
      <c r="G52" s="732" t="s">
        <v>53</v>
      </c>
      <c r="H52" s="733"/>
      <c r="I52" s="734"/>
      <c r="J52" s="304" t="s">
        <v>54</v>
      </c>
      <c r="K52" s="276" t="s">
        <v>55</v>
      </c>
      <c r="L52" s="276" t="s">
        <v>56</v>
      </c>
      <c r="M52" s="330" t="s">
        <v>11</v>
      </c>
      <c r="N52" s="277" t="s">
        <v>333</v>
      </c>
      <c r="O52" s="693" t="s">
        <v>51</v>
      </c>
      <c r="P52" s="694"/>
      <c r="R52" s="339"/>
    </row>
    <row r="53" spans="1:19" ht="60" customHeight="1">
      <c r="A53" s="695">
        <v>6</v>
      </c>
      <c r="B53" s="715" t="s">
        <v>216</v>
      </c>
      <c r="C53" s="279">
        <v>1</v>
      </c>
      <c r="D53" s="344" t="s">
        <v>340</v>
      </c>
      <c r="E53" s="281"/>
      <c r="F53" s="282"/>
      <c r="G53" s="306" t="s">
        <v>535</v>
      </c>
      <c r="H53" s="305"/>
      <c r="I53" s="306"/>
      <c r="J53" s="312">
        <v>39.389999999999993</v>
      </c>
      <c r="K53" s="313">
        <v>1.0461859327062402E-3</v>
      </c>
      <c r="L53" s="314">
        <v>238.65000000000146</v>
      </c>
      <c r="M53" s="322">
        <f t="shared" ref="M53:M57" si="5">L53*J53</f>
        <v>9400.4235000000554</v>
      </c>
      <c r="N53" s="288"/>
      <c r="O53" s="707" t="s">
        <v>544</v>
      </c>
      <c r="P53" s="708"/>
      <c r="R53" s="336"/>
      <c r="S53" s="336"/>
    </row>
    <row r="54" spans="1:19" ht="60" customHeight="1">
      <c r="A54" s="696"/>
      <c r="B54" s="716"/>
      <c r="C54" s="279">
        <v>2</v>
      </c>
      <c r="D54" s="237" t="s">
        <v>464</v>
      </c>
      <c r="E54" s="281"/>
      <c r="F54" s="282"/>
      <c r="G54" s="306" t="s">
        <v>462</v>
      </c>
      <c r="H54" s="305"/>
      <c r="I54" s="306"/>
      <c r="J54" s="312">
        <v>407.74000000000007</v>
      </c>
      <c r="K54" s="313">
        <v>2.0520747275004662E-3</v>
      </c>
      <c r="L54" s="314">
        <v>19.340000000000146</v>
      </c>
      <c r="M54" s="322">
        <f t="shared" si="5"/>
        <v>7885.691600000061</v>
      </c>
      <c r="N54" s="288"/>
      <c r="O54" s="707" t="s">
        <v>538</v>
      </c>
      <c r="P54" s="708"/>
      <c r="R54" s="336"/>
      <c r="S54" s="336"/>
    </row>
    <row r="55" spans="1:19" ht="60" customHeight="1">
      <c r="A55" s="696"/>
      <c r="B55" s="716"/>
      <c r="C55" s="279">
        <v>3</v>
      </c>
      <c r="D55" s="237" t="s">
        <v>342</v>
      </c>
      <c r="E55" s="281"/>
      <c r="F55" s="282"/>
      <c r="G55" s="306" t="s">
        <v>460</v>
      </c>
      <c r="H55" s="305"/>
      <c r="I55" s="306"/>
      <c r="J55" s="312">
        <v>605.77999999999986</v>
      </c>
      <c r="K55" s="313">
        <v>2.6059131234551342E-3</v>
      </c>
      <c r="L55" s="314">
        <v>8.0999999999999091</v>
      </c>
      <c r="M55" s="322">
        <f t="shared" si="5"/>
        <v>4906.8179999999438</v>
      </c>
      <c r="N55" s="288"/>
      <c r="O55" s="707" t="s">
        <v>550</v>
      </c>
      <c r="P55" s="708"/>
      <c r="R55" s="336"/>
    </row>
    <row r="56" spans="1:19" ht="60" customHeight="1">
      <c r="A56" s="696"/>
      <c r="B56" s="716"/>
      <c r="C56" s="279">
        <v>4</v>
      </c>
      <c r="D56" s="237" t="s">
        <v>534</v>
      </c>
      <c r="E56" s="281"/>
      <c r="F56" s="282"/>
      <c r="G56" s="306" t="s">
        <v>570</v>
      </c>
      <c r="H56" s="305"/>
      <c r="I56" s="306"/>
      <c r="J56" s="312">
        <v>40.04</v>
      </c>
      <c r="K56" s="313">
        <v>5.7532861743822619E-3</v>
      </c>
      <c r="L56" s="314">
        <v>125.15000000000009</v>
      </c>
      <c r="M56" s="322">
        <f t="shared" si="5"/>
        <v>5011.006000000004</v>
      </c>
      <c r="N56" s="288"/>
      <c r="O56" s="707" t="s">
        <v>672</v>
      </c>
      <c r="P56" s="708"/>
      <c r="R56" s="336"/>
      <c r="S56" s="336"/>
    </row>
    <row r="57" spans="1:19" ht="60" customHeight="1" thickBot="1">
      <c r="A57" s="696"/>
      <c r="B57" s="716"/>
      <c r="C57" s="279">
        <v>5</v>
      </c>
      <c r="D57" s="244" t="s">
        <v>601</v>
      </c>
      <c r="E57" s="291"/>
      <c r="F57" s="292"/>
      <c r="G57" s="306" t="s">
        <v>605</v>
      </c>
      <c r="H57" s="305"/>
      <c r="I57" s="306"/>
      <c r="J57" s="316">
        <v>46.149999999999991</v>
      </c>
      <c r="K57" s="248">
        <v>6.5814649738879872E-3</v>
      </c>
      <c r="L57" s="317">
        <v>98.929999999999836</v>
      </c>
      <c r="M57" s="322">
        <f t="shared" si="5"/>
        <v>4565.6194999999916</v>
      </c>
      <c r="N57" s="288"/>
      <c r="O57" s="707" t="s">
        <v>544</v>
      </c>
      <c r="P57" s="708"/>
    </row>
    <row r="58" spans="1:19" ht="15.75" customHeight="1" thickTop="1" thickBot="1">
      <c r="A58" s="697"/>
      <c r="B58" s="717"/>
      <c r="C58" s="724"/>
      <c r="D58" s="725"/>
      <c r="E58" s="725"/>
      <c r="F58" s="725"/>
      <c r="G58" s="725"/>
      <c r="H58" s="725"/>
      <c r="I58" s="726"/>
      <c r="J58" s="348" t="s">
        <v>58</v>
      </c>
      <c r="K58" s="346" t="e">
        <f>M58/'生產管理報表 7-1 (週)'!#REF!</f>
        <v>#REF!</v>
      </c>
      <c r="L58" s="349" t="s">
        <v>59</v>
      </c>
      <c r="M58" s="350">
        <f>SUM(M53:M57)</f>
        <v>31769.558600000055</v>
      </c>
      <c r="N58" s="712"/>
      <c r="O58" s="713"/>
      <c r="P58" s="714"/>
    </row>
    <row r="59" spans="1:19" s="135" customFormat="1" ht="15.75" customHeight="1" thickTop="1">
      <c r="A59" s="644" t="s">
        <v>649</v>
      </c>
      <c r="B59" s="644"/>
      <c r="C59" s="644"/>
      <c r="D59" s="644"/>
      <c r="E59" s="644"/>
      <c r="F59" s="644"/>
      <c r="G59" s="644"/>
      <c r="H59" s="644"/>
      <c r="I59" s="644"/>
      <c r="J59" s="644"/>
      <c r="K59" s="644"/>
      <c r="L59" s="644"/>
      <c r="M59" s="644"/>
    </row>
    <row r="60" spans="1:19" s="136" customFormat="1" ht="15.75" customHeight="1">
      <c r="A60" s="680"/>
      <c r="B60" s="680"/>
      <c r="C60" s="680"/>
      <c r="D60" s="680"/>
      <c r="E60" s="680"/>
      <c r="F60" s="680"/>
      <c r="G60" s="680"/>
      <c r="H60" s="680"/>
      <c r="I60" s="680"/>
      <c r="J60" s="680"/>
      <c r="K60" s="680"/>
      <c r="L60" s="680"/>
      <c r="M60" s="680"/>
    </row>
    <row r="61" spans="1:19" s="135" customFormat="1" ht="15.75" customHeight="1">
      <c r="A61" s="681" t="s">
        <v>191</v>
      </c>
      <c r="B61" s="683">
        <v>1</v>
      </c>
      <c r="C61" s="684"/>
      <c r="D61" s="683">
        <v>2</v>
      </c>
      <c r="E61" s="684"/>
      <c r="F61" s="683">
        <v>3</v>
      </c>
      <c r="G61" s="684"/>
      <c r="H61" s="674">
        <v>4</v>
      </c>
      <c r="I61" s="675"/>
      <c r="J61" s="674">
        <v>5</v>
      </c>
      <c r="K61" s="675"/>
      <c r="L61" s="674">
        <v>6</v>
      </c>
      <c r="M61" s="675"/>
      <c r="N61" s="674">
        <v>7</v>
      </c>
      <c r="O61" s="675"/>
      <c r="P61" s="327">
        <v>8</v>
      </c>
    </row>
    <row r="62" spans="1:19" s="135" customFormat="1" ht="15.75" customHeight="1">
      <c r="A62" s="682"/>
      <c r="B62" s="678" t="s">
        <v>453</v>
      </c>
      <c r="C62" s="679"/>
      <c r="D62" s="678" t="s">
        <v>212</v>
      </c>
      <c r="E62" s="679"/>
      <c r="F62" s="678" t="s">
        <v>166</v>
      </c>
      <c r="G62" s="679"/>
      <c r="H62" s="676" t="s">
        <v>429</v>
      </c>
      <c r="I62" s="677"/>
      <c r="J62" s="676" t="s">
        <v>189</v>
      </c>
      <c r="K62" s="677"/>
      <c r="L62" s="676" t="s">
        <v>167</v>
      </c>
      <c r="M62" s="677"/>
      <c r="N62" s="676" t="s">
        <v>190</v>
      </c>
      <c r="O62" s="677"/>
      <c r="P62" s="328" t="s">
        <v>217</v>
      </c>
    </row>
    <row r="63" spans="1:19" s="135" customFormat="1" ht="15.75" customHeight="1">
      <c r="B63" s="232"/>
      <c r="C63" s="233"/>
    </row>
    <row r="64" spans="1:19" s="278" customFormat="1" ht="15.75" customHeight="1">
      <c r="A64" s="685" t="s">
        <v>191</v>
      </c>
      <c r="B64" s="686"/>
      <c r="C64" s="275" t="s">
        <v>47</v>
      </c>
      <c r="D64" s="687" t="s">
        <v>12</v>
      </c>
      <c r="E64" s="688"/>
      <c r="F64" s="689"/>
      <c r="G64" s="690" t="s">
        <v>53</v>
      </c>
      <c r="H64" s="691"/>
      <c r="I64" s="692"/>
      <c r="J64" s="276" t="s">
        <v>54</v>
      </c>
      <c r="K64" s="276" t="s">
        <v>55</v>
      </c>
      <c r="L64" s="276" t="s">
        <v>56</v>
      </c>
      <c r="M64" s="277" t="s">
        <v>11</v>
      </c>
      <c r="N64" s="277" t="s">
        <v>333</v>
      </c>
      <c r="O64" s="693" t="s">
        <v>51</v>
      </c>
      <c r="P64" s="694"/>
      <c r="R64" s="339"/>
      <c r="S64" s="340"/>
    </row>
    <row r="65" spans="1:20" s="298" customFormat="1" ht="60" customHeight="1">
      <c r="A65" s="695">
        <v>4</v>
      </c>
      <c r="B65" s="698" t="s">
        <v>429</v>
      </c>
      <c r="C65" s="279">
        <v>1</v>
      </c>
      <c r="D65" s="237" t="s">
        <v>358</v>
      </c>
      <c r="E65" s="238"/>
      <c r="F65" s="239"/>
      <c r="G65" s="351" t="s">
        <v>357</v>
      </c>
      <c r="H65" s="305"/>
      <c r="I65" s="306"/>
      <c r="J65" s="312">
        <v>152.75</v>
      </c>
      <c r="K65" s="313">
        <v>5.5823564209596657E-3</v>
      </c>
      <c r="L65" s="314">
        <v>31.220000000000027</v>
      </c>
      <c r="M65" s="322">
        <f t="shared" ref="M65:M69" si="6">L65*J65</f>
        <v>4768.8550000000041</v>
      </c>
      <c r="N65" s="314"/>
      <c r="O65" s="703" t="s">
        <v>619</v>
      </c>
      <c r="P65" s="704"/>
      <c r="R65" s="396"/>
      <c r="S65" s="340"/>
    </row>
    <row r="66" spans="1:20" s="298" customFormat="1" ht="60" customHeight="1">
      <c r="A66" s="696"/>
      <c r="B66" s="699"/>
      <c r="C66" s="279">
        <v>2</v>
      </c>
      <c r="D66" s="237" t="s">
        <v>674</v>
      </c>
      <c r="E66" s="238"/>
      <c r="F66" s="239"/>
      <c r="G66" s="306" t="s">
        <v>675</v>
      </c>
      <c r="H66" s="305"/>
      <c r="I66" s="306"/>
      <c r="J66" s="312">
        <v>655.37</v>
      </c>
      <c r="K66" s="313">
        <v>3.7863375378633744E-3</v>
      </c>
      <c r="L66" s="314">
        <v>12.700000000000045</v>
      </c>
      <c r="M66" s="322">
        <f t="shared" si="6"/>
        <v>8323.1990000000296</v>
      </c>
      <c r="N66" s="314"/>
      <c r="O66" s="703" t="s">
        <v>692</v>
      </c>
      <c r="P66" s="704"/>
      <c r="R66" s="396"/>
      <c r="S66" s="397"/>
      <c r="T66" s="335"/>
    </row>
    <row r="67" spans="1:20" s="298" customFormat="1" ht="60" customHeight="1">
      <c r="A67" s="696"/>
      <c r="B67" s="699"/>
      <c r="C67" s="279">
        <v>3</v>
      </c>
      <c r="D67" s="237" t="s">
        <v>341</v>
      </c>
      <c r="E67" s="238"/>
      <c r="F67" s="239"/>
      <c r="G67" s="306" t="s">
        <v>547</v>
      </c>
      <c r="H67" s="305"/>
      <c r="I67" s="306"/>
      <c r="J67" s="312">
        <v>66.13</v>
      </c>
      <c r="K67" s="313">
        <v>6.9569550385219824E-3</v>
      </c>
      <c r="L67" s="314">
        <v>73.900000000000091</v>
      </c>
      <c r="M67" s="322">
        <f t="shared" si="6"/>
        <v>4887.007000000006</v>
      </c>
      <c r="N67" s="314"/>
      <c r="O67" s="705" t="s">
        <v>618</v>
      </c>
      <c r="P67" s="706"/>
      <c r="R67" s="396"/>
      <c r="S67" s="398"/>
    </row>
    <row r="68" spans="1:20" s="298" customFormat="1" ht="60" customHeight="1">
      <c r="A68" s="696"/>
      <c r="B68" s="699"/>
      <c r="C68" s="279">
        <v>4</v>
      </c>
      <c r="D68" s="237" t="s">
        <v>459</v>
      </c>
      <c r="E68" s="238"/>
      <c r="F68" s="239"/>
      <c r="G68" s="306" t="s">
        <v>465</v>
      </c>
      <c r="H68" s="305"/>
      <c r="I68" s="306"/>
      <c r="J68" s="312">
        <v>629</v>
      </c>
      <c r="K68" s="313">
        <v>6.4669708391192227E-3</v>
      </c>
      <c r="L68" s="314">
        <v>7.539999999999992</v>
      </c>
      <c r="M68" s="322">
        <f t="shared" si="6"/>
        <v>4742.6599999999953</v>
      </c>
      <c r="N68" s="314"/>
      <c r="O68" s="705" t="s">
        <v>550</v>
      </c>
      <c r="P68" s="706"/>
      <c r="R68" s="396"/>
      <c r="S68" s="397"/>
      <c r="T68" s="335"/>
    </row>
    <row r="69" spans="1:20" s="298" customFormat="1" ht="60" customHeight="1" thickBot="1">
      <c r="A69" s="696"/>
      <c r="B69" s="699"/>
      <c r="C69" s="279">
        <v>5</v>
      </c>
      <c r="D69" s="237" t="s">
        <v>434</v>
      </c>
      <c r="E69" s="245"/>
      <c r="F69" s="246"/>
      <c r="G69" s="306" t="s">
        <v>433</v>
      </c>
      <c r="H69" s="305"/>
      <c r="I69" s="306"/>
      <c r="J69" s="316">
        <v>368.13999999999993</v>
      </c>
      <c r="K69" s="248">
        <v>5.6492302384751388E-3</v>
      </c>
      <c r="L69" s="317">
        <v>12.300000000000011</v>
      </c>
      <c r="M69" s="322">
        <f t="shared" si="6"/>
        <v>4528.122000000003</v>
      </c>
      <c r="N69" s="314"/>
      <c r="O69" s="705" t="s">
        <v>693</v>
      </c>
      <c r="P69" s="706"/>
      <c r="R69" s="399"/>
      <c r="S69" s="398"/>
      <c r="T69" s="289"/>
    </row>
    <row r="70" spans="1:20" ht="15.75" customHeight="1" thickTop="1" thickBot="1">
      <c r="A70" s="697"/>
      <c r="B70" s="700"/>
      <c r="C70" s="709"/>
      <c r="D70" s="710"/>
      <c r="E70" s="710"/>
      <c r="F70" s="710"/>
      <c r="G70" s="710"/>
      <c r="H70" s="710"/>
      <c r="I70" s="711"/>
      <c r="J70" s="348" t="s">
        <v>58</v>
      </c>
      <c r="K70" s="346" t="e">
        <f>M70/'生產管理報表 7-1 (週)'!#REF!</f>
        <v>#REF!</v>
      </c>
      <c r="L70" s="349" t="s">
        <v>59</v>
      </c>
      <c r="M70" s="350">
        <f>SUM(M65:M69)</f>
        <v>27249.843000000037</v>
      </c>
      <c r="N70" s="712"/>
      <c r="O70" s="713"/>
      <c r="P70" s="714"/>
      <c r="R70" s="339"/>
      <c r="S70" s="339"/>
    </row>
    <row r="71" spans="1:20" ht="15.75" customHeight="1" thickTop="1">
      <c r="M71" s="329"/>
      <c r="S71" s="340"/>
    </row>
    <row r="72" spans="1:20" ht="15.75" customHeight="1">
      <c r="A72" s="685" t="s">
        <v>191</v>
      </c>
      <c r="B72" s="686"/>
      <c r="C72" s="275" t="s">
        <v>47</v>
      </c>
      <c r="D72" s="687" t="s">
        <v>12</v>
      </c>
      <c r="E72" s="688"/>
      <c r="F72" s="689"/>
      <c r="G72" s="690" t="s">
        <v>53</v>
      </c>
      <c r="H72" s="691"/>
      <c r="I72" s="692"/>
      <c r="J72" s="380" t="s">
        <v>54</v>
      </c>
      <c r="K72" s="276" t="s">
        <v>55</v>
      </c>
      <c r="L72" s="276" t="s">
        <v>56</v>
      </c>
      <c r="M72" s="330" t="s">
        <v>11</v>
      </c>
      <c r="N72" s="277" t="s">
        <v>333</v>
      </c>
      <c r="O72" s="693" t="s">
        <v>51</v>
      </c>
      <c r="P72" s="694"/>
      <c r="S72" s="339"/>
      <c r="T72" s="335"/>
    </row>
    <row r="73" spans="1:20" s="298" customFormat="1" ht="60" customHeight="1">
      <c r="A73" s="695">
        <v>5</v>
      </c>
      <c r="B73" s="715" t="s">
        <v>215</v>
      </c>
      <c r="C73" s="279">
        <v>1</v>
      </c>
      <c r="D73" s="237" t="s">
        <v>340</v>
      </c>
      <c r="E73" s="238"/>
      <c r="F73" s="239"/>
      <c r="G73" s="306" t="s">
        <v>336</v>
      </c>
      <c r="H73" s="305"/>
      <c r="I73" s="306"/>
      <c r="J73" s="312">
        <v>147.43000000000004</v>
      </c>
      <c r="K73" s="313">
        <v>2.4846051519672656E-3</v>
      </c>
      <c r="L73" s="314">
        <v>70.670000000000073</v>
      </c>
      <c r="M73" s="322">
        <f>L73*J73</f>
        <v>10418.878100000013</v>
      </c>
      <c r="N73" s="314"/>
      <c r="O73" s="770" t="s">
        <v>530</v>
      </c>
      <c r="P73" s="771"/>
      <c r="S73" s="398"/>
      <c r="T73" s="335"/>
    </row>
    <row r="74" spans="1:20" s="298" customFormat="1" ht="25" customHeight="1">
      <c r="A74" s="696"/>
      <c r="B74" s="716"/>
      <c r="C74" s="279">
        <v>2</v>
      </c>
      <c r="D74" s="237"/>
      <c r="E74" s="238"/>
      <c r="F74" s="239"/>
      <c r="G74" s="351"/>
      <c r="H74" s="305"/>
      <c r="I74" s="306"/>
      <c r="J74" s="312"/>
      <c r="K74" s="313"/>
      <c r="L74" s="314"/>
      <c r="M74" s="322">
        <f t="shared" ref="M74:M77" si="7">L74*J74</f>
        <v>0</v>
      </c>
      <c r="N74" s="314"/>
      <c r="O74" s="720"/>
      <c r="P74" s="721"/>
      <c r="S74" s="339"/>
      <c r="T74" s="336"/>
    </row>
    <row r="75" spans="1:20" ht="25" customHeight="1">
      <c r="A75" s="696"/>
      <c r="B75" s="716"/>
      <c r="C75" s="279">
        <v>3</v>
      </c>
      <c r="D75" s="237"/>
      <c r="E75" s="238"/>
      <c r="F75" s="239"/>
      <c r="G75" s="351"/>
      <c r="H75" s="305"/>
      <c r="I75" s="306"/>
      <c r="J75" s="312"/>
      <c r="K75" s="313"/>
      <c r="L75" s="314"/>
      <c r="M75" s="322">
        <f t="shared" si="7"/>
        <v>0</v>
      </c>
      <c r="N75" s="288"/>
      <c r="O75" s="742"/>
      <c r="P75" s="743"/>
    </row>
    <row r="76" spans="1:20" ht="25" customHeight="1">
      <c r="A76" s="696"/>
      <c r="B76" s="716"/>
      <c r="C76" s="279">
        <v>4</v>
      </c>
      <c r="D76" s="280"/>
      <c r="E76" s="281"/>
      <c r="F76" s="282"/>
      <c r="G76" s="351"/>
      <c r="H76" s="305"/>
      <c r="I76" s="306"/>
      <c r="J76" s="286"/>
      <c r="K76" s="287"/>
      <c r="L76" s="288"/>
      <c r="M76" s="322">
        <f t="shared" si="7"/>
        <v>0</v>
      </c>
      <c r="N76" s="288"/>
      <c r="O76" s="299"/>
      <c r="P76" s="300"/>
    </row>
    <row r="77" spans="1:20" ht="25" customHeight="1" thickBot="1">
      <c r="A77" s="696"/>
      <c r="B77" s="716"/>
      <c r="C77" s="279">
        <v>5</v>
      </c>
      <c r="D77" s="290"/>
      <c r="E77" s="291"/>
      <c r="F77" s="292"/>
      <c r="G77" s="351"/>
      <c r="H77" s="305"/>
      <c r="I77" s="306"/>
      <c r="J77" s="293"/>
      <c r="K77" s="248"/>
      <c r="L77" s="294"/>
      <c r="M77" s="322">
        <f t="shared" si="7"/>
        <v>0</v>
      </c>
      <c r="N77" s="288"/>
      <c r="O77" s="301"/>
      <c r="P77" s="302"/>
      <c r="R77" s="343"/>
    </row>
    <row r="78" spans="1:20" ht="15.75" customHeight="1" thickTop="1" thickBot="1">
      <c r="A78" s="697"/>
      <c r="B78" s="717"/>
      <c r="C78" s="724"/>
      <c r="D78" s="725"/>
      <c r="E78" s="725"/>
      <c r="F78" s="725"/>
      <c r="G78" s="725"/>
      <c r="H78" s="725"/>
      <c r="I78" s="726"/>
      <c r="J78" s="348" t="s">
        <v>58</v>
      </c>
      <c r="K78" s="346" t="e">
        <f>M78/'生產管理報表 7-1 (週)'!#REF!</f>
        <v>#REF!</v>
      </c>
      <c r="L78" s="349" t="s">
        <v>59</v>
      </c>
      <c r="M78" s="350">
        <f>SUM(M73:M77)</f>
        <v>10418.878100000013</v>
      </c>
      <c r="N78" s="712"/>
      <c r="O78" s="713"/>
      <c r="P78" s="714"/>
      <c r="R78" s="339"/>
    </row>
    <row r="79" spans="1:20" ht="15.75" customHeight="1" thickTop="1">
      <c r="K79" s="289" t="s">
        <v>457</v>
      </c>
      <c r="M79" s="329"/>
      <c r="R79" s="339"/>
    </row>
    <row r="80" spans="1:20" ht="25" customHeight="1">
      <c r="A80" s="685" t="s">
        <v>191</v>
      </c>
      <c r="B80" s="686"/>
      <c r="C80" s="303" t="s">
        <v>47</v>
      </c>
      <c r="D80" s="729" t="s">
        <v>12</v>
      </c>
      <c r="E80" s="730"/>
      <c r="F80" s="731"/>
      <c r="G80" s="732" t="s">
        <v>53</v>
      </c>
      <c r="H80" s="733"/>
      <c r="I80" s="734"/>
      <c r="J80" s="304" t="s">
        <v>54</v>
      </c>
      <c r="K80" s="276" t="s">
        <v>55</v>
      </c>
      <c r="L80" s="276" t="s">
        <v>56</v>
      </c>
      <c r="M80" s="330" t="s">
        <v>11</v>
      </c>
      <c r="N80" s="277" t="s">
        <v>333</v>
      </c>
      <c r="O80" s="693" t="s">
        <v>51</v>
      </c>
      <c r="P80" s="694"/>
      <c r="R80" s="339"/>
    </row>
    <row r="81" spans="1:20" ht="65.150000000000006" customHeight="1">
      <c r="A81" s="695">
        <v>6</v>
      </c>
      <c r="B81" s="715" t="s">
        <v>216</v>
      </c>
      <c r="C81" s="279">
        <v>1</v>
      </c>
      <c r="D81" s="344" t="s">
        <v>340</v>
      </c>
      <c r="E81" s="281"/>
      <c r="F81" s="282"/>
      <c r="G81" s="306" t="s">
        <v>535</v>
      </c>
      <c r="H81" s="305"/>
      <c r="I81" s="306"/>
      <c r="J81" s="312">
        <v>39.389999999999993</v>
      </c>
      <c r="K81" s="313">
        <v>1.4251984588853999E-3</v>
      </c>
      <c r="L81" s="314">
        <v>146.64999999999782</v>
      </c>
      <c r="M81" s="322">
        <f t="shared" ref="M81:M85" si="8">L81*J81</f>
        <v>5776.5434999999134</v>
      </c>
      <c r="N81" s="288"/>
      <c r="O81" s="707" t="s">
        <v>672</v>
      </c>
      <c r="P81" s="708"/>
      <c r="R81" s="336"/>
      <c r="S81" s="336"/>
    </row>
    <row r="82" spans="1:20" ht="65.150000000000006" customHeight="1">
      <c r="A82" s="696"/>
      <c r="B82" s="716"/>
      <c r="C82" s="279">
        <v>2</v>
      </c>
      <c r="D82" s="237" t="s">
        <v>464</v>
      </c>
      <c r="E82" s="281"/>
      <c r="F82" s="282"/>
      <c r="G82" s="306" t="s">
        <v>462</v>
      </c>
      <c r="H82" s="305"/>
      <c r="I82" s="306"/>
      <c r="J82" s="312">
        <v>407.74000000000007</v>
      </c>
      <c r="K82" s="313">
        <v>1.5365572580989376E-3</v>
      </c>
      <c r="L82" s="314">
        <v>12.299999999999955</v>
      </c>
      <c r="M82" s="322">
        <f t="shared" si="8"/>
        <v>5015.201999999982</v>
      </c>
      <c r="N82" s="288"/>
      <c r="O82" s="707" t="s">
        <v>538</v>
      </c>
      <c r="P82" s="708"/>
      <c r="R82" s="336"/>
      <c r="S82" s="336"/>
    </row>
    <row r="83" spans="1:20" ht="65.150000000000006" customHeight="1">
      <c r="A83" s="696"/>
      <c r="B83" s="716"/>
      <c r="C83" s="279">
        <v>3</v>
      </c>
      <c r="D83" s="237" t="s">
        <v>342</v>
      </c>
      <c r="E83" s="281"/>
      <c r="F83" s="282"/>
      <c r="G83" s="306" t="s">
        <v>460</v>
      </c>
      <c r="H83" s="305"/>
      <c r="I83" s="306"/>
      <c r="J83" s="312">
        <v>605.77999999999986</v>
      </c>
      <c r="K83" s="313">
        <v>2.4292168536120796E-3</v>
      </c>
      <c r="L83" s="314">
        <v>10.710000000000036</v>
      </c>
      <c r="M83" s="322">
        <f t="shared" si="8"/>
        <v>6487.903800000021</v>
      </c>
      <c r="N83" s="288"/>
      <c r="O83" s="707" t="s">
        <v>550</v>
      </c>
      <c r="P83" s="708"/>
      <c r="R83" s="336"/>
    </row>
    <row r="84" spans="1:20" ht="65.150000000000006" customHeight="1">
      <c r="A84" s="696"/>
      <c r="B84" s="716"/>
      <c r="C84" s="279">
        <v>4</v>
      </c>
      <c r="D84" s="237" t="s">
        <v>621</v>
      </c>
      <c r="E84" s="281"/>
      <c r="F84" s="282"/>
      <c r="G84" s="306" t="s">
        <v>626</v>
      </c>
      <c r="H84" s="305"/>
      <c r="I84" s="306"/>
      <c r="J84" s="312">
        <v>39.389999999999993</v>
      </c>
      <c r="K84" s="313">
        <v>3.3439007116117499E-3</v>
      </c>
      <c r="L84" s="314">
        <v>113.82000000000062</v>
      </c>
      <c r="M84" s="322">
        <f t="shared" si="8"/>
        <v>4483.369800000024</v>
      </c>
      <c r="N84" s="288"/>
      <c r="O84" s="707" t="s">
        <v>619</v>
      </c>
      <c r="P84" s="708"/>
      <c r="R84" s="336"/>
      <c r="S84" s="336"/>
    </row>
    <row r="85" spans="1:20" ht="65.150000000000006" customHeight="1" thickBot="1">
      <c r="A85" s="696"/>
      <c r="B85" s="716"/>
      <c r="C85" s="279">
        <v>5</v>
      </c>
      <c r="D85" s="244" t="s">
        <v>642</v>
      </c>
      <c r="E85" s="291"/>
      <c r="F85" s="292"/>
      <c r="G85" s="306" t="s">
        <v>651</v>
      </c>
      <c r="H85" s="305"/>
      <c r="I85" s="306"/>
      <c r="J85" s="316">
        <v>43.889999999999993</v>
      </c>
      <c r="K85" s="248">
        <v>9.1232031723302316E-3</v>
      </c>
      <c r="L85" s="317">
        <v>101.51999999999998</v>
      </c>
      <c r="M85" s="322">
        <f t="shared" si="8"/>
        <v>4455.7127999999984</v>
      </c>
      <c r="N85" s="288"/>
      <c r="O85" s="707" t="s">
        <v>619</v>
      </c>
      <c r="P85" s="708"/>
    </row>
    <row r="86" spans="1:20" ht="15.75" customHeight="1" thickTop="1" thickBot="1">
      <c r="A86" s="697"/>
      <c r="B86" s="717"/>
      <c r="C86" s="724"/>
      <c r="D86" s="725"/>
      <c r="E86" s="725"/>
      <c r="F86" s="725"/>
      <c r="G86" s="725"/>
      <c r="H86" s="725"/>
      <c r="I86" s="726"/>
      <c r="J86" s="348" t="s">
        <v>58</v>
      </c>
      <c r="K86" s="346" t="e">
        <f>M86/'生產管理報表 7-1 (週)'!#REF!</f>
        <v>#REF!</v>
      </c>
      <c r="L86" s="349" t="s">
        <v>59</v>
      </c>
      <c r="M86" s="350">
        <f>SUM(M81:M85)</f>
        <v>26218.731899999937</v>
      </c>
      <c r="N86" s="712"/>
      <c r="O86" s="713"/>
      <c r="P86" s="714"/>
    </row>
    <row r="87" spans="1:20" s="135" customFormat="1" ht="15.75" customHeight="1" thickTop="1">
      <c r="A87" s="644" t="s">
        <v>650</v>
      </c>
      <c r="B87" s="644"/>
      <c r="C87" s="644"/>
      <c r="D87" s="644"/>
      <c r="E87" s="644"/>
      <c r="F87" s="644"/>
      <c r="G87" s="644"/>
      <c r="H87" s="644"/>
      <c r="I87" s="644"/>
      <c r="J87" s="644"/>
      <c r="K87" s="644"/>
      <c r="L87" s="644"/>
      <c r="M87" s="644"/>
    </row>
    <row r="88" spans="1:20" s="136" customFormat="1" ht="15.75" customHeight="1">
      <c r="A88" s="680"/>
      <c r="B88" s="680"/>
      <c r="C88" s="680"/>
      <c r="D88" s="680"/>
      <c r="E88" s="680"/>
      <c r="F88" s="680"/>
      <c r="G88" s="680"/>
      <c r="H88" s="680"/>
      <c r="I88" s="680"/>
      <c r="J88" s="680"/>
      <c r="K88" s="680"/>
      <c r="L88" s="680"/>
      <c r="M88" s="680"/>
    </row>
    <row r="89" spans="1:20" s="135" customFormat="1" ht="15.75" customHeight="1">
      <c r="A89" s="681" t="s">
        <v>191</v>
      </c>
      <c r="B89" s="683">
        <v>1</v>
      </c>
      <c r="C89" s="684"/>
      <c r="D89" s="683">
        <v>2</v>
      </c>
      <c r="E89" s="684"/>
      <c r="F89" s="683">
        <v>3</v>
      </c>
      <c r="G89" s="684"/>
      <c r="H89" s="674">
        <v>4</v>
      </c>
      <c r="I89" s="675"/>
      <c r="J89" s="674">
        <v>5</v>
      </c>
      <c r="K89" s="675"/>
      <c r="L89" s="674">
        <v>6</v>
      </c>
      <c r="M89" s="675"/>
      <c r="N89" s="674">
        <v>7</v>
      </c>
      <c r="O89" s="675"/>
      <c r="P89" s="327">
        <v>8</v>
      </c>
    </row>
    <row r="90" spans="1:20" s="135" customFormat="1" ht="15.75" customHeight="1">
      <c r="A90" s="682"/>
      <c r="B90" s="678" t="s">
        <v>453</v>
      </c>
      <c r="C90" s="679"/>
      <c r="D90" s="678" t="s">
        <v>212</v>
      </c>
      <c r="E90" s="679"/>
      <c r="F90" s="678" t="s">
        <v>166</v>
      </c>
      <c r="G90" s="679"/>
      <c r="H90" s="676" t="s">
        <v>429</v>
      </c>
      <c r="I90" s="677"/>
      <c r="J90" s="676" t="s">
        <v>189</v>
      </c>
      <c r="K90" s="677"/>
      <c r="L90" s="676" t="s">
        <v>167</v>
      </c>
      <c r="M90" s="677"/>
      <c r="N90" s="676" t="s">
        <v>190</v>
      </c>
      <c r="O90" s="677"/>
      <c r="P90" s="328" t="s">
        <v>217</v>
      </c>
    </row>
    <row r="91" spans="1:20" s="135" customFormat="1" ht="15.75" customHeight="1">
      <c r="B91" s="232"/>
      <c r="C91" s="233"/>
    </row>
    <row r="92" spans="1:20" s="278" customFormat="1" ht="15.75" customHeight="1">
      <c r="A92" s="685" t="s">
        <v>191</v>
      </c>
      <c r="B92" s="686"/>
      <c r="C92" s="275" t="s">
        <v>47</v>
      </c>
      <c r="D92" s="687" t="s">
        <v>12</v>
      </c>
      <c r="E92" s="688"/>
      <c r="F92" s="689"/>
      <c r="G92" s="690" t="s">
        <v>53</v>
      </c>
      <c r="H92" s="691"/>
      <c r="I92" s="692"/>
      <c r="J92" s="276" t="s">
        <v>54</v>
      </c>
      <c r="K92" s="276" t="s">
        <v>55</v>
      </c>
      <c r="L92" s="276" t="s">
        <v>56</v>
      </c>
      <c r="M92" s="277" t="s">
        <v>11</v>
      </c>
      <c r="N92" s="277" t="s">
        <v>333</v>
      </c>
      <c r="O92" s="693" t="s">
        <v>51</v>
      </c>
      <c r="P92" s="694"/>
      <c r="R92" s="339"/>
      <c r="S92" s="340"/>
    </row>
    <row r="93" spans="1:20" s="298" customFormat="1" ht="60" customHeight="1">
      <c r="A93" s="695">
        <v>4</v>
      </c>
      <c r="B93" s="698" t="s">
        <v>429</v>
      </c>
      <c r="C93" s="279">
        <v>1</v>
      </c>
      <c r="D93" s="237" t="s">
        <v>340</v>
      </c>
      <c r="E93" s="238"/>
      <c r="F93" s="239"/>
      <c r="G93" s="306" t="s">
        <v>653</v>
      </c>
      <c r="H93" s="305"/>
      <c r="I93" s="306"/>
      <c r="J93" s="312">
        <v>144.79999999999998</v>
      </c>
      <c r="K93" s="313">
        <v>2.4719280618486494E-3</v>
      </c>
      <c r="L93" s="314">
        <v>40.75</v>
      </c>
      <c r="M93" s="322">
        <f t="shared" ref="M93:M97" si="9">L93*J93</f>
        <v>5900.5999999999995</v>
      </c>
      <c r="N93" s="314"/>
      <c r="O93" s="703" t="s">
        <v>619</v>
      </c>
      <c r="P93" s="704"/>
      <c r="R93" s="396"/>
      <c r="S93" s="340"/>
    </row>
    <row r="94" spans="1:20" s="298" customFormat="1" ht="60" customHeight="1">
      <c r="A94" s="696"/>
      <c r="B94" s="699"/>
      <c r="C94" s="279">
        <v>2</v>
      </c>
      <c r="D94" s="237" t="s">
        <v>674</v>
      </c>
      <c r="E94" s="238"/>
      <c r="F94" s="239"/>
      <c r="G94" s="306" t="s">
        <v>675</v>
      </c>
      <c r="H94" s="305"/>
      <c r="I94" s="306"/>
      <c r="J94" s="312">
        <v>655.37</v>
      </c>
      <c r="K94" s="313">
        <v>2.4661148177177921E-3</v>
      </c>
      <c r="L94" s="314">
        <v>5.7499999999998863</v>
      </c>
      <c r="M94" s="322">
        <f t="shared" si="9"/>
        <v>3768.3774999999255</v>
      </c>
      <c r="N94" s="314"/>
      <c r="O94" s="703" t="s">
        <v>716</v>
      </c>
      <c r="P94" s="704"/>
      <c r="R94" s="396"/>
      <c r="S94" s="397"/>
      <c r="T94" s="335"/>
    </row>
    <row r="95" spans="1:20" s="298" customFormat="1" ht="60" customHeight="1">
      <c r="A95" s="696"/>
      <c r="B95" s="699"/>
      <c r="C95" s="279">
        <v>3</v>
      </c>
      <c r="D95" s="237" t="s">
        <v>341</v>
      </c>
      <c r="E95" s="238"/>
      <c r="F95" s="239"/>
      <c r="G95" s="306" t="s">
        <v>547</v>
      </c>
      <c r="H95" s="305"/>
      <c r="I95" s="306"/>
      <c r="J95" s="312">
        <v>66.13</v>
      </c>
      <c r="K95" s="313">
        <v>7.4460889403510375E-3</v>
      </c>
      <c r="L95" s="314">
        <v>60.369999999999891</v>
      </c>
      <c r="M95" s="322">
        <f t="shared" si="9"/>
        <v>3992.2680999999925</v>
      </c>
      <c r="N95" s="314"/>
      <c r="O95" s="705" t="s">
        <v>618</v>
      </c>
      <c r="P95" s="706"/>
      <c r="R95" s="396"/>
      <c r="S95" s="398"/>
    </row>
    <row r="96" spans="1:20" s="298" customFormat="1" ht="60" customHeight="1">
      <c r="A96" s="696"/>
      <c r="B96" s="699"/>
      <c r="C96" s="279">
        <v>4</v>
      </c>
      <c r="D96" s="237" t="s">
        <v>459</v>
      </c>
      <c r="E96" s="238"/>
      <c r="F96" s="239"/>
      <c r="G96" s="306" t="s">
        <v>465</v>
      </c>
      <c r="H96" s="305"/>
      <c r="I96" s="306"/>
      <c r="J96" s="312">
        <v>629</v>
      </c>
      <c r="K96" s="313">
        <v>5.0778995960761679E-3</v>
      </c>
      <c r="L96" s="314">
        <v>6.6299999999999955</v>
      </c>
      <c r="M96" s="322">
        <f t="shared" si="9"/>
        <v>4170.2699999999968</v>
      </c>
      <c r="N96" s="314"/>
      <c r="O96" s="705" t="s">
        <v>550</v>
      </c>
      <c r="P96" s="706"/>
      <c r="R96" s="396"/>
      <c r="S96" s="397"/>
      <c r="T96" s="335"/>
    </row>
    <row r="97" spans="1:20" s="298" customFormat="1" ht="60" customHeight="1" thickBot="1">
      <c r="A97" s="696"/>
      <c r="B97" s="699"/>
      <c r="C97" s="279">
        <v>5</v>
      </c>
      <c r="D97" s="237" t="s">
        <v>349</v>
      </c>
      <c r="E97" s="245"/>
      <c r="F97" s="246"/>
      <c r="G97" s="351" t="s">
        <v>700</v>
      </c>
      <c r="H97" s="305"/>
      <c r="I97" s="306"/>
      <c r="J97" s="316">
        <v>99.51</v>
      </c>
      <c r="K97" s="248">
        <v>8.1615588759224918E-3</v>
      </c>
      <c r="L97" s="317">
        <v>35.980000000000018</v>
      </c>
      <c r="M97" s="322">
        <f t="shared" si="9"/>
        <v>3580.3698000000022</v>
      </c>
      <c r="N97" s="314"/>
      <c r="O97" s="705" t="s">
        <v>618</v>
      </c>
      <c r="P97" s="706"/>
      <c r="R97" s="399"/>
      <c r="S97" s="398"/>
      <c r="T97" s="289"/>
    </row>
    <row r="98" spans="1:20" ht="15.75" customHeight="1" thickTop="1" thickBot="1">
      <c r="A98" s="697"/>
      <c r="B98" s="700"/>
      <c r="C98" s="709"/>
      <c r="D98" s="710"/>
      <c r="E98" s="710"/>
      <c r="F98" s="710"/>
      <c r="G98" s="710"/>
      <c r="H98" s="710"/>
      <c r="I98" s="711"/>
      <c r="J98" s="348" t="s">
        <v>58</v>
      </c>
      <c r="K98" s="346" t="e">
        <f>M98/'生產管理報表 7-1 (週)'!#REF!</f>
        <v>#REF!</v>
      </c>
      <c r="L98" s="349" t="s">
        <v>59</v>
      </c>
      <c r="M98" s="350">
        <f>SUM(M93:M97)</f>
        <v>21411.885399999912</v>
      </c>
      <c r="N98" s="712"/>
      <c r="O98" s="713"/>
      <c r="P98" s="714"/>
      <c r="R98" s="339"/>
      <c r="S98" s="339"/>
    </row>
    <row r="99" spans="1:20" ht="15.75" customHeight="1" thickTop="1">
      <c r="M99" s="329"/>
      <c r="S99" s="340"/>
    </row>
    <row r="100" spans="1:20" ht="15.75" customHeight="1">
      <c r="A100" s="685" t="s">
        <v>191</v>
      </c>
      <c r="B100" s="686"/>
      <c r="C100" s="275" t="s">
        <v>47</v>
      </c>
      <c r="D100" s="687" t="s">
        <v>12</v>
      </c>
      <c r="E100" s="688"/>
      <c r="F100" s="689"/>
      <c r="G100" s="690" t="s">
        <v>53</v>
      </c>
      <c r="H100" s="691"/>
      <c r="I100" s="692"/>
      <c r="J100" s="380" t="s">
        <v>54</v>
      </c>
      <c r="K100" s="276" t="s">
        <v>55</v>
      </c>
      <c r="L100" s="276" t="s">
        <v>56</v>
      </c>
      <c r="M100" s="330" t="s">
        <v>11</v>
      </c>
      <c r="N100" s="277" t="s">
        <v>333</v>
      </c>
      <c r="O100" s="693" t="s">
        <v>51</v>
      </c>
      <c r="P100" s="694"/>
      <c r="S100" s="339"/>
      <c r="T100" s="335"/>
    </row>
    <row r="101" spans="1:20" s="298" customFormat="1" ht="60" customHeight="1">
      <c r="A101" s="695">
        <v>5</v>
      </c>
      <c r="B101" s="715" t="s">
        <v>215</v>
      </c>
      <c r="C101" s="279">
        <v>1</v>
      </c>
      <c r="D101" s="237" t="s">
        <v>340</v>
      </c>
      <c r="E101" s="238"/>
      <c r="F101" s="239"/>
      <c r="G101" s="306" t="s">
        <v>336</v>
      </c>
      <c r="H101" s="305"/>
      <c r="I101" s="306"/>
      <c r="J101" s="312">
        <v>147.43000000000004</v>
      </c>
      <c r="K101" s="313">
        <v>2.3366535417722505E-3</v>
      </c>
      <c r="L101" s="314">
        <v>65.300000000000182</v>
      </c>
      <c r="M101" s="322">
        <f>L101*J101</f>
        <v>9627.1790000000292</v>
      </c>
      <c r="N101" s="314"/>
      <c r="O101" s="770" t="s">
        <v>530</v>
      </c>
      <c r="P101" s="771"/>
      <c r="S101" s="398"/>
      <c r="T101" s="335"/>
    </row>
    <row r="102" spans="1:20" s="298" customFormat="1" ht="25" customHeight="1">
      <c r="A102" s="696"/>
      <c r="B102" s="716"/>
      <c r="C102" s="279">
        <v>2</v>
      </c>
      <c r="D102" s="237"/>
      <c r="E102" s="238"/>
      <c r="F102" s="239"/>
      <c r="G102" s="351"/>
      <c r="H102" s="305"/>
      <c r="I102" s="306"/>
      <c r="J102" s="312"/>
      <c r="K102" s="313"/>
      <c r="L102" s="314"/>
      <c r="M102" s="322">
        <f t="shared" ref="M102:M105" si="10">L102*J102</f>
        <v>0</v>
      </c>
      <c r="N102" s="314"/>
      <c r="O102" s="720"/>
      <c r="P102" s="721"/>
      <c r="S102" s="339"/>
      <c r="T102" s="336"/>
    </row>
    <row r="103" spans="1:20" ht="25" customHeight="1">
      <c r="A103" s="696"/>
      <c r="B103" s="716"/>
      <c r="C103" s="279">
        <v>3</v>
      </c>
      <c r="D103" s="237"/>
      <c r="E103" s="238"/>
      <c r="F103" s="239"/>
      <c r="G103" s="351"/>
      <c r="H103" s="305"/>
      <c r="I103" s="306"/>
      <c r="J103" s="312"/>
      <c r="K103" s="313"/>
      <c r="L103" s="314"/>
      <c r="M103" s="322">
        <f t="shared" si="10"/>
        <v>0</v>
      </c>
      <c r="N103" s="288"/>
      <c r="O103" s="742"/>
      <c r="P103" s="743"/>
    </row>
    <row r="104" spans="1:20" ht="25" customHeight="1">
      <c r="A104" s="696"/>
      <c r="B104" s="716"/>
      <c r="C104" s="279">
        <v>4</v>
      </c>
      <c r="D104" s="280"/>
      <c r="E104" s="281"/>
      <c r="F104" s="282"/>
      <c r="G104" s="351"/>
      <c r="H104" s="305"/>
      <c r="I104" s="306"/>
      <c r="J104" s="286"/>
      <c r="K104" s="287"/>
      <c r="L104" s="288"/>
      <c r="M104" s="322">
        <f t="shared" si="10"/>
        <v>0</v>
      </c>
      <c r="N104" s="288"/>
      <c r="O104" s="299"/>
      <c r="P104" s="300"/>
    </row>
    <row r="105" spans="1:20" ht="25" customHeight="1" thickBot="1">
      <c r="A105" s="696"/>
      <c r="B105" s="716"/>
      <c r="C105" s="279">
        <v>5</v>
      </c>
      <c r="D105" s="290"/>
      <c r="E105" s="291"/>
      <c r="F105" s="292"/>
      <c r="G105" s="351"/>
      <c r="H105" s="305"/>
      <c r="I105" s="306"/>
      <c r="J105" s="293"/>
      <c r="K105" s="248"/>
      <c r="L105" s="294"/>
      <c r="M105" s="322">
        <f t="shared" si="10"/>
        <v>0</v>
      </c>
      <c r="N105" s="288"/>
      <c r="O105" s="301"/>
      <c r="P105" s="302"/>
      <c r="R105" s="343"/>
    </row>
    <row r="106" spans="1:20" ht="15.75" customHeight="1" thickTop="1" thickBot="1">
      <c r="A106" s="697"/>
      <c r="B106" s="717"/>
      <c r="C106" s="724"/>
      <c r="D106" s="725"/>
      <c r="E106" s="725"/>
      <c r="F106" s="725"/>
      <c r="G106" s="725"/>
      <c r="H106" s="725"/>
      <c r="I106" s="726"/>
      <c r="J106" s="348" t="s">
        <v>58</v>
      </c>
      <c r="K106" s="346" t="e">
        <f>M106/'生產管理報表 7-1 (週)'!#REF!</f>
        <v>#REF!</v>
      </c>
      <c r="L106" s="349" t="s">
        <v>59</v>
      </c>
      <c r="M106" s="350">
        <f>SUM(M101:M105)</f>
        <v>9627.1790000000292</v>
      </c>
      <c r="N106" s="712"/>
      <c r="O106" s="713"/>
      <c r="P106" s="714"/>
      <c r="R106" s="339"/>
    </row>
    <row r="107" spans="1:20" ht="15.75" customHeight="1" thickTop="1">
      <c r="K107" s="289" t="s">
        <v>457</v>
      </c>
      <c r="M107" s="329"/>
      <c r="R107" s="339"/>
    </row>
    <row r="108" spans="1:20" ht="25" customHeight="1">
      <c r="A108" s="685" t="s">
        <v>191</v>
      </c>
      <c r="B108" s="686"/>
      <c r="C108" s="303" t="s">
        <v>47</v>
      </c>
      <c r="D108" s="729" t="s">
        <v>12</v>
      </c>
      <c r="E108" s="730"/>
      <c r="F108" s="731"/>
      <c r="G108" s="732" t="s">
        <v>53</v>
      </c>
      <c r="H108" s="733"/>
      <c r="I108" s="734"/>
      <c r="J108" s="304" t="s">
        <v>54</v>
      </c>
      <c r="K108" s="276" t="s">
        <v>55</v>
      </c>
      <c r="L108" s="276" t="s">
        <v>56</v>
      </c>
      <c r="M108" s="330" t="s">
        <v>11</v>
      </c>
      <c r="N108" s="277" t="s">
        <v>333</v>
      </c>
      <c r="O108" s="693" t="s">
        <v>51</v>
      </c>
      <c r="P108" s="694"/>
      <c r="R108" s="339"/>
    </row>
    <row r="109" spans="1:20" ht="60" customHeight="1">
      <c r="A109" s="695">
        <v>6</v>
      </c>
      <c r="B109" s="715" t="s">
        <v>216</v>
      </c>
      <c r="C109" s="279">
        <v>1</v>
      </c>
      <c r="D109" s="344" t="s">
        <v>340</v>
      </c>
      <c r="E109" s="281"/>
      <c r="F109" s="282"/>
      <c r="G109" s="306" t="s">
        <v>535</v>
      </c>
      <c r="H109" s="305"/>
      <c r="I109" s="306"/>
      <c r="J109" s="312">
        <v>39.389999999999993</v>
      </c>
      <c r="K109" s="313">
        <v>1.3334732657130689E-3</v>
      </c>
      <c r="L109" s="314">
        <v>157.13999999999942</v>
      </c>
      <c r="M109" s="322">
        <f t="shared" ref="M109:M113" si="11">L109*J109</f>
        <v>6189.7445999999763</v>
      </c>
      <c r="N109" s="288"/>
      <c r="O109" s="707" t="s">
        <v>717</v>
      </c>
      <c r="P109" s="708"/>
      <c r="R109" s="336"/>
      <c r="S109" s="336"/>
    </row>
    <row r="110" spans="1:20" ht="60" customHeight="1">
      <c r="A110" s="696"/>
      <c r="B110" s="716"/>
      <c r="C110" s="279">
        <v>2</v>
      </c>
      <c r="D110" s="237" t="s">
        <v>464</v>
      </c>
      <c r="E110" s="281"/>
      <c r="F110" s="282"/>
      <c r="G110" s="306" t="s">
        <v>462</v>
      </c>
      <c r="H110" s="305"/>
      <c r="I110" s="306"/>
      <c r="J110" s="312">
        <v>407.74000000000007</v>
      </c>
      <c r="K110" s="313">
        <v>2.9414506323083137E-3</v>
      </c>
      <c r="L110" s="314">
        <v>11.600000000000023</v>
      </c>
      <c r="M110" s="322">
        <f t="shared" si="11"/>
        <v>4729.7840000000097</v>
      </c>
      <c r="N110" s="288"/>
      <c r="O110" s="707" t="s">
        <v>538</v>
      </c>
      <c r="P110" s="708"/>
      <c r="R110" s="336"/>
      <c r="S110" s="336"/>
    </row>
    <row r="111" spans="1:20" ht="60" customHeight="1">
      <c r="A111" s="696"/>
      <c r="B111" s="716"/>
      <c r="C111" s="279">
        <v>3</v>
      </c>
      <c r="D111" s="237" t="s">
        <v>342</v>
      </c>
      <c r="E111" s="281"/>
      <c r="F111" s="282"/>
      <c r="G111" s="306" t="s">
        <v>460</v>
      </c>
      <c r="H111" s="305"/>
      <c r="I111" s="306"/>
      <c r="J111" s="312">
        <v>605.77999999999986</v>
      </c>
      <c r="K111" s="313">
        <v>1.8086135218980395E-3</v>
      </c>
      <c r="L111" s="314">
        <v>5.9200000000000728</v>
      </c>
      <c r="M111" s="322">
        <f t="shared" si="11"/>
        <v>3586.2176000000431</v>
      </c>
      <c r="N111" s="288"/>
      <c r="O111" s="707" t="s">
        <v>550</v>
      </c>
      <c r="P111" s="708"/>
      <c r="R111" s="336"/>
    </row>
    <row r="112" spans="1:20" ht="60" customHeight="1">
      <c r="A112" s="696"/>
      <c r="B112" s="716"/>
      <c r="C112" s="279">
        <v>4</v>
      </c>
      <c r="D112" s="237" t="s">
        <v>534</v>
      </c>
      <c r="E112" s="281"/>
      <c r="F112" s="282"/>
      <c r="G112" s="306" t="s">
        <v>570</v>
      </c>
      <c r="H112" s="305"/>
      <c r="I112" s="306"/>
      <c r="J112" s="312">
        <v>40.04</v>
      </c>
      <c r="K112" s="313">
        <v>8.3802888331602019E-3</v>
      </c>
      <c r="L112" s="314">
        <v>95.940000000000055</v>
      </c>
      <c r="M112" s="322">
        <f t="shared" si="11"/>
        <v>3841.437600000002</v>
      </c>
      <c r="N112" s="288"/>
      <c r="O112" s="707" t="s">
        <v>717</v>
      </c>
      <c r="P112" s="708"/>
      <c r="R112" s="336"/>
      <c r="S112" s="336"/>
    </row>
    <row r="113" spans="1:21" ht="60" customHeight="1" thickBot="1">
      <c r="A113" s="696"/>
      <c r="B113" s="716"/>
      <c r="C113" s="279">
        <v>5</v>
      </c>
      <c r="D113" s="244" t="s">
        <v>601</v>
      </c>
      <c r="E113" s="291"/>
      <c r="F113" s="292"/>
      <c r="G113" s="306" t="s">
        <v>605</v>
      </c>
      <c r="H113" s="305"/>
      <c r="I113" s="306"/>
      <c r="J113" s="316">
        <v>46.149999999999991</v>
      </c>
      <c r="K113" s="248">
        <v>1.0605552546278384E-2</v>
      </c>
      <c r="L113" s="317">
        <v>76.070000000000164</v>
      </c>
      <c r="M113" s="322">
        <f t="shared" si="11"/>
        <v>3510.630500000007</v>
      </c>
      <c r="N113" s="288"/>
      <c r="O113" s="707" t="s">
        <v>717</v>
      </c>
      <c r="P113" s="708"/>
    </row>
    <row r="114" spans="1:21" ht="15.75" customHeight="1" thickTop="1" thickBot="1">
      <c r="A114" s="697"/>
      <c r="B114" s="717"/>
      <c r="C114" s="724"/>
      <c r="D114" s="725"/>
      <c r="E114" s="725"/>
      <c r="F114" s="725"/>
      <c r="G114" s="725"/>
      <c r="H114" s="725"/>
      <c r="I114" s="726"/>
      <c r="J114" s="348" t="s">
        <v>58</v>
      </c>
      <c r="K114" s="346" t="e">
        <f>M114/'生產管理報表 7-1 (週)'!#REF!</f>
        <v>#REF!</v>
      </c>
      <c r="L114" s="349" t="s">
        <v>59</v>
      </c>
      <c r="M114" s="350">
        <f>SUM(M109:M113)</f>
        <v>21857.814300000038</v>
      </c>
      <c r="N114" s="712"/>
      <c r="O114" s="713"/>
      <c r="P114" s="714"/>
    </row>
    <row r="115" spans="1:21" s="135" customFormat="1" ht="15.75" customHeight="1" thickTop="1">
      <c r="A115" s="805" t="s">
        <v>646</v>
      </c>
      <c r="B115" s="805"/>
      <c r="C115" s="805"/>
      <c r="D115" s="805"/>
      <c r="E115" s="805"/>
      <c r="F115" s="805"/>
      <c r="G115" s="805"/>
      <c r="H115" s="805"/>
      <c r="I115" s="805"/>
      <c r="J115" s="805"/>
      <c r="K115" s="805"/>
      <c r="L115" s="805"/>
      <c r="M115" s="805"/>
      <c r="R115" s="231"/>
      <c r="S115" s="231"/>
      <c r="T115" s="231"/>
      <c r="U115" s="231"/>
    </row>
    <row r="116" spans="1:21" s="136" customFormat="1" ht="15.75" customHeight="1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</row>
    <row r="117" spans="1:21" s="135" customFormat="1" ht="15.75" customHeight="1">
      <c r="A117" s="681" t="s">
        <v>191</v>
      </c>
      <c r="B117" s="683">
        <v>1</v>
      </c>
      <c r="C117" s="684"/>
      <c r="D117" s="683">
        <v>2</v>
      </c>
      <c r="E117" s="684"/>
      <c r="F117" s="683">
        <v>3</v>
      </c>
      <c r="G117" s="684"/>
      <c r="H117" s="674">
        <v>4</v>
      </c>
      <c r="I117" s="675"/>
      <c r="J117" s="674">
        <v>5</v>
      </c>
      <c r="K117" s="675"/>
      <c r="L117" s="674">
        <v>6</v>
      </c>
      <c r="M117" s="675"/>
      <c r="N117" s="674">
        <v>7</v>
      </c>
      <c r="O117" s="675"/>
      <c r="P117" s="327">
        <v>8</v>
      </c>
    </row>
    <row r="118" spans="1:21" s="135" customFormat="1" ht="15.75" customHeight="1">
      <c r="A118" s="682"/>
      <c r="B118" s="678" t="s">
        <v>453</v>
      </c>
      <c r="C118" s="679"/>
      <c r="D118" s="678" t="s">
        <v>212</v>
      </c>
      <c r="E118" s="679"/>
      <c r="F118" s="678" t="s">
        <v>166</v>
      </c>
      <c r="G118" s="679"/>
      <c r="H118" s="676" t="s">
        <v>429</v>
      </c>
      <c r="I118" s="677"/>
      <c r="J118" s="676" t="s">
        <v>189</v>
      </c>
      <c r="K118" s="677"/>
      <c r="L118" s="676" t="s">
        <v>167</v>
      </c>
      <c r="M118" s="677"/>
      <c r="N118" s="676" t="s">
        <v>190</v>
      </c>
      <c r="O118" s="677"/>
      <c r="P118" s="328" t="s">
        <v>217</v>
      </c>
    </row>
    <row r="119" spans="1:21" s="135" customFormat="1" ht="15.75" customHeight="1">
      <c r="B119" s="232"/>
      <c r="C119" s="233"/>
    </row>
    <row r="120" spans="1:21" s="278" customFormat="1" ht="15.75" customHeight="1">
      <c r="A120" s="685" t="s">
        <v>191</v>
      </c>
      <c r="B120" s="686"/>
      <c r="C120" s="275" t="s">
        <v>47</v>
      </c>
      <c r="D120" s="687" t="s">
        <v>12</v>
      </c>
      <c r="E120" s="688"/>
      <c r="F120" s="689"/>
      <c r="G120" s="690" t="s">
        <v>53</v>
      </c>
      <c r="H120" s="691"/>
      <c r="I120" s="692"/>
      <c r="J120" s="276" t="s">
        <v>54</v>
      </c>
      <c r="K120" s="276" t="s">
        <v>55</v>
      </c>
      <c r="L120" s="276" t="s">
        <v>56</v>
      </c>
      <c r="M120" s="277" t="s">
        <v>11</v>
      </c>
      <c r="N120" s="277" t="s">
        <v>333</v>
      </c>
      <c r="O120" s="693" t="s">
        <v>51</v>
      </c>
      <c r="P120" s="694"/>
      <c r="R120" s="339"/>
      <c r="S120" s="340"/>
    </row>
    <row r="121" spans="1:21" s="298" customFormat="1" ht="60" customHeight="1">
      <c r="A121" s="695">
        <v>4</v>
      </c>
      <c r="B121" s="698" t="s">
        <v>429</v>
      </c>
      <c r="C121" s="279">
        <v>1</v>
      </c>
      <c r="D121" s="237" t="s">
        <v>340</v>
      </c>
      <c r="E121" s="238"/>
      <c r="F121" s="239"/>
      <c r="G121" s="306" t="s">
        <v>653</v>
      </c>
      <c r="H121" s="305"/>
      <c r="I121" s="306"/>
      <c r="J121" s="312">
        <v>144.79999999999998</v>
      </c>
      <c r="K121" s="313">
        <v>3.1903366195932146E-3</v>
      </c>
      <c r="L121" s="314">
        <v>56.670000000000073</v>
      </c>
      <c r="M121" s="322">
        <f t="shared" ref="M121:M125" si="12">L121*J121</f>
        <v>8205.8160000000098</v>
      </c>
      <c r="N121" s="314"/>
      <c r="O121" s="703" t="s">
        <v>619</v>
      </c>
      <c r="P121" s="704"/>
      <c r="R121" s="396"/>
      <c r="S121" s="340"/>
    </row>
    <row r="122" spans="1:21" s="298" customFormat="1" ht="60" customHeight="1">
      <c r="A122" s="696"/>
      <c r="B122" s="699"/>
      <c r="C122" s="279">
        <v>2</v>
      </c>
      <c r="D122" s="237" t="s">
        <v>341</v>
      </c>
      <c r="E122" s="238"/>
      <c r="F122" s="239"/>
      <c r="G122" s="306" t="s">
        <v>547</v>
      </c>
      <c r="H122" s="305"/>
      <c r="I122" s="306"/>
      <c r="J122" s="312">
        <v>66.13</v>
      </c>
      <c r="K122" s="313">
        <v>8.0889892388478629E-3</v>
      </c>
      <c r="L122" s="314">
        <v>56.990000000000009</v>
      </c>
      <c r="M122" s="322">
        <f t="shared" si="12"/>
        <v>3768.7487000000006</v>
      </c>
      <c r="N122" s="314"/>
      <c r="O122" s="703" t="s">
        <v>618</v>
      </c>
      <c r="P122" s="704"/>
      <c r="R122" s="396"/>
      <c r="S122" s="397"/>
      <c r="T122" s="335"/>
    </row>
    <row r="123" spans="1:21" s="298" customFormat="1" ht="60" customHeight="1">
      <c r="A123" s="696"/>
      <c r="B123" s="699"/>
      <c r="C123" s="279">
        <v>3</v>
      </c>
      <c r="D123" s="237" t="s">
        <v>472</v>
      </c>
      <c r="E123" s="238"/>
      <c r="F123" s="239"/>
      <c r="G123" s="306" t="s">
        <v>471</v>
      </c>
      <c r="H123" s="305"/>
      <c r="I123" s="306"/>
      <c r="J123" s="312">
        <v>266.27999999999997</v>
      </c>
      <c r="K123" s="313">
        <v>2.6013905904440663E-3</v>
      </c>
      <c r="L123" s="314">
        <v>14</v>
      </c>
      <c r="M123" s="322">
        <f t="shared" si="12"/>
        <v>3727.9199999999996</v>
      </c>
      <c r="N123" s="314"/>
      <c r="O123" s="705" t="s">
        <v>716</v>
      </c>
      <c r="P123" s="706"/>
      <c r="R123" s="396"/>
      <c r="S123" s="398"/>
    </row>
    <row r="124" spans="1:21" s="298" customFormat="1" ht="60" customHeight="1">
      <c r="A124" s="696"/>
      <c r="B124" s="699"/>
      <c r="C124" s="279">
        <v>4</v>
      </c>
      <c r="D124" s="237" t="s">
        <v>434</v>
      </c>
      <c r="E124" s="238"/>
      <c r="F124" s="239"/>
      <c r="G124" s="306" t="s">
        <v>433</v>
      </c>
      <c r="H124" s="305"/>
      <c r="I124" s="306"/>
      <c r="J124" s="312">
        <v>368.13999999999993</v>
      </c>
      <c r="K124" s="313">
        <v>6.6012146234907219E-3</v>
      </c>
      <c r="L124" s="314">
        <v>10.360000000000014</v>
      </c>
      <c r="M124" s="322">
        <f t="shared" si="12"/>
        <v>3813.9304000000043</v>
      </c>
      <c r="N124" s="314"/>
      <c r="O124" s="705" t="s">
        <v>802</v>
      </c>
      <c r="P124" s="706"/>
      <c r="R124" s="396"/>
      <c r="S124" s="397"/>
      <c r="T124" s="335"/>
    </row>
    <row r="125" spans="1:21" s="298" customFormat="1" ht="60" customHeight="1" thickBot="1">
      <c r="A125" s="696"/>
      <c r="B125" s="699"/>
      <c r="C125" s="279">
        <v>5</v>
      </c>
      <c r="D125" s="237" t="s">
        <v>340</v>
      </c>
      <c r="E125" s="245"/>
      <c r="F125" s="246"/>
      <c r="G125" s="306" t="s">
        <v>386</v>
      </c>
      <c r="H125" s="305"/>
      <c r="I125" s="306"/>
      <c r="J125" s="316">
        <v>127.84000000000002</v>
      </c>
      <c r="K125" s="248">
        <v>2.2888779118390742E-3</v>
      </c>
      <c r="L125" s="317">
        <v>40.179999999999836</v>
      </c>
      <c r="M125" s="322">
        <f t="shared" si="12"/>
        <v>5136.6111999999794</v>
      </c>
      <c r="N125" s="314"/>
      <c r="O125" s="705" t="s">
        <v>803</v>
      </c>
      <c r="P125" s="706"/>
      <c r="R125" s="399"/>
      <c r="S125" s="398"/>
      <c r="T125" s="289"/>
    </row>
    <row r="126" spans="1:21" ht="15.75" customHeight="1" thickTop="1" thickBot="1">
      <c r="A126" s="697"/>
      <c r="B126" s="700"/>
      <c r="C126" s="709"/>
      <c r="D126" s="710"/>
      <c r="E126" s="710"/>
      <c r="F126" s="710"/>
      <c r="G126" s="710"/>
      <c r="H126" s="710"/>
      <c r="I126" s="711"/>
      <c r="J126" s="348" t="s">
        <v>58</v>
      </c>
      <c r="K126" s="346" t="e">
        <f>M126/'生產管理報表 7-1 (週)'!#REF!</f>
        <v>#REF!</v>
      </c>
      <c r="L126" s="349" t="s">
        <v>59</v>
      </c>
      <c r="M126" s="350">
        <f>SUM(M121:M125)</f>
        <v>24653.02629999999</v>
      </c>
      <c r="N126" s="712"/>
      <c r="O126" s="713"/>
      <c r="P126" s="714"/>
      <c r="R126" s="339"/>
      <c r="S126" s="339"/>
    </row>
    <row r="127" spans="1:21" ht="15.75" customHeight="1" thickTop="1">
      <c r="M127" s="329"/>
      <c r="S127" s="340"/>
    </row>
    <row r="128" spans="1:21" ht="15.75" customHeight="1">
      <c r="A128" s="685" t="s">
        <v>191</v>
      </c>
      <c r="B128" s="686"/>
      <c r="C128" s="275" t="s">
        <v>47</v>
      </c>
      <c r="D128" s="687" t="s">
        <v>12</v>
      </c>
      <c r="E128" s="688"/>
      <c r="F128" s="689"/>
      <c r="G128" s="690" t="s">
        <v>53</v>
      </c>
      <c r="H128" s="691"/>
      <c r="I128" s="692"/>
      <c r="J128" s="380" t="s">
        <v>54</v>
      </c>
      <c r="K128" s="276" t="s">
        <v>55</v>
      </c>
      <c r="L128" s="276" t="s">
        <v>56</v>
      </c>
      <c r="M128" s="330" t="s">
        <v>11</v>
      </c>
      <c r="N128" s="277" t="s">
        <v>333</v>
      </c>
      <c r="O128" s="693" t="s">
        <v>51</v>
      </c>
      <c r="P128" s="694"/>
      <c r="S128" s="339"/>
      <c r="T128" s="335"/>
    </row>
    <row r="129" spans="1:21" s="298" customFormat="1" ht="60" customHeight="1">
      <c r="A129" s="695">
        <v>5</v>
      </c>
      <c r="B129" s="715" t="s">
        <v>215</v>
      </c>
      <c r="C129" s="279">
        <v>1</v>
      </c>
      <c r="D129" s="237" t="s">
        <v>340</v>
      </c>
      <c r="E129" s="238"/>
      <c r="F129" s="239"/>
      <c r="G129" s="306" t="s">
        <v>336</v>
      </c>
      <c r="H129" s="305"/>
      <c r="I129" s="306"/>
      <c r="J129" s="312">
        <v>147.43000000000004</v>
      </c>
      <c r="K129" s="313">
        <v>2.0165793177023142E-3</v>
      </c>
      <c r="L129" s="314">
        <v>84.649999999999636</v>
      </c>
      <c r="M129" s="322">
        <f>L129*J129</f>
        <v>12479.94949999995</v>
      </c>
      <c r="N129" s="314"/>
      <c r="O129" s="770" t="s">
        <v>530</v>
      </c>
      <c r="P129" s="771"/>
      <c r="S129" s="398"/>
      <c r="T129" s="335"/>
    </row>
    <row r="130" spans="1:21" s="298" customFormat="1" ht="25" customHeight="1">
      <c r="A130" s="696"/>
      <c r="B130" s="716"/>
      <c r="C130" s="279">
        <v>2</v>
      </c>
      <c r="D130" s="237"/>
      <c r="E130" s="238"/>
      <c r="F130" s="239"/>
      <c r="G130" s="351"/>
      <c r="H130" s="305"/>
      <c r="I130" s="306"/>
      <c r="J130" s="312"/>
      <c r="K130" s="313"/>
      <c r="L130" s="314"/>
      <c r="M130" s="322">
        <f t="shared" ref="M130:M133" si="13">L130*J130</f>
        <v>0</v>
      </c>
      <c r="N130" s="314"/>
      <c r="O130" s="720"/>
      <c r="P130" s="721"/>
      <c r="S130" s="339"/>
      <c r="T130" s="336"/>
    </row>
    <row r="131" spans="1:21" ht="25" customHeight="1">
      <c r="A131" s="696"/>
      <c r="B131" s="716"/>
      <c r="C131" s="279">
        <v>3</v>
      </c>
      <c r="D131" s="237"/>
      <c r="E131" s="238"/>
      <c r="F131" s="239"/>
      <c r="G131" s="351"/>
      <c r="H131" s="305"/>
      <c r="I131" s="306"/>
      <c r="J131" s="312"/>
      <c r="K131" s="313"/>
      <c r="L131" s="314"/>
      <c r="M131" s="322">
        <f t="shared" si="13"/>
        <v>0</v>
      </c>
      <c r="N131" s="288"/>
      <c r="O131" s="742"/>
      <c r="P131" s="743"/>
    </row>
    <row r="132" spans="1:21" ht="25" customHeight="1">
      <c r="A132" s="696"/>
      <c r="B132" s="716"/>
      <c r="C132" s="279">
        <v>4</v>
      </c>
      <c r="D132" s="280"/>
      <c r="E132" s="281"/>
      <c r="F132" s="282"/>
      <c r="G132" s="351"/>
      <c r="H132" s="305"/>
      <c r="I132" s="306"/>
      <c r="J132" s="286"/>
      <c r="K132" s="287"/>
      <c r="L132" s="288"/>
      <c r="M132" s="322">
        <f t="shared" si="13"/>
        <v>0</v>
      </c>
      <c r="N132" s="288"/>
      <c r="O132" s="299"/>
      <c r="P132" s="300"/>
    </row>
    <row r="133" spans="1:21" ht="25" customHeight="1" thickBot="1">
      <c r="A133" s="696"/>
      <c r="B133" s="716"/>
      <c r="C133" s="279">
        <v>5</v>
      </c>
      <c r="D133" s="290"/>
      <c r="E133" s="291"/>
      <c r="F133" s="292"/>
      <c r="G133" s="351"/>
      <c r="H133" s="305"/>
      <c r="I133" s="306"/>
      <c r="J133" s="293"/>
      <c r="K133" s="248"/>
      <c r="L133" s="294"/>
      <c r="M133" s="322">
        <f t="shared" si="13"/>
        <v>0</v>
      </c>
      <c r="N133" s="288"/>
      <c r="O133" s="301"/>
      <c r="P133" s="302"/>
      <c r="R133" s="343"/>
    </row>
    <row r="134" spans="1:21" ht="15.75" customHeight="1" thickTop="1" thickBot="1">
      <c r="A134" s="697"/>
      <c r="B134" s="717"/>
      <c r="C134" s="724"/>
      <c r="D134" s="725"/>
      <c r="E134" s="725"/>
      <c r="F134" s="725"/>
      <c r="G134" s="725"/>
      <c r="H134" s="725"/>
      <c r="I134" s="726"/>
      <c r="J134" s="348" t="s">
        <v>58</v>
      </c>
      <c r="K134" s="346" t="e">
        <f>M134/'生產管理報表 7-1 (週)'!#REF!</f>
        <v>#REF!</v>
      </c>
      <c r="L134" s="349" t="s">
        <v>59</v>
      </c>
      <c r="M134" s="350">
        <f>SUM(M129:M133)</f>
        <v>12479.94949999995</v>
      </c>
      <c r="N134" s="712"/>
      <c r="O134" s="713"/>
      <c r="P134" s="714"/>
      <c r="R134" s="339"/>
    </row>
    <row r="135" spans="1:21" ht="15.75" customHeight="1" thickTop="1">
      <c r="K135" s="289" t="s">
        <v>457</v>
      </c>
      <c r="M135" s="329"/>
      <c r="R135" s="339"/>
    </row>
    <row r="136" spans="1:21" ht="25" customHeight="1">
      <c r="A136" s="685" t="s">
        <v>191</v>
      </c>
      <c r="B136" s="686"/>
      <c r="C136" s="303" t="s">
        <v>47</v>
      </c>
      <c r="D136" s="729" t="s">
        <v>12</v>
      </c>
      <c r="E136" s="730"/>
      <c r="F136" s="731"/>
      <c r="G136" s="732" t="s">
        <v>53</v>
      </c>
      <c r="H136" s="733"/>
      <c r="I136" s="734"/>
      <c r="J136" s="304" t="s">
        <v>54</v>
      </c>
      <c r="K136" s="276" t="s">
        <v>55</v>
      </c>
      <c r="L136" s="276" t="s">
        <v>56</v>
      </c>
      <c r="M136" s="330" t="s">
        <v>11</v>
      </c>
      <c r="N136" s="277" t="s">
        <v>333</v>
      </c>
      <c r="O136" s="693" t="s">
        <v>51</v>
      </c>
      <c r="P136" s="694"/>
      <c r="R136" s="339"/>
    </row>
    <row r="137" spans="1:21" ht="55" customHeight="1">
      <c r="A137" s="695">
        <v>6</v>
      </c>
      <c r="B137" s="715" t="s">
        <v>216</v>
      </c>
      <c r="C137" s="279">
        <v>1</v>
      </c>
      <c r="D137" s="344" t="s">
        <v>340</v>
      </c>
      <c r="E137" s="281"/>
      <c r="F137" s="282"/>
      <c r="G137" s="306" t="s">
        <v>535</v>
      </c>
      <c r="H137" s="305"/>
      <c r="I137" s="306"/>
      <c r="J137" s="312">
        <v>39.389999999999993</v>
      </c>
      <c r="K137" s="313">
        <v>1.0263951028499424E-3</v>
      </c>
      <c r="L137" s="314">
        <v>193.41000000000349</v>
      </c>
      <c r="M137" s="322">
        <f t="shared" ref="M137:M141" si="14">L137*J137</f>
        <v>7618.4199000001363</v>
      </c>
      <c r="N137" s="288"/>
      <c r="O137" s="707" t="s">
        <v>768</v>
      </c>
      <c r="P137" s="708"/>
      <c r="R137" s="336"/>
      <c r="S137" s="336"/>
    </row>
    <row r="138" spans="1:21" ht="55" customHeight="1">
      <c r="A138" s="696"/>
      <c r="B138" s="716"/>
      <c r="C138" s="279">
        <v>2</v>
      </c>
      <c r="D138" s="237" t="s">
        <v>464</v>
      </c>
      <c r="E138" s="281"/>
      <c r="F138" s="282"/>
      <c r="G138" s="306" t="s">
        <v>462</v>
      </c>
      <c r="H138" s="305"/>
      <c r="I138" s="306"/>
      <c r="J138" s="312">
        <v>407.74000000000007</v>
      </c>
      <c r="K138" s="313">
        <v>2.3859310492734976E-3</v>
      </c>
      <c r="L138" s="314">
        <v>11.6400000000001</v>
      </c>
      <c r="M138" s="322">
        <f t="shared" si="14"/>
        <v>4746.093600000042</v>
      </c>
      <c r="N138" s="288"/>
      <c r="O138" s="707" t="s">
        <v>538</v>
      </c>
      <c r="P138" s="708"/>
      <c r="R138" s="336"/>
      <c r="S138" s="336"/>
    </row>
    <row r="139" spans="1:21" ht="55" customHeight="1">
      <c r="A139" s="696"/>
      <c r="B139" s="716"/>
      <c r="C139" s="279">
        <v>3</v>
      </c>
      <c r="D139" s="237" t="s">
        <v>545</v>
      </c>
      <c r="E139" s="281"/>
      <c r="F139" s="282"/>
      <c r="G139" s="306" t="s">
        <v>546</v>
      </c>
      <c r="H139" s="305"/>
      <c r="I139" s="306"/>
      <c r="J139" s="312">
        <v>62.43</v>
      </c>
      <c r="K139" s="313">
        <v>1.1313655643328079E-2</v>
      </c>
      <c r="L139" s="314">
        <v>61.380000000000109</v>
      </c>
      <c r="M139" s="322">
        <f t="shared" si="14"/>
        <v>3831.9534000000067</v>
      </c>
      <c r="N139" s="288"/>
      <c r="O139" s="707" t="s">
        <v>717</v>
      </c>
      <c r="P139" s="708"/>
      <c r="R139" s="336"/>
    </row>
    <row r="140" spans="1:21" ht="55" customHeight="1">
      <c r="A140" s="696"/>
      <c r="B140" s="716"/>
      <c r="C140" s="279">
        <v>4</v>
      </c>
      <c r="D140" s="237" t="s">
        <v>621</v>
      </c>
      <c r="E140" s="281"/>
      <c r="F140" s="282"/>
      <c r="G140" s="306" t="s">
        <v>626</v>
      </c>
      <c r="H140" s="305"/>
      <c r="I140" s="306"/>
      <c r="J140" s="312">
        <v>39.389999999999993</v>
      </c>
      <c r="K140" s="313">
        <v>4.5630035610553276E-3</v>
      </c>
      <c r="L140" s="314">
        <v>110.77999999999884</v>
      </c>
      <c r="M140" s="322">
        <f t="shared" si="14"/>
        <v>4363.6241999999538</v>
      </c>
      <c r="N140" s="288"/>
      <c r="O140" s="707" t="s">
        <v>717</v>
      </c>
      <c r="P140" s="708"/>
      <c r="R140" s="336"/>
      <c r="S140" s="336"/>
    </row>
    <row r="141" spans="1:21" ht="54.75" customHeight="1" thickBot="1">
      <c r="A141" s="696"/>
      <c r="B141" s="716"/>
      <c r="C141" s="279">
        <v>5</v>
      </c>
      <c r="D141" s="244" t="s">
        <v>642</v>
      </c>
      <c r="E141" s="291"/>
      <c r="F141" s="292"/>
      <c r="G141" s="306" t="s">
        <v>651</v>
      </c>
      <c r="H141" s="305"/>
      <c r="I141" s="306"/>
      <c r="J141" s="316">
        <v>43.889999999999993</v>
      </c>
      <c r="K141" s="248">
        <v>6.5246144221402678E-3</v>
      </c>
      <c r="L141" s="317">
        <v>88.170000000000073</v>
      </c>
      <c r="M141" s="322">
        <f t="shared" si="14"/>
        <v>3869.7813000000028</v>
      </c>
      <c r="N141" s="288"/>
      <c r="O141" s="707" t="s">
        <v>717</v>
      </c>
      <c r="P141" s="708"/>
    </row>
    <row r="142" spans="1:21" ht="15.75" customHeight="1" thickTop="1" thickBot="1">
      <c r="A142" s="697"/>
      <c r="B142" s="717"/>
      <c r="C142" s="724"/>
      <c r="D142" s="725"/>
      <c r="E142" s="725"/>
      <c r="F142" s="725"/>
      <c r="G142" s="725"/>
      <c r="H142" s="725"/>
      <c r="I142" s="726"/>
      <c r="J142" s="348" t="s">
        <v>58</v>
      </c>
      <c r="K142" s="346" t="e">
        <f>M142/'生產管理報表 7-1 (週)'!#REF!</f>
        <v>#REF!</v>
      </c>
      <c r="L142" s="349" t="s">
        <v>59</v>
      </c>
      <c r="M142" s="350">
        <f>SUM(M137:M141)</f>
        <v>24429.872400000142</v>
      </c>
      <c r="N142" s="712"/>
      <c r="O142" s="713"/>
      <c r="P142" s="714"/>
    </row>
    <row r="143" spans="1:21" s="135" customFormat="1" ht="15.75" customHeight="1" thickTop="1">
      <c r="A143" s="805" t="s">
        <v>801</v>
      </c>
      <c r="B143" s="805"/>
      <c r="C143" s="805"/>
      <c r="D143" s="805"/>
      <c r="E143" s="805"/>
      <c r="F143" s="805"/>
      <c r="G143" s="805"/>
      <c r="H143" s="805"/>
      <c r="I143" s="805"/>
      <c r="J143" s="805"/>
      <c r="K143" s="805"/>
      <c r="L143" s="805"/>
      <c r="M143" s="805"/>
      <c r="R143" s="231"/>
      <c r="S143" s="231"/>
      <c r="T143" s="231"/>
      <c r="U143" s="231"/>
    </row>
    <row r="144" spans="1:21" s="136" customFormat="1" ht="15.75" customHeight="1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</row>
    <row r="145" spans="1:20" s="135" customFormat="1" ht="15.75" customHeight="1">
      <c r="A145" s="681" t="s">
        <v>191</v>
      </c>
      <c r="B145" s="683">
        <v>1</v>
      </c>
      <c r="C145" s="684"/>
      <c r="D145" s="683">
        <v>2</v>
      </c>
      <c r="E145" s="684"/>
      <c r="F145" s="683">
        <v>3</v>
      </c>
      <c r="G145" s="684"/>
      <c r="H145" s="674">
        <v>4</v>
      </c>
      <c r="I145" s="675"/>
      <c r="J145" s="674">
        <v>5</v>
      </c>
      <c r="K145" s="675"/>
      <c r="L145" s="674">
        <v>6</v>
      </c>
      <c r="M145" s="675"/>
      <c r="N145" s="674">
        <v>7</v>
      </c>
      <c r="O145" s="675"/>
      <c r="P145" s="327">
        <v>8</v>
      </c>
    </row>
    <row r="146" spans="1:20" s="135" customFormat="1" ht="15.75" customHeight="1">
      <c r="A146" s="682"/>
      <c r="B146" s="678" t="s">
        <v>453</v>
      </c>
      <c r="C146" s="679"/>
      <c r="D146" s="678" t="s">
        <v>212</v>
      </c>
      <c r="E146" s="679"/>
      <c r="F146" s="678" t="s">
        <v>166</v>
      </c>
      <c r="G146" s="679"/>
      <c r="H146" s="676" t="s">
        <v>429</v>
      </c>
      <c r="I146" s="677"/>
      <c r="J146" s="676" t="s">
        <v>189</v>
      </c>
      <c r="K146" s="677"/>
      <c r="L146" s="676" t="s">
        <v>167</v>
      </c>
      <c r="M146" s="677"/>
      <c r="N146" s="676" t="s">
        <v>190</v>
      </c>
      <c r="O146" s="677"/>
      <c r="P146" s="328" t="s">
        <v>217</v>
      </c>
    </row>
    <row r="147" spans="1:20" s="135" customFormat="1" ht="15.75" customHeight="1">
      <c r="B147" s="232"/>
      <c r="C147" s="233"/>
    </row>
    <row r="148" spans="1:20" s="278" customFormat="1" ht="15.75" customHeight="1">
      <c r="A148" s="685" t="s">
        <v>191</v>
      </c>
      <c r="B148" s="686"/>
      <c r="C148" s="275" t="s">
        <v>47</v>
      </c>
      <c r="D148" s="687" t="s">
        <v>12</v>
      </c>
      <c r="E148" s="688"/>
      <c r="F148" s="689"/>
      <c r="G148" s="690" t="s">
        <v>53</v>
      </c>
      <c r="H148" s="691"/>
      <c r="I148" s="692"/>
      <c r="J148" s="276" t="s">
        <v>54</v>
      </c>
      <c r="K148" s="276" t="s">
        <v>55</v>
      </c>
      <c r="L148" s="276" t="s">
        <v>56</v>
      </c>
      <c r="M148" s="277" t="s">
        <v>11</v>
      </c>
      <c r="N148" s="277" t="s">
        <v>333</v>
      </c>
      <c r="O148" s="693" t="s">
        <v>51</v>
      </c>
      <c r="P148" s="694"/>
      <c r="R148" s="339"/>
      <c r="S148" s="340"/>
    </row>
    <row r="149" spans="1:20" s="298" customFormat="1" ht="60" customHeight="1">
      <c r="A149" s="695">
        <v>4</v>
      </c>
      <c r="B149" s="698" t="s">
        <v>429</v>
      </c>
      <c r="C149" s="279">
        <v>1</v>
      </c>
      <c r="D149" s="237" t="s">
        <v>340</v>
      </c>
      <c r="E149" s="238"/>
      <c r="F149" s="239"/>
      <c r="G149" s="306" t="s">
        <v>653</v>
      </c>
      <c r="H149" s="305"/>
      <c r="I149" s="306"/>
      <c r="J149" s="312">
        <v>144.79999999999998</v>
      </c>
      <c r="K149" s="313">
        <v>2.7763492311934945E-3</v>
      </c>
      <c r="L149" s="314">
        <v>48.510000000000218</v>
      </c>
      <c r="M149" s="322">
        <f t="shared" ref="M149:M153" si="15">L149*J149</f>
        <v>7024.2480000000305</v>
      </c>
      <c r="N149" s="314"/>
      <c r="O149" s="703" t="s">
        <v>619</v>
      </c>
      <c r="P149" s="704"/>
      <c r="R149" s="396"/>
      <c r="S149" s="340"/>
    </row>
    <row r="150" spans="1:20" s="298" customFormat="1" ht="60" customHeight="1">
      <c r="A150" s="696"/>
      <c r="B150" s="699"/>
      <c r="C150" s="279">
        <v>2</v>
      </c>
      <c r="D150" s="237" t="s">
        <v>341</v>
      </c>
      <c r="E150" s="238"/>
      <c r="F150" s="239"/>
      <c r="G150" s="306" t="s">
        <v>547</v>
      </c>
      <c r="H150" s="305"/>
      <c r="I150" s="306"/>
      <c r="J150" s="312">
        <v>66.13</v>
      </c>
      <c r="K150" s="313">
        <v>7.682620926382922E-3</v>
      </c>
      <c r="L150" s="314">
        <v>59.3599999999999</v>
      </c>
      <c r="M150" s="322">
        <f t="shared" si="15"/>
        <v>3925.4767999999931</v>
      </c>
      <c r="N150" s="314"/>
      <c r="O150" s="703" t="s">
        <v>618</v>
      </c>
      <c r="P150" s="704"/>
      <c r="R150" s="396"/>
      <c r="S150" s="397"/>
      <c r="T150" s="335"/>
    </row>
    <row r="151" spans="1:20" s="298" customFormat="1" ht="60" customHeight="1">
      <c r="A151" s="696"/>
      <c r="B151" s="699"/>
      <c r="C151" s="279">
        <v>3</v>
      </c>
      <c r="D151" s="237" t="s">
        <v>459</v>
      </c>
      <c r="E151" s="238"/>
      <c r="F151" s="239"/>
      <c r="G151" s="306" t="s">
        <v>465</v>
      </c>
      <c r="H151" s="305"/>
      <c r="I151" s="306"/>
      <c r="J151" s="312">
        <v>629</v>
      </c>
      <c r="K151" s="313">
        <v>6.2599681020733657E-3</v>
      </c>
      <c r="L151" s="314">
        <v>6.2199999999999989</v>
      </c>
      <c r="M151" s="322">
        <f t="shared" si="15"/>
        <v>3912.3799999999992</v>
      </c>
      <c r="N151" s="314"/>
      <c r="O151" s="705" t="s">
        <v>550</v>
      </c>
      <c r="P151" s="706"/>
      <c r="R151" s="396"/>
      <c r="S151" s="398"/>
    </row>
    <row r="152" spans="1:20" s="298" customFormat="1" ht="60" customHeight="1">
      <c r="A152" s="696"/>
      <c r="B152" s="699"/>
      <c r="C152" s="279">
        <v>4</v>
      </c>
      <c r="D152" s="237" t="s">
        <v>434</v>
      </c>
      <c r="E152" s="238"/>
      <c r="F152" s="239"/>
      <c r="G152" s="306" t="s">
        <v>433</v>
      </c>
      <c r="H152" s="305"/>
      <c r="I152" s="306"/>
      <c r="J152" s="312">
        <v>368.13999999999993</v>
      </c>
      <c r="K152" s="313">
        <v>6.7738779196668264E-3</v>
      </c>
      <c r="L152" s="314">
        <v>11</v>
      </c>
      <c r="M152" s="322">
        <f t="shared" si="15"/>
        <v>4049.5399999999991</v>
      </c>
      <c r="N152" s="314"/>
      <c r="O152" s="705" t="s">
        <v>802</v>
      </c>
      <c r="P152" s="706"/>
      <c r="R152" s="396"/>
      <c r="S152" s="397"/>
      <c r="T152" s="335"/>
    </row>
    <row r="153" spans="1:20" s="298" customFormat="1" ht="60" customHeight="1" thickBot="1">
      <c r="A153" s="696"/>
      <c r="B153" s="699"/>
      <c r="C153" s="279">
        <v>5</v>
      </c>
      <c r="D153" s="237" t="s">
        <v>340</v>
      </c>
      <c r="E153" s="245"/>
      <c r="F153" s="246"/>
      <c r="G153" s="306" t="s">
        <v>386</v>
      </c>
      <c r="H153" s="305"/>
      <c r="I153" s="306"/>
      <c r="J153" s="316">
        <v>127.84000000000002</v>
      </c>
      <c r="K153" s="248">
        <v>2.1443798327383731E-3</v>
      </c>
      <c r="L153" s="317">
        <v>49.349999999999909</v>
      </c>
      <c r="M153" s="322">
        <f t="shared" si="15"/>
        <v>6308.9039999999895</v>
      </c>
      <c r="N153" s="314"/>
      <c r="O153" s="705" t="s">
        <v>803</v>
      </c>
      <c r="P153" s="706"/>
      <c r="R153" s="399"/>
      <c r="S153" s="398"/>
      <c r="T153" s="289"/>
    </row>
    <row r="154" spans="1:20" ht="15.75" customHeight="1" thickTop="1" thickBot="1">
      <c r="A154" s="697"/>
      <c r="B154" s="700"/>
      <c r="C154" s="709"/>
      <c r="D154" s="710"/>
      <c r="E154" s="710"/>
      <c r="F154" s="710"/>
      <c r="G154" s="710"/>
      <c r="H154" s="710"/>
      <c r="I154" s="711"/>
      <c r="J154" s="348" t="s">
        <v>58</v>
      </c>
      <c r="K154" s="346">
        <f>M154/'生產管理報表 7-1 (週)'!$B$10</f>
        <v>9.0344815042066859E-2</v>
      </c>
      <c r="L154" s="349" t="s">
        <v>59</v>
      </c>
      <c r="M154" s="350">
        <f>SUM(M149:M153)</f>
        <v>25220.548800000011</v>
      </c>
      <c r="N154" s="712"/>
      <c r="O154" s="713"/>
      <c r="P154" s="714"/>
      <c r="R154" s="339"/>
      <c r="S154" s="339"/>
    </row>
    <row r="155" spans="1:20" ht="15.75" customHeight="1" thickTop="1">
      <c r="M155" s="329"/>
      <c r="S155" s="340"/>
    </row>
    <row r="156" spans="1:20" ht="15.75" customHeight="1">
      <c r="A156" s="685" t="s">
        <v>191</v>
      </c>
      <c r="B156" s="686"/>
      <c r="C156" s="275" t="s">
        <v>47</v>
      </c>
      <c r="D156" s="687" t="s">
        <v>12</v>
      </c>
      <c r="E156" s="688"/>
      <c r="F156" s="689"/>
      <c r="G156" s="690" t="s">
        <v>53</v>
      </c>
      <c r="H156" s="691"/>
      <c r="I156" s="692"/>
      <c r="J156" s="380" t="s">
        <v>54</v>
      </c>
      <c r="K156" s="276" t="s">
        <v>55</v>
      </c>
      <c r="L156" s="276" t="s">
        <v>56</v>
      </c>
      <c r="M156" s="330" t="s">
        <v>11</v>
      </c>
      <c r="N156" s="277" t="s">
        <v>333</v>
      </c>
      <c r="O156" s="693" t="s">
        <v>51</v>
      </c>
      <c r="P156" s="694"/>
      <c r="S156" s="339"/>
      <c r="T156" s="335"/>
    </row>
    <row r="157" spans="1:20" s="298" customFormat="1" ht="60" customHeight="1">
      <c r="A157" s="695">
        <v>5</v>
      </c>
      <c r="B157" s="715" t="s">
        <v>215</v>
      </c>
      <c r="C157" s="279">
        <v>1</v>
      </c>
      <c r="D157" s="237" t="s">
        <v>340</v>
      </c>
      <c r="E157" s="238"/>
      <c r="F157" s="239"/>
      <c r="G157" s="306" t="s">
        <v>336</v>
      </c>
      <c r="H157" s="305"/>
      <c r="I157" s="306"/>
      <c r="J157" s="312">
        <v>147.43000000000004</v>
      </c>
      <c r="K157" s="313">
        <v>1.5791755016928105E-3</v>
      </c>
      <c r="L157" s="314">
        <v>62.880000000000109</v>
      </c>
      <c r="M157" s="322">
        <f>L157*J157</f>
        <v>9270.3984000000182</v>
      </c>
      <c r="N157" s="314"/>
      <c r="O157" s="770" t="s">
        <v>530</v>
      </c>
      <c r="P157" s="771"/>
      <c r="S157" s="398"/>
      <c r="T157" s="335"/>
    </row>
    <row r="158" spans="1:20" s="298" customFormat="1" ht="25" customHeight="1">
      <c r="A158" s="696"/>
      <c r="B158" s="716"/>
      <c r="C158" s="279">
        <v>2</v>
      </c>
      <c r="D158" s="237"/>
      <c r="E158" s="238"/>
      <c r="F158" s="239"/>
      <c r="G158" s="351"/>
      <c r="H158" s="305"/>
      <c r="I158" s="306"/>
      <c r="J158" s="312"/>
      <c r="K158" s="313"/>
      <c r="L158" s="314"/>
      <c r="M158" s="322">
        <f t="shared" ref="M158:M161" si="16">L158*J158</f>
        <v>0</v>
      </c>
      <c r="N158" s="314"/>
      <c r="O158" s="720"/>
      <c r="P158" s="721"/>
      <c r="S158" s="339"/>
      <c r="T158" s="336"/>
    </row>
    <row r="159" spans="1:20" ht="25" customHeight="1">
      <c r="A159" s="696"/>
      <c r="B159" s="716"/>
      <c r="C159" s="279">
        <v>3</v>
      </c>
      <c r="D159" s="237"/>
      <c r="E159" s="238"/>
      <c r="F159" s="239"/>
      <c r="G159" s="351"/>
      <c r="H159" s="305"/>
      <c r="I159" s="306"/>
      <c r="J159" s="312"/>
      <c r="K159" s="313"/>
      <c r="L159" s="314"/>
      <c r="M159" s="322">
        <f t="shared" si="16"/>
        <v>0</v>
      </c>
      <c r="N159" s="288"/>
      <c r="O159" s="742"/>
      <c r="P159" s="743"/>
    </row>
    <row r="160" spans="1:20" ht="25" customHeight="1">
      <c r="A160" s="696"/>
      <c r="B160" s="716"/>
      <c r="C160" s="279">
        <v>4</v>
      </c>
      <c r="D160" s="280"/>
      <c r="E160" s="281"/>
      <c r="F160" s="282"/>
      <c r="G160" s="351"/>
      <c r="H160" s="305"/>
      <c r="I160" s="306"/>
      <c r="J160" s="286"/>
      <c r="K160" s="287"/>
      <c r="L160" s="288"/>
      <c r="M160" s="322">
        <f t="shared" si="16"/>
        <v>0</v>
      </c>
      <c r="N160" s="288"/>
      <c r="O160" s="299"/>
      <c r="P160" s="300"/>
    </row>
    <row r="161" spans="1:19" ht="25" customHeight="1" thickBot="1">
      <c r="A161" s="696"/>
      <c r="B161" s="716"/>
      <c r="C161" s="279">
        <v>5</v>
      </c>
      <c r="D161" s="290"/>
      <c r="E161" s="291"/>
      <c r="F161" s="292"/>
      <c r="G161" s="351"/>
      <c r="H161" s="305"/>
      <c r="I161" s="306"/>
      <c r="J161" s="293"/>
      <c r="K161" s="248"/>
      <c r="L161" s="294"/>
      <c r="M161" s="322">
        <f t="shared" si="16"/>
        <v>0</v>
      </c>
      <c r="N161" s="288"/>
      <c r="O161" s="301"/>
      <c r="P161" s="302"/>
      <c r="R161" s="343"/>
    </row>
    <row r="162" spans="1:19" ht="15.75" customHeight="1" thickTop="1" thickBot="1">
      <c r="A162" s="697"/>
      <c r="B162" s="717"/>
      <c r="C162" s="724"/>
      <c r="D162" s="725"/>
      <c r="E162" s="725"/>
      <c r="F162" s="725"/>
      <c r="G162" s="725"/>
      <c r="H162" s="725"/>
      <c r="I162" s="726"/>
      <c r="J162" s="348" t="s">
        <v>58</v>
      </c>
      <c r="K162" s="346">
        <f>M162/'生產管理報表 7-1 (週)'!$B$10</f>
        <v>3.3208334816817064E-2</v>
      </c>
      <c r="L162" s="349" t="s">
        <v>59</v>
      </c>
      <c r="M162" s="350">
        <f>SUM(M157:M161)</f>
        <v>9270.3984000000182</v>
      </c>
      <c r="N162" s="712"/>
      <c r="O162" s="713"/>
      <c r="P162" s="714"/>
      <c r="R162" s="339"/>
    </row>
    <row r="163" spans="1:19" ht="15.75" customHeight="1" thickTop="1">
      <c r="K163" s="289" t="s">
        <v>457</v>
      </c>
      <c r="M163" s="329"/>
      <c r="R163" s="339"/>
    </row>
    <row r="164" spans="1:19" ht="25" customHeight="1">
      <c r="A164" s="685" t="s">
        <v>191</v>
      </c>
      <c r="B164" s="686"/>
      <c r="C164" s="303" t="s">
        <v>47</v>
      </c>
      <c r="D164" s="729" t="s">
        <v>12</v>
      </c>
      <c r="E164" s="730"/>
      <c r="F164" s="731"/>
      <c r="G164" s="732" t="s">
        <v>53</v>
      </c>
      <c r="H164" s="733"/>
      <c r="I164" s="734"/>
      <c r="J164" s="304" t="s">
        <v>54</v>
      </c>
      <c r="K164" s="276" t="s">
        <v>55</v>
      </c>
      <c r="L164" s="276" t="s">
        <v>56</v>
      </c>
      <c r="M164" s="330" t="s">
        <v>11</v>
      </c>
      <c r="N164" s="277" t="s">
        <v>333</v>
      </c>
      <c r="O164" s="693" t="s">
        <v>51</v>
      </c>
      <c r="P164" s="694"/>
      <c r="R164" s="339"/>
    </row>
    <row r="165" spans="1:19" ht="55" customHeight="1">
      <c r="A165" s="695">
        <v>6</v>
      </c>
      <c r="B165" s="715" t="s">
        <v>216</v>
      </c>
      <c r="C165" s="279">
        <v>1</v>
      </c>
      <c r="D165" s="344" t="s">
        <v>340</v>
      </c>
      <c r="E165" s="281"/>
      <c r="F165" s="282"/>
      <c r="G165" s="306" t="s">
        <v>535</v>
      </c>
      <c r="H165" s="305"/>
      <c r="I165" s="306"/>
      <c r="J165" s="312">
        <v>39.389999999999993</v>
      </c>
      <c r="K165" s="313">
        <v>1.1123997896361564E-3</v>
      </c>
      <c r="L165" s="314">
        <v>179.11000000000058</v>
      </c>
      <c r="M165" s="322">
        <f t="shared" ref="M165:M169" si="17">L165*J165</f>
        <v>7055.1429000000217</v>
      </c>
      <c r="N165" s="288"/>
      <c r="O165" s="707" t="s">
        <v>768</v>
      </c>
      <c r="P165" s="708"/>
      <c r="R165" s="336"/>
      <c r="S165" s="336"/>
    </row>
    <row r="166" spans="1:19" ht="55" customHeight="1">
      <c r="A166" s="696"/>
      <c r="B166" s="716"/>
      <c r="C166" s="279">
        <v>2</v>
      </c>
      <c r="D166" s="237" t="s">
        <v>464</v>
      </c>
      <c r="E166" s="281"/>
      <c r="F166" s="282"/>
      <c r="G166" s="306" t="s">
        <v>462</v>
      </c>
      <c r="H166" s="305"/>
      <c r="I166" s="306"/>
      <c r="J166" s="312">
        <v>407.74000000000007</v>
      </c>
      <c r="K166" s="313">
        <v>2.3218811862870253E-3</v>
      </c>
      <c r="L166" s="314">
        <v>10.3599999999999</v>
      </c>
      <c r="M166" s="322">
        <f t="shared" si="17"/>
        <v>4224.1863999999596</v>
      </c>
      <c r="N166" s="288"/>
      <c r="O166" s="707" t="s">
        <v>538</v>
      </c>
      <c r="P166" s="708"/>
      <c r="R166" s="336"/>
      <c r="S166" s="336"/>
    </row>
    <row r="167" spans="1:19" ht="55" customHeight="1">
      <c r="A167" s="696"/>
      <c r="B167" s="716"/>
      <c r="C167" s="279">
        <v>3</v>
      </c>
      <c r="D167" s="237" t="s">
        <v>621</v>
      </c>
      <c r="E167" s="281"/>
      <c r="F167" s="282"/>
      <c r="G167" s="306" t="s">
        <v>626</v>
      </c>
      <c r="H167" s="305"/>
      <c r="I167" s="306"/>
      <c r="J167" s="312">
        <v>39.389999999999993</v>
      </c>
      <c r="K167" s="313">
        <v>6.0830035127875017E-3</v>
      </c>
      <c r="L167" s="314">
        <v>121.34000000000015</v>
      </c>
      <c r="M167" s="322">
        <f t="shared" si="17"/>
        <v>4779.5826000000052</v>
      </c>
      <c r="N167" s="288"/>
      <c r="O167" s="707" t="s">
        <v>768</v>
      </c>
      <c r="P167" s="708"/>
      <c r="R167" s="336"/>
    </row>
    <row r="168" spans="1:19" ht="55" customHeight="1">
      <c r="A168" s="696"/>
      <c r="B168" s="716"/>
      <c r="C168" s="279">
        <v>4</v>
      </c>
      <c r="D168" s="237" t="s">
        <v>642</v>
      </c>
      <c r="E168" s="281"/>
      <c r="F168" s="282"/>
      <c r="G168" s="306" t="s">
        <v>651</v>
      </c>
      <c r="H168" s="305"/>
      <c r="I168" s="306"/>
      <c r="J168" s="312">
        <v>43.889999999999993</v>
      </c>
      <c r="K168" s="313">
        <v>7.136736366081425E-3</v>
      </c>
      <c r="L168" s="314">
        <v>94.900000000000091</v>
      </c>
      <c r="M168" s="322">
        <f t="shared" si="17"/>
        <v>4165.1610000000037</v>
      </c>
      <c r="N168" s="288"/>
      <c r="O168" s="707" t="s">
        <v>768</v>
      </c>
      <c r="P168" s="708"/>
      <c r="R168" s="336"/>
      <c r="S168" s="336"/>
    </row>
    <row r="169" spans="1:19" ht="54.75" customHeight="1" thickBot="1">
      <c r="A169" s="696"/>
      <c r="B169" s="716"/>
      <c r="C169" s="279">
        <v>5</v>
      </c>
      <c r="D169" s="244" t="s">
        <v>674</v>
      </c>
      <c r="E169" s="291"/>
      <c r="F169" s="292"/>
      <c r="G169" s="306" t="s">
        <v>676</v>
      </c>
      <c r="H169" s="305"/>
      <c r="I169" s="306"/>
      <c r="J169" s="316">
        <v>31.59</v>
      </c>
      <c r="K169" s="248">
        <v>6.7146953906413931E-3</v>
      </c>
      <c r="L169" s="317">
        <v>134.78999999999996</v>
      </c>
      <c r="M169" s="322">
        <f t="shared" si="17"/>
        <v>4258.0160999999989</v>
      </c>
      <c r="N169" s="288"/>
      <c r="O169" s="707" t="s">
        <v>618</v>
      </c>
      <c r="P169" s="708"/>
    </row>
    <row r="170" spans="1:19" ht="15.75" customHeight="1" thickTop="1" thickBot="1">
      <c r="A170" s="697"/>
      <c r="B170" s="717"/>
      <c r="C170" s="724"/>
      <c r="D170" s="725"/>
      <c r="E170" s="725"/>
      <c r="F170" s="725"/>
      <c r="G170" s="725"/>
      <c r="H170" s="725"/>
      <c r="I170" s="726"/>
      <c r="J170" s="348" t="s">
        <v>58</v>
      </c>
      <c r="K170" s="346">
        <f>M170/'生產管理報表 7-1 (週)'!$B$10</f>
        <v>8.7699511223499546E-2</v>
      </c>
      <c r="L170" s="349" t="s">
        <v>59</v>
      </c>
      <c r="M170" s="350">
        <f>SUM(M165:M169)</f>
        <v>24482.088999999993</v>
      </c>
      <c r="N170" s="712"/>
      <c r="O170" s="713"/>
      <c r="P170" s="714"/>
    </row>
    <row r="171" spans="1:19" ht="15.75" customHeight="1" thickTop="1"/>
  </sheetData>
  <mergeCells count="319"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C162:I162"/>
    <mergeCell ref="N162:P162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5:O5"/>
    <mergeCell ref="B6:C6"/>
    <mergeCell ref="D6:E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5" manualBreakCount="5">
    <brk id="30" max="15" man="1"/>
    <brk id="58" max="15" man="1"/>
    <brk id="86" max="15" man="1"/>
    <brk id="114" max="15" man="1"/>
    <brk id="142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4296875" defaultRowHeight="15.75" customHeight="1"/>
  <cols>
    <col min="1" max="1" width="5.453125" style="98" customWidth="1"/>
    <col min="2" max="2" width="7.81640625" style="132" customWidth="1"/>
    <col min="3" max="3" width="4" style="129" customWidth="1"/>
    <col min="4" max="17" width="8.54296875" style="98" customWidth="1"/>
    <col min="18" max="16384" width="12.54296875" style="98"/>
  </cols>
  <sheetData>
    <row r="1" spans="1:17" ht="15.75" customHeight="1">
      <c r="A1" s="520" t="s">
        <v>361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7" s="99" customFormat="1" ht="15.75" customHeight="1">
      <c r="A2" s="520"/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</row>
    <row r="3" spans="1:17" ht="15.75" customHeight="1">
      <c r="A3" s="622" t="s">
        <v>382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</row>
    <row r="4" spans="1:17" s="99" customFormat="1" ht="15.75" customHeight="1">
      <c r="A4" s="819"/>
      <c r="B4" s="819"/>
      <c r="C4" s="819"/>
      <c r="D4" s="819"/>
      <c r="E4" s="819"/>
      <c r="F4" s="819"/>
      <c r="G4" s="819"/>
      <c r="H4" s="819"/>
      <c r="I4" s="819"/>
      <c r="J4" s="819"/>
      <c r="K4" s="819"/>
      <c r="L4" s="819"/>
      <c r="M4" s="819"/>
      <c r="N4" s="819"/>
      <c r="O4" s="819"/>
      <c r="P4" s="819"/>
      <c r="Q4" s="819"/>
    </row>
    <row r="5" spans="1:17" ht="15.75" customHeight="1">
      <c r="A5" s="563" t="s">
        <v>191</v>
      </c>
      <c r="B5" s="818">
        <v>1</v>
      </c>
      <c r="C5" s="818"/>
      <c r="D5" s="818">
        <v>2</v>
      </c>
      <c r="E5" s="818"/>
      <c r="F5" s="818">
        <v>3</v>
      </c>
      <c r="G5" s="818"/>
      <c r="H5" s="818">
        <v>4</v>
      </c>
      <c r="I5" s="818"/>
      <c r="J5" s="818">
        <v>5</v>
      </c>
      <c r="K5" s="818"/>
      <c r="L5" s="818">
        <v>6</v>
      </c>
      <c r="M5" s="818"/>
      <c r="N5" s="818">
        <v>7</v>
      </c>
      <c r="O5" s="818"/>
      <c r="P5" s="820">
        <v>8</v>
      </c>
      <c r="Q5" s="820"/>
    </row>
    <row r="6" spans="1:17" ht="15.75" customHeight="1">
      <c r="A6" s="563"/>
      <c r="B6" s="563" t="s">
        <v>251</v>
      </c>
      <c r="C6" s="563"/>
      <c r="D6" s="563" t="s">
        <v>338</v>
      </c>
      <c r="E6" s="563"/>
      <c r="F6" s="563" t="s">
        <v>166</v>
      </c>
      <c r="G6" s="563"/>
      <c r="H6" s="563" t="s">
        <v>429</v>
      </c>
      <c r="I6" s="563"/>
      <c r="J6" s="563" t="s">
        <v>189</v>
      </c>
      <c r="K6" s="563"/>
      <c r="L6" s="563" t="s">
        <v>167</v>
      </c>
      <c r="M6" s="563"/>
      <c r="N6" s="563" t="s">
        <v>190</v>
      </c>
      <c r="O6" s="563"/>
      <c r="P6" s="817" t="s">
        <v>218</v>
      </c>
      <c r="Q6" s="817"/>
    </row>
    <row r="8" spans="1:17" s="105" customFormat="1" ht="15.75" customHeight="1">
      <c r="A8" s="130" t="s">
        <v>193</v>
      </c>
      <c r="B8" s="130" t="s">
        <v>18</v>
      </c>
      <c r="C8" s="814" t="s">
        <v>12</v>
      </c>
      <c r="D8" s="814"/>
      <c r="E8" s="814"/>
      <c r="F8" s="814" t="s">
        <v>53</v>
      </c>
      <c r="G8" s="814"/>
      <c r="H8" s="814"/>
      <c r="I8" s="130" t="s">
        <v>54</v>
      </c>
      <c r="J8" s="133" t="s">
        <v>19</v>
      </c>
      <c r="K8" s="130" t="s">
        <v>57</v>
      </c>
      <c r="L8" s="130" t="s">
        <v>2</v>
      </c>
      <c r="M8" s="814" t="s">
        <v>50</v>
      </c>
      <c r="N8" s="814"/>
      <c r="O8" s="814"/>
      <c r="P8" s="814"/>
      <c r="Q8" s="814"/>
    </row>
    <row r="9" spans="1:17" ht="15.75" customHeight="1">
      <c r="A9" s="814" t="s">
        <v>192</v>
      </c>
      <c r="B9" s="128">
        <v>1</v>
      </c>
      <c r="C9" s="812"/>
      <c r="D9" s="813"/>
      <c r="E9" s="813"/>
      <c r="F9" s="812"/>
      <c r="G9" s="813"/>
      <c r="H9" s="813"/>
      <c r="I9" s="107"/>
      <c r="J9" s="117"/>
      <c r="K9" s="117"/>
      <c r="L9" s="134">
        <f t="shared" ref="L9:L13" si="0">K9-J9</f>
        <v>0</v>
      </c>
      <c r="M9" s="812"/>
      <c r="N9" s="812"/>
      <c r="O9" s="812"/>
      <c r="P9" s="812"/>
      <c r="Q9" s="812"/>
    </row>
    <row r="10" spans="1:17" ht="15.75" customHeight="1">
      <c r="A10" s="814"/>
      <c r="B10" s="128">
        <v>2</v>
      </c>
      <c r="C10" s="812"/>
      <c r="D10" s="813"/>
      <c r="E10" s="813"/>
      <c r="F10" s="812"/>
      <c r="G10" s="813"/>
      <c r="H10" s="813"/>
      <c r="I10" s="107"/>
      <c r="J10" s="117"/>
      <c r="K10" s="117"/>
      <c r="L10" s="134">
        <f t="shared" si="0"/>
        <v>0</v>
      </c>
      <c r="M10" s="812"/>
      <c r="N10" s="812"/>
      <c r="O10" s="812"/>
      <c r="P10" s="812"/>
      <c r="Q10" s="812"/>
    </row>
    <row r="11" spans="1:17" ht="15.75" customHeight="1">
      <c r="A11" s="814"/>
      <c r="B11" s="128">
        <v>3</v>
      </c>
      <c r="C11" s="812"/>
      <c r="D11" s="813"/>
      <c r="E11" s="813"/>
      <c r="F11" s="812"/>
      <c r="G11" s="813"/>
      <c r="H11" s="813"/>
      <c r="I11" s="107"/>
      <c r="J11" s="117"/>
      <c r="K11" s="117"/>
      <c r="L11" s="134">
        <f t="shared" si="0"/>
        <v>0</v>
      </c>
      <c r="M11" s="812"/>
      <c r="N11" s="812"/>
      <c r="O11" s="812"/>
      <c r="P11" s="812"/>
      <c r="Q11" s="812"/>
    </row>
    <row r="12" spans="1:17" ht="15.75" customHeight="1">
      <c r="A12" s="814"/>
      <c r="B12" s="128">
        <v>4</v>
      </c>
      <c r="C12" s="812"/>
      <c r="D12" s="813"/>
      <c r="E12" s="813"/>
      <c r="F12" s="812"/>
      <c r="G12" s="813"/>
      <c r="H12" s="813"/>
      <c r="I12" s="107"/>
      <c r="J12" s="117"/>
      <c r="K12" s="117"/>
      <c r="L12" s="134">
        <f t="shared" si="0"/>
        <v>0</v>
      </c>
      <c r="M12" s="812"/>
      <c r="N12" s="812"/>
      <c r="O12" s="812"/>
      <c r="P12" s="812"/>
      <c r="Q12" s="812"/>
    </row>
    <row r="13" spans="1:17" ht="15.75" customHeight="1">
      <c r="A13" s="814"/>
      <c r="B13" s="128">
        <v>5</v>
      </c>
      <c r="C13" s="812"/>
      <c r="D13" s="813"/>
      <c r="E13" s="813"/>
      <c r="F13" s="812"/>
      <c r="G13" s="813"/>
      <c r="H13" s="813"/>
      <c r="I13" s="107"/>
      <c r="J13" s="117"/>
      <c r="K13" s="117"/>
      <c r="L13" s="134">
        <f t="shared" si="0"/>
        <v>0</v>
      </c>
      <c r="M13" s="812"/>
      <c r="N13" s="812"/>
      <c r="O13" s="812"/>
      <c r="P13" s="812"/>
      <c r="Q13" s="812"/>
    </row>
    <row r="14" spans="1:17" ht="15.75" customHeight="1">
      <c r="A14" s="815"/>
      <c r="B14" s="815"/>
      <c r="C14" s="815"/>
      <c r="D14" s="815"/>
      <c r="E14" s="815"/>
      <c r="F14" s="815"/>
      <c r="G14" s="815"/>
      <c r="H14" s="815"/>
      <c r="I14" s="815"/>
      <c r="J14" s="815"/>
      <c r="K14" s="815"/>
      <c r="L14" s="815"/>
      <c r="M14" s="815"/>
      <c r="N14" s="815"/>
      <c r="O14" s="816"/>
    </row>
    <row r="15" spans="1:17" s="105" customFormat="1" ht="15.75" customHeight="1">
      <c r="A15" s="130" t="s">
        <v>193</v>
      </c>
      <c r="B15" s="130" t="s">
        <v>18</v>
      </c>
      <c r="C15" s="814" t="s">
        <v>12</v>
      </c>
      <c r="D15" s="814"/>
      <c r="E15" s="814"/>
      <c r="F15" s="814" t="s">
        <v>53</v>
      </c>
      <c r="G15" s="814"/>
      <c r="H15" s="814"/>
      <c r="I15" s="130" t="s">
        <v>54</v>
      </c>
      <c r="J15" s="133" t="s">
        <v>19</v>
      </c>
      <c r="K15" s="130" t="s">
        <v>57</v>
      </c>
      <c r="L15" s="130" t="s">
        <v>2</v>
      </c>
      <c r="M15" s="814" t="s">
        <v>50</v>
      </c>
      <c r="N15" s="814"/>
      <c r="O15" s="814"/>
      <c r="P15" s="814"/>
      <c r="Q15" s="814"/>
    </row>
    <row r="16" spans="1:17" ht="15.75" customHeight="1">
      <c r="A16" s="814" t="s">
        <v>194</v>
      </c>
      <c r="B16" s="128">
        <v>1</v>
      </c>
      <c r="C16" s="812"/>
      <c r="D16" s="813"/>
      <c r="E16" s="813"/>
      <c r="F16" s="812"/>
      <c r="G16" s="813"/>
      <c r="H16" s="813"/>
      <c r="I16" s="107"/>
      <c r="J16" s="117"/>
      <c r="K16" s="117"/>
      <c r="L16" s="134">
        <f t="shared" ref="L16:L19" si="1">K16-J16</f>
        <v>0</v>
      </c>
      <c r="M16" s="812"/>
      <c r="N16" s="812"/>
      <c r="O16" s="812"/>
      <c r="P16" s="812"/>
      <c r="Q16" s="812"/>
    </row>
    <row r="17" spans="1:17" ht="15.75" customHeight="1">
      <c r="A17" s="814"/>
      <c r="B17" s="128">
        <v>2</v>
      </c>
      <c r="C17" s="812"/>
      <c r="D17" s="813"/>
      <c r="E17" s="813"/>
      <c r="F17" s="812"/>
      <c r="G17" s="813"/>
      <c r="H17" s="813"/>
      <c r="I17" s="107"/>
      <c r="J17" s="117"/>
      <c r="K17" s="117"/>
      <c r="L17" s="134">
        <f t="shared" si="1"/>
        <v>0</v>
      </c>
      <c r="M17" s="812"/>
      <c r="N17" s="812"/>
      <c r="O17" s="812"/>
      <c r="P17" s="812"/>
      <c r="Q17" s="812"/>
    </row>
    <row r="18" spans="1:17" ht="15.75" customHeight="1">
      <c r="A18" s="814"/>
      <c r="B18" s="128">
        <v>3</v>
      </c>
      <c r="C18" s="812"/>
      <c r="D18" s="813"/>
      <c r="E18" s="813"/>
      <c r="F18" s="812"/>
      <c r="G18" s="813"/>
      <c r="H18" s="813"/>
      <c r="I18" s="107"/>
      <c r="J18" s="117"/>
      <c r="K18" s="117"/>
      <c r="L18" s="134">
        <f t="shared" si="1"/>
        <v>0</v>
      </c>
      <c r="M18" s="812"/>
      <c r="N18" s="812"/>
      <c r="O18" s="812"/>
      <c r="P18" s="812"/>
      <c r="Q18" s="812"/>
    </row>
    <row r="19" spans="1:17" ht="15.75" customHeight="1">
      <c r="A19" s="814"/>
      <c r="B19" s="128">
        <v>4</v>
      </c>
      <c r="C19" s="812"/>
      <c r="D19" s="813"/>
      <c r="E19" s="813"/>
      <c r="F19" s="812"/>
      <c r="G19" s="813"/>
      <c r="H19" s="813"/>
      <c r="I19" s="107"/>
      <c r="J19" s="117"/>
      <c r="K19" s="117"/>
      <c r="L19" s="134">
        <f t="shared" si="1"/>
        <v>0</v>
      </c>
      <c r="M19" s="812"/>
      <c r="N19" s="812"/>
      <c r="O19" s="812"/>
      <c r="P19" s="812"/>
      <c r="Q19" s="812"/>
    </row>
    <row r="20" spans="1:17" ht="15.75" customHeight="1">
      <c r="A20" s="814"/>
      <c r="B20" s="128">
        <v>5</v>
      </c>
      <c r="C20" s="812"/>
      <c r="D20" s="813"/>
      <c r="E20" s="813"/>
      <c r="F20" s="812"/>
      <c r="G20" s="813"/>
      <c r="H20" s="813"/>
      <c r="I20" s="107"/>
      <c r="J20" s="117"/>
      <c r="K20" s="117"/>
      <c r="L20" s="134">
        <f>K20-J20</f>
        <v>0</v>
      </c>
      <c r="M20" s="812"/>
      <c r="N20" s="812"/>
      <c r="O20" s="812"/>
      <c r="P20" s="812"/>
      <c r="Q20" s="81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G49"/>
  <sheetViews>
    <sheetView zoomScale="70" zoomScaleNormal="70" workbookViewId="0">
      <selection activeCell="E5" sqref="E5:E25"/>
    </sheetView>
  </sheetViews>
  <sheetFormatPr defaultColWidth="10.1796875" defaultRowHeight="15.5"/>
  <cols>
    <col min="1" max="4" width="25.7265625" style="484" customWidth="1"/>
    <col min="5" max="5" width="33.7265625" style="484" customWidth="1"/>
    <col min="6" max="6" width="25.7265625" style="484" customWidth="1"/>
    <col min="7" max="7" width="33.7265625" style="484" customWidth="1"/>
    <col min="8" max="11" width="25.7265625" style="484" customWidth="1"/>
    <col min="12" max="12" width="26.453125" style="484" bestFit="1" customWidth="1"/>
    <col min="13" max="14" width="26.453125" style="484" customWidth="1"/>
    <col min="15" max="15" width="26.1796875" style="484" bestFit="1" customWidth="1"/>
    <col min="16" max="16" width="10.1796875" style="484"/>
    <col min="17" max="18" width="13.7265625" style="484" bestFit="1" customWidth="1"/>
    <col min="19" max="20" width="10.1796875" style="484"/>
    <col min="21" max="21" width="15.1796875" style="484" bestFit="1" customWidth="1"/>
    <col min="22" max="23" width="10.1796875" style="484"/>
    <col min="24" max="24" width="13.7265625" style="484" bestFit="1" customWidth="1"/>
    <col min="25" max="26" width="10.1796875" style="484"/>
    <col min="27" max="27" width="15.1796875" style="484" bestFit="1" customWidth="1"/>
    <col min="28" max="29" width="10.1796875" style="484"/>
    <col min="30" max="30" width="13.7265625" style="484" bestFit="1" customWidth="1"/>
    <col min="31" max="32" width="10.1796875" style="484"/>
    <col min="33" max="33" width="15.1796875" style="484" bestFit="1" customWidth="1"/>
    <col min="34" max="16384" width="10.1796875" style="484"/>
  </cols>
  <sheetData>
    <row r="1" spans="1:33" ht="25.5">
      <c r="A1" s="823" t="s">
        <v>567</v>
      </c>
      <c r="B1" s="823"/>
      <c r="C1" s="823"/>
      <c r="D1" s="823"/>
      <c r="E1" s="823"/>
      <c r="F1" s="823"/>
      <c r="G1" s="823"/>
      <c r="H1" s="823"/>
      <c r="I1" s="823"/>
      <c r="J1" s="82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</row>
    <row r="2" spans="1:33" ht="16.5" customHeight="1">
      <c r="A2" s="824" t="s">
        <v>812</v>
      </c>
      <c r="B2" s="826">
        <f>SUM(C13:C43)</f>
        <v>175989.05050000001</v>
      </c>
      <c r="C2" s="824" t="s">
        <v>813</v>
      </c>
      <c r="D2" s="828">
        <f>B2/B48</f>
        <v>2.0109858718074945E-3</v>
      </c>
      <c r="E2" s="486" t="s">
        <v>814</v>
      </c>
      <c r="F2" s="487" t="s">
        <v>815</v>
      </c>
      <c r="G2" s="488" t="s">
        <v>816</v>
      </c>
      <c r="H2" s="489" t="s">
        <v>817</v>
      </c>
      <c r="I2" s="830" t="s">
        <v>818</v>
      </c>
      <c r="J2" s="830" t="s">
        <v>819</v>
      </c>
      <c r="K2" s="483"/>
      <c r="L2" s="452"/>
      <c r="M2" s="483"/>
      <c r="N2" s="483"/>
      <c r="O2" s="483"/>
      <c r="P2" s="483"/>
      <c r="Q2" s="483"/>
      <c r="R2" s="483"/>
      <c r="S2" s="483"/>
      <c r="T2" s="483"/>
      <c r="U2" s="483"/>
      <c r="V2" s="483"/>
    </row>
    <row r="3" spans="1:33" ht="37.5" customHeight="1">
      <c r="A3" s="825"/>
      <c r="B3" s="827"/>
      <c r="C3" s="825"/>
      <c r="D3" s="829"/>
      <c r="E3" s="485">
        <f>SUM(E13:E43)</f>
        <v>527249.21272000007</v>
      </c>
      <c r="F3" s="490">
        <f>E3/B48</f>
        <v>6.0247538962746117E-3</v>
      </c>
      <c r="G3" s="491">
        <f>SUM(G13:G43)</f>
        <v>351260.16222000006</v>
      </c>
      <c r="H3" s="492">
        <f>G3/B48</f>
        <v>4.0137680244671167E-3</v>
      </c>
      <c r="I3" s="831"/>
      <c r="J3" s="831"/>
      <c r="K3" s="493"/>
      <c r="L3" s="494"/>
      <c r="M3" s="483"/>
      <c r="N3" s="483"/>
      <c r="O3" s="483"/>
      <c r="P3" s="483"/>
      <c r="Q3" s="483"/>
      <c r="R3" s="483"/>
      <c r="S3" s="483"/>
      <c r="T3" s="483"/>
      <c r="U3" s="483"/>
      <c r="V3" s="483"/>
    </row>
    <row r="4" spans="1:33" ht="41">
      <c r="A4" s="495" t="s">
        <v>820</v>
      </c>
      <c r="B4" s="495" t="s">
        <v>135</v>
      </c>
      <c r="C4" s="495" t="s">
        <v>821</v>
      </c>
      <c r="D4" s="495" t="s">
        <v>822</v>
      </c>
      <c r="E4" s="495" t="s">
        <v>823</v>
      </c>
      <c r="F4" s="495" t="s">
        <v>824</v>
      </c>
      <c r="G4" s="496" t="s">
        <v>825</v>
      </c>
      <c r="H4" s="496" t="s">
        <v>826</v>
      </c>
      <c r="I4" s="832"/>
      <c r="J4" s="832"/>
      <c r="K4" s="483"/>
      <c r="L4" s="452"/>
      <c r="M4" s="453"/>
      <c r="N4" s="452"/>
      <c r="O4" s="497"/>
      <c r="P4" s="452"/>
      <c r="Q4" s="453"/>
      <c r="R4" s="498"/>
      <c r="S4" s="483"/>
      <c r="T4" s="483"/>
      <c r="U4" s="498"/>
      <c r="V4" s="483"/>
      <c r="X4" s="499"/>
      <c r="AA4" s="499"/>
      <c r="AD4" s="499"/>
      <c r="AG4" s="499"/>
    </row>
    <row r="5" spans="1:33" s="508" customFormat="1" ht="18">
      <c r="A5" s="500">
        <v>46196</v>
      </c>
      <c r="B5" s="501">
        <v>7449467.7599999998</v>
      </c>
      <c r="C5" s="502">
        <v>15006.648499999992</v>
      </c>
      <c r="D5" s="503">
        <f t="shared" ref="D5:D46" si="0">C5/B5</f>
        <v>2.0144591511058493E-3</v>
      </c>
      <c r="E5" s="502">
        <v>45326.036800000002</v>
      </c>
      <c r="F5" s="504">
        <f t="shared" ref="F5:F46" si="1">E5/B5</f>
        <v>6.0844664693199511E-3</v>
      </c>
      <c r="G5" s="505">
        <f>E5-C5</f>
        <v>30319.38830000001</v>
      </c>
      <c r="H5" s="506">
        <f t="shared" ref="H5:H10" si="2">G5/B5</f>
        <v>4.0700073182141014E-3</v>
      </c>
      <c r="I5" s="821">
        <f>SUM(C5:C11)</f>
        <v>93627.815799999982</v>
      </c>
      <c r="J5" s="821">
        <f>SUM(E5:E11)</f>
        <v>281657.45449999999</v>
      </c>
      <c r="K5" s="483"/>
      <c r="L5" s="483"/>
      <c r="M5" s="483"/>
      <c r="N5" s="483"/>
      <c r="O5" s="507"/>
      <c r="P5" s="507"/>
      <c r="Q5" s="507"/>
      <c r="R5" s="507"/>
      <c r="S5" s="507"/>
      <c r="T5" s="507"/>
      <c r="U5" s="507"/>
      <c r="V5" s="507"/>
    </row>
    <row r="6" spans="1:33" s="508" customFormat="1" ht="18">
      <c r="A6" s="500">
        <f>A5+1</f>
        <v>46197</v>
      </c>
      <c r="B6" s="501">
        <v>6989716.1500000004</v>
      </c>
      <c r="C6" s="502">
        <v>14037.559799999995</v>
      </c>
      <c r="D6" s="503">
        <f t="shared" si="0"/>
        <v>2.0083161459997193E-3</v>
      </c>
      <c r="E6" s="502">
        <v>42287.341700000019</v>
      </c>
      <c r="F6" s="504">
        <f t="shared" si="1"/>
        <v>6.0499369062361735E-3</v>
      </c>
      <c r="G6" s="505">
        <f t="shared" ref="G6:G10" si="3">E6-C6</f>
        <v>28249.781900000024</v>
      </c>
      <c r="H6" s="506">
        <f t="shared" si="2"/>
        <v>4.0416207602364546E-3</v>
      </c>
      <c r="I6" s="821"/>
      <c r="J6" s="821"/>
      <c r="K6" s="483"/>
      <c r="L6" s="483"/>
      <c r="M6" s="483"/>
      <c r="N6" s="483"/>
      <c r="O6" s="507"/>
      <c r="P6" s="507"/>
      <c r="Q6" s="507"/>
      <c r="R6" s="507"/>
      <c r="S6" s="507"/>
      <c r="T6" s="507"/>
      <c r="U6" s="507"/>
      <c r="V6" s="507"/>
    </row>
    <row r="7" spans="1:33" s="508" customFormat="1" ht="18">
      <c r="A7" s="500">
        <f t="shared" ref="A7:A46" si="4">A6+1</f>
        <v>46198</v>
      </c>
      <c r="B7" s="501">
        <v>6448640.1000000006</v>
      </c>
      <c r="C7" s="502">
        <v>12908.202599999995</v>
      </c>
      <c r="D7" s="503">
        <f t="shared" si="0"/>
        <v>2.0016937524548772E-3</v>
      </c>
      <c r="E7" s="502">
        <v>38822.113600000012</v>
      </c>
      <c r="F7" s="504">
        <f t="shared" si="1"/>
        <v>6.0202016235950291E-3</v>
      </c>
      <c r="G7" s="505">
        <f t="shared" si="3"/>
        <v>25913.911000000015</v>
      </c>
      <c r="H7" s="506">
        <f t="shared" si="2"/>
        <v>4.0185078711401515E-3</v>
      </c>
      <c r="I7" s="821"/>
      <c r="J7" s="821"/>
      <c r="K7" s="483"/>
      <c r="L7" s="483"/>
      <c r="M7" s="483"/>
      <c r="N7" s="483"/>
      <c r="O7" s="507"/>
      <c r="P7" s="507"/>
      <c r="Q7" s="507"/>
      <c r="R7" s="507"/>
      <c r="S7" s="507"/>
      <c r="T7" s="507"/>
      <c r="U7" s="507"/>
      <c r="V7" s="507"/>
    </row>
    <row r="8" spans="1:33" s="508" customFormat="1" ht="18">
      <c r="A8" s="500">
        <f t="shared" si="4"/>
        <v>46199</v>
      </c>
      <c r="B8" s="501">
        <v>5352556.66</v>
      </c>
      <c r="C8" s="502">
        <v>10703.473600000003</v>
      </c>
      <c r="D8" s="503">
        <f t="shared" si="0"/>
        <v>1.9996936566758364E-3</v>
      </c>
      <c r="E8" s="502">
        <v>32177.576800000006</v>
      </c>
      <c r="F8" s="504">
        <f t="shared" si="1"/>
        <v>6.0116274976526832E-3</v>
      </c>
      <c r="G8" s="505">
        <f t="shared" si="3"/>
        <v>21474.103200000005</v>
      </c>
      <c r="H8" s="506">
        <f t="shared" si="2"/>
        <v>4.0119338409768468E-3</v>
      </c>
      <c r="I8" s="821"/>
      <c r="J8" s="821"/>
      <c r="K8" s="483"/>
      <c r="L8" s="483"/>
      <c r="M8" s="483"/>
      <c r="N8" s="483"/>
      <c r="O8" s="507"/>
      <c r="P8" s="507"/>
      <c r="Q8" s="507"/>
      <c r="R8" s="507"/>
      <c r="S8" s="507"/>
      <c r="T8" s="507"/>
      <c r="U8" s="507"/>
      <c r="V8" s="507"/>
    </row>
    <row r="9" spans="1:33" s="508" customFormat="1" ht="18">
      <c r="A9" s="500">
        <f t="shared" si="4"/>
        <v>46200</v>
      </c>
      <c r="B9" s="501">
        <v>5770317.1100000003</v>
      </c>
      <c r="C9" s="502">
        <v>11553.129899999994</v>
      </c>
      <c r="D9" s="503">
        <f t="shared" si="0"/>
        <v>2.0021655101031344E-3</v>
      </c>
      <c r="E9" s="502">
        <v>34715.205099999992</v>
      </c>
      <c r="F9" s="504">
        <f t="shared" si="1"/>
        <v>6.0161693782544981E-3</v>
      </c>
      <c r="G9" s="505">
        <f t="shared" si="3"/>
        <v>23162.075199999999</v>
      </c>
      <c r="H9" s="506">
        <f t="shared" si="2"/>
        <v>4.0140038681513637E-3</v>
      </c>
      <c r="I9" s="821"/>
      <c r="J9" s="821"/>
      <c r="K9" s="483"/>
      <c r="L9" s="483"/>
      <c r="M9" s="483"/>
      <c r="N9" s="483"/>
      <c r="O9" s="507"/>
      <c r="P9" s="507"/>
      <c r="Q9" s="507"/>
      <c r="R9" s="507"/>
      <c r="S9" s="507"/>
      <c r="T9" s="507"/>
      <c r="U9" s="507"/>
      <c r="V9" s="507"/>
    </row>
    <row r="10" spans="1:33" s="508" customFormat="1" ht="18">
      <c r="A10" s="500">
        <f t="shared" si="4"/>
        <v>46201</v>
      </c>
      <c r="B10" s="501">
        <v>7367341.2600000016</v>
      </c>
      <c r="C10" s="502">
        <v>14810.736300000002</v>
      </c>
      <c r="D10" s="503">
        <f t="shared" si="0"/>
        <v>2.0103230972091553E-3</v>
      </c>
      <c r="E10" s="502">
        <v>44495.530799999986</v>
      </c>
      <c r="F10" s="504">
        <f t="shared" si="1"/>
        <v>6.0395642375876551E-3</v>
      </c>
      <c r="G10" s="505">
        <f t="shared" si="3"/>
        <v>29684.794499999982</v>
      </c>
      <c r="H10" s="506">
        <f t="shared" si="2"/>
        <v>4.0292411403784999E-3</v>
      </c>
      <c r="I10" s="821"/>
      <c r="J10" s="821"/>
      <c r="K10" s="483"/>
      <c r="L10" s="483"/>
      <c r="M10" s="483"/>
      <c r="N10" s="483"/>
      <c r="O10" s="507"/>
      <c r="P10" s="507"/>
      <c r="Q10" s="507"/>
      <c r="R10" s="507"/>
      <c r="S10" s="507"/>
      <c r="T10" s="507"/>
      <c r="U10" s="507"/>
      <c r="V10" s="507"/>
    </row>
    <row r="11" spans="1:33" s="508" customFormat="1" ht="18">
      <c r="A11" s="500">
        <f t="shared" si="4"/>
        <v>46202</v>
      </c>
      <c r="B11" s="501">
        <v>7280769.8300000001</v>
      </c>
      <c r="C11" s="502">
        <v>14608.065100000002</v>
      </c>
      <c r="D11" s="503">
        <f t="shared" si="0"/>
        <v>2.0063901814075065E-3</v>
      </c>
      <c r="E11" s="502">
        <v>43833.649700000002</v>
      </c>
      <c r="F11" s="504">
        <f>E11/B11</f>
        <v>6.0204690882255238E-3</v>
      </c>
      <c r="G11" s="505">
        <f>E11-C11</f>
        <v>29225.584600000002</v>
      </c>
      <c r="H11" s="506">
        <f>G11/B11</f>
        <v>4.0140789068180173E-3</v>
      </c>
      <c r="I11" s="821"/>
      <c r="J11" s="821"/>
      <c r="K11" s="483"/>
      <c r="L11" s="483"/>
      <c r="M11" s="483"/>
      <c r="N11" s="483"/>
      <c r="O11" s="507"/>
      <c r="P11" s="507"/>
      <c r="Q11" s="507"/>
      <c r="R11" s="507"/>
      <c r="S11" s="507"/>
      <c r="T11" s="507"/>
      <c r="U11" s="507"/>
      <c r="V11" s="507"/>
    </row>
    <row r="12" spans="1:33" s="508" customFormat="1" ht="18">
      <c r="A12" s="509">
        <f t="shared" si="4"/>
        <v>46203</v>
      </c>
      <c r="B12" s="501">
        <v>7292751.3200000003</v>
      </c>
      <c r="C12" s="502">
        <v>14683.012900000003</v>
      </c>
      <c r="D12" s="503">
        <f t="shared" si="0"/>
        <v>2.0133708467108408E-3</v>
      </c>
      <c r="E12" s="502">
        <v>43971.88769999997</v>
      </c>
      <c r="F12" s="504">
        <f>E12/B12</f>
        <v>6.029533405233399E-3</v>
      </c>
      <c r="G12" s="505">
        <f t="shared" ref="G12:G46" si="5">E12-C12</f>
        <v>29288.874799999969</v>
      </c>
      <c r="H12" s="506">
        <f t="shared" ref="H12:H46" si="6">G12/B12</f>
        <v>4.0161625585225591E-3</v>
      </c>
      <c r="I12" s="822">
        <f>SUM(C12:C18)</f>
        <v>93200.448800000013</v>
      </c>
      <c r="J12" s="822">
        <f>SUM(E12:E18)</f>
        <v>279158.78502000007</v>
      </c>
      <c r="K12" s="483"/>
      <c r="L12" s="483"/>
      <c r="M12" s="483"/>
      <c r="N12" s="483"/>
      <c r="O12" s="507"/>
      <c r="P12" s="507"/>
      <c r="Q12" s="507"/>
      <c r="R12" s="507"/>
      <c r="S12" s="507"/>
      <c r="T12" s="507"/>
      <c r="U12" s="507"/>
      <c r="V12" s="507"/>
    </row>
    <row r="13" spans="1:33" s="508" customFormat="1" ht="18">
      <c r="A13" s="509">
        <f t="shared" si="4"/>
        <v>46204</v>
      </c>
      <c r="B13" s="501">
        <v>6821172.7800000003</v>
      </c>
      <c r="C13" s="454">
        <v>13696.273500000005</v>
      </c>
      <c r="D13" s="503">
        <f t="shared" si="0"/>
        <v>2.0079059630564006E-3</v>
      </c>
      <c r="E13" s="454">
        <v>41050.606100000026</v>
      </c>
      <c r="F13" s="504">
        <f t="shared" si="1"/>
        <v>6.0181155680973713E-3</v>
      </c>
      <c r="G13" s="505">
        <f t="shared" si="5"/>
        <v>27354.332600000023</v>
      </c>
      <c r="H13" s="506">
        <f t="shared" si="6"/>
        <v>4.0102096050409711E-3</v>
      </c>
      <c r="I13" s="822"/>
      <c r="J13" s="822"/>
      <c r="K13" s="483"/>
      <c r="L13" s="483"/>
      <c r="M13" s="483"/>
      <c r="N13" s="483"/>
      <c r="O13" s="507"/>
      <c r="P13" s="507"/>
      <c r="Q13" s="507"/>
      <c r="R13" s="507"/>
      <c r="S13" s="507"/>
      <c r="T13" s="507"/>
      <c r="U13" s="507"/>
      <c r="V13" s="507"/>
    </row>
    <row r="14" spans="1:33" s="508" customFormat="1" ht="18">
      <c r="A14" s="509">
        <f t="shared" si="4"/>
        <v>46205</v>
      </c>
      <c r="B14" s="501">
        <v>6343385.2199999997</v>
      </c>
      <c r="C14" s="454">
        <v>12724.155099999996</v>
      </c>
      <c r="D14" s="503">
        <f t="shared" si="0"/>
        <v>2.0058934872632561E-3</v>
      </c>
      <c r="E14" s="454">
        <v>38135.225300000049</v>
      </c>
      <c r="F14" s="504">
        <f t="shared" si="1"/>
        <v>6.0118097793846505E-3</v>
      </c>
      <c r="G14" s="505">
        <f t="shared" si="5"/>
        <v>25411.070200000053</v>
      </c>
      <c r="H14" s="506">
        <f t="shared" si="6"/>
        <v>4.0059162921213939E-3</v>
      </c>
      <c r="I14" s="822"/>
      <c r="J14" s="822"/>
      <c r="K14" s="483"/>
      <c r="L14" s="483"/>
      <c r="M14" s="483"/>
      <c r="N14" s="483"/>
      <c r="O14" s="507"/>
      <c r="P14" s="507"/>
      <c r="Q14" s="507"/>
      <c r="R14" s="507"/>
      <c r="S14" s="507"/>
      <c r="T14" s="507"/>
      <c r="U14" s="507"/>
      <c r="V14" s="507"/>
    </row>
    <row r="15" spans="1:33" s="508" customFormat="1" ht="18">
      <c r="A15" s="509">
        <f t="shared" si="4"/>
        <v>46206</v>
      </c>
      <c r="B15" s="501">
        <v>5464679.9400000004</v>
      </c>
      <c r="C15" s="454">
        <v>10942.5322</v>
      </c>
      <c r="D15" s="503">
        <f t="shared" si="0"/>
        <v>2.0024104467497869E-3</v>
      </c>
      <c r="E15" s="454">
        <v>32833.702400000016</v>
      </c>
      <c r="F15" s="504">
        <f t="shared" si="1"/>
        <v>6.0083486609464661E-3</v>
      </c>
      <c r="G15" s="505">
        <f t="shared" si="5"/>
        <v>21891.170200000015</v>
      </c>
      <c r="H15" s="506">
        <f t="shared" si="6"/>
        <v>4.0059382141966783E-3</v>
      </c>
      <c r="I15" s="822"/>
      <c r="J15" s="822"/>
      <c r="K15" s="483"/>
      <c r="L15" s="483"/>
      <c r="M15" s="483"/>
      <c r="N15" s="483"/>
      <c r="O15" s="507"/>
      <c r="P15" s="507"/>
      <c r="Q15" s="507"/>
      <c r="R15" s="507"/>
      <c r="S15" s="507"/>
      <c r="T15" s="507"/>
      <c r="U15" s="507"/>
      <c r="V15" s="507"/>
    </row>
    <row r="16" spans="1:33" s="508" customFormat="1" ht="18">
      <c r="A16" s="509">
        <f t="shared" si="4"/>
        <v>46207</v>
      </c>
      <c r="B16" s="501">
        <v>6007602.620000002</v>
      </c>
      <c r="C16" s="454">
        <v>12042.110200000006</v>
      </c>
      <c r="D16" s="503">
        <f t="shared" si="0"/>
        <v>2.0044784852963531E-3</v>
      </c>
      <c r="E16" s="454">
        <v>36118.718620000007</v>
      </c>
      <c r="F16" s="504">
        <f t="shared" si="1"/>
        <v>6.0121683980489367E-3</v>
      </c>
      <c r="G16" s="505">
        <f t="shared" si="5"/>
        <v>24076.60842</v>
      </c>
      <c r="H16" s="506">
        <f t="shared" si="6"/>
        <v>4.0076899127525836E-3</v>
      </c>
      <c r="I16" s="822"/>
      <c r="J16" s="822"/>
      <c r="K16" s="483"/>
      <c r="L16" s="483"/>
      <c r="M16" s="483"/>
      <c r="N16" s="483"/>
      <c r="O16" s="507"/>
      <c r="P16" s="507"/>
      <c r="Q16" s="507"/>
      <c r="R16" s="507"/>
      <c r="S16" s="507"/>
      <c r="T16" s="507"/>
      <c r="U16" s="507"/>
      <c r="V16" s="507"/>
    </row>
    <row r="17" spans="1:22" s="508" customFormat="1" ht="18">
      <c r="A17" s="509">
        <f t="shared" si="4"/>
        <v>46208</v>
      </c>
      <c r="B17" s="501">
        <v>7429288.9299999988</v>
      </c>
      <c r="C17" s="454">
        <v>14964.413499999997</v>
      </c>
      <c r="D17" s="503">
        <f t="shared" si="0"/>
        <v>2.0142457294361816E-3</v>
      </c>
      <c r="E17" s="454">
        <v>44751.840099999979</v>
      </c>
      <c r="F17" s="504">
        <f t="shared" si="1"/>
        <v>6.023704357396689E-3</v>
      </c>
      <c r="G17" s="505">
        <f t="shared" si="5"/>
        <v>29787.426599999984</v>
      </c>
      <c r="H17" s="506">
        <f t="shared" si="6"/>
        <v>4.0094586279605078E-3</v>
      </c>
      <c r="I17" s="822"/>
      <c r="J17" s="822"/>
      <c r="K17" s="483"/>
      <c r="L17" s="483"/>
      <c r="M17" s="483"/>
      <c r="N17" s="483"/>
      <c r="O17" s="507"/>
      <c r="P17" s="507"/>
      <c r="Q17" s="507"/>
      <c r="R17" s="507"/>
      <c r="S17" s="507"/>
      <c r="T17" s="507"/>
      <c r="U17" s="507"/>
      <c r="V17" s="507"/>
    </row>
    <row r="18" spans="1:22" s="508" customFormat="1" ht="18">
      <c r="A18" s="509">
        <f t="shared" si="4"/>
        <v>46209</v>
      </c>
      <c r="B18" s="501">
        <v>7038286.0199999996</v>
      </c>
      <c r="C18" s="454">
        <v>14147.9514</v>
      </c>
      <c r="D18" s="503">
        <f t="shared" si="0"/>
        <v>2.0101415827372131E-3</v>
      </c>
      <c r="E18" s="454">
        <v>42296.804800000013</v>
      </c>
      <c r="F18" s="504">
        <f t="shared" si="1"/>
        <v>6.0095319627263477E-3</v>
      </c>
      <c r="G18" s="505">
        <f t="shared" si="5"/>
        <v>28148.853400000015</v>
      </c>
      <c r="H18" s="506">
        <f t="shared" si="6"/>
        <v>3.999390379989135E-3</v>
      </c>
      <c r="I18" s="822"/>
      <c r="J18" s="822"/>
      <c r="K18" s="483"/>
      <c r="L18" s="483"/>
      <c r="M18" s="483"/>
      <c r="N18" s="483"/>
      <c r="O18" s="507"/>
      <c r="P18" s="507"/>
      <c r="Q18" s="507"/>
      <c r="R18" s="507"/>
      <c r="S18" s="507"/>
      <c r="T18" s="507"/>
      <c r="U18" s="507"/>
      <c r="V18" s="507"/>
    </row>
    <row r="19" spans="1:22" s="508" customFormat="1" ht="18">
      <c r="A19" s="500">
        <f t="shared" si="4"/>
        <v>46210</v>
      </c>
      <c r="B19" s="501">
        <v>7860603.3600000003</v>
      </c>
      <c r="C19" s="454">
        <v>15878.214199999999</v>
      </c>
      <c r="D19" s="503">
        <f t="shared" si="0"/>
        <v>2.01997397309206E-3</v>
      </c>
      <c r="E19" s="454">
        <v>47553.909699999975</v>
      </c>
      <c r="F19" s="504">
        <f t="shared" si="1"/>
        <v>6.0496513463566964E-3</v>
      </c>
      <c r="G19" s="505">
        <f t="shared" si="5"/>
        <v>31675.695499999976</v>
      </c>
      <c r="H19" s="506">
        <f t="shared" si="6"/>
        <v>4.029677373264636E-3</v>
      </c>
      <c r="I19" s="821">
        <f>SUM(C19:C25)</f>
        <v>97471.614600000001</v>
      </c>
      <c r="J19" s="821">
        <f>SUM(E19:E25)</f>
        <v>292062.31539999996</v>
      </c>
      <c r="K19" s="483"/>
      <c r="L19" s="483"/>
      <c r="M19" s="483"/>
      <c r="N19" s="483"/>
      <c r="O19" s="507"/>
      <c r="P19" s="507"/>
      <c r="Q19" s="507"/>
      <c r="R19" s="507"/>
      <c r="S19" s="507"/>
      <c r="T19" s="507"/>
      <c r="U19" s="507"/>
      <c r="V19" s="507"/>
    </row>
    <row r="20" spans="1:22" s="508" customFormat="1" ht="18">
      <c r="A20" s="500">
        <f t="shared" si="4"/>
        <v>46211</v>
      </c>
      <c r="B20" s="501">
        <v>7229874.9699999988</v>
      </c>
      <c r="C20" s="454">
        <v>14575.342900000001</v>
      </c>
      <c r="D20" s="503">
        <f t="shared" si="0"/>
        <v>2.0159882377606322E-3</v>
      </c>
      <c r="E20" s="454">
        <v>43641.878000000019</v>
      </c>
      <c r="F20" s="504">
        <f t="shared" si="1"/>
        <v>6.0363254110326649E-3</v>
      </c>
      <c r="G20" s="505">
        <f t="shared" si="5"/>
        <v>29066.535100000016</v>
      </c>
      <c r="H20" s="506">
        <f t="shared" si="6"/>
        <v>4.0203371732720327E-3</v>
      </c>
      <c r="I20" s="821"/>
      <c r="J20" s="821"/>
      <c r="K20" s="483"/>
      <c r="L20" s="483"/>
      <c r="M20" s="483"/>
      <c r="N20" s="483"/>
      <c r="O20" s="507"/>
      <c r="P20" s="507"/>
      <c r="Q20" s="507"/>
      <c r="R20" s="507"/>
      <c r="S20" s="507"/>
      <c r="T20" s="507"/>
      <c r="U20" s="507"/>
      <c r="V20" s="507"/>
    </row>
    <row r="21" spans="1:22" s="508" customFormat="1" ht="18">
      <c r="A21" s="500">
        <f t="shared" si="4"/>
        <v>46212</v>
      </c>
      <c r="B21" s="501">
        <v>6763681.4199999999</v>
      </c>
      <c r="C21" s="454">
        <v>13598.093999999999</v>
      </c>
      <c r="D21" s="503">
        <f t="shared" si="0"/>
        <v>2.0104574943152777E-3</v>
      </c>
      <c r="E21" s="454">
        <v>40482.406800000004</v>
      </c>
      <c r="F21" s="504">
        <f t="shared" si="1"/>
        <v>5.9852622094669862E-3</v>
      </c>
      <c r="G21" s="505">
        <f t="shared" si="5"/>
        <v>26884.312800000007</v>
      </c>
      <c r="H21" s="506">
        <f t="shared" si="6"/>
        <v>3.9748047151517089E-3</v>
      </c>
      <c r="I21" s="821"/>
      <c r="J21" s="821"/>
      <c r="K21" s="483"/>
      <c r="L21" s="483"/>
      <c r="M21" s="483"/>
      <c r="N21" s="483"/>
      <c r="O21" s="507"/>
      <c r="P21" s="507"/>
      <c r="Q21" s="507"/>
      <c r="R21" s="507"/>
      <c r="S21" s="507"/>
      <c r="T21" s="507"/>
      <c r="U21" s="507"/>
      <c r="V21" s="507"/>
    </row>
    <row r="22" spans="1:22" s="508" customFormat="1" ht="18">
      <c r="A22" s="500">
        <f t="shared" si="4"/>
        <v>46213</v>
      </c>
      <c r="B22" s="501">
        <v>5383246.2600000007</v>
      </c>
      <c r="C22" s="454">
        <v>10788.829100000001</v>
      </c>
      <c r="D22" s="503">
        <f t="shared" si="0"/>
        <v>2.0041492770200707E-3</v>
      </c>
      <c r="E22" s="454">
        <v>32235.094899999996</v>
      </c>
      <c r="F22" s="504">
        <f t="shared" si="1"/>
        <v>5.9880401793099454E-3</v>
      </c>
      <c r="G22" s="505">
        <f t="shared" si="5"/>
        <v>21446.265799999994</v>
      </c>
      <c r="H22" s="506">
        <f t="shared" si="6"/>
        <v>3.9838909022898742E-3</v>
      </c>
      <c r="I22" s="821"/>
      <c r="J22" s="821"/>
      <c r="K22" s="483"/>
      <c r="L22" s="483"/>
      <c r="M22" s="483"/>
      <c r="N22" s="483"/>
      <c r="O22" s="507"/>
      <c r="P22" s="507"/>
      <c r="Q22" s="507"/>
      <c r="R22" s="507"/>
      <c r="S22" s="507"/>
      <c r="T22" s="507"/>
      <c r="U22" s="507"/>
      <c r="V22" s="507"/>
    </row>
    <row r="23" spans="1:22" s="508" customFormat="1" ht="18">
      <c r="A23" s="500">
        <f t="shared" si="4"/>
        <v>46214</v>
      </c>
      <c r="B23" s="501">
        <v>6085802.3500000015</v>
      </c>
      <c r="C23" s="454">
        <v>12231.091399999996</v>
      </c>
      <c r="D23" s="503">
        <f t="shared" si="0"/>
        <v>2.0097746684132772E-3</v>
      </c>
      <c r="E23" s="454">
        <v>36539.751599999996</v>
      </c>
      <c r="F23" s="504">
        <f t="shared" si="1"/>
        <v>6.0040976519718861E-3</v>
      </c>
      <c r="G23" s="505">
        <f t="shared" si="5"/>
        <v>24308.660199999998</v>
      </c>
      <c r="H23" s="506">
        <f t="shared" si="6"/>
        <v>3.9943229835586085E-3</v>
      </c>
      <c r="I23" s="821"/>
      <c r="J23" s="821"/>
      <c r="K23" s="483"/>
      <c r="L23" s="483"/>
      <c r="M23" s="483"/>
      <c r="N23" s="483"/>
      <c r="O23" s="507"/>
      <c r="P23" s="507"/>
      <c r="Q23" s="507"/>
      <c r="R23" s="507"/>
      <c r="S23" s="507"/>
      <c r="T23" s="507"/>
      <c r="U23" s="507"/>
      <c r="V23" s="507"/>
    </row>
    <row r="24" spans="1:22" s="508" customFormat="1" ht="18">
      <c r="A24" s="500">
        <f t="shared" si="4"/>
        <v>46215</v>
      </c>
      <c r="B24" s="501">
        <v>7790002.1000000006</v>
      </c>
      <c r="C24" s="454">
        <v>15732.254800000006</v>
      </c>
      <c r="D24" s="503">
        <f t="shared" si="0"/>
        <v>2.0195443593012644E-3</v>
      </c>
      <c r="E24" s="454">
        <v>47583.363200000014</v>
      </c>
      <c r="F24" s="504">
        <f t="shared" si="1"/>
        <v>6.1082606383379553E-3</v>
      </c>
      <c r="G24" s="505">
        <f t="shared" si="5"/>
        <v>31851.108400000008</v>
      </c>
      <c r="H24" s="506">
        <f t="shared" si="6"/>
        <v>4.0887162790366905E-3</v>
      </c>
      <c r="I24" s="821"/>
      <c r="J24" s="821"/>
      <c r="K24" s="483"/>
      <c r="L24" s="483"/>
      <c r="M24" s="483"/>
      <c r="N24" s="483"/>
      <c r="O24" s="507"/>
      <c r="P24" s="507"/>
      <c r="Q24" s="507"/>
      <c r="R24" s="507"/>
      <c r="S24" s="507"/>
      <c r="T24" s="507"/>
      <c r="U24" s="507"/>
      <c r="V24" s="507"/>
    </row>
    <row r="25" spans="1:22" s="508" customFormat="1" ht="18">
      <c r="A25" s="500">
        <f t="shared" si="4"/>
        <v>46216</v>
      </c>
      <c r="B25" s="501">
        <v>7296191.4900000002</v>
      </c>
      <c r="C25" s="454">
        <v>14667.788200000001</v>
      </c>
      <c r="D25" s="503">
        <f t="shared" si="0"/>
        <v>2.0103348740371399E-3</v>
      </c>
      <c r="E25" s="454">
        <v>44025.911199999966</v>
      </c>
      <c r="F25" s="504">
        <f t="shared" si="1"/>
        <v>6.0340948096470485E-3</v>
      </c>
      <c r="G25" s="505">
        <f t="shared" si="5"/>
        <v>29358.122999999963</v>
      </c>
      <c r="H25" s="506">
        <f t="shared" si="6"/>
        <v>4.0237599356099081E-3</v>
      </c>
      <c r="I25" s="821"/>
      <c r="J25" s="821"/>
      <c r="K25" s="483"/>
      <c r="L25" s="483"/>
      <c r="M25" s="483"/>
      <c r="N25" s="483"/>
      <c r="O25" s="507"/>
      <c r="P25" s="507"/>
      <c r="Q25" s="507"/>
      <c r="R25" s="507"/>
      <c r="S25" s="507"/>
      <c r="T25" s="507"/>
      <c r="U25" s="507"/>
      <c r="V25" s="507"/>
    </row>
    <row r="26" spans="1:22" s="508" customFormat="1" ht="18">
      <c r="A26" s="509">
        <f t="shared" si="4"/>
        <v>46217</v>
      </c>
      <c r="B26" s="501"/>
      <c r="C26" s="502"/>
      <c r="D26" s="503" t="e">
        <f t="shared" si="0"/>
        <v>#DIV/0!</v>
      </c>
      <c r="E26" s="502"/>
      <c r="F26" s="504" t="e">
        <f t="shared" si="1"/>
        <v>#DIV/0!</v>
      </c>
      <c r="G26" s="505">
        <f t="shared" si="5"/>
        <v>0</v>
      </c>
      <c r="H26" s="506" t="e">
        <f t="shared" si="6"/>
        <v>#DIV/0!</v>
      </c>
      <c r="I26" s="822">
        <f>SUM(C26:C32)</f>
        <v>0</v>
      </c>
      <c r="J26" s="822">
        <f>SUM(E26:E32)</f>
        <v>0</v>
      </c>
      <c r="K26" s="483"/>
      <c r="L26" s="483"/>
      <c r="M26" s="483"/>
      <c r="N26" s="483"/>
      <c r="O26" s="507"/>
      <c r="P26" s="507"/>
      <c r="Q26" s="507"/>
      <c r="R26" s="507"/>
      <c r="S26" s="507"/>
      <c r="T26" s="507"/>
      <c r="U26" s="507"/>
      <c r="V26" s="507"/>
    </row>
    <row r="27" spans="1:22" s="508" customFormat="1" ht="18">
      <c r="A27" s="509">
        <f t="shared" si="4"/>
        <v>46218</v>
      </c>
      <c r="B27" s="501"/>
      <c r="C27" s="502"/>
      <c r="D27" s="503" t="e">
        <f t="shared" si="0"/>
        <v>#DIV/0!</v>
      </c>
      <c r="E27" s="502"/>
      <c r="F27" s="504" t="e">
        <f t="shared" si="1"/>
        <v>#DIV/0!</v>
      </c>
      <c r="G27" s="505">
        <f t="shared" si="5"/>
        <v>0</v>
      </c>
      <c r="H27" s="506" t="e">
        <f t="shared" si="6"/>
        <v>#DIV/0!</v>
      </c>
      <c r="I27" s="822"/>
      <c r="J27" s="822"/>
      <c r="K27" s="483"/>
      <c r="L27" s="483"/>
      <c r="M27" s="483"/>
      <c r="N27" s="483"/>
      <c r="O27" s="507"/>
      <c r="P27" s="507"/>
      <c r="Q27" s="507"/>
      <c r="R27" s="507"/>
      <c r="S27" s="507"/>
      <c r="T27" s="507"/>
      <c r="U27" s="507"/>
      <c r="V27" s="507"/>
    </row>
    <row r="28" spans="1:22" s="508" customFormat="1" ht="18">
      <c r="A28" s="509">
        <f t="shared" si="4"/>
        <v>46219</v>
      </c>
      <c r="B28" s="501"/>
      <c r="C28" s="502"/>
      <c r="D28" s="503" t="e">
        <f t="shared" si="0"/>
        <v>#DIV/0!</v>
      </c>
      <c r="E28" s="502"/>
      <c r="F28" s="504" t="e">
        <f t="shared" si="1"/>
        <v>#DIV/0!</v>
      </c>
      <c r="G28" s="505">
        <f t="shared" si="5"/>
        <v>0</v>
      </c>
      <c r="H28" s="506" t="e">
        <f t="shared" si="6"/>
        <v>#DIV/0!</v>
      </c>
      <c r="I28" s="822"/>
      <c r="J28" s="822"/>
      <c r="K28" s="483"/>
      <c r="L28" s="483"/>
      <c r="M28" s="483"/>
      <c r="N28" s="483"/>
      <c r="O28" s="507"/>
      <c r="P28" s="507"/>
      <c r="Q28" s="507"/>
      <c r="R28" s="507"/>
      <c r="S28" s="507"/>
      <c r="T28" s="507"/>
      <c r="U28" s="507"/>
      <c r="V28" s="507"/>
    </row>
    <row r="29" spans="1:22" s="508" customFormat="1" ht="18">
      <c r="A29" s="509">
        <f t="shared" si="4"/>
        <v>46220</v>
      </c>
      <c r="B29" s="501"/>
      <c r="C29" s="502"/>
      <c r="D29" s="503" t="e">
        <f t="shared" si="0"/>
        <v>#DIV/0!</v>
      </c>
      <c r="E29" s="502"/>
      <c r="F29" s="504" t="e">
        <f t="shared" si="1"/>
        <v>#DIV/0!</v>
      </c>
      <c r="G29" s="505">
        <f t="shared" si="5"/>
        <v>0</v>
      </c>
      <c r="H29" s="506" t="e">
        <f t="shared" si="6"/>
        <v>#DIV/0!</v>
      </c>
      <c r="I29" s="822"/>
      <c r="J29" s="822"/>
      <c r="K29" s="483"/>
      <c r="L29" s="483"/>
      <c r="M29" s="483"/>
      <c r="N29" s="483"/>
      <c r="O29" s="507"/>
      <c r="P29" s="507"/>
      <c r="Q29" s="507"/>
      <c r="R29" s="507"/>
      <c r="S29" s="507"/>
      <c r="T29" s="507"/>
      <c r="U29" s="507"/>
      <c r="V29" s="507"/>
    </row>
    <row r="30" spans="1:22" s="508" customFormat="1" ht="18">
      <c r="A30" s="509">
        <f t="shared" si="4"/>
        <v>46221</v>
      </c>
      <c r="B30" s="501"/>
      <c r="C30" s="502"/>
      <c r="D30" s="503" t="e">
        <f t="shared" si="0"/>
        <v>#DIV/0!</v>
      </c>
      <c r="E30" s="502"/>
      <c r="F30" s="504" t="e">
        <f t="shared" si="1"/>
        <v>#DIV/0!</v>
      </c>
      <c r="G30" s="505">
        <f t="shared" si="5"/>
        <v>0</v>
      </c>
      <c r="H30" s="506" t="e">
        <f t="shared" si="6"/>
        <v>#DIV/0!</v>
      </c>
      <c r="I30" s="822"/>
      <c r="J30" s="822"/>
      <c r="K30" s="483"/>
      <c r="L30" s="483"/>
      <c r="M30" s="483"/>
      <c r="N30" s="483"/>
      <c r="O30" s="507"/>
      <c r="P30" s="507"/>
      <c r="Q30" s="507"/>
      <c r="R30" s="507"/>
      <c r="S30" s="507"/>
      <c r="T30" s="507"/>
      <c r="U30" s="507"/>
      <c r="V30" s="507"/>
    </row>
    <row r="31" spans="1:22" s="508" customFormat="1" ht="18">
      <c r="A31" s="509">
        <f t="shared" si="4"/>
        <v>46222</v>
      </c>
      <c r="B31" s="501"/>
      <c r="C31" s="502"/>
      <c r="D31" s="503" t="e">
        <f t="shared" si="0"/>
        <v>#DIV/0!</v>
      </c>
      <c r="E31" s="502"/>
      <c r="F31" s="504" t="e">
        <f t="shared" si="1"/>
        <v>#DIV/0!</v>
      </c>
      <c r="G31" s="505">
        <f t="shared" si="5"/>
        <v>0</v>
      </c>
      <c r="H31" s="506" t="e">
        <f t="shared" si="6"/>
        <v>#DIV/0!</v>
      </c>
      <c r="I31" s="822"/>
      <c r="J31" s="822"/>
      <c r="K31" s="483"/>
      <c r="L31" s="483"/>
      <c r="M31" s="483"/>
      <c r="N31" s="483"/>
      <c r="O31" s="507"/>
      <c r="P31" s="507"/>
      <c r="Q31" s="507"/>
      <c r="R31" s="507"/>
      <c r="S31" s="507"/>
      <c r="T31" s="507"/>
      <c r="U31" s="507"/>
      <c r="V31" s="507"/>
    </row>
    <row r="32" spans="1:22" s="508" customFormat="1" ht="19.5" customHeight="1">
      <c r="A32" s="509">
        <f t="shared" si="4"/>
        <v>46223</v>
      </c>
      <c r="B32" s="501"/>
      <c r="C32" s="502"/>
      <c r="D32" s="503" t="e">
        <f t="shared" si="0"/>
        <v>#DIV/0!</v>
      </c>
      <c r="E32" s="502"/>
      <c r="F32" s="504" t="e">
        <f t="shared" si="1"/>
        <v>#DIV/0!</v>
      </c>
      <c r="G32" s="505">
        <f t="shared" si="5"/>
        <v>0</v>
      </c>
      <c r="H32" s="506" t="e">
        <f t="shared" si="6"/>
        <v>#DIV/0!</v>
      </c>
      <c r="I32" s="822"/>
      <c r="J32" s="822"/>
      <c r="K32" s="483"/>
      <c r="L32" s="483"/>
      <c r="M32" s="483"/>
      <c r="N32" s="483"/>
      <c r="O32" s="507"/>
      <c r="P32" s="507"/>
      <c r="Q32" s="507"/>
      <c r="R32" s="507"/>
      <c r="S32" s="507"/>
      <c r="T32" s="507"/>
      <c r="U32" s="507"/>
      <c r="V32" s="507"/>
    </row>
    <row r="33" spans="1:22" s="508" customFormat="1" ht="19.5" customHeight="1">
      <c r="A33" s="500">
        <f t="shared" si="4"/>
        <v>46224</v>
      </c>
      <c r="B33" s="501"/>
      <c r="C33" s="502"/>
      <c r="D33" s="503" t="e">
        <f t="shared" si="0"/>
        <v>#DIV/0!</v>
      </c>
      <c r="E33" s="502"/>
      <c r="F33" s="504" t="e">
        <f t="shared" si="1"/>
        <v>#DIV/0!</v>
      </c>
      <c r="G33" s="505">
        <f t="shared" si="5"/>
        <v>0</v>
      </c>
      <c r="H33" s="506" t="e">
        <f t="shared" si="6"/>
        <v>#DIV/0!</v>
      </c>
      <c r="I33" s="821">
        <f>SUM(C33:C39)</f>
        <v>0</v>
      </c>
      <c r="J33" s="821">
        <f>SUM(E33:E39)</f>
        <v>0</v>
      </c>
      <c r="K33" s="483"/>
      <c r="L33" s="483"/>
      <c r="M33" s="483"/>
      <c r="N33" s="483"/>
      <c r="O33" s="507"/>
      <c r="P33" s="507"/>
      <c r="Q33" s="507"/>
      <c r="R33" s="507"/>
      <c r="S33" s="507"/>
      <c r="T33" s="507"/>
      <c r="U33" s="507"/>
      <c r="V33" s="507"/>
    </row>
    <row r="34" spans="1:22" s="508" customFormat="1" ht="19.5" customHeight="1">
      <c r="A34" s="500">
        <f t="shared" si="4"/>
        <v>46225</v>
      </c>
      <c r="B34" s="501"/>
      <c r="C34" s="502"/>
      <c r="D34" s="503" t="e">
        <f t="shared" si="0"/>
        <v>#DIV/0!</v>
      </c>
      <c r="E34" s="502"/>
      <c r="F34" s="504" t="e">
        <f t="shared" si="1"/>
        <v>#DIV/0!</v>
      </c>
      <c r="G34" s="505">
        <f t="shared" si="5"/>
        <v>0</v>
      </c>
      <c r="H34" s="506" t="e">
        <f t="shared" si="6"/>
        <v>#DIV/0!</v>
      </c>
      <c r="I34" s="821"/>
      <c r="J34" s="821"/>
      <c r="K34" s="483"/>
      <c r="L34" s="483"/>
      <c r="M34" s="483"/>
      <c r="N34" s="483"/>
      <c r="O34" s="507"/>
      <c r="P34" s="507"/>
      <c r="Q34" s="507"/>
      <c r="R34" s="507"/>
      <c r="S34" s="507"/>
      <c r="T34" s="507"/>
      <c r="U34" s="507"/>
      <c r="V34" s="507"/>
    </row>
    <row r="35" spans="1:22" s="508" customFormat="1" ht="19.5" customHeight="1">
      <c r="A35" s="500">
        <f t="shared" si="4"/>
        <v>46226</v>
      </c>
      <c r="B35" s="501"/>
      <c r="C35" s="502"/>
      <c r="D35" s="503" t="e">
        <f t="shared" si="0"/>
        <v>#DIV/0!</v>
      </c>
      <c r="E35" s="502"/>
      <c r="F35" s="504" t="e">
        <f t="shared" si="1"/>
        <v>#DIV/0!</v>
      </c>
      <c r="G35" s="505">
        <f t="shared" si="5"/>
        <v>0</v>
      </c>
      <c r="H35" s="506" t="e">
        <f t="shared" si="6"/>
        <v>#DIV/0!</v>
      </c>
      <c r="I35" s="821"/>
      <c r="J35" s="821"/>
      <c r="K35" s="483"/>
      <c r="L35" s="483"/>
      <c r="M35" s="483"/>
      <c r="N35" s="483"/>
      <c r="O35" s="507"/>
      <c r="P35" s="507"/>
      <c r="Q35" s="507"/>
      <c r="R35" s="507"/>
      <c r="S35" s="507"/>
      <c r="T35" s="507"/>
      <c r="U35" s="507"/>
      <c r="V35" s="507"/>
    </row>
    <row r="36" spans="1:22" s="508" customFormat="1" ht="19.5" customHeight="1">
      <c r="A36" s="500">
        <f t="shared" si="4"/>
        <v>46227</v>
      </c>
      <c r="B36" s="501"/>
      <c r="C36" s="502"/>
      <c r="D36" s="503" t="e">
        <f t="shared" si="0"/>
        <v>#DIV/0!</v>
      </c>
      <c r="E36" s="502"/>
      <c r="F36" s="504" t="e">
        <f t="shared" si="1"/>
        <v>#DIV/0!</v>
      </c>
      <c r="G36" s="505">
        <f t="shared" si="5"/>
        <v>0</v>
      </c>
      <c r="H36" s="506" t="e">
        <f t="shared" si="6"/>
        <v>#DIV/0!</v>
      </c>
      <c r="I36" s="821"/>
      <c r="J36" s="821"/>
      <c r="K36" s="483"/>
      <c r="L36" s="483"/>
      <c r="M36" s="483"/>
      <c r="N36" s="483"/>
      <c r="O36" s="507"/>
      <c r="P36" s="507"/>
      <c r="Q36" s="507"/>
      <c r="R36" s="507"/>
      <c r="S36" s="507"/>
      <c r="T36" s="507"/>
      <c r="U36" s="507"/>
      <c r="V36" s="507"/>
    </row>
    <row r="37" spans="1:22" s="508" customFormat="1" ht="19.5" customHeight="1">
      <c r="A37" s="500">
        <f t="shared" si="4"/>
        <v>46228</v>
      </c>
      <c r="B37" s="501"/>
      <c r="C37" s="502"/>
      <c r="D37" s="503" t="e">
        <f t="shared" si="0"/>
        <v>#DIV/0!</v>
      </c>
      <c r="E37" s="502"/>
      <c r="F37" s="504" t="e">
        <f t="shared" si="1"/>
        <v>#DIV/0!</v>
      </c>
      <c r="G37" s="505">
        <f t="shared" si="5"/>
        <v>0</v>
      </c>
      <c r="H37" s="506" t="e">
        <f t="shared" si="6"/>
        <v>#DIV/0!</v>
      </c>
      <c r="I37" s="821"/>
      <c r="J37" s="821"/>
      <c r="K37" s="483"/>
      <c r="L37" s="483"/>
      <c r="M37" s="483"/>
      <c r="N37" s="483"/>
      <c r="O37" s="507"/>
      <c r="P37" s="507"/>
      <c r="Q37" s="507"/>
      <c r="R37" s="507"/>
      <c r="S37" s="507"/>
      <c r="T37" s="507"/>
      <c r="U37" s="507"/>
      <c r="V37" s="507"/>
    </row>
    <row r="38" spans="1:22" s="508" customFormat="1" ht="18">
      <c r="A38" s="500">
        <f t="shared" si="4"/>
        <v>46229</v>
      </c>
      <c r="B38" s="501"/>
      <c r="C38" s="502"/>
      <c r="D38" s="503" t="e">
        <f t="shared" si="0"/>
        <v>#DIV/0!</v>
      </c>
      <c r="E38" s="502"/>
      <c r="F38" s="504" t="e">
        <f t="shared" si="1"/>
        <v>#DIV/0!</v>
      </c>
      <c r="G38" s="505">
        <f t="shared" si="5"/>
        <v>0</v>
      </c>
      <c r="H38" s="506" t="e">
        <f t="shared" si="6"/>
        <v>#DIV/0!</v>
      </c>
      <c r="I38" s="821"/>
      <c r="J38" s="821"/>
      <c r="K38" s="483"/>
      <c r="L38" s="483"/>
      <c r="M38" s="483"/>
      <c r="N38" s="483"/>
      <c r="O38" s="507"/>
      <c r="P38" s="507"/>
      <c r="Q38" s="507"/>
      <c r="R38" s="507"/>
      <c r="S38" s="507"/>
      <c r="T38" s="507"/>
      <c r="U38" s="507"/>
      <c r="V38" s="507"/>
    </row>
    <row r="39" spans="1:22" s="508" customFormat="1" ht="18">
      <c r="A39" s="500">
        <f t="shared" si="4"/>
        <v>46230</v>
      </c>
      <c r="B39" s="501"/>
      <c r="C39" s="502"/>
      <c r="D39" s="503" t="e">
        <f t="shared" si="0"/>
        <v>#DIV/0!</v>
      </c>
      <c r="E39" s="502"/>
      <c r="F39" s="504" t="e">
        <f t="shared" si="1"/>
        <v>#DIV/0!</v>
      </c>
      <c r="G39" s="505">
        <f t="shared" si="5"/>
        <v>0</v>
      </c>
      <c r="H39" s="506" t="e">
        <f t="shared" si="6"/>
        <v>#DIV/0!</v>
      </c>
      <c r="I39" s="821"/>
      <c r="J39" s="821"/>
      <c r="K39" s="483"/>
      <c r="L39" s="483"/>
      <c r="M39" s="483"/>
      <c r="N39" s="483"/>
      <c r="O39" s="507"/>
      <c r="P39" s="507"/>
      <c r="Q39" s="507"/>
      <c r="R39" s="507"/>
      <c r="S39" s="507"/>
      <c r="T39" s="507"/>
      <c r="U39" s="507"/>
      <c r="V39" s="507"/>
    </row>
    <row r="40" spans="1:22" s="508" customFormat="1" ht="18">
      <c r="A40" s="509">
        <f t="shared" si="4"/>
        <v>46231</v>
      </c>
      <c r="B40" s="501"/>
      <c r="C40" s="502"/>
      <c r="D40" s="503" t="e">
        <f t="shared" si="0"/>
        <v>#DIV/0!</v>
      </c>
      <c r="E40" s="502"/>
      <c r="F40" s="504" t="e">
        <f t="shared" si="1"/>
        <v>#DIV/0!</v>
      </c>
      <c r="G40" s="505">
        <f t="shared" si="5"/>
        <v>0</v>
      </c>
      <c r="H40" s="506" t="e">
        <f t="shared" si="6"/>
        <v>#DIV/0!</v>
      </c>
      <c r="I40" s="822">
        <f>SUM(C40:C46)</f>
        <v>0</v>
      </c>
      <c r="J40" s="822">
        <f>SUM(E40:E46)</f>
        <v>0</v>
      </c>
      <c r="K40" s="483"/>
      <c r="L40" s="483"/>
      <c r="M40" s="483"/>
      <c r="N40" s="483"/>
      <c r="O40" s="507"/>
      <c r="P40" s="507"/>
      <c r="Q40" s="507"/>
      <c r="R40" s="507"/>
      <c r="S40" s="507"/>
      <c r="T40" s="507"/>
      <c r="U40" s="507"/>
      <c r="V40" s="507"/>
    </row>
    <row r="41" spans="1:22" s="508" customFormat="1" ht="18">
      <c r="A41" s="509">
        <f t="shared" si="4"/>
        <v>46232</v>
      </c>
      <c r="B41" s="501"/>
      <c r="C41" s="502"/>
      <c r="D41" s="503" t="e">
        <f t="shared" si="0"/>
        <v>#DIV/0!</v>
      </c>
      <c r="E41" s="502"/>
      <c r="F41" s="504" t="e">
        <f t="shared" si="1"/>
        <v>#DIV/0!</v>
      </c>
      <c r="G41" s="505">
        <f t="shared" si="5"/>
        <v>0</v>
      </c>
      <c r="H41" s="506" t="e">
        <f t="shared" si="6"/>
        <v>#DIV/0!</v>
      </c>
      <c r="I41" s="822"/>
      <c r="J41" s="822"/>
      <c r="K41" s="483"/>
      <c r="L41" s="483"/>
      <c r="M41" s="483"/>
      <c r="N41" s="483"/>
      <c r="O41" s="507"/>
      <c r="P41" s="507"/>
      <c r="Q41" s="507"/>
      <c r="R41" s="507"/>
      <c r="S41" s="507"/>
      <c r="T41" s="507"/>
      <c r="U41" s="507"/>
      <c r="V41" s="507"/>
    </row>
    <row r="42" spans="1:22" s="508" customFormat="1" ht="18">
      <c r="A42" s="509">
        <f t="shared" si="4"/>
        <v>46233</v>
      </c>
      <c r="B42" s="501"/>
      <c r="C42" s="502"/>
      <c r="D42" s="503" t="e">
        <f t="shared" si="0"/>
        <v>#DIV/0!</v>
      </c>
      <c r="E42" s="502"/>
      <c r="F42" s="504" t="e">
        <f t="shared" si="1"/>
        <v>#DIV/0!</v>
      </c>
      <c r="G42" s="505">
        <f t="shared" si="5"/>
        <v>0</v>
      </c>
      <c r="H42" s="506" t="e">
        <f t="shared" si="6"/>
        <v>#DIV/0!</v>
      </c>
      <c r="I42" s="822"/>
      <c r="J42" s="822"/>
      <c r="K42" s="483"/>
      <c r="L42" s="483"/>
      <c r="M42" s="483"/>
      <c r="N42" s="483"/>
      <c r="O42" s="507"/>
      <c r="P42" s="507"/>
      <c r="Q42" s="507"/>
      <c r="R42" s="507"/>
      <c r="S42" s="507"/>
      <c r="T42" s="507"/>
      <c r="U42" s="507"/>
      <c r="V42" s="507"/>
    </row>
    <row r="43" spans="1:22" s="508" customFormat="1" ht="18">
      <c r="A43" s="509">
        <f t="shared" si="4"/>
        <v>46234</v>
      </c>
      <c r="B43" s="501"/>
      <c r="C43" s="502"/>
      <c r="D43" s="503" t="e">
        <f t="shared" si="0"/>
        <v>#DIV/0!</v>
      </c>
      <c r="E43" s="502"/>
      <c r="F43" s="504" t="e">
        <f t="shared" si="1"/>
        <v>#DIV/0!</v>
      </c>
      <c r="G43" s="505">
        <f t="shared" si="5"/>
        <v>0</v>
      </c>
      <c r="H43" s="506" t="e">
        <f t="shared" si="6"/>
        <v>#DIV/0!</v>
      </c>
      <c r="I43" s="822"/>
      <c r="J43" s="822"/>
      <c r="K43" s="483"/>
      <c r="L43" s="483"/>
      <c r="M43" s="483"/>
      <c r="N43" s="483"/>
      <c r="O43" s="507"/>
      <c r="P43" s="507"/>
      <c r="Q43" s="507"/>
      <c r="R43" s="507"/>
      <c r="S43" s="507"/>
      <c r="T43" s="507"/>
      <c r="U43" s="507"/>
      <c r="V43" s="507"/>
    </row>
    <row r="44" spans="1:22" s="508" customFormat="1" ht="18">
      <c r="A44" s="509">
        <f t="shared" si="4"/>
        <v>46235</v>
      </c>
      <c r="B44" s="501"/>
      <c r="C44" s="502"/>
      <c r="D44" s="503" t="e">
        <f t="shared" si="0"/>
        <v>#DIV/0!</v>
      </c>
      <c r="E44" s="502"/>
      <c r="F44" s="504" t="e">
        <f t="shared" si="1"/>
        <v>#DIV/0!</v>
      </c>
      <c r="G44" s="505">
        <f t="shared" si="5"/>
        <v>0</v>
      </c>
      <c r="H44" s="506" t="e">
        <f t="shared" si="6"/>
        <v>#DIV/0!</v>
      </c>
      <c r="I44" s="822"/>
      <c r="J44" s="822"/>
      <c r="K44" s="483"/>
      <c r="L44" s="483"/>
      <c r="M44" s="483"/>
      <c r="N44" s="483"/>
      <c r="O44" s="507"/>
      <c r="P44" s="507"/>
      <c r="Q44" s="507"/>
      <c r="R44" s="507"/>
      <c r="S44" s="507"/>
      <c r="T44" s="507"/>
      <c r="U44" s="507"/>
      <c r="V44" s="507"/>
    </row>
    <row r="45" spans="1:22" s="508" customFormat="1" ht="18">
      <c r="A45" s="509">
        <f t="shared" si="4"/>
        <v>46236</v>
      </c>
      <c r="B45" s="501"/>
      <c r="C45" s="502"/>
      <c r="D45" s="503" t="e">
        <f t="shared" si="0"/>
        <v>#DIV/0!</v>
      </c>
      <c r="E45" s="502"/>
      <c r="F45" s="504" t="e">
        <f t="shared" si="1"/>
        <v>#DIV/0!</v>
      </c>
      <c r="G45" s="505">
        <f t="shared" si="5"/>
        <v>0</v>
      </c>
      <c r="H45" s="506" t="e">
        <f t="shared" si="6"/>
        <v>#DIV/0!</v>
      </c>
      <c r="I45" s="822"/>
      <c r="J45" s="822"/>
      <c r="K45" s="483"/>
      <c r="L45" s="483"/>
      <c r="M45" s="483"/>
      <c r="N45" s="483"/>
      <c r="O45" s="507"/>
      <c r="P45" s="507"/>
      <c r="Q45" s="507"/>
      <c r="R45" s="507"/>
      <c r="S45" s="507"/>
      <c r="T45" s="507"/>
      <c r="U45" s="507"/>
      <c r="V45" s="507"/>
    </row>
    <row r="46" spans="1:22" s="508" customFormat="1" ht="18">
      <c r="A46" s="509">
        <f t="shared" si="4"/>
        <v>46237</v>
      </c>
      <c r="B46" s="501"/>
      <c r="C46" s="502"/>
      <c r="D46" s="503" t="e">
        <f t="shared" si="0"/>
        <v>#DIV/0!</v>
      </c>
      <c r="E46" s="502"/>
      <c r="F46" s="504" t="e">
        <f t="shared" si="1"/>
        <v>#DIV/0!</v>
      </c>
      <c r="G46" s="505">
        <f t="shared" si="5"/>
        <v>0</v>
      </c>
      <c r="H46" s="506" t="e">
        <f t="shared" si="6"/>
        <v>#DIV/0!</v>
      </c>
      <c r="I46" s="822"/>
      <c r="J46" s="822"/>
      <c r="K46" s="483"/>
      <c r="L46" s="483"/>
      <c r="M46" s="483"/>
      <c r="N46" s="483"/>
      <c r="O46" s="507"/>
      <c r="P46" s="507"/>
      <c r="Q46" s="507"/>
      <c r="R46" s="507"/>
      <c r="S46" s="507"/>
      <c r="T46" s="507"/>
      <c r="U46" s="507"/>
      <c r="V46" s="507"/>
    </row>
    <row r="47" spans="1:22" ht="18">
      <c r="A47" s="483"/>
      <c r="B47" s="483"/>
      <c r="C47" s="483"/>
      <c r="D47" s="483"/>
      <c r="E47" s="483"/>
      <c r="F47" s="483"/>
      <c r="G47" s="483"/>
      <c r="H47" s="483"/>
      <c r="I47" s="483"/>
      <c r="J47" s="483"/>
      <c r="K47" s="483"/>
      <c r="L47" s="483"/>
      <c r="M47" s="483"/>
      <c r="N47" s="483"/>
      <c r="O47" s="483"/>
      <c r="P47" s="483"/>
      <c r="Q47" s="483"/>
      <c r="R47" s="483"/>
      <c r="S47" s="483"/>
      <c r="T47" s="483"/>
      <c r="U47" s="483"/>
      <c r="V47" s="483"/>
    </row>
    <row r="48" spans="1:22" ht="18">
      <c r="A48" s="510" t="s">
        <v>827</v>
      </c>
      <c r="B48" s="511">
        <f>SUM(B13:B43)</f>
        <v>87513817.459999993</v>
      </c>
      <c r="C48" s="483"/>
      <c r="D48" s="483"/>
      <c r="E48" s="483"/>
      <c r="F48" s="483"/>
      <c r="G48" s="483"/>
      <c r="H48" s="483"/>
      <c r="I48" s="483"/>
      <c r="J48" s="483"/>
      <c r="K48" s="483"/>
      <c r="L48" s="483"/>
      <c r="M48" s="483"/>
      <c r="N48" s="483"/>
      <c r="O48" s="483"/>
      <c r="P48" s="483"/>
      <c r="Q48" s="483"/>
      <c r="R48" s="483"/>
      <c r="S48" s="483"/>
      <c r="T48" s="483"/>
      <c r="U48" s="483"/>
      <c r="V48" s="483"/>
    </row>
    <row r="49" spans="1:22" ht="18">
      <c r="A49" s="483"/>
      <c r="B49" s="483"/>
      <c r="C49" s="483"/>
      <c r="D49" s="483"/>
      <c r="E49" s="483"/>
      <c r="F49" s="483"/>
      <c r="G49" s="483"/>
      <c r="H49" s="483"/>
      <c r="I49" s="483"/>
      <c r="J49" s="483"/>
      <c r="K49" s="483"/>
      <c r="L49" s="483"/>
      <c r="M49" s="483"/>
      <c r="N49" s="483"/>
      <c r="O49" s="483"/>
      <c r="P49" s="483"/>
      <c r="Q49" s="483"/>
      <c r="R49" s="483"/>
      <c r="S49" s="483"/>
      <c r="T49" s="483"/>
      <c r="U49" s="483"/>
      <c r="V49" s="483"/>
    </row>
  </sheetData>
  <mergeCells count="19">
    <mergeCell ref="I40:I46"/>
    <mergeCell ref="J40:J46"/>
    <mergeCell ref="I19:I25"/>
    <mergeCell ref="J19:J25"/>
    <mergeCell ref="I26:I32"/>
    <mergeCell ref="J26:J32"/>
    <mergeCell ref="I33:I39"/>
    <mergeCell ref="J33:J39"/>
    <mergeCell ref="I5:I11"/>
    <mergeCell ref="J5:J11"/>
    <mergeCell ref="I12:I18"/>
    <mergeCell ref="J12:J18"/>
    <mergeCell ref="A1:J1"/>
    <mergeCell ref="A2:A3"/>
    <mergeCell ref="B2:B3"/>
    <mergeCell ref="C2:C3"/>
    <mergeCell ref="D2:D3"/>
    <mergeCell ref="I2:I4"/>
    <mergeCell ref="J2:J4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M168"/>
  <sheetViews>
    <sheetView zoomScale="70" zoomScaleNormal="70" workbookViewId="0">
      <pane xSplit="3" ySplit="2" topLeftCell="F133" activePane="bottomRight" state="frozen"/>
      <selection pane="topRight" activeCell="D1" sqref="D1"/>
      <selection pane="bottomLeft" activeCell="A4" sqref="A4"/>
      <selection pane="bottomRight" activeCell="Q156" sqref="Q156"/>
    </sheetView>
  </sheetViews>
  <sheetFormatPr defaultColWidth="8.81640625" defaultRowHeight="16"/>
  <cols>
    <col min="1" max="1" width="8.81640625" style="145"/>
    <col min="2" max="2" width="12.453125" style="145" customWidth="1"/>
    <col min="3" max="3" width="8.81640625" style="145"/>
    <col min="4" max="4" width="11.54296875" style="145" customWidth="1"/>
    <col min="5" max="5" width="39.26953125" style="145" bestFit="1" customWidth="1"/>
    <col min="6" max="6" width="11.453125" style="145" bestFit="1" customWidth="1"/>
    <col min="7" max="8" width="17.26953125" style="145" bestFit="1" customWidth="1"/>
    <col min="9" max="9" width="16.81640625" style="145" customWidth="1"/>
    <col min="10" max="10" width="14" style="145" customWidth="1"/>
    <col min="11" max="11" width="16.81640625" style="145" customWidth="1"/>
    <col min="12" max="12" width="14" style="145" customWidth="1"/>
    <col min="13" max="13" width="13.81640625" style="145" bestFit="1" customWidth="1"/>
    <col min="14" max="14" width="10.81640625" style="145" bestFit="1" customWidth="1"/>
    <col min="15" max="15" width="19.1796875" style="145" bestFit="1" customWidth="1"/>
    <col min="16" max="16" width="15.26953125" style="145" bestFit="1" customWidth="1"/>
    <col min="17" max="17" width="12.54296875" style="145" bestFit="1" customWidth="1"/>
    <col min="18" max="18" width="12.81640625" style="145" bestFit="1" customWidth="1"/>
    <col min="19" max="19" width="13.453125" style="145" bestFit="1" customWidth="1"/>
    <col min="20" max="20" width="12.81640625" style="145" bestFit="1" customWidth="1"/>
    <col min="21" max="21" width="10.81640625" style="145" bestFit="1" customWidth="1"/>
    <col min="22" max="22" width="12.54296875" style="145" bestFit="1" customWidth="1"/>
    <col min="23" max="24" width="10.81640625" style="145" customWidth="1"/>
    <col min="25" max="25" width="12.453125" style="145" bestFit="1" customWidth="1"/>
    <col min="26" max="26" width="25.26953125" style="145" bestFit="1" customWidth="1"/>
    <col min="27" max="27" width="88.26953125" style="145" customWidth="1"/>
    <col min="28" max="28" width="117.7265625" style="145" bestFit="1" customWidth="1"/>
    <col min="29" max="29" width="11.54296875" style="145" bestFit="1" customWidth="1"/>
    <col min="30" max="30" width="69.54296875" style="145" bestFit="1" customWidth="1"/>
    <col min="31" max="31" width="11.453125" style="145" bestFit="1" customWidth="1"/>
    <col min="32" max="32" width="21.54296875" style="145" customWidth="1"/>
    <col min="33" max="33" width="19.453125" style="145" bestFit="1" customWidth="1"/>
    <col min="34" max="39" width="14.453125" style="145" customWidth="1"/>
    <col min="40" max="16384" width="8.81640625" style="145"/>
  </cols>
  <sheetData>
    <row r="2" spans="2:39" ht="41.15" customHeight="1">
      <c r="B2" s="902" t="s">
        <v>442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Z2" s="903"/>
      <c r="AA2" s="903"/>
      <c r="AB2" s="903"/>
      <c r="AC2" s="903"/>
      <c r="AD2" s="903"/>
      <c r="AF2" s="146"/>
      <c r="AG2" s="146"/>
    </row>
    <row r="3" spans="2:39" ht="17.149999999999999" hidden="1" customHeight="1">
      <c r="B3" s="849" t="s">
        <v>443</v>
      </c>
      <c r="C3" s="850"/>
      <c r="D3" s="840" t="s">
        <v>170</v>
      </c>
      <c r="E3" s="841"/>
      <c r="F3" s="842"/>
      <c r="G3" s="840" t="s">
        <v>184</v>
      </c>
      <c r="H3" s="841"/>
      <c r="I3" s="841"/>
      <c r="J3" s="841"/>
      <c r="K3" s="841"/>
      <c r="L3" s="841"/>
      <c r="M3" s="841"/>
      <c r="N3" s="841"/>
      <c r="O3" s="841"/>
      <c r="P3" s="841"/>
      <c r="Q3" s="841"/>
      <c r="R3" s="841"/>
      <c r="S3" s="841"/>
      <c r="T3" s="841"/>
      <c r="U3" s="842"/>
      <c r="Y3" s="861" t="s">
        <v>171</v>
      </c>
      <c r="Z3" s="861" t="s">
        <v>245</v>
      </c>
      <c r="AA3" s="837" t="s">
        <v>444</v>
      </c>
      <c r="AB3" s="837" t="s">
        <v>445</v>
      </c>
      <c r="AC3" s="861" t="s">
        <v>246</v>
      </c>
      <c r="AD3" s="835" t="s">
        <v>172</v>
      </c>
      <c r="AF3" s="893" t="s">
        <v>247</v>
      </c>
      <c r="AG3" s="894"/>
      <c r="AH3" s="894"/>
      <c r="AI3" s="894"/>
      <c r="AJ3" s="894"/>
      <c r="AK3" s="894"/>
      <c r="AL3" s="894"/>
      <c r="AM3" s="895"/>
    </row>
    <row r="4" spans="2:39" ht="17.149999999999999" hidden="1" customHeight="1">
      <c r="B4" s="851"/>
      <c r="C4" s="852"/>
      <c r="D4" s="855" t="s">
        <v>169</v>
      </c>
      <c r="E4" s="840" t="s">
        <v>173</v>
      </c>
      <c r="F4" s="842"/>
      <c r="G4" s="840" t="s">
        <v>185</v>
      </c>
      <c r="H4" s="841"/>
      <c r="I4" s="841"/>
      <c r="J4" s="841"/>
      <c r="K4" s="841"/>
      <c r="L4" s="841"/>
      <c r="M4" s="841"/>
      <c r="N4" s="841"/>
      <c r="O4" s="841"/>
      <c r="P4" s="842"/>
      <c r="Q4" s="840" t="s">
        <v>174</v>
      </c>
      <c r="R4" s="841"/>
      <c r="S4" s="841"/>
      <c r="T4" s="841"/>
      <c r="U4" s="842"/>
      <c r="Y4" s="862"/>
      <c r="Z4" s="862"/>
      <c r="AA4" s="838"/>
      <c r="AB4" s="838"/>
      <c r="AC4" s="862"/>
      <c r="AD4" s="879"/>
      <c r="AF4" s="896"/>
      <c r="AG4" s="897"/>
      <c r="AH4" s="897"/>
      <c r="AI4" s="897"/>
      <c r="AJ4" s="897"/>
      <c r="AK4" s="897"/>
      <c r="AL4" s="897"/>
      <c r="AM4" s="898"/>
    </row>
    <row r="5" spans="2:39" ht="17.149999999999999" hidden="1" customHeight="1">
      <c r="B5" s="851"/>
      <c r="C5" s="852"/>
      <c r="D5" s="860"/>
      <c r="E5" s="855" t="s">
        <v>175</v>
      </c>
      <c r="F5" s="835" t="s">
        <v>248</v>
      </c>
      <c r="G5" s="857" t="s">
        <v>186</v>
      </c>
      <c r="H5" s="858"/>
      <c r="I5" s="858"/>
      <c r="J5" s="858"/>
      <c r="K5" s="858"/>
      <c r="L5" s="858"/>
      <c r="M5" s="858"/>
      <c r="N5" s="858"/>
      <c r="O5" s="858"/>
      <c r="P5" s="859"/>
      <c r="Q5" s="857" t="s">
        <v>168</v>
      </c>
      <c r="R5" s="859"/>
      <c r="S5" s="857" t="s">
        <v>176</v>
      </c>
      <c r="T5" s="858"/>
      <c r="U5" s="859"/>
      <c r="Y5" s="862"/>
      <c r="Z5" s="862"/>
      <c r="AA5" s="838"/>
      <c r="AB5" s="838"/>
      <c r="AC5" s="862"/>
      <c r="AD5" s="879"/>
      <c r="AF5" s="899"/>
      <c r="AG5" s="900"/>
      <c r="AH5" s="900"/>
      <c r="AI5" s="900"/>
      <c r="AJ5" s="900"/>
      <c r="AK5" s="900"/>
      <c r="AL5" s="900"/>
      <c r="AM5" s="901"/>
    </row>
    <row r="6" spans="2:39" ht="38.5" hidden="1" customHeight="1">
      <c r="B6" s="853"/>
      <c r="C6" s="854"/>
      <c r="D6" s="856"/>
      <c r="E6" s="856"/>
      <c r="F6" s="836"/>
      <c r="G6" s="363" t="s">
        <v>177</v>
      </c>
      <c r="H6" s="363" t="s">
        <v>252</v>
      </c>
      <c r="I6" s="442" t="s">
        <v>561</v>
      </c>
      <c r="J6" s="363" t="s">
        <v>562</v>
      </c>
      <c r="K6" s="363" t="s">
        <v>253</v>
      </c>
      <c r="L6" s="363" t="s">
        <v>178</v>
      </c>
      <c r="M6" s="363" t="s">
        <v>250</v>
      </c>
      <c r="N6" s="363" t="s">
        <v>179</v>
      </c>
      <c r="O6" s="363" t="s">
        <v>187</v>
      </c>
      <c r="P6" s="363" t="s">
        <v>180</v>
      </c>
      <c r="Q6" s="364" t="s">
        <v>181</v>
      </c>
      <c r="R6" s="364" t="s">
        <v>182</v>
      </c>
      <c r="S6" s="364" t="s">
        <v>181</v>
      </c>
      <c r="T6" s="364" t="s">
        <v>182</v>
      </c>
      <c r="U6" s="363" t="s">
        <v>183</v>
      </c>
      <c r="Y6" s="863"/>
      <c r="Z6" s="863"/>
      <c r="AA6" s="839"/>
      <c r="AB6" s="839"/>
      <c r="AC6" s="863"/>
      <c r="AD6" s="836"/>
      <c r="AF6" s="160" t="s">
        <v>244</v>
      </c>
      <c r="AG6" s="160" t="s">
        <v>446</v>
      </c>
      <c r="AH6" s="155" t="s">
        <v>383</v>
      </c>
      <c r="AI6" s="155" t="s">
        <v>337</v>
      </c>
      <c r="AJ6" s="155" t="s">
        <v>429</v>
      </c>
      <c r="AK6" s="155" t="s">
        <v>215</v>
      </c>
      <c r="AL6" s="155" t="s">
        <v>216</v>
      </c>
      <c r="AM6" s="155" t="s">
        <v>384</v>
      </c>
    </row>
    <row r="7" spans="2:39" s="147" customFormat="1" ht="27" hidden="1" customHeight="1">
      <c r="B7" s="843" t="s">
        <v>566</v>
      </c>
      <c r="C7" s="844"/>
      <c r="D7" s="362">
        <v>1</v>
      </c>
      <c r="E7" s="443" t="s">
        <v>449</v>
      </c>
      <c r="F7" s="444">
        <f>IFERROR(Q7*G7,"-")</f>
        <v>3932.2499999999995</v>
      </c>
      <c r="G7" s="366">
        <v>2.4499999999999997</v>
      </c>
      <c r="H7" s="445">
        <v>158641</v>
      </c>
      <c r="I7" s="445">
        <v>158641</v>
      </c>
      <c r="J7" s="447">
        <f>IFERROR(I7/H7,"-")</f>
        <v>1</v>
      </c>
      <c r="K7" s="446">
        <v>160246</v>
      </c>
      <c r="L7" s="447">
        <f>IFERROR(K7/H7,"-")</f>
        <v>1.0101171828215909</v>
      </c>
      <c r="M7" s="446">
        <v>0</v>
      </c>
      <c r="N7" s="447">
        <f>IFERROR(M7/H7,"-")</f>
        <v>0</v>
      </c>
      <c r="O7" s="448">
        <f>IFERROR(K7+M7,"-")</f>
        <v>160246</v>
      </c>
      <c r="P7" s="447">
        <f>IFERROR(O7/H7,"-")</f>
        <v>1.0101171828215909</v>
      </c>
      <c r="Q7" s="445">
        <v>1605</v>
      </c>
      <c r="R7" s="447">
        <f>IFERROR(Q7/H7,"-")</f>
        <v>1.0117182821590888E-2</v>
      </c>
      <c r="S7" s="448">
        <f>IFERROR(O7-H7,"-")</f>
        <v>1605</v>
      </c>
      <c r="T7" s="447">
        <f>IFERROR(S7/H7,"-")</f>
        <v>1.0117182821590888E-2</v>
      </c>
      <c r="U7" s="365">
        <f>IFERROR(S7*G7,"-")</f>
        <v>3932.2499999999995</v>
      </c>
      <c r="Y7" s="367" t="s">
        <v>417</v>
      </c>
      <c r="Z7" s="367" t="s">
        <v>337</v>
      </c>
      <c r="AA7" s="368" t="s">
        <v>468</v>
      </c>
      <c r="AB7" s="368" t="s">
        <v>469</v>
      </c>
      <c r="AC7" s="368">
        <v>1</v>
      </c>
      <c r="AD7" s="449" t="s">
        <v>340</v>
      </c>
      <c r="AE7" s="369" t="s">
        <v>447</v>
      </c>
      <c r="AF7" s="375">
        <f>SUM(AC7:AC26)</f>
        <v>20</v>
      </c>
      <c r="AG7" s="370">
        <f t="shared" ref="AG7:AM7" si="0">SUMIF($Z$7:$Z$26,TRIM(AG6),$AC$7:$AC$26)</f>
        <v>10</v>
      </c>
      <c r="AH7" s="370">
        <f t="shared" si="0"/>
        <v>0</v>
      </c>
      <c r="AI7" s="370">
        <f t="shared" si="0"/>
        <v>7</v>
      </c>
      <c r="AJ7" s="370">
        <f t="shared" si="0"/>
        <v>0</v>
      </c>
      <c r="AK7" s="370">
        <f t="shared" si="0"/>
        <v>1</v>
      </c>
      <c r="AL7" s="370">
        <f t="shared" si="0"/>
        <v>2</v>
      </c>
      <c r="AM7" s="370">
        <f t="shared" si="0"/>
        <v>0</v>
      </c>
    </row>
    <row r="8" spans="2:39" s="147" customFormat="1" ht="27" hidden="1" customHeight="1">
      <c r="B8" s="845"/>
      <c r="C8" s="846"/>
      <c r="D8" s="362">
        <v>2</v>
      </c>
      <c r="E8" s="443" t="s">
        <v>448</v>
      </c>
      <c r="F8" s="444">
        <f t="shared" ref="F8:F26" si="1">IFERROR(Q8*G8,"-")</f>
        <v>3452.6699999999996</v>
      </c>
      <c r="G8" s="366">
        <v>1.17</v>
      </c>
      <c r="H8" s="445">
        <v>299533</v>
      </c>
      <c r="I8" s="445">
        <v>299533</v>
      </c>
      <c r="J8" s="447">
        <f t="shared" ref="J8:J26" si="2">IFERROR(I8/H8,"-")</f>
        <v>1</v>
      </c>
      <c r="K8" s="446">
        <v>302484</v>
      </c>
      <c r="L8" s="447">
        <f t="shared" ref="L8:L26" si="3">IFERROR(K8/H8,"-")</f>
        <v>1.0098520029512608</v>
      </c>
      <c r="M8" s="446">
        <v>0</v>
      </c>
      <c r="N8" s="447">
        <f t="shared" ref="N8:N26" si="4">IFERROR(M8/H8,"-")</f>
        <v>0</v>
      </c>
      <c r="O8" s="448">
        <f t="shared" ref="O8:O26" si="5">IFERROR(K8+M8,"-")</f>
        <v>302484</v>
      </c>
      <c r="P8" s="447">
        <f t="shared" ref="P8:P26" si="6">IFERROR(O8/H8,"-")</f>
        <v>1.0098520029512608</v>
      </c>
      <c r="Q8" s="445">
        <v>2951</v>
      </c>
      <c r="R8" s="447">
        <f t="shared" ref="R8:R26" si="7">IFERROR(Q8/H8,"-")</f>
        <v>9.8520029512607962E-3</v>
      </c>
      <c r="S8" s="448">
        <f t="shared" ref="S8:S26" si="8">IFERROR(O8-H8,"-")</f>
        <v>2951</v>
      </c>
      <c r="T8" s="447">
        <f t="shared" ref="T8:T26" si="9">IFERROR(S8/H8,"-")</f>
        <v>9.8520029512607962E-3</v>
      </c>
      <c r="U8" s="365">
        <f t="shared" ref="U8:U26" si="10">IFERROR(S8*G8,"-")</f>
        <v>3452.6699999999996</v>
      </c>
      <c r="Y8" s="367" t="s">
        <v>417</v>
      </c>
      <c r="Z8" s="367" t="s">
        <v>337</v>
      </c>
      <c r="AA8" s="368" t="s">
        <v>470</v>
      </c>
      <c r="AB8" s="368" t="s">
        <v>527</v>
      </c>
      <c r="AC8" s="368">
        <v>1</v>
      </c>
      <c r="AD8" s="449" t="s">
        <v>340</v>
      </c>
      <c r="AF8" s="376"/>
      <c r="AG8" s="373">
        <f>SUMIF($Z7:$Z$26,TRIM(AG6),$F$7:$F$26)</f>
        <v>13087.2803</v>
      </c>
      <c r="AH8" s="373">
        <f>SUMIF($Z7:$Z$26,TRIM(AH6),$F$7:$F$26)</f>
        <v>0</v>
      </c>
      <c r="AI8" s="373">
        <f>SUMIF($Z7:$Z$26,TRIM(AI6),$F$7:$F$26)</f>
        <v>16114.2778</v>
      </c>
      <c r="AJ8" s="373">
        <f>SUMIF($Z7:$Z$26,TRIM(AJ6),$F$7:$F$26)</f>
        <v>0</v>
      </c>
      <c r="AK8" s="373">
        <f>SUMIF($Z7:$Z$26,TRIM(AK6),$F$7:$F$26)</f>
        <v>1444.8140000000005</v>
      </c>
      <c r="AL8" s="373">
        <f>SUMIF($Z7:$Z$26,TRIM(AL6),$F$7:$F$26)</f>
        <v>4810.9979999999996</v>
      </c>
      <c r="AM8" s="373">
        <f>SUMIF($Z7:$Z$26,TRIM(AM6),$F$7:$F$26)</f>
        <v>0</v>
      </c>
    </row>
    <row r="9" spans="2:39" s="147" customFormat="1" ht="27" hidden="1" customHeight="1">
      <c r="B9" s="845"/>
      <c r="C9" s="846"/>
      <c r="D9" s="362">
        <v>3</v>
      </c>
      <c r="E9" s="443" t="s">
        <v>335</v>
      </c>
      <c r="F9" s="444">
        <f t="shared" si="1"/>
        <v>3306.3</v>
      </c>
      <c r="G9" s="366">
        <v>15.450000000000001</v>
      </c>
      <c r="H9" s="445">
        <v>67490</v>
      </c>
      <c r="I9" s="445">
        <v>67490</v>
      </c>
      <c r="J9" s="447">
        <f t="shared" si="2"/>
        <v>1</v>
      </c>
      <c r="K9" s="446">
        <v>67704</v>
      </c>
      <c r="L9" s="447">
        <f t="shared" si="3"/>
        <v>1.0031708401244628</v>
      </c>
      <c r="M9" s="446">
        <v>0</v>
      </c>
      <c r="N9" s="447">
        <f t="shared" si="4"/>
        <v>0</v>
      </c>
      <c r="O9" s="448">
        <f t="shared" si="5"/>
        <v>67704</v>
      </c>
      <c r="P9" s="447">
        <f t="shared" si="6"/>
        <v>1.0031708401244628</v>
      </c>
      <c r="Q9" s="445">
        <v>214</v>
      </c>
      <c r="R9" s="447">
        <f t="shared" si="7"/>
        <v>3.1708401244628834E-3</v>
      </c>
      <c r="S9" s="448">
        <f t="shared" si="8"/>
        <v>214</v>
      </c>
      <c r="T9" s="447">
        <f t="shared" si="9"/>
        <v>3.1708401244628834E-3</v>
      </c>
      <c r="U9" s="365">
        <f t="shared" si="10"/>
        <v>3306.3</v>
      </c>
      <c r="Y9" s="367" t="s">
        <v>417</v>
      </c>
      <c r="Z9" s="367" t="s">
        <v>216</v>
      </c>
      <c r="AA9" s="368" t="s">
        <v>467</v>
      </c>
      <c r="AB9" s="368" t="s">
        <v>571</v>
      </c>
      <c r="AC9" s="368">
        <v>1</v>
      </c>
      <c r="AD9" s="449" t="s">
        <v>524</v>
      </c>
      <c r="AF9" s="362"/>
      <c r="AG9" s="374">
        <f t="shared" ref="AG9:AM9" si="11">AG7/$AF7</f>
        <v>0.5</v>
      </c>
      <c r="AH9" s="374">
        <f t="shared" si="11"/>
        <v>0</v>
      </c>
      <c r="AI9" s="374">
        <f t="shared" si="11"/>
        <v>0.35</v>
      </c>
      <c r="AJ9" s="374">
        <f t="shared" si="11"/>
        <v>0</v>
      </c>
      <c r="AK9" s="374">
        <f t="shared" si="11"/>
        <v>0.05</v>
      </c>
      <c r="AL9" s="374">
        <f t="shared" si="11"/>
        <v>0.1</v>
      </c>
      <c r="AM9" s="374">
        <f t="shared" si="11"/>
        <v>0</v>
      </c>
    </row>
    <row r="10" spans="2:39" s="147" customFormat="1" ht="27" hidden="1" customHeight="1">
      <c r="B10" s="845"/>
      <c r="C10" s="846"/>
      <c r="D10" s="362">
        <v>4</v>
      </c>
      <c r="E10" s="443" t="s">
        <v>462</v>
      </c>
      <c r="F10" s="444">
        <f t="shared" si="1"/>
        <v>2711.4710000000005</v>
      </c>
      <c r="G10" s="366">
        <v>407.74000000000007</v>
      </c>
      <c r="H10" s="445">
        <v>1204.5999999999999</v>
      </c>
      <c r="I10" s="445">
        <v>1204.5999999999999</v>
      </c>
      <c r="J10" s="447">
        <f t="shared" si="2"/>
        <v>1</v>
      </c>
      <c r="K10" s="446">
        <v>1220.3599999999999</v>
      </c>
      <c r="L10" s="447">
        <f t="shared" si="3"/>
        <v>1.0130831811389673</v>
      </c>
      <c r="M10" s="446">
        <v>15.76</v>
      </c>
      <c r="N10" s="447">
        <f t="shared" si="4"/>
        <v>1.3083181138967294E-2</v>
      </c>
      <c r="O10" s="448">
        <f t="shared" si="5"/>
        <v>1236.1199999999999</v>
      </c>
      <c r="P10" s="447">
        <f t="shared" si="6"/>
        <v>1.0261663622779347</v>
      </c>
      <c r="Q10" s="445">
        <v>6.65</v>
      </c>
      <c r="R10" s="447">
        <f t="shared" si="7"/>
        <v>5.5205047318611991E-3</v>
      </c>
      <c r="S10" s="448">
        <f t="shared" si="8"/>
        <v>31.519999999999982</v>
      </c>
      <c r="T10" s="447">
        <f t="shared" si="9"/>
        <v>2.616636227793457E-2</v>
      </c>
      <c r="U10" s="365">
        <f t="shared" si="10"/>
        <v>12851.964799999994</v>
      </c>
      <c r="Y10" s="367" t="s">
        <v>417</v>
      </c>
      <c r="Z10" s="367" t="s">
        <v>337</v>
      </c>
      <c r="AA10" s="368" t="s">
        <v>589</v>
      </c>
      <c r="AB10" s="383" t="s">
        <v>590</v>
      </c>
      <c r="AC10" s="368">
        <v>1</v>
      </c>
      <c r="AD10" s="449" t="s">
        <v>464</v>
      </c>
    </row>
    <row r="11" spans="2:39" s="147" customFormat="1" ht="27" hidden="1" customHeight="1">
      <c r="B11" s="845"/>
      <c r="C11" s="846"/>
      <c r="D11" s="362">
        <v>5</v>
      </c>
      <c r="E11" s="443" t="s">
        <v>386</v>
      </c>
      <c r="F11" s="444">
        <f t="shared" si="1"/>
        <v>2536.3456000000006</v>
      </c>
      <c r="G11" s="366">
        <v>127.84000000000002</v>
      </c>
      <c r="H11" s="445">
        <v>4439.49</v>
      </c>
      <c r="I11" s="445">
        <v>4439.49</v>
      </c>
      <c r="J11" s="447">
        <f t="shared" si="2"/>
        <v>1</v>
      </c>
      <c r="K11" s="446">
        <v>4531.1400000000003</v>
      </c>
      <c r="L11" s="447">
        <f t="shared" si="3"/>
        <v>1.0206442631923938</v>
      </c>
      <c r="M11" s="446">
        <v>91.65</v>
      </c>
      <c r="N11" s="447">
        <f t="shared" si="4"/>
        <v>2.0644263192393722E-2</v>
      </c>
      <c r="O11" s="448">
        <f t="shared" si="5"/>
        <v>4622.79</v>
      </c>
      <c r="P11" s="447">
        <f t="shared" si="6"/>
        <v>1.0412885263847875</v>
      </c>
      <c r="Q11" s="445">
        <v>19.840000000000003</v>
      </c>
      <c r="R11" s="447">
        <f t="shared" si="7"/>
        <v>4.4689817974587183E-3</v>
      </c>
      <c r="S11" s="448">
        <f t="shared" si="8"/>
        <v>183.30000000000018</v>
      </c>
      <c r="T11" s="447">
        <f t="shared" si="9"/>
        <v>4.1288526384787486E-2</v>
      </c>
      <c r="U11" s="365">
        <f t="shared" si="10"/>
        <v>23433.072000000026</v>
      </c>
      <c r="Y11" s="367" t="s">
        <v>417</v>
      </c>
      <c r="Z11" s="367" t="s">
        <v>446</v>
      </c>
      <c r="AA11" s="368" t="s">
        <v>572</v>
      </c>
      <c r="AB11" s="368" t="s">
        <v>573</v>
      </c>
      <c r="AC11" s="368">
        <v>1</v>
      </c>
      <c r="AD11" s="449" t="s">
        <v>340</v>
      </c>
    </row>
    <row r="12" spans="2:39" s="147" customFormat="1" ht="27" hidden="1" customHeight="1">
      <c r="B12" s="845"/>
      <c r="C12" s="846"/>
      <c r="D12" s="362">
        <v>6</v>
      </c>
      <c r="E12" s="443" t="s">
        <v>584</v>
      </c>
      <c r="F12" s="444">
        <f t="shared" si="1"/>
        <v>2040.97</v>
      </c>
      <c r="G12" s="366">
        <v>24.59</v>
      </c>
      <c r="H12" s="445">
        <v>16803</v>
      </c>
      <c r="I12" s="445">
        <v>16803</v>
      </c>
      <c r="J12" s="447">
        <f t="shared" si="2"/>
        <v>1</v>
      </c>
      <c r="K12" s="446">
        <v>16886</v>
      </c>
      <c r="L12" s="447">
        <f t="shared" si="3"/>
        <v>1.0049395941200976</v>
      </c>
      <c r="M12" s="446">
        <v>0</v>
      </c>
      <c r="N12" s="447">
        <f t="shared" si="4"/>
        <v>0</v>
      </c>
      <c r="O12" s="448">
        <f t="shared" si="5"/>
        <v>16886</v>
      </c>
      <c r="P12" s="447">
        <f t="shared" si="6"/>
        <v>1.0049395941200976</v>
      </c>
      <c r="Q12" s="445">
        <v>83</v>
      </c>
      <c r="R12" s="447">
        <f t="shared" si="7"/>
        <v>4.9395941200976014E-3</v>
      </c>
      <c r="S12" s="448">
        <f t="shared" si="8"/>
        <v>83</v>
      </c>
      <c r="T12" s="447">
        <f t="shared" si="9"/>
        <v>4.9395941200976014E-3</v>
      </c>
      <c r="U12" s="365">
        <f t="shared" si="10"/>
        <v>2040.97</v>
      </c>
      <c r="Y12" s="367" t="s">
        <v>417</v>
      </c>
      <c r="Z12" s="367" t="s">
        <v>337</v>
      </c>
      <c r="AA12" s="368" t="s">
        <v>588</v>
      </c>
      <c r="AB12" s="368" t="s">
        <v>608</v>
      </c>
      <c r="AC12" s="368">
        <v>1</v>
      </c>
      <c r="AD12" s="449" t="s">
        <v>568</v>
      </c>
    </row>
    <row r="13" spans="2:39" s="147" customFormat="1" ht="27" hidden="1" customHeight="1">
      <c r="B13" s="845"/>
      <c r="C13" s="846"/>
      <c r="D13" s="362">
        <v>7</v>
      </c>
      <c r="E13" s="443" t="s">
        <v>463</v>
      </c>
      <c r="F13" s="444">
        <f t="shared" si="1"/>
        <v>1786.2537000000002</v>
      </c>
      <c r="G13" s="366">
        <v>160.49</v>
      </c>
      <c r="H13" s="445">
        <v>699.3</v>
      </c>
      <c r="I13" s="445">
        <v>699.3</v>
      </c>
      <c r="J13" s="447">
        <f t="shared" si="2"/>
        <v>1</v>
      </c>
      <c r="K13" s="446">
        <v>721.76</v>
      </c>
      <c r="L13" s="447">
        <f t="shared" si="3"/>
        <v>1.0321178321178321</v>
      </c>
      <c r="M13" s="446">
        <v>19.940000000000001</v>
      </c>
      <c r="N13" s="447">
        <f t="shared" si="4"/>
        <v>2.8514228514228517E-2</v>
      </c>
      <c r="O13" s="448">
        <f t="shared" si="5"/>
        <v>741.7</v>
      </c>
      <c r="P13" s="447">
        <f t="shared" si="6"/>
        <v>1.0606320606320607</v>
      </c>
      <c r="Q13" s="445">
        <v>11.13</v>
      </c>
      <c r="R13" s="447">
        <f t="shared" si="7"/>
        <v>1.5915915915915919E-2</v>
      </c>
      <c r="S13" s="448">
        <f t="shared" si="8"/>
        <v>42.400000000000091</v>
      </c>
      <c r="T13" s="447">
        <f t="shared" si="9"/>
        <v>6.0632060632060766E-2</v>
      </c>
      <c r="U13" s="365">
        <f t="shared" si="10"/>
        <v>6804.7760000000153</v>
      </c>
      <c r="Y13" s="367" t="s">
        <v>417</v>
      </c>
      <c r="Z13" s="367" t="s">
        <v>446</v>
      </c>
      <c r="AA13" s="368" t="s">
        <v>528</v>
      </c>
      <c r="AB13" s="368" t="s">
        <v>456</v>
      </c>
      <c r="AC13" s="368">
        <v>1</v>
      </c>
      <c r="AD13" s="449" t="s">
        <v>434</v>
      </c>
      <c r="AH13" s="371"/>
    </row>
    <row r="14" spans="2:39" s="147" customFormat="1" ht="27" hidden="1" customHeight="1">
      <c r="B14" s="845"/>
      <c r="C14" s="846"/>
      <c r="D14" s="362">
        <v>8</v>
      </c>
      <c r="E14" s="443" t="s">
        <v>460</v>
      </c>
      <c r="F14" s="444">
        <f t="shared" si="1"/>
        <v>1550.7967999999996</v>
      </c>
      <c r="G14" s="366">
        <v>605.77999999999986</v>
      </c>
      <c r="H14" s="445">
        <v>1046.28</v>
      </c>
      <c r="I14" s="445">
        <v>1046.28</v>
      </c>
      <c r="J14" s="447">
        <f t="shared" si="2"/>
        <v>1</v>
      </c>
      <c r="K14" s="446">
        <v>1062.83</v>
      </c>
      <c r="L14" s="447">
        <f t="shared" si="3"/>
        <v>1.0158179454830447</v>
      </c>
      <c r="M14" s="446">
        <v>16.549999999999997</v>
      </c>
      <c r="N14" s="447">
        <f t="shared" si="4"/>
        <v>1.5817945483044691E-2</v>
      </c>
      <c r="O14" s="448">
        <f t="shared" si="5"/>
        <v>1079.3799999999999</v>
      </c>
      <c r="P14" s="447">
        <f t="shared" si="6"/>
        <v>1.0316358909660892</v>
      </c>
      <c r="Q14" s="445">
        <v>2.56</v>
      </c>
      <c r="R14" s="447">
        <f t="shared" si="7"/>
        <v>2.4467637726038921E-3</v>
      </c>
      <c r="S14" s="448">
        <f t="shared" si="8"/>
        <v>33.099999999999909</v>
      </c>
      <c r="T14" s="447">
        <f t="shared" si="9"/>
        <v>3.1635890966089299E-2</v>
      </c>
      <c r="U14" s="365">
        <f t="shared" si="10"/>
        <v>20051.317999999941</v>
      </c>
      <c r="Y14" s="367" t="s">
        <v>417</v>
      </c>
      <c r="Z14" s="367" t="s">
        <v>337</v>
      </c>
      <c r="AA14" s="368" t="s">
        <v>589</v>
      </c>
      <c r="AB14" s="383" t="s">
        <v>590</v>
      </c>
      <c r="AC14" s="368">
        <v>1</v>
      </c>
      <c r="AD14" s="449" t="s">
        <v>342</v>
      </c>
      <c r="AH14" s="371"/>
    </row>
    <row r="15" spans="2:39" s="147" customFormat="1" ht="27" hidden="1" customHeight="1">
      <c r="B15" s="845"/>
      <c r="C15" s="846"/>
      <c r="D15" s="362">
        <v>9</v>
      </c>
      <c r="E15" s="443" t="s">
        <v>535</v>
      </c>
      <c r="F15" s="444">
        <f t="shared" si="1"/>
        <v>1504.6979999999999</v>
      </c>
      <c r="G15" s="366">
        <v>39.389999999999993</v>
      </c>
      <c r="H15" s="445">
        <v>38623.35</v>
      </c>
      <c r="I15" s="445">
        <v>38623.35</v>
      </c>
      <c r="J15" s="447">
        <f t="shared" si="2"/>
        <v>1</v>
      </c>
      <c r="K15" s="446">
        <v>38954.090000000004</v>
      </c>
      <c r="L15" s="447">
        <f t="shared" si="3"/>
        <v>1.0085632137036276</v>
      </c>
      <c r="M15" s="446">
        <v>330.74</v>
      </c>
      <c r="N15" s="447">
        <f t="shared" si="4"/>
        <v>8.5632137036274689E-3</v>
      </c>
      <c r="O15" s="448">
        <f t="shared" si="5"/>
        <v>39284.83</v>
      </c>
      <c r="P15" s="447">
        <f t="shared" si="6"/>
        <v>1.0171264274072551</v>
      </c>
      <c r="Q15" s="445">
        <v>38.200000000000003</v>
      </c>
      <c r="R15" s="447">
        <f t="shared" si="7"/>
        <v>9.8903901396435066E-4</v>
      </c>
      <c r="S15" s="448">
        <f t="shared" si="8"/>
        <v>661.4800000000032</v>
      </c>
      <c r="T15" s="447">
        <f t="shared" si="9"/>
        <v>1.7126427407255021E-2</v>
      </c>
      <c r="U15" s="365">
        <f t="shared" si="10"/>
        <v>26055.697200000122</v>
      </c>
      <c r="Y15" s="367" t="s">
        <v>417</v>
      </c>
      <c r="Z15" s="367" t="s">
        <v>216</v>
      </c>
      <c r="AA15" s="383" t="s">
        <v>574</v>
      </c>
      <c r="AB15" s="368" t="s">
        <v>571</v>
      </c>
      <c r="AC15" s="368">
        <v>1</v>
      </c>
      <c r="AD15" s="449" t="s">
        <v>340</v>
      </c>
      <c r="AH15" s="371"/>
    </row>
    <row r="16" spans="2:39" s="147" customFormat="1" ht="27" hidden="1" customHeight="1">
      <c r="B16" s="845"/>
      <c r="C16" s="846"/>
      <c r="D16" s="362">
        <v>10</v>
      </c>
      <c r="E16" s="443" t="s">
        <v>336</v>
      </c>
      <c r="F16" s="444">
        <f t="shared" si="1"/>
        <v>1444.8140000000005</v>
      </c>
      <c r="G16" s="366">
        <v>147.43000000000004</v>
      </c>
      <c r="H16" s="445">
        <v>5035.0899999999992</v>
      </c>
      <c r="I16" s="445">
        <v>5035.0899999999992</v>
      </c>
      <c r="J16" s="447">
        <f t="shared" si="2"/>
        <v>1</v>
      </c>
      <c r="K16" s="446">
        <v>5146.2</v>
      </c>
      <c r="L16" s="447">
        <f t="shared" si="3"/>
        <v>1.0220671328615776</v>
      </c>
      <c r="M16" s="446">
        <v>111.11000000000001</v>
      </c>
      <c r="N16" s="447">
        <f t="shared" si="4"/>
        <v>2.2067132861577455E-2</v>
      </c>
      <c r="O16" s="448">
        <f t="shared" si="5"/>
        <v>5257.3099999999995</v>
      </c>
      <c r="P16" s="447">
        <f t="shared" si="6"/>
        <v>1.0441342657231549</v>
      </c>
      <c r="Q16" s="445">
        <v>9.8000000000000007</v>
      </c>
      <c r="R16" s="447">
        <f t="shared" si="7"/>
        <v>1.9463405817969496E-3</v>
      </c>
      <c r="S16" s="448">
        <f t="shared" si="8"/>
        <v>222.22000000000025</v>
      </c>
      <c r="T16" s="447">
        <f t="shared" si="9"/>
        <v>4.4134265723154958E-2</v>
      </c>
      <c r="U16" s="365">
        <f t="shared" si="10"/>
        <v>32761.894600000047</v>
      </c>
      <c r="Y16" s="367" t="s">
        <v>417</v>
      </c>
      <c r="Z16" s="367" t="s">
        <v>215</v>
      </c>
      <c r="AA16" s="368" t="s">
        <v>607</v>
      </c>
      <c r="AB16" s="368" t="s">
        <v>571</v>
      </c>
      <c r="AC16" s="368">
        <v>1</v>
      </c>
      <c r="AD16" s="449" t="s">
        <v>340</v>
      </c>
      <c r="AH16" s="371"/>
    </row>
    <row r="17" spans="2:39" s="147" customFormat="1" ht="27" hidden="1" customHeight="1">
      <c r="B17" s="845"/>
      <c r="C17" s="846"/>
      <c r="D17" s="362">
        <v>11</v>
      </c>
      <c r="E17" s="443" t="s">
        <v>476</v>
      </c>
      <c r="F17" s="444">
        <f t="shared" si="1"/>
        <v>1278.9310999999998</v>
      </c>
      <c r="G17" s="366">
        <v>118.30999999999997</v>
      </c>
      <c r="H17" s="445">
        <v>825.54</v>
      </c>
      <c r="I17" s="445">
        <v>825.54</v>
      </c>
      <c r="J17" s="447">
        <f t="shared" si="2"/>
        <v>1</v>
      </c>
      <c r="K17" s="446">
        <v>847.87</v>
      </c>
      <c r="L17" s="447">
        <f t="shared" si="3"/>
        <v>1.0270489618916103</v>
      </c>
      <c r="M17" s="446">
        <v>17.03</v>
      </c>
      <c r="N17" s="447">
        <f t="shared" si="4"/>
        <v>2.0628921675509365E-2</v>
      </c>
      <c r="O17" s="448">
        <f t="shared" si="5"/>
        <v>864.9</v>
      </c>
      <c r="P17" s="447">
        <f t="shared" si="6"/>
        <v>1.0476778835671197</v>
      </c>
      <c r="Q17" s="445">
        <v>10.81</v>
      </c>
      <c r="R17" s="447">
        <f t="shared" si="7"/>
        <v>1.3094459384160671E-2</v>
      </c>
      <c r="S17" s="448">
        <f t="shared" si="8"/>
        <v>39.360000000000014</v>
      </c>
      <c r="T17" s="447">
        <f t="shared" si="9"/>
        <v>4.7677883567119723E-2</v>
      </c>
      <c r="U17" s="365">
        <f t="shared" si="10"/>
        <v>4656.6816000000008</v>
      </c>
      <c r="Y17" s="367" t="s">
        <v>417</v>
      </c>
      <c r="Z17" s="367" t="s">
        <v>446</v>
      </c>
      <c r="AA17" s="368" t="s">
        <v>548</v>
      </c>
      <c r="AB17" s="368" t="s">
        <v>455</v>
      </c>
      <c r="AC17" s="368">
        <v>1</v>
      </c>
      <c r="AD17" s="449" t="s">
        <v>473</v>
      </c>
      <c r="AH17" s="371"/>
    </row>
    <row r="18" spans="2:39" s="147" customFormat="1" ht="27" hidden="1" customHeight="1">
      <c r="B18" s="845"/>
      <c r="C18" s="846"/>
      <c r="D18" s="362">
        <v>12</v>
      </c>
      <c r="E18" s="443" t="s">
        <v>585</v>
      </c>
      <c r="F18" s="444">
        <f t="shared" si="1"/>
        <v>1236.24</v>
      </c>
      <c r="G18" s="366">
        <v>24.240000000000002</v>
      </c>
      <c r="H18" s="445">
        <v>20191</v>
      </c>
      <c r="I18" s="445">
        <v>20191</v>
      </c>
      <c r="J18" s="447">
        <f t="shared" si="2"/>
        <v>1</v>
      </c>
      <c r="K18" s="446">
        <v>20242</v>
      </c>
      <c r="L18" s="447">
        <f t="shared" si="3"/>
        <v>1.0025258778663761</v>
      </c>
      <c r="M18" s="446">
        <v>0</v>
      </c>
      <c r="N18" s="447">
        <f t="shared" si="4"/>
        <v>0</v>
      </c>
      <c r="O18" s="448">
        <f t="shared" si="5"/>
        <v>20242</v>
      </c>
      <c r="P18" s="447">
        <f t="shared" si="6"/>
        <v>1.0025258778663761</v>
      </c>
      <c r="Q18" s="445">
        <v>51</v>
      </c>
      <c r="R18" s="447">
        <f t="shared" si="7"/>
        <v>2.5258778663761082E-3</v>
      </c>
      <c r="S18" s="448">
        <f t="shared" si="8"/>
        <v>51</v>
      </c>
      <c r="T18" s="447">
        <f t="shared" si="9"/>
        <v>2.5258778663761082E-3</v>
      </c>
      <c r="U18" s="365">
        <f t="shared" si="10"/>
        <v>1236.24</v>
      </c>
      <c r="Y18" s="367" t="s">
        <v>417</v>
      </c>
      <c r="Z18" s="367" t="s">
        <v>337</v>
      </c>
      <c r="AA18" s="368" t="s">
        <v>591</v>
      </c>
      <c r="AB18" s="368" t="s">
        <v>592</v>
      </c>
      <c r="AC18" s="368">
        <v>1</v>
      </c>
      <c r="AD18" s="449" t="s">
        <v>583</v>
      </c>
    </row>
    <row r="19" spans="2:39" s="147" customFormat="1" ht="27" hidden="1" customHeight="1">
      <c r="B19" s="845"/>
      <c r="C19" s="846"/>
      <c r="D19" s="362">
        <v>13</v>
      </c>
      <c r="E19" s="443" t="s">
        <v>475</v>
      </c>
      <c r="F19" s="444">
        <f t="shared" si="1"/>
        <v>1224.0359999999998</v>
      </c>
      <c r="G19" s="366">
        <v>84.3</v>
      </c>
      <c r="H19" s="445">
        <v>1341.0100000000002</v>
      </c>
      <c r="I19" s="445">
        <v>1341.0100000000002</v>
      </c>
      <c r="J19" s="447">
        <f t="shared" si="2"/>
        <v>1</v>
      </c>
      <c r="K19" s="446">
        <v>1392</v>
      </c>
      <c r="L19" s="447">
        <f t="shared" si="3"/>
        <v>1.038023579242511</v>
      </c>
      <c r="M19" s="446">
        <v>46.290000000000006</v>
      </c>
      <c r="N19" s="447">
        <f t="shared" si="4"/>
        <v>3.4518758249379201E-2</v>
      </c>
      <c r="O19" s="448">
        <f t="shared" si="5"/>
        <v>1438.29</v>
      </c>
      <c r="P19" s="447">
        <f t="shared" si="6"/>
        <v>1.0725423374918903</v>
      </c>
      <c r="Q19" s="445">
        <v>14.52</v>
      </c>
      <c r="R19" s="447">
        <f t="shared" si="7"/>
        <v>1.0827659748995157E-2</v>
      </c>
      <c r="S19" s="448">
        <f t="shared" si="8"/>
        <v>97.279999999999745</v>
      </c>
      <c r="T19" s="447">
        <f t="shared" si="9"/>
        <v>7.2542337491890235E-2</v>
      </c>
      <c r="U19" s="365">
        <f t="shared" si="10"/>
        <v>8200.7039999999779</v>
      </c>
      <c r="Y19" s="367" t="s">
        <v>417</v>
      </c>
      <c r="Z19" s="367" t="s">
        <v>446</v>
      </c>
      <c r="AA19" s="368" t="s">
        <v>480</v>
      </c>
      <c r="AB19" s="368" t="s">
        <v>593</v>
      </c>
      <c r="AC19" s="368">
        <v>1</v>
      </c>
      <c r="AD19" s="449" t="s">
        <v>474</v>
      </c>
    </row>
    <row r="20" spans="2:39" s="147" customFormat="1" ht="27" hidden="1" customHeight="1">
      <c r="B20" s="845"/>
      <c r="C20" s="846"/>
      <c r="D20" s="362">
        <v>14</v>
      </c>
      <c r="E20" s="443" t="s">
        <v>602</v>
      </c>
      <c r="F20" s="444">
        <f t="shared" si="1"/>
        <v>1189.8800000000001</v>
      </c>
      <c r="G20" s="366">
        <v>6.04</v>
      </c>
      <c r="H20" s="445">
        <v>9310</v>
      </c>
      <c r="I20" s="445">
        <v>9310</v>
      </c>
      <c r="J20" s="447">
        <f t="shared" si="2"/>
        <v>1</v>
      </c>
      <c r="K20" s="446">
        <v>9507</v>
      </c>
      <c r="L20" s="447">
        <f t="shared" si="3"/>
        <v>1.0211600429645542</v>
      </c>
      <c r="M20" s="446">
        <v>0</v>
      </c>
      <c r="N20" s="447">
        <f t="shared" si="4"/>
        <v>0</v>
      </c>
      <c r="O20" s="448">
        <f t="shared" si="5"/>
        <v>9507</v>
      </c>
      <c r="P20" s="447">
        <f t="shared" si="6"/>
        <v>1.0211600429645542</v>
      </c>
      <c r="Q20" s="445">
        <v>197</v>
      </c>
      <c r="R20" s="447">
        <f t="shared" si="7"/>
        <v>2.1160042964554242E-2</v>
      </c>
      <c r="S20" s="448">
        <f t="shared" si="8"/>
        <v>197</v>
      </c>
      <c r="T20" s="447">
        <f t="shared" si="9"/>
        <v>2.1160042964554242E-2</v>
      </c>
      <c r="U20" s="365">
        <f t="shared" si="10"/>
        <v>1189.8800000000001</v>
      </c>
      <c r="Y20" s="367" t="s">
        <v>417</v>
      </c>
      <c r="Z20" s="367" t="s">
        <v>337</v>
      </c>
      <c r="AA20" s="367" t="s">
        <v>609</v>
      </c>
      <c r="AB20" s="368" t="s">
        <v>610</v>
      </c>
      <c r="AC20" s="368">
        <v>1</v>
      </c>
      <c r="AD20" s="449" t="s">
        <v>509</v>
      </c>
    </row>
    <row r="21" spans="2:39" s="147" customFormat="1" ht="27" hidden="1" customHeight="1">
      <c r="B21" s="845"/>
      <c r="C21" s="846"/>
      <c r="D21" s="362">
        <v>15</v>
      </c>
      <c r="E21" s="443" t="s">
        <v>477</v>
      </c>
      <c r="F21" s="444">
        <f t="shared" si="1"/>
        <v>1061.9531999999999</v>
      </c>
      <c r="G21" s="366">
        <v>421.40999999999997</v>
      </c>
      <c r="H21" s="445">
        <v>214.66</v>
      </c>
      <c r="I21" s="445">
        <v>214.66</v>
      </c>
      <c r="J21" s="447">
        <f t="shared" si="2"/>
        <v>1</v>
      </c>
      <c r="K21" s="446">
        <v>221.85999999999996</v>
      </c>
      <c r="L21" s="447">
        <f t="shared" si="3"/>
        <v>1.0335414143296373</v>
      </c>
      <c r="M21" s="446">
        <v>6.12</v>
      </c>
      <c r="N21" s="447">
        <f t="shared" si="4"/>
        <v>2.8510202180191933E-2</v>
      </c>
      <c r="O21" s="448">
        <f t="shared" si="5"/>
        <v>227.97999999999996</v>
      </c>
      <c r="P21" s="447">
        <f t="shared" si="6"/>
        <v>1.0620516165098293</v>
      </c>
      <c r="Q21" s="445">
        <v>2.52</v>
      </c>
      <c r="R21" s="447">
        <f t="shared" si="7"/>
        <v>1.1739495015373148E-2</v>
      </c>
      <c r="S21" s="448">
        <f t="shared" si="8"/>
        <v>13.319999999999965</v>
      </c>
      <c r="T21" s="447">
        <f t="shared" si="9"/>
        <v>6.2051616509829335E-2</v>
      </c>
      <c r="U21" s="365">
        <f t="shared" si="10"/>
        <v>5613.1811999999845</v>
      </c>
      <c r="Y21" s="367" t="s">
        <v>417</v>
      </c>
      <c r="Z21" s="367" t="s">
        <v>446</v>
      </c>
      <c r="AA21" s="368" t="s">
        <v>629</v>
      </c>
      <c r="AB21" s="368" t="s">
        <v>571</v>
      </c>
      <c r="AC21" s="368">
        <v>1</v>
      </c>
      <c r="AD21" s="449" t="s">
        <v>441</v>
      </c>
    </row>
    <row r="22" spans="2:39" s="147" customFormat="1" ht="27" hidden="1" customHeight="1">
      <c r="B22" s="845"/>
      <c r="C22" s="846"/>
      <c r="D22" s="362">
        <v>16</v>
      </c>
      <c r="E22" s="443" t="s">
        <v>484</v>
      </c>
      <c r="F22" s="444">
        <f t="shared" si="1"/>
        <v>1055.9534999999996</v>
      </c>
      <c r="G22" s="366">
        <v>370.50999999999993</v>
      </c>
      <c r="H22" s="445">
        <v>397.08000000000004</v>
      </c>
      <c r="I22" s="445">
        <v>397.08000000000004</v>
      </c>
      <c r="J22" s="447">
        <f t="shared" si="2"/>
        <v>1</v>
      </c>
      <c r="K22" s="446">
        <v>408.84000000000003</v>
      </c>
      <c r="L22" s="447">
        <f t="shared" si="3"/>
        <v>1.0296161982472045</v>
      </c>
      <c r="M22" s="446">
        <v>11.759999999999998</v>
      </c>
      <c r="N22" s="447">
        <f t="shared" si="4"/>
        <v>2.9616198247204586E-2</v>
      </c>
      <c r="O22" s="448">
        <f t="shared" si="5"/>
        <v>420.6</v>
      </c>
      <c r="P22" s="447">
        <f t="shared" si="6"/>
        <v>1.059232396494409</v>
      </c>
      <c r="Q22" s="445">
        <v>2.8499999999999996</v>
      </c>
      <c r="R22" s="447">
        <f t="shared" si="7"/>
        <v>7.1773949833786625E-3</v>
      </c>
      <c r="S22" s="448">
        <f t="shared" si="8"/>
        <v>23.519999999999982</v>
      </c>
      <c r="T22" s="447">
        <f t="shared" si="9"/>
        <v>5.9232396494409138E-2</v>
      </c>
      <c r="U22" s="365">
        <f t="shared" si="10"/>
        <v>8714.3951999999917</v>
      </c>
      <c r="Y22" s="367" t="s">
        <v>417</v>
      </c>
      <c r="Z22" s="367" t="s">
        <v>446</v>
      </c>
      <c r="AA22" s="368" t="s">
        <v>630</v>
      </c>
      <c r="AB22" s="368" t="s">
        <v>571</v>
      </c>
      <c r="AC22" s="368">
        <v>1</v>
      </c>
      <c r="AD22" s="449" t="s">
        <v>353</v>
      </c>
    </row>
    <row r="23" spans="2:39" s="147" customFormat="1" ht="27" hidden="1" customHeight="1">
      <c r="B23" s="845"/>
      <c r="C23" s="846"/>
      <c r="D23" s="362">
        <v>17</v>
      </c>
      <c r="E23" s="443" t="s">
        <v>603</v>
      </c>
      <c r="F23" s="444">
        <f t="shared" si="1"/>
        <v>1044.9264000000001</v>
      </c>
      <c r="G23" s="366">
        <v>153.44000000000003</v>
      </c>
      <c r="H23" s="445">
        <v>2546.5</v>
      </c>
      <c r="I23" s="445">
        <v>2546.5</v>
      </c>
      <c r="J23" s="447">
        <f t="shared" si="2"/>
        <v>1</v>
      </c>
      <c r="K23" s="446">
        <v>2580.71</v>
      </c>
      <c r="L23" s="447">
        <f t="shared" si="3"/>
        <v>1.0134341252699783</v>
      </c>
      <c r="M23" s="446">
        <v>34.21</v>
      </c>
      <c r="N23" s="447">
        <f t="shared" si="4"/>
        <v>1.3434125269978402E-2</v>
      </c>
      <c r="O23" s="448">
        <f t="shared" si="5"/>
        <v>2614.92</v>
      </c>
      <c r="P23" s="447">
        <f t="shared" si="6"/>
        <v>1.0268682505399569</v>
      </c>
      <c r="Q23" s="445">
        <v>6.81</v>
      </c>
      <c r="R23" s="447">
        <f t="shared" si="7"/>
        <v>2.6742587865698016E-3</v>
      </c>
      <c r="S23" s="448">
        <f t="shared" si="8"/>
        <v>68.420000000000073</v>
      </c>
      <c r="T23" s="447">
        <f t="shared" si="9"/>
        <v>2.6868250539956832E-2</v>
      </c>
      <c r="U23" s="365">
        <f t="shared" si="10"/>
        <v>10498.364800000012</v>
      </c>
      <c r="Y23" s="367" t="s">
        <v>417</v>
      </c>
      <c r="Z23" s="367" t="s">
        <v>446</v>
      </c>
      <c r="AA23" s="368" t="s">
        <v>528</v>
      </c>
      <c r="AB23" s="368" t="s">
        <v>456</v>
      </c>
      <c r="AC23" s="368">
        <v>1</v>
      </c>
      <c r="AD23" s="449" t="s">
        <v>466</v>
      </c>
    </row>
    <row r="24" spans="2:39" s="147" customFormat="1" ht="27" hidden="1" customHeight="1">
      <c r="B24" s="845"/>
      <c r="C24" s="846"/>
      <c r="D24" s="362">
        <v>18</v>
      </c>
      <c r="E24" s="443" t="s">
        <v>439</v>
      </c>
      <c r="F24" s="444">
        <f t="shared" si="1"/>
        <v>1040.6252999999999</v>
      </c>
      <c r="G24" s="366">
        <v>181.60999999999999</v>
      </c>
      <c r="H24" s="445">
        <v>464.32</v>
      </c>
      <c r="I24" s="445">
        <v>464.32</v>
      </c>
      <c r="J24" s="447">
        <f t="shared" si="2"/>
        <v>1</v>
      </c>
      <c r="K24" s="446">
        <v>484.01</v>
      </c>
      <c r="L24" s="447">
        <f t="shared" si="3"/>
        <v>1.0424060992419022</v>
      </c>
      <c r="M24" s="446">
        <v>19.690000000000001</v>
      </c>
      <c r="N24" s="447">
        <f t="shared" si="4"/>
        <v>4.240609924190214E-2</v>
      </c>
      <c r="O24" s="448">
        <f t="shared" si="5"/>
        <v>503.7</v>
      </c>
      <c r="P24" s="447">
        <f t="shared" si="6"/>
        <v>1.0848121984838042</v>
      </c>
      <c r="Q24" s="445">
        <v>5.73</v>
      </c>
      <c r="R24" s="447">
        <f t="shared" si="7"/>
        <v>1.2340627153687113E-2</v>
      </c>
      <c r="S24" s="448">
        <f t="shared" si="8"/>
        <v>39.379999999999995</v>
      </c>
      <c r="T24" s="447">
        <f t="shared" si="9"/>
        <v>8.4812198483804266E-2</v>
      </c>
      <c r="U24" s="365">
        <f t="shared" si="10"/>
        <v>7151.8017999999984</v>
      </c>
      <c r="Y24" s="367" t="s">
        <v>417</v>
      </c>
      <c r="Z24" s="367" t="s">
        <v>446</v>
      </c>
      <c r="AA24" s="368" t="s">
        <v>548</v>
      </c>
      <c r="AB24" s="368" t="s">
        <v>455</v>
      </c>
      <c r="AC24" s="368">
        <v>1</v>
      </c>
      <c r="AD24" s="449" t="s">
        <v>438</v>
      </c>
    </row>
    <row r="25" spans="2:39" s="147" customFormat="1" ht="27" hidden="1" customHeight="1">
      <c r="B25" s="845"/>
      <c r="C25" s="846"/>
      <c r="D25" s="362">
        <v>19</v>
      </c>
      <c r="E25" s="443" t="s">
        <v>604</v>
      </c>
      <c r="F25" s="444">
        <f t="shared" si="1"/>
        <v>1030.7355</v>
      </c>
      <c r="G25" s="366">
        <v>413.94999999999993</v>
      </c>
      <c r="H25" s="445">
        <v>545.73</v>
      </c>
      <c r="I25" s="445">
        <v>545.73</v>
      </c>
      <c r="J25" s="447">
        <f t="shared" si="2"/>
        <v>1</v>
      </c>
      <c r="K25" s="446">
        <v>558.84</v>
      </c>
      <c r="L25" s="447">
        <f t="shared" si="3"/>
        <v>1.0240228684514321</v>
      </c>
      <c r="M25" s="446">
        <v>12.41</v>
      </c>
      <c r="N25" s="447">
        <f t="shared" si="4"/>
        <v>2.2740182874315135E-2</v>
      </c>
      <c r="O25" s="448">
        <f t="shared" si="5"/>
        <v>571.25</v>
      </c>
      <c r="P25" s="447">
        <f t="shared" si="6"/>
        <v>1.0467630513257471</v>
      </c>
      <c r="Q25" s="445">
        <v>2.4900000000000002</v>
      </c>
      <c r="R25" s="447">
        <f t="shared" si="7"/>
        <v>4.5626958386015062E-3</v>
      </c>
      <c r="S25" s="448">
        <f t="shared" si="8"/>
        <v>25.519999999999982</v>
      </c>
      <c r="T25" s="447">
        <f t="shared" si="9"/>
        <v>4.6763051325747131E-2</v>
      </c>
      <c r="U25" s="365">
        <f t="shared" si="10"/>
        <v>10564.00399999999</v>
      </c>
      <c r="V25" s="145"/>
      <c r="W25" s="145"/>
      <c r="X25" s="145"/>
      <c r="Y25" s="367" t="s">
        <v>417</v>
      </c>
      <c r="Z25" s="367" t="s">
        <v>446</v>
      </c>
      <c r="AA25" s="368" t="s">
        <v>528</v>
      </c>
      <c r="AB25" s="368" t="s">
        <v>456</v>
      </c>
      <c r="AC25" s="368">
        <v>1</v>
      </c>
      <c r="AD25" s="449" t="s">
        <v>601</v>
      </c>
      <c r="AG25" s="372"/>
      <c r="AH25" s="371"/>
    </row>
    <row r="26" spans="2:39" s="147" customFormat="1" ht="27" hidden="1" customHeight="1">
      <c r="B26" s="847"/>
      <c r="C26" s="848"/>
      <c r="D26" s="362">
        <v>20</v>
      </c>
      <c r="E26" s="443" t="s">
        <v>625</v>
      </c>
      <c r="F26" s="444">
        <f t="shared" si="1"/>
        <v>1027.52</v>
      </c>
      <c r="G26" s="366">
        <v>2.08</v>
      </c>
      <c r="H26" s="445">
        <v>47604</v>
      </c>
      <c r="I26" s="445">
        <v>47604</v>
      </c>
      <c r="J26" s="447">
        <f t="shared" si="2"/>
        <v>1</v>
      </c>
      <c r="K26" s="446">
        <v>48098</v>
      </c>
      <c r="L26" s="447">
        <f t="shared" si="3"/>
        <v>1.0103772792202337</v>
      </c>
      <c r="M26" s="446">
        <v>0</v>
      </c>
      <c r="N26" s="447">
        <f t="shared" si="4"/>
        <v>0</v>
      </c>
      <c r="O26" s="448">
        <f t="shared" si="5"/>
        <v>48098</v>
      </c>
      <c r="P26" s="447">
        <f t="shared" si="6"/>
        <v>1.0103772792202337</v>
      </c>
      <c r="Q26" s="445">
        <v>494</v>
      </c>
      <c r="R26" s="447">
        <f t="shared" si="7"/>
        <v>1.0377279220233593E-2</v>
      </c>
      <c r="S26" s="448">
        <f t="shared" si="8"/>
        <v>494</v>
      </c>
      <c r="T26" s="447">
        <f t="shared" si="9"/>
        <v>1.0377279220233593E-2</v>
      </c>
      <c r="U26" s="365">
        <f t="shared" si="10"/>
        <v>1027.52</v>
      </c>
      <c r="V26" s="145"/>
      <c r="W26" s="145"/>
      <c r="X26" s="145"/>
      <c r="Y26" s="367" t="s">
        <v>417</v>
      </c>
      <c r="Z26" s="367" t="s">
        <v>446</v>
      </c>
      <c r="AA26" s="368" t="s">
        <v>631</v>
      </c>
      <c r="AB26" s="368" t="s">
        <v>610</v>
      </c>
      <c r="AC26" s="368">
        <v>1</v>
      </c>
      <c r="AD26" s="449" t="s">
        <v>531</v>
      </c>
      <c r="AG26" s="372"/>
      <c r="AH26" s="371"/>
    </row>
    <row r="27" spans="2:39" ht="17.149999999999999" hidden="1" customHeight="1">
      <c r="B27" s="869" t="s">
        <v>443</v>
      </c>
      <c r="C27" s="870"/>
      <c r="D27" s="855" t="s">
        <v>551</v>
      </c>
      <c r="E27" s="833" t="s">
        <v>552</v>
      </c>
      <c r="F27" s="835" t="s">
        <v>553</v>
      </c>
      <c r="G27" s="835" t="s">
        <v>554</v>
      </c>
      <c r="H27" s="878" t="s">
        <v>555</v>
      </c>
      <c r="I27" s="867" t="s">
        <v>556</v>
      </c>
      <c r="J27" s="868"/>
      <c r="K27" s="867" t="s">
        <v>557</v>
      </c>
      <c r="L27" s="868"/>
      <c r="M27" s="867" t="s">
        <v>558</v>
      </c>
      <c r="N27" s="868"/>
      <c r="O27" s="867" t="s">
        <v>559</v>
      </c>
      <c r="P27" s="868"/>
      <c r="Q27" s="867" t="s">
        <v>418</v>
      </c>
      <c r="R27" s="868"/>
      <c r="S27" s="864" t="s">
        <v>419</v>
      </c>
      <c r="T27" s="865"/>
      <c r="U27" s="866"/>
      <c r="Y27" s="861" t="s">
        <v>171</v>
      </c>
      <c r="Z27" s="861" t="s">
        <v>245</v>
      </c>
      <c r="AA27" s="861" t="s">
        <v>560</v>
      </c>
      <c r="AB27" s="861" t="s">
        <v>445</v>
      </c>
      <c r="AC27" s="861" t="s">
        <v>246</v>
      </c>
      <c r="AD27" s="835" t="s">
        <v>172</v>
      </c>
      <c r="AF27" s="884" t="s">
        <v>247</v>
      </c>
      <c r="AG27" s="885"/>
      <c r="AH27" s="885"/>
      <c r="AI27" s="885"/>
      <c r="AJ27" s="885"/>
      <c r="AK27" s="885"/>
      <c r="AL27" s="885"/>
      <c r="AM27" s="886"/>
    </row>
    <row r="28" spans="2:39" hidden="1">
      <c r="B28" s="871"/>
      <c r="C28" s="872"/>
      <c r="D28" s="856"/>
      <c r="E28" s="834"/>
      <c r="F28" s="836"/>
      <c r="G28" s="836"/>
      <c r="H28" s="880"/>
      <c r="I28" s="442" t="s">
        <v>561</v>
      </c>
      <c r="J28" s="363" t="s">
        <v>562</v>
      </c>
      <c r="K28" s="442" t="s">
        <v>561</v>
      </c>
      <c r="L28" s="363" t="s">
        <v>562</v>
      </c>
      <c r="M28" s="442" t="s">
        <v>561</v>
      </c>
      <c r="N28" s="363" t="s">
        <v>562</v>
      </c>
      <c r="O28" s="442" t="s">
        <v>561</v>
      </c>
      <c r="P28" s="363" t="s">
        <v>562</v>
      </c>
      <c r="Q28" s="442" t="s">
        <v>561</v>
      </c>
      <c r="R28" s="363" t="s">
        <v>562</v>
      </c>
      <c r="S28" s="442" t="s">
        <v>561</v>
      </c>
      <c r="T28" s="363" t="s">
        <v>562</v>
      </c>
      <c r="U28" s="363" t="s">
        <v>563</v>
      </c>
      <c r="Y28" s="863"/>
      <c r="Z28" s="863"/>
      <c r="AA28" s="863"/>
      <c r="AB28" s="863"/>
      <c r="AC28" s="863"/>
      <c r="AD28" s="836"/>
      <c r="AF28" s="887"/>
      <c r="AG28" s="888"/>
      <c r="AH28" s="888"/>
      <c r="AI28" s="888"/>
      <c r="AJ28" s="888"/>
      <c r="AK28" s="888"/>
      <c r="AL28" s="888"/>
      <c r="AM28" s="889"/>
    </row>
    <row r="29" spans="2:39" s="147" customFormat="1" ht="27" hidden="1" customHeight="1">
      <c r="B29" s="843" t="s">
        <v>637</v>
      </c>
      <c r="C29" s="844"/>
      <c r="D29" s="362">
        <v>1</v>
      </c>
      <c r="E29" s="443" t="s">
        <v>335</v>
      </c>
      <c r="F29" s="444">
        <f>IFERROR(Q29*G29,"-")</f>
        <v>3275.4</v>
      </c>
      <c r="G29" s="366">
        <v>15.450000000000001</v>
      </c>
      <c r="H29" s="445">
        <v>78076</v>
      </c>
      <c r="I29" s="445">
        <v>78076</v>
      </c>
      <c r="J29" s="447">
        <f>IFERROR(I29/H29,"-")</f>
        <v>1</v>
      </c>
      <c r="K29" s="446">
        <v>78289</v>
      </c>
      <c r="L29" s="447">
        <f>IFERROR(K29/H29,"-")</f>
        <v>1.0027281110712638</v>
      </c>
      <c r="M29" s="446">
        <v>0</v>
      </c>
      <c r="N29" s="447">
        <f>IFERROR(M29/H29,"-")</f>
        <v>0</v>
      </c>
      <c r="O29" s="448">
        <f>IFERROR(K29+M29,"-")</f>
        <v>78289</v>
      </c>
      <c r="P29" s="447">
        <f>IFERROR(O29/H29,"-")</f>
        <v>1.0027281110712638</v>
      </c>
      <c r="Q29" s="445">
        <v>212</v>
      </c>
      <c r="R29" s="447">
        <f>IFERROR(Q29/H29,"-")</f>
        <v>2.7153030380654745E-3</v>
      </c>
      <c r="S29" s="448">
        <f>IFERROR(O29-H29,"-")</f>
        <v>213</v>
      </c>
      <c r="T29" s="447">
        <f>IFERROR(S29/H29,"-")</f>
        <v>2.7281110712638968E-3</v>
      </c>
      <c r="U29" s="365">
        <f>IFERROR(S29*G29,"-")</f>
        <v>3290.8500000000004</v>
      </c>
      <c r="V29" s="145"/>
      <c r="W29" s="145"/>
      <c r="X29" s="145"/>
      <c r="Y29" s="367" t="s">
        <v>417</v>
      </c>
      <c r="Z29" s="367" t="s">
        <v>216</v>
      </c>
      <c r="AA29" s="368" t="s">
        <v>467</v>
      </c>
      <c r="AB29" s="368" t="s">
        <v>571</v>
      </c>
      <c r="AC29" s="368">
        <v>1</v>
      </c>
      <c r="AD29" s="449" t="s">
        <v>524</v>
      </c>
      <c r="AF29" s="890"/>
      <c r="AG29" s="891"/>
      <c r="AH29" s="891"/>
      <c r="AI29" s="891"/>
      <c r="AJ29" s="891"/>
      <c r="AK29" s="891"/>
      <c r="AL29" s="891"/>
      <c r="AM29" s="892"/>
    </row>
    <row r="30" spans="2:39" s="147" customFormat="1" ht="27" hidden="1" customHeight="1">
      <c r="B30" s="845"/>
      <c r="C30" s="846"/>
      <c r="D30" s="362">
        <v>2</v>
      </c>
      <c r="E30" s="443" t="s">
        <v>449</v>
      </c>
      <c r="F30" s="444">
        <f t="shared" ref="F30:F48" si="12">IFERROR(Q30*G30,"-")</f>
        <v>3268.2999999999997</v>
      </c>
      <c r="G30" s="366">
        <v>2.4499999999999997</v>
      </c>
      <c r="H30" s="445">
        <v>150466</v>
      </c>
      <c r="I30" s="445">
        <v>150466</v>
      </c>
      <c r="J30" s="447">
        <f t="shared" ref="J30:J48" si="13">IFERROR(I30/H30,"-")</f>
        <v>1</v>
      </c>
      <c r="K30" s="446">
        <v>151800</v>
      </c>
      <c r="L30" s="447">
        <f t="shared" ref="L30:L48" si="14">IFERROR(K30/H30,"-")</f>
        <v>1.0088657902782023</v>
      </c>
      <c r="M30" s="446">
        <v>0</v>
      </c>
      <c r="N30" s="447">
        <f t="shared" ref="N30:N48" si="15">IFERROR(M30/H30,"-")</f>
        <v>0</v>
      </c>
      <c r="O30" s="448">
        <f t="shared" ref="O30:O48" si="16">IFERROR(K30+M30,"-")</f>
        <v>151800</v>
      </c>
      <c r="P30" s="447">
        <f t="shared" ref="P30:P48" si="17">IFERROR(O30/H30,"-")</f>
        <v>1.0088657902782023</v>
      </c>
      <c r="Q30" s="445">
        <v>1334</v>
      </c>
      <c r="R30" s="447">
        <f t="shared" ref="R30:R48" si="18">IFERROR(Q30/H30,"-")</f>
        <v>8.8657902782023849E-3</v>
      </c>
      <c r="S30" s="448">
        <f t="shared" ref="S30:S48" si="19">IFERROR(O30-H30,"-")</f>
        <v>1334</v>
      </c>
      <c r="T30" s="447">
        <f t="shared" ref="T30:T48" si="20">IFERROR(S30/H30,"-")</f>
        <v>8.8657902782023849E-3</v>
      </c>
      <c r="U30" s="365">
        <f t="shared" ref="U30:U48" si="21">IFERROR(S30*G30,"-")</f>
        <v>3268.2999999999997</v>
      </c>
      <c r="V30" s="145"/>
      <c r="W30" s="145"/>
      <c r="X30" s="145"/>
      <c r="Y30" s="367" t="s">
        <v>417</v>
      </c>
      <c r="Z30" s="367" t="s">
        <v>337</v>
      </c>
      <c r="AA30" s="368" t="s">
        <v>468</v>
      </c>
      <c r="AB30" s="368" t="s">
        <v>469</v>
      </c>
      <c r="AC30" s="368">
        <v>1</v>
      </c>
      <c r="AD30" s="449" t="s">
        <v>340</v>
      </c>
      <c r="AF30" s="160" t="s">
        <v>244</v>
      </c>
      <c r="AG30" s="160" t="s">
        <v>446</v>
      </c>
      <c r="AH30" s="155" t="s">
        <v>564</v>
      </c>
      <c r="AI30" s="155" t="s">
        <v>337</v>
      </c>
      <c r="AJ30" s="155" t="s">
        <v>429</v>
      </c>
      <c r="AK30" s="155" t="s">
        <v>215</v>
      </c>
      <c r="AL30" s="155" t="s">
        <v>216</v>
      </c>
      <c r="AM30" s="155" t="s">
        <v>384</v>
      </c>
    </row>
    <row r="31" spans="2:39" s="147" customFormat="1" ht="27" hidden="1" customHeight="1">
      <c r="B31" s="845"/>
      <c r="C31" s="846"/>
      <c r="D31" s="362">
        <v>3</v>
      </c>
      <c r="E31" s="443" t="s">
        <v>448</v>
      </c>
      <c r="F31" s="444">
        <f t="shared" si="12"/>
        <v>2833.74</v>
      </c>
      <c r="G31" s="366">
        <v>1.17</v>
      </c>
      <c r="H31" s="445">
        <v>285494</v>
      </c>
      <c r="I31" s="445">
        <v>285494</v>
      </c>
      <c r="J31" s="447">
        <f t="shared" si="13"/>
        <v>1</v>
      </c>
      <c r="K31" s="446">
        <v>287916</v>
      </c>
      <c r="L31" s="447">
        <f t="shared" si="14"/>
        <v>1.0084835408099644</v>
      </c>
      <c r="M31" s="446">
        <v>0</v>
      </c>
      <c r="N31" s="447">
        <f t="shared" si="15"/>
        <v>0</v>
      </c>
      <c r="O31" s="448">
        <f t="shared" si="16"/>
        <v>287916</v>
      </c>
      <c r="P31" s="447">
        <f t="shared" si="17"/>
        <v>1.0084835408099644</v>
      </c>
      <c r="Q31" s="445">
        <v>2422</v>
      </c>
      <c r="R31" s="447">
        <f t="shared" si="18"/>
        <v>8.4835408099644821E-3</v>
      </c>
      <c r="S31" s="448">
        <f t="shared" si="19"/>
        <v>2422</v>
      </c>
      <c r="T31" s="447">
        <f t="shared" si="20"/>
        <v>8.4835408099644821E-3</v>
      </c>
      <c r="U31" s="365">
        <f t="shared" si="21"/>
        <v>2833.74</v>
      </c>
      <c r="V31" s="145"/>
      <c r="W31" s="145"/>
      <c r="X31" s="145"/>
      <c r="Y31" s="367" t="s">
        <v>417</v>
      </c>
      <c r="Z31" s="367" t="s">
        <v>337</v>
      </c>
      <c r="AA31" s="368" t="s">
        <v>470</v>
      </c>
      <c r="AB31" s="368" t="s">
        <v>527</v>
      </c>
      <c r="AC31" s="368">
        <v>1</v>
      </c>
      <c r="AD31" s="449" t="s">
        <v>340</v>
      </c>
      <c r="AF31" s="375">
        <f>SUM(AC29:AC48)</f>
        <v>20</v>
      </c>
      <c r="AG31" s="370">
        <f t="shared" ref="AG31:AM31" si="22">SUMIF($Z$29:$Z$48,TRIM(AG30),$AC$29:$AC$48)</f>
        <v>5</v>
      </c>
      <c r="AH31" s="370">
        <f t="shared" si="22"/>
        <v>0</v>
      </c>
      <c r="AI31" s="370">
        <f t="shared" si="22"/>
        <v>9</v>
      </c>
      <c r="AJ31" s="370">
        <f t="shared" si="22"/>
        <v>0</v>
      </c>
      <c r="AK31" s="370">
        <f t="shared" si="22"/>
        <v>1</v>
      </c>
      <c r="AL31" s="370">
        <f t="shared" si="22"/>
        <v>5</v>
      </c>
      <c r="AM31" s="370">
        <f t="shared" si="22"/>
        <v>0</v>
      </c>
    </row>
    <row r="32" spans="2:39" s="147" customFormat="1" ht="27" hidden="1" customHeight="1">
      <c r="B32" s="845"/>
      <c r="C32" s="846"/>
      <c r="D32" s="362">
        <v>4</v>
      </c>
      <c r="E32" s="443" t="s">
        <v>386</v>
      </c>
      <c r="F32" s="444">
        <f t="shared" si="12"/>
        <v>1752.6864000000003</v>
      </c>
      <c r="G32" s="366">
        <v>127.84000000000002</v>
      </c>
      <c r="H32" s="445">
        <v>4280.3500000000004</v>
      </c>
      <c r="I32" s="445">
        <v>4280.3500000000004</v>
      </c>
      <c r="J32" s="447">
        <f t="shared" si="13"/>
        <v>1</v>
      </c>
      <c r="K32" s="446">
        <v>4319.95</v>
      </c>
      <c r="L32" s="447">
        <f t="shared" si="14"/>
        <v>1.0092515798941675</v>
      </c>
      <c r="M32" s="446">
        <v>39.599999999999994</v>
      </c>
      <c r="N32" s="447">
        <f t="shared" si="15"/>
        <v>9.251579894167531E-3</v>
      </c>
      <c r="O32" s="448">
        <f t="shared" si="16"/>
        <v>4359.55</v>
      </c>
      <c r="P32" s="447">
        <f t="shared" si="17"/>
        <v>1.0185031597883349</v>
      </c>
      <c r="Q32" s="445">
        <v>13.71</v>
      </c>
      <c r="R32" s="447">
        <f t="shared" si="18"/>
        <v>3.2030090997231535E-3</v>
      </c>
      <c r="S32" s="448">
        <f t="shared" si="19"/>
        <v>79.199999999999818</v>
      </c>
      <c r="T32" s="447">
        <f t="shared" si="20"/>
        <v>1.850315978833502E-2</v>
      </c>
      <c r="U32" s="365">
        <f t="shared" si="21"/>
        <v>10124.927999999978</v>
      </c>
      <c r="V32" s="145"/>
      <c r="W32" s="145"/>
      <c r="X32" s="145"/>
      <c r="Y32" s="367" t="s">
        <v>417</v>
      </c>
      <c r="Z32" s="367" t="s">
        <v>446</v>
      </c>
      <c r="AA32" s="368" t="s">
        <v>572</v>
      </c>
      <c r="AB32" s="368" t="s">
        <v>573</v>
      </c>
      <c r="AC32" s="368">
        <v>1</v>
      </c>
      <c r="AD32" s="449" t="s">
        <v>340</v>
      </c>
      <c r="AF32" s="376" t="s">
        <v>11</v>
      </c>
      <c r="AG32" s="373">
        <f>SUMIF($Z$29:$Z48,TRIM(AG30),$F$29:$F$48)</f>
        <v>7264.2619999999997</v>
      </c>
      <c r="AH32" s="373">
        <f>SUMIF($Z$29:$Z48,TRIM(AH30),$F$29:$F$48)</f>
        <v>0</v>
      </c>
      <c r="AI32" s="373">
        <f>SUMIF($Z$29:$Z48,TRIM(AI30),$F$29:$F$48)</f>
        <v>15182.581999999999</v>
      </c>
      <c r="AJ32" s="373">
        <f>SUMIF($Z$29:$Z48,TRIM(AJ30),$F$29:$F$48)</f>
        <v>0</v>
      </c>
      <c r="AK32" s="373">
        <f>SUMIF($Z$29:$Z48,TRIM(AK30),$F$29:$F$48)</f>
        <v>1506.7346000000005</v>
      </c>
      <c r="AL32" s="373">
        <f>SUMIF($Z$29:$Z48,TRIM(AL30),$F$29:$F$48)</f>
        <v>8656.4228999999996</v>
      </c>
      <c r="AM32" s="373">
        <f>SUMIF($Z$29:$Z48,TRIM(AM30),$F$29:$F$48)</f>
        <v>0</v>
      </c>
    </row>
    <row r="33" spans="2:39" s="147" customFormat="1" ht="27" hidden="1" customHeight="1">
      <c r="B33" s="845"/>
      <c r="C33" s="846"/>
      <c r="D33" s="362">
        <v>5</v>
      </c>
      <c r="E33" s="443" t="s">
        <v>460</v>
      </c>
      <c r="F33" s="444">
        <f t="shared" si="12"/>
        <v>1647.7215999999994</v>
      </c>
      <c r="G33" s="366">
        <v>605.77999999999986</v>
      </c>
      <c r="H33" s="445">
        <v>1043.78</v>
      </c>
      <c r="I33" s="445">
        <v>1043.78</v>
      </c>
      <c r="J33" s="447">
        <f t="shared" si="13"/>
        <v>1</v>
      </c>
      <c r="K33" s="446">
        <v>1051.8799999999999</v>
      </c>
      <c r="L33" s="447">
        <f t="shared" si="14"/>
        <v>1.007760255992642</v>
      </c>
      <c r="M33" s="446">
        <v>7.0000000000000009</v>
      </c>
      <c r="N33" s="447">
        <f t="shared" si="15"/>
        <v>6.7063940677154201E-3</v>
      </c>
      <c r="O33" s="448">
        <f t="shared" si="16"/>
        <v>1058.8799999999999</v>
      </c>
      <c r="P33" s="447">
        <f t="shared" si="17"/>
        <v>1.0144666500603574</v>
      </c>
      <c r="Q33" s="445">
        <v>2.7199999999999998</v>
      </c>
      <c r="R33" s="447">
        <f t="shared" si="18"/>
        <v>2.6059131234551342E-3</v>
      </c>
      <c r="S33" s="448">
        <f t="shared" si="19"/>
        <v>15.099999999999909</v>
      </c>
      <c r="T33" s="447">
        <f t="shared" si="20"/>
        <v>1.446665006035746E-2</v>
      </c>
      <c r="U33" s="365">
        <f t="shared" si="21"/>
        <v>9147.277999999942</v>
      </c>
      <c r="V33" s="145"/>
      <c r="W33" s="145"/>
      <c r="X33" s="145"/>
      <c r="Y33" s="367" t="s">
        <v>417</v>
      </c>
      <c r="Z33" s="367" t="s">
        <v>337</v>
      </c>
      <c r="AA33" s="368" t="s">
        <v>589</v>
      </c>
      <c r="AB33" s="383" t="s">
        <v>590</v>
      </c>
      <c r="AC33" s="368">
        <v>1</v>
      </c>
      <c r="AD33" s="449" t="s">
        <v>342</v>
      </c>
      <c r="AF33" s="362" t="s">
        <v>565</v>
      </c>
      <c r="AG33" s="450">
        <f t="shared" ref="AG33:AM33" si="23">AG31/$AF31</f>
        <v>0.25</v>
      </c>
      <c r="AH33" s="450">
        <f t="shared" si="23"/>
        <v>0</v>
      </c>
      <c r="AI33" s="450">
        <f t="shared" si="23"/>
        <v>0.45</v>
      </c>
      <c r="AJ33" s="450">
        <f t="shared" si="23"/>
        <v>0</v>
      </c>
      <c r="AK33" s="450">
        <f t="shared" si="23"/>
        <v>0.05</v>
      </c>
      <c r="AL33" s="450">
        <f t="shared" si="23"/>
        <v>0.25</v>
      </c>
      <c r="AM33" s="450">
        <f t="shared" si="23"/>
        <v>0</v>
      </c>
    </row>
    <row r="34" spans="2:39" s="147" customFormat="1" ht="27" hidden="1" customHeight="1">
      <c r="B34" s="845"/>
      <c r="C34" s="846"/>
      <c r="D34" s="362">
        <v>6</v>
      </c>
      <c r="E34" s="443" t="s">
        <v>654</v>
      </c>
      <c r="F34" s="444">
        <f t="shared" si="12"/>
        <v>1585.211</v>
      </c>
      <c r="G34" s="366">
        <v>212.78</v>
      </c>
      <c r="H34" s="445">
        <v>908.13</v>
      </c>
      <c r="I34" s="445">
        <v>908.13</v>
      </c>
      <c r="J34" s="447">
        <f t="shared" si="13"/>
        <v>1</v>
      </c>
      <c r="K34" s="446">
        <v>933.74</v>
      </c>
      <c r="L34" s="447">
        <f t="shared" si="14"/>
        <v>1.0282008082543248</v>
      </c>
      <c r="M34" s="446">
        <v>25.61</v>
      </c>
      <c r="N34" s="447">
        <f t="shared" si="15"/>
        <v>2.8200808254324822E-2</v>
      </c>
      <c r="O34" s="448">
        <f t="shared" si="16"/>
        <v>959.35</v>
      </c>
      <c r="P34" s="447">
        <f t="shared" si="17"/>
        <v>1.0564016165086496</v>
      </c>
      <c r="Q34" s="445">
        <v>7.45</v>
      </c>
      <c r="R34" s="447">
        <f t="shared" si="18"/>
        <v>8.2036712805435355E-3</v>
      </c>
      <c r="S34" s="448">
        <f t="shared" si="19"/>
        <v>51.220000000000027</v>
      </c>
      <c r="T34" s="447">
        <f t="shared" si="20"/>
        <v>5.6401616508649673E-2</v>
      </c>
      <c r="U34" s="365">
        <f t="shared" si="21"/>
        <v>10898.591600000005</v>
      </c>
      <c r="V34" s="145"/>
      <c r="W34" s="145"/>
      <c r="X34" s="145"/>
      <c r="Y34" s="367" t="s">
        <v>417</v>
      </c>
      <c r="Z34" s="367" t="s">
        <v>446</v>
      </c>
      <c r="AA34" s="368" t="s">
        <v>548</v>
      </c>
      <c r="AB34" s="368" t="s">
        <v>455</v>
      </c>
      <c r="AC34" s="368">
        <v>1</v>
      </c>
      <c r="AD34" s="449" t="s">
        <v>642</v>
      </c>
    </row>
    <row r="35" spans="2:39" s="147" customFormat="1" ht="27" hidden="1" customHeight="1">
      <c r="B35" s="845"/>
      <c r="C35" s="846"/>
      <c r="D35" s="362">
        <v>7</v>
      </c>
      <c r="E35" s="443" t="s">
        <v>604</v>
      </c>
      <c r="F35" s="444">
        <f t="shared" si="12"/>
        <v>1519.1965</v>
      </c>
      <c r="G35" s="366">
        <v>413.94999999999993</v>
      </c>
      <c r="H35" s="445">
        <v>827.88999999999987</v>
      </c>
      <c r="I35" s="445">
        <v>827.88999999999987</v>
      </c>
      <c r="J35" s="447">
        <f t="shared" si="13"/>
        <v>1</v>
      </c>
      <c r="K35" s="446">
        <v>842.67</v>
      </c>
      <c r="L35" s="447">
        <f t="shared" si="14"/>
        <v>1.0178526132698789</v>
      </c>
      <c r="M35" s="446">
        <v>14.780000000000001</v>
      </c>
      <c r="N35" s="447">
        <f t="shared" si="15"/>
        <v>1.7852613269878852E-2</v>
      </c>
      <c r="O35" s="448">
        <f t="shared" si="16"/>
        <v>857.44999999999993</v>
      </c>
      <c r="P35" s="447">
        <f t="shared" si="17"/>
        <v>1.0357052265397577</v>
      </c>
      <c r="Q35" s="445">
        <v>3.6700000000000004</v>
      </c>
      <c r="R35" s="447">
        <f t="shared" si="18"/>
        <v>4.4329560690429901E-3</v>
      </c>
      <c r="S35" s="448">
        <f t="shared" si="19"/>
        <v>29.560000000000059</v>
      </c>
      <c r="T35" s="447">
        <f t="shared" si="20"/>
        <v>3.5705226539757773E-2</v>
      </c>
      <c r="U35" s="365">
        <f t="shared" si="21"/>
        <v>12236.362000000023</v>
      </c>
      <c r="V35" s="145"/>
      <c r="W35" s="145"/>
      <c r="X35" s="145"/>
      <c r="Y35" s="367" t="s">
        <v>417</v>
      </c>
      <c r="Z35" s="367" t="s">
        <v>446</v>
      </c>
      <c r="AA35" s="367" t="s">
        <v>663</v>
      </c>
      <c r="AB35" s="368" t="s">
        <v>455</v>
      </c>
      <c r="AC35" s="368">
        <v>1</v>
      </c>
      <c r="AD35" s="449" t="s">
        <v>340</v>
      </c>
    </row>
    <row r="36" spans="2:39" s="147" customFormat="1" ht="27" hidden="1" customHeight="1">
      <c r="B36" s="845"/>
      <c r="C36" s="846"/>
      <c r="D36" s="362">
        <v>8</v>
      </c>
      <c r="E36" s="443" t="s">
        <v>336</v>
      </c>
      <c r="F36" s="444">
        <f t="shared" si="12"/>
        <v>1506.7346000000005</v>
      </c>
      <c r="G36" s="366">
        <v>147.43000000000004</v>
      </c>
      <c r="H36" s="445">
        <v>4841.42</v>
      </c>
      <c r="I36" s="445">
        <v>4841.42</v>
      </c>
      <c r="J36" s="447">
        <f t="shared" si="13"/>
        <v>1</v>
      </c>
      <c r="K36" s="446">
        <v>4924.6100000000006</v>
      </c>
      <c r="L36" s="447">
        <f t="shared" si="14"/>
        <v>1.0171829752428008</v>
      </c>
      <c r="M36" s="446">
        <v>83.190000000000012</v>
      </c>
      <c r="N36" s="447">
        <f t="shared" si="15"/>
        <v>1.7182975242800668E-2</v>
      </c>
      <c r="O36" s="448">
        <f t="shared" si="16"/>
        <v>5007.8</v>
      </c>
      <c r="P36" s="447">
        <f t="shared" si="17"/>
        <v>1.0343659504856013</v>
      </c>
      <c r="Q36" s="445">
        <v>10.220000000000001</v>
      </c>
      <c r="R36" s="447">
        <f t="shared" si="18"/>
        <v>2.1109509193583701E-3</v>
      </c>
      <c r="S36" s="448">
        <f t="shared" si="19"/>
        <v>166.38000000000011</v>
      </c>
      <c r="T36" s="447">
        <f t="shared" si="20"/>
        <v>3.4365950485601357E-2</v>
      </c>
      <c r="U36" s="365">
        <f t="shared" si="21"/>
        <v>24529.403400000021</v>
      </c>
      <c r="V36" s="145"/>
      <c r="W36" s="145"/>
      <c r="X36" s="145"/>
      <c r="Y36" s="367" t="s">
        <v>417</v>
      </c>
      <c r="Z36" s="367" t="s">
        <v>215</v>
      </c>
      <c r="AA36" s="368" t="s">
        <v>607</v>
      </c>
      <c r="AB36" s="368" t="s">
        <v>571</v>
      </c>
      <c r="AC36" s="368">
        <v>1</v>
      </c>
      <c r="AD36" s="449" t="s">
        <v>340</v>
      </c>
    </row>
    <row r="37" spans="2:39" s="147" customFormat="1" ht="27" hidden="1" customHeight="1">
      <c r="B37" s="845"/>
      <c r="C37" s="846"/>
      <c r="D37" s="362">
        <v>9</v>
      </c>
      <c r="E37" s="443" t="s">
        <v>584</v>
      </c>
      <c r="F37" s="444">
        <f t="shared" si="12"/>
        <v>1475.4</v>
      </c>
      <c r="G37" s="366">
        <v>24.59</v>
      </c>
      <c r="H37" s="445">
        <v>16625</v>
      </c>
      <c r="I37" s="445">
        <v>16625</v>
      </c>
      <c r="J37" s="447">
        <f t="shared" si="13"/>
        <v>1</v>
      </c>
      <c r="K37" s="446">
        <v>16685</v>
      </c>
      <c r="L37" s="447">
        <f t="shared" si="14"/>
        <v>1.003609022556391</v>
      </c>
      <c r="M37" s="446">
        <v>0</v>
      </c>
      <c r="N37" s="447">
        <f t="shared" si="15"/>
        <v>0</v>
      </c>
      <c r="O37" s="448">
        <f t="shared" si="16"/>
        <v>16685</v>
      </c>
      <c r="P37" s="447">
        <f t="shared" si="17"/>
        <v>1.003609022556391</v>
      </c>
      <c r="Q37" s="445">
        <v>60</v>
      </c>
      <c r="R37" s="447">
        <f t="shared" si="18"/>
        <v>3.6090225563909775E-3</v>
      </c>
      <c r="S37" s="448">
        <f t="shared" si="19"/>
        <v>60</v>
      </c>
      <c r="T37" s="447">
        <f t="shared" si="20"/>
        <v>3.6090225563909775E-3</v>
      </c>
      <c r="U37" s="365">
        <f t="shared" si="21"/>
        <v>1475.4</v>
      </c>
      <c r="V37" s="145"/>
      <c r="W37" s="145"/>
      <c r="X37" s="145"/>
      <c r="Y37" s="367" t="s">
        <v>417</v>
      </c>
      <c r="Z37" s="367" t="s">
        <v>337</v>
      </c>
      <c r="AA37" s="368" t="s">
        <v>588</v>
      </c>
      <c r="AB37" s="368" t="s">
        <v>608</v>
      </c>
      <c r="AC37" s="368">
        <v>1</v>
      </c>
      <c r="AD37" s="449" t="s">
        <v>568</v>
      </c>
    </row>
    <row r="38" spans="2:39" s="147" customFormat="1" ht="27" hidden="1" customHeight="1">
      <c r="B38" s="845"/>
      <c r="C38" s="846"/>
      <c r="D38" s="362">
        <v>10</v>
      </c>
      <c r="E38" s="443" t="s">
        <v>535</v>
      </c>
      <c r="F38" s="444">
        <f t="shared" si="12"/>
        <v>1466.0957999999996</v>
      </c>
      <c r="G38" s="366">
        <v>39.389999999999993</v>
      </c>
      <c r="H38" s="445">
        <v>35576.85</v>
      </c>
      <c r="I38" s="445">
        <v>35576.85</v>
      </c>
      <c r="J38" s="447">
        <f t="shared" si="13"/>
        <v>1</v>
      </c>
      <c r="K38" s="446">
        <v>35815.5</v>
      </c>
      <c r="L38" s="447">
        <f t="shared" si="14"/>
        <v>1.0067080137786228</v>
      </c>
      <c r="M38" s="446">
        <v>238.64999999999998</v>
      </c>
      <c r="N38" s="447">
        <f t="shared" si="15"/>
        <v>6.7080137786228958E-3</v>
      </c>
      <c r="O38" s="448">
        <f t="shared" si="16"/>
        <v>36054.15</v>
      </c>
      <c r="P38" s="447">
        <f t="shared" si="17"/>
        <v>1.0134160275572459</v>
      </c>
      <c r="Q38" s="445">
        <v>37.22</v>
      </c>
      <c r="R38" s="447">
        <f t="shared" si="18"/>
        <v>1.0461859327062402E-3</v>
      </c>
      <c r="S38" s="448">
        <f t="shared" si="19"/>
        <v>477.30000000000291</v>
      </c>
      <c r="T38" s="447">
        <f t="shared" si="20"/>
        <v>1.3416027557245875E-2</v>
      </c>
      <c r="U38" s="365">
        <f t="shared" si="21"/>
        <v>18800.847000000111</v>
      </c>
      <c r="V38" s="145"/>
      <c r="W38" s="145"/>
      <c r="X38" s="145"/>
      <c r="Y38" s="367" t="s">
        <v>417</v>
      </c>
      <c r="Z38" s="367" t="s">
        <v>216</v>
      </c>
      <c r="AA38" s="383" t="s">
        <v>574</v>
      </c>
      <c r="AB38" s="368" t="s">
        <v>571</v>
      </c>
      <c r="AC38" s="368">
        <v>1</v>
      </c>
      <c r="AD38" s="449" t="s">
        <v>340</v>
      </c>
    </row>
    <row r="39" spans="2:39" s="147" customFormat="1" ht="27" hidden="1" customHeight="1">
      <c r="B39" s="845"/>
      <c r="C39" s="846"/>
      <c r="D39" s="362">
        <v>11</v>
      </c>
      <c r="E39" s="443" t="s">
        <v>651</v>
      </c>
      <c r="F39" s="444">
        <f t="shared" si="12"/>
        <v>1443.5420999999999</v>
      </c>
      <c r="G39" s="366">
        <v>43.889999999999993</v>
      </c>
      <c r="H39" s="445">
        <v>6266.0999999999985</v>
      </c>
      <c r="I39" s="445">
        <v>6266.0999999999985</v>
      </c>
      <c r="J39" s="447">
        <f t="shared" si="13"/>
        <v>1</v>
      </c>
      <c r="K39" s="446">
        <v>6448.079999999999</v>
      </c>
      <c r="L39" s="447">
        <f t="shared" si="14"/>
        <v>1.029041987839326</v>
      </c>
      <c r="M39" s="446">
        <v>181.98</v>
      </c>
      <c r="N39" s="447">
        <f t="shared" si="15"/>
        <v>2.9041987839325902E-2</v>
      </c>
      <c r="O39" s="448">
        <f t="shared" si="16"/>
        <v>6630.0599999999986</v>
      </c>
      <c r="P39" s="447">
        <f t="shared" si="17"/>
        <v>1.0580839756786518</v>
      </c>
      <c r="Q39" s="445">
        <v>32.89</v>
      </c>
      <c r="R39" s="447">
        <f t="shared" si="18"/>
        <v>5.2488788879845533E-3</v>
      </c>
      <c r="S39" s="448">
        <f t="shared" si="19"/>
        <v>363.96000000000004</v>
      </c>
      <c r="T39" s="447">
        <f t="shared" si="20"/>
        <v>5.8083975678651811E-2</v>
      </c>
      <c r="U39" s="365">
        <f t="shared" si="21"/>
        <v>15974.204399999999</v>
      </c>
      <c r="V39" s="145"/>
      <c r="W39" s="145"/>
      <c r="X39" s="145"/>
      <c r="Y39" s="367" t="s">
        <v>417</v>
      </c>
      <c r="Z39" s="367" t="s">
        <v>216</v>
      </c>
      <c r="AA39" s="383" t="s">
        <v>574</v>
      </c>
      <c r="AB39" s="368" t="s">
        <v>571</v>
      </c>
      <c r="AC39" s="368">
        <v>1</v>
      </c>
      <c r="AD39" s="449" t="s">
        <v>642</v>
      </c>
      <c r="AH39" s="371"/>
    </row>
    <row r="40" spans="2:39" s="147" customFormat="1" ht="27" hidden="1" customHeight="1">
      <c r="B40" s="845"/>
      <c r="C40" s="846"/>
      <c r="D40" s="362">
        <v>12</v>
      </c>
      <c r="E40" s="443" t="s">
        <v>546</v>
      </c>
      <c r="F40" s="444">
        <f t="shared" si="12"/>
        <v>1302.2898</v>
      </c>
      <c r="G40" s="366">
        <v>62.43</v>
      </c>
      <c r="H40" s="445">
        <v>3029.93</v>
      </c>
      <c r="I40" s="445">
        <v>3029.93</v>
      </c>
      <c r="J40" s="447">
        <f t="shared" si="13"/>
        <v>1</v>
      </c>
      <c r="K40" s="446">
        <v>3086.7400000000007</v>
      </c>
      <c r="L40" s="447">
        <f t="shared" si="14"/>
        <v>1.0187496080767546</v>
      </c>
      <c r="M40" s="446">
        <v>56.81</v>
      </c>
      <c r="N40" s="447">
        <f t="shared" si="15"/>
        <v>1.874960807675425E-2</v>
      </c>
      <c r="O40" s="448">
        <f t="shared" si="16"/>
        <v>3143.5500000000006</v>
      </c>
      <c r="P40" s="447">
        <f t="shared" si="17"/>
        <v>1.0374992161535088</v>
      </c>
      <c r="Q40" s="445">
        <v>20.86</v>
      </c>
      <c r="R40" s="447">
        <f t="shared" si="18"/>
        <v>6.8846475001072636E-3</v>
      </c>
      <c r="S40" s="448">
        <f t="shared" si="19"/>
        <v>113.6200000000008</v>
      </c>
      <c r="T40" s="447">
        <f t="shared" si="20"/>
        <v>3.7499216153508763E-2</v>
      </c>
      <c r="U40" s="365">
        <f t="shared" si="21"/>
        <v>7093.2966000000497</v>
      </c>
      <c r="V40" s="145"/>
      <c r="W40" s="145"/>
      <c r="X40" s="145"/>
      <c r="Y40" s="367" t="s">
        <v>417</v>
      </c>
      <c r="Z40" s="367" t="s">
        <v>216</v>
      </c>
      <c r="AA40" s="383" t="s">
        <v>574</v>
      </c>
      <c r="AB40" s="368" t="s">
        <v>571</v>
      </c>
      <c r="AC40" s="368">
        <v>1</v>
      </c>
      <c r="AD40" s="449" t="s">
        <v>545</v>
      </c>
    </row>
    <row r="41" spans="2:39" s="147" customFormat="1" ht="27" hidden="1" customHeight="1">
      <c r="B41" s="845"/>
      <c r="C41" s="846"/>
      <c r="D41" s="362">
        <v>13</v>
      </c>
      <c r="E41" s="443" t="s">
        <v>602</v>
      </c>
      <c r="F41" s="444">
        <f t="shared" si="12"/>
        <v>1274.44</v>
      </c>
      <c r="G41" s="366">
        <v>6.04</v>
      </c>
      <c r="H41" s="445">
        <v>8955</v>
      </c>
      <c r="I41" s="445">
        <v>8955</v>
      </c>
      <c r="J41" s="447">
        <f t="shared" si="13"/>
        <v>1</v>
      </c>
      <c r="K41" s="446">
        <v>9166</v>
      </c>
      <c r="L41" s="447">
        <f t="shared" si="14"/>
        <v>1.0235622557230597</v>
      </c>
      <c r="M41" s="446">
        <v>0</v>
      </c>
      <c r="N41" s="447">
        <f t="shared" si="15"/>
        <v>0</v>
      </c>
      <c r="O41" s="448">
        <f t="shared" si="16"/>
        <v>9166</v>
      </c>
      <c r="P41" s="447">
        <f t="shared" si="17"/>
        <v>1.0235622557230597</v>
      </c>
      <c r="Q41" s="445">
        <v>211</v>
      </c>
      <c r="R41" s="447">
        <f t="shared" si="18"/>
        <v>2.3562255723059745E-2</v>
      </c>
      <c r="S41" s="448">
        <f t="shared" si="19"/>
        <v>211</v>
      </c>
      <c r="T41" s="447">
        <f t="shared" si="20"/>
        <v>2.3562255723059745E-2</v>
      </c>
      <c r="U41" s="365">
        <f t="shared" si="21"/>
        <v>1274.44</v>
      </c>
      <c r="V41" s="145"/>
      <c r="W41" s="145"/>
      <c r="X41" s="145"/>
      <c r="Y41" s="367" t="s">
        <v>417</v>
      </c>
      <c r="Z41" s="367" t="s">
        <v>337</v>
      </c>
      <c r="AA41" s="367" t="s">
        <v>609</v>
      </c>
      <c r="AB41" s="368" t="s">
        <v>610</v>
      </c>
      <c r="AC41" s="368">
        <v>1</v>
      </c>
      <c r="AD41" s="449" t="s">
        <v>509</v>
      </c>
    </row>
    <row r="42" spans="2:39" s="147" customFormat="1" ht="27" hidden="1" customHeight="1">
      <c r="B42" s="845"/>
      <c r="C42" s="846"/>
      <c r="D42" s="362">
        <v>14</v>
      </c>
      <c r="E42" s="443" t="s">
        <v>463</v>
      </c>
      <c r="F42" s="444">
        <f t="shared" si="12"/>
        <v>1234.1680999999999</v>
      </c>
      <c r="G42" s="366">
        <v>160.49</v>
      </c>
      <c r="H42" s="445">
        <v>690.03</v>
      </c>
      <c r="I42" s="445">
        <v>690.03</v>
      </c>
      <c r="J42" s="447">
        <f t="shared" si="13"/>
        <v>1</v>
      </c>
      <c r="K42" s="446">
        <v>707.63000000000011</v>
      </c>
      <c r="L42" s="447">
        <f t="shared" si="14"/>
        <v>1.0255061374143155</v>
      </c>
      <c r="M42" s="446">
        <v>17.600000000000001</v>
      </c>
      <c r="N42" s="447">
        <f t="shared" si="15"/>
        <v>2.5506137414315323E-2</v>
      </c>
      <c r="O42" s="448">
        <f t="shared" si="16"/>
        <v>725.23000000000013</v>
      </c>
      <c r="P42" s="447">
        <f t="shared" si="17"/>
        <v>1.0510122748286308</v>
      </c>
      <c r="Q42" s="445">
        <v>7.6899999999999986</v>
      </c>
      <c r="R42" s="447">
        <f t="shared" si="18"/>
        <v>1.114444299523209E-2</v>
      </c>
      <c r="S42" s="448">
        <f t="shared" si="19"/>
        <v>35.200000000000159</v>
      </c>
      <c r="T42" s="447">
        <f t="shared" si="20"/>
        <v>5.1012274828630869E-2</v>
      </c>
      <c r="U42" s="365">
        <f t="shared" si="21"/>
        <v>5649.248000000026</v>
      </c>
      <c r="V42" s="145"/>
      <c r="W42" s="145"/>
      <c r="X42" s="145"/>
      <c r="Y42" s="367" t="s">
        <v>417</v>
      </c>
      <c r="Z42" s="367" t="s">
        <v>446</v>
      </c>
      <c r="AA42" s="368" t="s">
        <v>664</v>
      </c>
      <c r="AB42" s="368" t="s">
        <v>573</v>
      </c>
      <c r="AC42" s="368">
        <v>1</v>
      </c>
      <c r="AD42" s="449" t="s">
        <v>434</v>
      </c>
    </row>
    <row r="43" spans="2:39" s="147" customFormat="1" ht="27" hidden="1" customHeight="1">
      <c r="B43" s="845"/>
      <c r="C43" s="846"/>
      <c r="D43" s="362">
        <v>15</v>
      </c>
      <c r="E43" s="443" t="s">
        <v>657</v>
      </c>
      <c r="F43" s="444">
        <f t="shared" si="12"/>
        <v>1220.1000000000001</v>
      </c>
      <c r="G43" s="366">
        <v>5.8100000000000005</v>
      </c>
      <c r="H43" s="445">
        <v>6162</v>
      </c>
      <c r="I43" s="445">
        <v>6162</v>
      </c>
      <c r="J43" s="447">
        <f t="shared" si="13"/>
        <v>1</v>
      </c>
      <c r="K43" s="446">
        <v>6372</v>
      </c>
      <c r="L43" s="447">
        <f t="shared" si="14"/>
        <v>1.0340798442064265</v>
      </c>
      <c r="M43" s="446">
        <v>0</v>
      </c>
      <c r="N43" s="447">
        <f t="shared" si="15"/>
        <v>0</v>
      </c>
      <c r="O43" s="448">
        <f t="shared" si="16"/>
        <v>6372</v>
      </c>
      <c r="P43" s="447">
        <f t="shared" si="17"/>
        <v>1.0340798442064265</v>
      </c>
      <c r="Q43" s="445">
        <v>210</v>
      </c>
      <c r="R43" s="447">
        <f t="shared" si="18"/>
        <v>3.4079844206426485E-2</v>
      </c>
      <c r="S43" s="448">
        <f t="shared" si="19"/>
        <v>210</v>
      </c>
      <c r="T43" s="447">
        <f t="shared" si="20"/>
        <v>3.4079844206426485E-2</v>
      </c>
      <c r="U43" s="365">
        <f t="shared" si="21"/>
        <v>1220.1000000000001</v>
      </c>
      <c r="V43" s="145"/>
      <c r="W43" s="145"/>
      <c r="X43" s="145"/>
      <c r="Y43" s="367" t="s">
        <v>417</v>
      </c>
      <c r="Z43" s="367" t="s">
        <v>337</v>
      </c>
      <c r="AA43" s="368" t="s">
        <v>665</v>
      </c>
      <c r="AB43" s="368" t="s">
        <v>666</v>
      </c>
      <c r="AC43" s="368">
        <v>1</v>
      </c>
      <c r="AD43" s="449" t="s">
        <v>485</v>
      </c>
    </row>
    <row r="44" spans="2:39" s="147" customFormat="1" ht="27" hidden="1" customHeight="1">
      <c r="B44" s="845"/>
      <c r="C44" s="846"/>
      <c r="D44" s="362">
        <v>16</v>
      </c>
      <c r="E44" s="443" t="s">
        <v>658</v>
      </c>
      <c r="F44" s="444">
        <f t="shared" si="12"/>
        <v>1173.0000000000002</v>
      </c>
      <c r="G44" s="366">
        <v>1.1500000000000001</v>
      </c>
      <c r="H44" s="445">
        <v>45627</v>
      </c>
      <c r="I44" s="445">
        <v>45627</v>
      </c>
      <c r="J44" s="447">
        <f t="shared" si="13"/>
        <v>1</v>
      </c>
      <c r="K44" s="446">
        <v>46647</v>
      </c>
      <c r="L44" s="447">
        <f t="shared" si="14"/>
        <v>1.0223551844302716</v>
      </c>
      <c r="M44" s="446">
        <v>0</v>
      </c>
      <c r="N44" s="447">
        <f t="shared" si="15"/>
        <v>0</v>
      </c>
      <c r="O44" s="448">
        <f t="shared" si="16"/>
        <v>46647</v>
      </c>
      <c r="P44" s="447">
        <f t="shared" si="17"/>
        <v>1.0223551844302716</v>
      </c>
      <c r="Q44" s="445">
        <v>1020</v>
      </c>
      <c r="R44" s="447">
        <f t="shared" si="18"/>
        <v>2.2355184430271551E-2</v>
      </c>
      <c r="S44" s="448">
        <f t="shared" si="19"/>
        <v>1020</v>
      </c>
      <c r="T44" s="447">
        <f t="shared" si="20"/>
        <v>2.2355184430271551E-2</v>
      </c>
      <c r="U44" s="365">
        <f t="shared" si="21"/>
        <v>1173.0000000000002</v>
      </c>
      <c r="V44" s="145"/>
      <c r="W44" s="145"/>
      <c r="X44" s="145"/>
      <c r="Y44" s="367" t="s">
        <v>417</v>
      </c>
      <c r="Z44" s="367" t="s">
        <v>446</v>
      </c>
      <c r="AA44" s="367" t="s">
        <v>609</v>
      </c>
      <c r="AB44" s="368" t="s">
        <v>610</v>
      </c>
      <c r="AC44" s="368">
        <v>1</v>
      </c>
      <c r="AD44" s="449" t="s">
        <v>436</v>
      </c>
    </row>
    <row r="45" spans="2:39" s="147" customFormat="1" ht="27" hidden="1" customHeight="1">
      <c r="B45" s="845"/>
      <c r="C45" s="846"/>
      <c r="D45" s="362">
        <v>17</v>
      </c>
      <c r="E45" s="443" t="s">
        <v>626</v>
      </c>
      <c r="F45" s="444">
        <f t="shared" si="12"/>
        <v>1169.0951999999997</v>
      </c>
      <c r="G45" s="366">
        <v>39.389999999999993</v>
      </c>
      <c r="H45" s="445">
        <v>5051.83</v>
      </c>
      <c r="I45" s="445">
        <v>5051.83</v>
      </c>
      <c r="J45" s="447">
        <f t="shared" si="13"/>
        <v>1</v>
      </c>
      <c r="K45" s="446">
        <v>5184.1600000000008</v>
      </c>
      <c r="L45" s="447">
        <f t="shared" si="14"/>
        <v>1.0261944681432276</v>
      </c>
      <c r="M45" s="446">
        <v>132.33000000000001</v>
      </c>
      <c r="N45" s="447">
        <f t="shared" si="15"/>
        <v>2.6194468143227307E-2</v>
      </c>
      <c r="O45" s="448">
        <f t="shared" si="16"/>
        <v>5316.4900000000007</v>
      </c>
      <c r="P45" s="447">
        <f t="shared" si="17"/>
        <v>1.0523889362864547</v>
      </c>
      <c r="Q45" s="445">
        <v>29.68</v>
      </c>
      <c r="R45" s="447">
        <f t="shared" si="18"/>
        <v>5.8750987266000636E-3</v>
      </c>
      <c r="S45" s="448">
        <f t="shared" si="19"/>
        <v>264.66000000000076</v>
      </c>
      <c r="T45" s="447">
        <f t="shared" si="20"/>
        <v>5.2388936286454767E-2</v>
      </c>
      <c r="U45" s="365">
        <f t="shared" si="21"/>
        <v>10424.957400000028</v>
      </c>
      <c r="V45" s="145"/>
      <c r="W45" s="145"/>
      <c r="X45" s="145"/>
      <c r="Y45" s="367" t="s">
        <v>417</v>
      </c>
      <c r="Z45" s="367" t="s">
        <v>216</v>
      </c>
      <c r="AA45" s="383" t="s">
        <v>574</v>
      </c>
      <c r="AB45" s="368" t="s">
        <v>571</v>
      </c>
      <c r="AC45" s="368">
        <v>1</v>
      </c>
      <c r="AD45" s="449" t="s">
        <v>621</v>
      </c>
    </row>
    <row r="46" spans="2:39" s="147" customFormat="1" ht="27" hidden="1" customHeight="1">
      <c r="B46" s="845"/>
      <c r="C46" s="846"/>
      <c r="D46" s="362">
        <v>18</v>
      </c>
      <c r="E46" s="443" t="s">
        <v>659</v>
      </c>
      <c r="F46" s="444">
        <f t="shared" si="12"/>
        <v>1156.7000000000003</v>
      </c>
      <c r="G46" s="366">
        <v>2.6900000000000004</v>
      </c>
      <c r="H46" s="445">
        <v>82312</v>
      </c>
      <c r="I46" s="445">
        <v>82312</v>
      </c>
      <c r="J46" s="447">
        <f t="shared" si="13"/>
        <v>1</v>
      </c>
      <c r="K46" s="446">
        <v>82742</v>
      </c>
      <c r="L46" s="447">
        <f t="shared" si="14"/>
        <v>1.0052240256584701</v>
      </c>
      <c r="M46" s="446">
        <v>0</v>
      </c>
      <c r="N46" s="447">
        <f t="shared" si="15"/>
        <v>0</v>
      </c>
      <c r="O46" s="448">
        <f t="shared" si="16"/>
        <v>82742</v>
      </c>
      <c r="P46" s="447">
        <f t="shared" si="17"/>
        <v>1.0052240256584701</v>
      </c>
      <c r="Q46" s="445">
        <v>430</v>
      </c>
      <c r="R46" s="447">
        <f t="shared" si="18"/>
        <v>5.2240256584702108E-3</v>
      </c>
      <c r="S46" s="448">
        <f t="shared" si="19"/>
        <v>430</v>
      </c>
      <c r="T46" s="447">
        <f t="shared" si="20"/>
        <v>5.2240256584702108E-3</v>
      </c>
      <c r="U46" s="365">
        <f t="shared" si="21"/>
        <v>1156.7000000000003</v>
      </c>
      <c r="V46" s="145"/>
      <c r="W46" s="145"/>
      <c r="X46" s="145"/>
      <c r="Y46" s="367" t="s">
        <v>417</v>
      </c>
      <c r="Z46" s="367" t="s">
        <v>337</v>
      </c>
      <c r="AA46" s="367" t="s">
        <v>667</v>
      </c>
      <c r="AB46" s="368" t="s">
        <v>610</v>
      </c>
      <c r="AC46" s="368">
        <v>1</v>
      </c>
      <c r="AD46" s="449" t="s">
        <v>438</v>
      </c>
    </row>
    <row r="47" spans="2:39" s="147" customFormat="1" ht="27" hidden="1" customHeight="1">
      <c r="B47" s="845"/>
      <c r="C47" s="846"/>
      <c r="D47" s="362">
        <v>19</v>
      </c>
      <c r="E47" s="443" t="s">
        <v>660</v>
      </c>
      <c r="F47" s="444">
        <f t="shared" si="12"/>
        <v>1155.98</v>
      </c>
      <c r="G47" s="366">
        <v>3.2199999999999998</v>
      </c>
      <c r="H47" s="445">
        <v>218158</v>
      </c>
      <c r="I47" s="445">
        <v>218158</v>
      </c>
      <c r="J47" s="447">
        <f t="shared" si="13"/>
        <v>1</v>
      </c>
      <c r="K47" s="446">
        <v>218517</v>
      </c>
      <c r="L47" s="447">
        <f t="shared" si="14"/>
        <v>1.0016455963109305</v>
      </c>
      <c r="M47" s="446">
        <v>0</v>
      </c>
      <c r="N47" s="447">
        <f t="shared" si="15"/>
        <v>0</v>
      </c>
      <c r="O47" s="448">
        <f t="shared" si="16"/>
        <v>218517</v>
      </c>
      <c r="P47" s="447">
        <f t="shared" si="17"/>
        <v>1.0016455963109305</v>
      </c>
      <c r="Q47" s="445">
        <v>359</v>
      </c>
      <c r="R47" s="447">
        <f t="shared" si="18"/>
        <v>1.6455963109306099E-3</v>
      </c>
      <c r="S47" s="448">
        <f t="shared" si="19"/>
        <v>359</v>
      </c>
      <c r="T47" s="447">
        <f t="shared" si="20"/>
        <v>1.6455963109306099E-3</v>
      </c>
      <c r="U47" s="365">
        <f t="shared" si="21"/>
        <v>1155.98</v>
      </c>
      <c r="V47" s="145"/>
      <c r="W47" s="145"/>
      <c r="X47" s="145"/>
      <c r="Y47" s="367" t="s">
        <v>417</v>
      </c>
      <c r="Z47" s="367" t="s">
        <v>337</v>
      </c>
      <c r="AA47" s="367" t="s">
        <v>667</v>
      </c>
      <c r="AB47" s="368" t="s">
        <v>610</v>
      </c>
      <c r="AC47" s="368">
        <v>1</v>
      </c>
      <c r="AD47" s="449" t="s">
        <v>340</v>
      </c>
    </row>
    <row r="48" spans="2:39" s="147" customFormat="1" ht="27" hidden="1" customHeight="1">
      <c r="B48" s="847"/>
      <c r="C48" s="848"/>
      <c r="D48" s="362">
        <v>20</v>
      </c>
      <c r="E48" s="443" t="s">
        <v>661</v>
      </c>
      <c r="F48" s="444">
        <f t="shared" si="12"/>
        <v>1150.2004000000004</v>
      </c>
      <c r="G48" s="366">
        <v>3.5599999999999996</v>
      </c>
      <c r="H48" s="445">
        <v>51170</v>
      </c>
      <c r="I48" s="445">
        <v>51170</v>
      </c>
      <c r="J48" s="447">
        <f t="shared" si="13"/>
        <v>1</v>
      </c>
      <c r="K48" s="446">
        <v>51493.09</v>
      </c>
      <c r="L48" s="447">
        <f t="shared" si="14"/>
        <v>1.006314051201876</v>
      </c>
      <c r="M48" s="446">
        <v>0</v>
      </c>
      <c r="N48" s="447">
        <f t="shared" si="15"/>
        <v>0</v>
      </c>
      <c r="O48" s="448">
        <f t="shared" si="16"/>
        <v>51493.09</v>
      </c>
      <c r="P48" s="447">
        <f t="shared" si="17"/>
        <v>1.006314051201876</v>
      </c>
      <c r="Q48" s="445">
        <v>323.09000000000015</v>
      </c>
      <c r="R48" s="447">
        <f t="shared" si="18"/>
        <v>6.314051201876102E-3</v>
      </c>
      <c r="S48" s="448">
        <f t="shared" si="19"/>
        <v>323.08999999999651</v>
      </c>
      <c r="T48" s="447">
        <f t="shared" si="20"/>
        <v>6.3140512018760309E-3</v>
      </c>
      <c r="U48" s="365">
        <f t="shared" si="21"/>
        <v>1150.2003999999874</v>
      </c>
      <c r="V48" s="145"/>
      <c r="W48" s="145"/>
      <c r="X48" s="145"/>
      <c r="Y48" s="367" t="s">
        <v>417</v>
      </c>
      <c r="Z48" s="367" t="s">
        <v>337</v>
      </c>
      <c r="AA48" s="367" t="s">
        <v>667</v>
      </c>
      <c r="AB48" s="368" t="s">
        <v>610</v>
      </c>
      <c r="AC48" s="368">
        <v>1</v>
      </c>
      <c r="AD48" s="449" t="s">
        <v>349</v>
      </c>
    </row>
    <row r="49" spans="2:39" ht="17.149999999999999" hidden="1" customHeight="1">
      <c r="B49" s="869" t="s">
        <v>443</v>
      </c>
      <c r="C49" s="870"/>
      <c r="D49" s="855" t="s">
        <v>551</v>
      </c>
      <c r="E49" s="833" t="s">
        <v>552</v>
      </c>
      <c r="F49" s="835" t="s">
        <v>553</v>
      </c>
      <c r="G49" s="835" t="s">
        <v>554</v>
      </c>
      <c r="H49" s="878" t="s">
        <v>555</v>
      </c>
      <c r="I49" s="867" t="s">
        <v>556</v>
      </c>
      <c r="J49" s="868"/>
      <c r="K49" s="867" t="s">
        <v>557</v>
      </c>
      <c r="L49" s="868"/>
      <c r="M49" s="867" t="s">
        <v>558</v>
      </c>
      <c r="N49" s="868"/>
      <c r="O49" s="867" t="s">
        <v>559</v>
      </c>
      <c r="P49" s="868"/>
      <c r="Q49" s="867" t="s">
        <v>418</v>
      </c>
      <c r="R49" s="868"/>
      <c r="S49" s="864" t="s">
        <v>419</v>
      </c>
      <c r="T49" s="865"/>
      <c r="U49" s="866"/>
      <c r="Y49" s="861" t="s">
        <v>171</v>
      </c>
      <c r="Z49" s="861" t="s">
        <v>245</v>
      </c>
      <c r="AA49" s="861" t="s">
        <v>560</v>
      </c>
      <c r="AB49" s="861" t="s">
        <v>445</v>
      </c>
      <c r="AC49" s="861" t="s">
        <v>246</v>
      </c>
      <c r="AD49" s="835" t="s">
        <v>172</v>
      </c>
      <c r="AF49" s="884" t="s">
        <v>247</v>
      </c>
      <c r="AG49" s="885"/>
      <c r="AH49" s="885"/>
      <c r="AI49" s="885"/>
      <c r="AJ49" s="885"/>
      <c r="AK49" s="885"/>
      <c r="AL49" s="885"/>
      <c r="AM49" s="886"/>
    </row>
    <row r="50" spans="2:39" hidden="1">
      <c r="B50" s="871"/>
      <c r="C50" s="872"/>
      <c r="D50" s="856"/>
      <c r="E50" s="834"/>
      <c r="F50" s="836"/>
      <c r="G50" s="836"/>
      <c r="H50" s="880"/>
      <c r="I50" s="442" t="s">
        <v>561</v>
      </c>
      <c r="J50" s="363" t="s">
        <v>562</v>
      </c>
      <c r="K50" s="442" t="s">
        <v>561</v>
      </c>
      <c r="L50" s="363" t="s">
        <v>562</v>
      </c>
      <c r="M50" s="442" t="s">
        <v>561</v>
      </c>
      <c r="N50" s="363" t="s">
        <v>562</v>
      </c>
      <c r="O50" s="442" t="s">
        <v>561</v>
      </c>
      <c r="P50" s="363" t="s">
        <v>562</v>
      </c>
      <c r="Q50" s="442" t="s">
        <v>561</v>
      </c>
      <c r="R50" s="363" t="s">
        <v>562</v>
      </c>
      <c r="S50" s="442" t="s">
        <v>561</v>
      </c>
      <c r="T50" s="363" t="s">
        <v>562</v>
      </c>
      <c r="U50" s="363" t="s">
        <v>563</v>
      </c>
      <c r="Y50" s="863"/>
      <c r="Z50" s="863"/>
      <c r="AA50" s="863"/>
      <c r="AB50" s="863"/>
      <c r="AC50" s="863"/>
      <c r="AD50" s="836"/>
      <c r="AF50" s="887"/>
      <c r="AG50" s="888"/>
      <c r="AH50" s="888"/>
      <c r="AI50" s="888"/>
      <c r="AJ50" s="888"/>
      <c r="AK50" s="888"/>
      <c r="AL50" s="888"/>
      <c r="AM50" s="889"/>
    </row>
    <row r="51" spans="2:39" s="147" customFormat="1" ht="27" hidden="1" customHeight="1">
      <c r="B51" s="843" t="s">
        <v>638</v>
      </c>
      <c r="C51" s="844"/>
      <c r="D51" s="362">
        <v>1</v>
      </c>
      <c r="E51" s="443" t="s">
        <v>449</v>
      </c>
      <c r="F51" s="444">
        <f>IFERROR(Q51*G51,"-")</f>
        <v>2535.7499999999995</v>
      </c>
      <c r="G51" s="366">
        <v>2.4499999999999997</v>
      </c>
      <c r="H51" s="445">
        <v>151134</v>
      </c>
      <c r="I51" s="445">
        <v>151134</v>
      </c>
      <c r="J51" s="447">
        <f>IFERROR(I51/H51,"-")</f>
        <v>1</v>
      </c>
      <c r="K51" s="446">
        <v>152169</v>
      </c>
      <c r="L51" s="447">
        <f>IFERROR(K51/H51,"-")</f>
        <v>1.0068482274008497</v>
      </c>
      <c r="M51" s="446">
        <v>0</v>
      </c>
      <c r="N51" s="447">
        <f>IFERROR(M51/H51,"-")</f>
        <v>0</v>
      </c>
      <c r="O51" s="448">
        <f>IFERROR(K51+M51,"-")</f>
        <v>152169</v>
      </c>
      <c r="P51" s="447">
        <f>IFERROR(O51/H51,"-")</f>
        <v>1.0068482274008497</v>
      </c>
      <c r="Q51" s="445">
        <v>1035</v>
      </c>
      <c r="R51" s="447">
        <f>IFERROR(Q51/H51,"-")</f>
        <v>6.8482274008495776E-3</v>
      </c>
      <c r="S51" s="448">
        <f>IFERROR(O51-H51,"-")</f>
        <v>1035</v>
      </c>
      <c r="T51" s="447">
        <f>IFERROR(S51/H51,"-")</f>
        <v>6.8482274008495776E-3</v>
      </c>
      <c r="U51" s="365">
        <f>IFERROR(S51*G51,"-")</f>
        <v>2535.7499999999995</v>
      </c>
      <c r="V51" s="145"/>
      <c r="W51" s="145"/>
      <c r="X51" s="145"/>
      <c r="Y51" s="367" t="s">
        <v>417</v>
      </c>
      <c r="Z51" s="367" t="s">
        <v>337</v>
      </c>
      <c r="AA51" s="368" t="s">
        <v>468</v>
      </c>
      <c r="AB51" s="368" t="s">
        <v>469</v>
      </c>
      <c r="AC51" s="368">
        <v>1</v>
      </c>
      <c r="AD51" s="449" t="s">
        <v>340</v>
      </c>
      <c r="AF51" s="890"/>
      <c r="AG51" s="891"/>
      <c r="AH51" s="891"/>
      <c r="AI51" s="891"/>
      <c r="AJ51" s="891"/>
      <c r="AK51" s="891"/>
      <c r="AL51" s="891"/>
      <c r="AM51" s="892"/>
    </row>
    <row r="52" spans="2:39" s="147" customFormat="1" ht="27" hidden="1" customHeight="1">
      <c r="B52" s="845"/>
      <c r="C52" s="846"/>
      <c r="D52" s="362">
        <v>2</v>
      </c>
      <c r="E52" s="443" t="s">
        <v>448</v>
      </c>
      <c r="F52" s="444">
        <f t="shared" ref="F52:F70" si="24">IFERROR(Q52*G52,"-")</f>
        <v>2533.0499999999997</v>
      </c>
      <c r="G52" s="366">
        <v>1.17</v>
      </c>
      <c r="H52" s="445">
        <v>295586</v>
      </c>
      <c r="I52" s="445">
        <v>295586</v>
      </c>
      <c r="J52" s="447">
        <f t="shared" ref="J52:J70" si="25">IFERROR(I52/H52,"-")</f>
        <v>1</v>
      </c>
      <c r="K52" s="446">
        <v>297751</v>
      </c>
      <c r="L52" s="447">
        <f t="shared" ref="L52:L70" si="26">IFERROR(K52/H52,"-")</f>
        <v>1.0073244334982037</v>
      </c>
      <c r="M52" s="446">
        <v>0</v>
      </c>
      <c r="N52" s="447">
        <f t="shared" ref="N52:N70" si="27">IFERROR(M52/H52,"-")</f>
        <v>0</v>
      </c>
      <c r="O52" s="448">
        <f t="shared" ref="O52:O70" si="28">IFERROR(K52+M52,"-")</f>
        <v>297751</v>
      </c>
      <c r="P52" s="447">
        <f t="shared" ref="P52:P70" si="29">IFERROR(O52/H52,"-")</f>
        <v>1.0073244334982037</v>
      </c>
      <c r="Q52" s="445">
        <v>2165</v>
      </c>
      <c r="R52" s="447">
        <f t="shared" ref="R52:R70" si="30">IFERROR(Q52/H52,"-")</f>
        <v>7.3244334982035687E-3</v>
      </c>
      <c r="S52" s="448">
        <f t="shared" ref="S52:S70" si="31">IFERROR(O52-H52,"-")</f>
        <v>2165</v>
      </c>
      <c r="T52" s="447">
        <f t="shared" ref="T52:T70" si="32">IFERROR(S52/H52,"-")</f>
        <v>7.3244334982035687E-3</v>
      </c>
      <c r="U52" s="365">
        <f t="shared" ref="U52:U70" si="33">IFERROR(S52*G52,"-")</f>
        <v>2533.0499999999997</v>
      </c>
      <c r="V52" s="145"/>
      <c r="W52" s="145"/>
      <c r="X52" s="145"/>
      <c r="Y52" s="367" t="s">
        <v>417</v>
      </c>
      <c r="Z52" s="367" t="s">
        <v>337</v>
      </c>
      <c r="AA52" s="368" t="s">
        <v>470</v>
      </c>
      <c r="AB52" s="368" t="s">
        <v>527</v>
      </c>
      <c r="AC52" s="368">
        <v>1</v>
      </c>
      <c r="AD52" s="449" t="s">
        <v>340</v>
      </c>
      <c r="AF52" s="160" t="s">
        <v>244</v>
      </c>
      <c r="AG52" s="160" t="s">
        <v>446</v>
      </c>
      <c r="AH52" s="155" t="s">
        <v>564</v>
      </c>
      <c r="AI52" s="155" t="s">
        <v>337</v>
      </c>
      <c r="AJ52" s="155" t="s">
        <v>429</v>
      </c>
      <c r="AK52" s="155" t="s">
        <v>215</v>
      </c>
      <c r="AL52" s="155" t="s">
        <v>216</v>
      </c>
      <c r="AM52" s="155" t="s">
        <v>384</v>
      </c>
    </row>
    <row r="53" spans="2:39" s="147" customFormat="1" ht="27" hidden="1" customHeight="1">
      <c r="B53" s="845"/>
      <c r="C53" s="846"/>
      <c r="D53" s="362">
        <v>3</v>
      </c>
      <c r="E53" s="443" t="s">
        <v>335</v>
      </c>
      <c r="F53" s="444">
        <f t="shared" si="24"/>
        <v>2473.3905000000004</v>
      </c>
      <c r="G53" s="366">
        <v>15.450000000000001</v>
      </c>
      <c r="H53" s="445">
        <v>75982</v>
      </c>
      <c r="I53" s="445">
        <v>75982</v>
      </c>
      <c r="J53" s="447">
        <f t="shared" si="25"/>
        <v>1</v>
      </c>
      <c r="K53" s="446">
        <v>76152</v>
      </c>
      <c r="L53" s="447">
        <f t="shared" si="26"/>
        <v>1.00223737200916</v>
      </c>
      <c r="M53" s="446">
        <v>0</v>
      </c>
      <c r="N53" s="447">
        <f t="shared" si="27"/>
        <v>0</v>
      </c>
      <c r="O53" s="448">
        <f t="shared" si="28"/>
        <v>76152</v>
      </c>
      <c r="P53" s="447">
        <f t="shared" si="29"/>
        <v>1.00223737200916</v>
      </c>
      <c r="Q53" s="445">
        <v>160.09</v>
      </c>
      <c r="R53" s="447">
        <f t="shared" si="30"/>
        <v>2.1069463820378512E-3</v>
      </c>
      <c r="S53" s="448">
        <f t="shared" si="31"/>
        <v>170</v>
      </c>
      <c r="T53" s="447">
        <f t="shared" si="32"/>
        <v>2.2373720091600643E-3</v>
      </c>
      <c r="U53" s="365">
        <f t="shared" si="33"/>
        <v>2626.5</v>
      </c>
      <c r="V53" s="145"/>
      <c r="W53" s="145"/>
      <c r="X53" s="145"/>
      <c r="Y53" s="367" t="s">
        <v>417</v>
      </c>
      <c r="Z53" s="367" t="s">
        <v>216</v>
      </c>
      <c r="AA53" s="368" t="s">
        <v>467</v>
      </c>
      <c r="AB53" s="368" t="s">
        <v>571</v>
      </c>
      <c r="AC53" s="368">
        <v>1</v>
      </c>
      <c r="AD53" s="449" t="s">
        <v>524</v>
      </c>
      <c r="AF53" s="375">
        <f>SUM(AC51:AC70)</f>
        <v>20</v>
      </c>
      <c r="AG53" s="370">
        <f t="shared" ref="AG53:AM53" si="34">SUMIF($Z$51:$Z$70,TRIM(AG52),$AC$51:$AC$70)</f>
        <v>7</v>
      </c>
      <c r="AH53" s="370">
        <f t="shared" si="34"/>
        <v>0</v>
      </c>
      <c r="AI53" s="370">
        <f t="shared" si="34"/>
        <v>5</v>
      </c>
      <c r="AJ53" s="370">
        <f t="shared" si="34"/>
        <v>0</v>
      </c>
      <c r="AK53" s="370">
        <f t="shared" si="34"/>
        <v>2</v>
      </c>
      <c r="AL53" s="370">
        <f t="shared" si="34"/>
        <v>6</v>
      </c>
      <c r="AM53" s="370">
        <f t="shared" si="34"/>
        <v>0</v>
      </c>
    </row>
    <row r="54" spans="2:39" s="147" customFormat="1" ht="27" hidden="1" customHeight="1">
      <c r="B54" s="845"/>
      <c r="C54" s="846"/>
      <c r="D54" s="362">
        <v>4</v>
      </c>
      <c r="E54" s="443" t="s">
        <v>675</v>
      </c>
      <c r="F54" s="444">
        <f t="shared" si="24"/>
        <v>2195.4894999999997</v>
      </c>
      <c r="G54" s="366">
        <v>655.37</v>
      </c>
      <c r="H54" s="445">
        <v>884.7600000000001</v>
      </c>
      <c r="I54" s="445">
        <v>884.7600000000001</v>
      </c>
      <c r="J54" s="447">
        <f t="shared" si="25"/>
        <v>1</v>
      </c>
      <c r="K54" s="446">
        <v>897.45999999999992</v>
      </c>
      <c r="L54" s="447">
        <f t="shared" si="26"/>
        <v>1.0143541751435416</v>
      </c>
      <c r="M54" s="446">
        <v>12.7</v>
      </c>
      <c r="N54" s="447">
        <f t="shared" si="27"/>
        <v>1.4354175143541748E-2</v>
      </c>
      <c r="O54" s="448">
        <f t="shared" si="28"/>
        <v>910.16</v>
      </c>
      <c r="P54" s="447">
        <f t="shared" si="29"/>
        <v>1.0287083502870833</v>
      </c>
      <c r="Q54" s="445">
        <v>3.3499999999999996</v>
      </c>
      <c r="R54" s="447">
        <f t="shared" si="30"/>
        <v>3.7863375378633744E-3</v>
      </c>
      <c r="S54" s="448">
        <f t="shared" si="31"/>
        <v>25.399999999999864</v>
      </c>
      <c r="T54" s="447">
        <f t="shared" si="32"/>
        <v>2.8708350287083344E-2</v>
      </c>
      <c r="U54" s="365">
        <f t="shared" si="33"/>
        <v>16646.39799999991</v>
      </c>
      <c r="V54" s="145"/>
      <c r="W54" s="145"/>
      <c r="X54" s="145"/>
      <c r="Y54" s="367" t="s">
        <v>417</v>
      </c>
      <c r="Z54" s="367" t="s">
        <v>446</v>
      </c>
      <c r="AA54" s="368" t="s">
        <v>679</v>
      </c>
      <c r="AB54" s="368" t="s">
        <v>573</v>
      </c>
      <c r="AC54" s="368">
        <v>1</v>
      </c>
      <c r="AD54" s="449" t="s">
        <v>674</v>
      </c>
      <c r="AF54" s="376" t="s">
        <v>11</v>
      </c>
      <c r="AG54" s="373">
        <f>SUMIF($Z$51:$Z70,TRIM(AG52),$F$51:$F$70)</f>
        <v>9269.1837428571434</v>
      </c>
      <c r="AH54" s="373">
        <f>SUMIF($Z$51:$Z70,TRIM(AH52),$F$51:$F$70)</f>
        <v>0</v>
      </c>
      <c r="AI54" s="373">
        <f>SUMIF($Z$51:$Z70,TRIM(AI52),$F$51:$F$70)</f>
        <v>9240.1687999999995</v>
      </c>
      <c r="AJ54" s="373">
        <f>SUMIF($Z$51:$Z70,TRIM(AJ52),$F$51:$F$70)</f>
        <v>0</v>
      </c>
      <c r="AK54" s="373">
        <f>SUMIF($Z$51:$Z70,TRIM(AK52),$F$51:$F$70)</f>
        <v>2906.7147000000004</v>
      </c>
      <c r="AL54" s="373">
        <f>SUMIF($Z$51:$Z70,TRIM(AL52),$F$51:$F$70)</f>
        <v>8766.3528999999999</v>
      </c>
      <c r="AM54" s="373">
        <f>SUMIF($Z$51:$Z70,TRIM(AM52),$F$51:$F$70)</f>
        <v>0</v>
      </c>
    </row>
    <row r="55" spans="2:39" s="147" customFormat="1" ht="27" hidden="1" customHeight="1">
      <c r="B55" s="845"/>
      <c r="C55" s="846"/>
      <c r="D55" s="362">
        <v>5</v>
      </c>
      <c r="E55" s="443" t="s">
        <v>336</v>
      </c>
      <c r="F55" s="444">
        <f t="shared" si="24"/>
        <v>1811.9147000000005</v>
      </c>
      <c r="G55" s="366">
        <v>147.43000000000004</v>
      </c>
      <c r="H55" s="445">
        <v>4946.46</v>
      </c>
      <c r="I55" s="445">
        <v>4946.46</v>
      </c>
      <c r="J55" s="447">
        <f t="shared" si="25"/>
        <v>1</v>
      </c>
      <c r="K55" s="446">
        <v>5017.13</v>
      </c>
      <c r="L55" s="447">
        <f t="shared" si="26"/>
        <v>1.014286985035763</v>
      </c>
      <c r="M55" s="446">
        <v>70.67</v>
      </c>
      <c r="N55" s="447">
        <f t="shared" si="27"/>
        <v>1.428698503576295E-2</v>
      </c>
      <c r="O55" s="448">
        <f t="shared" si="28"/>
        <v>5087.8</v>
      </c>
      <c r="P55" s="447">
        <f t="shared" si="29"/>
        <v>1.028573970071526</v>
      </c>
      <c r="Q55" s="445">
        <v>12.290000000000001</v>
      </c>
      <c r="R55" s="447">
        <f t="shared" si="30"/>
        <v>2.4846051519672656E-3</v>
      </c>
      <c r="S55" s="448">
        <f t="shared" si="31"/>
        <v>141.34000000000015</v>
      </c>
      <c r="T55" s="447">
        <f t="shared" si="32"/>
        <v>2.8573970071525928E-2</v>
      </c>
      <c r="U55" s="365">
        <f t="shared" si="33"/>
        <v>20837.756200000025</v>
      </c>
      <c r="V55" s="145"/>
      <c r="W55" s="145"/>
      <c r="X55" s="145"/>
      <c r="Y55" s="367" t="s">
        <v>417</v>
      </c>
      <c r="Z55" s="367" t="s">
        <v>215</v>
      </c>
      <c r="AA55" s="368" t="s">
        <v>607</v>
      </c>
      <c r="AB55" s="368" t="s">
        <v>571</v>
      </c>
      <c r="AC55" s="368">
        <v>1</v>
      </c>
      <c r="AD55" s="449" t="s">
        <v>340</v>
      </c>
      <c r="AF55" s="362" t="s">
        <v>565</v>
      </c>
      <c r="AG55" s="450">
        <f t="shared" ref="AG55:AM55" si="35">AG53/$AF53</f>
        <v>0.35</v>
      </c>
      <c r="AH55" s="450">
        <f t="shared" si="35"/>
        <v>0</v>
      </c>
      <c r="AI55" s="450">
        <f t="shared" si="35"/>
        <v>0.25</v>
      </c>
      <c r="AJ55" s="450">
        <f t="shared" si="35"/>
        <v>0</v>
      </c>
      <c r="AK55" s="450">
        <f t="shared" si="35"/>
        <v>0.1</v>
      </c>
      <c r="AL55" s="450">
        <f t="shared" si="35"/>
        <v>0.3</v>
      </c>
      <c r="AM55" s="450">
        <f t="shared" si="35"/>
        <v>0</v>
      </c>
    </row>
    <row r="56" spans="2:39" s="147" customFormat="1" ht="27" hidden="1" customHeight="1">
      <c r="B56" s="845"/>
      <c r="C56" s="846"/>
      <c r="D56" s="362">
        <v>6</v>
      </c>
      <c r="E56" s="443" t="s">
        <v>460</v>
      </c>
      <c r="F56" s="444">
        <f t="shared" si="24"/>
        <v>1599.2591999999995</v>
      </c>
      <c r="G56" s="366">
        <v>605.77999999999986</v>
      </c>
      <c r="H56" s="445">
        <v>1086.77</v>
      </c>
      <c r="I56" s="445">
        <v>1086.77</v>
      </c>
      <c r="J56" s="447">
        <f t="shared" si="25"/>
        <v>1</v>
      </c>
      <c r="K56" s="446">
        <v>1097.48</v>
      </c>
      <c r="L56" s="447">
        <f t="shared" si="26"/>
        <v>1.0098548910993126</v>
      </c>
      <c r="M56" s="446">
        <v>10.709999999999999</v>
      </c>
      <c r="N56" s="447">
        <f t="shared" si="27"/>
        <v>9.8548910993126407E-3</v>
      </c>
      <c r="O56" s="448">
        <f t="shared" si="28"/>
        <v>1108.19</v>
      </c>
      <c r="P56" s="447">
        <f t="shared" si="29"/>
        <v>1.0197097821986254</v>
      </c>
      <c r="Q56" s="445">
        <v>2.6399999999999997</v>
      </c>
      <c r="R56" s="447">
        <f t="shared" si="30"/>
        <v>2.4292168536120796E-3</v>
      </c>
      <c r="S56" s="448">
        <f t="shared" si="31"/>
        <v>21.420000000000073</v>
      </c>
      <c r="T56" s="447">
        <f t="shared" si="32"/>
        <v>1.9709782198625351E-2</v>
      </c>
      <c r="U56" s="365">
        <f t="shared" si="33"/>
        <v>12975.807600000042</v>
      </c>
      <c r="V56" s="145"/>
      <c r="W56" s="145"/>
      <c r="X56" s="145"/>
      <c r="Y56" s="367" t="s">
        <v>417</v>
      </c>
      <c r="Z56" s="367" t="s">
        <v>337</v>
      </c>
      <c r="AA56" s="368" t="s">
        <v>589</v>
      </c>
      <c r="AB56" s="383" t="s">
        <v>590</v>
      </c>
      <c r="AC56" s="368">
        <v>1</v>
      </c>
      <c r="AD56" s="449" t="s">
        <v>342</v>
      </c>
    </row>
    <row r="57" spans="2:39" s="147" customFormat="1" ht="27" hidden="1" customHeight="1">
      <c r="B57" s="845"/>
      <c r="C57" s="846"/>
      <c r="D57" s="362">
        <v>7</v>
      </c>
      <c r="E57" s="443" t="s">
        <v>584</v>
      </c>
      <c r="F57" s="444">
        <f t="shared" si="24"/>
        <v>1475.4</v>
      </c>
      <c r="G57" s="366">
        <v>24.59</v>
      </c>
      <c r="H57" s="445">
        <v>15861</v>
      </c>
      <c r="I57" s="445">
        <v>15861</v>
      </c>
      <c r="J57" s="447">
        <f t="shared" si="25"/>
        <v>1</v>
      </c>
      <c r="K57" s="446">
        <v>15939</v>
      </c>
      <c r="L57" s="447">
        <f t="shared" si="26"/>
        <v>1.0049177227160961</v>
      </c>
      <c r="M57" s="446">
        <v>0</v>
      </c>
      <c r="N57" s="447">
        <f t="shared" si="27"/>
        <v>0</v>
      </c>
      <c r="O57" s="448">
        <f t="shared" si="28"/>
        <v>15939</v>
      </c>
      <c r="P57" s="447">
        <f t="shared" si="29"/>
        <v>1.0049177227160961</v>
      </c>
      <c r="Q57" s="445">
        <v>60</v>
      </c>
      <c r="R57" s="447">
        <f t="shared" si="30"/>
        <v>3.7828636277662192E-3</v>
      </c>
      <c r="S57" s="448">
        <f t="shared" si="31"/>
        <v>78</v>
      </c>
      <c r="T57" s="447">
        <f t="shared" si="32"/>
        <v>4.9177227160960846E-3</v>
      </c>
      <c r="U57" s="365">
        <f t="shared" si="33"/>
        <v>1918.02</v>
      </c>
      <c r="V57" s="145"/>
      <c r="W57" s="145"/>
      <c r="X57" s="145"/>
      <c r="Y57" s="367" t="s">
        <v>417</v>
      </c>
      <c r="Z57" s="367" t="s">
        <v>337</v>
      </c>
      <c r="AA57" s="368" t="s">
        <v>588</v>
      </c>
      <c r="AB57" s="368" t="s">
        <v>680</v>
      </c>
      <c r="AC57" s="368">
        <v>1</v>
      </c>
      <c r="AD57" s="449" t="s">
        <v>568</v>
      </c>
    </row>
    <row r="58" spans="2:39" s="147" customFormat="1" ht="27" hidden="1" customHeight="1">
      <c r="B58" s="845"/>
      <c r="C58" s="846"/>
      <c r="D58" s="362">
        <v>8</v>
      </c>
      <c r="E58" s="443" t="s">
        <v>651</v>
      </c>
      <c r="F58" s="444">
        <f t="shared" si="24"/>
        <v>1454.0756999999999</v>
      </c>
      <c r="G58" s="366">
        <v>43.889999999999993</v>
      </c>
      <c r="H58" s="445">
        <v>3631.4</v>
      </c>
      <c r="I58" s="445">
        <v>3631.4</v>
      </c>
      <c r="J58" s="447">
        <f t="shared" si="25"/>
        <v>1</v>
      </c>
      <c r="K58" s="446">
        <v>3732.92</v>
      </c>
      <c r="L58" s="447">
        <f t="shared" si="26"/>
        <v>1.0279561601586165</v>
      </c>
      <c r="M58" s="446">
        <v>92.62</v>
      </c>
      <c r="N58" s="447">
        <f t="shared" si="27"/>
        <v>2.5505314754640084E-2</v>
      </c>
      <c r="O58" s="448">
        <f t="shared" si="28"/>
        <v>3825.54</v>
      </c>
      <c r="P58" s="447">
        <f t="shared" si="29"/>
        <v>1.0534614749132565</v>
      </c>
      <c r="Q58" s="445">
        <v>33.130000000000003</v>
      </c>
      <c r="R58" s="447">
        <f t="shared" si="30"/>
        <v>9.1232031723302316E-3</v>
      </c>
      <c r="S58" s="448">
        <f t="shared" si="31"/>
        <v>194.13999999999987</v>
      </c>
      <c r="T58" s="447">
        <f t="shared" si="32"/>
        <v>5.3461474913256556E-2</v>
      </c>
      <c r="U58" s="365">
        <f t="shared" si="33"/>
        <v>8520.804599999994</v>
      </c>
      <c r="V58" s="145"/>
      <c r="W58" s="145"/>
      <c r="X58" s="145"/>
      <c r="Y58" s="367" t="s">
        <v>417</v>
      </c>
      <c r="Z58" s="367" t="s">
        <v>216</v>
      </c>
      <c r="AA58" s="383" t="s">
        <v>689</v>
      </c>
      <c r="AB58" s="368" t="s">
        <v>571</v>
      </c>
      <c r="AC58" s="368">
        <v>1</v>
      </c>
      <c r="AD58" s="449" t="s">
        <v>642</v>
      </c>
    </row>
    <row r="59" spans="2:39" s="147" customFormat="1" ht="27" hidden="1" customHeight="1">
      <c r="B59" s="845"/>
      <c r="C59" s="846"/>
      <c r="D59" s="362">
        <v>9</v>
      </c>
      <c r="E59" s="443" t="s">
        <v>535</v>
      </c>
      <c r="F59" s="444">
        <f t="shared" si="24"/>
        <v>1418.0399999999997</v>
      </c>
      <c r="G59" s="366">
        <v>39.389999999999993</v>
      </c>
      <c r="H59" s="445">
        <v>25259.64</v>
      </c>
      <c r="I59" s="445">
        <v>25259.64</v>
      </c>
      <c r="J59" s="447">
        <f t="shared" si="25"/>
        <v>1</v>
      </c>
      <c r="K59" s="446">
        <v>25406.290000000005</v>
      </c>
      <c r="L59" s="447">
        <f t="shared" si="26"/>
        <v>1.0058057042776543</v>
      </c>
      <c r="M59" s="446">
        <v>136.21</v>
      </c>
      <c r="N59" s="447">
        <f t="shared" si="27"/>
        <v>5.3923967245772314E-3</v>
      </c>
      <c r="O59" s="448">
        <f t="shared" si="28"/>
        <v>25542.500000000004</v>
      </c>
      <c r="P59" s="447">
        <f t="shared" si="29"/>
        <v>1.0111981010022313</v>
      </c>
      <c r="Q59" s="445">
        <v>36</v>
      </c>
      <c r="R59" s="447">
        <f t="shared" si="30"/>
        <v>1.4251984588853999E-3</v>
      </c>
      <c r="S59" s="448">
        <f t="shared" si="31"/>
        <v>282.86000000000422</v>
      </c>
      <c r="T59" s="447">
        <f t="shared" si="32"/>
        <v>1.1198101002231394E-2</v>
      </c>
      <c r="U59" s="365">
        <f t="shared" si="33"/>
        <v>11141.855400000164</v>
      </c>
      <c r="V59" s="145"/>
      <c r="W59" s="145"/>
      <c r="X59" s="145"/>
      <c r="Y59" s="367" t="s">
        <v>417</v>
      </c>
      <c r="Z59" s="367" t="s">
        <v>216</v>
      </c>
      <c r="AA59" s="383" t="s">
        <v>689</v>
      </c>
      <c r="AB59" s="368" t="s">
        <v>571</v>
      </c>
      <c r="AC59" s="368">
        <v>1</v>
      </c>
      <c r="AD59" s="449" t="s">
        <v>340</v>
      </c>
    </row>
    <row r="60" spans="2:39" s="147" customFormat="1" ht="27" hidden="1" customHeight="1">
      <c r="B60" s="845"/>
      <c r="C60" s="846"/>
      <c r="D60" s="362">
        <v>10</v>
      </c>
      <c r="E60" s="443" t="s">
        <v>676</v>
      </c>
      <c r="F60" s="444">
        <f t="shared" si="24"/>
        <v>1378.5875999999998</v>
      </c>
      <c r="G60" s="366">
        <v>31.59</v>
      </c>
      <c r="H60" s="445">
        <v>9400.57</v>
      </c>
      <c r="I60" s="445">
        <v>9400.57</v>
      </c>
      <c r="J60" s="447">
        <f t="shared" si="25"/>
        <v>1</v>
      </c>
      <c r="K60" s="446">
        <v>9649.39</v>
      </c>
      <c r="L60" s="447">
        <f t="shared" si="26"/>
        <v>1.0264686077546361</v>
      </c>
      <c r="M60" s="446">
        <v>248.82</v>
      </c>
      <c r="N60" s="447">
        <f t="shared" si="27"/>
        <v>2.6468607754636154E-2</v>
      </c>
      <c r="O60" s="448">
        <f t="shared" si="28"/>
        <v>9898.2099999999991</v>
      </c>
      <c r="P60" s="447">
        <f t="shared" si="29"/>
        <v>1.0529372155092722</v>
      </c>
      <c r="Q60" s="445">
        <v>43.639999999999993</v>
      </c>
      <c r="R60" s="447">
        <f t="shared" si="30"/>
        <v>4.6422716920356951E-3</v>
      </c>
      <c r="S60" s="448">
        <f t="shared" si="31"/>
        <v>497.63999999999942</v>
      </c>
      <c r="T60" s="447">
        <f t="shared" si="32"/>
        <v>5.2937215509272252E-2</v>
      </c>
      <c r="U60" s="365">
        <f t="shared" si="33"/>
        <v>15720.447599999981</v>
      </c>
      <c r="V60" s="145"/>
      <c r="W60" s="145"/>
      <c r="X60" s="145"/>
      <c r="Y60" s="367" t="s">
        <v>417</v>
      </c>
      <c r="Z60" s="367" t="s">
        <v>446</v>
      </c>
      <c r="AA60" s="368" t="s">
        <v>480</v>
      </c>
      <c r="AB60" s="368" t="s">
        <v>593</v>
      </c>
      <c r="AC60" s="368">
        <v>1</v>
      </c>
      <c r="AD60" s="449" t="s">
        <v>674</v>
      </c>
    </row>
    <row r="61" spans="2:39" s="147" customFormat="1" ht="27" hidden="1" customHeight="1">
      <c r="B61" s="845"/>
      <c r="C61" s="846"/>
      <c r="D61" s="362">
        <v>11</v>
      </c>
      <c r="E61" s="443" t="s">
        <v>463</v>
      </c>
      <c r="F61" s="444">
        <f t="shared" si="24"/>
        <v>1317.6229000000003</v>
      </c>
      <c r="G61" s="366">
        <v>160.49</v>
      </c>
      <c r="H61" s="445">
        <v>737.83999999999992</v>
      </c>
      <c r="I61" s="445">
        <v>737.83999999999992</v>
      </c>
      <c r="J61" s="447">
        <f t="shared" si="25"/>
        <v>1</v>
      </c>
      <c r="K61" s="446">
        <v>759.7399999999999</v>
      </c>
      <c r="L61" s="447">
        <f t="shared" si="26"/>
        <v>1.0296812317033504</v>
      </c>
      <c r="M61" s="446">
        <v>21.9</v>
      </c>
      <c r="N61" s="447">
        <f t="shared" si="27"/>
        <v>2.9681231703350321E-2</v>
      </c>
      <c r="O61" s="448">
        <f t="shared" si="28"/>
        <v>781.63999999999987</v>
      </c>
      <c r="P61" s="447">
        <f t="shared" si="29"/>
        <v>1.0593624634067005</v>
      </c>
      <c r="Q61" s="445">
        <v>8.2100000000000009</v>
      </c>
      <c r="R61" s="447">
        <f t="shared" si="30"/>
        <v>1.1127073620297086E-2</v>
      </c>
      <c r="S61" s="448">
        <f t="shared" si="31"/>
        <v>43.799999999999955</v>
      </c>
      <c r="T61" s="447">
        <f t="shared" si="32"/>
        <v>5.9362463406700587E-2</v>
      </c>
      <c r="U61" s="365">
        <f t="shared" si="33"/>
        <v>7029.4619999999932</v>
      </c>
      <c r="V61" s="145"/>
      <c r="W61" s="145"/>
      <c r="X61" s="145"/>
      <c r="Y61" s="367" t="s">
        <v>417</v>
      </c>
      <c r="Z61" s="367" t="s">
        <v>446</v>
      </c>
      <c r="AA61" s="368" t="s">
        <v>664</v>
      </c>
      <c r="AB61" s="368" t="s">
        <v>573</v>
      </c>
      <c r="AC61" s="368">
        <v>1</v>
      </c>
      <c r="AD61" s="449" t="s">
        <v>434</v>
      </c>
      <c r="AH61" s="371"/>
    </row>
    <row r="62" spans="2:39" s="147" customFormat="1" ht="27" hidden="1" customHeight="1">
      <c r="B62" s="845"/>
      <c r="C62" s="846"/>
      <c r="D62" s="362">
        <v>12</v>
      </c>
      <c r="E62" s="443" t="s">
        <v>677</v>
      </c>
      <c r="F62" s="444">
        <f t="shared" si="24"/>
        <v>1209.7706000000003</v>
      </c>
      <c r="G62" s="366">
        <v>40.420000000000009</v>
      </c>
      <c r="H62" s="445">
        <v>5161.1000000000004</v>
      </c>
      <c r="I62" s="445">
        <v>5161.1000000000004</v>
      </c>
      <c r="J62" s="447">
        <f t="shared" si="25"/>
        <v>1</v>
      </c>
      <c r="K62" s="446">
        <v>5318.82</v>
      </c>
      <c r="L62" s="447">
        <f t="shared" si="26"/>
        <v>1.0305593768770223</v>
      </c>
      <c r="M62" s="446">
        <v>157.72</v>
      </c>
      <c r="N62" s="447">
        <f t="shared" si="27"/>
        <v>3.0559376877022339E-2</v>
      </c>
      <c r="O62" s="448">
        <f t="shared" si="28"/>
        <v>5476.54</v>
      </c>
      <c r="P62" s="447">
        <f t="shared" si="29"/>
        <v>1.0611187537540445</v>
      </c>
      <c r="Q62" s="445">
        <v>29.93</v>
      </c>
      <c r="R62" s="447">
        <f t="shared" si="30"/>
        <v>5.7991513437057989E-3</v>
      </c>
      <c r="S62" s="448">
        <f t="shared" si="31"/>
        <v>315.4399999999996</v>
      </c>
      <c r="T62" s="447">
        <f t="shared" si="32"/>
        <v>6.1118753754044595E-2</v>
      </c>
      <c r="U62" s="365">
        <f t="shared" si="33"/>
        <v>12750.084799999986</v>
      </c>
      <c r="V62" s="145"/>
      <c r="W62" s="145"/>
      <c r="X62" s="145"/>
      <c r="Y62" s="367" t="s">
        <v>417</v>
      </c>
      <c r="Z62" s="367" t="s">
        <v>216</v>
      </c>
      <c r="AA62" s="383" t="s">
        <v>681</v>
      </c>
      <c r="AB62" s="368" t="s">
        <v>571</v>
      </c>
      <c r="AC62" s="368">
        <v>1</v>
      </c>
      <c r="AD62" s="449" t="s">
        <v>674</v>
      </c>
    </row>
    <row r="63" spans="2:39" s="147" customFormat="1" ht="27" hidden="1" customHeight="1">
      <c r="B63" s="845"/>
      <c r="C63" s="846"/>
      <c r="D63" s="362">
        <v>13</v>
      </c>
      <c r="E63" s="443" t="s">
        <v>386</v>
      </c>
      <c r="F63" s="444">
        <f t="shared" si="24"/>
        <v>1178.6848000000002</v>
      </c>
      <c r="G63" s="366">
        <v>127.84000000000002</v>
      </c>
      <c r="H63" s="445">
        <v>4364.0199999999995</v>
      </c>
      <c r="I63" s="445">
        <v>4364.0199999999995</v>
      </c>
      <c r="J63" s="447">
        <f t="shared" si="25"/>
        <v>1</v>
      </c>
      <c r="K63" s="446">
        <v>4403.34</v>
      </c>
      <c r="L63" s="447">
        <f t="shared" si="26"/>
        <v>1.0090100412005445</v>
      </c>
      <c r="M63" s="446">
        <v>39.319999999999993</v>
      </c>
      <c r="N63" s="447">
        <f t="shared" si="27"/>
        <v>9.0100412005444507E-3</v>
      </c>
      <c r="O63" s="448">
        <f t="shared" si="28"/>
        <v>4442.66</v>
      </c>
      <c r="P63" s="447">
        <f t="shared" si="29"/>
        <v>1.018020082401089</v>
      </c>
      <c r="Q63" s="445">
        <v>9.2200000000000006</v>
      </c>
      <c r="R63" s="447">
        <f t="shared" si="30"/>
        <v>2.1127309224064053E-3</v>
      </c>
      <c r="S63" s="448">
        <f t="shared" si="31"/>
        <v>78.640000000000327</v>
      </c>
      <c r="T63" s="447">
        <f t="shared" si="32"/>
        <v>1.8020082401088981E-2</v>
      </c>
      <c r="U63" s="365">
        <f t="shared" si="33"/>
        <v>10053.337600000043</v>
      </c>
      <c r="V63" s="145"/>
      <c r="W63" s="145"/>
      <c r="X63" s="145"/>
      <c r="Y63" s="367" t="s">
        <v>417</v>
      </c>
      <c r="Z63" s="367" t="s">
        <v>446</v>
      </c>
      <c r="AA63" s="368" t="s">
        <v>664</v>
      </c>
      <c r="AB63" s="368" t="s">
        <v>573</v>
      </c>
      <c r="AC63" s="368">
        <v>1</v>
      </c>
      <c r="AD63" s="449" t="s">
        <v>340</v>
      </c>
    </row>
    <row r="64" spans="2:39" s="147" customFormat="1" ht="27" hidden="1" customHeight="1">
      <c r="B64" s="845"/>
      <c r="C64" s="846"/>
      <c r="D64" s="362">
        <v>14</v>
      </c>
      <c r="E64" s="443" t="s">
        <v>546</v>
      </c>
      <c r="F64" s="444">
        <f t="shared" si="24"/>
        <v>1135.6017000000002</v>
      </c>
      <c r="G64" s="366">
        <v>62.43</v>
      </c>
      <c r="H64" s="445">
        <v>2175.88</v>
      </c>
      <c r="I64" s="445">
        <v>2175.88</v>
      </c>
      <c r="J64" s="447">
        <f t="shared" si="25"/>
        <v>1</v>
      </c>
      <c r="K64" s="446">
        <v>2245.2799999999997</v>
      </c>
      <c r="L64" s="447">
        <f t="shared" si="26"/>
        <v>1.0318951412761732</v>
      </c>
      <c r="M64" s="446">
        <v>69.400000000000006</v>
      </c>
      <c r="N64" s="447">
        <f t="shared" si="27"/>
        <v>3.1895141276173322E-2</v>
      </c>
      <c r="O64" s="448">
        <f t="shared" si="28"/>
        <v>2314.6799999999998</v>
      </c>
      <c r="P64" s="447">
        <f t="shared" si="29"/>
        <v>1.0637902825523464</v>
      </c>
      <c r="Q64" s="445">
        <v>18.190000000000001</v>
      </c>
      <c r="R64" s="447">
        <f t="shared" si="30"/>
        <v>8.3598360203687699E-3</v>
      </c>
      <c r="S64" s="448">
        <f t="shared" si="31"/>
        <v>138.79999999999973</v>
      </c>
      <c r="T64" s="447">
        <f t="shared" si="32"/>
        <v>6.3790282552346506E-2</v>
      </c>
      <c r="U64" s="365">
        <f t="shared" si="33"/>
        <v>8665.2839999999833</v>
      </c>
      <c r="V64" s="145"/>
      <c r="W64" s="145"/>
      <c r="X64" s="145"/>
      <c r="Y64" s="367" t="s">
        <v>417</v>
      </c>
      <c r="Z64" s="367" t="s">
        <v>216</v>
      </c>
      <c r="AA64" s="383" t="s">
        <v>689</v>
      </c>
      <c r="AB64" s="368" t="s">
        <v>571</v>
      </c>
      <c r="AC64" s="368">
        <v>1</v>
      </c>
      <c r="AD64" s="449" t="s">
        <v>545</v>
      </c>
    </row>
    <row r="65" spans="2:39" s="147" customFormat="1" ht="27" hidden="1" customHeight="1">
      <c r="B65" s="845"/>
      <c r="C65" s="846"/>
      <c r="D65" s="362">
        <v>15</v>
      </c>
      <c r="E65" s="443" t="s">
        <v>654</v>
      </c>
      <c r="F65" s="444">
        <f t="shared" si="24"/>
        <v>1104.3281999999999</v>
      </c>
      <c r="G65" s="366">
        <v>212.78</v>
      </c>
      <c r="H65" s="445">
        <v>526.29</v>
      </c>
      <c r="I65" s="445">
        <v>526.29</v>
      </c>
      <c r="J65" s="447">
        <f t="shared" si="25"/>
        <v>1</v>
      </c>
      <c r="K65" s="446">
        <v>543.71</v>
      </c>
      <c r="L65" s="447">
        <f t="shared" si="26"/>
        <v>1.0330996218814723</v>
      </c>
      <c r="M65" s="446">
        <v>17.420000000000002</v>
      </c>
      <c r="N65" s="447">
        <f t="shared" si="27"/>
        <v>3.3099621881472197E-2</v>
      </c>
      <c r="O65" s="448">
        <f t="shared" si="28"/>
        <v>561.13</v>
      </c>
      <c r="P65" s="447">
        <f t="shared" si="29"/>
        <v>1.0661992437629444</v>
      </c>
      <c r="Q65" s="445">
        <v>5.1899999999999995</v>
      </c>
      <c r="R65" s="447">
        <f t="shared" si="30"/>
        <v>9.8614832126774216E-3</v>
      </c>
      <c r="S65" s="448">
        <f t="shared" si="31"/>
        <v>34.840000000000032</v>
      </c>
      <c r="T65" s="447">
        <f t="shared" si="32"/>
        <v>6.6199243762944449E-2</v>
      </c>
      <c r="U65" s="365">
        <f t="shared" si="33"/>
        <v>7413.2552000000069</v>
      </c>
      <c r="V65" s="145"/>
      <c r="W65" s="145"/>
      <c r="X65" s="145"/>
      <c r="Y65" s="367" t="s">
        <v>417</v>
      </c>
      <c r="Z65" s="367" t="s">
        <v>446</v>
      </c>
      <c r="AA65" s="368" t="s">
        <v>548</v>
      </c>
      <c r="AB65" s="368" t="s">
        <v>455</v>
      </c>
      <c r="AC65" s="368">
        <v>1</v>
      </c>
      <c r="AD65" s="449" t="s">
        <v>642</v>
      </c>
    </row>
    <row r="66" spans="2:39" s="147" customFormat="1" ht="27" hidden="1" customHeight="1">
      <c r="B66" s="845"/>
      <c r="C66" s="846"/>
      <c r="D66" s="362">
        <v>16</v>
      </c>
      <c r="E66" s="443" t="s">
        <v>484</v>
      </c>
      <c r="F66" s="444">
        <f t="shared" si="24"/>
        <v>1096.7095999999999</v>
      </c>
      <c r="G66" s="366">
        <v>370.50999999999993</v>
      </c>
      <c r="H66" s="445">
        <v>430.84000000000003</v>
      </c>
      <c r="I66" s="445">
        <v>430.84000000000003</v>
      </c>
      <c r="J66" s="447">
        <f t="shared" si="25"/>
        <v>1</v>
      </c>
      <c r="K66" s="446">
        <v>442.74</v>
      </c>
      <c r="L66" s="447">
        <f t="shared" si="26"/>
        <v>1.0276204623526135</v>
      </c>
      <c r="M66" s="446">
        <v>11.900000000000002</v>
      </c>
      <c r="N66" s="447">
        <f t="shared" si="27"/>
        <v>2.7620462352613503E-2</v>
      </c>
      <c r="O66" s="448">
        <f t="shared" si="28"/>
        <v>454.64</v>
      </c>
      <c r="P66" s="447">
        <f t="shared" si="29"/>
        <v>1.0552409247052268</v>
      </c>
      <c r="Q66" s="445">
        <v>2.9600000000000004</v>
      </c>
      <c r="R66" s="447">
        <f t="shared" si="30"/>
        <v>6.8702998793055432E-3</v>
      </c>
      <c r="S66" s="448">
        <f t="shared" si="31"/>
        <v>23.799999999999955</v>
      </c>
      <c r="T66" s="447">
        <f t="shared" si="32"/>
        <v>5.5240924705226888E-2</v>
      </c>
      <c r="U66" s="365">
        <f t="shared" si="33"/>
        <v>8818.1379999999808</v>
      </c>
      <c r="V66" s="145"/>
      <c r="W66" s="145"/>
      <c r="X66" s="145"/>
      <c r="Y66" s="367" t="s">
        <v>417</v>
      </c>
      <c r="Z66" s="367" t="s">
        <v>337</v>
      </c>
      <c r="AA66" s="368" t="s">
        <v>594</v>
      </c>
      <c r="AB66" s="368" t="s">
        <v>576</v>
      </c>
      <c r="AC66" s="368">
        <v>1</v>
      </c>
      <c r="AD66" s="449" t="s">
        <v>353</v>
      </c>
    </row>
    <row r="67" spans="2:39" s="147" customFormat="1" ht="27" hidden="1" customHeight="1">
      <c r="B67" s="845"/>
      <c r="C67" s="846"/>
      <c r="D67" s="362">
        <v>17</v>
      </c>
      <c r="E67" s="443" t="s">
        <v>658</v>
      </c>
      <c r="F67" s="444">
        <f t="shared" si="24"/>
        <v>1094.8000000000002</v>
      </c>
      <c r="G67" s="366">
        <v>1.1500000000000001</v>
      </c>
      <c r="H67" s="445">
        <v>48117</v>
      </c>
      <c r="I67" s="445">
        <v>48117</v>
      </c>
      <c r="J67" s="447">
        <f t="shared" si="25"/>
        <v>1</v>
      </c>
      <c r="K67" s="446">
        <v>49069</v>
      </c>
      <c r="L67" s="447">
        <f t="shared" si="26"/>
        <v>1.0197851071346926</v>
      </c>
      <c r="M67" s="446">
        <v>0</v>
      </c>
      <c r="N67" s="447">
        <f t="shared" si="27"/>
        <v>0</v>
      </c>
      <c r="O67" s="448">
        <f t="shared" si="28"/>
        <v>49069</v>
      </c>
      <c r="P67" s="447">
        <f t="shared" si="29"/>
        <v>1.0197851071346926</v>
      </c>
      <c r="Q67" s="445">
        <v>952</v>
      </c>
      <c r="R67" s="447">
        <f t="shared" si="30"/>
        <v>1.9785107134692521E-2</v>
      </c>
      <c r="S67" s="448">
        <f t="shared" si="31"/>
        <v>952</v>
      </c>
      <c r="T67" s="447">
        <f t="shared" si="32"/>
        <v>1.9785107134692521E-2</v>
      </c>
      <c r="U67" s="365">
        <f t="shared" si="33"/>
        <v>1094.8000000000002</v>
      </c>
      <c r="V67" s="145"/>
      <c r="W67" s="145"/>
      <c r="X67" s="145"/>
      <c r="Y67" s="367" t="s">
        <v>417</v>
      </c>
      <c r="Z67" s="367" t="s">
        <v>215</v>
      </c>
      <c r="AA67" s="367" t="s">
        <v>609</v>
      </c>
      <c r="AB67" s="368" t="s">
        <v>610</v>
      </c>
      <c r="AC67" s="368">
        <v>1</v>
      </c>
      <c r="AD67" s="449" t="s">
        <v>436</v>
      </c>
    </row>
    <row r="68" spans="2:39" s="147" customFormat="1" ht="27" hidden="1" customHeight="1">
      <c r="B68" s="845"/>
      <c r="C68" s="846"/>
      <c r="D68" s="362">
        <v>18</v>
      </c>
      <c r="E68" s="443" t="s">
        <v>570</v>
      </c>
      <c r="F68" s="444">
        <f t="shared" si="24"/>
        <v>1075.4744000000001</v>
      </c>
      <c r="G68" s="366">
        <v>40.04</v>
      </c>
      <c r="H68" s="445">
        <v>2890.69</v>
      </c>
      <c r="I68" s="445">
        <v>2890.69</v>
      </c>
      <c r="J68" s="447">
        <f t="shared" si="25"/>
        <v>1</v>
      </c>
      <c r="K68" s="446">
        <v>2987.64</v>
      </c>
      <c r="L68" s="447">
        <f t="shared" si="26"/>
        <v>1.0335387052918161</v>
      </c>
      <c r="M68" s="446">
        <v>96.95</v>
      </c>
      <c r="N68" s="447">
        <f t="shared" si="27"/>
        <v>3.3538705291816143E-2</v>
      </c>
      <c r="O68" s="448">
        <f t="shared" si="28"/>
        <v>3084.5899999999997</v>
      </c>
      <c r="P68" s="447">
        <f t="shared" si="29"/>
        <v>1.0670774105836323</v>
      </c>
      <c r="Q68" s="445">
        <v>26.86</v>
      </c>
      <c r="R68" s="447">
        <f t="shared" si="30"/>
        <v>9.2918991659430798E-3</v>
      </c>
      <c r="S68" s="448">
        <f t="shared" si="31"/>
        <v>193.89999999999964</v>
      </c>
      <c r="T68" s="447">
        <f t="shared" si="32"/>
        <v>6.707741058363216E-2</v>
      </c>
      <c r="U68" s="365">
        <f t="shared" si="33"/>
        <v>7763.7559999999849</v>
      </c>
      <c r="V68" s="145"/>
      <c r="W68" s="145"/>
      <c r="X68" s="145"/>
      <c r="Y68" s="367" t="s">
        <v>417</v>
      </c>
      <c r="Z68" s="367" t="s">
        <v>216</v>
      </c>
      <c r="AA68" s="383" t="s">
        <v>689</v>
      </c>
      <c r="AB68" s="368" t="s">
        <v>571</v>
      </c>
      <c r="AC68" s="368">
        <v>1</v>
      </c>
      <c r="AD68" s="449" t="s">
        <v>534</v>
      </c>
    </row>
    <row r="69" spans="2:39" s="147" customFormat="1" ht="27" hidden="1" customHeight="1">
      <c r="B69" s="845"/>
      <c r="C69" s="846"/>
      <c r="D69" s="362">
        <v>19</v>
      </c>
      <c r="E69" s="443" t="s">
        <v>678</v>
      </c>
      <c r="F69" s="444">
        <f t="shared" si="24"/>
        <v>1048.2307428571432</v>
      </c>
      <c r="G69" s="366">
        <v>51.434285714285728</v>
      </c>
      <c r="H69" s="445">
        <v>1137.33</v>
      </c>
      <c r="I69" s="445">
        <v>1137.33</v>
      </c>
      <c r="J69" s="447">
        <f t="shared" si="25"/>
        <v>1</v>
      </c>
      <c r="K69" s="446">
        <v>1186.52</v>
      </c>
      <c r="L69" s="447">
        <f t="shared" si="26"/>
        <v>1.0432504198429655</v>
      </c>
      <c r="M69" s="446">
        <v>49.189999999999991</v>
      </c>
      <c r="N69" s="447">
        <f t="shared" si="27"/>
        <v>4.3250419842965536E-2</v>
      </c>
      <c r="O69" s="448">
        <f t="shared" si="28"/>
        <v>1235.71</v>
      </c>
      <c r="P69" s="447">
        <f t="shared" si="29"/>
        <v>1.0865008396859313</v>
      </c>
      <c r="Q69" s="445">
        <v>20.380000000000003</v>
      </c>
      <c r="R69" s="447">
        <f t="shared" si="30"/>
        <v>1.7919161545022117E-2</v>
      </c>
      <c r="S69" s="448">
        <f t="shared" si="31"/>
        <v>98.380000000000109</v>
      </c>
      <c r="T69" s="447">
        <f t="shared" si="32"/>
        <v>8.6500839685931183E-2</v>
      </c>
      <c r="U69" s="365">
        <f t="shared" si="33"/>
        <v>5060.1050285714355</v>
      </c>
      <c r="V69" s="145"/>
      <c r="W69" s="145"/>
      <c r="X69" s="145"/>
      <c r="Y69" s="367" t="s">
        <v>417</v>
      </c>
      <c r="Z69" s="367" t="s">
        <v>446</v>
      </c>
      <c r="AA69" s="368" t="s">
        <v>480</v>
      </c>
      <c r="AB69" s="368" t="s">
        <v>593</v>
      </c>
      <c r="AC69" s="368">
        <v>1</v>
      </c>
      <c r="AD69" s="449" t="s">
        <v>342</v>
      </c>
    </row>
    <row r="70" spans="2:39" s="147" customFormat="1" ht="27" hidden="1" customHeight="1">
      <c r="B70" s="847"/>
      <c r="C70" s="848"/>
      <c r="D70" s="362">
        <v>20</v>
      </c>
      <c r="E70" s="443" t="s">
        <v>625</v>
      </c>
      <c r="F70" s="444">
        <f t="shared" si="24"/>
        <v>1046.24</v>
      </c>
      <c r="G70" s="366">
        <v>2.08</v>
      </c>
      <c r="H70" s="445">
        <v>39366</v>
      </c>
      <c r="I70" s="445">
        <v>39366</v>
      </c>
      <c r="J70" s="447">
        <f t="shared" si="25"/>
        <v>1</v>
      </c>
      <c r="K70" s="446">
        <v>39928</v>
      </c>
      <c r="L70" s="447">
        <f t="shared" si="26"/>
        <v>1.0142762790225068</v>
      </c>
      <c r="M70" s="446">
        <v>0</v>
      </c>
      <c r="N70" s="447">
        <f t="shared" si="27"/>
        <v>0</v>
      </c>
      <c r="O70" s="448">
        <f t="shared" si="28"/>
        <v>39928</v>
      </c>
      <c r="P70" s="447">
        <f t="shared" si="29"/>
        <v>1.0142762790225068</v>
      </c>
      <c r="Q70" s="445">
        <v>503</v>
      </c>
      <c r="R70" s="447">
        <f t="shared" si="30"/>
        <v>1.2777523751460651E-2</v>
      </c>
      <c r="S70" s="448">
        <f t="shared" si="31"/>
        <v>562</v>
      </c>
      <c r="T70" s="447">
        <f t="shared" si="32"/>
        <v>1.4276279022506732E-2</v>
      </c>
      <c r="U70" s="365">
        <f t="shared" si="33"/>
        <v>1168.96</v>
      </c>
      <c r="V70" s="145"/>
      <c r="W70" s="145"/>
      <c r="X70" s="145"/>
      <c r="Y70" s="367" t="s">
        <v>417</v>
      </c>
      <c r="Z70" s="367" t="s">
        <v>446</v>
      </c>
      <c r="AA70" s="367" t="s">
        <v>682</v>
      </c>
      <c r="AB70" s="368" t="s">
        <v>573</v>
      </c>
      <c r="AC70" s="368">
        <v>1</v>
      </c>
      <c r="AD70" s="449" t="s">
        <v>531</v>
      </c>
    </row>
    <row r="71" spans="2:39" ht="17.149999999999999" hidden="1" customHeight="1">
      <c r="B71" s="869" t="s">
        <v>443</v>
      </c>
      <c r="C71" s="870"/>
      <c r="D71" s="855" t="s">
        <v>551</v>
      </c>
      <c r="E71" s="833" t="s">
        <v>552</v>
      </c>
      <c r="F71" s="835" t="s">
        <v>553</v>
      </c>
      <c r="G71" s="835" t="s">
        <v>554</v>
      </c>
      <c r="H71" s="878" t="s">
        <v>555</v>
      </c>
      <c r="I71" s="867" t="s">
        <v>556</v>
      </c>
      <c r="J71" s="868"/>
      <c r="K71" s="867" t="s">
        <v>557</v>
      </c>
      <c r="L71" s="868"/>
      <c r="M71" s="867" t="s">
        <v>558</v>
      </c>
      <c r="N71" s="868"/>
      <c r="O71" s="867" t="s">
        <v>559</v>
      </c>
      <c r="P71" s="868"/>
      <c r="Q71" s="867" t="s">
        <v>418</v>
      </c>
      <c r="R71" s="868"/>
      <c r="S71" s="864" t="s">
        <v>419</v>
      </c>
      <c r="T71" s="865"/>
      <c r="U71" s="866"/>
      <c r="Y71" s="861" t="s">
        <v>171</v>
      </c>
      <c r="Z71" s="861" t="s">
        <v>245</v>
      </c>
      <c r="AA71" s="861" t="s">
        <v>560</v>
      </c>
      <c r="AB71" s="861" t="s">
        <v>445</v>
      </c>
      <c r="AC71" s="861" t="s">
        <v>246</v>
      </c>
      <c r="AD71" s="835" t="s">
        <v>172</v>
      </c>
      <c r="AF71" s="884" t="s">
        <v>247</v>
      </c>
      <c r="AG71" s="885"/>
      <c r="AH71" s="885"/>
      <c r="AI71" s="885"/>
      <c r="AJ71" s="885"/>
      <c r="AK71" s="885"/>
      <c r="AL71" s="885"/>
      <c r="AM71" s="886"/>
    </row>
    <row r="72" spans="2:39" hidden="1">
      <c r="B72" s="871"/>
      <c r="C72" s="872"/>
      <c r="D72" s="856"/>
      <c r="E72" s="834"/>
      <c r="F72" s="836"/>
      <c r="G72" s="836"/>
      <c r="H72" s="880"/>
      <c r="I72" s="442" t="s">
        <v>561</v>
      </c>
      <c r="J72" s="363" t="s">
        <v>562</v>
      </c>
      <c r="K72" s="442" t="s">
        <v>561</v>
      </c>
      <c r="L72" s="363" t="s">
        <v>562</v>
      </c>
      <c r="M72" s="442" t="s">
        <v>561</v>
      </c>
      <c r="N72" s="363" t="s">
        <v>562</v>
      </c>
      <c r="O72" s="442" t="s">
        <v>561</v>
      </c>
      <c r="P72" s="363" t="s">
        <v>562</v>
      </c>
      <c r="Q72" s="442" t="s">
        <v>561</v>
      </c>
      <c r="R72" s="363" t="s">
        <v>562</v>
      </c>
      <c r="S72" s="442" t="s">
        <v>561</v>
      </c>
      <c r="T72" s="363" t="s">
        <v>562</v>
      </c>
      <c r="U72" s="363" t="s">
        <v>563</v>
      </c>
      <c r="Y72" s="863"/>
      <c r="Z72" s="863"/>
      <c r="AA72" s="863"/>
      <c r="AB72" s="863"/>
      <c r="AC72" s="863"/>
      <c r="AD72" s="836"/>
      <c r="AF72" s="887"/>
      <c r="AG72" s="888"/>
      <c r="AH72" s="888"/>
      <c r="AI72" s="888"/>
      <c r="AJ72" s="888"/>
      <c r="AK72" s="888"/>
      <c r="AL72" s="888"/>
      <c r="AM72" s="889"/>
    </row>
    <row r="73" spans="2:39" s="147" customFormat="1" ht="27" hidden="1" customHeight="1">
      <c r="B73" s="843" t="s">
        <v>639</v>
      </c>
      <c r="C73" s="844"/>
      <c r="D73" s="362">
        <v>1</v>
      </c>
      <c r="E73" s="443" t="s">
        <v>335</v>
      </c>
      <c r="F73" s="444">
        <f>IFERROR(Q73*G73,"-")</f>
        <v>2085.75</v>
      </c>
      <c r="G73" s="366">
        <v>15.450000000000001</v>
      </c>
      <c r="H73" s="445">
        <v>66708</v>
      </c>
      <c r="I73" s="445">
        <v>66708</v>
      </c>
      <c r="J73" s="447">
        <f>IFERROR(I73/H73,"-")</f>
        <v>1</v>
      </c>
      <c r="K73" s="446">
        <v>66843</v>
      </c>
      <c r="L73" s="447">
        <f>IFERROR(K73/H73,"-")</f>
        <v>1.0020237452779277</v>
      </c>
      <c r="M73" s="446">
        <v>0</v>
      </c>
      <c r="N73" s="447">
        <f>IFERROR(M73/H73,"-")</f>
        <v>0</v>
      </c>
      <c r="O73" s="448">
        <f>IFERROR(K73+M73,"-")</f>
        <v>66843</v>
      </c>
      <c r="P73" s="447">
        <f>IFERROR(O73/H73,"-")</f>
        <v>1.0020237452779277</v>
      </c>
      <c r="Q73" s="445">
        <v>135</v>
      </c>
      <c r="R73" s="447">
        <f>IFERROR(Q73/H73,"-")</f>
        <v>2.0237452779276847E-3</v>
      </c>
      <c r="S73" s="448">
        <f>IFERROR(O73-H73,"-")</f>
        <v>135</v>
      </c>
      <c r="T73" s="447">
        <f>IFERROR(S73/H73,"-")</f>
        <v>2.0237452779276847E-3</v>
      </c>
      <c r="U73" s="365">
        <f>IFERROR(S73*G73,"-")</f>
        <v>2085.75</v>
      </c>
      <c r="V73" s="145"/>
      <c r="W73" s="145"/>
      <c r="X73" s="145"/>
      <c r="Y73" s="367" t="s">
        <v>417</v>
      </c>
      <c r="Z73" s="367" t="s">
        <v>216</v>
      </c>
      <c r="AA73" s="368" t="s">
        <v>702</v>
      </c>
      <c r="AB73" s="368" t="s">
        <v>571</v>
      </c>
      <c r="AC73" s="368">
        <v>1</v>
      </c>
      <c r="AD73" s="449" t="s">
        <v>524</v>
      </c>
      <c r="AF73" s="890"/>
      <c r="AG73" s="891"/>
      <c r="AH73" s="891"/>
      <c r="AI73" s="891"/>
      <c r="AJ73" s="891"/>
      <c r="AK73" s="891"/>
      <c r="AL73" s="891"/>
      <c r="AM73" s="892"/>
    </row>
    <row r="74" spans="2:39" s="147" customFormat="1" ht="27" hidden="1" customHeight="1">
      <c r="B74" s="845"/>
      <c r="C74" s="846"/>
      <c r="D74" s="362">
        <v>2</v>
      </c>
      <c r="E74" s="443" t="s">
        <v>448</v>
      </c>
      <c r="F74" s="444">
        <f t="shared" ref="F74:F92" si="36">IFERROR(Q74*G74,"-")</f>
        <v>1847.4299999999998</v>
      </c>
      <c r="G74" s="366">
        <v>1.17</v>
      </c>
      <c r="H74" s="445">
        <v>243737</v>
      </c>
      <c r="I74" s="445">
        <v>243737</v>
      </c>
      <c r="J74" s="447">
        <f t="shared" ref="J74:J92" si="37">IFERROR(I74/H74,"-")</f>
        <v>1</v>
      </c>
      <c r="K74" s="446">
        <v>245316</v>
      </c>
      <c r="L74" s="447">
        <f t="shared" ref="L74:L92" si="38">IFERROR(K74/H74,"-")</f>
        <v>1.0064782942269741</v>
      </c>
      <c r="M74" s="446">
        <v>0</v>
      </c>
      <c r="N74" s="447">
        <f t="shared" ref="N74:N92" si="39">IFERROR(M74/H74,"-")</f>
        <v>0</v>
      </c>
      <c r="O74" s="448">
        <f t="shared" ref="O74:O92" si="40">IFERROR(K74+M74,"-")</f>
        <v>245316</v>
      </c>
      <c r="P74" s="447">
        <f t="shared" ref="P74:P92" si="41">IFERROR(O74/H74,"-")</f>
        <v>1.0064782942269741</v>
      </c>
      <c r="Q74" s="445">
        <v>1579</v>
      </c>
      <c r="R74" s="447">
        <f t="shared" ref="R74:R92" si="42">IFERROR(Q74/H74,"-")</f>
        <v>6.4782942269741564E-3</v>
      </c>
      <c r="S74" s="448">
        <f t="shared" ref="S74:S92" si="43">IFERROR(O74-H74,"-")</f>
        <v>1579</v>
      </c>
      <c r="T74" s="447">
        <f t="shared" ref="T74:T92" si="44">IFERROR(S74/H74,"-")</f>
        <v>6.4782942269741564E-3</v>
      </c>
      <c r="U74" s="365">
        <f t="shared" ref="U74:U92" si="45">IFERROR(S74*G74,"-")</f>
        <v>1847.4299999999998</v>
      </c>
      <c r="V74" s="145"/>
      <c r="W74" s="145"/>
      <c r="X74" s="145"/>
      <c r="Y74" s="367" t="s">
        <v>417</v>
      </c>
      <c r="Z74" s="367" t="s">
        <v>337</v>
      </c>
      <c r="AA74" s="368" t="s">
        <v>703</v>
      </c>
      <c r="AB74" s="368" t="s">
        <v>527</v>
      </c>
      <c r="AC74" s="368">
        <v>1</v>
      </c>
      <c r="AD74" s="449" t="s">
        <v>340</v>
      </c>
      <c r="AF74" s="160" t="s">
        <v>244</v>
      </c>
      <c r="AG74" s="160" t="s">
        <v>446</v>
      </c>
      <c r="AH74" s="155" t="s">
        <v>564</v>
      </c>
      <c r="AI74" s="155" t="s">
        <v>337</v>
      </c>
      <c r="AJ74" s="155" t="s">
        <v>429</v>
      </c>
      <c r="AK74" s="155" t="s">
        <v>215</v>
      </c>
      <c r="AL74" s="155" t="s">
        <v>216</v>
      </c>
      <c r="AM74" s="155" t="s">
        <v>384</v>
      </c>
    </row>
    <row r="75" spans="2:39" s="147" customFormat="1" ht="27" hidden="1" customHeight="1">
      <c r="B75" s="845"/>
      <c r="C75" s="846"/>
      <c r="D75" s="362">
        <v>3</v>
      </c>
      <c r="E75" s="443" t="s">
        <v>449</v>
      </c>
      <c r="F75" s="444">
        <f t="shared" si="36"/>
        <v>1795.85</v>
      </c>
      <c r="G75" s="366">
        <v>2.4499999999999997</v>
      </c>
      <c r="H75" s="445">
        <v>122927</v>
      </c>
      <c r="I75" s="445">
        <v>122927</v>
      </c>
      <c r="J75" s="447">
        <f t="shared" si="37"/>
        <v>1</v>
      </c>
      <c r="K75" s="446">
        <v>123660</v>
      </c>
      <c r="L75" s="447">
        <f t="shared" si="38"/>
        <v>1.0059628885436072</v>
      </c>
      <c r="M75" s="446">
        <v>0</v>
      </c>
      <c r="N75" s="447">
        <f t="shared" si="39"/>
        <v>0</v>
      </c>
      <c r="O75" s="448">
        <f t="shared" si="40"/>
        <v>123660</v>
      </c>
      <c r="P75" s="447">
        <f t="shared" si="41"/>
        <v>1.0059628885436072</v>
      </c>
      <c r="Q75" s="445">
        <v>733</v>
      </c>
      <c r="R75" s="447">
        <f t="shared" si="42"/>
        <v>5.9628885436071814E-3</v>
      </c>
      <c r="S75" s="448">
        <f t="shared" si="43"/>
        <v>733</v>
      </c>
      <c r="T75" s="447">
        <f t="shared" si="44"/>
        <v>5.9628885436071814E-3</v>
      </c>
      <c r="U75" s="365">
        <f t="shared" si="45"/>
        <v>1795.85</v>
      </c>
      <c r="V75" s="145"/>
      <c r="W75" s="145"/>
      <c r="X75" s="145"/>
      <c r="Y75" s="367" t="s">
        <v>417</v>
      </c>
      <c r="Z75" s="367" t="s">
        <v>337</v>
      </c>
      <c r="AA75" s="368" t="s">
        <v>704</v>
      </c>
      <c r="AB75" s="368" t="s">
        <v>469</v>
      </c>
      <c r="AC75" s="368">
        <v>1</v>
      </c>
      <c r="AD75" s="449" t="s">
        <v>340</v>
      </c>
      <c r="AF75" s="375">
        <f>SUM(AC73:AC92)</f>
        <v>20</v>
      </c>
      <c r="AG75" s="370">
        <f t="shared" ref="AG75:AM75" si="46">SUMIF($Z$73:$Z$92,TRIM(AG74),$AC$73:$AC$92)</f>
        <v>8</v>
      </c>
      <c r="AH75" s="370">
        <f t="shared" si="46"/>
        <v>0</v>
      </c>
      <c r="AI75" s="370">
        <f t="shared" si="46"/>
        <v>6</v>
      </c>
      <c r="AJ75" s="370">
        <f t="shared" si="46"/>
        <v>0</v>
      </c>
      <c r="AK75" s="370">
        <f t="shared" si="46"/>
        <v>1</v>
      </c>
      <c r="AL75" s="370">
        <f t="shared" si="46"/>
        <v>5</v>
      </c>
      <c r="AM75" s="370">
        <f t="shared" si="46"/>
        <v>0</v>
      </c>
    </row>
    <row r="76" spans="2:39" s="147" customFormat="1" ht="27" hidden="1" customHeight="1">
      <c r="B76" s="845"/>
      <c r="C76" s="846"/>
      <c r="D76" s="362">
        <v>4</v>
      </c>
      <c r="E76" s="443" t="s">
        <v>535</v>
      </c>
      <c r="F76" s="444">
        <f t="shared" si="36"/>
        <v>1531.4831999999999</v>
      </c>
      <c r="G76" s="366">
        <v>39.389999999999993</v>
      </c>
      <c r="H76" s="445">
        <v>29156.94</v>
      </c>
      <c r="I76" s="445">
        <v>29156.94</v>
      </c>
      <c r="J76" s="447">
        <f t="shared" si="37"/>
        <v>1</v>
      </c>
      <c r="K76" s="446">
        <v>29314.080000000002</v>
      </c>
      <c r="L76" s="447">
        <f t="shared" si="38"/>
        <v>1.0053894544489237</v>
      </c>
      <c r="M76" s="446">
        <v>157.14000000000001</v>
      </c>
      <c r="N76" s="447">
        <f t="shared" si="39"/>
        <v>5.3894544489236536E-3</v>
      </c>
      <c r="O76" s="448">
        <f t="shared" si="40"/>
        <v>29471.22</v>
      </c>
      <c r="P76" s="447">
        <f t="shared" si="41"/>
        <v>1.0107789088978474</v>
      </c>
      <c r="Q76" s="445">
        <v>38.880000000000003</v>
      </c>
      <c r="R76" s="447">
        <f t="shared" si="42"/>
        <v>1.3334732657130689E-3</v>
      </c>
      <c r="S76" s="448">
        <f t="shared" si="43"/>
        <v>314.28000000000247</v>
      </c>
      <c r="T76" s="447">
        <f t="shared" si="44"/>
        <v>1.077890889784739E-2</v>
      </c>
      <c r="U76" s="365">
        <f t="shared" si="45"/>
        <v>12379.489200000095</v>
      </c>
      <c r="V76" s="145"/>
      <c r="W76" s="145"/>
      <c r="X76" s="145"/>
      <c r="Y76" s="367" t="s">
        <v>417</v>
      </c>
      <c r="Z76" s="367" t="s">
        <v>216</v>
      </c>
      <c r="AA76" s="368" t="s">
        <v>689</v>
      </c>
      <c r="AB76" s="368" t="s">
        <v>705</v>
      </c>
      <c r="AC76" s="368">
        <v>1</v>
      </c>
      <c r="AD76" s="449" t="s">
        <v>340</v>
      </c>
      <c r="AF76" s="376" t="s">
        <v>11</v>
      </c>
      <c r="AG76" s="373">
        <f>SUMIF($Z$73:$Z92,TRIM(AG74),$F$73:$F$92)</f>
        <v>7784.2734</v>
      </c>
      <c r="AH76" s="373">
        <f>SUMIF($Z$73:$Z92,TRIM(AH74),$F$73:$F$92)</f>
        <v>0</v>
      </c>
      <c r="AI76" s="373">
        <f>SUMIF($Z$73:$Z92,TRIM(AI74),$F$73:$F$92)</f>
        <v>7842.5915999999997</v>
      </c>
      <c r="AJ76" s="373">
        <f>SUMIF($Z$73:$Z92,TRIM(AJ74),$F$73:$F$92)</f>
        <v>0</v>
      </c>
      <c r="AK76" s="373">
        <f>SUMIF($Z$73:$Z92,TRIM(AK74),$F$73:$F$92)</f>
        <v>1413.8537000000003</v>
      </c>
      <c r="AL76" s="373">
        <f>SUMIF($Z$73:$Z92,TRIM(AL74),$F$73:$F$92)</f>
        <v>6889.3279999999995</v>
      </c>
      <c r="AM76" s="373">
        <f>SUMIF($Z$73:$Z92,TRIM(AM74),$F$73:$F$92)</f>
        <v>0</v>
      </c>
    </row>
    <row r="77" spans="2:39" s="147" customFormat="1" ht="27" hidden="1" customHeight="1">
      <c r="B77" s="845"/>
      <c r="C77" s="846"/>
      <c r="D77" s="362">
        <v>5</v>
      </c>
      <c r="E77" s="443" t="s">
        <v>336</v>
      </c>
      <c r="F77" s="444">
        <f t="shared" si="36"/>
        <v>1413.8537000000003</v>
      </c>
      <c r="G77" s="366">
        <v>147.43000000000004</v>
      </c>
      <c r="H77" s="445">
        <v>4104.16</v>
      </c>
      <c r="I77" s="445">
        <v>4104.16</v>
      </c>
      <c r="J77" s="447">
        <f t="shared" si="37"/>
        <v>1</v>
      </c>
      <c r="K77" s="446">
        <v>4169.46</v>
      </c>
      <c r="L77" s="447">
        <f t="shared" si="38"/>
        <v>1.0159106857432458</v>
      </c>
      <c r="M77" s="446">
        <v>65.3</v>
      </c>
      <c r="N77" s="447">
        <f t="shared" si="39"/>
        <v>1.5910685743245879E-2</v>
      </c>
      <c r="O77" s="448">
        <f t="shared" si="40"/>
        <v>4234.76</v>
      </c>
      <c r="P77" s="447">
        <f t="shared" si="41"/>
        <v>1.0318213714864919</v>
      </c>
      <c r="Q77" s="445">
        <v>9.59</v>
      </c>
      <c r="R77" s="447">
        <f t="shared" si="42"/>
        <v>2.3366535417722505E-3</v>
      </c>
      <c r="S77" s="448">
        <f t="shared" si="43"/>
        <v>130.60000000000036</v>
      </c>
      <c r="T77" s="447">
        <f t="shared" si="44"/>
        <v>3.1821371486491848E-2</v>
      </c>
      <c r="U77" s="365">
        <f t="shared" si="45"/>
        <v>19254.358000000058</v>
      </c>
      <c r="V77" s="145"/>
      <c r="W77" s="145"/>
      <c r="X77" s="145"/>
      <c r="Y77" s="367" t="s">
        <v>417</v>
      </c>
      <c r="Z77" s="367" t="s">
        <v>215</v>
      </c>
      <c r="AA77" s="368" t="s">
        <v>706</v>
      </c>
      <c r="AB77" s="368" t="s">
        <v>571</v>
      </c>
      <c r="AC77" s="368">
        <v>1</v>
      </c>
      <c r="AD77" s="449" t="s">
        <v>340</v>
      </c>
      <c r="AF77" s="362" t="s">
        <v>565</v>
      </c>
      <c r="AG77" s="450">
        <f t="shared" ref="AG77:AM77" si="47">AG75/$AF75</f>
        <v>0.4</v>
      </c>
      <c r="AH77" s="450">
        <f t="shared" si="47"/>
        <v>0</v>
      </c>
      <c r="AI77" s="450">
        <f t="shared" si="47"/>
        <v>0.3</v>
      </c>
      <c r="AJ77" s="450">
        <f t="shared" si="47"/>
        <v>0</v>
      </c>
      <c r="AK77" s="450">
        <f t="shared" si="47"/>
        <v>0.05</v>
      </c>
      <c r="AL77" s="450">
        <f t="shared" si="47"/>
        <v>0.25</v>
      </c>
      <c r="AM77" s="450">
        <f t="shared" si="47"/>
        <v>0</v>
      </c>
    </row>
    <row r="78" spans="2:39" s="147" customFormat="1" ht="27" hidden="1" customHeight="1">
      <c r="B78" s="845"/>
      <c r="C78" s="846"/>
      <c r="D78" s="362">
        <v>6</v>
      </c>
      <c r="E78" s="443" t="s">
        <v>386</v>
      </c>
      <c r="F78" s="444">
        <f t="shared" si="36"/>
        <v>1218.3152</v>
      </c>
      <c r="G78" s="366">
        <v>127.84000000000002</v>
      </c>
      <c r="H78" s="445">
        <v>3665.4800000000005</v>
      </c>
      <c r="I78" s="445">
        <v>3665.4800000000005</v>
      </c>
      <c r="J78" s="447">
        <f t="shared" si="37"/>
        <v>1</v>
      </c>
      <c r="K78" s="446">
        <v>3706.5800000000004</v>
      </c>
      <c r="L78" s="447">
        <f t="shared" si="38"/>
        <v>1.0112127197529381</v>
      </c>
      <c r="M78" s="446">
        <v>41.1</v>
      </c>
      <c r="N78" s="447">
        <f t="shared" si="39"/>
        <v>1.1212719752938223E-2</v>
      </c>
      <c r="O78" s="448">
        <f t="shared" si="40"/>
        <v>3747.6800000000003</v>
      </c>
      <c r="P78" s="447">
        <f t="shared" si="41"/>
        <v>1.0224254395058765</v>
      </c>
      <c r="Q78" s="445">
        <v>9.5299999999999994</v>
      </c>
      <c r="R78" s="447">
        <f t="shared" si="42"/>
        <v>2.5999323417396896E-3</v>
      </c>
      <c r="S78" s="448">
        <f t="shared" si="43"/>
        <v>82.199999999999818</v>
      </c>
      <c r="T78" s="447">
        <f t="shared" si="44"/>
        <v>2.2425439505876395E-2</v>
      </c>
      <c r="U78" s="365">
        <f t="shared" si="45"/>
        <v>10508.447999999978</v>
      </c>
      <c r="V78" s="145"/>
      <c r="W78" s="145"/>
      <c r="X78" s="145"/>
      <c r="Y78" s="367" t="s">
        <v>417</v>
      </c>
      <c r="Z78" s="367" t="s">
        <v>446</v>
      </c>
      <c r="AA78" s="368" t="s">
        <v>664</v>
      </c>
      <c r="AB78" s="368" t="s">
        <v>573</v>
      </c>
      <c r="AC78" s="368">
        <v>1</v>
      </c>
      <c r="AD78" s="449" t="s">
        <v>340</v>
      </c>
    </row>
    <row r="79" spans="2:39" s="147" customFormat="1" ht="27" hidden="1" customHeight="1">
      <c r="B79" s="845"/>
      <c r="C79" s="846"/>
      <c r="D79" s="362">
        <v>7</v>
      </c>
      <c r="E79" s="443" t="s">
        <v>626</v>
      </c>
      <c r="F79" s="444">
        <f t="shared" si="36"/>
        <v>1174.2158999999997</v>
      </c>
      <c r="G79" s="366">
        <v>39.389999999999993</v>
      </c>
      <c r="H79" s="445">
        <v>5900.0300000000007</v>
      </c>
      <c r="I79" s="445">
        <v>5900.0300000000007</v>
      </c>
      <c r="J79" s="447">
        <f t="shared" si="37"/>
        <v>1</v>
      </c>
      <c r="K79" s="446">
        <v>6016.2199999999993</v>
      </c>
      <c r="L79" s="447">
        <f t="shared" si="38"/>
        <v>1.0196931202044732</v>
      </c>
      <c r="M79" s="446">
        <v>116.19</v>
      </c>
      <c r="N79" s="447">
        <f t="shared" si="39"/>
        <v>1.9693120204473533E-2</v>
      </c>
      <c r="O79" s="448">
        <f t="shared" si="40"/>
        <v>6132.4099999999989</v>
      </c>
      <c r="P79" s="447">
        <f t="shared" si="41"/>
        <v>1.0393862404089467</v>
      </c>
      <c r="Q79" s="445">
        <v>29.81</v>
      </c>
      <c r="R79" s="447">
        <f t="shared" si="42"/>
        <v>5.0525166821185647E-3</v>
      </c>
      <c r="S79" s="448">
        <f t="shared" si="43"/>
        <v>232.37999999999829</v>
      </c>
      <c r="T79" s="447">
        <f t="shared" si="44"/>
        <v>3.9386240408946782E-2</v>
      </c>
      <c r="U79" s="365">
        <f t="shared" si="45"/>
        <v>9153.4481999999316</v>
      </c>
      <c r="V79" s="145"/>
      <c r="W79" s="145"/>
      <c r="X79" s="145"/>
      <c r="Y79" s="367" t="s">
        <v>417</v>
      </c>
      <c r="Z79" s="367" t="s">
        <v>216</v>
      </c>
      <c r="AA79" s="368" t="s">
        <v>689</v>
      </c>
      <c r="AB79" s="368" t="s">
        <v>705</v>
      </c>
      <c r="AC79" s="368">
        <v>1</v>
      </c>
      <c r="AD79" s="449" t="s">
        <v>621</v>
      </c>
    </row>
    <row r="80" spans="2:39" s="147" customFormat="1" ht="27" hidden="1" customHeight="1">
      <c r="B80" s="845"/>
      <c r="C80" s="846"/>
      <c r="D80" s="362">
        <v>8</v>
      </c>
      <c r="E80" s="443" t="s">
        <v>462</v>
      </c>
      <c r="F80" s="444">
        <f t="shared" si="36"/>
        <v>1157.9816000000001</v>
      </c>
      <c r="G80" s="366">
        <v>407.74000000000007</v>
      </c>
      <c r="H80" s="445">
        <v>965.51</v>
      </c>
      <c r="I80" s="445">
        <v>965.51</v>
      </c>
      <c r="J80" s="447">
        <f t="shared" si="37"/>
        <v>1</v>
      </c>
      <c r="K80" s="446">
        <v>977.11</v>
      </c>
      <c r="L80" s="447">
        <f t="shared" si="38"/>
        <v>1.0120143758221043</v>
      </c>
      <c r="M80" s="446">
        <v>11.6</v>
      </c>
      <c r="N80" s="447">
        <f t="shared" si="39"/>
        <v>1.201437582210438E-2</v>
      </c>
      <c r="O80" s="448">
        <f t="shared" si="40"/>
        <v>988.71</v>
      </c>
      <c r="P80" s="447">
        <f t="shared" si="41"/>
        <v>1.0240287516442088</v>
      </c>
      <c r="Q80" s="445">
        <v>2.84</v>
      </c>
      <c r="R80" s="447">
        <f t="shared" si="42"/>
        <v>2.9414506323083137E-3</v>
      </c>
      <c r="S80" s="448">
        <f t="shared" si="43"/>
        <v>23.200000000000045</v>
      </c>
      <c r="T80" s="447">
        <f t="shared" si="44"/>
        <v>2.4028751644208809E-2</v>
      </c>
      <c r="U80" s="365">
        <f t="shared" si="45"/>
        <v>9459.5680000000193</v>
      </c>
      <c r="V80" s="145"/>
      <c r="W80" s="145"/>
      <c r="X80" s="145"/>
      <c r="Y80" s="367" t="s">
        <v>417</v>
      </c>
      <c r="Z80" s="367" t="s">
        <v>337</v>
      </c>
      <c r="AA80" s="368" t="s">
        <v>589</v>
      </c>
      <c r="AB80" s="383" t="s">
        <v>590</v>
      </c>
      <c r="AC80" s="368">
        <v>1</v>
      </c>
      <c r="AD80" s="449" t="s">
        <v>464</v>
      </c>
    </row>
    <row r="81" spans="2:39" s="147" customFormat="1" ht="27" hidden="1" customHeight="1">
      <c r="B81" s="845"/>
      <c r="C81" s="846"/>
      <c r="D81" s="362">
        <v>9</v>
      </c>
      <c r="E81" s="443" t="s">
        <v>660</v>
      </c>
      <c r="F81" s="444">
        <f t="shared" si="36"/>
        <v>1146.32</v>
      </c>
      <c r="G81" s="366">
        <v>3.2199999999999998</v>
      </c>
      <c r="H81" s="445">
        <v>193286</v>
      </c>
      <c r="I81" s="445">
        <v>193286</v>
      </c>
      <c r="J81" s="447">
        <f t="shared" si="37"/>
        <v>1</v>
      </c>
      <c r="K81" s="446">
        <v>193642</v>
      </c>
      <c r="L81" s="447">
        <f t="shared" si="38"/>
        <v>1.0018418302411969</v>
      </c>
      <c r="M81" s="446">
        <v>0</v>
      </c>
      <c r="N81" s="447">
        <f t="shared" si="39"/>
        <v>0</v>
      </c>
      <c r="O81" s="448">
        <f t="shared" si="40"/>
        <v>193642</v>
      </c>
      <c r="P81" s="447">
        <f t="shared" si="41"/>
        <v>1.0018418302411969</v>
      </c>
      <c r="Q81" s="445">
        <v>356</v>
      </c>
      <c r="R81" s="447">
        <f t="shared" si="42"/>
        <v>1.8418302411969828E-3</v>
      </c>
      <c r="S81" s="448">
        <f t="shared" si="43"/>
        <v>356</v>
      </c>
      <c r="T81" s="447">
        <f t="shared" si="44"/>
        <v>1.8418302411969828E-3</v>
      </c>
      <c r="U81" s="365">
        <f t="shared" si="45"/>
        <v>1146.32</v>
      </c>
      <c r="V81" s="145"/>
      <c r="W81" s="145"/>
      <c r="X81" s="145"/>
      <c r="Y81" s="367" t="s">
        <v>417</v>
      </c>
      <c r="Z81" s="367" t="s">
        <v>337</v>
      </c>
      <c r="AA81" s="368" t="s">
        <v>667</v>
      </c>
      <c r="AB81" s="383" t="s">
        <v>610</v>
      </c>
      <c r="AC81" s="368">
        <v>1</v>
      </c>
      <c r="AD81" s="449" t="s">
        <v>340</v>
      </c>
    </row>
    <row r="82" spans="2:39" s="147" customFormat="1" ht="27" hidden="1" customHeight="1">
      <c r="B82" s="845"/>
      <c r="C82" s="846"/>
      <c r="D82" s="362">
        <v>10</v>
      </c>
      <c r="E82" s="443" t="s">
        <v>605</v>
      </c>
      <c r="F82" s="444">
        <f t="shared" si="36"/>
        <v>1138.5204999999996</v>
      </c>
      <c r="G82" s="366">
        <v>46.149999999999991</v>
      </c>
      <c r="H82" s="445">
        <v>2326.14</v>
      </c>
      <c r="I82" s="445">
        <v>2326.14</v>
      </c>
      <c r="J82" s="447">
        <f t="shared" si="37"/>
        <v>1</v>
      </c>
      <c r="K82" s="446">
        <v>2402.21</v>
      </c>
      <c r="L82" s="447">
        <f t="shared" si="38"/>
        <v>1.0327022449207701</v>
      </c>
      <c r="M82" s="446">
        <v>76.069999999999993</v>
      </c>
      <c r="N82" s="447">
        <f t="shared" si="39"/>
        <v>3.2702244920770028E-2</v>
      </c>
      <c r="O82" s="448">
        <f t="shared" si="40"/>
        <v>2478.2800000000002</v>
      </c>
      <c r="P82" s="447">
        <f t="shared" si="41"/>
        <v>1.0654044898415402</v>
      </c>
      <c r="Q82" s="445">
        <v>24.669999999999998</v>
      </c>
      <c r="R82" s="447">
        <f t="shared" si="42"/>
        <v>1.0605552546278384E-2</v>
      </c>
      <c r="S82" s="448">
        <f t="shared" si="43"/>
        <v>152.14000000000033</v>
      </c>
      <c r="T82" s="447">
        <f t="shared" si="44"/>
        <v>6.5404489841540209E-2</v>
      </c>
      <c r="U82" s="365">
        <f t="shared" si="45"/>
        <v>7021.2610000000141</v>
      </c>
      <c r="V82" s="145"/>
      <c r="W82" s="145"/>
      <c r="X82" s="145"/>
      <c r="Y82" s="367" t="s">
        <v>417</v>
      </c>
      <c r="Z82" s="367" t="s">
        <v>216</v>
      </c>
      <c r="AA82" s="368" t="s">
        <v>689</v>
      </c>
      <c r="AB82" s="368" t="s">
        <v>705</v>
      </c>
      <c r="AC82" s="368">
        <v>1</v>
      </c>
      <c r="AD82" s="449" t="s">
        <v>601</v>
      </c>
    </row>
    <row r="83" spans="2:39" s="147" customFormat="1" ht="27" hidden="1" customHeight="1">
      <c r="B83" s="845"/>
      <c r="C83" s="846"/>
      <c r="D83" s="362">
        <v>11</v>
      </c>
      <c r="E83" s="443" t="s">
        <v>570</v>
      </c>
      <c r="F83" s="444">
        <f t="shared" si="36"/>
        <v>959.35839999999996</v>
      </c>
      <c r="G83" s="366">
        <v>40.04</v>
      </c>
      <c r="H83" s="445">
        <v>2859.09</v>
      </c>
      <c r="I83" s="445">
        <v>2859.09</v>
      </c>
      <c r="J83" s="447">
        <f t="shared" si="37"/>
        <v>1</v>
      </c>
      <c r="K83" s="446">
        <v>2955.03</v>
      </c>
      <c r="L83" s="447">
        <f t="shared" si="38"/>
        <v>1.0335561314963853</v>
      </c>
      <c r="M83" s="446">
        <v>95.940000000000012</v>
      </c>
      <c r="N83" s="447">
        <f t="shared" si="39"/>
        <v>3.3556131496385214E-2</v>
      </c>
      <c r="O83" s="448">
        <f t="shared" si="40"/>
        <v>3050.9700000000003</v>
      </c>
      <c r="P83" s="447">
        <f t="shared" si="41"/>
        <v>1.0671122629927705</v>
      </c>
      <c r="Q83" s="445">
        <v>23.96</v>
      </c>
      <c r="R83" s="447">
        <f t="shared" si="42"/>
        <v>8.3802888331602019E-3</v>
      </c>
      <c r="S83" s="448">
        <f t="shared" si="43"/>
        <v>191.88000000000011</v>
      </c>
      <c r="T83" s="447">
        <f t="shared" si="44"/>
        <v>6.7112262992770455E-2</v>
      </c>
      <c r="U83" s="365">
        <f t="shared" si="45"/>
        <v>7682.875200000004</v>
      </c>
      <c r="V83" s="145"/>
      <c r="W83" s="145"/>
      <c r="X83" s="145"/>
      <c r="Y83" s="367" t="s">
        <v>417</v>
      </c>
      <c r="Z83" s="367" t="s">
        <v>216</v>
      </c>
      <c r="AA83" s="368" t="s">
        <v>689</v>
      </c>
      <c r="AB83" s="368" t="s">
        <v>705</v>
      </c>
      <c r="AC83" s="368">
        <v>1</v>
      </c>
      <c r="AD83" s="449" t="s">
        <v>534</v>
      </c>
      <c r="AH83" s="371"/>
    </row>
    <row r="84" spans="2:39" s="147" customFormat="1" ht="27" hidden="1" customHeight="1">
      <c r="B84" s="845"/>
      <c r="C84" s="846"/>
      <c r="D84" s="362">
        <v>12</v>
      </c>
      <c r="E84" s="443" t="s">
        <v>696</v>
      </c>
      <c r="F84" s="444">
        <f t="shared" si="36"/>
        <v>953.78</v>
      </c>
      <c r="G84" s="366">
        <v>4.63</v>
      </c>
      <c r="H84" s="445">
        <v>102080</v>
      </c>
      <c r="I84" s="445">
        <v>102080</v>
      </c>
      <c r="J84" s="447">
        <f t="shared" si="37"/>
        <v>1</v>
      </c>
      <c r="K84" s="446">
        <v>102286</v>
      </c>
      <c r="L84" s="447">
        <f t="shared" si="38"/>
        <v>1.0020180250783699</v>
      </c>
      <c r="M84" s="446">
        <v>0</v>
      </c>
      <c r="N84" s="447">
        <f t="shared" si="39"/>
        <v>0</v>
      </c>
      <c r="O84" s="448">
        <f t="shared" si="40"/>
        <v>102286</v>
      </c>
      <c r="P84" s="447">
        <f t="shared" si="41"/>
        <v>1.0020180250783699</v>
      </c>
      <c r="Q84" s="445">
        <v>206</v>
      </c>
      <c r="R84" s="447">
        <f t="shared" si="42"/>
        <v>2.0180250783699062E-3</v>
      </c>
      <c r="S84" s="448">
        <f t="shared" si="43"/>
        <v>206</v>
      </c>
      <c r="T84" s="447">
        <f t="shared" si="44"/>
        <v>2.0180250783699062E-3</v>
      </c>
      <c r="U84" s="365">
        <f t="shared" si="45"/>
        <v>953.78</v>
      </c>
      <c r="V84" s="145"/>
      <c r="W84" s="145"/>
      <c r="X84" s="145"/>
      <c r="Y84" s="367" t="s">
        <v>417</v>
      </c>
      <c r="Z84" s="367" t="s">
        <v>337</v>
      </c>
      <c r="AA84" s="368" t="s">
        <v>667</v>
      </c>
      <c r="AB84" s="383" t="s">
        <v>610</v>
      </c>
      <c r="AC84" s="368">
        <v>1</v>
      </c>
      <c r="AD84" s="449" t="s">
        <v>673</v>
      </c>
    </row>
    <row r="85" spans="2:39" s="147" customFormat="1" ht="27" hidden="1" customHeight="1">
      <c r="B85" s="845"/>
      <c r="C85" s="846"/>
      <c r="D85" s="362">
        <v>13</v>
      </c>
      <c r="E85" s="443" t="s">
        <v>697</v>
      </c>
      <c r="F85" s="444">
        <f t="shared" si="36"/>
        <v>946.40520000000004</v>
      </c>
      <c r="G85" s="366">
        <v>127.72000000000001</v>
      </c>
      <c r="H85" s="445">
        <v>729.92000000000007</v>
      </c>
      <c r="I85" s="445">
        <v>729.92000000000007</v>
      </c>
      <c r="J85" s="447">
        <f t="shared" si="37"/>
        <v>1</v>
      </c>
      <c r="K85" s="446">
        <v>752.34</v>
      </c>
      <c r="L85" s="447">
        <f t="shared" si="38"/>
        <v>1.0307156948706706</v>
      </c>
      <c r="M85" s="446">
        <v>20.22</v>
      </c>
      <c r="N85" s="447">
        <f t="shared" si="39"/>
        <v>2.7701665935992981E-2</v>
      </c>
      <c r="O85" s="448">
        <f t="shared" si="40"/>
        <v>772.56000000000006</v>
      </c>
      <c r="P85" s="447">
        <f t="shared" si="41"/>
        <v>1.0584173608066638</v>
      </c>
      <c r="Q85" s="445">
        <v>7.4099999999999993</v>
      </c>
      <c r="R85" s="447">
        <f t="shared" si="42"/>
        <v>1.0151797457255588E-2</v>
      </c>
      <c r="S85" s="448">
        <f t="shared" si="43"/>
        <v>42.639999999999986</v>
      </c>
      <c r="T85" s="447">
        <f t="shared" si="44"/>
        <v>5.8417360806663716E-2</v>
      </c>
      <c r="U85" s="365">
        <f t="shared" si="45"/>
        <v>5445.9807999999985</v>
      </c>
      <c r="V85" s="145"/>
      <c r="W85" s="145"/>
      <c r="X85" s="145"/>
      <c r="Y85" s="367" t="s">
        <v>417</v>
      </c>
      <c r="Z85" s="367" t="s">
        <v>446</v>
      </c>
      <c r="AA85" s="368" t="s">
        <v>707</v>
      </c>
      <c r="AB85" s="368" t="s">
        <v>456</v>
      </c>
      <c r="AC85" s="368">
        <v>1</v>
      </c>
      <c r="AD85" s="449" t="s">
        <v>583</v>
      </c>
    </row>
    <row r="86" spans="2:39" s="147" customFormat="1" ht="27" hidden="1" customHeight="1">
      <c r="B86" s="845"/>
      <c r="C86" s="846"/>
      <c r="D86" s="362">
        <v>14</v>
      </c>
      <c r="E86" s="443" t="s">
        <v>654</v>
      </c>
      <c r="F86" s="444">
        <f t="shared" si="36"/>
        <v>942.61539999999991</v>
      </c>
      <c r="G86" s="366">
        <v>212.78</v>
      </c>
      <c r="H86" s="445">
        <v>455.54999999999995</v>
      </c>
      <c r="I86" s="445">
        <v>455.54999999999995</v>
      </c>
      <c r="J86" s="447">
        <f t="shared" si="37"/>
        <v>1</v>
      </c>
      <c r="K86" s="446">
        <v>469.03</v>
      </c>
      <c r="L86" s="447">
        <f t="shared" si="38"/>
        <v>1.0295906047634729</v>
      </c>
      <c r="M86" s="446">
        <v>13.479999999999999</v>
      </c>
      <c r="N86" s="447">
        <f t="shared" si="39"/>
        <v>2.9590604763472726E-2</v>
      </c>
      <c r="O86" s="448">
        <f t="shared" si="40"/>
        <v>482.51</v>
      </c>
      <c r="P86" s="447">
        <f t="shared" si="41"/>
        <v>1.0591812095269455</v>
      </c>
      <c r="Q86" s="445">
        <v>4.43</v>
      </c>
      <c r="R86" s="447">
        <f t="shared" si="42"/>
        <v>9.7245088354736033E-3</v>
      </c>
      <c r="S86" s="448">
        <f t="shared" si="43"/>
        <v>26.960000000000036</v>
      </c>
      <c r="T86" s="447">
        <f t="shared" si="44"/>
        <v>5.9181209526945534E-2</v>
      </c>
      <c r="U86" s="365">
        <f t="shared" si="45"/>
        <v>5736.5488000000078</v>
      </c>
      <c r="V86" s="145"/>
      <c r="W86" s="145"/>
      <c r="X86" s="145"/>
      <c r="Y86" s="367" t="s">
        <v>417</v>
      </c>
      <c r="Z86" s="367" t="s">
        <v>446</v>
      </c>
      <c r="AA86" s="368" t="s">
        <v>708</v>
      </c>
      <c r="AB86" s="368" t="s">
        <v>455</v>
      </c>
      <c r="AC86" s="368">
        <v>1</v>
      </c>
      <c r="AD86" s="449" t="s">
        <v>642</v>
      </c>
    </row>
    <row r="87" spans="2:39" s="147" customFormat="1" ht="27" hidden="1" customHeight="1">
      <c r="B87" s="845"/>
      <c r="C87" s="846"/>
      <c r="D87" s="362">
        <v>15</v>
      </c>
      <c r="E87" s="443" t="s">
        <v>698</v>
      </c>
      <c r="F87" s="444">
        <f t="shared" si="36"/>
        <v>941.23000000000025</v>
      </c>
      <c r="G87" s="366">
        <v>15.430000000000003</v>
      </c>
      <c r="H87" s="445">
        <v>13809</v>
      </c>
      <c r="I87" s="445">
        <v>13809</v>
      </c>
      <c r="J87" s="447">
        <f t="shared" si="37"/>
        <v>1</v>
      </c>
      <c r="K87" s="446">
        <v>13870</v>
      </c>
      <c r="L87" s="447">
        <f t="shared" si="38"/>
        <v>1.004417408936201</v>
      </c>
      <c r="M87" s="446">
        <v>0</v>
      </c>
      <c r="N87" s="447">
        <f t="shared" si="39"/>
        <v>0</v>
      </c>
      <c r="O87" s="448">
        <f t="shared" si="40"/>
        <v>13870</v>
      </c>
      <c r="P87" s="447">
        <f t="shared" si="41"/>
        <v>1.004417408936201</v>
      </c>
      <c r="Q87" s="445">
        <v>61</v>
      </c>
      <c r="R87" s="447">
        <f t="shared" si="42"/>
        <v>4.4174089362010284E-3</v>
      </c>
      <c r="S87" s="448">
        <f t="shared" si="43"/>
        <v>61</v>
      </c>
      <c r="T87" s="447">
        <f t="shared" si="44"/>
        <v>4.4174089362010284E-3</v>
      </c>
      <c r="U87" s="365">
        <f t="shared" si="45"/>
        <v>941.23000000000025</v>
      </c>
      <c r="V87" s="145"/>
      <c r="W87" s="145"/>
      <c r="X87" s="145"/>
      <c r="Y87" s="367" t="s">
        <v>417</v>
      </c>
      <c r="Z87" s="367" t="s">
        <v>337</v>
      </c>
      <c r="AA87" s="368" t="s">
        <v>667</v>
      </c>
      <c r="AB87" s="383" t="s">
        <v>610</v>
      </c>
      <c r="AC87" s="368">
        <v>1</v>
      </c>
      <c r="AD87" s="449" t="s">
        <v>350</v>
      </c>
    </row>
    <row r="88" spans="2:39" s="147" customFormat="1" ht="27" hidden="1" customHeight="1">
      <c r="B88" s="845"/>
      <c r="C88" s="846"/>
      <c r="D88" s="362">
        <v>16</v>
      </c>
      <c r="E88" s="443" t="s">
        <v>699</v>
      </c>
      <c r="F88" s="444">
        <f t="shared" si="36"/>
        <v>939.23520000000019</v>
      </c>
      <c r="G88" s="366">
        <v>108.96000000000001</v>
      </c>
      <c r="H88" s="445">
        <v>610.26</v>
      </c>
      <c r="I88" s="445">
        <v>610.26</v>
      </c>
      <c r="J88" s="447">
        <f t="shared" si="37"/>
        <v>1</v>
      </c>
      <c r="K88" s="446">
        <v>631.20000000000005</v>
      </c>
      <c r="L88" s="447">
        <f t="shared" si="38"/>
        <v>1.0343132435355422</v>
      </c>
      <c r="M88" s="446">
        <v>20.94</v>
      </c>
      <c r="N88" s="447">
        <f t="shared" si="39"/>
        <v>3.4313243535542229E-2</v>
      </c>
      <c r="O88" s="448">
        <f t="shared" si="40"/>
        <v>652.1400000000001</v>
      </c>
      <c r="P88" s="447">
        <f t="shared" si="41"/>
        <v>1.0686264870710847</v>
      </c>
      <c r="Q88" s="445">
        <v>8.620000000000001</v>
      </c>
      <c r="R88" s="447">
        <f t="shared" si="42"/>
        <v>1.4125126995051291E-2</v>
      </c>
      <c r="S88" s="448">
        <f t="shared" si="43"/>
        <v>41.880000000000109</v>
      </c>
      <c r="T88" s="447">
        <f t="shared" si="44"/>
        <v>6.8626487071084638E-2</v>
      </c>
      <c r="U88" s="365">
        <f t="shared" si="45"/>
        <v>4563.2448000000122</v>
      </c>
      <c r="V88" s="145"/>
      <c r="W88" s="145"/>
      <c r="X88" s="145"/>
      <c r="Y88" s="367" t="s">
        <v>417</v>
      </c>
      <c r="Z88" s="367" t="s">
        <v>446</v>
      </c>
      <c r="AA88" s="368" t="s">
        <v>709</v>
      </c>
      <c r="AB88" s="368" t="s">
        <v>573</v>
      </c>
      <c r="AC88" s="368">
        <v>1</v>
      </c>
      <c r="AD88" s="449" t="s">
        <v>674</v>
      </c>
    </row>
    <row r="89" spans="2:39" s="147" customFormat="1" ht="27" hidden="1" customHeight="1">
      <c r="B89" s="845"/>
      <c r="C89" s="846"/>
      <c r="D89" s="362">
        <v>17</v>
      </c>
      <c r="E89" s="443" t="s">
        <v>484</v>
      </c>
      <c r="F89" s="444">
        <f t="shared" si="36"/>
        <v>937.39029999999991</v>
      </c>
      <c r="G89" s="366">
        <v>370.50999999999993</v>
      </c>
      <c r="H89" s="445">
        <v>381.52</v>
      </c>
      <c r="I89" s="445">
        <v>381.52</v>
      </c>
      <c r="J89" s="447">
        <f t="shared" si="37"/>
        <v>1</v>
      </c>
      <c r="K89" s="446">
        <v>390.73</v>
      </c>
      <c r="L89" s="447">
        <f t="shared" si="38"/>
        <v>1.0241402809813378</v>
      </c>
      <c r="M89" s="446">
        <v>9.2100000000000009</v>
      </c>
      <c r="N89" s="447">
        <f t="shared" si="39"/>
        <v>2.414028098133781E-2</v>
      </c>
      <c r="O89" s="448">
        <f t="shared" si="40"/>
        <v>399.94</v>
      </c>
      <c r="P89" s="447">
        <f t="shared" si="41"/>
        <v>1.0482805619626756</v>
      </c>
      <c r="Q89" s="445">
        <v>2.5300000000000002</v>
      </c>
      <c r="R89" s="447">
        <f t="shared" si="42"/>
        <v>6.6313692598028943E-3</v>
      </c>
      <c r="S89" s="448">
        <f t="shared" si="43"/>
        <v>18.420000000000016</v>
      </c>
      <c r="T89" s="447">
        <f t="shared" si="44"/>
        <v>4.8280561962675654E-2</v>
      </c>
      <c r="U89" s="365">
        <f t="shared" si="45"/>
        <v>6824.7942000000048</v>
      </c>
      <c r="V89" s="145"/>
      <c r="W89" s="145"/>
      <c r="X89" s="145"/>
      <c r="Y89" s="367" t="s">
        <v>417</v>
      </c>
      <c r="Z89" s="367" t="s">
        <v>446</v>
      </c>
      <c r="AA89" s="368" t="s">
        <v>594</v>
      </c>
      <c r="AB89" s="368" t="s">
        <v>576</v>
      </c>
      <c r="AC89" s="368">
        <v>1</v>
      </c>
      <c r="AD89" s="449" t="s">
        <v>353</v>
      </c>
    </row>
    <row r="90" spans="2:39" s="147" customFormat="1" ht="27" hidden="1" customHeight="1">
      <c r="B90" s="845"/>
      <c r="C90" s="846"/>
      <c r="D90" s="362">
        <v>18</v>
      </c>
      <c r="E90" s="443" t="s">
        <v>658</v>
      </c>
      <c r="F90" s="444">
        <f t="shared" si="36"/>
        <v>934.95000000000016</v>
      </c>
      <c r="G90" s="366">
        <v>1.1500000000000001</v>
      </c>
      <c r="H90" s="445">
        <v>41448</v>
      </c>
      <c r="I90" s="445">
        <v>41448</v>
      </c>
      <c r="J90" s="447">
        <f t="shared" si="37"/>
        <v>1</v>
      </c>
      <c r="K90" s="446">
        <v>42261</v>
      </c>
      <c r="L90" s="447">
        <f t="shared" si="38"/>
        <v>1.0196149392009264</v>
      </c>
      <c r="M90" s="446">
        <v>0</v>
      </c>
      <c r="N90" s="447">
        <f t="shared" si="39"/>
        <v>0</v>
      </c>
      <c r="O90" s="448">
        <f t="shared" si="40"/>
        <v>42261</v>
      </c>
      <c r="P90" s="447">
        <f t="shared" si="41"/>
        <v>1.0196149392009264</v>
      </c>
      <c r="Q90" s="445">
        <v>813</v>
      </c>
      <c r="R90" s="447">
        <f t="shared" si="42"/>
        <v>1.9614939200926461E-2</v>
      </c>
      <c r="S90" s="448">
        <f t="shared" si="43"/>
        <v>813</v>
      </c>
      <c r="T90" s="447">
        <f t="shared" si="44"/>
        <v>1.9614939200926461E-2</v>
      </c>
      <c r="U90" s="365">
        <f t="shared" si="45"/>
        <v>934.95000000000016</v>
      </c>
      <c r="V90" s="145"/>
      <c r="W90" s="145"/>
      <c r="X90" s="145"/>
      <c r="Y90" s="367" t="s">
        <v>417</v>
      </c>
      <c r="Z90" s="367" t="s">
        <v>446</v>
      </c>
      <c r="AA90" s="368" t="s">
        <v>710</v>
      </c>
      <c r="AB90" s="368" t="s">
        <v>610</v>
      </c>
      <c r="AC90" s="368">
        <v>1</v>
      </c>
      <c r="AD90" s="449" t="s">
        <v>436</v>
      </c>
    </row>
    <row r="91" spans="2:39" s="147" customFormat="1" ht="27" hidden="1" customHeight="1">
      <c r="B91" s="845"/>
      <c r="C91" s="846"/>
      <c r="D91" s="362">
        <v>19</v>
      </c>
      <c r="E91" s="443" t="s">
        <v>603</v>
      </c>
      <c r="F91" s="444">
        <f t="shared" si="36"/>
        <v>932.91520000000014</v>
      </c>
      <c r="G91" s="366">
        <v>153.44000000000003</v>
      </c>
      <c r="H91" s="445">
        <v>1392.6200000000001</v>
      </c>
      <c r="I91" s="445">
        <v>1392.6200000000001</v>
      </c>
      <c r="J91" s="447">
        <f t="shared" si="37"/>
        <v>1</v>
      </c>
      <c r="K91" s="446">
        <v>1415.7600000000002</v>
      </c>
      <c r="L91" s="447">
        <f t="shared" si="38"/>
        <v>1.016616162341486</v>
      </c>
      <c r="M91" s="446">
        <v>20.64</v>
      </c>
      <c r="N91" s="447">
        <f t="shared" si="39"/>
        <v>1.4820984906148122E-2</v>
      </c>
      <c r="O91" s="448">
        <f t="shared" si="40"/>
        <v>1436.4000000000003</v>
      </c>
      <c r="P91" s="447">
        <f t="shared" si="41"/>
        <v>1.031437147247634</v>
      </c>
      <c r="Q91" s="445">
        <v>6.08</v>
      </c>
      <c r="R91" s="447">
        <f t="shared" si="42"/>
        <v>4.3658715227413072E-3</v>
      </c>
      <c r="S91" s="448">
        <f t="shared" si="43"/>
        <v>43.7800000000002</v>
      </c>
      <c r="T91" s="447">
        <f t="shared" si="44"/>
        <v>3.1437147247634099E-2</v>
      </c>
      <c r="U91" s="365">
        <f t="shared" si="45"/>
        <v>6717.6032000000314</v>
      </c>
      <c r="V91" s="145"/>
      <c r="W91" s="145"/>
      <c r="X91" s="145"/>
      <c r="Y91" s="367" t="s">
        <v>417</v>
      </c>
      <c r="Z91" s="367" t="s">
        <v>446</v>
      </c>
      <c r="AA91" s="383" t="s">
        <v>711</v>
      </c>
      <c r="AB91" s="383" t="s">
        <v>712</v>
      </c>
      <c r="AC91" s="368">
        <v>1</v>
      </c>
      <c r="AD91" s="449" t="s">
        <v>466</v>
      </c>
    </row>
    <row r="92" spans="2:39" s="147" customFormat="1" ht="27" hidden="1" customHeight="1">
      <c r="B92" s="847"/>
      <c r="C92" s="848"/>
      <c r="D92" s="362">
        <v>20</v>
      </c>
      <c r="E92" s="443" t="s">
        <v>463</v>
      </c>
      <c r="F92" s="444">
        <f t="shared" si="36"/>
        <v>932.44690000000003</v>
      </c>
      <c r="G92" s="366">
        <v>160.49</v>
      </c>
      <c r="H92" s="445">
        <v>600.58000000000004</v>
      </c>
      <c r="I92" s="445">
        <v>600.58000000000004</v>
      </c>
      <c r="J92" s="447">
        <f t="shared" si="37"/>
        <v>1</v>
      </c>
      <c r="K92" s="446">
        <v>616.05999999999995</v>
      </c>
      <c r="L92" s="447">
        <f t="shared" si="38"/>
        <v>1.0257750840853839</v>
      </c>
      <c r="M92" s="446">
        <v>15.48</v>
      </c>
      <c r="N92" s="447">
        <f t="shared" si="39"/>
        <v>2.5775084085384127E-2</v>
      </c>
      <c r="O92" s="448">
        <f t="shared" si="40"/>
        <v>631.54</v>
      </c>
      <c r="P92" s="447">
        <f t="shared" si="41"/>
        <v>1.0515501681707682</v>
      </c>
      <c r="Q92" s="445">
        <v>5.81</v>
      </c>
      <c r="R92" s="447">
        <f t="shared" si="42"/>
        <v>9.6739818175763416E-3</v>
      </c>
      <c r="S92" s="448">
        <f t="shared" si="43"/>
        <v>30.959999999999923</v>
      </c>
      <c r="T92" s="447">
        <f t="shared" si="44"/>
        <v>5.1550168170768122E-2</v>
      </c>
      <c r="U92" s="365">
        <f t="shared" si="45"/>
        <v>4968.7703999999876</v>
      </c>
      <c r="V92" s="145"/>
      <c r="W92" s="145"/>
      <c r="X92" s="145"/>
      <c r="Y92" s="367" t="s">
        <v>417</v>
      </c>
      <c r="Z92" s="367" t="s">
        <v>446</v>
      </c>
      <c r="AA92" s="368" t="s">
        <v>664</v>
      </c>
      <c r="AB92" s="368" t="s">
        <v>573</v>
      </c>
      <c r="AC92" s="368">
        <v>1</v>
      </c>
      <c r="AD92" s="449" t="s">
        <v>434</v>
      </c>
    </row>
    <row r="93" spans="2:39" ht="17.149999999999999" hidden="1" customHeight="1">
      <c r="B93" s="869" t="s">
        <v>443</v>
      </c>
      <c r="C93" s="870"/>
      <c r="D93" s="855" t="s">
        <v>551</v>
      </c>
      <c r="E93" s="833" t="s">
        <v>552</v>
      </c>
      <c r="F93" s="835" t="s">
        <v>553</v>
      </c>
      <c r="G93" s="835" t="s">
        <v>554</v>
      </c>
      <c r="H93" s="878" t="s">
        <v>555</v>
      </c>
      <c r="I93" s="867" t="s">
        <v>556</v>
      </c>
      <c r="J93" s="868"/>
      <c r="K93" s="867" t="s">
        <v>557</v>
      </c>
      <c r="L93" s="868"/>
      <c r="M93" s="867" t="s">
        <v>558</v>
      </c>
      <c r="N93" s="868"/>
      <c r="O93" s="867" t="s">
        <v>559</v>
      </c>
      <c r="P93" s="868"/>
      <c r="Q93" s="867" t="s">
        <v>418</v>
      </c>
      <c r="R93" s="868"/>
      <c r="S93" s="864" t="s">
        <v>774</v>
      </c>
      <c r="T93" s="865"/>
      <c r="U93" s="866"/>
      <c r="Y93" s="861" t="s">
        <v>171</v>
      </c>
      <c r="Z93" s="861" t="s">
        <v>245</v>
      </c>
      <c r="AA93" s="861" t="s">
        <v>560</v>
      </c>
      <c r="AB93" s="861" t="s">
        <v>445</v>
      </c>
      <c r="AC93" s="861" t="s">
        <v>246</v>
      </c>
      <c r="AD93" s="835" t="s">
        <v>172</v>
      </c>
      <c r="AF93" s="884" t="s">
        <v>247</v>
      </c>
      <c r="AG93" s="885"/>
      <c r="AH93" s="885"/>
      <c r="AI93" s="885"/>
      <c r="AJ93" s="885"/>
      <c r="AK93" s="885"/>
      <c r="AL93" s="885"/>
      <c r="AM93" s="886"/>
    </row>
    <row r="94" spans="2:39" hidden="1">
      <c r="B94" s="871"/>
      <c r="C94" s="872"/>
      <c r="D94" s="856"/>
      <c r="E94" s="834"/>
      <c r="F94" s="836"/>
      <c r="G94" s="836"/>
      <c r="H94" s="880"/>
      <c r="I94" s="442" t="s">
        <v>561</v>
      </c>
      <c r="J94" s="363" t="s">
        <v>562</v>
      </c>
      <c r="K94" s="442" t="s">
        <v>561</v>
      </c>
      <c r="L94" s="363" t="s">
        <v>562</v>
      </c>
      <c r="M94" s="442" t="s">
        <v>561</v>
      </c>
      <c r="N94" s="363" t="s">
        <v>562</v>
      </c>
      <c r="O94" s="442" t="s">
        <v>561</v>
      </c>
      <c r="P94" s="363" t="s">
        <v>562</v>
      </c>
      <c r="Q94" s="442" t="s">
        <v>561</v>
      </c>
      <c r="R94" s="363" t="s">
        <v>562</v>
      </c>
      <c r="S94" s="442" t="s">
        <v>561</v>
      </c>
      <c r="T94" s="363" t="s">
        <v>562</v>
      </c>
      <c r="U94" s="363" t="s">
        <v>563</v>
      </c>
      <c r="Y94" s="863"/>
      <c r="Z94" s="863"/>
      <c r="AA94" s="863"/>
      <c r="AB94" s="863"/>
      <c r="AC94" s="863"/>
      <c r="AD94" s="836"/>
      <c r="AF94" s="887"/>
      <c r="AG94" s="888"/>
      <c r="AH94" s="888"/>
      <c r="AI94" s="888"/>
      <c r="AJ94" s="888"/>
      <c r="AK94" s="888"/>
      <c r="AL94" s="888"/>
      <c r="AM94" s="889"/>
    </row>
    <row r="95" spans="2:39" s="147" customFormat="1" ht="27" hidden="1" customHeight="1">
      <c r="B95" s="843" t="s">
        <v>640</v>
      </c>
      <c r="C95" s="844"/>
      <c r="D95" s="362">
        <v>1</v>
      </c>
      <c r="E95" s="443" t="s">
        <v>335</v>
      </c>
      <c r="F95" s="444">
        <f>IFERROR(Q95*G95,"-")</f>
        <v>2406.4920000000002</v>
      </c>
      <c r="G95" s="366">
        <v>15.450000000000001</v>
      </c>
      <c r="H95" s="445">
        <v>69870</v>
      </c>
      <c r="I95" s="445">
        <v>69870</v>
      </c>
      <c r="J95" s="447">
        <f>IFERROR(I95/H95,"-")</f>
        <v>1</v>
      </c>
      <c r="K95" s="446">
        <v>70036</v>
      </c>
      <c r="L95" s="447">
        <f>IFERROR(K95/H95,"-")</f>
        <v>1.0023758408472878</v>
      </c>
      <c r="M95" s="446">
        <v>0</v>
      </c>
      <c r="N95" s="447">
        <f>IFERROR(M95/H95,"-")</f>
        <v>0</v>
      </c>
      <c r="O95" s="448">
        <f>IFERROR(K95+M95,"-")</f>
        <v>70036</v>
      </c>
      <c r="P95" s="447">
        <f>IFERROR(O95/H95,"-")</f>
        <v>1.0023758408472878</v>
      </c>
      <c r="Q95" s="445">
        <v>155.76</v>
      </c>
      <c r="R95" s="447">
        <f>IFERROR(Q95/H95,"-")</f>
        <v>2.2292829540575352E-3</v>
      </c>
      <c r="S95" s="448">
        <f>IFERROR(O95-H95,"-")</f>
        <v>166</v>
      </c>
      <c r="T95" s="447">
        <f>IFERROR(S95/H95,"-")</f>
        <v>2.3758408472878204E-3</v>
      </c>
      <c r="U95" s="365">
        <f>IFERROR(S95*G95,"-")</f>
        <v>2564.7000000000003</v>
      </c>
      <c r="V95" s="145"/>
      <c r="W95" s="145"/>
      <c r="X95" s="145"/>
      <c r="Y95" s="367" t="s">
        <v>417</v>
      </c>
      <c r="Z95" s="367" t="s">
        <v>216</v>
      </c>
      <c r="AA95" s="368" t="s">
        <v>702</v>
      </c>
      <c r="AB95" s="368" t="s">
        <v>571</v>
      </c>
      <c r="AC95" s="368">
        <v>1</v>
      </c>
      <c r="AD95" s="449" t="s">
        <v>524</v>
      </c>
      <c r="AF95" s="890"/>
      <c r="AG95" s="891"/>
      <c r="AH95" s="891"/>
      <c r="AI95" s="891"/>
      <c r="AJ95" s="891"/>
      <c r="AK95" s="891"/>
      <c r="AL95" s="891"/>
      <c r="AM95" s="892"/>
    </row>
    <row r="96" spans="2:39" s="147" customFormat="1" ht="27" hidden="1" customHeight="1">
      <c r="B96" s="845"/>
      <c r="C96" s="846"/>
      <c r="D96" s="362">
        <v>2</v>
      </c>
      <c r="E96" s="443" t="s">
        <v>448</v>
      </c>
      <c r="F96" s="444">
        <f t="shared" ref="F96:F114" si="48">IFERROR(Q96*G96,"-")</f>
        <v>2252.25</v>
      </c>
      <c r="G96" s="366">
        <v>1.17</v>
      </c>
      <c r="H96" s="445">
        <v>273751</v>
      </c>
      <c r="I96" s="445">
        <v>273751</v>
      </c>
      <c r="J96" s="447">
        <f t="shared" ref="J96:J114" si="49">IFERROR(I96/H96,"-")</f>
        <v>1</v>
      </c>
      <c r="K96" s="446">
        <v>275676</v>
      </c>
      <c r="L96" s="447">
        <f t="shared" ref="L96:L114" si="50">IFERROR(K96/H96,"-")</f>
        <v>1.0070319377828756</v>
      </c>
      <c r="M96" s="446">
        <v>0</v>
      </c>
      <c r="N96" s="447">
        <f t="shared" ref="N96:N114" si="51">IFERROR(M96/H96,"-")</f>
        <v>0</v>
      </c>
      <c r="O96" s="448">
        <f t="shared" ref="O96:O114" si="52">IFERROR(K96+M96,"-")</f>
        <v>275676</v>
      </c>
      <c r="P96" s="447">
        <f t="shared" ref="P96:P114" si="53">IFERROR(O96/H96,"-")</f>
        <v>1.0070319377828756</v>
      </c>
      <c r="Q96" s="445">
        <v>1925</v>
      </c>
      <c r="R96" s="447">
        <f t="shared" ref="R96:R114" si="54">IFERROR(Q96/H96,"-")</f>
        <v>7.0319377828756786E-3</v>
      </c>
      <c r="S96" s="448">
        <f t="shared" ref="S96:S114" si="55">IFERROR(O96-H96,"-")</f>
        <v>1925</v>
      </c>
      <c r="T96" s="447">
        <f t="shared" ref="T96:T114" si="56">IFERROR(S96/H96,"-")</f>
        <v>7.0319377828756786E-3</v>
      </c>
      <c r="U96" s="365">
        <f t="shared" ref="U96:U114" si="57">IFERROR(S96*G96,"-")</f>
        <v>2252.25</v>
      </c>
      <c r="V96" s="145"/>
      <c r="W96" s="145"/>
      <c r="X96" s="145"/>
      <c r="Y96" s="367" t="s">
        <v>417</v>
      </c>
      <c r="Z96" s="367" t="s">
        <v>337</v>
      </c>
      <c r="AA96" s="368" t="s">
        <v>703</v>
      </c>
      <c r="AB96" s="368" t="s">
        <v>527</v>
      </c>
      <c r="AC96" s="368">
        <v>1</v>
      </c>
      <c r="AD96" s="449" t="s">
        <v>340</v>
      </c>
      <c r="AF96" s="160" t="s">
        <v>244</v>
      </c>
      <c r="AG96" s="160" t="s">
        <v>446</v>
      </c>
      <c r="AH96" s="155" t="s">
        <v>564</v>
      </c>
      <c r="AI96" s="155" t="s">
        <v>337</v>
      </c>
      <c r="AJ96" s="155" t="s">
        <v>429</v>
      </c>
      <c r="AK96" s="155" t="s">
        <v>215</v>
      </c>
      <c r="AL96" s="155" t="s">
        <v>216</v>
      </c>
      <c r="AM96" s="155" t="s">
        <v>384</v>
      </c>
    </row>
    <row r="97" spans="2:39" s="147" customFormat="1" ht="27" hidden="1" customHeight="1">
      <c r="B97" s="845"/>
      <c r="C97" s="846"/>
      <c r="D97" s="362">
        <v>3</v>
      </c>
      <c r="E97" s="443" t="s">
        <v>449</v>
      </c>
      <c r="F97" s="444">
        <f t="shared" si="48"/>
        <v>2084.9499999999998</v>
      </c>
      <c r="G97" s="366">
        <v>2.4499999999999997</v>
      </c>
      <c r="H97" s="445">
        <v>143209</v>
      </c>
      <c r="I97" s="445">
        <v>143209</v>
      </c>
      <c r="J97" s="447">
        <f t="shared" si="49"/>
        <v>1</v>
      </c>
      <c r="K97" s="446">
        <v>144060</v>
      </c>
      <c r="L97" s="447">
        <f t="shared" si="50"/>
        <v>1.0059423639575724</v>
      </c>
      <c r="M97" s="446">
        <v>0</v>
      </c>
      <c r="N97" s="447">
        <f t="shared" si="51"/>
        <v>0</v>
      </c>
      <c r="O97" s="448">
        <f t="shared" si="52"/>
        <v>144060</v>
      </c>
      <c r="P97" s="447">
        <f t="shared" si="53"/>
        <v>1.0059423639575724</v>
      </c>
      <c r="Q97" s="445">
        <v>851</v>
      </c>
      <c r="R97" s="447">
        <f t="shared" si="54"/>
        <v>5.9423639575724987E-3</v>
      </c>
      <c r="S97" s="448">
        <f t="shared" si="55"/>
        <v>851</v>
      </c>
      <c r="T97" s="447">
        <f t="shared" si="56"/>
        <v>5.9423639575724987E-3</v>
      </c>
      <c r="U97" s="365">
        <f t="shared" si="57"/>
        <v>2084.9499999999998</v>
      </c>
      <c r="V97" s="145"/>
      <c r="W97" s="145"/>
      <c r="X97" s="145"/>
      <c r="Y97" s="367" t="s">
        <v>417</v>
      </c>
      <c r="Z97" s="367" t="s">
        <v>337</v>
      </c>
      <c r="AA97" s="368" t="s">
        <v>704</v>
      </c>
      <c r="AB97" s="368" t="s">
        <v>469</v>
      </c>
      <c r="AC97" s="368">
        <v>1</v>
      </c>
      <c r="AD97" s="449" t="s">
        <v>340</v>
      </c>
      <c r="AF97" s="375">
        <f>SUM(AC95:AC114)</f>
        <v>20</v>
      </c>
      <c r="AG97" s="370">
        <f t="shared" ref="AG97:AM97" si="58">SUMIF($Z$95:$Z$114,TRIM(AG96),$AC$95:$AC$114)</f>
        <v>8</v>
      </c>
      <c r="AH97" s="370">
        <f t="shared" si="58"/>
        <v>0</v>
      </c>
      <c r="AI97" s="370">
        <f t="shared" si="58"/>
        <v>6</v>
      </c>
      <c r="AJ97" s="370">
        <f t="shared" si="58"/>
        <v>0</v>
      </c>
      <c r="AK97" s="370">
        <f t="shared" si="58"/>
        <v>1</v>
      </c>
      <c r="AL97" s="370">
        <f t="shared" si="58"/>
        <v>5</v>
      </c>
      <c r="AM97" s="370">
        <f t="shared" si="58"/>
        <v>0</v>
      </c>
    </row>
    <row r="98" spans="2:39" s="147" customFormat="1" ht="27" hidden="1" customHeight="1">
      <c r="B98" s="845"/>
      <c r="C98" s="846"/>
      <c r="D98" s="362">
        <v>4</v>
      </c>
      <c r="E98" s="443" t="s">
        <v>546</v>
      </c>
      <c r="F98" s="444">
        <f t="shared" si="48"/>
        <v>1621.9314000000002</v>
      </c>
      <c r="G98" s="366">
        <v>62.43</v>
      </c>
      <c r="H98" s="445">
        <v>2296.34</v>
      </c>
      <c r="I98" s="445">
        <v>2296.34</v>
      </c>
      <c r="J98" s="447">
        <f t="shared" si="49"/>
        <v>1</v>
      </c>
      <c r="K98" s="446">
        <v>2357.7199999999998</v>
      </c>
      <c r="L98" s="447">
        <f t="shared" si="50"/>
        <v>1.0267294912774239</v>
      </c>
      <c r="M98" s="446">
        <v>61.379999999999995</v>
      </c>
      <c r="N98" s="447">
        <f t="shared" si="51"/>
        <v>2.6729491277424071E-2</v>
      </c>
      <c r="O98" s="448">
        <f t="shared" si="52"/>
        <v>2419.1</v>
      </c>
      <c r="P98" s="447">
        <f t="shared" si="53"/>
        <v>1.0534589825548479</v>
      </c>
      <c r="Q98" s="445">
        <v>25.980000000000004</v>
      </c>
      <c r="R98" s="447">
        <f t="shared" si="54"/>
        <v>1.1313655643328079E-2</v>
      </c>
      <c r="S98" s="448">
        <f t="shared" si="55"/>
        <v>122.75999999999976</v>
      </c>
      <c r="T98" s="447">
        <f t="shared" si="56"/>
        <v>5.3458982554848045E-2</v>
      </c>
      <c r="U98" s="365">
        <f t="shared" si="57"/>
        <v>7663.9067999999852</v>
      </c>
      <c r="V98" s="145"/>
      <c r="W98" s="145"/>
      <c r="X98" s="145"/>
      <c r="Y98" s="367" t="s">
        <v>417</v>
      </c>
      <c r="Z98" s="367" t="s">
        <v>216</v>
      </c>
      <c r="AA98" s="368" t="s">
        <v>689</v>
      </c>
      <c r="AB98" s="368" t="s">
        <v>705</v>
      </c>
      <c r="AC98" s="368">
        <v>1</v>
      </c>
      <c r="AD98" s="449" t="s">
        <v>340</v>
      </c>
      <c r="AF98" s="376" t="s">
        <v>11</v>
      </c>
      <c r="AG98" s="373">
        <f>SUMIF($Z$95:$Z114,TRIM(AG96),$F$95:$F$114)</f>
        <v>8673.9858000000004</v>
      </c>
      <c r="AH98" s="373">
        <f>SUMIF($Z$95:$Z114,TRIM(AH96),$F$95:$F$114)</f>
        <v>0</v>
      </c>
      <c r="AI98" s="373">
        <f>SUMIF($Z$95:$Z114,TRIM(AI96),$F$95:$F$114)</f>
        <v>8588.4707999999991</v>
      </c>
      <c r="AJ98" s="373">
        <f>SUMIF($Z$95:$Z114,TRIM(AJ96),$F$95:$F$114)</f>
        <v>0</v>
      </c>
      <c r="AK98" s="373">
        <f>SUMIF($Z$95:$Z114,TRIM(AK96),$F$95:$F$114)</f>
        <v>1371.0990000000004</v>
      </c>
      <c r="AL98" s="373">
        <f>SUMIF($Z$95:$Z114,TRIM(AL96),$F$95:$F$114)</f>
        <v>7748.348</v>
      </c>
      <c r="AM98" s="373">
        <f>SUMIF($Z$95:$Z114,TRIM(AM96),$F$95:$F$114)</f>
        <v>0</v>
      </c>
    </row>
    <row r="99" spans="2:39" s="147" customFormat="1" ht="27" hidden="1" customHeight="1">
      <c r="B99" s="845"/>
      <c r="C99" s="846"/>
      <c r="D99" s="362">
        <v>5</v>
      </c>
      <c r="E99" s="443" t="s">
        <v>535</v>
      </c>
      <c r="F99" s="444">
        <f t="shared" si="48"/>
        <v>1412.1314999999995</v>
      </c>
      <c r="G99" s="366">
        <v>39.389999999999993</v>
      </c>
      <c r="H99" s="445">
        <v>34928.070000000007</v>
      </c>
      <c r="I99" s="445">
        <v>34928.070000000007</v>
      </c>
      <c r="J99" s="447">
        <f t="shared" si="49"/>
        <v>1</v>
      </c>
      <c r="K99" s="446">
        <v>35121.479999999996</v>
      </c>
      <c r="L99" s="447">
        <f t="shared" si="50"/>
        <v>1.0055373801071743</v>
      </c>
      <c r="M99" s="446">
        <v>193.41000000000003</v>
      </c>
      <c r="N99" s="447">
        <f t="shared" si="51"/>
        <v>5.5373801071745441E-3</v>
      </c>
      <c r="O99" s="448">
        <f t="shared" si="52"/>
        <v>35314.89</v>
      </c>
      <c r="P99" s="447">
        <f t="shared" si="53"/>
        <v>1.0110747602143488</v>
      </c>
      <c r="Q99" s="445">
        <v>35.849999999999994</v>
      </c>
      <c r="R99" s="447">
        <f t="shared" si="54"/>
        <v>1.0263951028499424E-3</v>
      </c>
      <c r="S99" s="448">
        <f t="shared" si="55"/>
        <v>386.81999999999243</v>
      </c>
      <c r="T99" s="447">
        <f t="shared" si="56"/>
        <v>1.107476021434887E-2</v>
      </c>
      <c r="U99" s="365">
        <f t="shared" si="57"/>
        <v>15236.8397999997</v>
      </c>
      <c r="V99" s="145"/>
      <c r="W99" s="145"/>
      <c r="X99" s="145"/>
      <c r="Y99" s="367" t="s">
        <v>417</v>
      </c>
      <c r="Z99" s="367" t="s">
        <v>216</v>
      </c>
      <c r="AA99" s="368" t="s">
        <v>689</v>
      </c>
      <c r="AB99" s="368" t="s">
        <v>705</v>
      </c>
      <c r="AC99" s="368">
        <v>1</v>
      </c>
      <c r="AD99" s="449" t="s">
        <v>340</v>
      </c>
      <c r="AF99" s="362" t="s">
        <v>565</v>
      </c>
      <c r="AG99" s="450">
        <f t="shared" ref="AG99:AM99" si="59">AG97/$AF97</f>
        <v>0.4</v>
      </c>
      <c r="AH99" s="450">
        <f t="shared" si="59"/>
        <v>0</v>
      </c>
      <c r="AI99" s="450">
        <f t="shared" si="59"/>
        <v>0.3</v>
      </c>
      <c r="AJ99" s="450">
        <f t="shared" si="59"/>
        <v>0</v>
      </c>
      <c r="AK99" s="450">
        <f t="shared" si="59"/>
        <v>0.05</v>
      </c>
      <c r="AL99" s="450">
        <f t="shared" si="59"/>
        <v>0.25</v>
      </c>
      <c r="AM99" s="450">
        <f t="shared" si="59"/>
        <v>0</v>
      </c>
    </row>
    <row r="100" spans="2:39" s="147" customFormat="1" ht="27" hidden="1" customHeight="1">
      <c r="B100" s="845"/>
      <c r="C100" s="846"/>
      <c r="D100" s="362">
        <v>6</v>
      </c>
      <c r="E100" s="443" t="s">
        <v>336</v>
      </c>
      <c r="F100" s="444">
        <f t="shared" si="48"/>
        <v>1371.0990000000004</v>
      </c>
      <c r="G100" s="366">
        <v>147.43000000000004</v>
      </c>
      <c r="H100" s="445">
        <v>4611.7699999999995</v>
      </c>
      <c r="I100" s="445">
        <v>4611.7699999999995</v>
      </c>
      <c r="J100" s="447">
        <f t="shared" si="49"/>
        <v>1</v>
      </c>
      <c r="K100" s="446">
        <v>4696.42</v>
      </c>
      <c r="L100" s="447">
        <f t="shared" si="50"/>
        <v>1.0183552085208067</v>
      </c>
      <c r="M100" s="446">
        <v>84.65</v>
      </c>
      <c r="N100" s="447">
        <f t="shared" si="51"/>
        <v>1.8355208520806549E-2</v>
      </c>
      <c r="O100" s="448">
        <f t="shared" si="52"/>
        <v>4781.07</v>
      </c>
      <c r="P100" s="447">
        <f t="shared" si="53"/>
        <v>1.036710417041613</v>
      </c>
      <c r="Q100" s="445">
        <v>9.3000000000000007</v>
      </c>
      <c r="R100" s="447">
        <f t="shared" si="54"/>
        <v>2.0165793177023142E-3</v>
      </c>
      <c r="S100" s="448">
        <f t="shared" si="55"/>
        <v>169.30000000000018</v>
      </c>
      <c r="T100" s="447">
        <f t="shared" si="56"/>
        <v>3.6710417041613132E-2</v>
      </c>
      <c r="U100" s="365">
        <f t="shared" si="57"/>
        <v>24959.899000000034</v>
      </c>
      <c r="V100" s="145"/>
      <c r="W100" s="145"/>
      <c r="X100" s="145"/>
      <c r="Y100" s="367" t="s">
        <v>417</v>
      </c>
      <c r="Z100" s="367" t="s">
        <v>215</v>
      </c>
      <c r="AA100" s="368" t="s">
        <v>706</v>
      </c>
      <c r="AB100" s="368" t="s">
        <v>571</v>
      </c>
      <c r="AC100" s="368">
        <v>1</v>
      </c>
      <c r="AD100" s="449" t="s">
        <v>340</v>
      </c>
    </row>
    <row r="101" spans="2:39" s="147" customFormat="1" ht="27" hidden="1" customHeight="1">
      <c r="B101" s="845"/>
      <c r="C101" s="846"/>
      <c r="D101" s="362">
        <v>7</v>
      </c>
      <c r="E101" s="443" t="s">
        <v>653</v>
      </c>
      <c r="F101" s="444">
        <f t="shared" si="48"/>
        <v>1300.3039999999999</v>
      </c>
      <c r="G101" s="366">
        <v>144.79999999999998</v>
      </c>
      <c r="H101" s="445">
        <v>2814.75</v>
      </c>
      <c r="I101" s="445">
        <v>2814.75</v>
      </c>
      <c r="J101" s="447">
        <f t="shared" si="49"/>
        <v>1</v>
      </c>
      <c r="K101" s="446">
        <v>2871.42</v>
      </c>
      <c r="L101" s="447">
        <f t="shared" si="50"/>
        <v>1.0201332267519319</v>
      </c>
      <c r="M101" s="446">
        <v>45.67</v>
      </c>
      <c r="N101" s="447">
        <f t="shared" si="51"/>
        <v>1.6225242028599342E-2</v>
      </c>
      <c r="O101" s="448">
        <f t="shared" si="52"/>
        <v>2917.09</v>
      </c>
      <c r="P101" s="447">
        <f t="shared" si="53"/>
        <v>1.0363584687805312</v>
      </c>
      <c r="Q101" s="445">
        <v>8.98</v>
      </c>
      <c r="R101" s="447">
        <f t="shared" si="54"/>
        <v>3.1903366195932146E-3</v>
      </c>
      <c r="S101" s="448">
        <f t="shared" si="55"/>
        <v>102.34000000000015</v>
      </c>
      <c r="T101" s="447">
        <f t="shared" si="56"/>
        <v>3.6358468780531179E-2</v>
      </c>
      <c r="U101" s="365">
        <f t="shared" si="57"/>
        <v>14818.832000000019</v>
      </c>
      <c r="V101" s="145"/>
      <c r="W101" s="145"/>
      <c r="X101" s="145"/>
      <c r="Y101" s="367" t="s">
        <v>417</v>
      </c>
      <c r="Z101" s="367" t="s">
        <v>446</v>
      </c>
      <c r="AA101" s="368" t="s">
        <v>709</v>
      </c>
      <c r="AB101" s="368" t="s">
        <v>573</v>
      </c>
      <c r="AC101" s="368">
        <v>1</v>
      </c>
      <c r="AD101" s="449" t="s">
        <v>621</v>
      </c>
    </row>
    <row r="102" spans="2:39" s="147" customFormat="1" ht="27" hidden="1" customHeight="1">
      <c r="B102" s="845"/>
      <c r="C102" s="846"/>
      <c r="D102" s="362">
        <v>8</v>
      </c>
      <c r="E102" s="443" t="s">
        <v>626</v>
      </c>
      <c r="F102" s="444">
        <f t="shared" si="48"/>
        <v>1259.2982999999999</v>
      </c>
      <c r="G102" s="366">
        <v>39.389999999999993</v>
      </c>
      <c r="H102" s="445">
        <v>7006.3500000000013</v>
      </c>
      <c r="I102" s="445">
        <v>7006.3500000000013</v>
      </c>
      <c r="J102" s="447">
        <f t="shared" si="49"/>
        <v>1</v>
      </c>
      <c r="K102" s="446">
        <v>7117.1299999999992</v>
      </c>
      <c r="L102" s="447">
        <f t="shared" si="50"/>
        <v>1.015811371113347</v>
      </c>
      <c r="M102" s="446">
        <v>102.00000000000001</v>
      </c>
      <c r="N102" s="447">
        <f t="shared" si="51"/>
        <v>1.455822218416151E-2</v>
      </c>
      <c r="O102" s="448">
        <f t="shared" si="52"/>
        <v>7219.1299999999992</v>
      </c>
      <c r="P102" s="447">
        <f t="shared" si="53"/>
        <v>1.0303695932975083</v>
      </c>
      <c r="Q102" s="445">
        <v>31.970000000000002</v>
      </c>
      <c r="R102" s="447">
        <f t="shared" si="54"/>
        <v>4.5630035610553276E-3</v>
      </c>
      <c r="S102" s="448">
        <f t="shared" si="55"/>
        <v>212.77999999999793</v>
      </c>
      <c r="T102" s="447">
        <f t="shared" si="56"/>
        <v>3.0369593297508386E-2</v>
      </c>
      <c r="U102" s="365">
        <f t="shared" si="57"/>
        <v>8381.4041999999172</v>
      </c>
      <c r="V102" s="145"/>
      <c r="W102" s="145"/>
      <c r="X102" s="145"/>
      <c r="Y102" s="367" t="s">
        <v>417</v>
      </c>
      <c r="Z102" s="367" t="s">
        <v>216</v>
      </c>
      <c r="AA102" s="368" t="s">
        <v>689</v>
      </c>
      <c r="AB102" s="368" t="s">
        <v>705</v>
      </c>
      <c r="AC102" s="368">
        <v>1</v>
      </c>
      <c r="AD102" s="449" t="s">
        <v>464</v>
      </c>
    </row>
    <row r="103" spans="2:39" s="147" customFormat="1" ht="27" hidden="1" customHeight="1">
      <c r="B103" s="845"/>
      <c r="C103" s="846"/>
      <c r="D103" s="362">
        <v>9</v>
      </c>
      <c r="E103" s="443" t="s">
        <v>386</v>
      </c>
      <c r="F103" s="444">
        <f t="shared" si="48"/>
        <v>1196.5824</v>
      </c>
      <c r="G103" s="366">
        <v>127.84000000000002</v>
      </c>
      <c r="H103" s="445">
        <v>4089.3399999999997</v>
      </c>
      <c r="I103" s="445">
        <v>4089.3399999999997</v>
      </c>
      <c r="J103" s="447">
        <f t="shared" si="49"/>
        <v>1</v>
      </c>
      <c r="K103" s="446">
        <v>4129.5200000000004</v>
      </c>
      <c r="L103" s="447">
        <f t="shared" si="50"/>
        <v>1.009825546420694</v>
      </c>
      <c r="M103" s="446">
        <v>40.179999999999993</v>
      </c>
      <c r="N103" s="447">
        <f t="shared" si="51"/>
        <v>9.8255464206938037E-3</v>
      </c>
      <c r="O103" s="448">
        <f t="shared" si="52"/>
        <v>4169.7000000000007</v>
      </c>
      <c r="P103" s="447">
        <f t="shared" si="53"/>
        <v>1.0196510928413878</v>
      </c>
      <c r="Q103" s="445">
        <v>9.36</v>
      </c>
      <c r="R103" s="447">
        <f t="shared" si="54"/>
        <v>2.2888779118390742E-3</v>
      </c>
      <c r="S103" s="448">
        <f t="shared" si="55"/>
        <v>80.360000000001037</v>
      </c>
      <c r="T103" s="447">
        <f t="shared" si="56"/>
        <v>1.9651092841387864E-2</v>
      </c>
      <c r="U103" s="365">
        <f t="shared" si="57"/>
        <v>10273.222400000133</v>
      </c>
      <c r="V103" s="145"/>
      <c r="W103" s="145"/>
      <c r="X103" s="145"/>
      <c r="Y103" s="367" t="s">
        <v>417</v>
      </c>
      <c r="Z103" s="367" t="s">
        <v>446</v>
      </c>
      <c r="AA103" s="368" t="s">
        <v>664</v>
      </c>
      <c r="AB103" s="368" t="s">
        <v>573</v>
      </c>
      <c r="AC103" s="368">
        <v>1</v>
      </c>
      <c r="AD103" s="449" t="s">
        <v>340</v>
      </c>
      <c r="AH103" s="371"/>
    </row>
    <row r="104" spans="2:39" s="147" customFormat="1" ht="27" hidden="1" customHeight="1">
      <c r="B104" s="845"/>
      <c r="C104" s="846"/>
      <c r="D104" s="362">
        <v>10</v>
      </c>
      <c r="E104" s="443" t="s">
        <v>725</v>
      </c>
      <c r="F104" s="444">
        <f t="shared" si="48"/>
        <v>1095.395</v>
      </c>
      <c r="G104" s="366">
        <v>625.93999999999994</v>
      </c>
      <c r="H104" s="445">
        <v>1716.9</v>
      </c>
      <c r="I104" s="445">
        <v>1716.9</v>
      </c>
      <c r="J104" s="447">
        <f t="shared" si="49"/>
        <v>1</v>
      </c>
      <c r="K104" s="446">
        <v>1727.31</v>
      </c>
      <c r="L104" s="447">
        <f t="shared" si="50"/>
        <v>1.006063253538354</v>
      </c>
      <c r="M104" s="446">
        <v>10.41</v>
      </c>
      <c r="N104" s="447">
        <f t="shared" si="51"/>
        <v>6.06325353835401E-3</v>
      </c>
      <c r="O104" s="448">
        <f t="shared" si="52"/>
        <v>1737.72</v>
      </c>
      <c r="P104" s="447">
        <f t="shared" si="53"/>
        <v>1.012126507076708</v>
      </c>
      <c r="Q104" s="445">
        <v>1.75</v>
      </c>
      <c r="R104" s="447">
        <f t="shared" si="54"/>
        <v>1.0192789329605684E-3</v>
      </c>
      <c r="S104" s="448">
        <f t="shared" si="55"/>
        <v>20.819999999999936</v>
      </c>
      <c r="T104" s="447">
        <f t="shared" si="56"/>
        <v>1.2126507076707982E-2</v>
      </c>
      <c r="U104" s="365">
        <f t="shared" si="57"/>
        <v>13032.070799999959</v>
      </c>
      <c r="V104" s="145"/>
      <c r="W104" s="145"/>
      <c r="X104" s="145"/>
      <c r="Y104" s="367" t="s">
        <v>417</v>
      </c>
      <c r="Z104" s="367" t="s">
        <v>337</v>
      </c>
      <c r="AA104" s="368" t="s">
        <v>589</v>
      </c>
      <c r="AB104" s="383" t="s">
        <v>590</v>
      </c>
      <c r="AC104" s="368">
        <v>1</v>
      </c>
      <c r="AD104" s="449" t="s">
        <v>601</v>
      </c>
      <c r="AH104" s="371"/>
    </row>
    <row r="105" spans="2:39" s="147" customFormat="1" ht="27" hidden="1" customHeight="1">
      <c r="B105" s="845"/>
      <c r="C105" s="846"/>
      <c r="D105" s="362">
        <v>11</v>
      </c>
      <c r="E105" s="443" t="s">
        <v>462</v>
      </c>
      <c r="F105" s="444">
        <f t="shared" si="48"/>
        <v>1088.6658000000002</v>
      </c>
      <c r="G105" s="366">
        <v>407.74000000000007</v>
      </c>
      <c r="H105" s="445">
        <v>1119.06</v>
      </c>
      <c r="I105" s="445">
        <v>1119.06</v>
      </c>
      <c r="J105" s="447">
        <f t="shared" si="49"/>
        <v>1</v>
      </c>
      <c r="K105" s="446">
        <v>1130.7</v>
      </c>
      <c r="L105" s="447">
        <f t="shared" si="50"/>
        <v>1.010401587046271</v>
      </c>
      <c r="M105" s="446">
        <v>11.64</v>
      </c>
      <c r="N105" s="447">
        <f t="shared" si="51"/>
        <v>1.0401587046270979E-2</v>
      </c>
      <c r="O105" s="448">
        <f t="shared" si="52"/>
        <v>1142.3400000000001</v>
      </c>
      <c r="P105" s="447">
        <f t="shared" si="53"/>
        <v>1.0208031740925421</v>
      </c>
      <c r="Q105" s="445">
        <v>2.67</v>
      </c>
      <c r="R105" s="447">
        <f t="shared" si="54"/>
        <v>2.3859310492734976E-3</v>
      </c>
      <c r="S105" s="448">
        <f t="shared" si="55"/>
        <v>23.2800000000002</v>
      </c>
      <c r="T105" s="447">
        <f t="shared" si="56"/>
        <v>2.0803174092542134E-2</v>
      </c>
      <c r="U105" s="365">
        <f t="shared" si="57"/>
        <v>9492.187200000084</v>
      </c>
      <c r="V105" s="145"/>
      <c r="W105" s="145"/>
      <c r="X105" s="145"/>
      <c r="Y105" s="367" t="s">
        <v>417</v>
      </c>
      <c r="Z105" s="367" t="s">
        <v>337</v>
      </c>
      <c r="AA105" s="368" t="s">
        <v>589</v>
      </c>
      <c r="AB105" s="383" t="s">
        <v>590</v>
      </c>
      <c r="AC105" s="368">
        <v>1</v>
      </c>
      <c r="AD105" s="449" t="s">
        <v>534</v>
      </c>
      <c r="AH105" s="371"/>
    </row>
    <row r="106" spans="2:39" s="147" customFormat="1" ht="27" hidden="1" customHeight="1">
      <c r="B106" s="845"/>
      <c r="C106" s="846"/>
      <c r="D106" s="362">
        <v>12</v>
      </c>
      <c r="E106" s="443" t="s">
        <v>677</v>
      </c>
      <c r="F106" s="444">
        <f t="shared" si="48"/>
        <v>1048.4948000000002</v>
      </c>
      <c r="G106" s="366">
        <v>40.420000000000009</v>
      </c>
      <c r="H106" s="445">
        <v>3099.3199999999997</v>
      </c>
      <c r="I106" s="445">
        <v>3099.3199999999997</v>
      </c>
      <c r="J106" s="447">
        <f t="shared" si="49"/>
        <v>1</v>
      </c>
      <c r="K106" s="446">
        <v>3197.7499999999995</v>
      </c>
      <c r="L106" s="447">
        <f t="shared" si="50"/>
        <v>1.031758579301266</v>
      </c>
      <c r="M106" s="446">
        <v>98.43</v>
      </c>
      <c r="N106" s="447">
        <f t="shared" si="51"/>
        <v>3.1758579301266091E-2</v>
      </c>
      <c r="O106" s="448">
        <f t="shared" si="52"/>
        <v>3296.1799999999994</v>
      </c>
      <c r="P106" s="447">
        <f t="shared" si="53"/>
        <v>1.063517158602532</v>
      </c>
      <c r="Q106" s="445">
        <v>25.94</v>
      </c>
      <c r="R106" s="447">
        <f t="shared" si="54"/>
        <v>8.3695778428816651E-3</v>
      </c>
      <c r="S106" s="448">
        <f t="shared" si="55"/>
        <v>196.85999999999967</v>
      </c>
      <c r="T106" s="447">
        <f t="shared" si="56"/>
        <v>6.351715860253207E-2</v>
      </c>
      <c r="U106" s="365">
        <f t="shared" si="57"/>
        <v>7957.0811999999887</v>
      </c>
      <c r="V106" s="145"/>
      <c r="W106" s="145"/>
      <c r="X106" s="145"/>
      <c r="Y106" s="367" t="s">
        <v>417</v>
      </c>
      <c r="Z106" s="367" t="s">
        <v>216</v>
      </c>
      <c r="AA106" s="368" t="s">
        <v>689</v>
      </c>
      <c r="AB106" s="368" t="s">
        <v>705</v>
      </c>
      <c r="AC106" s="368">
        <v>1</v>
      </c>
      <c r="AD106" s="449" t="s">
        <v>673</v>
      </c>
      <c r="AH106" s="371"/>
    </row>
    <row r="107" spans="2:39" s="147" customFormat="1" ht="27" hidden="1" customHeight="1">
      <c r="B107" s="845"/>
      <c r="C107" s="846"/>
      <c r="D107" s="362">
        <v>13</v>
      </c>
      <c r="E107" s="443" t="s">
        <v>696</v>
      </c>
      <c r="F107" s="444">
        <f t="shared" si="48"/>
        <v>1037.1199999999999</v>
      </c>
      <c r="G107" s="366">
        <v>4.63</v>
      </c>
      <c r="H107" s="445">
        <v>77945</v>
      </c>
      <c r="I107" s="445">
        <v>77945</v>
      </c>
      <c r="J107" s="447">
        <f t="shared" si="49"/>
        <v>1</v>
      </c>
      <c r="K107" s="446">
        <v>78169</v>
      </c>
      <c r="L107" s="447">
        <f t="shared" si="50"/>
        <v>1.002873821284239</v>
      </c>
      <c r="M107" s="446">
        <v>0</v>
      </c>
      <c r="N107" s="447">
        <f t="shared" si="51"/>
        <v>0</v>
      </c>
      <c r="O107" s="448">
        <f t="shared" si="52"/>
        <v>78169</v>
      </c>
      <c r="P107" s="447">
        <f t="shared" si="53"/>
        <v>1.002873821284239</v>
      </c>
      <c r="Q107" s="445">
        <v>224</v>
      </c>
      <c r="R107" s="447">
        <f t="shared" si="54"/>
        <v>2.8738212842388863E-3</v>
      </c>
      <c r="S107" s="448">
        <f t="shared" si="55"/>
        <v>224</v>
      </c>
      <c r="T107" s="447">
        <f t="shared" si="56"/>
        <v>2.8738212842388863E-3</v>
      </c>
      <c r="U107" s="365">
        <f t="shared" si="57"/>
        <v>1037.1199999999999</v>
      </c>
      <c r="V107" s="145"/>
      <c r="W107" s="145"/>
      <c r="X107" s="145"/>
      <c r="Y107" s="367" t="s">
        <v>417</v>
      </c>
      <c r="Z107" s="367" t="s">
        <v>337</v>
      </c>
      <c r="AA107" s="368" t="s">
        <v>667</v>
      </c>
      <c r="AB107" s="383" t="s">
        <v>610</v>
      </c>
      <c r="AC107" s="368">
        <v>1</v>
      </c>
      <c r="AD107" s="449" t="s">
        <v>583</v>
      </c>
      <c r="AH107" s="371"/>
    </row>
    <row r="108" spans="2:39" s="147" customFormat="1" ht="27" hidden="1" customHeight="1">
      <c r="B108" s="845"/>
      <c r="C108" s="846"/>
      <c r="D108" s="362">
        <v>14</v>
      </c>
      <c r="E108" s="443" t="s">
        <v>547</v>
      </c>
      <c r="F108" s="444">
        <f t="shared" si="48"/>
        <v>1032.9505999999999</v>
      </c>
      <c r="G108" s="366">
        <v>66.13</v>
      </c>
      <c r="H108" s="445">
        <v>1931.02</v>
      </c>
      <c r="I108" s="445">
        <v>1931.02</v>
      </c>
      <c r="J108" s="447">
        <f t="shared" si="49"/>
        <v>1</v>
      </c>
      <c r="K108" s="446">
        <v>1988.01</v>
      </c>
      <c r="L108" s="447">
        <f t="shared" si="50"/>
        <v>1.029512899918178</v>
      </c>
      <c r="M108" s="446">
        <v>56.99</v>
      </c>
      <c r="N108" s="447">
        <f t="shared" si="51"/>
        <v>2.9512899918177959E-2</v>
      </c>
      <c r="O108" s="448">
        <f t="shared" si="52"/>
        <v>2045</v>
      </c>
      <c r="P108" s="447">
        <f t="shared" si="53"/>
        <v>1.0590257998363559</v>
      </c>
      <c r="Q108" s="445">
        <v>15.62</v>
      </c>
      <c r="R108" s="447">
        <f t="shared" si="54"/>
        <v>8.0889892388478629E-3</v>
      </c>
      <c r="S108" s="448">
        <f t="shared" si="55"/>
        <v>113.98000000000002</v>
      </c>
      <c r="T108" s="447">
        <f t="shared" si="56"/>
        <v>5.9025799836355926E-2</v>
      </c>
      <c r="U108" s="365">
        <f t="shared" si="57"/>
        <v>7537.4974000000011</v>
      </c>
      <c r="V108" s="145"/>
      <c r="W108" s="145"/>
      <c r="X108" s="145"/>
      <c r="Y108" s="367" t="s">
        <v>417</v>
      </c>
      <c r="Z108" s="367" t="s">
        <v>446</v>
      </c>
      <c r="AA108" s="368" t="s">
        <v>480</v>
      </c>
      <c r="AB108" s="368" t="s">
        <v>593</v>
      </c>
      <c r="AC108" s="368">
        <v>1</v>
      </c>
      <c r="AD108" s="449" t="s">
        <v>642</v>
      </c>
      <c r="AF108" s="893" t="s">
        <v>247</v>
      </c>
      <c r="AG108" s="894"/>
      <c r="AH108" s="894"/>
      <c r="AI108" s="894"/>
      <c r="AJ108" s="894"/>
      <c r="AK108" s="894"/>
      <c r="AL108" s="894"/>
      <c r="AM108" s="895"/>
    </row>
    <row r="109" spans="2:39" s="147" customFormat="1" ht="27" hidden="1" customHeight="1">
      <c r="B109" s="845"/>
      <c r="C109" s="846"/>
      <c r="D109" s="362">
        <v>15</v>
      </c>
      <c r="E109" s="443" t="s">
        <v>463</v>
      </c>
      <c r="F109" s="444">
        <f t="shared" si="48"/>
        <v>1030.3458000000001</v>
      </c>
      <c r="G109" s="366">
        <v>160.49</v>
      </c>
      <c r="H109" s="445">
        <v>662.77</v>
      </c>
      <c r="I109" s="445">
        <v>662.77</v>
      </c>
      <c r="J109" s="447">
        <f t="shared" si="49"/>
        <v>1</v>
      </c>
      <c r="K109" s="446">
        <v>680.31</v>
      </c>
      <c r="L109" s="447">
        <f t="shared" si="50"/>
        <v>1.0264646860901971</v>
      </c>
      <c r="M109" s="446">
        <v>17.54</v>
      </c>
      <c r="N109" s="447">
        <f t="shared" si="51"/>
        <v>2.6464686090197202E-2</v>
      </c>
      <c r="O109" s="448">
        <f t="shared" si="52"/>
        <v>697.84999999999991</v>
      </c>
      <c r="P109" s="447">
        <f t="shared" si="53"/>
        <v>1.0529293721803943</v>
      </c>
      <c r="Q109" s="445">
        <v>6.42</v>
      </c>
      <c r="R109" s="447">
        <f t="shared" si="54"/>
        <v>9.6866182838692156E-3</v>
      </c>
      <c r="S109" s="448">
        <f t="shared" si="55"/>
        <v>35.079999999999927</v>
      </c>
      <c r="T109" s="447">
        <f t="shared" si="56"/>
        <v>5.2929372180394299E-2</v>
      </c>
      <c r="U109" s="365">
        <f t="shared" si="57"/>
        <v>5629.9891999999891</v>
      </c>
      <c r="V109" s="145"/>
      <c r="W109" s="145"/>
      <c r="X109" s="145"/>
      <c r="Y109" s="367" t="s">
        <v>417</v>
      </c>
      <c r="Z109" s="367" t="s">
        <v>446</v>
      </c>
      <c r="AA109" s="368" t="s">
        <v>664</v>
      </c>
      <c r="AB109" s="368" t="s">
        <v>573</v>
      </c>
      <c r="AC109" s="368">
        <v>1</v>
      </c>
      <c r="AD109" s="449" t="s">
        <v>350</v>
      </c>
      <c r="AF109" s="896"/>
      <c r="AG109" s="897"/>
      <c r="AH109" s="897"/>
      <c r="AI109" s="897"/>
      <c r="AJ109" s="897"/>
      <c r="AK109" s="897"/>
      <c r="AL109" s="897"/>
      <c r="AM109" s="898"/>
    </row>
    <row r="110" spans="2:39" s="147" customFormat="1" ht="27" hidden="1" customHeight="1">
      <c r="B110" s="845"/>
      <c r="C110" s="846"/>
      <c r="D110" s="362">
        <v>16</v>
      </c>
      <c r="E110" s="443" t="s">
        <v>726</v>
      </c>
      <c r="F110" s="444">
        <f t="shared" si="48"/>
        <v>1030.0899999999999</v>
      </c>
      <c r="G110" s="366">
        <v>4.3099999999999996</v>
      </c>
      <c r="H110" s="445">
        <v>58407</v>
      </c>
      <c r="I110" s="445">
        <v>58407</v>
      </c>
      <c r="J110" s="447">
        <f t="shared" si="49"/>
        <v>1</v>
      </c>
      <c r="K110" s="446">
        <v>58646</v>
      </c>
      <c r="L110" s="447">
        <f t="shared" si="50"/>
        <v>1.0040919752769359</v>
      </c>
      <c r="M110" s="446">
        <v>0</v>
      </c>
      <c r="N110" s="447">
        <f t="shared" si="51"/>
        <v>0</v>
      </c>
      <c r="O110" s="448">
        <f t="shared" si="52"/>
        <v>58646</v>
      </c>
      <c r="P110" s="447">
        <f t="shared" si="53"/>
        <v>1.0040919752769359</v>
      </c>
      <c r="Q110" s="445">
        <v>239</v>
      </c>
      <c r="R110" s="447">
        <f t="shared" si="54"/>
        <v>4.091975276935984E-3</v>
      </c>
      <c r="S110" s="448">
        <f t="shared" si="55"/>
        <v>239</v>
      </c>
      <c r="T110" s="447">
        <f t="shared" si="56"/>
        <v>4.091975276935984E-3</v>
      </c>
      <c r="U110" s="365">
        <f t="shared" si="57"/>
        <v>1030.0899999999999</v>
      </c>
      <c r="V110" s="145"/>
      <c r="W110" s="145"/>
      <c r="X110" s="145"/>
      <c r="Y110" s="367" t="s">
        <v>417</v>
      </c>
      <c r="Z110" s="367" t="s">
        <v>337</v>
      </c>
      <c r="AA110" s="383" t="s">
        <v>732</v>
      </c>
      <c r="AB110" s="368" t="s">
        <v>733</v>
      </c>
      <c r="AC110" s="368">
        <v>1</v>
      </c>
      <c r="AD110" s="449" t="s">
        <v>674</v>
      </c>
      <c r="AF110" s="899"/>
      <c r="AG110" s="900"/>
      <c r="AH110" s="900"/>
      <c r="AI110" s="900"/>
      <c r="AJ110" s="900"/>
      <c r="AK110" s="900"/>
      <c r="AL110" s="900"/>
      <c r="AM110" s="901"/>
    </row>
    <row r="111" spans="2:39" s="147" customFormat="1" ht="27" hidden="1" customHeight="1">
      <c r="B111" s="845"/>
      <c r="C111" s="846"/>
      <c r="D111" s="362">
        <v>17</v>
      </c>
      <c r="E111" s="443" t="s">
        <v>700</v>
      </c>
      <c r="F111" s="444">
        <f t="shared" si="48"/>
        <v>1029.9285</v>
      </c>
      <c r="G111" s="366">
        <v>99.51</v>
      </c>
      <c r="H111" s="445">
        <v>1193.3999999999999</v>
      </c>
      <c r="I111" s="445">
        <v>1193.3999999999999</v>
      </c>
      <c r="J111" s="447">
        <f t="shared" si="49"/>
        <v>1</v>
      </c>
      <c r="K111" s="446">
        <v>1221.33</v>
      </c>
      <c r="L111" s="447">
        <f t="shared" si="50"/>
        <v>1.0234037204625441</v>
      </c>
      <c r="M111" s="446">
        <v>27.93</v>
      </c>
      <c r="N111" s="447">
        <f t="shared" si="51"/>
        <v>2.3403720462543996E-2</v>
      </c>
      <c r="O111" s="448">
        <f t="shared" si="52"/>
        <v>1249.26</v>
      </c>
      <c r="P111" s="447">
        <f t="shared" si="53"/>
        <v>1.046807440925088</v>
      </c>
      <c r="Q111" s="445">
        <v>10.35</v>
      </c>
      <c r="R111" s="447">
        <f t="shared" si="54"/>
        <v>8.6726998491704378E-3</v>
      </c>
      <c r="S111" s="448">
        <f t="shared" si="55"/>
        <v>55.860000000000127</v>
      </c>
      <c r="T111" s="447">
        <f t="shared" si="56"/>
        <v>4.6807440925088095E-2</v>
      </c>
      <c r="U111" s="365">
        <f t="shared" si="57"/>
        <v>5558.6286000000127</v>
      </c>
      <c r="V111" s="145"/>
      <c r="W111" s="145"/>
      <c r="X111" s="145"/>
      <c r="Y111" s="367" t="s">
        <v>417</v>
      </c>
      <c r="Z111" s="367" t="s">
        <v>446</v>
      </c>
      <c r="AA111" s="368" t="s">
        <v>480</v>
      </c>
      <c r="AB111" s="368" t="s">
        <v>593</v>
      </c>
      <c r="AC111" s="368">
        <v>1</v>
      </c>
      <c r="AD111" s="449" t="s">
        <v>353</v>
      </c>
      <c r="AF111" s="160" t="s">
        <v>244</v>
      </c>
      <c r="AG111" s="160" t="s">
        <v>446</v>
      </c>
      <c r="AH111" s="155" t="s">
        <v>383</v>
      </c>
      <c r="AI111" s="155" t="s">
        <v>337</v>
      </c>
      <c r="AJ111" s="155" t="s">
        <v>429</v>
      </c>
      <c r="AK111" s="155" t="s">
        <v>215</v>
      </c>
      <c r="AL111" s="155" t="s">
        <v>216</v>
      </c>
      <c r="AM111" s="155" t="s">
        <v>384</v>
      </c>
    </row>
    <row r="112" spans="2:39" s="147" customFormat="1" ht="27" hidden="1" customHeight="1">
      <c r="B112" s="845"/>
      <c r="C112" s="846"/>
      <c r="D112" s="362">
        <v>18</v>
      </c>
      <c r="E112" s="443" t="s">
        <v>475</v>
      </c>
      <c r="F112" s="444">
        <f t="shared" si="48"/>
        <v>1029.3030000000001</v>
      </c>
      <c r="G112" s="366">
        <v>84.3</v>
      </c>
      <c r="H112" s="445">
        <v>1192.4000000000001</v>
      </c>
      <c r="I112" s="445">
        <v>1192.4000000000001</v>
      </c>
      <c r="J112" s="447">
        <f t="shared" si="49"/>
        <v>1</v>
      </c>
      <c r="K112" s="446">
        <v>1229.6799999999998</v>
      </c>
      <c r="L112" s="447">
        <f t="shared" si="50"/>
        <v>1.0312646762831263</v>
      </c>
      <c r="M112" s="446">
        <v>37.28</v>
      </c>
      <c r="N112" s="447">
        <f t="shared" si="51"/>
        <v>3.1264676283126465E-2</v>
      </c>
      <c r="O112" s="448">
        <f t="shared" si="52"/>
        <v>1266.9599999999998</v>
      </c>
      <c r="P112" s="447">
        <f t="shared" si="53"/>
        <v>1.0625293525662527</v>
      </c>
      <c r="Q112" s="445">
        <v>12.21</v>
      </c>
      <c r="R112" s="447">
        <f t="shared" si="54"/>
        <v>1.0239852398523985E-2</v>
      </c>
      <c r="S112" s="448">
        <f t="shared" si="55"/>
        <v>74.559999999999718</v>
      </c>
      <c r="T112" s="447">
        <f t="shared" si="56"/>
        <v>6.2529352566252694E-2</v>
      </c>
      <c r="U112" s="365">
        <f t="shared" si="57"/>
        <v>6285.4079999999758</v>
      </c>
      <c r="V112" s="145"/>
      <c r="W112" s="145"/>
      <c r="X112" s="145"/>
      <c r="Y112" s="367" t="s">
        <v>417</v>
      </c>
      <c r="Z112" s="367" t="s">
        <v>446</v>
      </c>
      <c r="AA112" s="368" t="s">
        <v>480</v>
      </c>
      <c r="AB112" s="368" t="s">
        <v>593</v>
      </c>
      <c r="AC112" s="368">
        <v>1</v>
      </c>
      <c r="AD112" s="449" t="s">
        <v>436</v>
      </c>
      <c r="AE112" s="460" t="s">
        <v>615</v>
      </c>
      <c r="AF112" s="375">
        <f t="shared" ref="AF112:AM112" si="60">AF31+AF53+AF75+AF97</f>
        <v>80</v>
      </c>
      <c r="AG112" s="375">
        <f t="shared" si="60"/>
        <v>28</v>
      </c>
      <c r="AH112" s="375">
        <f t="shared" si="60"/>
        <v>0</v>
      </c>
      <c r="AI112" s="375">
        <f t="shared" si="60"/>
        <v>26</v>
      </c>
      <c r="AJ112" s="375">
        <f t="shared" si="60"/>
        <v>0</v>
      </c>
      <c r="AK112" s="375">
        <f t="shared" si="60"/>
        <v>5</v>
      </c>
      <c r="AL112" s="375">
        <f t="shared" si="60"/>
        <v>21</v>
      </c>
      <c r="AM112" s="375">
        <f t="shared" si="60"/>
        <v>0</v>
      </c>
    </row>
    <row r="113" spans="2:39" s="147" customFormat="1" ht="27" hidden="1" customHeight="1">
      <c r="B113" s="845"/>
      <c r="C113" s="846"/>
      <c r="D113" s="362">
        <v>19</v>
      </c>
      <c r="E113" s="443" t="s">
        <v>727</v>
      </c>
      <c r="F113" s="444">
        <f t="shared" si="48"/>
        <v>1028.9719000000002</v>
      </c>
      <c r="G113" s="366">
        <v>335.17</v>
      </c>
      <c r="H113" s="445">
        <v>231.88</v>
      </c>
      <c r="I113" s="445">
        <v>231.88</v>
      </c>
      <c r="J113" s="447">
        <f t="shared" si="49"/>
        <v>1</v>
      </c>
      <c r="K113" s="446">
        <v>240.74</v>
      </c>
      <c r="L113" s="447">
        <f t="shared" si="50"/>
        <v>1.0382094186648267</v>
      </c>
      <c r="M113" s="446">
        <v>8.86</v>
      </c>
      <c r="N113" s="447">
        <f t="shared" si="51"/>
        <v>3.8209418664826633E-2</v>
      </c>
      <c r="O113" s="448">
        <f t="shared" si="52"/>
        <v>249.60000000000002</v>
      </c>
      <c r="P113" s="447">
        <f t="shared" si="53"/>
        <v>1.0764188373296535</v>
      </c>
      <c r="Q113" s="445">
        <v>3.0700000000000003</v>
      </c>
      <c r="R113" s="447">
        <f t="shared" si="54"/>
        <v>1.3239606693117131E-2</v>
      </c>
      <c r="S113" s="448">
        <f t="shared" si="55"/>
        <v>17.720000000000027</v>
      </c>
      <c r="T113" s="447">
        <f t="shared" si="56"/>
        <v>7.6418837329653391E-2</v>
      </c>
      <c r="U113" s="365">
        <f t="shared" si="57"/>
        <v>5939.2124000000094</v>
      </c>
      <c r="V113" s="145"/>
      <c r="W113" s="145"/>
      <c r="X113" s="145"/>
      <c r="Y113" s="367" t="s">
        <v>417</v>
      </c>
      <c r="Z113" s="367" t="s">
        <v>446</v>
      </c>
      <c r="AA113" s="368" t="s">
        <v>710</v>
      </c>
      <c r="AB113" s="368" t="s">
        <v>610</v>
      </c>
      <c r="AC113" s="368">
        <v>1</v>
      </c>
      <c r="AD113" s="449" t="s">
        <v>466</v>
      </c>
      <c r="AF113" s="376"/>
      <c r="AG113" s="375">
        <f t="shared" ref="AG113:AM113" si="61">AG32+AG54+AG76+AG98</f>
        <v>32991.704942857148</v>
      </c>
      <c r="AH113" s="375">
        <f t="shared" si="61"/>
        <v>0</v>
      </c>
      <c r="AI113" s="375">
        <f t="shared" si="61"/>
        <v>40853.813199999997</v>
      </c>
      <c r="AJ113" s="375">
        <f t="shared" si="61"/>
        <v>0</v>
      </c>
      <c r="AK113" s="375">
        <f t="shared" si="61"/>
        <v>7198.4020000000019</v>
      </c>
      <c r="AL113" s="375">
        <f t="shared" si="61"/>
        <v>32060.451799999995</v>
      </c>
      <c r="AM113" s="375">
        <f t="shared" si="61"/>
        <v>0</v>
      </c>
    </row>
    <row r="114" spans="2:39" s="147" customFormat="1" ht="27" hidden="1" customHeight="1">
      <c r="B114" s="847"/>
      <c r="C114" s="848"/>
      <c r="D114" s="362">
        <v>20</v>
      </c>
      <c r="E114" s="443" t="s">
        <v>654</v>
      </c>
      <c r="F114" s="444">
        <f t="shared" si="48"/>
        <v>1025.5996</v>
      </c>
      <c r="G114" s="366">
        <v>212.78</v>
      </c>
      <c r="H114" s="445">
        <v>507.33</v>
      </c>
      <c r="I114" s="445">
        <v>507.33</v>
      </c>
      <c r="J114" s="447">
        <f t="shared" si="49"/>
        <v>1</v>
      </c>
      <c r="K114" s="446">
        <v>522.01</v>
      </c>
      <c r="L114" s="447">
        <f t="shared" si="50"/>
        <v>1.0289358011550667</v>
      </c>
      <c r="M114" s="446">
        <v>14.68</v>
      </c>
      <c r="N114" s="447">
        <f t="shared" si="51"/>
        <v>2.8935801155066724E-2</v>
      </c>
      <c r="O114" s="448">
        <f t="shared" si="52"/>
        <v>536.68999999999994</v>
      </c>
      <c r="P114" s="447">
        <f t="shared" si="53"/>
        <v>1.0578716023101333</v>
      </c>
      <c r="Q114" s="445">
        <v>4.82</v>
      </c>
      <c r="R114" s="447">
        <f t="shared" si="54"/>
        <v>9.5007194528216356E-3</v>
      </c>
      <c r="S114" s="448">
        <f t="shared" si="55"/>
        <v>29.359999999999957</v>
      </c>
      <c r="T114" s="447">
        <f t="shared" si="56"/>
        <v>5.7871602310133358E-2</v>
      </c>
      <c r="U114" s="365">
        <f t="shared" si="57"/>
        <v>6247.220799999991</v>
      </c>
      <c r="V114" s="145"/>
      <c r="W114" s="145"/>
      <c r="X114" s="145"/>
      <c r="Y114" s="367" t="s">
        <v>417</v>
      </c>
      <c r="Z114" s="367" t="s">
        <v>446</v>
      </c>
      <c r="AA114" s="368" t="s">
        <v>708</v>
      </c>
      <c r="AB114" s="368" t="s">
        <v>455</v>
      </c>
      <c r="AC114" s="368">
        <v>1</v>
      </c>
      <c r="AD114" s="449" t="s">
        <v>434</v>
      </c>
      <c r="AF114" s="362"/>
      <c r="AG114" s="374">
        <f>AG112/$AF112</f>
        <v>0.35</v>
      </c>
      <c r="AH114" s="374">
        <f t="shared" ref="AH114:AM114" si="62">AH112/$AF112</f>
        <v>0</v>
      </c>
      <c r="AI114" s="374">
        <f t="shared" si="62"/>
        <v>0.32500000000000001</v>
      </c>
      <c r="AJ114" s="374">
        <f t="shared" si="62"/>
        <v>0</v>
      </c>
      <c r="AK114" s="374">
        <f t="shared" si="62"/>
        <v>6.25E-2</v>
      </c>
      <c r="AL114" s="374">
        <f t="shared" si="62"/>
        <v>0.26250000000000001</v>
      </c>
      <c r="AM114" s="374">
        <f t="shared" si="62"/>
        <v>0</v>
      </c>
    </row>
    <row r="115" spans="2:39" ht="17.149999999999999" customHeight="1">
      <c r="B115" s="873" t="s">
        <v>443</v>
      </c>
      <c r="C115" s="874"/>
      <c r="D115" s="875" t="s">
        <v>551</v>
      </c>
      <c r="E115" s="876" t="s">
        <v>552</v>
      </c>
      <c r="F115" s="877" t="s">
        <v>553</v>
      </c>
      <c r="G115" s="835" t="s">
        <v>554</v>
      </c>
      <c r="H115" s="878" t="s">
        <v>555</v>
      </c>
      <c r="I115" s="867" t="s">
        <v>556</v>
      </c>
      <c r="J115" s="868"/>
      <c r="K115" s="867" t="s">
        <v>557</v>
      </c>
      <c r="L115" s="868"/>
      <c r="M115" s="867" t="s">
        <v>558</v>
      </c>
      <c r="N115" s="868"/>
      <c r="O115" s="867" t="s">
        <v>559</v>
      </c>
      <c r="P115" s="868"/>
      <c r="Q115" s="867" t="s">
        <v>418</v>
      </c>
      <c r="R115" s="868"/>
      <c r="S115" s="864" t="s">
        <v>419</v>
      </c>
      <c r="T115" s="865"/>
      <c r="U115" s="866"/>
      <c r="V115" s="881" t="s">
        <v>775</v>
      </c>
      <c r="W115" s="882"/>
      <c r="X115" s="883"/>
      <c r="Y115" s="861" t="s">
        <v>171</v>
      </c>
      <c r="Z115" s="861" t="s">
        <v>245</v>
      </c>
      <c r="AA115" s="861" t="s">
        <v>560</v>
      </c>
      <c r="AB115" s="861" t="s">
        <v>445</v>
      </c>
      <c r="AC115" s="861" t="s">
        <v>246</v>
      </c>
      <c r="AD115" s="835" t="s">
        <v>172</v>
      </c>
      <c r="AF115" s="884" t="s">
        <v>247</v>
      </c>
      <c r="AG115" s="885"/>
      <c r="AH115" s="885"/>
      <c r="AI115" s="885"/>
      <c r="AJ115" s="885"/>
      <c r="AK115" s="885"/>
      <c r="AL115" s="885"/>
      <c r="AM115" s="886"/>
    </row>
    <row r="116" spans="2:39">
      <c r="B116" s="871"/>
      <c r="C116" s="872"/>
      <c r="D116" s="875"/>
      <c r="E116" s="875"/>
      <c r="F116" s="877"/>
      <c r="G116" s="836"/>
      <c r="H116" s="836"/>
      <c r="I116" s="442" t="s">
        <v>561</v>
      </c>
      <c r="J116" s="363" t="s">
        <v>562</v>
      </c>
      <c r="K116" s="442" t="s">
        <v>561</v>
      </c>
      <c r="L116" s="363" t="s">
        <v>562</v>
      </c>
      <c r="M116" s="442" t="s">
        <v>561</v>
      </c>
      <c r="N116" s="363" t="s">
        <v>562</v>
      </c>
      <c r="O116" s="442" t="s">
        <v>561</v>
      </c>
      <c r="P116" s="363" t="s">
        <v>562</v>
      </c>
      <c r="Q116" s="442" t="s">
        <v>561</v>
      </c>
      <c r="R116" s="363" t="s">
        <v>562</v>
      </c>
      <c r="S116" s="442" t="s">
        <v>561</v>
      </c>
      <c r="T116" s="363" t="s">
        <v>562</v>
      </c>
      <c r="U116" s="363" t="s">
        <v>563</v>
      </c>
      <c r="V116" s="442" t="s">
        <v>561</v>
      </c>
      <c r="W116" s="363" t="s">
        <v>562</v>
      </c>
      <c r="X116" s="363" t="s">
        <v>563</v>
      </c>
      <c r="Y116" s="863"/>
      <c r="Z116" s="863"/>
      <c r="AA116" s="863"/>
      <c r="AB116" s="863"/>
      <c r="AC116" s="863"/>
      <c r="AD116" s="836"/>
      <c r="AF116" s="887"/>
      <c r="AG116" s="888"/>
      <c r="AH116" s="888"/>
      <c r="AI116" s="888"/>
      <c r="AJ116" s="888"/>
      <c r="AK116" s="888"/>
      <c r="AL116" s="888"/>
      <c r="AM116" s="889"/>
    </row>
    <row r="117" spans="2:39" s="147" customFormat="1" ht="27" customHeight="1">
      <c r="B117" s="843" t="s">
        <v>769</v>
      </c>
      <c r="C117" s="844"/>
      <c r="D117" s="362">
        <v>1</v>
      </c>
      <c r="E117" s="443" t="s">
        <v>449</v>
      </c>
      <c r="F117" s="444">
        <f>IFERROR(Q117*G117,"-")</f>
        <v>2317.6999999999998</v>
      </c>
      <c r="G117" s="366">
        <v>2.4499999999999997</v>
      </c>
      <c r="H117" s="445">
        <v>139094</v>
      </c>
      <c r="I117" s="445">
        <v>139094</v>
      </c>
      <c r="J117" s="447">
        <f>IFERROR(I117/H117,"-")</f>
        <v>1</v>
      </c>
      <c r="K117" s="446">
        <v>140040</v>
      </c>
      <c r="L117" s="447">
        <f>IFERROR(K117/H117,"-")</f>
        <v>1.0068011560527412</v>
      </c>
      <c r="M117" s="446">
        <v>0</v>
      </c>
      <c r="N117" s="447">
        <f>IFERROR(M117/H117,"-")</f>
        <v>0</v>
      </c>
      <c r="O117" s="448">
        <f>IFERROR(K117+M117,"-")</f>
        <v>140040</v>
      </c>
      <c r="P117" s="447">
        <f>IFERROR(O117/H117,"-")</f>
        <v>1.0068011560527412</v>
      </c>
      <c r="Q117" s="445">
        <v>946</v>
      </c>
      <c r="R117" s="447">
        <f>IFERROR(Q117/H117,"-")</f>
        <v>6.8011560527413114E-3</v>
      </c>
      <c r="S117" s="448">
        <f>IFERROR(O117-H117,"-")</f>
        <v>946</v>
      </c>
      <c r="T117" s="447">
        <f>IFERROR(S117/H117,"-")</f>
        <v>6.8011560527413114E-3</v>
      </c>
      <c r="U117" s="365">
        <f>IFERROR(S117*G117,"-")</f>
        <v>2317.6999999999998</v>
      </c>
      <c r="V117" s="470">
        <f>S117-Q117</f>
        <v>0</v>
      </c>
      <c r="W117" s="471">
        <f>IFERROR(V117/H117,"-")</f>
        <v>0</v>
      </c>
      <c r="X117" s="472">
        <f>IFERROR(V117*G117,"-")</f>
        <v>0</v>
      </c>
      <c r="Y117" s="367" t="s">
        <v>417</v>
      </c>
      <c r="Z117" s="367" t="s">
        <v>337</v>
      </c>
      <c r="AA117" s="368" t="s">
        <v>468</v>
      </c>
      <c r="AB117" s="368" t="s">
        <v>469</v>
      </c>
      <c r="AC117" s="368">
        <v>1</v>
      </c>
      <c r="AD117" s="449" t="s">
        <v>340</v>
      </c>
      <c r="AF117" s="890"/>
      <c r="AG117" s="891"/>
      <c r="AH117" s="891"/>
      <c r="AI117" s="891"/>
      <c r="AJ117" s="891"/>
      <c r="AK117" s="891"/>
      <c r="AL117" s="891"/>
      <c r="AM117" s="892"/>
    </row>
    <row r="118" spans="2:39" s="147" customFormat="1" ht="27" customHeight="1">
      <c r="B118" s="845"/>
      <c r="C118" s="846"/>
      <c r="D118" s="362">
        <v>2</v>
      </c>
      <c r="E118" s="443" t="s">
        <v>335</v>
      </c>
      <c r="F118" s="444">
        <f t="shared" ref="F118:F136" si="63">IFERROR(Q118*G118,"-")</f>
        <v>2147.5500000000002</v>
      </c>
      <c r="G118" s="366">
        <v>15.450000000000001</v>
      </c>
      <c r="H118" s="445">
        <v>69672</v>
      </c>
      <c r="I118" s="445">
        <v>69672</v>
      </c>
      <c r="J118" s="447">
        <f t="shared" ref="J118:J136" si="64">IFERROR(I118/H118,"-")</f>
        <v>1</v>
      </c>
      <c r="K118" s="446">
        <v>69811</v>
      </c>
      <c r="L118" s="447">
        <f t="shared" ref="L118:L136" si="65">IFERROR(K118/H118,"-")</f>
        <v>1.0019950625789413</v>
      </c>
      <c r="M118" s="446">
        <v>0</v>
      </c>
      <c r="N118" s="447">
        <f t="shared" ref="N118:N136" si="66">IFERROR(M118/H118,"-")</f>
        <v>0</v>
      </c>
      <c r="O118" s="448">
        <f t="shared" ref="O118:O136" si="67">IFERROR(K118+M118,"-")</f>
        <v>69811</v>
      </c>
      <c r="P118" s="447">
        <f t="shared" ref="P118:P136" si="68">IFERROR(O118/H118,"-")</f>
        <v>1.0019950625789413</v>
      </c>
      <c r="Q118" s="445">
        <v>139</v>
      </c>
      <c r="R118" s="447">
        <f t="shared" ref="R118:R136" si="69">IFERROR(Q118/H118,"-")</f>
        <v>1.9950625789413251E-3</v>
      </c>
      <c r="S118" s="448">
        <f t="shared" ref="S118:S136" si="70">IFERROR(O118-H118,"-")</f>
        <v>139</v>
      </c>
      <c r="T118" s="447">
        <f t="shared" ref="T118:T136" si="71">IFERROR(S118/H118,"-")</f>
        <v>1.9950625789413251E-3</v>
      </c>
      <c r="U118" s="365">
        <f t="shared" ref="U118:U136" si="72">IFERROR(S118*G118,"-")</f>
        <v>2147.5500000000002</v>
      </c>
      <c r="V118" s="470">
        <f t="shared" ref="V118:V136" si="73">S118-Q118</f>
        <v>0</v>
      </c>
      <c r="W118" s="471">
        <f t="shared" ref="W118:W136" si="74">IFERROR(V118/H118,"-")</f>
        <v>0</v>
      </c>
      <c r="X118" s="472">
        <f t="shared" ref="X118:X136" si="75">IFERROR(V118*G118,"-")</f>
        <v>0</v>
      </c>
      <c r="Y118" s="367" t="s">
        <v>417</v>
      </c>
      <c r="Z118" s="367" t="s">
        <v>216</v>
      </c>
      <c r="AA118" s="368" t="s">
        <v>467</v>
      </c>
      <c r="AB118" s="368" t="s">
        <v>778</v>
      </c>
      <c r="AC118" s="368">
        <v>1</v>
      </c>
      <c r="AD118" s="449" t="s">
        <v>524</v>
      </c>
      <c r="AF118" s="160" t="s">
        <v>244</v>
      </c>
      <c r="AG118" s="160" t="s">
        <v>446</v>
      </c>
      <c r="AH118" s="155" t="s">
        <v>564</v>
      </c>
      <c r="AI118" s="155" t="s">
        <v>337</v>
      </c>
      <c r="AJ118" s="155" t="s">
        <v>429</v>
      </c>
      <c r="AK118" s="155" t="s">
        <v>215</v>
      </c>
      <c r="AL118" s="155" t="s">
        <v>216</v>
      </c>
      <c r="AM118" s="155" t="s">
        <v>384</v>
      </c>
    </row>
    <row r="119" spans="2:39" s="147" customFormat="1" ht="27" customHeight="1">
      <c r="B119" s="845"/>
      <c r="C119" s="846"/>
      <c r="D119" s="362">
        <v>3</v>
      </c>
      <c r="E119" s="443" t="s">
        <v>448</v>
      </c>
      <c r="F119" s="444">
        <f t="shared" si="63"/>
        <v>1866.1499999999999</v>
      </c>
      <c r="G119" s="366">
        <v>1.17</v>
      </c>
      <c r="H119" s="445">
        <v>232549</v>
      </c>
      <c r="I119" s="445">
        <v>232549</v>
      </c>
      <c r="J119" s="447">
        <f t="shared" si="64"/>
        <v>1</v>
      </c>
      <c r="K119" s="446">
        <v>234144</v>
      </c>
      <c r="L119" s="447">
        <f t="shared" si="65"/>
        <v>1.0068587695496434</v>
      </c>
      <c r="M119" s="446">
        <v>0</v>
      </c>
      <c r="N119" s="447">
        <f t="shared" si="66"/>
        <v>0</v>
      </c>
      <c r="O119" s="448">
        <f t="shared" si="67"/>
        <v>234144</v>
      </c>
      <c r="P119" s="447">
        <f t="shared" si="68"/>
        <v>1.0068587695496434</v>
      </c>
      <c r="Q119" s="445">
        <v>1595</v>
      </c>
      <c r="R119" s="447">
        <f t="shared" si="69"/>
        <v>6.8587695496433012E-3</v>
      </c>
      <c r="S119" s="448">
        <f t="shared" si="70"/>
        <v>1595</v>
      </c>
      <c r="T119" s="447">
        <f t="shared" si="71"/>
        <v>6.8587695496433012E-3</v>
      </c>
      <c r="U119" s="365">
        <f t="shared" si="72"/>
        <v>1866.1499999999999</v>
      </c>
      <c r="V119" s="470">
        <f t="shared" si="73"/>
        <v>0</v>
      </c>
      <c r="W119" s="471">
        <f t="shared" si="74"/>
        <v>0</v>
      </c>
      <c r="X119" s="472">
        <f t="shared" si="75"/>
        <v>0</v>
      </c>
      <c r="Y119" s="367" t="s">
        <v>417</v>
      </c>
      <c r="Z119" s="367" t="s">
        <v>337</v>
      </c>
      <c r="AA119" s="368" t="s">
        <v>470</v>
      </c>
      <c r="AB119" s="368" t="s">
        <v>527</v>
      </c>
      <c r="AC119" s="368">
        <v>1</v>
      </c>
      <c r="AD119" s="449" t="s">
        <v>340</v>
      </c>
      <c r="AF119" s="375">
        <f>SUM(AC117:AC136)</f>
        <v>20</v>
      </c>
      <c r="AG119" s="370">
        <f t="shared" ref="AG119:AM119" si="76">SUMIF($Z$117:$Z$136,TRIM(AG118),$AC$117:$AC$136)</f>
        <v>11</v>
      </c>
      <c r="AH119" s="370">
        <f t="shared" si="76"/>
        <v>0</v>
      </c>
      <c r="AI119" s="370">
        <f t="shared" si="76"/>
        <v>4</v>
      </c>
      <c r="AJ119" s="370">
        <f t="shared" si="76"/>
        <v>0</v>
      </c>
      <c r="AK119" s="370">
        <f t="shared" si="76"/>
        <v>0</v>
      </c>
      <c r="AL119" s="370">
        <f t="shared" si="76"/>
        <v>5</v>
      </c>
      <c r="AM119" s="370">
        <f t="shared" si="76"/>
        <v>0</v>
      </c>
    </row>
    <row r="120" spans="2:39" s="147" customFormat="1" ht="27" customHeight="1">
      <c r="B120" s="845"/>
      <c r="C120" s="846"/>
      <c r="D120" s="362">
        <v>4</v>
      </c>
      <c r="E120" s="443" t="s">
        <v>626</v>
      </c>
      <c r="F120" s="444">
        <f t="shared" si="63"/>
        <v>1507.4552999999999</v>
      </c>
      <c r="G120" s="366">
        <v>39.389999999999993</v>
      </c>
      <c r="H120" s="445">
        <v>6291.2999999999993</v>
      </c>
      <c r="I120" s="445">
        <v>6291.2999999999993</v>
      </c>
      <c r="J120" s="447">
        <f t="shared" si="64"/>
        <v>1</v>
      </c>
      <c r="K120" s="446">
        <v>6412.64</v>
      </c>
      <c r="L120" s="447">
        <f t="shared" si="65"/>
        <v>1.019286951822358</v>
      </c>
      <c r="M120" s="446">
        <v>121.34</v>
      </c>
      <c r="N120" s="447">
        <f t="shared" si="66"/>
        <v>1.9286951822357862E-2</v>
      </c>
      <c r="O120" s="448">
        <f t="shared" si="67"/>
        <v>6533.9800000000005</v>
      </c>
      <c r="P120" s="447">
        <f t="shared" si="68"/>
        <v>1.0385739036447159</v>
      </c>
      <c r="Q120" s="445">
        <v>38.270000000000003</v>
      </c>
      <c r="R120" s="447">
        <f t="shared" si="69"/>
        <v>6.0830035127875017E-3</v>
      </c>
      <c r="S120" s="448">
        <f t="shared" si="70"/>
        <v>242.6800000000012</v>
      </c>
      <c r="T120" s="447">
        <f t="shared" si="71"/>
        <v>3.8573903644715912E-2</v>
      </c>
      <c r="U120" s="365">
        <f t="shared" si="72"/>
        <v>9559.1652000000449</v>
      </c>
      <c r="V120" s="470">
        <f t="shared" si="73"/>
        <v>204.41000000000119</v>
      </c>
      <c r="W120" s="471">
        <f t="shared" si="74"/>
        <v>3.2490900131928409E-2</v>
      </c>
      <c r="X120" s="472">
        <f t="shared" si="75"/>
        <v>8051.7099000000453</v>
      </c>
      <c r="Y120" s="367" t="s">
        <v>417</v>
      </c>
      <c r="Z120" s="367" t="s">
        <v>216</v>
      </c>
      <c r="AA120" s="368" t="s">
        <v>779</v>
      </c>
      <c r="AB120" s="368" t="s">
        <v>780</v>
      </c>
      <c r="AC120" s="368">
        <v>1</v>
      </c>
      <c r="AD120" s="449" t="s">
        <v>621</v>
      </c>
      <c r="AF120" s="376" t="s">
        <v>11</v>
      </c>
      <c r="AG120" s="373">
        <f>SUMIF($Z$117:$Z136,TRIM(AG118),$F$117:$F$136)</f>
        <v>11669.386100000003</v>
      </c>
      <c r="AH120" s="373">
        <f>SUMIF($Z$117:$Z136,TRIM(AH118),$F$117:$F$136)</f>
        <v>0</v>
      </c>
      <c r="AI120" s="373">
        <f>SUMIF($Z$117:$Z136,TRIM(AI118),$F$117:$F$136)</f>
        <v>6221.9974000000002</v>
      </c>
      <c r="AJ120" s="373">
        <f>SUMIF($Z$117:$Z136,TRIM(AJ118),$F$117:$F$136)</f>
        <v>0</v>
      </c>
      <c r="AK120" s="373">
        <f>SUMIF($Z$117:$Z136,TRIM(AK118),$F$117:$F$136)</f>
        <v>0</v>
      </c>
      <c r="AL120" s="373">
        <f>SUMIF($Z$117:$Z136,TRIM(AL118),$F$117:$F$136)</f>
        <v>7207.4537999999993</v>
      </c>
      <c r="AM120" s="373">
        <f>SUMIF($Z$117:$Z136,TRIM(AM118),$F$117:$F$136)</f>
        <v>0</v>
      </c>
    </row>
    <row r="121" spans="2:39" s="147" customFormat="1" ht="27" customHeight="1">
      <c r="B121" s="845"/>
      <c r="C121" s="846"/>
      <c r="D121" s="362">
        <v>5</v>
      </c>
      <c r="E121" s="443" t="s">
        <v>535</v>
      </c>
      <c r="F121" s="444">
        <f t="shared" si="63"/>
        <v>1497.2138999999997</v>
      </c>
      <c r="G121" s="366">
        <v>39.389999999999993</v>
      </c>
      <c r="H121" s="445">
        <v>34169.370000000003</v>
      </c>
      <c r="I121" s="445">
        <v>34169.370000000003</v>
      </c>
      <c r="J121" s="447">
        <f t="shared" si="64"/>
        <v>1</v>
      </c>
      <c r="K121" s="446">
        <v>34348.479999999996</v>
      </c>
      <c r="L121" s="447">
        <f t="shared" si="65"/>
        <v>1.0052418291586878</v>
      </c>
      <c r="M121" s="446">
        <v>179.10999999999999</v>
      </c>
      <c r="N121" s="447">
        <f t="shared" si="66"/>
        <v>5.2418291586880288E-3</v>
      </c>
      <c r="O121" s="448">
        <f t="shared" si="67"/>
        <v>34527.589999999997</v>
      </c>
      <c r="P121" s="447">
        <f t="shared" si="68"/>
        <v>1.010483658317376</v>
      </c>
      <c r="Q121" s="445">
        <v>38.01</v>
      </c>
      <c r="R121" s="447">
        <f t="shared" si="69"/>
        <v>1.1123997896361564E-3</v>
      </c>
      <c r="S121" s="448">
        <f t="shared" si="70"/>
        <v>358.21999999999389</v>
      </c>
      <c r="T121" s="447">
        <f t="shared" si="71"/>
        <v>1.0483658317375879E-2</v>
      </c>
      <c r="U121" s="365">
        <f t="shared" si="72"/>
        <v>14110.285799999758</v>
      </c>
      <c r="V121" s="470">
        <f t="shared" si="73"/>
        <v>320.2099999999939</v>
      </c>
      <c r="W121" s="471">
        <f t="shared" si="74"/>
        <v>9.3712585277397238E-3</v>
      </c>
      <c r="X121" s="472">
        <f t="shared" si="75"/>
        <v>12613.071899999757</v>
      </c>
      <c r="Y121" s="367" t="s">
        <v>417</v>
      </c>
      <c r="Z121" s="367" t="s">
        <v>216</v>
      </c>
      <c r="AA121" s="368" t="s">
        <v>779</v>
      </c>
      <c r="AB121" s="368" t="s">
        <v>780</v>
      </c>
      <c r="AC121" s="368">
        <v>1</v>
      </c>
      <c r="AD121" s="449" t="s">
        <v>340</v>
      </c>
      <c r="AF121" s="362" t="s">
        <v>565</v>
      </c>
      <c r="AG121" s="450">
        <f>AG119/$AF119</f>
        <v>0.55000000000000004</v>
      </c>
      <c r="AH121" s="450">
        <f t="shared" ref="AH121:AM121" si="77">AH119/$AF119</f>
        <v>0</v>
      </c>
      <c r="AI121" s="450">
        <f t="shared" si="77"/>
        <v>0.2</v>
      </c>
      <c r="AJ121" s="450">
        <f t="shared" si="77"/>
        <v>0</v>
      </c>
      <c r="AK121" s="450">
        <f t="shared" si="77"/>
        <v>0</v>
      </c>
      <c r="AL121" s="450">
        <f t="shared" si="77"/>
        <v>0.25</v>
      </c>
      <c r="AM121" s="450">
        <f t="shared" si="77"/>
        <v>0</v>
      </c>
    </row>
    <row r="122" spans="2:39" s="147" customFormat="1" ht="27" customHeight="1">
      <c r="B122" s="845"/>
      <c r="C122" s="846"/>
      <c r="D122" s="362">
        <v>6</v>
      </c>
      <c r="E122" s="443" t="s">
        <v>770</v>
      </c>
      <c r="F122" s="444">
        <f t="shared" si="63"/>
        <v>1254.4685999999999</v>
      </c>
      <c r="G122" s="366">
        <v>426.69</v>
      </c>
      <c r="H122" s="445">
        <v>1195.21</v>
      </c>
      <c r="I122" s="445">
        <v>1195.21</v>
      </c>
      <c r="J122" s="447">
        <f t="shared" si="64"/>
        <v>1</v>
      </c>
      <c r="K122" s="446">
        <v>1203.75</v>
      </c>
      <c r="L122" s="447">
        <f t="shared" si="65"/>
        <v>1.007145187874934</v>
      </c>
      <c r="M122" s="446">
        <v>8.5399999999999991</v>
      </c>
      <c r="N122" s="447">
        <f t="shared" si="66"/>
        <v>7.1451878749341112E-3</v>
      </c>
      <c r="O122" s="448">
        <f t="shared" si="67"/>
        <v>1212.29</v>
      </c>
      <c r="P122" s="447">
        <f t="shared" si="68"/>
        <v>1.0142903757498682</v>
      </c>
      <c r="Q122" s="445">
        <v>2.94</v>
      </c>
      <c r="R122" s="447">
        <f t="shared" si="69"/>
        <v>2.4598187766166615E-3</v>
      </c>
      <c r="S122" s="448">
        <f t="shared" si="70"/>
        <v>17.079999999999927</v>
      </c>
      <c r="T122" s="447">
        <f t="shared" si="71"/>
        <v>1.4290375749868163E-2</v>
      </c>
      <c r="U122" s="365">
        <f t="shared" si="72"/>
        <v>7287.8651999999693</v>
      </c>
      <c r="V122" s="470">
        <f t="shared" si="73"/>
        <v>14.139999999999928</v>
      </c>
      <c r="W122" s="471">
        <f t="shared" si="74"/>
        <v>1.1830556973251501E-2</v>
      </c>
      <c r="X122" s="472">
        <f t="shared" si="75"/>
        <v>6033.3965999999691</v>
      </c>
      <c r="Y122" s="367" t="s">
        <v>417</v>
      </c>
      <c r="Z122" s="367" t="s">
        <v>446</v>
      </c>
      <c r="AA122" s="368" t="s">
        <v>781</v>
      </c>
      <c r="AB122" s="368" t="s">
        <v>456</v>
      </c>
      <c r="AC122" s="368">
        <v>1</v>
      </c>
      <c r="AD122" s="449" t="s">
        <v>358</v>
      </c>
    </row>
    <row r="123" spans="2:39" s="147" customFormat="1" ht="27" customHeight="1">
      <c r="B123" s="845"/>
      <c r="C123" s="846"/>
      <c r="D123" s="362">
        <v>7</v>
      </c>
      <c r="E123" s="443" t="s">
        <v>771</v>
      </c>
      <c r="F123" s="444">
        <f t="shared" si="63"/>
        <v>1176.4882999999998</v>
      </c>
      <c r="G123" s="366">
        <v>91.13</v>
      </c>
      <c r="H123" s="445">
        <v>1903.5200000000002</v>
      </c>
      <c r="I123" s="445">
        <v>1903.5200000000002</v>
      </c>
      <c r="J123" s="447">
        <f t="shared" si="64"/>
        <v>1</v>
      </c>
      <c r="K123" s="446">
        <v>1959.8799999999999</v>
      </c>
      <c r="L123" s="447">
        <f t="shared" si="65"/>
        <v>1.0296083046146085</v>
      </c>
      <c r="M123" s="446">
        <v>56.36</v>
      </c>
      <c r="N123" s="447">
        <f t="shared" si="66"/>
        <v>2.960830461460872E-2</v>
      </c>
      <c r="O123" s="448">
        <f t="shared" si="67"/>
        <v>2016.2399999999998</v>
      </c>
      <c r="P123" s="447">
        <f t="shared" si="68"/>
        <v>1.0592166092292172</v>
      </c>
      <c r="Q123" s="445">
        <v>12.909999999999998</v>
      </c>
      <c r="R123" s="447">
        <f t="shared" si="69"/>
        <v>6.7821719761284342E-3</v>
      </c>
      <c r="S123" s="448">
        <f t="shared" si="70"/>
        <v>112.71999999999957</v>
      </c>
      <c r="T123" s="447">
        <f t="shared" si="71"/>
        <v>5.9216609229217218E-2</v>
      </c>
      <c r="U123" s="365">
        <f t="shared" si="72"/>
        <v>10272.17359999996</v>
      </c>
      <c r="V123" s="470">
        <f t="shared" si="73"/>
        <v>99.809999999999576</v>
      </c>
      <c r="W123" s="471">
        <f t="shared" si="74"/>
        <v>5.2434437253088786E-2</v>
      </c>
      <c r="X123" s="472">
        <f t="shared" si="75"/>
        <v>9095.685299999961</v>
      </c>
      <c r="Y123" s="367" t="s">
        <v>417</v>
      </c>
      <c r="Z123" s="367" t="s">
        <v>446</v>
      </c>
      <c r="AA123" s="368" t="s">
        <v>548</v>
      </c>
      <c r="AB123" s="368" t="s">
        <v>455</v>
      </c>
      <c r="AC123" s="368">
        <v>1</v>
      </c>
      <c r="AD123" s="449" t="s">
        <v>743</v>
      </c>
    </row>
    <row r="124" spans="2:39" s="147" customFormat="1" ht="27" customHeight="1">
      <c r="B124" s="845"/>
      <c r="C124" s="846"/>
      <c r="D124" s="362">
        <v>8</v>
      </c>
      <c r="E124" s="443" t="s">
        <v>386</v>
      </c>
      <c r="F124" s="444">
        <f t="shared" si="63"/>
        <v>1086.6400000000001</v>
      </c>
      <c r="G124" s="366">
        <v>127.84000000000002</v>
      </c>
      <c r="H124" s="445">
        <v>3963.8499999999995</v>
      </c>
      <c r="I124" s="445">
        <v>3963.8499999999995</v>
      </c>
      <c r="J124" s="447">
        <f t="shared" si="64"/>
        <v>1</v>
      </c>
      <c r="K124" s="446">
        <v>4013.2</v>
      </c>
      <c r="L124" s="447">
        <f t="shared" si="65"/>
        <v>1.0124500170288988</v>
      </c>
      <c r="M124" s="446">
        <v>49.35</v>
      </c>
      <c r="N124" s="447">
        <f t="shared" si="66"/>
        <v>1.2450017028898674E-2</v>
      </c>
      <c r="O124" s="448">
        <f t="shared" si="67"/>
        <v>4062.5499999999997</v>
      </c>
      <c r="P124" s="447">
        <f t="shared" si="68"/>
        <v>1.0249000340577974</v>
      </c>
      <c r="Q124" s="445">
        <v>8.5</v>
      </c>
      <c r="R124" s="447">
        <f t="shared" si="69"/>
        <v>2.1443798327383731E-3</v>
      </c>
      <c r="S124" s="448">
        <f t="shared" si="70"/>
        <v>98.700000000000273</v>
      </c>
      <c r="T124" s="447">
        <f t="shared" si="71"/>
        <v>2.4900034057797414E-2</v>
      </c>
      <c r="U124" s="365">
        <f t="shared" si="72"/>
        <v>12617.808000000037</v>
      </c>
      <c r="V124" s="470">
        <f t="shared" si="73"/>
        <v>90.200000000000273</v>
      </c>
      <c r="W124" s="471">
        <f t="shared" si="74"/>
        <v>2.2755654225059041E-2</v>
      </c>
      <c r="X124" s="472">
        <f t="shared" si="75"/>
        <v>11531.168000000036</v>
      </c>
      <c r="Y124" s="367" t="s">
        <v>417</v>
      </c>
      <c r="Z124" s="367" t="s">
        <v>446</v>
      </c>
      <c r="AA124" s="368" t="s">
        <v>782</v>
      </c>
      <c r="AB124" s="368" t="s">
        <v>456</v>
      </c>
      <c r="AC124" s="368">
        <v>1</v>
      </c>
      <c r="AD124" s="449" t="s">
        <v>340</v>
      </c>
    </row>
    <row r="125" spans="2:39" s="147" customFormat="1" ht="27" customHeight="1">
      <c r="B125" s="845"/>
      <c r="C125" s="846"/>
      <c r="D125" s="362">
        <v>9</v>
      </c>
      <c r="E125" s="443" t="s">
        <v>653</v>
      </c>
      <c r="F125" s="444">
        <f t="shared" si="63"/>
        <v>1078.76</v>
      </c>
      <c r="G125" s="366">
        <v>144.79999999999998</v>
      </c>
      <c r="H125" s="445">
        <v>2683.3800000000006</v>
      </c>
      <c r="I125" s="445">
        <v>2683.3800000000006</v>
      </c>
      <c r="J125" s="447">
        <f t="shared" si="64"/>
        <v>1</v>
      </c>
      <c r="K125" s="446">
        <v>2731.8900000000003</v>
      </c>
      <c r="L125" s="447">
        <f t="shared" si="65"/>
        <v>1.0180779464704961</v>
      </c>
      <c r="M125" s="446">
        <v>48.510000000000005</v>
      </c>
      <c r="N125" s="447">
        <f t="shared" si="66"/>
        <v>1.8077946470496164E-2</v>
      </c>
      <c r="O125" s="448">
        <f t="shared" si="67"/>
        <v>2780.4000000000005</v>
      </c>
      <c r="P125" s="447">
        <f t="shared" si="68"/>
        <v>1.0361558929409924</v>
      </c>
      <c r="Q125" s="445">
        <v>7.4500000000000011</v>
      </c>
      <c r="R125" s="447">
        <f t="shared" si="69"/>
        <v>2.7763492311934945E-3</v>
      </c>
      <c r="S125" s="448">
        <f t="shared" si="70"/>
        <v>97.019999999999982</v>
      </c>
      <c r="T125" s="447">
        <f t="shared" si="71"/>
        <v>3.6155892940992314E-2</v>
      </c>
      <c r="U125" s="365">
        <f t="shared" si="72"/>
        <v>14048.495999999996</v>
      </c>
      <c r="V125" s="470">
        <f t="shared" si="73"/>
        <v>89.569999999999979</v>
      </c>
      <c r="W125" s="471">
        <f t="shared" si="74"/>
        <v>3.3379543709798822E-2</v>
      </c>
      <c r="X125" s="472">
        <f t="shared" si="75"/>
        <v>12969.735999999995</v>
      </c>
      <c r="Y125" s="367" t="s">
        <v>417</v>
      </c>
      <c r="Z125" s="367" t="s">
        <v>446</v>
      </c>
      <c r="AA125" s="368" t="s">
        <v>782</v>
      </c>
      <c r="AB125" s="368" t="s">
        <v>456</v>
      </c>
      <c r="AC125" s="368">
        <v>1</v>
      </c>
      <c r="AD125" s="449" t="s">
        <v>340</v>
      </c>
      <c r="AH125" s="371"/>
    </row>
    <row r="126" spans="2:39" s="147" customFormat="1" ht="27" customHeight="1">
      <c r="B126" s="845"/>
      <c r="C126" s="846"/>
      <c r="D126" s="362">
        <v>10</v>
      </c>
      <c r="E126" s="443" t="s">
        <v>655</v>
      </c>
      <c r="F126" s="444">
        <f t="shared" si="63"/>
        <v>1050.7038</v>
      </c>
      <c r="G126" s="366">
        <v>49.82</v>
      </c>
      <c r="H126" s="445">
        <v>2935.75</v>
      </c>
      <c r="I126" s="445">
        <v>2935.75</v>
      </c>
      <c r="J126" s="447">
        <f t="shared" si="64"/>
        <v>1</v>
      </c>
      <c r="K126" s="446">
        <v>3016.9800000000005</v>
      </c>
      <c r="L126" s="447">
        <f t="shared" si="65"/>
        <v>1.0276692497658182</v>
      </c>
      <c r="M126" s="446">
        <v>81.23</v>
      </c>
      <c r="N126" s="447">
        <f t="shared" si="66"/>
        <v>2.7669249765817937E-2</v>
      </c>
      <c r="O126" s="448">
        <f t="shared" si="67"/>
        <v>3098.2100000000005</v>
      </c>
      <c r="P126" s="447">
        <f t="shared" si="68"/>
        <v>1.0553384995316359</v>
      </c>
      <c r="Q126" s="445">
        <v>21.09</v>
      </c>
      <c r="R126" s="447">
        <f t="shared" si="69"/>
        <v>7.1838542110193304E-3</v>
      </c>
      <c r="S126" s="448">
        <f t="shared" si="70"/>
        <v>162.46000000000049</v>
      </c>
      <c r="T126" s="447">
        <f t="shared" si="71"/>
        <v>5.5338499531636033E-2</v>
      </c>
      <c r="U126" s="365">
        <f t="shared" si="72"/>
        <v>8093.7572000000246</v>
      </c>
      <c r="V126" s="470">
        <f t="shared" si="73"/>
        <v>141.37000000000049</v>
      </c>
      <c r="W126" s="471">
        <f t="shared" si="74"/>
        <v>4.8154645320616703E-2</v>
      </c>
      <c r="X126" s="472">
        <f t="shared" si="75"/>
        <v>7043.0534000000243</v>
      </c>
      <c r="Y126" s="367" t="s">
        <v>417</v>
      </c>
      <c r="Z126" s="367" t="s">
        <v>446</v>
      </c>
      <c r="AA126" s="368" t="s">
        <v>480</v>
      </c>
      <c r="AB126" s="383" t="s">
        <v>783</v>
      </c>
      <c r="AC126" s="368">
        <v>1</v>
      </c>
      <c r="AD126" s="449" t="s">
        <v>623</v>
      </c>
      <c r="AH126" s="371"/>
    </row>
    <row r="127" spans="2:39" s="147" customFormat="1" ht="27" customHeight="1">
      <c r="B127" s="845"/>
      <c r="C127" s="846"/>
      <c r="D127" s="362">
        <v>11</v>
      </c>
      <c r="E127" s="443" t="s">
        <v>677</v>
      </c>
      <c r="F127" s="444">
        <f t="shared" si="63"/>
        <v>1050.1116000000002</v>
      </c>
      <c r="G127" s="366">
        <v>40.420000000000009</v>
      </c>
      <c r="H127" s="445">
        <v>2590.2800000000002</v>
      </c>
      <c r="I127" s="445">
        <v>2590.2800000000002</v>
      </c>
      <c r="J127" s="447">
        <f t="shared" si="64"/>
        <v>1</v>
      </c>
      <c r="K127" s="446">
        <v>2692.01</v>
      </c>
      <c r="L127" s="447">
        <f t="shared" si="65"/>
        <v>1.0392737464675634</v>
      </c>
      <c r="M127" s="446">
        <v>101.73</v>
      </c>
      <c r="N127" s="447">
        <f t="shared" si="66"/>
        <v>3.9273746467563347E-2</v>
      </c>
      <c r="O127" s="448">
        <f t="shared" si="67"/>
        <v>2793.7400000000002</v>
      </c>
      <c r="P127" s="447">
        <f t="shared" si="68"/>
        <v>1.0785474929351266</v>
      </c>
      <c r="Q127" s="445">
        <v>25.98</v>
      </c>
      <c r="R127" s="447">
        <f t="shared" si="69"/>
        <v>1.0029803727782324E-2</v>
      </c>
      <c r="S127" s="448">
        <f t="shared" si="70"/>
        <v>203.46000000000004</v>
      </c>
      <c r="T127" s="447">
        <f t="shared" si="71"/>
        <v>7.8547492935126709E-2</v>
      </c>
      <c r="U127" s="365">
        <f t="shared" si="72"/>
        <v>8223.8532000000032</v>
      </c>
      <c r="V127" s="470">
        <f t="shared" si="73"/>
        <v>177.48000000000005</v>
      </c>
      <c r="W127" s="471">
        <f t="shared" si="74"/>
        <v>6.8517689207344398E-2</v>
      </c>
      <c r="X127" s="472">
        <f t="shared" si="75"/>
        <v>7173.741600000003</v>
      </c>
      <c r="Y127" s="367" t="s">
        <v>417</v>
      </c>
      <c r="Z127" s="367" t="s">
        <v>216</v>
      </c>
      <c r="AA127" s="368" t="s">
        <v>779</v>
      </c>
      <c r="AB127" s="383" t="s">
        <v>780</v>
      </c>
      <c r="AC127" s="368">
        <v>1</v>
      </c>
      <c r="AD127" s="449" t="s">
        <v>674</v>
      </c>
      <c r="AH127" s="371"/>
    </row>
    <row r="128" spans="2:39" s="147" customFormat="1" ht="26.25" customHeight="1">
      <c r="B128" s="845"/>
      <c r="C128" s="846"/>
      <c r="D128" s="362">
        <v>12</v>
      </c>
      <c r="E128" s="443" t="s">
        <v>462</v>
      </c>
      <c r="F128" s="444">
        <f t="shared" si="63"/>
        <v>1023.4274000000003</v>
      </c>
      <c r="G128" s="366">
        <v>407.74000000000007</v>
      </c>
      <c r="H128" s="445">
        <v>1081.02</v>
      </c>
      <c r="I128" s="445">
        <v>1081.02</v>
      </c>
      <c r="J128" s="447">
        <f t="shared" si="64"/>
        <v>1</v>
      </c>
      <c r="K128" s="446">
        <v>1091.3800000000001</v>
      </c>
      <c r="L128" s="447">
        <f t="shared" si="65"/>
        <v>1.0095835414700931</v>
      </c>
      <c r="M128" s="446">
        <v>10.36</v>
      </c>
      <c r="N128" s="447">
        <f t="shared" si="66"/>
        <v>9.5835414700930592E-3</v>
      </c>
      <c r="O128" s="448">
        <f t="shared" si="67"/>
        <v>1101.74</v>
      </c>
      <c r="P128" s="447">
        <f t="shared" si="68"/>
        <v>1.0191670829401862</v>
      </c>
      <c r="Q128" s="445">
        <v>2.5100000000000002</v>
      </c>
      <c r="R128" s="447">
        <f t="shared" si="69"/>
        <v>2.3218811862870253E-3</v>
      </c>
      <c r="S128" s="448">
        <f t="shared" si="70"/>
        <v>20.720000000000027</v>
      </c>
      <c r="T128" s="447">
        <f t="shared" si="71"/>
        <v>1.9167082940186146E-2</v>
      </c>
      <c r="U128" s="365">
        <f t="shared" si="72"/>
        <v>8448.3728000000119</v>
      </c>
      <c r="V128" s="470">
        <f t="shared" si="73"/>
        <v>18.210000000000026</v>
      </c>
      <c r="W128" s="471">
        <f t="shared" si="74"/>
        <v>1.6845201753899121E-2</v>
      </c>
      <c r="X128" s="472">
        <f t="shared" si="75"/>
        <v>7424.9454000000114</v>
      </c>
      <c r="Y128" s="367" t="s">
        <v>417</v>
      </c>
      <c r="Z128" s="367" t="s">
        <v>337</v>
      </c>
      <c r="AA128" s="368" t="s">
        <v>784</v>
      </c>
      <c r="AB128" s="368" t="s">
        <v>785</v>
      </c>
      <c r="AC128" s="368">
        <v>1</v>
      </c>
      <c r="AD128" s="449" t="s">
        <v>464</v>
      </c>
      <c r="AH128" s="371"/>
    </row>
    <row r="129" spans="2:39" s="147" customFormat="1" ht="27" customHeight="1">
      <c r="B129" s="845"/>
      <c r="C129" s="846"/>
      <c r="D129" s="362">
        <v>13</v>
      </c>
      <c r="E129" s="443" t="s">
        <v>602</v>
      </c>
      <c r="F129" s="444">
        <f t="shared" si="63"/>
        <v>1014.72</v>
      </c>
      <c r="G129" s="366">
        <v>6.04</v>
      </c>
      <c r="H129" s="445">
        <v>6612</v>
      </c>
      <c r="I129" s="445">
        <v>6612</v>
      </c>
      <c r="J129" s="447">
        <f t="shared" si="64"/>
        <v>1</v>
      </c>
      <c r="K129" s="446">
        <v>6780</v>
      </c>
      <c r="L129" s="447">
        <f t="shared" si="65"/>
        <v>1.0254083484573502</v>
      </c>
      <c r="M129" s="446">
        <v>0</v>
      </c>
      <c r="N129" s="447">
        <f t="shared" si="66"/>
        <v>0</v>
      </c>
      <c r="O129" s="448">
        <f t="shared" si="67"/>
        <v>6780</v>
      </c>
      <c r="P129" s="447">
        <f t="shared" si="68"/>
        <v>1.0254083484573502</v>
      </c>
      <c r="Q129" s="445">
        <v>168</v>
      </c>
      <c r="R129" s="447">
        <f t="shared" si="69"/>
        <v>2.5408348457350273E-2</v>
      </c>
      <c r="S129" s="448">
        <f t="shared" si="70"/>
        <v>168</v>
      </c>
      <c r="T129" s="447">
        <f t="shared" si="71"/>
        <v>2.5408348457350273E-2</v>
      </c>
      <c r="U129" s="365">
        <f t="shared" si="72"/>
        <v>1014.72</v>
      </c>
      <c r="V129" s="470">
        <f t="shared" si="73"/>
        <v>0</v>
      </c>
      <c r="W129" s="471">
        <f t="shared" si="74"/>
        <v>0</v>
      </c>
      <c r="X129" s="472">
        <f t="shared" si="75"/>
        <v>0</v>
      </c>
      <c r="Y129" s="367" t="s">
        <v>417</v>
      </c>
      <c r="Z129" s="367" t="s">
        <v>337</v>
      </c>
      <c r="AA129" s="368" t="s">
        <v>786</v>
      </c>
      <c r="AB129" s="383" t="s">
        <v>787</v>
      </c>
      <c r="AC129" s="368">
        <v>1</v>
      </c>
      <c r="AD129" s="449" t="s">
        <v>509</v>
      </c>
    </row>
    <row r="130" spans="2:39" s="147" customFormat="1" ht="27" customHeight="1">
      <c r="B130" s="845"/>
      <c r="C130" s="846"/>
      <c r="D130" s="362">
        <v>14</v>
      </c>
      <c r="E130" s="443" t="s">
        <v>627</v>
      </c>
      <c r="F130" s="444">
        <f t="shared" si="63"/>
        <v>1010.7095999999998</v>
      </c>
      <c r="G130" s="366">
        <v>95.439999999999984</v>
      </c>
      <c r="H130" s="445">
        <v>1968.5900000000001</v>
      </c>
      <c r="I130" s="445">
        <v>1968.5900000000001</v>
      </c>
      <c r="J130" s="447">
        <f t="shared" si="64"/>
        <v>1</v>
      </c>
      <c r="K130" s="446">
        <v>2016.96</v>
      </c>
      <c r="L130" s="447">
        <f t="shared" si="65"/>
        <v>1.0245708857608744</v>
      </c>
      <c r="M130" s="446">
        <v>48.370000000000005</v>
      </c>
      <c r="N130" s="447">
        <f t="shared" si="66"/>
        <v>2.4570885760874534E-2</v>
      </c>
      <c r="O130" s="448">
        <f t="shared" si="67"/>
        <v>2065.33</v>
      </c>
      <c r="P130" s="447">
        <f t="shared" si="68"/>
        <v>1.049141771521749</v>
      </c>
      <c r="Q130" s="445">
        <v>10.59</v>
      </c>
      <c r="R130" s="447">
        <f t="shared" si="69"/>
        <v>5.3794848089241537E-3</v>
      </c>
      <c r="S130" s="448">
        <f t="shared" si="70"/>
        <v>96.739999999999782</v>
      </c>
      <c r="T130" s="447">
        <f t="shared" si="71"/>
        <v>4.9141771521748957E-2</v>
      </c>
      <c r="U130" s="365">
        <f t="shared" si="72"/>
        <v>9232.8655999999773</v>
      </c>
      <c r="V130" s="470">
        <f t="shared" si="73"/>
        <v>86.149999999999778</v>
      </c>
      <c r="W130" s="471">
        <f t="shared" si="74"/>
        <v>4.3762286712824797E-2</v>
      </c>
      <c r="X130" s="472">
        <f t="shared" si="75"/>
        <v>8222.1559999999772</v>
      </c>
      <c r="Y130" s="367" t="s">
        <v>417</v>
      </c>
      <c r="Z130" s="367" t="s">
        <v>446</v>
      </c>
      <c r="AA130" s="368" t="s">
        <v>782</v>
      </c>
      <c r="AB130" s="368" t="s">
        <v>456</v>
      </c>
      <c r="AC130" s="368">
        <v>1</v>
      </c>
      <c r="AD130" s="449" t="s">
        <v>340</v>
      </c>
    </row>
    <row r="131" spans="2:39" s="147" customFormat="1" ht="27" customHeight="1">
      <c r="B131" s="845"/>
      <c r="C131" s="846"/>
      <c r="D131" s="362">
        <v>15</v>
      </c>
      <c r="E131" s="443" t="s">
        <v>546</v>
      </c>
      <c r="F131" s="444">
        <f t="shared" si="63"/>
        <v>1005.1229999999998</v>
      </c>
      <c r="G131" s="366">
        <v>62.43</v>
      </c>
      <c r="H131" s="445">
        <v>2184.4299999999998</v>
      </c>
      <c r="I131" s="445">
        <v>2184.4299999999998</v>
      </c>
      <c r="J131" s="447">
        <f t="shared" si="64"/>
        <v>1</v>
      </c>
      <c r="K131" s="446">
        <v>2241.6499999999996</v>
      </c>
      <c r="L131" s="447">
        <f t="shared" si="65"/>
        <v>1.0261944763622546</v>
      </c>
      <c r="M131" s="446">
        <v>57.22</v>
      </c>
      <c r="N131" s="447">
        <f t="shared" si="66"/>
        <v>2.6194476362254686E-2</v>
      </c>
      <c r="O131" s="448">
        <f t="shared" si="67"/>
        <v>2298.8699999999994</v>
      </c>
      <c r="P131" s="447">
        <f t="shared" si="68"/>
        <v>1.0523889527245092</v>
      </c>
      <c r="Q131" s="445">
        <v>16.099999999999998</v>
      </c>
      <c r="R131" s="447">
        <f t="shared" si="69"/>
        <v>7.3703437510014048E-3</v>
      </c>
      <c r="S131" s="448">
        <f t="shared" si="70"/>
        <v>114.4399999999996</v>
      </c>
      <c r="T131" s="447">
        <f t="shared" si="71"/>
        <v>5.2388952724509191E-2</v>
      </c>
      <c r="U131" s="365">
        <f t="shared" si="72"/>
        <v>7144.4891999999754</v>
      </c>
      <c r="V131" s="470">
        <f t="shared" si="73"/>
        <v>98.339999999999606</v>
      </c>
      <c r="W131" s="471">
        <f t="shared" si="74"/>
        <v>4.5018608973507783E-2</v>
      </c>
      <c r="X131" s="472">
        <f t="shared" si="75"/>
        <v>6139.3661999999749</v>
      </c>
      <c r="Y131" s="367" t="s">
        <v>417</v>
      </c>
      <c r="Z131" s="367" t="s">
        <v>216</v>
      </c>
      <c r="AA131" s="368" t="s">
        <v>779</v>
      </c>
      <c r="AB131" s="368" t="s">
        <v>780</v>
      </c>
      <c r="AC131" s="368">
        <v>1</v>
      </c>
      <c r="AD131" s="449" t="s">
        <v>545</v>
      </c>
    </row>
    <row r="132" spans="2:39" s="147" customFormat="1" ht="27" customHeight="1">
      <c r="B132" s="845"/>
      <c r="C132" s="846"/>
      <c r="D132" s="362">
        <v>16</v>
      </c>
      <c r="E132" s="443" t="s">
        <v>625</v>
      </c>
      <c r="F132" s="444">
        <f t="shared" si="63"/>
        <v>1002.5600000000001</v>
      </c>
      <c r="G132" s="366">
        <v>2.08</v>
      </c>
      <c r="H132" s="445">
        <v>28842</v>
      </c>
      <c r="I132" s="445">
        <v>28842</v>
      </c>
      <c r="J132" s="447">
        <f t="shared" si="64"/>
        <v>1</v>
      </c>
      <c r="K132" s="446">
        <v>29324</v>
      </c>
      <c r="L132" s="447">
        <f t="shared" si="65"/>
        <v>1.0167117398238679</v>
      </c>
      <c r="M132" s="446">
        <v>0</v>
      </c>
      <c r="N132" s="447">
        <f t="shared" si="66"/>
        <v>0</v>
      </c>
      <c r="O132" s="448">
        <f t="shared" si="67"/>
        <v>29324</v>
      </c>
      <c r="P132" s="447">
        <f t="shared" si="68"/>
        <v>1.0167117398238679</v>
      </c>
      <c r="Q132" s="445">
        <v>482</v>
      </c>
      <c r="R132" s="447">
        <f t="shared" si="69"/>
        <v>1.671173982386797E-2</v>
      </c>
      <c r="S132" s="448">
        <f t="shared" si="70"/>
        <v>482</v>
      </c>
      <c r="T132" s="447">
        <f t="shared" si="71"/>
        <v>1.671173982386797E-2</v>
      </c>
      <c r="U132" s="365">
        <f t="shared" si="72"/>
        <v>1002.5600000000001</v>
      </c>
      <c r="V132" s="470">
        <f t="shared" si="73"/>
        <v>0</v>
      </c>
      <c r="W132" s="471">
        <f t="shared" si="74"/>
        <v>0</v>
      </c>
      <c r="X132" s="472">
        <f t="shared" si="75"/>
        <v>0</v>
      </c>
      <c r="Y132" s="367" t="s">
        <v>417</v>
      </c>
      <c r="Z132" s="367" t="s">
        <v>446</v>
      </c>
      <c r="AA132" s="383" t="s">
        <v>788</v>
      </c>
      <c r="AB132" s="368" t="s">
        <v>456</v>
      </c>
      <c r="AC132" s="368">
        <v>1</v>
      </c>
      <c r="AD132" s="449" t="s">
        <v>531</v>
      </c>
    </row>
    <row r="133" spans="2:39" s="147" customFormat="1" ht="27" customHeight="1">
      <c r="B133" s="845"/>
      <c r="C133" s="846"/>
      <c r="D133" s="362">
        <v>17</v>
      </c>
      <c r="E133" s="443" t="s">
        <v>699</v>
      </c>
      <c r="F133" s="444">
        <f t="shared" si="63"/>
        <v>1002.4320000000002</v>
      </c>
      <c r="G133" s="366">
        <v>108.96000000000001</v>
      </c>
      <c r="H133" s="445">
        <v>518.06000000000006</v>
      </c>
      <c r="I133" s="445">
        <v>518.06000000000006</v>
      </c>
      <c r="J133" s="447">
        <f t="shared" si="64"/>
        <v>1</v>
      </c>
      <c r="K133" s="446">
        <v>537.29999999999995</v>
      </c>
      <c r="L133" s="447">
        <f t="shared" si="65"/>
        <v>1.0371385553796855</v>
      </c>
      <c r="M133" s="446">
        <v>19.239999999999998</v>
      </c>
      <c r="N133" s="447">
        <f t="shared" si="66"/>
        <v>3.7138555379685745E-2</v>
      </c>
      <c r="O133" s="448">
        <f t="shared" si="67"/>
        <v>556.54</v>
      </c>
      <c r="P133" s="447">
        <f t="shared" si="68"/>
        <v>1.0742771107593714</v>
      </c>
      <c r="Q133" s="445">
        <v>9.2000000000000011</v>
      </c>
      <c r="R133" s="447">
        <f t="shared" si="69"/>
        <v>1.7758560784465121E-2</v>
      </c>
      <c r="S133" s="448">
        <f t="shared" si="70"/>
        <v>38.479999999999905</v>
      </c>
      <c r="T133" s="447">
        <f t="shared" si="71"/>
        <v>7.4277110759371309E-2</v>
      </c>
      <c r="U133" s="365">
        <f t="shared" si="72"/>
        <v>4192.7807999999895</v>
      </c>
      <c r="V133" s="470">
        <f t="shared" si="73"/>
        <v>29.279999999999902</v>
      </c>
      <c r="W133" s="471">
        <f t="shared" si="74"/>
        <v>5.6518549974906185E-2</v>
      </c>
      <c r="X133" s="472">
        <f t="shared" si="75"/>
        <v>3190.3487999999893</v>
      </c>
      <c r="Y133" s="367" t="s">
        <v>417</v>
      </c>
      <c r="Z133" s="367" t="s">
        <v>446</v>
      </c>
      <c r="AA133" s="368" t="s">
        <v>782</v>
      </c>
      <c r="AB133" s="368" t="s">
        <v>456</v>
      </c>
      <c r="AC133" s="368">
        <v>1</v>
      </c>
      <c r="AD133" s="449" t="s">
        <v>674</v>
      </c>
    </row>
    <row r="134" spans="2:39" s="147" customFormat="1" ht="27" customHeight="1">
      <c r="B134" s="845"/>
      <c r="C134" s="846"/>
      <c r="D134" s="362">
        <v>18</v>
      </c>
      <c r="E134" s="443" t="s">
        <v>772</v>
      </c>
      <c r="F134" s="444">
        <f t="shared" si="63"/>
        <v>1002.2568000000001</v>
      </c>
      <c r="G134" s="366">
        <v>139.97999999999999</v>
      </c>
      <c r="H134" s="445">
        <v>528.95999999999992</v>
      </c>
      <c r="I134" s="445">
        <v>528.95999999999992</v>
      </c>
      <c r="J134" s="447">
        <f t="shared" si="64"/>
        <v>1</v>
      </c>
      <c r="K134" s="446">
        <v>542.75</v>
      </c>
      <c r="L134" s="447">
        <f t="shared" si="65"/>
        <v>1.0260700241984273</v>
      </c>
      <c r="M134" s="446">
        <v>13.790000000000001</v>
      </c>
      <c r="N134" s="447">
        <f t="shared" si="66"/>
        <v>2.6070024198427109E-2</v>
      </c>
      <c r="O134" s="448">
        <f t="shared" si="67"/>
        <v>556.54</v>
      </c>
      <c r="P134" s="447">
        <f t="shared" si="68"/>
        <v>1.0521400483968544</v>
      </c>
      <c r="Q134" s="445">
        <v>7.160000000000001</v>
      </c>
      <c r="R134" s="447">
        <f t="shared" si="69"/>
        <v>1.3535995160314583E-2</v>
      </c>
      <c r="S134" s="448">
        <f t="shared" si="70"/>
        <v>27.580000000000041</v>
      </c>
      <c r="T134" s="447">
        <f t="shared" si="71"/>
        <v>5.2140048396854287E-2</v>
      </c>
      <c r="U134" s="365">
        <f t="shared" si="72"/>
        <v>3860.6484000000055</v>
      </c>
      <c r="V134" s="470">
        <f t="shared" si="73"/>
        <v>20.420000000000041</v>
      </c>
      <c r="W134" s="471">
        <f t="shared" si="74"/>
        <v>3.8604053236539711E-2</v>
      </c>
      <c r="X134" s="472">
        <f t="shared" si="75"/>
        <v>2858.3916000000054</v>
      </c>
      <c r="Y134" s="367" t="s">
        <v>417</v>
      </c>
      <c r="Z134" s="367" t="s">
        <v>446</v>
      </c>
      <c r="AA134" s="368" t="s">
        <v>782</v>
      </c>
      <c r="AB134" s="368" t="s">
        <v>456</v>
      </c>
      <c r="AC134" s="368">
        <v>1</v>
      </c>
      <c r="AD134" s="449" t="s">
        <v>509</v>
      </c>
    </row>
    <row r="135" spans="2:39" s="147" customFormat="1" ht="27" customHeight="1">
      <c r="B135" s="845"/>
      <c r="C135" s="846"/>
      <c r="D135" s="362">
        <v>19</v>
      </c>
      <c r="E135" s="443" t="s">
        <v>654</v>
      </c>
      <c r="F135" s="444">
        <f t="shared" si="63"/>
        <v>1002.1938</v>
      </c>
      <c r="G135" s="366">
        <v>212.78</v>
      </c>
      <c r="H135" s="445">
        <v>463.41</v>
      </c>
      <c r="I135" s="445">
        <v>463.41</v>
      </c>
      <c r="J135" s="447">
        <f t="shared" si="64"/>
        <v>1</v>
      </c>
      <c r="K135" s="446">
        <v>476.98000000000008</v>
      </c>
      <c r="L135" s="447">
        <f t="shared" si="65"/>
        <v>1.0292829244081916</v>
      </c>
      <c r="M135" s="446">
        <v>13.57</v>
      </c>
      <c r="N135" s="447">
        <f t="shared" si="66"/>
        <v>2.9282924408191448E-2</v>
      </c>
      <c r="O135" s="448">
        <f t="shared" si="67"/>
        <v>490.55000000000007</v>
      </c>
      <c r="P135" s="447">
        <f t="shared" si="68"/>
        <v>1.0585658488163829</v>
      </c>
      <c r="Q135" s="445">
        <v>4.71</v>
      </c>
      <c r="R135" s="447">
        <f t="shared" si="69"/>
        <v>1.01637858483848E-2</v>
      </c>
      <c r="S135" s="448">
        <f t="shared" si="70"/>
        <v>27.140000000000043</v>
      </c>
      <c r="T135" s="447">
        <f t="shared" si="71"/>
        <v>5.8565848816382993E-2</v>
      </c>
      <c r="U135" s="365">
        <f t="shared" si="72"/>
        <v>5774.8492000000097</v>
      </c>
      <c r="V135" s="470">
        <f t="shared" si="73"/>
        <v>22.430000000000042</v>
      </c>
      <c r="W135" s="471">
        <f t="shared" si="74"/>
        <v>4.8402062967998191E-2</v>
      </c>
      <c r="X135" s="472">
        <f t="shared" si="75"/>
        <v>4772.6554000000087</v>
      </c>
      <c r="Y135" s="367" t="s">
        <v>417</v>
      </c>
      <c r="Z135" s="367" t="s">
        <v>446</v>
      </c>
      <c r="AA135" s="368" t="s">
        <v>548</v>
      </c>
      <c r="AB135" s="368" t="s">
        <v>455</v>
      </c>
      <c r="AC135" s="368">
        <v>1</v>
      </c>
      <c r="AD135" s="449" t="s">
        <v>642</v>
      </c>
    </row>
    <row r="136" spans="2:39" s="147" customFormat="1" ht="27" customHeight="1">
      <c r="B136" s="847"/>
      <c r="C136" s="848"/>
      <c r="D136" s="362">
        <v>20</v>
      </c>
      <c r="E136" s="443" t="s">
        <v>729</v>
      </c>
      <c r="F136" s="444">
        <f t="shared" si="63"/>
        <v>1002.1732000000002</v>
      </c>
      <c r="G136" s="366">
        <v>98.060000000000016</v>
      </c>
      <c r="H136" s="445">
        <v>1407.1200000000001</v>
      </c>
      <c r="I136" s="445">
        <v>1407.1200000000001</v>
      </c>
      <c r="J136" s="447">
        <f t="shared" si="64"/>
        <v>1</v>
      </c>
      <c r="K136" s="446">
        <v>1448.02</v>
      </c>
      <c r="L136" s="447">
        <f t="shared" si="65"/>
        <v>1.0290664619932912</v>
      </c>
      <c r="M136" s="446">
        <v>40.9</v>
      </c>
      <c r="N136" s="447">
        <f t="shared" si="66"/>
        <v>2.9066461993291257E-2</v>
      </c>
      <c r="O136" s="448">
        <f t="shared" si="67"/>
        <v>1488.92</v>
      </c>
      <c r="P136" s="447">
        <f t="shared" si="68"/>
        <v>1.0581329239865824</v>
      </c>
      <c r="Q136" s="445">
        <v>10.220000000000001</v>
      </c>
      <c r="R136" s="447">
        <f t="shared" si="69"/>
        <v>7.2630621411109214E-3</v>
      </c>
      <c r="S136" s="448">
        <f t="shared" si="70"/>
        <v>81.799999999999955</v>
      </c>
      <c r="T136" s="447">
        <f t="shared" si="71"/>
        <v>5.8132923986582485E-2</v>
      </c>
      <c r="U136" s="365">
        <f t="shared" si="72"/>
        <v>8021.3079999999973</v>
      </c>
      <c r="V136" s="470">
        <f t="shared" si="73"/>
        <v>71.579999999999956</v>
      </c>
      <c r="W136" s="471">
        <f t="shared" si="74"/>
        <v>5.0869861845471563E-2</v>
      </c>
      <c r="X136" s="472">
        <f t="shared" si="75"/>
        <v>7019.1347999999971</v>
      </c>
      <c r="Y136" s="367" t="s">
        <v>417</v>
      </c>
      <c r="Z136" s="367" t="s">
        <v>446</v>
      </c>
      <c r="AA136" s="368" t="s">
        <v>480</v>
      </c>
      <c r="AB136" s="368" t="s">
        <v>783</v>
      </c>
      <c r="AC136" s="368">
        <v>1</v>
      </c>
      <c r="AD136" s="449" t="s">
        <v>695</v>
      </c>
    </row>
    <row r="137" spans="2:39" ht="17.149999999999999" customHeight="1">
      <c r="B137" s="873" t="s">
        <v>443</v>
      </c>
      <c r="C137" s="874"/>
      <c r="D137" s="875" t="s">
        <v>551</v>
      </c>
      <c r="E137" s="876" t="s">
        <v>552</v>
      </c>
      <c r="F137" s="877" t="s">
        <v>553</v>
      </c>
      <c r="G137" s="835" t="s">
        <v>554</v>
      </c>
      <c r="H137" s="878" t="s">
        <v>555</v>
      </c>
      <c r="I137" s="867" t="s">
        <v>556</v>
      </c>
      <c r="J137" s="868"/>
      <c r="K137" s="867" t="s">
        <v>557</v>
      </c>
      <c r="L137" s="868"/>
      <c r="M137" s="867" t="s">
        <v>558</v>
      </c>
      <c r="N137" s="868"/>
      <c r="O137" s="867" t="s">
        <v>559</v>
      </c>
      <c r="P137" s="868"/>
      <c r="Q137" s="867" t="s">
        <v>418</v>
      </c>
      <c r="R137" s="868"/>
      <c r="S137" s="864" t="s">
        <v>419</v>
      </c>
      <c r="T137" s="865"/>
      <c r="U137" s="866"/>
      <c r="V137" s="881" t="s">
        <v>775</v>
      </c>
      <c r="W137" s="882"/>
      <c r="X137" s="883"/>
      <c r="Y137" s="861" t="s">
        <v>171</v>
      </c>
      <c r="Z137" s="861" t="s">
        <v>245</v>
      </c>
      <c r="AA137" s="861" t="s">
        <v>560</v>
      </c>
      <c r="AB137" s="861" t="s">
        <v>445</v>
      </c>
      <c r="AC137" s="861" t="s">
        <v>246</v>
      </c>
      <c r="AD137" s="835" t="s">
        <v>172</v>
      </c>
      <c r="AF137" s="884" t="s">
        <v>247</v>
      </c>
      <c r="AG137" s="885"/>
      <c r="AH137" s="885"/>
      <c r="AI137" s="885"/>
      <c r="AJ137" s="885"/>
      <c r="AK137" s="885"/>
      <c r="AL137" s="885"/>
      <c r="AM137" s="886"/>
    </row>
    <row r="138" spans="2:39">
      <c r="B138" s="871"/>
      <c r="C138" s="872"/>
      <c r="D138" s="875"/>
      <c r="E138" s="875"/>
      <c r="F138" s="877"/>
      <c r="G138" s="836"/>
      <c r="H138" s="836"/>
      <c r="I138" s="442" t="s">
        <v>561</v>
      </c>
      <c r="J138" s="363" t="s">
        <v>562</v>
      </c>
      <c r="K138" s="442" t="s">
        <v>561</v>
      </c>
      <c r="L138" s="363" t="s">
        <v>562</v>
      </c>
      <c r="M138" s="442" t="s">
        <v>561</v>
      </c>
      <c r="N138" s="363" t="s">
        <v>562</v>
      </c>
      <c r="O138" s="442" t="s">
        <v>561</v>
      </c>
      <c r="P138" s="363" t="s">
        <v>562</v>
      </c>
      <c r="Q138" s="442" t="s">
        <v>561</v>
      </c>
      <c r="R138" s="363" t="s">
        <v>562</v>
      </c>
      <c r="S138" s="442" t="s">
        <v>561</v>
      </c>
      <c r="T138" s="363" t="s">
        <v>562</v>
      </c>
      <c r="U138" s="363" t="s">
        <v>563</v>
      </c>
      <c r="V138" s="442" t="s">
        <v>561</v>
      </c>
      <c r="W138" s="363" t="s">
        <v>562</v>
      </c>
      <c r="X138" s="363" t="s">
        <v>563</v>
      </c>
      <c r="Y138" s="863"/>
      <c r="Z138" s="863"/>
      <c r="AA138" s="863"/>
      <c r="AB138" s="863"/>
      <c r="AC138" s="863"/>
      <c r="AD138" s="836"/>
      <c r="AF138" s="887"/>
      <c r="AG138" s="888"/>
      <c r="AH138" s="888"/>
      <c r="AI138" s="888"/>
      <c r="AJ138" s="888"/>
      <c r="AK138" s="888"/>
      <c r="AL138" s="888"/>
      <c r="AM138" s="889"/>
    </row>
    <row r="139" spans="2:39" s="147" customFormat="1" ht="27" customHeight="1">
      <c r="B139" s="904" t="s">
        <v>828</v>
      </c>
      <c r="C139" s="844"/>
      <c r="D139" s="362">
        <v>1</v>
      </c>
      <c r="E139" s="443" t="s">
        <v>449</v>
      </c>
      <c r="F139" s="444">
        <f>IFERROR(Q139*G139,"-")</f>
        <v>2256.4499999999998</v>
      </c>
      <c r="G139" s="366">
        <v>2.4499999999999997</v>
      </c>
      <c r="H139" s="445">
        <v>144699</v>
      </c>
      <c r="I139" s="445">
        <v>144699</v>
      </c>
      <c r="J139" s="447">
        <f>IFERROR(I139/H139,"-")</f>
        <v>1</v>
      </c>
      <c r="K139" s="446">
        <v>145620</v>
      </c>
      <c r="L139" s="447">
        <f>IFERROR(K139/H139,"-")</f>
        <v>1.0063649368689487</v>
      </c>
      <c r="M139" s="446">
        <v>0</v>
      </c>
      <c r="N139" s="447">
        <f>IFERROR(M139/H139,"-")</f>
        <v>0</v>
      </c>
      <c r="O139" s="448">
        <f>IFERROR(K139+M139,"-")</f>
        <v>145620</v>
      </c>
      <c r="P139" s="447">
        <f>IFERROR(O139/H139,"-")</f>
        <v>1.0063649368689487</v>
      </c>
      <c r="Q139" s="445">
        <v>921</v>
      </c>
      <c r="R139" s="447">
        <f>IFERROR(Q139/H139,"-")</f>
        <v>6.3649368689486455E-3</v>
      </c>
      <c r="S139" s="448">
        <f>IFERROR(O139-H139,"-")</f>
        <v>921</v>
      </c>
      <c r="T139" s="447">
        <f>IFERROR(S139/H139,"-")</f>
        <v>6.3649368689486455E-3</v>
      </c>
      <c r="U139" s="365">
        <f>IFERROR(S139*G139,"-")</f>
        <v>2256.4499999999998</v>
      </c>
      <c r="V139" s="470">
        <f>S139-Q139</f>
        <v>0</v>
      </c>
      <c r="W139" s="471">
        <f>IFERROR(V139/H139,"-")</f>
        <v>0</v>
      </c>
      <c r="X139" s="472">
        <f>IFERROR(V139*G139,"-")</f>
        <v>0</v>
      </c>
      <c r="Y139" s="367" t="s">
        <v>417</v>
      </c>
      <c r="Z139" s="367" t="s">
        <v>337</v>
      </c>
      <c r="AA139" s="368"/>
      <c r="AB139" s="368"/>
      <c r="AC139" s="368">
        <v>1</v>
      </c>
      <c r="AD139" s="449" t="s">
        <v>340</v>
      </c>
      <c r="AF139" s="890"/>
      <c r="AG139" s="891"/>
      <c r="AH139" s="891"/>
      <c r="AI139" s="891"/>
      <c r="AJ139" s="891"/>
      <c r="AK139" s="891"/>
      <c r="AL139" s="891"/>
      <c r="AM139" s="892"/>
    </row>
    <row r="140" spans="2:39" s="147" customFormat="1" ht="27" customHeight="1">
      <c r="B140" s="845"/>
      <c r="C140" s="846"/>
      <c r="D140" s="362">
        <v>2</v>
      </c>
      <c r="E140" s="443" t="s">
        <v>335</v>
      </c>
      <c r="F140" s="444">
        <f t="shared" ref="F140:F158" si="78">IFERROR(Q140*G140,"-")</f>
        <v>2209.3500000000004</v>
      </c>
      <c r="G140" s="366">
        <v>15.450000000000001</v>
      </c>
      <c r="H140" s="445">
        <v>62876</v>
      </c>
      <c r="I140" s="445">
        <v>62876</v>
      </c>
      <c r="J140" s="447">
        <f t="shared" ref="J140:J158" si="79">IFERROR(I140/H140,"-")</f>
        <v>1</v>
      </c>
      <c r="K140" s="446">
        <v>63019</v>
      </c>
      <c r="L140" s="447">
        <f t="shared" ref="L140:L158" si="80">IFERROR(K140/H140,"-")</f>
        <v>1.0022743177046887</v>
      </c>
      <c r="M140" s="446">
        <v>0</v>
      </c>
      <c r="N140" s="447">
        <f t="shared" ref="N140:N158" si="81">IFERROR(M140/H140,"-")</f>
        <v>0</v>
      </c>
      <c r="O140" s="448">
        <f t="shared" ref="O140:O158" si="82">IFERROR(K140+M140,"-")</f>
        <v>63019</v>
      </c>
      <c r="P140" s="447">
        <f t="shared" ref="P140:P158" si="83">IFERROR(O140/H140,"-")</f>
        <v>1.0022743177046887</v>
      </c>
      <c r="Q140" s="445">
        <v>143</v>
      </c>
      <c r="R140" s="447">
        <f t="shared" ref="R140:R158" si="84">IFERROR(Q140/H140,"-")</f>
        <v>2.2743177046885936E-3</v>
      </c>
      <c r="S140" s="448">
        <f t="shared" ref="S140:S158" si="85">IFERROR(O140-H140,"-")</f>
        <v>143</v>
      </c>
      <c r="T140" s="447">
        <f t="shared" ref="T140:T158" si="86">IFERROR(S140/H140,"-")</f>
        <v>2.2743177046885936E-3</v>
      </c>
      <c r="U140" s="365">
        <f t="shared" ref="U140:U158" si="87">IFERROR(S140*G140,"-")</f>
        <v>2209.3500000000004</v>
      </c>
      <c r="V140" s="470">
        <f t="shared" ref="V140:V158" si="88">S140-Q140</f>
        <v>0</v>
      </c>
      <c r="W140" s="471">
        <f t="shared" ref="W140:W158" si="89">IFERROR(V140/H140,"-")</f>
        <v>0</v>
      </c>
      <c r="X140" s="472">
        <f t="shared" ref="X140:X158" si="90">IFERROR(V140*G140,"-")</f>
        <v>0</v>
      </c>
      <c r="Y140" s="367" t="s">
        <v>417</v>
      </c>
      <c r="Z140" s="367" t="s">
        <v>216</v>
      </c>
      <c r="AA140" s="368"/>
      <c r="AB140" s="368"/>
      <c r="AC140" s="368">
        <v>1</v>
      </c>
      <c r="AD140" s="449" t="s">
        <v>524</v>
      </c>
      <c r="AF140" s="160" t="s">
        <v>244</v>
      </c>
      <c r="AG140" s="160" t="s">
        <v>446</v>
      </c>
      <c r="AH140" s="155" t="s">
        <v>564</v>
      </c>
      <c r="AI140" s="155" t="s">
        <v>337</v>
      </c>
      <c r="AJ140" s="155" t="s">
        <v>429</v>
      </c>
      <c r="AK140" s="155" t="s">
        <v>215</v>
      </c>
      <c r="AL140" s="155" t="s">
        <v>216</v>
      </c>
      <c r="AM140" s="155" t="s">
        <v>384</v>
      </c>
    </row>
    <row r="141" spans="2:39" s="147" customFormat="1" ht="27" customHeight="1">
      <c r="B141" s="845"/>
      <c r="C141" s="846"/>
      <c r="D141" s="362">
        <v>3</v>
      </c>
      <c r="E141" s="443" t="s">
        <v>448</v>
      </c>
      <c r="F141" s="444">
        <f t="shared" si="78"/>
        <v>1881.36</v>
      </c>
      <c r="G141" s="366">
        <v>1.17</v>
      </c>
      <c r="H141" s="445">
        <v>238092</v>
      </c>
      <c r="I141" s="445">
        <v>238092</v>
      </c>
      <c r="J141" s="447">
        <f t="shared" si="79"/>
        <v>1</v>
      </c>
      <c r="K141" s="446">
        <v>239700</v>
      </c>
      <c r="L141" s="447">
        <f t="shared" si="80"/>
        <v>1.0067536918502091</v>
      </c>
      <c r="M141" s="446">
        <v>0</v>
      </c>
      <c r="N141" s="447">
        <f t="shared" si="81"/>
        <v>0</v>
      </c>
      <c r="O141" s="448">
        <f t="shared" si="82"/>
        <v>239700</v>
      </c>
      <c r="P141" s="447">
        <f t="shared" si="83"/>
        <v>1.0067536918502091</v>
      </c>
      <c r="Q141" s="445">
        <v>1608</v>
      </c>
      <c r="R141" s="447">
        <f t="shared" si="84"/>
        <v>6.7536918502091627E-3</v>
      </c>
      <c r="S141" s="448">
        <f t="shared" si="85"/>
        <v>1608</v>
      </c>
      <c r="T141" s="447">
        <f t="shared" si="86"/>
        <v>6.7536918502091627E-3</v>
      </c>
      <c r="U141" s="365">
        <f t="shared" si="87"/>
        <v>1881.36</v>
      </c>
      <c r="V141" s="470">
        <f t="shared" si="88"/>
        <v>0</v>
      </c>
      <c r="W141" s="471">
        <f t="shared" si="89"/>
        <v>0</v>
      </c>
      <c r="X141" s="472">
        <f t="shared" si="90"/>
        <v>0</v>
      </c>
      <c r="Y141" s="367" t="s">
        <v>417</v>
      </c>
      <c r="Z141" s="367" t="s">
        <v>337</v>
      </c>
      <c r="AA141" s="368"/>
      <c r="AB141" s="368"/>
      <c r="AC141" s="368">
        <v>1</v>
      </c>
      <c r="AD141" s="449" t="s">
        <v>340</v>
      </c>
      <c r="AF141" s="375">
        <f>SUM(AC139:AC158)</f>
        <v>20</v>
      </c>
      <c r="AG141" s="370">
        <f>SUMIF($Z$139:$Z$158,TRIM(AG140),$AC$139:$AC$158)</f>
        <v>7</v>
      </c>
      <c r="AH141" s="370">
        <f t="shared" ref="AH141:AM141" si="91">SUMIF($Z$139:$Z$158,TRIM(AH140),$AC$139:$AC$158)</f>
        <v>0</v>
      </c>
      <c r="AI141" s="370">
        <f t="shared" si="91"/>
        <v>7</v>
      </c>
      <c r="AJ141" s="370">
        <f t="shared" si="91"/>
        <v>0</v>
      </c>
      <c r="AK141" s="370">
        <f t="shared" si="91"/>
        <v>1</v>
      </c>
      <c r="AL141" s="370">
        <f t="shared" si="91"/>
        <v>5</v>
      </c>
      <c r="AM141" s="370">
        <f t="shared" si="91"/>
        <v>0</v>
      </c>
    </row>
    <row r="142" spans="2:39" s="147" customFormat="1" ht="27" customHeight="1">
      <c r="B142" s="845"/>
      <c r="C142" s="846"/>
      <c r="D142" s="362">
        <v>4</v>
      </c>
      <c r="E142" s="443" t="s">
        <v>336</v>
      </c>
      <c r="F142" s="444">
        <f t="shared" si="78"/>
        <v>1637.9473000000003</v>
      </c>
      <c r="G142" s="366">
        <v>147.43000000000004</v>
      </c>
      <c r="H142" s="445">
        <v>4347.82</v>
      </c>
      <c r="I142" s="445">
        <v>4347.82</v>
      </c>
      <c r="J142" s="447">
        <f t="shared" si="79"/>
        <v>1</v>
      </c>
      <c r="K142" s="446">
        <v>4423.2999999999993</v>
      </c>
      <c r="L142" s="447">
        <f t="shared" si="80"/>
        <v>1.0173604243045939</v>
      </c>
      <c r="M142" s="446">
        <v>75.47999999999999</v>
      </c>
      <c r="N142" s="447">
        <f t="shared" si="81"/>
        <v>1.7360424304594026E-2</v>
      </c>
      <c r="O142" s="448">
        <f t="shared" si="82"/>
        <v>4498.7799999999988</v>
      </c>
      <c r="P142" s="447">
        <f t="shared" si="83"/>
        <v>1.0347208486091879</v>
      </c>
      <c r="Q142" s="445">
        <v>11.11</v>
      </c>
      <c r="R142" s="447">
        <f t="shared" si="84"/>
        <v>2.5553035774250085E-3</v>
      </c>
      <c r="S142" s="448">
        <f t="shared" si="85"/>
        <v>150.95999999999913</v>
      </c>
      <c r="T142" s="447">
        <f t="shared" si="86"/>
        <v>3.4720848609187852E-2</v>
      </c>
      <c r="U142" s="365">
        <f t="shared" si="87"/>
        <v>22256.032799999877</v>
      </c>
      <c r="V142" s="470">
        <f t="shared" si="88"/>
        <v>139.84999999999911</v>
      </c>
      <c r="W142" s="471">
        <f t="shared" si="89"/>
        <v>3.2165545031762846E-2</v>
      </c>
      <c r="X142" s="472">
        <f t="shared" si="90"/>
        <v>20618.085499999874</v>
      </c>
      <c r="Y142" s="367" t="s">
        <v>417</v>
      </c>
      <c r="Z142" s="367" t="s">
        <v>215</v>
      </c>
      <c r="AA142" s="368"/>
      <c r="AB142" s="368"/>
      <c r="AC142" s="368">
        <v>1</v>
      </c>
      <c r="AD142" s="449" t="s">
        <v>340</v>
      </c>
      <c r="AF142" s="376" t="s">
        <v>11</v>
      </c>
      <c r="AG142" s="373">
        <f>SUMIF($Z$139:$Z158,TRIM(AG140),$F$139:$F$158)</f>
        <v>7386.9941000000008</v>
      </c>
      <c r="AH142" s="373">
        <f>SUMIF($Z$139:$Z158,TRIM(AH140),$F$139:$F$158)</f>
        <v>0</v>
      </c>
      <c r="AI142" s="373">
        <f>SUMIF($Z$139:$Z158,TRIM(AI140),$F$139:$F$158)</f>
        <v>9438.261599999998</v>
      </c>
      <c r="AJ142" s="373">
        <f>SUMIF($Z$139:$Z158,TRIM(AJ140),$F$139:$F$158)</f>
        <v>0</v>
      </c>
      <c r="AK142" s="373">
        <f>SUMIF($Z$139:$Z158,TRIM(AK140),$F$139:$F$158)</f>
        <v>1637.9473000000003</v>
      </c>
      <c r="AL142" s="373">
        <f>SUMIF($Z$139:$Z158,TRIM(AL140),$F$139:$F$158)</f>
        <v>7115.5838000000003</v>
      </c>
      <c r="AM142" s="373">
        <f>SUMIF($Z$139:$Z158,TRIM(AM140),$F$139:$F$158)</f>
        <v>0</v>
      </c>
    </row>
    <row r="143" spans="2:39" s="147" customFormat="1" ht="27" customHeight="1">
      <c r="B143" s="845"/>
      <c r="C143" s="846"/>
      <c r="D143" s="362">
        <v>5</v>
      </c>
      <c r="E143" s="443" t="s">
        <v>535</v>
      </c>
      <c r="F143" s="444">
        <f t="shared" si="78"/>
        <v>1515.3332999999998</v>
      </c>
      <c r="G143" s="366">
        <v>39.389999999999993</v>
      </c>
      <c r="H143" s="445">
        <v>32379.059999999998</v>
      </c>
      <c r="I143" s="445">
        <v>32379.059999999998</v>
      </c>
      <c r="J143" s="447">
        <f t="shared" si="79"/>
        <v>1</v>
      </c>
      <c r="K143" s="446">
        <v>32557.809999999998</v>
      </c>
      <c r="L143" s="447">
        <f t="shared" si="80"/>
        <v>1.0055205432152756</v>
      </c>
      <c r="M143" s="446">
        <v>178.75</v>
      </c>
      <c r="N143" s="447">
        <f t="shared" si="81"/>
        <v>5.5205432152755519E-3</v>
      </c>
      <c r="O143" s="448">
        <f t="shared" si="82"/>
        <v>32736.559999999998</v>
      </c>
      <c r="P143" s="447">
        <f t="shared" si="83"/>
        <v>1.011041086430551</v>
      </c>
      <c r="Q143" s="445">
        <v>38.47</v>
      </c>
      <c r="R143" s="447">
        <f t="shared" si="84"/>
        <v>1.1881135524008418E-3</v>
      </c>
      <c r="S143" s="448">
        <f t="shared" si="85"/>
        <v>357.5</v>
      </c>
      <c r="T143" s="447">
        <f t="shared" si="86"/>
        <v>1.1041086430551104E-2</v>
      </c>
      <c r="U143" s="365">
        <f t="shared" si="87"/>
        <v>14081.924999999997</v>
      </c>
      <c r="V143" s="470">
        <f t="shared" si="88"/>
        <v>319.02999999999997</v>
      </c>
      <c r="W143" s="471">
        <f t="shared" si="89"/>
        <v>9.8529728781502606E-3</v>
      </c>
      <c r="X143" s="472">
        <f t="shared" si="90"/>
        <v>12566.591699999997</v>
      </c>
      <c r="Y143" s="367" t="s">
        <v>417</v>
      </c>
      <c r="Z143" s="367" t="s">
        <v>216</v>
      </c>
      <c r="AA143" s="368"/>
      <c r="AB143" s="368"/>
      <c r="AC143" s="368">
        <v>1</v>
      </c>
      <c r="AD143" s="449" t="s">
        <v>340</v>
      </c>
      <c r="AF143" s="362" t="s">
        <v>565</v>
      </c>
      <c r="AG143" s="450">
        <f>AG141/$AF141</f>
        <v>0.35</v>
      </c>
      <c r="AH143" s="450">
        <f t="shared" ref="AH143:AM143" si="92">AH141/$AF141</f>
        <v>0</v>
      </c>
      <c r="AI143" s="450">
        <f t="shared" si="92"/>
        <v>0.35</v>
      </c>
      <c r="AJ143" s="450">
        <f t="shared" si="92"/>
        <v>0</v>
      </c>
      <c r="AK143" s="450">
        <f t="shared" si="92"/>
        <v>0.05</v>
      </c>
      <c r="AL143" s="450">
        <f t="shared" si="92"/>
        <v>0.25</v>
      </c>
      <c r="AM143" s="450">
        <f t="shared" si="92"/>
        <v>0</v>
      </c>
    </row>
    <row r="144" spans="2:39" s="147" customFormat="1" ht="27" customHeight="1">
      <c r="B144" s="845"/>
      <c r="C144" s="846"/>
      <c r="D144" s="362">
        <v>6</v>
      </c>
      <c r="E144" s="443" t="s">
        <v>829</v>
      </c>
      <c r="F144" s="444">
        <f t="shared" si="78"/>
        <v>1356.1470000000002</v>
      </c>
      <c r="G144" s="366">
        <v>52.26</v>
      </c>
      <c r="H144" s="445">
        <v>6370.9800000000005</v>
      </c>
      <c r="I144" s="445">
        <v>6370.9800000000005</v>
      </c>
      <c r="J144" s="447">
        <f t="shared" si="79"/>
        <v>1</v>
      </c>
      <c r="K144" s="446">
        <v>6492.48</v>
      </c>
      <c r="L144" s="447">
        <f t="shared" si="80"/>
        <v>1.0190708493826695</v>
      </c>
      <c r="M144" s="446">
        <v>121.5</v>
      </c>
      <c r="N144" s="447">
        <f t="shared" si="81"/>
        <v>1.9070849382669539E-2</v>
      </c>
      <c r="O144" s="448">
        <f t="shared" si="82"/>
        <v>6613.98</v>
      </c>
      <c r="P144" s="447">
        <f t="shared" si="83"/>
        <v>1.0381416987653389</v>
      </c>
      <c r="Q144" s="445">
        <v>25.950000000000003</v>
      </c>
      <c r="R144" s="447">
        <f t="shared" si="84"/>
        <v>4.0731567200022606E-3</v>
      </c>
      <c r="S144" s="448">
        <f t="shared" si="85"/>
        <v>242.99999999999909</v>
      </c>
      <c r="T144" s="447">
        <f t="shared" si="86"/>
        <v>3.814169876533894E-2</v>
      </c>
      <c r="U144" s="365">
        <f t="shared" si="87"/>
        <v>12699.179999999951</v>
      </c>
      <c r="V144" s="470">
        <f t="shared" si="88"/>
        <v>217.0499999999991</v>
      </c>
      <c r="W144" s="471">
        <f t="shared" si="89"/>
        <v>3.4068542045336679E-2</v>
      </c>
      <c r="X144" s="472">
        <f t="shared" si="90"/>
        <v>11343.032999999952</v>
      </c>
      <c r="Y144" s="367" t="s">
        <v>417</v>
      </c>
      <c r="Z144" s="367" t="s">
        <v>216</v>
      </c>
      <c r="AA144" s="368"/>
      <c r="AB144" s="368"/>
      <c r="AC144" s="368">
        <v>1</v>
      </c>
      <c r="AD144" s="449" t="s">
        <v>810</v>
      </c>
    </row>
    <row r="145" spans="2:34" s="147" customFormat="1" ht="27" customHeight="1">
      <c r="B145" s="845"/>
      <c r="C145" s="846"/>
      <c r="D145" s="362">
        <v>7</v>
      </c>
      <c r="E145" s="443" t="s">
        <v>386</v>
      </c>
      <c r="F145" s="444">
        <f t="shared" si="78"/>
        <v>1338.4848</v>
      </c>
      <c r="G145" s="366">
        <v>127.84000000000002</v>
      </c>
      <c r="H145" s="445">
        <v>3938.1100000000006</v>
      </c>
      <c r="I145" s="445">
        <v>3938.1100000000006</v>
      </c>
      <c r="J145" s="447">
        <f t="shared" si="79"/>
        <v>1</v>
      </c>
      <c r="K145" s="446">
        <v>3983.25</v>
      </c>
      <c r="L145" s="447">
        <f t="shared" si="80"/>
        <v>1.0114623512293968</v>
      </c>
      <c r="M145" s="446">
        <v>45.14</v>
      </c>
      <c r="N145" s="447">
        <f t="shared" si="81"/>
        <v>1.1462351229396841E-2</v>
      </c>
      <c r="O145" s="448">
        <f t="shared" si="82"/>
        <v>4028.39</v>
      </c>
      <c r="P145" s="447">
        <f t="shared" si="83"/>
        <v>1.0229247024587935</v>
      </c>
      <c r="Q145" s="445">
        <v>10.469999999999999</v>
      </c>
      <c r="R145" s="447">
        <f t="shared" si="84"/>
        <v>2.6586357415105209E-3</v>
      </c>
      <c r="S145" s="448">
        <f t="shared" si="85"/>
        <v>90.279999999999291</v>
      </c>
      <c r="T145" s="447">
        <f t="shared" si="86"/>
        <v>2.2924702458793501E-2</v>
      </c>
      <c r="U145" s="365">
        <f t="shared" si="87"/>
        <v>11541.395199999912</v>
      </c>
      <c r="V145" s="470">
        <f t="shared" si="88"/>
        <v>79.809999999999292</v>
      </c>
      <c r="W145" s="471">
        <f t="shared" si="89"/>
        <v>2.0266066717282982E-2</v>
      </c>
      <c r="X145" s="472">
        <f t="shared" si="90"/>
        <v>10202.910399999912</v>
      </c>
      <c r="Y145" s="367" t="s">
        <v>417</v>
      </c>
      <c r="Z145" s="367" t="s">
        <v>446</v>
      </c>
      <c r="AA145" s="368"/>
      <c r="AB145" s="368"/>
      <c r="AC145" s="368">
        <v>1</v>
      </c>
      <c r="AD145" s="449" t="s">
        <v>340</v>
      </c>
    </row>
    <row r="146" spans="2:34" s="147" customFormat="1" ht="27" customHeight="1">
      <c r="B146" s="845"/>
      <c r="C146" s="846"/>
      <c r="D146" s="362">
        <v>8</v>
      </c>
      <c r="E146" s="443" t="s">
        <v>830</v>
      </c>
      <c r="F146" s="444">
        <f t="shared" si="78"/>
        <v>1194.3822</v>
      </c>
      <c r="G146" s="366">
        <v>24.789999999999996</v>
      </c>
      <c r="H146" s="445">
        <v>10223.720000000001</v>
      </c>
      <c r="I146" s="445">
        <v>10223.720000000001</v>
      </c>
      <c r="J146" s="447">
        <f t="shared" si="79"/>
        <v>1</v>
      </c>
      <c r="K146" s="446">
        <v>10460.550000000001</v>
      </c>
      <c r="L146" s="447">
        <f t="shared" si="80"/>
        <v>1.0231647580332794</v>
      </c>
      <c r="M146" s="446">
        <v>236.82999999999998</v>
      </c>
      <c r="N146" s="447">
        <f t="shared" si="81"/>
        <v>2.3164758033279467E-2</v>
      </c>
      <c r="O146" s="448">
        <f t="shared" si="82"/>
        <v>10697.380000000001</v>
      </c>
      <c r="P146" s="447">
        <f t="shared" si="83"/>
        <v>1.0463295160665589</v>
      </c>
      <c r="Q146" s="445">
        <v>48.180000000000007</v>
      </c>
      <c r="R146" s="447">
        <f t="shared" si="84"/>
        <v>4.7125703755580162E-3</v>
      </c>
      <c r="S146" s="448">
        <f t="shared" si="85"/>
        <v>473.65999999999985</v>
      </c>
      <c r="T146" s="447">
        <f t="shared" si="86"/>
        <v>4.6329516066558926E-2</v>
      </c>
      <c r="U146" s="365">
        <f t="shared" si="87"/>
        <v>11742.031399999994</v>
      </c>
      <c r="V146" s="470">
        <f t="shared" si="88"/>
        <v>425.47999999999985</v>
      </c>
      <c r="W146" s="471">
        <f t="shared" si="89"/>
        <v>4.1616945691000905E-2</v>
      </c>
      <c r="X146" s="472">
        <f t="shared" si="90"/>
        <v>10547.649199999994</v>
      </c>
      <c r="Y146" s="367" t="s">
        <v>417</v>
      </c>
      <c r="Z146" s="367" t="s">
        <v>446</v>
      </c>
      <c r="AA146" s="368"/>
      <c r="AB146" s="368"/>
      <c r="AC146" s="368">
        <v>1</v>
      </c>
      <c r="AD146" s="449" t="s">
        <v>809</v>
      </c>
    </row>
    <row r="147" spans="2:34" s="147" customFormat="1" ht="27" customHeight="1">
      <c r="B147" s="845"/>
      <c r="C147" s="846"/>
      <c r="D147" s="362">
        <v>9</v>
      </c>
      <c r="E147" s="443" t="s">
        <v>725</v>
      </c>
      <c r="F147" s="444">
        <f t="shared" si="78"/>
        <v>1170.5077999999999</v>
      </c>
      <c r="G147" s="366">
        <v>625.93999999999994</v>
      </c>
      <c r="H147" s="445">
        <v>1384.34</v>
      </c>
      <c r="I147" s="445">
        <v>1384.34</v>
      </c>
      <c r="J147" s="447">
        <f t="shared" si="79"/>
        <v>1</v>
      </c>
      <c r="K147" s="446">
        <v>1397.37</v>
      </c>
      <c r="L147" s="447">
        <f t="shared" si="80"/>
        <v>1.0094124275828191</v>
      </c>
      <c r="M147" s="446">
        <v>13.03</v>
      </c>
      <c r="N147" s="447">
        <f t="shared" si="81"/>
        <v>9.4124275828192504E-3</v>
      </c>
      <c r="O147" s="448">
        <f t="shared" si="82"/>
        <v>1410.3999999999999</v>
      </c>
      <c r="P147" s="447">
        <f t="shared" si="83"/>
        <v>1.0188248551656385</v>
      </c>
      <c r="Q147" s="445">
        <v>1.87</v>
      </c>
      <c r="R147" s="447">
        <f t="shared" si="84"/>
        <v>1.3508242194836531E-3</v>
      </c>
      <c r="S147" s="448">
        <f t="shared" si="85"/>
        <v>26.059999999999945</v>
      </c>
      <c r="T147" s="447">
        <f t="shared" si="86"/>
        <v>1.8824855165638459E-2</v>
      </c>
      <c r="U147" s="365">
        <f t="shared" si="87"/>
        <v>16311.996399999964</v>
      </c>
      <c r="V147" s="470">
        <f t="shared" si="88"/>
        <v>24.189999999999944</v>
      </c>
      <c r="W147" s="471">
        <f t="shared" si="89"/>
        <v>1.7474030946154809E-2</v>
      </c>
      <c r="X147" s="472">
        <f t="shared" si="90"/>
        <v>15141.488599999964</v>
      </c>
      <c r="Y147" s="367" t="s">
        <v>417</v>
      </c>
      <c r="Z147" s="367" t="s">
        <v>337</v>
      </c>
      <c r="AA147" s="368"/>
      <c r="AB147" s="368"/>
      <c r="AC147" s="368">
        <v>1</v>
      </c>
      <c r="AD147" s="449" t="s">
        <v>730</v>
      </c>
      <c r="AH147" s="371"/>
    </row>
    <row r="148" spans="2:34" s="147" customFormat="1" ht="27" customHeight="1">
      <c r="B148" s="845"/>
      <c r="C148" s="846"/>
      <c r="D148" s="362">
        <v>10</v>
      </c>
      <c r="E148" s="443" t="s">
        <v>462</v>
      </c>
      <c r="F148" s="444">
        <f t="shared" si="78"/>
        <v>1170.2138</v>
      </c>
      <c r="G148" s="366">
        <v>407.74000000000007</v>
      </c>
      <c r="H148" s="445">
        <v>1133.27</v>
      </c>
      <c r="I148" s="445">
        <v>1133.27</v>
      </c>
      <c r="J148" s="447">
        <f t="shared" si="79"/>
        <v>1</v>
      </c>
      <c r="K148" s="446">
        <v>1145.3699999999999</v>
      </c>
      <c r="L148" s="447">
        <f t="shared" si="80"/>
        <v>1.0106770672478755</v>
      </c>
      <c r="M148" s="446">
        <v>12.1</v>
      </c>
      <c r="N148" s="447">
        <f t="shared" si="81"/>
        <v>1.0677067247875616E-2</v>
      </c>
      <c r="O148" s="448">
        <f t="shared" si="82"/>
        <v>1157.4699999999998</v>
      </c>
      <c r="P148" s="447">
        <f t="shared" si="83"/>
        <v>1.0213541344957511</v>
      </c>
      <c r="Q148" s="445">
        <v>2.8699999999999997</v>
      </c>
      <c r="R148" s="447">
        <f t="shared" si="84"/>
        <v>2.5324944629258692E-3</v>
      </c>
      <c r="S148" s="448">
        <f t="shared" si="85"/>
        <v>24.199999999999818</v>
      </c>
      <c r="T148" s="447">
        <f t="shared" si="86"/>
        <v>2.1354134495751072E-2</v>
      </c>
      <c r="U148" s="365">
        <f t="shared" si="87"/>
        <v>9867.3079999999281</v>
      </c>
      <c r="V148" s="470">
        <f t="shared" si="88"/>
        <v>21.329999999999817</v>
      </c>
      <c r="W148" s="471">
        <f t="shared" si="89"/>
        <v>1.8821640032825201E-2</v>
      </c>
      <c r="X148" s="472">
        <f t="shared" si="90"/>
        <v>8697.0941999999268</v>
      </c>
      <c r="Y148" s="367" t="s">
        <v>417</v>
      </c>
      <c r="Z148" s="367" t="s">
        <v>337</v>
      </c>
      <c r="AA148" s="368"/>
      <c r="AB148" s="383"/>
      <c r="AC148" s="368">
        <v>1</v>
      </c>
      <c r="AD148" s="449" t="s">
        <v>464</v>
      </c>
      <c r="AH148" s="371"/>
    </row>
    <row r="149" spans="2:34" s="147" customFormat="1" ht="27" customHeight="1">
      <c r="B149" s="845"/>
      <c r="C149" s="846"/>
      <c r="D149" s="362">
        <v>11</v>
      </c>
      <c r="E149" s="443" t="s">
        <v>626</v>
      </c>
      <c r="F149" s="444">
        <f t="shared" si="78"/>
        <v>1048.1678999999997</v>
      </c>
      <c r="G149" s="366">
        <v>39.389999999999993</v>
      </c>
      <c r="H149" s="445">
        <v>6360.1100000000006</v>
      </c>
      <c r="I149" s="445">
        <v>6360.1100000000006</v>
      </c>
      <c r="J149" s="447">
        <f t="shared" si="79"/>
        <v>1</v>
      </c>
      <c r="K149" s="446">
        <v>6489.25</v>
      </c>
      <c r="L149" s="447">
        <f t="shared" si="80"/>
        <v>1.0203046802649638</v>
      </c>
      <c r="M149" s="446">
        <v>129.14000000000001</v>
      </c>
      <c r="N149" s="447">
        <f t="shared" si="81"/>
        <v>2.0304680264963973E-2</v>
      </c>
      <c r="O149" s="448">
        <f t="shared" si="82"/>
        <v>6618.39</v>
      </c>
      <c r="P149" s="447">
        <f t="shared" si="83"/>
        <v>1.0406093605299278</v>
      </c>
      <c r="Q149" s="445">
        <v>26.609999999999996</v>
      </c>
      <c r="R149" s="447">
        <f t="shared" si="84"/>
        <v>4.183889901275291E-3</v>
      </c>
      <c r="S149" s="448">
        <f t="shared" si="85"/>
        <v>258.27999999999975</v>
      </c>
      <c r="T149" s="447">
        <f t="shared" si="86"/>
        <v>4.0609360529927897E-2</v>
      </c>
      <c r="U149" s="365">
        <f t="shared" si="87"/>
        <v>10173.649199999989</v>
      </c>
      <c r="V149" s="470">
        <f t="shared" si="88"/>
        <v>231.66999999999976</v>
      </c>
      <c r="W149" s="471">
        <f t="shared" si="89"/>
        <v>3.6425470628652611E-2</v>
      </c>
      <c r="X149" s="472">
        <f t="shared" si="90"/>
        <v>9125.4812999999886</v>
      </c>
      <c r="Y149" s="367" t="s">
        <v>417</v>
      </c>
      <c r="Z149" s="367" t="s">
        <v>216</v>
      </c>
      <c r="AA149" s="368"/>
      <c r="AB149" s="383"/>
      <c r="AC149" s="368">
        <v>1</v>
      </c>
      <c r="AD149" s="449" t="s">
        <v>621</v>
      </c>
      <c r="AH149" s="371"/>
    </row>
    <row r="150" spans="2:34" s="147" customFormat="1" ht="26.25" customHeight="1">
      <c r="B150" s="845"/>
      <c r="C150" s="846"/>
      <c r="D150" s="362">
        <v>12</v>
      </c>
      <c r="E150" s="443" t="s">
        <v>584</v>
      </c>
      <c r="F150" s="444">
        <f t="shared" si="78"/>
        <v>1008.1899999999999</v>
      </c>
      <c r="G150" s="366">
        <v>24.59</v>
      </c>
      <c r="H150" s="445">
        <v>12663</v>
      </c>
      <c r="I150" s="445">
        <v>12663</v>
      </c>
      <c r="J150" s="447">
        <f t="shared" si="79"/>
        <v>1</v>
      </c>
      <c r="K150" s="446">
        <v>12710</v>
      </c>
      <c r="L150" s="447">
        <f t="shared" si="80"/>
        <v>1.0037116007265261</v>
      </c>
      <c r="M150" s="446">
        <v>0</v>
      </c>
      <c r="N150" s="447">
        <f t="shared" si="81"/>
        <v>0</v>
      </c>
      <c r="O150" s="448">
        <f t="shared" si="82"/>
        <v>12710</v>
      </c>
      <c r="P150" s="447">
        <f t="shared" si="83"/>
        <v>1.0037116007265261</v>
      </c>
      <c r="Q150" s="445">
        <v>41</v>
      </c>
      <c r="R150" s="447">
        <f t="shared" si="84"/>
        <v>3.2377793571823424E-3</v>
      </c>
      <c r="S150" s="448">
        <f t="shared" si="85"/>
        <v>47</v>
      </c>
      <c r="T150" s="447">
        <f t="shared" si="86"/>
        <v>3.7116007265260995E-3</v>
      </c>
      <c r="U150" s="365">
        <f t="shared" si="87"/>
        <v>1155.73</v>
      </c>
      <c r="V150" s="470">
        <f t="shared" si="88"/>
        <v>6</v>
      </c>
      <c r="W150" s="471">
        <f t="shared" si="89"/>
        <v>4.7382136934375743E-4</v>
      </c>
      <c r="X150" s="472">
        <f t="shared" si="90"/>
        <v>147.54</v>
      </c>
      <c r="Y150" s="367" t="s">
        <v>417</v>
      </c>
      <c r="Z150" s="367" t="s">
        <v>337</v>
      </c>
      <c r="AA150" s="368"/>
      <c r="AB150" s="368"/>
      <c r="AC150" s="368">
        <v>1</v>
      </c>
      <c r="AD150" s="449" t="s">
        <v>568</v>
      </c>
      <c r="AH150" s="371"/>
    </row>
    <row r="151" spans="2:34" s="147" customFormat="1" ht="27" customHeight="1">
      <c r="B151" s="845"/>
      <c r="C151" s="846"/>
      <c r="D151" s="362">
        <v>13</v>
      </c>
      <c r="E151" s="443" t="s">
        <v>831</v>
      </c>
      <c r="F151" s="444">
        <f t="shared" si="78"/>
        <v>1006.1415000000001</v>
      </c>
      <c r="G151" s="366">
        <v>122.85000000000001</v>
      </c>
      <c r="H151" s="445">
        <v>1025.47</v>
      </c>
      <c r="I151" s="445">
        <v>1025.47</v>
      </c>
      <c r="J151" s="447">
        <f t="shared" si="79"/>
        <v>1</v>
      </c>
      <c r="K151" s="446">
        <v>1052.31</v>
      </c>
      <c r="L151" s="447">
        <f t="shared" si="80"/>
        <v>1.0261733644085151</v>
      </c>
      <c r="M151" s="446">
        <v>26.840000000000003</v>
      </c>
      <c r="N151" s="447">
        <f t="shared" si="81"/>
        <v>2.6173364408515122E-2</v>
      </c>
      <c r="O151" s="448">
        <f t="shared" si="82"/>
        <v>1079.1499999999999</v>
      </c>
      <c r="P151" s="447">
        <f t="shared" si="83"/>
        <v>1.0523467288170301</v>
      </c>
      <c r="Q151" s="445">
        <v>8.19</v>
      </c>
      <c r="R151" s="447">
        <f t="shared" si="84"/>
        <v>7.9865817625088976E-3</v>
      </c>
      <c r="S151" s="448">
        <f t="shared" si="85"/>
        <v>53.679999999999836</v>
      </c>
      <c r="T151" s="447">
        <f t="shared" si="86"/>
        <v>5.2346728817030078E-2</v>
      </c>
      <c r="U151" s="365">
        <f t="shared" si="87"/>
        <v>6594.5879999999806</v>
      </c>
      <c r="V151" s="470">
        <f t="shared" si="88"/>
        <v>45.489999999999839</v>
      </c>
      <c r="W151" s="471">
        <f t="shared" si="89"/>
        <v>4.4360147054521182E-2</v>
      </c>
      <c r="X151" s="472">
        <f t="shared" si="90"/>
        <v>5588.4464999999809</v>
      </c>
      <c r="Y151" s="367" t="s">
        <v>417</v>
      </c>
      <c r="Z151" s="367" t="s">
        <v>446</v>
      </c>
      <c r="AA151" s="368"/>
      <c r="AB151" s="383"/>
      <c r="AC151" s="368">
        <v>1</v>
      </c>
      <c r="AD151" s="449" t="s">
        <v>743</v>
      </c>
    </row>
    <row r="152" spans="2:34" s="147" customFormat="1" ht="27" customHeight="1">
      <c r="B152" s="845"/>
      <c r="C152" s="846"/>
      <c r="D152" s="362">
        <v>14</v>
      </c>
      <c r="E152" s="443" t="s">
        <v>602</v>
      </c>
      <c r="F152" s="444">
        <f t="shared" si="78"/>
        <v>996.6</v>
      </c>
      <c r="G152" s="366">
        <v>6.04</v>
      </c>
      <c r="H152" s="445">
        <v>5944</v>
      </c>
      <c r="I152" s="445">
        <v>5944</v>
      </c>
      <c r="J152" s="447">
        <f t="shared" si="79"/>
        <v>1</v>
      </c>
      <c r="K152" s="446">
        <v>6109</v>
      </c>
      <c r="L152" s="447">
        <f t="shared" si="80"/>
        <v>1.0277590847913862</v>
      </c>
      <c r="M152" s="446">
        <v>0</v>
      </c>
      <c r="N152" s="447">
        <f t="shared" si="81"/>
        <v>0</v>
      </c>
      <c r="O152" s="448">
        <f t="shared" si="82"/>
        <v>6109</v>
      </c>
      <c r="P152" s="447">
        <f t="shared" si="83"/>
        <v>1.0277590847913862</v>
      </c>
      <c r="Q152" s="445">
        <v>165</v>
      </c>
      <c r="R152" s="447">
        <f t="shared" si="84"/>
        <v>2.7759084791386272E-2</v>
      </c>
      <c r="S152" s="448">
        <f t="shared" si="85"/>
        <v>165</v>
      </c>
      <c r="T152" s="447">
        <f t="shared" si="86"/>
        <v>2.7759084791386272E-2</v>
      </c>
      <c r="U152" s="365">
        <f t="shared" si="87"/>
        <v>996.6</v>
      </c>
      <c r="V152" s="470">
        <f t="shared" si="88"/>
        <v>0</v>
      </c>
      <c r="W152" s="471">
        <f t="shared" si="89"/>
        <v>0</v>
      </c>
      <c r="X152" s="472">
        <f t="shared" si="90"/>
        <v>0</v>
      </c>
      <c r="Y152" s="367" t="s">
        <v>417</v>
      </c>
      <c r="Z152" s="367" t="s">
        <v>337</v>
      </c>
      <c r="AA152" s="368"/>
      <c r="AB152" s="368"/>
      <c r="AC152" s="368">
        <v>1</v>
      </c>
      <c r="AD152" s="449" t="s">
        <v>509</v>
      </c>
    </row>
    <row r="153" spans="2:34" s="147" customFormat="1" ht="27" customHeight="1">
      <c r="B153" s="845"/>
      <c r="C153" s="846"/>
      <c r="D153" s="362">
        <v>15</v>
      </c>
      <c r="E153" s="443" t="s">
        <v>570</v>
      </c>
      <c r="F153" s="444">
        <f t="shared" si="78"/>
        <v>986.5856</v>
      </c>
      <c r="G153" s="366">
        <v>40.04</v>
      </c>
      <c r="H153" s="445">
        <v>3448.98</v>
      </c>
      <c r="I153" s="445">
        <v>3448.98</v>
      </c>
      <c r="J153" s="447">
        <f t="shared" si="79"/>
        <v>1</v>
      </c>
      <c r="K153" s="446">
        <v>3553.7</v>
      </c>
      <c r="L153" s="447">
        <f t="shared" si="80"/>
        <v>1.0303625999570887</v>
      </c>
      <c r="M153" s="446">
        <v>104.72</v>
      </c>
      <c r="N153" s="447">
        <f t="shared" si="81"/>
        <v>3.0362599957088763E-2</v>
      </c>
      <c r="O153" s="448">
        <f t="shared" si="82"/>
        <v>3658.4199999999996</v>
      </c>
      <c r="P153" s="447">
        <f t="shared" si="83"/>
        <v>1.0607251999141774</v>
      </c>
      <c r="Q153" s="445">
        <v>24.64</v>
      </c>
      <c r="R153" s="447">
        <f t="shared" si="84"/>
        <v>7.1441411663738267E-3</v>
      </c>
      <c r="S153" s="448">
        <f t="shared" si="85"/>
        <v>209.4399999999996</v>
      </c>
      <c r="T153" s="447">
        <f t="shared" si="86"/>
        <v>6.0725199914177408E-2</v>
      </c>
      <c r="U153" s="365">
        <f t="shared" si="87"/>
        <v>8385.9775999999838</v>
      </c>
      <c r="V153" s="470">
        <f t="shared" si="88"/>
        <v>184.79999999999961</v>
      </c>
      <c r="W153" s="471">
        <f t="shared" si="89"/>
        <v>5.3581058747803584E-2</v>
      </c>
      <c r="X153" s="472">
        <f t="shared" si="90"/>
        <v>7399.3919999999844</v>
      </c>
      <c r="Y153" s="367" t="s">
        <v>417</v>
      </c>
      <c r="Z153" s="367" t="s">
        <v>216</v>
      </c>
      <c r="AA153" s="368"/>
      <c r="AB153" s="368"/>
      <c r="AC153" s="368">
        <v>1</v>
      </c>
      <c r="AD153" s="449" t="s">
        <v>534</v>
      </c>
    </row>
    <row r="154" spans="2:34" s="147" customFormat="1" ht="27" customHeight="1">
      <c r="B154" s="845"/>
      <c r="C154" s="846"/>
      <c r="D154" s="362">
        <v>16</v>
      </c>
      <c r="E154" s="443" t="s">
        <v>832</v>
      </c>
      <c r="F154" s="444">
        <f t="shared" si="78"/>
        <v>980.5548</v>
      </c>
      <c r="G154" s="366">
        <v>79.98</v>
      </c>
      <c r="H154" s="445">
        <v>635.69999999999993</v>
      </c>
      <c r="I154" s="445">
        <v>635.69999999999993</v>
      </c>
      <c r="J154" s="447">
        <f t="shared" si="79"/>
        <v>1</v>
      </c>
      <c r="K154" s="446">
        <v>650.25</v>
      </c>
      <c r="L154" s="447">
        <f t="shared" si="80"/>
        <v>1.0228881547899953</v>
      </c>
      <c r="M154" s="446">
        <v>12.52</v>
      </c>
      <c r="N154" s="447">
        <f t="shared" si="81"/>
        <v>1.9694824602800063E-2</v>
      </c>
      <c r="O154" s="448">
        <f t="shared" si="82"/>
        <v>662.77</v>
      </c>
      <c r="P154" s="447">
        <f t="shared" si="83"/>
        <v>1.0425829793927954</v>
      </c>
      <c r="Q154" s="445">
        <v>12.26</v>
      </c>
      <c r="R154" s="447">
        <f t="shared" si="84"/>
        <v>1.9285826647789838E-2</v>
      </c>
      <c r="S154" s="448">
        <f t="shared" si="85"/>
        <v>27.07000000000005</v>
      </c>
      <c r="T154" s="447">
        <f t="shared" si="86"/>
        <v>4.2582979392795428E-2</v>
      </c>
      <c r="U154" s="365">
        <f t="shared" si="87"/>
        <v>2165.0586000000039</v>
      </c>
      <c r="V154" s="470">
        <f t="shared" si="88"/>
        <v>14.81000000000005</v>
      </c>
      <c r="W154" s="471">
        <f t="shared" si="89"/>
        <v>2.3297152745005587E-2</v>
      </c>
      <c r="X154" s="472">
        <f t="shared" si="90"/>
        <v>1184.503800000004</v>
      </c>
      <c r="Y154" s="367" t="s">
        <v>417</v>
      </c>
      <c r="Z154" s="367" t="s">
        <v>446</v>
      </c>
      <c r="AA154" s="383"/>
      <c r="AB154" s="368"/>
      <c r="AC154" s="368">
        <v>1</v>
      </c>
      <c r="AD154" s="449" t="s">
        <v>583</v>
      </c>
    </row>
    <row r="155" spans="2:34" s="147" customFormat="1" ht="27" customHeight="1">
      <c r="B155" s="845"/>
      <c r="C155" s="846"/>
      <c r="D155" s="362">
        <v>17</v>
      </c>
      <c r="E155" s="443" t="s">
        <v>771</v>
      </c>
      <c r="F155" s="444">
        <f t="shared" si="78"/>
        <v>964.15539999999976</v>
      </c>
      <c r="G155" s="366">
        <v>91.13</v>
      </c>
      <c r="H155" s="445">
        <v>1281.8400000000001</v>
      </c>
      <c r="I155" s="445">
        <v>1281.8400000000001</v>
      </c>
      <c r="J155" s="447">
        <f t="shared" si="79"/>
        <v>1</v>
      </c>
      <c r="K155" s="446">
        <v>1317.8300000000002</v>
      </c>
      <c r="L155" s="447">
        <f t="shared" si="80"/>
        <v>1.0280768270610996</v>
      </c>
      <c r="M155" s="446">
        <v>35.989999999999995</v>
      </c>
      <c r="N155" s="447">
        <f t="shared" si="81"/>
        <v>2.8076827061099662E-2</v>
      </c>
      <c r="O155" s="448">
        <f t="shared" si="82"/>
        <v>1353.8200000000002</v>
      </c>
      <c r="P155" s="447">
        <f t="shared" si="83"/>
        <v>1.0561536541221994</v>
      </c>
      <c r="Q155" s="445">
        <v>10.579999999999998</v>
      </c>
      <c r="R155" s="447">
        <f t="shared" si="84"/>
        <v>8.253760219684202E-3</v>
      </c>
      <c r="S155" s="448">
        <f t="shared" si="85"/>
        <v>71.980000000000018</v>
      </c>
      <c r="T155" s="447">
        <f t="shared" si="86"/>
        <v>5.6153654122199345E-2</v>
      </c>
      <c r="U155" s="365">
        <f t="shared" si="87"/>
        <v>6559.5374000000011</v>
      </c>
      <c r="V155" s="470">
        <f t="shared" si="88"/>
        <v>61.40000000000002</v>
      </c>
      <c r="W155" s="471">
        <f t="shared" si="89"/>
        <v>4.7899893902515145E-2</v>
      </c>
      <c r="X155" s="472">
        <f t="shared" si="90"/>
        <v>5595.3820000000014</v>
      </c>
      <c r="Y155" s="367" t="s">
        <v>417</v>
      </c>
      <c r="Z155" s="367" t="s">
        <v>446</v>
      </c>
      <c r="AA155" s="368"/>
      <c r="AB155" s="368"/>
      <c r="AC155" s="368">
        <v>1</v>
      </c>
      <c r="AD155" s="449" t="s">
        <v>743</v>
      </c>
    </row>
    <row r="156" spans="2:34" s="147" customFormat="1" ht="27" customHeight="1">
      <c r="B156" s="845"/>
      <c r="C156" s="846"/>
      <c r="D156" s="362">
        <v>18</v>
      </c>
      <c r="E156" s="443" t="s">
        <v>834</v>
      </c>
      <c r="F156" s="444">
        <f t="shared" si="78"/>
        <v>954.94</v>
      </c>
      <c r="G156" s="366">
        <v>2.66</v>
      </c>
      <c r="H156" s="445">
        <v>19930</v>
      </c>
      <c r="I156" s="445">
        <v>19930</v>
      </c>
      <c r="J156" s="447">
        <f t="shared" si="79"/>
        <v>1</v>
      </c>
      <c r="K156" s="446">
        <v>20289</v>
      </c>
      <c r="L156" s="447">
        <f t="shared" si="80"/>
        <v>1.0180130456598093</v>
      </c>
      <c r="M156" s="446">
        <v>0</v>
      </c>
      <c r="N156" s="447">
        <f t="shared" si="81"/>
        <v>0</v>
      </c>
      <c r="O156" s="448">
        <f t="shared" si="82"/>
        <v>20289</v>
      </c>
      <c r="P156" s="447">
        <f t="shared" si="83"/>
        <v>1.0180130456598093</v>
      </c>
      <c r="Q156" s="445">
        <v>359</v>
      </c>
      <c r="R156" s="447">
        <f t="shared" si="84"/>
        <v>1.8013045659809334E-2</v>
      </c>
      <c r="S156" s="448">
        <f t="shared" si="85"/>
        <v>359</v>
      </c>
      <c r="T156" s="447">
        <f t="shared" si="86"/>
        <v>1.8013045659809334E-2</v>
      </c>
      <c r="U156" s="365">
        <f t="shared" si="87"/>
        <v>954.94</v>
      </c>
      <c r="V156" s="470">
        <f t="shared" si="88"/>
        <v>0</v>
      </c>
      <c r="W156" s="471">
        <f t="shared" si="89"/>
        <v>0</v>
      </c>
      <c r="X156" s="472">
        <f t="shared" si="90"/>
        <v>0</v>
      </c>
      <c r="Y156" s="367" t="s">
        <v>417</v>
      </c>
      <c r="Z156" s="367" t="s">
        <v>337</v>
      </c>
      <c r="AA156" s="368"/>
      <c r="AB156" s="368"/>
      <c r="AC156" s="368">
        <v>1</v>
      </c>
      <c r="AD156" s="449" t="s">
        <v>434</v>
      </c>
    </row>
    <row r="157" spans="2:34" s="147" customFormat="1" ht="27" customHeight="1">
      <c r="B157" s="845"/>
      <c r="C157" s="846"/>
      <c r="D157" s="362">
        <v>19</v>
      </c>
      <c r="E157" s="443" t="s">
        <v>625</v>
      </c>
      <c r="F157" s="444">
        <f t="shared" si="78"/>
        <v>952.64</v>
      </c>
      <c r="G157" s="366">
        <v>2.08</v>
      </c>
      <c r="H157" s="445">
        <v>24828</v>
      </c>
      <c r="I157" s="445">
        <v>24828</v>
      </c>
      <c r="J157" s="447">
        <f t="shared" si="79"/>
        <v>1</v>
      </c>
      <c r="K157" s="446">
        <v>25286</v>
      </c>
      <c r="L157" s="447">
        <f t="shared" si="80"/>
        <v>1.0184469147736426</v>
      </c>
      <c r="M157" s="446">
        <v>0</v>
      </c>
      <c r="N157" s="447">
        <f t="shared" si="81"/>
        <v>0</v>
      </c>
      <c r="O157" s="448">
        <f t="shared" si="82"/>
        <v>25286</v>
      </c>
      <c r="P157" s="447">
        <f t="shared" si="83"/>
        <v>1.0184469147736426</v>
      </c>
      <c r="Q157" s="445">
        <v>458</v>
      </c>
      <c r="R157" s="447">
        <f t="shared" si="84"/>
        <v>1.8446914773642662E-2</v>
      </c>
      <c r="S157" s="448">
        <f t="shared" si="85"/>
        <v>458</v>
      </c>
      <c r="T157" s="447">
        <f t="shared" si="86"/>
        <v>1.8446914773642662E-2</v>
      </c>
      <c r="U157" s="365">
        <f t="shared" si="87"/>
        <v>952.64</v>
      </c>
      <c r="V157" s="470">
        <f t="shared" si="88"/>
        <v>0</v>
      </c>
      <c r="W157" s="471">
        <f t="shared" si="89"/>
        <v>0</v>
      </c>
      <c r="X157" s="472">
        <f t="shared" si="90"/>
        <v>0</v>
      </c>
      <c r="Y157" s="367" t="s">
        <v>417</v>
      </c>
      <c r="Z157" s="367" t="s">
        <v>446</v>
      </c>
      <c r="AA157" s="368"/>
      <c r="AB157" s="368"/>
      <c r="AC157" s="368">
        <v>1</v>
      </c>
      <c r="AD157" s="449" t="s">
        <v>531</v>
      </c>
    </row>
    <row r="158" spans="2:34" s="147" customFormat="1" ht="27" customHeight="1">
      <c r="B158" s="847"/>
      <c r="C158" s="848"/>
      <c r="D158" s="362">
        <v>20</v>
      </c>
      <c r="E158" s="443" t="s">
        <v>833</v>
      </c>
      <c r="F158" s="444">
        <f t="shared" si="78"/>
        <v>950.63539999999978</v>
      </c>
      <c r="G158" s="366">
        <v>170.05999999999997</v>
      </c>
      <c r="H158" s="445">
        <v>160.23000000000002</v>
      </c>
      <c r="I158" s="445">
        <v>160.23000000000002</v>
      </c>
      <c r="J158" s="447">
        <f t="shared" si="79"/>
        <v>1</v>
      </c>
      <c r="K158" s="446">
        <v>171.47000000000003</v>
      </c>
      <c r="L158" s="447">
        <f t="shared" si="80"/>
        <v>1.070149160581664</v>
      </c>
      <c r="M158" s="446">
        <v>11.24</v>
      </c>
      <c r="N158" s="447">
        <f t="shared" si="81"/>
        <v>7.0149160581663858E-2</v>
      </c>
      <c r="O158" s="448">
        <f t="shared" si="82"/>
        <v>182.71000000000004</v>
      </c>
      <c r="P158" s="447">
        <f t="shared" si="83"/>
        <v>1.1402983211633277</v>
      </c>
      <c r="Q158" s="445">
        <v>5.59</v>
      </c>
      <c r="R158" s="447">
        <f t="shared" si="84"/>
        <v>3.4887349435186912E-2</v>
      </c>
      <c r="S158" s="448">
        <f t="shared" si="85"/>
        <v>22.480000000000018</v>
      </c>
      <c r="T158" s="447">
        <f t="shared" si="86"/>
        <v>0.14029832116332783</v>
      </c>
      <c r="U158" s="365">
        <f t="shared" si="87"/>
        <v>3822.9488000000024</v>
      </c>
      <c r="V158" s="470">
        <f t="shared" si="88"/>
        <v>16.890000000000018</v>
      </c>
      <c r="W158" s="471">
        <f t="shared" si="89"/>
        <v>0.1054109717281409</v>
      </c>
      <c r="X158" s="472">
        <f t="shared" si="90"/>
        <v>2872.3134000000027</v>
      </c>
      <c r="Y158" s="367" t="s">
        <v>417</v>
      </c>
      <c r="Z158" s="367" t="s">
        <v>446</v>
      </c>
      <c r="AA158" s="368"/>
      <c r="AB158" s="368"/>
      <c r="AC158" s="368">
        <v>1</v>
      </c>
      <c r="AD158" s="449" t="s">
        <v>743</v>
      </c>
    </row>
    <row r="168" ht="14.15" customHeight="1"/>
  </sheetData>
  <mergeCells count="144">
    <mergeCell ref="B2:AD2"/>
    <mergeCell ref="AF3:AM5"/>
    <mergeCell ref="AF27:AM29"/>
    <mergeCell ref="B137:C138"/>
    <mergeCell ref="D137:D138"/>
    <mergeCell ref="E137:E138"/>
    <mergeCell ref="F137:F138"/>
    <mergeCell ref="G137:G138"/>
    <mergeCell ref="H137:H138"/>
    <mergeCell ref="I137:J137"/>
    <mergeCell ref="K137:L137"/>
    <mergeCell ref="M137:N137"/>
    <mergeCell ref="O137:P137"/>
    <mergeCell ref="Q137:R137"/>
    <mergeCell ref="S137:U137"/>
    <mergeCell ref="V137:X137"/>
    <mergeCell ref="Y137:Y138"/>
    <mergeCell ref="Z137:Z138"/>
    <mergeCell ref="AA137:AA138"/>
    <mergeCell ref="AB137:AB138"/>
    <mergeCell ref="AC137:AC138"/>
    <mergeCell ref="AD137:AD138"/>
    <mergeCell ref="AF137:AM139"/>
    <mergeCell ref="B139:C158"/>
    <mergeCell ref="G49:G50"/>
    <mergeCell ref="B73:C92"/>
    <mergeCell ref="K27:L27"/>
    <mergeCell ref="M27:N27"/>
    <mergeCell ref="V115:X115"/>
    <mergeCell ref="AF49:AM51"/>
    <mergeCell ref="AC49:AC50"/>
    <mergeCell ref="AD49:AD50"/>
    <mergeCell ref="AF71:AM73"/>
    <mergeCell ref="Y71:Y72"/>
    <mergeCell ref="Z71:Z72"/>
    <mergeCell ref="AA71:AA72"/>
    <mergeCell ref="AB71:AB72"/>
    <mergeCell ref="AC71:AC72"/>
    <mergeCell ref="AD71:AD72"/>
    <mergeCell ref="Y49:Y50"/>
    <mergeCell ref="Z49:Z50"/>
    <mergeCell ref="AA49:AA50"/>
    <mergeCell ref="AB49:AB50"/>
    <mergeCell ref="AF108:AM110"/>
    <mergeCell ref="Y93:Y94"/>
    <mergeCell ref="AF93:AM95"/>
    <mergeCell ref="AC93:AC94"/>
    <mergeCell ref="AF115:AM117"/>
    <mergeCell ref="AD3:AD6"/>
    <mergeCell ref="AC3:AC6"/>
    <mergeCell ref="B93:C94"/>
    <mergeCell ref="D93:D94"/>
    <mergeCell ref="E93:E94"/>
    <mergeCell ref="F93:F94"/>
    <mergeCell ref="H71:H72"/>
    <mergeCell ref="I71:J71"/>
    <mergeCell ref="I27:J27"/>
    <mergeCell ref="F27:F28"/>
    <mergeCell ref="G27:G28"/>
    <mergeCell ref="H27:H28"/>
    <mergeCell ref="G93:G94"/>
    <mergeCell ref="H93:H94"/>
    <mergeCell ref="I93:J93"/>
    <mergeCell ref="Z93:Z94"/>
    <mergeCell ref="AA93:AA94"/>
    <mergeCell ref="AB93:AB94"/>
    <mergeCell ref="H49:H50"/>
    <mergeCell ref="I49:J49"/>
    <mergeCell ref="K49:L49"/>
    <mergeCell ref="M49:N49"/>
    <mergeCell ref="B27:C28"/>
    <mergeCell ref="D27:D28"/>
    <mergeCell ref="AD115:AD116"/>
    <mergeCell ref="AD93:AD94"/>
    <mergeCell ref="Z27:Z28"/>
    <mergeCell ref="Y27:Y28"/>
    <mergeCell ref="AD27:AD28"/>
    <mergeCell ref="AC27:AC28"/>
    <mergeCell ref="AB27:AB28"/>
    <mergeCell ref="AA27:AA28"/>
    <mergeCell ref="B117:C136"/>
    <mergeCell ref="O115:P115"/>
    <mergeCell ref="Q115:R115"/>
    <mergeCell ref="S115:U115"/>
    <mergeCell ref="Y115:Y116"/>
    <mergeCell ref="Z115:Z116"/>
    <mergeCell ref="AA115:AA116"/>
    <mergeCell ref="AB115:AB116"/>
    <mergeCell ref="AC115:AC116"/>
    <mergeCell ref="B115:C116"/>
    <mergeCell ref="D115:D116"/>
    <mergeCell ref="E115:E116"/>
    <mergeCell ref="F115:F116"/>
    <mergeCell ref="G115:G116"/>
    <mergeCell ref="H115:H116"/>
    <mergeCell ref="I115:J115"/>
    <mergeCell ref="K115:L115"/>
    <mergeCell ref="M115:N115"/>
    <mergeCell ref="B95:C114"/>
    <mergeCell ref="S71:U71"/>
    <mergeCell ref="Q71:R71"/>
    <mergeCell ref="O71:P71"/>
    <mergeCell ref="M71:N71"/>
    <mergeCell ref="K71:L71"/>
    <mergeCell ref="S49:U49"/>
    <mergeCell ref="Q49:R49"/>
    <mergeCell ref="O49:P49"/>
    <mergeCell ref="K93:L93"/>
    <mergeCell ref="M93:N93"/>
    <mergeCell ref="O93:P93"/>
    <mergeCell ref="Q93:R93"/>
    <mergeCell ref="S93:U93"/>
    <mergeCell ref="B51:C70"/>
    <mergeCell ref="B71:C72"/>
    <mergeCell ref="D71:D72"/>
    <mergeCell ref="E71:E72"/>
    <mergeCell ref="F71:F72"/>
    <mergeCell ref="G71:G72"/>
    <mergeCell ref="B49:C50"/>
    <mergeCell ref="D49:D50"/>
    <mergeCell ref="E49:E50"/>
    <mergeCell ref="F49:F50"/>
    <mergeCell ref="AB3:AB6"/>
    <mergeCell ref="AA3:AA6"/>
    <mergeCell ref="G3:U3"/>
    <mergeCell ref="D3:F3"/>
    <mergeCell ref="B29:C48"/>
    <mergeCell ref="B3:C6"/>
    <mergeCell ref="B7:C26"/>
    <mergeCell ref="F5:F6"/>
    <mergeCell ref="E5:E6"/>
    <mergeCell ref="Q4:U4"/>
    <mergeCell ref="G4:P4"/>
    <mergeCell ref="G5:P5"/>
    <mergeCell ref="E4:F4"/>
    <mergeCell ref="D4:D6"/>
    <mergeCell ref="Z3:Z6"/>
    <mergeCell ref="Y3:Y6"/>
    <mergeCell ref="S27:U27"/>
    <mergeCell ref="Q27:R27"/>
    <mergeCell ref="O27:P27"/>
    <mergeCell ref="S5:U5"/>
    <mergeCell ref="Q5:R5"/>
    <mergeCell ref="E27:E28"/>
  </mergeCells>
  <phoneticPr fontId="13" type="noConversion"/>
  <dataValidations count="1">
    <dataValidation type="list" allowBlank="1" showInputMessage="1" showErrorMessage="1" sqref="Y3:Y26 Y1:Z2 Z3:Z6 Y29:Y48 Y95:Y114 Y73:Y92 Y93:Z93 Y71:Z71 Y27:Z27 Y49:Z49 Y51:Y70 Y115:Z115 Y117:Y136 Y159:Z1048576 Y137:Z137 Y139:Y158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158"/>
  <sheetViews>
    <sheetView zoomScale="70" zoomScaleNormal="70" workbookViewId="0">
      <pane xSplit="3" ySplit="2" topLeftCell="AC139" activePane="bottomRight" state="frozen"/>
      <selection pane="topRight" activeCell="D1" sqref="D1"/>
      <selection pane="bottomLeft" activeCell="A4" sqref="A4"/>
      <selection pane="bottomRight" activeCell="AJ143" sqref="AJ143"/>
    </sheetView>
  </sheetViews>
  <sheetFormatPr defaultColWidth="8.81640625" defaultRowHeight="16"/>
  <cols>
    <col min="1" max="1" width="8.81640625" style="145"/>
    <col min="2" max="2" width="12.453125" style="145" customWidth="1"/>
    <col min="3" max="3" width="8.81640625" style="145"/>
    <col min="4" max="4" width="11.54296875" style="145" customWidth="1"/>
    <col min="5" max="5" width="39.26953125" style="145" bestFit="1" customWidth="1"/>
    <col min="6" max="6" width="11.453125" style="145" bestFit="1" customWidth="1"/>
    <col min="7" max="8" width="15.81640625" style="145" bestFit="1" customWidth="1"/>
    <col min="9" max="9" width="16.81640625" style="145" customWidth="1"/>
    <col min="10" max="10" width="14" style="145" customWidth="1"/>
    <col min="11" max="11" width="15.453125" style="145" bestFit="1" customWidth="1"/>
    <col min="12" max="12" width="12.26953125" style="145" bestFit="1" customWidth="1"/>
    <col min="13" max="13" width="19.1796875" style="145" bestFit="1" customWidth="1"/>
    <col min="14" max="14" width="15.26953125" style="145" bestFit="1" customWidth="1"/>
    <col min="15" max="15" width="19.1796875" style="145" bestFit="1" customWidth="1"/>
    <col min="16" max="16" width="12.54296875" style="145" bestFit="1" customWidth="1"/>
    <col min="17" max="17" width="9.1796875" style="145" bestFit="1" customWidth="1"/>
    <col min="18" max="18" width="12.26953125" style="145" bestFit="1" customWidth="1"/>
    <col min="19" max="19" width="12.54296875" style="145" bestFit="1" customWidth="1"/>
    <col min="20" max="20" width="12.453125" style="145" bestFit="1" customWidth="1"/>
    <col min="21" max="21" width="11.453125" style="145" bestFit="1" customWidth="1"/>
    <col min="22" max="24" width="11.453125" style="145" customWidth="1"/>
    <col min="25" max="25" width="12.453125" style="145" bestFit="1" customWidth="1"/>
    <col min="26" max="26" width="15.26953125" style="145" bestFit="1" customWidth="1"/>
    <col min="27" max="27" width="66.81640625" style="145" bestFit="1" customWidth="1"/>
    <col min="28" max="28" width="113.453125" style="145" bestFit="1" customWidth="1"/>
    <col min="29" max="29" width="11.453125" style="145" bestFit="1" customWidth="1"/>
    <col min="30" max="30" width="37.7265625" style="145" bestFit="1" customWidth="1"/>
    <col min="31" max="31" width="19.453125" style="145" bestFit="1" customWidth="1"/>
    <col min="32" max="32" width="21.54296875" style="145" customWidth="1"/>
    <col min="33" max="33" width="19.453125" style="145" bestFit="1" customWidth="1"/>
    <col min="34" max="39" width="14.453125" style="145" customWidth="1"/>
    <col min="40" max="16384" width="8.81640625" style="145"/>
  </cols>
  <sheetData>
    <row r="2" spans="2:39" ht="41.15" customHeight="1">
      <c r="B2" s="902" t="s">
        <v>450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Z2" s="903"/>
      <c r="AA2" s="903"/>
      <c r="AB2" s="903"/>
      <c r="AD2" s="146"/>
      <c r="AE2" s="146"/>
      <c r="AF2" s="146"/>
      <c r="AG2" s="146"/>
    </row>
    <row r="3" spans="2:39" ht="17.149999999999999" hidden="1" customHeight="1">
      <c r="B3" s="849" t="s">
        <v>443</v>
      </c>
      <c r="C3" s="870"/>
      <c r="D3" s="907" t="s">
        <v>170</v>
      </c>
      <c r="E3" s="907"/>
      <c r="F3" s="907"/>
      <c r="G3" s="840" t="s">
        <v>184</v>
      </c>
      <c r="H3" s="841"/>
      <c r="I3" s="841"/>
      <c r="J3" s="841"/>
      <c r="K3" s="841"/>
      <c r="L3" s="841"/>
      <c r="M3" s="841"/>
      <c r="N3" s="841"/>
      <c r="O3" s="841"/>
      <c r="P3" s="841"/>
      <c r="Q3" s="841"/>
      <c r="R3" s="841"/>
      <c r="S3" s="841"/>
      <c r="T3" s="841"/>
      <c r="U3" s="842"/>
      <c r="Y3" s="861" t="s">
        <v>171</v>
      </c>
      <c r="Z3" s="861" t="s">
        <v>245</v>
      </c>
      <c r="AA3" s="837" t="s">
        <v>444</v>
      </c>
      <c r="AB3" s="837" t="s">
        <v>445</v>
      </c>
      <c r="AC3" s="861" t="s">
        <v>246</v>
      </c>
      <c r="AD3" s="835" t="s">
        <v>172</v>
      </c>
      <c r="AF3" s="893" t="s">
        <v>247</v>
      </c>
      <c r="AG3" s="894"/>
      <c r="AH3" s="894"/>
      <c r="AI3" s="894"/>
      <c r="AJ3" s="894"/>
      <c r="AK3" s="894"/>
      <c r="AL3" s="894"/>
      <c r="AM3" s="895"/>
    </row>
    <row r="4" spans="2:39" ht="17.149999999999999" hidden="1" customHeight="1">
      <c r="B4" s="873"/>
      <c r="C4" s="874"/>
      <c r="D4" s="875" t="s">
        <v>169</v>
      </c>
      <c r="E4" s="907" t="s">
        <v>173</v>
      </c>
      <c r="F4" s="907"/>
      <c r="G4" s="840" t="s">
        <v>185</v>
      </c>
      <c r="H4" s="841"/>
      <c r="I4" s="841"/>
      <c r="J4" s="841"/>
      <c r="K4" s="841"/>
      <c r="L4" s="841"/>
      <c r="M4" s="841"/>
      <c r="N4" s="841"/>
      <c r="O4" s="841"/>
      <c r="P4" s="842"/>
      <c r="Q4" s="840" t="s">
        <v>174</v>
      </c>
      <c r="R4" s="841"/>
      <c r="S4" s="841"/>
      <c r="T4" s="841"/>
      <c r="U4" s="842"/>
      <c r="Y4" s="862"/>
      <c r="Z4" s="862"/>
      <c r="AA4" s="838"/>
      <c r="AB4" s="838"/>
      <c r="AC4" s="862"/>
      <c r="AD4" s="879"/>
      <c r="AF4" s="896"/>
      <c r="AG4" s="897"/>
      <c r="AH4" s="897"/>
      <c r="AI4" s="897"/>
      <c r="AJ4" s="897"/>
      <c r="AK4" s="897"/>
      <c r="AL4" s="897"/>
      <c r="AM4" s="898"/>
    </row>
    <row r="5" spans="2:39" ht="17.149999999999999" hidden="1" customHeight="1">
      <c r="B5" s="873"/>
      <c r="C5" s="874"/>
      <c r="D5" s="875"/>
      <c r="E5" s="875" t="s">
        <v>175</v>
      </c>
      <c r="F5" s="906" t="s">
        <v>569</v>
      </c>
      <c r="G5" s="857" t="s">
        <v>186</v>
      </c>
      <c r="H5" s="858"/>
      <c r="I5" s="858"/>
      <c r="J5" s="858"/>
      <c r="K5" s="858"/>
      <c r="L5" s="858"/>
      <c r="M5" s="858"/>
      <c r="N5" s="858"/>
      <c r="O5" s="858"/>
      <c r="P5" s="859"/>
      <c r="Q5" s="857" t="s">
        <v>168</v>
      </c>
      <c r="R5" s="859"/>
      <c r="S5" s="857" t="s">
        <v>176</v>
      </c>
      <c r="T5" s="858"/>
      <c r="U5" s="859"/>
      <c r="Y5" s="862"/>
      <c r="Z5" s="862"/>
      <c r="AA5" s="838"/>
      <c r="AB5" s="838"/>
      <c r="AC5" s="862"/>
      <c r="AD5" s="879"/>
      <c r="AF5" s="899"/>
      <c r="AG5" s="900"/>
      <c r="AH5" s="900"/>
      <c r="AI5" s="900"/>
      <c r="AJ5" s="900"/>
      <c r="AK5" s="900"/>
      <c r="AL5" s="900"/>
      <c r="AM5" s="901"/>
    </row>
    <row r="6" spans="2:39" ht="38.5" hidden="1" customHeight="1">
      <c r="B6" s="871"/>
      <c r="C6" s="872"/>
      <c r="D6" s="875"/>
      <c r="E6" s="875"/>
      <c r="F6" s="877"/>
      <c r="G6" s="363" t="s">
        <v>177</v>
      </c>
      <c r="H6" s="363" t="s">
        <v>252</v>
      </c>
      <c r="I6" s="442" t="s">
        <v>561</v>
      </c>
      <c r="J6" s="363" t="s">
        <v>562</v>
      </c>
      <c r="K6" s="363" t="s">
        <v>253</v>
      </c>
      <c r="L6" s="363" t="s">
        <v>178</v>
      </c>
      <c r="M6" s="363" t="s">
        <v>250</v>
      </c>
      <c r="N6" s="363" t="s">
        <v>179</v>
      </c>
      <c r="O6" s="363" t="s">
        <v>187</v>
      </c>
      <c r="P6" s="363" t="s">
        <v>180</v>
      </c>
      <c r="Q6" s="364" t="s">
        <v>181</v>
      </c>
      <c r="R6" s="364" t="s">
        <v>182</v>
      </c>
      <c r="S6" s="364" t="s">
        <v>181</v>
      </c>
      <c r="T6" s="364" t="s">
        <v>182</v>
      </c>
      <c r="U6" s="363" t="s">
        <v>183</v>
      </c>
      <c r="Y6" s="863"/>
      <c r="Z6" s="863"/>
      <c r="AA6" s="839"/>
      <c r="AB6" s="839"/>
      <c r="AC6" s="863"/>
      <c r="AD6" s="836"/>
      <c r="AF6" s="160" t="s">
        <v>244</v>
      </c>
      <c r="AG6" s="160" t="s">
        <v>446</v>
      </c>
      <c r="AH6" s="155" t="s">
        <v>383</v>
      </c>
      <c r="AI6" s="155" t="s">
        <v>337</v>
      </c>
      <c r="AJ6" s="155" t="s">
        <v>429</v>
      </c>
      <c r="AK6" s="155" t="s">
        <v>215</v>
      </c>
      <c r="AL6" s="155" t="s">
        <v>216</v>
      </c>
      <c r="AM6" s="155" t="s">
        <v>384</v>
      </c>
    </row>
    <row r="7" spans="2:39" s="147" customFormat="1" ht="27" hidden="1" customHeight="1">
      <c r="B7" s="843" t="s">
        <v>566</v>
      </c>
      <c r="C7" s="844"/>
      <c r="D7" s="362">
        <v>1</v>
      </c>
      <c r="E7" s="443" t="s">
        <v>336</v>
      </c>
      <c r="F7" s="365">
        <v>16380.947300000002</v>
      </c>
      <c r="G7" s="366">
        <v>147.43000000000004</v>
      </c>
      <c r="H7" s="445">
        <v>5035.0899999999992</v>
      </c>
      <c r="I7" s="445">
        <v>5035.0899999999992</v>
      </c>
      <c r="J7" s="447">
        <f>IFERROR(I7/H7,"-")</f>
        <v>1</v>
      </c>
      <c r="K7" s="446">
        <v>5035.0899999999992</v>
      </c>
      <c r="L7" s="447">
        <f>IFERROR(K7/H7,"-")</f>
        <v>1</v>
      </c>
      <c r="M7" s="446">
        <v>111.11000000000001</v>
      </c>
      <c r="N7" s="447">
        <f>IFERROR(M7/H7,"-")</f>
        <v>2.2067132861577455E-2</v>
      </c>
      <c r="O7" s="448">
        <f>IFERROR(K7+M7,"-")</f>
        <v>5146.1999999999989</v>
      </c>
      <c r="P7" s="447">
        <f>IFERROR(O7/H7,"-")</f>
        <v>1.0220671328615774</v>
      </c>
      <c r="Q7" s="445">
        <v>9.8000000000000007</v>
      </c>
      <c r="R7" s="447">
        <f>IFERROR(Q7/H7,"-")</f>
        <v>1.9463405817969496E-3</v>
      </c>
      <c r="S7" s="455">
        <f>IFERROR(Q7*G7,"-")</f>
        <v>1444.8140000000005</v>
      </c>
      <c r="T7" s="448">
        <f>IFERROR(O7-H7,"-")</f>
        <v>111.10999999999967</v>
      </c>
      <c r="U7" s="447">
        <f>IFERROR(T7/H7,"-")</f>
        <v>2.2067132861577389E-2</v>
      </c>
      <c r="Y7" s="367" t="s">
        <v>174</v>
      </c>
      <c r="Z7" s="367" t="s">
        <v>215</v>
      </c>
      <c r="AA7" s="368" t="s">
        <v>479</v>
      </c>
      <c r="AB7" s="368" t="s">
        <v>525</v>
      </c>
      <c r="AC7" s="368">
        <v>1</v>
      </c>
      <c r="AD7" s="449" t="s">
        <v>340</v>
      </c>
      <c r="AE7" s="369" t="s">
        <v>447</v>
      </c>
      <c r="AF7" s="375">
        <f>SUM(AC7:AC26)</f>
        <v>20</v>
      </c>
      <c r="AG7" s="370">
        <f t="shared" ref="AG7:AM7" si="0">SUMIF($Z$7:$Z$26,TRIM(AG6),$AC$7:$AC$26)</f>
        <v>0</v>
      </c>
      <c r="AH7" s="370">
        <f t="shared" si="0"/>
        <v>0</v>
      </c>
      <c r="AI7" s="370">
        <f t="shared" si="0"/>
        <v>0</v>
      </c>
      <c r="AJ7" s="370">
        <f t="shared" si="0"/>
        <v>12</v>
      </c>
      <c r="AK7" s="370">
        <f t="shared" si="0"/>
        <v>1</v>
      </c>
      <c r="AL7" s="370">
        <f t="shared" si="0"/>
        <v>7</v>
      </c>
      <c r="AM7" s="370">
        <f t="shared" si="0"/>
        <v>0</v>
      </c>
    </row>
    <row r="8" spans="2:39" s="147" customFormat="1" ht="27" hidden="1" customHeight="1">
      <c r="B8" s="845"/>
      <c r="C8" s="846"/>
      <c r="D8" s="362">
        <v>2</v>
      </c>
      <c r="E8" s="443" t="s">
        <v>535</v>
      </c>
      <c r="F8" s="365">
        <v>13027.84859999999</v>
      </c>
      <c r="G8" s="366">
        <v>39.389999999999993</v>
      </c>
      <c r="H8" s="445">
        <v>38623.35</v>
      </c>
      <c r="I8" s="445">
        <v>38623.35</v>
      </c>
      <c r="J8" s="447">
        <f t="shared" ref="J8:J26" si="1">IFERROR(I8/H8,"-")</f>
        <v>1</v>
      </c>
      <c r="K8" s="446">
        <v>38623.35</v>
      </c>
      <c r="L8" s="447">
        <f t="shared" ref="L8:L26" si="2">IFERROR(K8/H8,"-")</f>
        <v>1</v>
      </c>
      <c r="M8" s="446">
        <v>330.74</v>
      </c>
      <c r="N8" s="447">
        <f t="shared" ref="N8:N26" si="3">IFERROR(M8/H8,"-")</f>
        <v>8.5632137036274689E-3</v>
      </c>
      <c r="O8" s="448">
        <f t="shared" ref="O8:O26" si="4">IFERROR(K8+M8,"-")</f>
        <v>38954.089999999997</v>
      </c>
      <c r="P8" s="447">
        <f t="shared" ref="P8:P26" si="5">IFERROR(O8/H8,"-")</f>
        <v>1.0085632137036273</v>
      </c>
      <c r="Q8" s="445">
        <v>38.200000000000003</v>
      </c>
      <c r="R8" s="447">
        <f t="shared" ref="R8:R26" si="6">IFERROR(Q8/H8,"-")</f>
        <v>9.8903901396435066E-4</v>
      </c>
      <c r="S8" s="455">
        <f t="shared" ref="S8:S26" si="7">IFERROR(Q8*G8,"-")</f>
        <v>1504.6979999999999</v>
      </c>
      <c r="T8" s="448">
        <f t="shared" ref="T8:T26" si="8">IFERROR(O8-H8,"-")</f>
        <v>330.73999999999796</v>
      </c>
      <c r="U8" s="447">
        <f t="shared" ref="U8:U26" si="9">IFERROR(T8/H8,"-")</f>
        <v>8.5632137036274168E-3</v>
      </c>
      <c r="Y8" s="367" t="s">
        <v>174</v>
      </c>
      <c r="Z8" s="367" t="s">
        <v>216</v>
      </c>
      <c r="AA8" s="368" t="s">
        <v>595</v>
      </c>
      <c r="AB8" s="368" t="s">
        <v>575</v>
      </c>
      <c r="AC8" s="368">
        <v>1</v>
      </c>
      <c r="AD8" s="449" t="s">
        <v>340</v>
      </c>
      <c r="AF8" s="376"/>
      <c r="AG8" s="373">
        <f t="shared" ref="AG8:AM8" si="10">SUMIF($Z$7:$Z$26,TRIM(AG6),$F$7:$F$26)</f>
        <v>0</v>
      </c>
      <c r="AH8" s="373">
        <f t="shared" si="10"/>
        <v>0</v>
      </c>
      <c r="AI8" s="373">
        <f t="shared" si="10"/>
        <v>0</v>
      </c>
      <c r="AJ8" s="373">
        <f t="shared" si="10"/>
        <v>69778.58560000002</v>
      </c>
      <c r="AK8" s="373">
        <f t="shared" si="10"/>
        <v>16380.947300000002</v>
      </c>
      <c r="AL8" s="373">
        <f t="shared" si="10"/>
        <v>53400.977999999974</v>
      </c>
      <c r="AM8" s="373">
        <f t="shared" si="10"/>
        <v>0</v>
      </c>
    </row>
    <row r="9" spans="2:39" s="147" customFormat="1" ht="27" hidden="1" customHeight="1">
      <c r="B9" s="845"/>
      <c r="C9" s="846"/>
      <c r="D9" s="362">
        <v>3</v>
      </c>
      <c r="E9" s="443" t="s">
        <v>386</v>
      </c>
      <c r="F9" s="365">
        <v>11716.536000000006</v>
      </c>
      <c r="G9" s="366">
        <v>127.84000000000002</v>
      </c>
      <c r="H9" s="445">
        <v>4439.49</v>
      </c>
      <c r="I9" s="445">
        <v>4439.49</v>
      </c>
      <c r="J9" s="447">
        <f t="shared" si="1"/>
        <v>1</v>
      </c>
      <c r="K9" s="446">
        <v>4439.49</v>
      </c>
      <c r="L9" s="447">
        <f t="shared" si="2"/>
        <v>1</v>
      </c>
      <c r="M9" s="446">
        <v>91.65</v>
      </c>
      <c r="N9" s="447">
        <f t="shared" si="3"/>
        <v>2.0644263192393722E-2</v>
      </c>
      <c r="O9" s="448">
        <f t="shared" si="4"/>
        <v>4531.1399999999994</v>
      </c>
      <c r="P9" s="447">
        <f t="shared" si="5"/>
        <v>1.0206442631923935</v>
      </c>
      <c r="Q9" s="445">
        <v>19.840000000000003</v>
      </c>
      <c r="R9" s="447">
        <f t="shared" si="6"/>
        <v>4.4689817974587183E-3</v>
      </c>
      <c r="S9" s="455">
        <f t="shared" si="7"/>
        <v>2536.3456000000006</v>
      </c>
      <c r="T9" s="448">
        <f t="shared" si="8"/>
        <v>91.649999999999636</v>
      </c>
      <c r="U9" s="447">
        <f t="shared" si="9"/>
        <v>2.0644263192393639E-2</v>
      </c>
      <c r="Y9" s="367" t="s">
        <v>174</v>
      </c>
      <c r="Z9" s="367" t="s">
        <v>429</v>
      </c>
      <c r="AA9" s="368" t="s">
        <v>572</v>
      </c>
      <c r="AB9" s="368" t="s">
        <v>611</v>
      </c>
      <c r="AC9" s="368">
        <v>1</v>
      </c>
      <c r="AD9" s="449" t="s">
        <v>340</v>
      </c>
      <c r="AF9" s="362"/>
      <c r="AG9" s="374">
        <f t="shared" ref="AG9:AM9" si="11">AG7/$AF7</f>
        <v>0</v>
      </c>
      <c r="AH9" s="374">
        <f t="shared" si="11"/>
        <v>0</v>
      </c>
      <c r="AI9" s="374">
        <f t="shared" si="11"/>
        <v>0</v>
      </c>
      <c r="AJ9" s="374">
        <f t="shared" si="11"/>
        <v>0.6</v>
      </c>
      <c r="AK9" s="374">
        <f t="shared" si="11"/>
        <v>0.05</v>
      </c>
      <c r="AL9" s="374">
        <f t="shared" si="11"/>
        <v>0.35</v>
      </c>
      <c r="AM9" s="374">
        <f t="shared" si="11"/>
        <v>0</v>
      </c>
    </row>
    <row r="10" spans="2:39" s="147" customFormat="1" ht="27" hidden="1" customHeight="1">
      <c r="B10" s="845"/>
      <c r="C10" s="846"/>
      <c r="D10" s="362">
        <v>4</v>
      </c>
      <c r="E10" s="443" t="s">
        <v>460</v>
      </c>
      <c r="F10" s="365">
        <v>10025.658999999998</v>
      </c>
      <c r="G10" s="366">
        <v>605.77999999999986</v>
      </c>
      <c r="H10" s="445">
        <v>1046.28</v>
      </c>
      <c r="I10" s="445">
        <v>1046.28</v>
      </c>
      <c r="J10" s="447">
        <f t="shared" si="1"/>
        <v>1</v>
      </c>
      <c r="K10" s="446">
        <v>1046.28</v>
      </c>
      <c r="L10" s="447">
        <f t="shared" si="2"/>
        <v>1</v>
      </c>
      <c r="M10" s="446">
        <v>16.549999999999997</v>
      </c>
      <c r="N10" s="447">
        <f t="shared" si="3"/>
        <v>1.5817945483044691E-2</v>
      </c>
      <c r="O10" s="448">
        <f t="shared" si="4"/>
        <v>1062.83</v>
      </c>
      <c r="P10" s="447">
        <f t="shared" si="5"/>
        <v>1.0158179454830447</v>
      </c>
      <c r="Q10" s="445">
        <v>2.56</v>
      </c>
      <c r="R10" s="447">
        <f t="shared" si="6"/>
        <v>2.4467637726038921E-3</v>
      </c>
      <c r="S10" s="455">
        <f t="shared" si="7"/>
        <v>1550.7967999999996</v>
      </c>
      <c r="T10" s="448">
        <f t="shared" si="8"/>
        <v>16.549999999999955</v>
      </c>
      <c r="U10" s="447">
        <f t="shared" si="9"/>
        <v>1.5817945483044649E-2</v>
      </c>
      <c r="Y10" s="367" t="s">
        <v>174</v>
      </c>
      <c r="Z10" s="367" t="s">
        <v>216</v>
      </c>
      <c r="AA10" s="368" t="s">
        <v>613</v>
      </c>
      <c r="AB10" s="368" t="s">
        <v>614</v>
      </c>
      <c r="AC10" s="368">
        <v>1</v>
      </c>
      <c r="AD10" s="449" t="s">
        <v>342</v>
      </c>
    </row>
    <row r="11" spans="2:39" s="147" customFormat="1" ht="27" hidden="1" customHeight="1">
      <c r="B11" s="845"/>
      <c r="C11" s="846"/>
      <c r="D11" s="362">
        <v>5</v>
      </c>
      <c r="E11" s="443" t="s">
        <v>546</v>
      </c>
      <c r="F11" s="365">
        <v>6610.7126999999964</v>
      </c>
      <c r="G11" s="366">
        <v>62.43</v>
      </c>
      <c r="H11" s="445">
        <v>3169.77</v>
      </c>
      <c r="I11" s="445">
        <v>3169.77</v>
      </c>
      <c r="J11" s="447">
        <f t="shared" si="1"/>
        <v>1</v>
      </c>
      <c r="K11" s="446">
        <v>3169.77</v>
      </c>
      <c r="L11" s="447">
        <f t="shared" si="2"/>
        <v>1</v>
      </c>
      <c r="M11" s="446">
        <v>105.89</v>
      </c>
      <c r="N11" s="447">
        <f t="shared" si="3"/>
        <v>3.3406209283323399E-2</v>
      </c>
      <c r="O11" s="448">
        <f t="shared" si="4"/>
        <v>3275.66</v>
      </c>
      <c r="P11" s="447">
        <f t="shared" si="5"/>
        <v>1.0334062092833234</v>
      </c>
      <c r="Q11" s="445">
        <v>16.09</v>
      </c>
      <c r="R11" s="447">
        <f t="shared" si="6"/>
        <v>5.0760780750653831E-3</v>
      </c>
      <c r="S11" s="455">
        <f t="shared" si="7"/>
        <v>1004.4987</v>
      </c>
      <c r="T11" s="448">
        <f t="shared" si="8"/>
        <v>105.88999999999987</v>
      </c>
      <c r="U11" s="447">
        <f t="shared" si="9"/>
        <v>3.3406209283323357E-2</v>
      </c>
      <c r="Y11" s="367" t="s">
        <v>174</v>
      </c>
      <c r="Z11" s="367" t="s">
        <v>216</v>
      </c>
      <c r="AA11" s="368" t="s">
        <v>595</v>
      </c>
      <c r="AB11" s="368" t="s">
        <v>575</v>
      </c>
      <c r="AC11" s="368">
        <v>1</v>
      </c>
      <c r="AD11" s="449" t="s">
        <v>545</v>
      </c>
    </row>
    <row r="12" spans="2:39" s="147" customFormat="1" ht="27" hidden="1" customHeight="1">
      <c r="B12" s="845"/>
      <c r="C12" s="846"/>
      <c r="D12" s="362">
        <v>6</v>
      </c>
      <c r="E12" s="443" t="s">
        <v>462</v>
      </c>
      <c r="F12" s="365">
        <v>6425.9823999999962</v>
      </c>
      <c r="G12" s="366">
        <v>407.74000000000007</v>
      </c>
      <c r="H12" s="445">
        <v>1204.5999999999999</v>
      </c>
      <c r="I12" s="445">
        <v>1204.5999999999999</v>
      </c>
      <c r="J12" s="447">
        <f t="shared" si="1"/>
        <v>1</v>
      </c>
      <c r="K12" s="446">
        <v>1204.5999999999999</v>
      </c>
      <c r="L12" s="447">
        <f t="shared" si="2"/>
        <v>1</v>
      </c>
      <c r="M12" s="446">
        <v>15.76</v>
      </c>
      <c r="N12" s="447">
        <f t="shared" si="3"/>
        <v>1.3083181138967294E-2</v>
      </c>
      <c r="O12" s="448">
        <f t="shared" si="4"/>
        <v>1220.3599999999999</v>
      </c>
      <c r="P12" s="447">
        <f t="shared" si="5"/>
        <v>1.0130831811389673</v>
      </c>
      <c r="Q12" s="445">
        <v>6.65</v>
      </c>
      <c r="R12" s="447">
        <f t="shared" si="6"/>
        <v>5.5205047318611991E-3</v>
      </c>
      <c r="S12" s="455">
        <f t="shared" si="7"/>
        <v>2711.4710000000005</v>
      </c>
      <c r="T12" s="448">
        <f t="shared" si="8"/>
        <v>15.759999999999991</v>
      </c>
      <c r="U12" s="447">
        <f t="shared" si="9"/>
        <v>1.3083181138967285E-2</v>
      </c>
      <c r="Y12" s="367" t="s">
        <v>174</v>
      </c>
      <c r="Z12" s="367" t="s">
        <v>216</v>
      </c>
      <c r="AA12" s="368" t="s">
        <v>481</v>
      </c>
      <c r="AB12" s="368" t="s">
        <v>482</v>
      </c>
      <c r="AC12" s="368">
        <v>1</v>
      </c>
      <c r="AD12" s="449" t="s">
        <v>464</v>
      </c>
    </row>
    <row r="13" spans="2:39" s="147" customFormat="1" ht="27" hidden="1" customHeight="1">
      <c r="B13" s="845"/>
      <c r="C13" s="846"/>
      <c r="D13" s="362">
        <v>7</v>
      </c>
      <c r="E13" s="443" t="s">
        <v>586</v>
      </c>
      <c r="F13" s="365">
        <v>6424.0567999999957</v>
      </c>
      <c r="G13" s="366">
        <v>113.68000000000004</v>
      </c>
      <c r="H13" s="445">
        <v>1680.3000000000002</v>
      </c>
      <c r="I13" s="445">
        <v>1680.3000000000002</v>
      </c>
      <c r="J13" s="447">
        <f t="shared" si="1"/>
        <v>1</v>
      </c>
      <c r="K13" s="446">
        <v>1680.3000000000002</v>
      </c>
      <c r="L13" s="447">
        <f t="shared" si="2"/>
        <v>1</v>
      </c>
      <c r="M13" s="446">
        <v>56.510000000000005</v>
      </c>
      <c r="N13" s="447">
        <f t="shared" si="3"/>
        <v>3.3630899244182583E-2</v>
      </c>
      <c r="O13" s="448">
        <f t="shared" si="4"/>
        <v>1736.8100000000002</v>
      </c>
      <c r="P13" s="447">
        <f t="shared" si="5"/>
        <v>1.0336308992441825</v>
      </c>
      <c r="Q13" s="445">
        <v>7.330000000000001</v>
      </c>
      <c r="R13" s="447">
        <f t="shared" si="6"/>
        <v>4.3623162530500503E-3</v>
      </c>
      <c r="S13" s="455">
        <f t="shared" si="7"/>
        <v>833.27440000000036</v>
      </c>
      <c r="T13" s="448">
        <f t="shared" si="8"/>
        <v>56.509999999999991</v>
      </c>
      <c r="U13" s="447">
        <f t="shared" si="9"/>
        <v>3.3630899244182576E-2</v>
      </c>
      <c r="Y13" s="367" t="s">
        <v>174</v>
      </c>
      <c r="Z13" s="367" t="s">
        <v>429</v>
      </c>
      <c r="AA13" s="368" t="s">
        <v>480</v>
      </c>
      <c r="AB13" s="368" t="s">
        <v>478</v>
      </c>
      <c r="AC13" s="368">
        <v>1</v>
      </c>
      <c r="AD13" s="449" t="s">
        <v>568</v>
      </c>
      <c r="AH13" s="371"/>
    </row>
    <row r="14" spans="2:39" s="147" customFormat="1" ht="27" hidden="1" customHeight="1">
      <c r="B14" s="845"/>
      <c r="C14" s="846"/>
      <c r="D14" s="362">
        <v>8</v>
      </c>
      <c r="E14" s="443" t="s">
        <v>465</v>
      </c>
      <c r="F14" s="365">
        <v>6088.7199999999957</v>
      </c>
      <c r="G14" s="366">
        <v>629</v>
      </c>
      <c r="H14" s="445">
        <v>292.01</v>
      </c>
      <c r="I14" s="445">
        <v>292.01</v>
      </c>
      <c r="J14" s="447">
        <f t="shared" si="1"/>
        <v>1</v>
      </c>
      <c r="K14" s="446">
        <v>292.01</v>
      </c>
      <c r="L14" s="447">
        <f t="shared" si="2"/>
        <v>1</v>
      </c>
      <c r="M14" s="446">
        <v>9.68</v>
      </c>
      <c r="N14" s="447">
        <f t="shared" si="3"/>
        <v>3.3149549672956406E-2</v>
      </c>
      <c r="O14" s="448">
        <f t="shared" si="4"/>
        <v>301.69</v>
      </c>
      <c r="P14" s="447">
        <f t="shared" si="5"/>
        <v>1.0331495496729564</v>
      </c>
      <c r="Q14" s="445">
        <v>1.45</v>
      </c>
      <c r="R14" s="447">
        <f t="shared" si="6"/>
        <v>4.9655833704325197E-3</v>
      </c>
      <c r="S14" s="455">
        <f t="shared" si="7"/>
        <v>912.05</v>
      </c>
      <c r="T14" s="448">
        <f t="shared" si="8"/>
        <v>9.6800000000000068</v>
      </c>
      <c r="U14" s="447">
        <f t="shared" si="9"/>
        <v>3.3149549672956427E-2</v>
      </c>
      <c r="Y14" s="367" t="s">
        <v>174</v>
      </c>
      <c r="Z14" s="367" t="s">
        <v>429</v>
      </c>
      <c r="AA14" s="368" t="s">
        <v>483</v>
      </c>
      <c r="AB14" s="368" t="s">
        <v>549</v>
      </c>
      <c r="AC14" s="368">
        <v>1</v>
      </c>
      <c r="AD14" s="449" t="s">
        <v>459</v>
      </c>
      <c r="AH14" s="371"/>
    </row>
    <row r="15" spans="2:39" s="147" customFormat="1" ht="27" hidden="1" customHeight="1">
      <c r="B15" s="845"/>
      <c r="C15" s="846"/>
      <c r="D15" s="362">
        <v>9</v>
      </c>
      <c r="E15" s="443" t="s">
        <v>605</v>
      </c>
      <c r="F15" s="365">
        <v>6083.0315000000028</v>
      </c>
      <c r="G15" s="366">
        <v>46.149999999999991</v>
      </c>
      <c r="H15" s="445">
        <v>4197.4199999999992</v>
      </c>
      <c r="I15" s="445">
        <v>4197.4199999999992</v>
      </c>
      <c r="J15" s="447">
        <f t="shared" si="1"/>
        <v>1</v>
      </c>
      <c r="K15" s="446">
        <v>4197.4199999999992</v>
      </c>
      <c r="L15" s="447">
        <f t="shared" si="2"/>
        <v>1</v>
      </c>
      <c r="M15" s="446">
        <v>131.81</v>
      </c>
      <c r="N15" s="447">
        <f t="shared" si="3"/>
        <v>3.1402623516350529E-2</v>
      </c>
      <c r="O15" s="448">
        <f t="shared" si="4"/>
        <v>4329.2299999999996</v>
      </c>
      <c r="P15" s="447">
        <f t="shared" si="5"/>
        <v>1.0314026235163507</v>
      </c>
      <c r="Q15" s="445">
        <v>19.11</v>
      </c>
      <c r="R15" s="447">
        <f t="shared" si="6"/>
        <v>4.5527967179839054E-3</v>
      </c>
      <c r="S15" s="455">
        <f t="shared" si="7"/>
        <v>881.92649999999981</v>
      </c>
      <c r="T15" s="448">
        <f t="shared" si="8"/>
        <v>131.8100000000004</v>
      </c>
      <c r="U15" s="447">
        <f t="shared" si="9"/>
        <v>3.140262351635062E-2</v>
      </c>
      <c r="Y15" s="367" t="s">
        <v>174</v>
      </c>
      <c r="Z15" s="367" t="s">
        <v>216</v>
      </c>
      <c r="AA15" s="368" t="s">
        <v>595</v>
      </c>
      <c r="AB15" s="368" t="s">
        <v>575</v>
      </c>
      <c r="AC15" s="368">
        <v>1</v>
      </c>
      <c r="AD15" s="449" t="s">
        <v>601</v>
      </c>
      <c r="AH15" s="371"/>
    </row>
    <row r="16" spans="2:39" s="147" customFormat="1" ht="27" hidden="1" customHeight="1">
      <c r="B16" s="845"/>
      <c r="C16" s="846"/>
      <c r="D16" s="362">
        <v>10</v>
      </c>
      <c r="E16" s="443" t="s">
        <v>626</v>
      </c>
      <c r="F16" s="365">
        <v>5839.9613999999956</v>
      </c>
      <c r="G16" s="366">
        <v>39.389999999999993</v>
      </c>
      <c r="H16" s="445">
        <v>6391.77</v>
      </c>
      <c r="I16" s="445">
        <v>6391.77</v>
      </c>
      <c r="J16" s="447">
        <f t="shared" si="1"/>
        <v>1</v>
      </c>
      <c r="K16" s="446">
        <v>6395.77</v>
      </c>
      <c r="L16" s="447">
        <f t="shared" si="2"/>
        <v>1.0006258047457903</v>
      </c>
      <c r="M16" s="446">
        <v>144.26000000000002</v>
      </c>
      <c r="N16" s="447">
        <f t="shared" si="3"/>
        <v>2.2569648156926799E-2</v>
      </c>
      <c r="O16" s="448">
        <f t="shared" si="4"/>
        <v>6540.0300000000007</v>
      </c>
      <c r="P16" s="447">
        <f t="shared" si="5"/>
        <v>1.0231954529027172</v>
      </c>
      <c r="Q16" s="445">
        <v>21.798999999999999</v>
      </c>
      <c r="R16" s="447">
        <f t="shared" si="6"/>
        <v>3.4104794133706308E-3</v>
      </c>
      <c r="S16" s="455">
        <f t="shared" si="7"/>
        <v>858.66260999999986</v>
      </c>
      <c r="T16" s="448">
        <f t="shared" si="8"/>
        <v>148.26000000000022</v>
      </c>
      <c r="U16" s="447">
        <f t="shared" si="9"/>
        <v>2.3195452902717122E-2</v>
      </c>
      <c r="Y16" s="367" t="s">
        <v>174</v>
      </c>
      <c r="Z16" s="367" t="s">
        <v>216</v>
      </c>
      <c r="AA16" s="368" t="s">
        <v>595</v>
      </c>
      <c r="AB16" s="368" t="s">
        <v>575</v>
      </c>
      <c r="AC16" s="368">
        <v>1</v>
      </c>
      <c r="AD16" s="449" t="s">
        <v>621</v>
      </c>
      <c r="AH16" s="371"/>
    </row>
    <row r="17" spans="2:39" s="147" customFormat="1" ht="27" hidden="1" customHeight="1">
      <c r="B17" s="845"/>
      <c r="C17" s="846"/>
      <c r="D17" s="362">
        <v>11</v>
      </c>
      <c r="E17" s="443" t="s">
        <v>357</v>
      </c>
      <c r="F17" s="365">
        <v>5835.0499999999984</v>
      </c>
      <c r="G17" s="366">
        <v>152.75</v>
      </c>
      <c r="H17" s="445">
        <v>1234</v>
      </c>
      <c r="I17" s="445">
        <v>1234</v>
      </c>
      <c r="J17" s="447">
        <f t="shared" si="1"/>
        <v>1</v>
      </c>
      <c r="K17" s="446">
        <v>1234</v>
      </c>
      <c r="L17" s="447">
        <f t="shared" si="2"/>
        <v>1</v>
      </c>
      <c r="M17" s="446">
        <v>38.200000000000003</v>
      </c>
      <c r="N17" s="447">
        <f t="shared" si="3"/>
        <v>3.0956239870340359E-2</v>
      </c>
      <c r="O17" s="448">
        <f t="shared" si="4"/>
        <v>1272.2</v>
      </c>
      <c r="P17" s="447">
        <f t="shared" si="5"/>
        <v>1.0309562398703405</v>
      </c>
      <c r="Q17" s="445">
        <v>6.04</v>
      </c>
      <c r="R17" s="447">
        <f t="shared" si="6"/>
        <v>4.8946515397082658E-3</v>
      </c>
      <c r="S17" s="455">
        <f t="shared" si="7"/>
        <v>922.61</v>
      </c>
      <c r="T17" s="448">
        <f t="shared" si="8"/>
        <v>38.200000000000045</v>
      </c>
      <c r="U17" s="447">
        <f t="shared" si="9"/>
        <v>3.0956239870340393E-2</v>
      </c>
      <c r="Y17" s="367" t="s">
        <v>174</v>
      </c>
      <c r="Z17" s="367" t="s">
        <v>429</v>
      </c>
      <c r="AA17" s="368" t="s">
        <v>612</v>
      </c>
      <c r="AB17" s="368" t="s">
        <v>526</v>
      </c>
      <c r="AC17" s="368">
        <v>1</v>
      </c>
      <c r="AD17" s="449" t="s">
        <v>358</v>
      </c>
      <c r="AH17" s="371"/>
    </row>
    <row r="18" spans="2:39" s="147" customFormat="1" ht="27" hidden="1" customHeight="1">
      <c r="B18" s="845"/>
      <c r="C18" s="846"/>
      <c r="D18" s="362">
        <v>12</v>
      </c>
      <c r="E18" s="443" t="s">
        <v>536</v>
      </c>
      <c r="F18" s="365">
        <v>5456.6400000000031</v>
      </c>
      <c r="G18" s="366">
        <v>896</v>
      </c>
      <c r="H18" s="445">
        <v>294.53999999999996</v>
      </c>
      <c r="I18" s="445">
        <v>294.53999999999996</v>
      </c>
      <c r="J18" s="447">
        <f t="shared" si="1"/>
        <v>1</v>
      </c>
      <c r="K18" s="446">
        <v>294.53999999999996</v>
      </c>
      <c r="L18" s="447">
        <f t="shared" si="2"/>
        <v>1</v>
      </c>
      <c r="M18" s="446">
        <v>6.09</v>
      </c>
      <c r="N18" s="447">
        <f t="shared" si="3"/>
        <v>2.0676308820533715E-2</v>
      </c>
      <c r="O18" s="448">
        <f t="shared" si="4"/>
        <v>300.62999999999994</v>
      </c>
      <c r="P18" s="447">
        <f t="shared" si="5"/>
        <v>1.0206763088205337</v>
      </c>
      <c r="Q18" s="445">
        <v>0.88</v>
      </c>
      <c r="R18" s="447">
        <f t="shared" si="6"/>
        <v>2.9877096489441166E-3</v>
      </c>
      <c r="S18" s="455">
        <f t="shared" si="7"/>
        <v>788.48</v>
      </c>
      <c r="T18" s="448">
        <f t="shared" si="8"/>
        <v>6.089999999999975</v>
      </c>
      <c r="U18" s="447">
        <f t="shared" si="9"/>
        <v>2.0676308820533632E-2</v>
      </c>
      <c r="Y18" s="367" t="s">
        <v>174</v>
      </c>
      <c r="Z18" s="367" t="s">
        <v>429</v>
      </c>
      <c r="AA18" s="368" t="s">
        <v>596</v>
      </c>
      <c r="AB18" s="368" t="s">
        <v>526</v>
      </c>
      <c r="AC18" s="368">
        <v>1</v>
      </c>
      <c r="AD18" s="449" t="s">
        <v>537</v>
      </c>
    </row>
    <row r="19" spans="2:39" s="147" customFormat="1" ht="27" hidden="1" customHeight="1">
      <c r="B19" s="845"/>
      <c r="C19" s="846"/>
      <c r="D19" s="362">
        <v>13</v>
      </c>
      <c r="E19" s="443" t="s">
        <v>604</v>
      </c>
      <c r="F19" s="365">
        <v>5426.8845000000001</v>
      </c>
      <c r="G19" s="366">
        <v>413.94999999999993</v>
      </c>
      <c r="H19" s="445">
        <v>545.73</v>
      </c>
      <c r="I19" s="445">
        <v>545.73</v>
      </c>
      <c r="J19" s="447">
        <f t="shared" si="1"/>
        <v>1</v>
      </c>
      <c r="K19" s="446">
        <v>546.43000000000006</v>
      </c>
      <c r="L19" s="447">
        <f t="shared" si="2"/>
        <v>1.0012826855771171</v>
      </c>
      <c r="M19" s="446">
        <v>12.41</v>
      </c>
      <c r="N19" s="447">
        <f t="shared" si="3"/>
        <v>2.2740182874315135E-2</v>
      </c>
      <c r="O19" s="448">
        <f t="shared" si="4"/>
        <v>558.84</v>
      </c>
      <c r="P19" s="447">
        <f t="shared" si="5"/>
        <v>1.0240228684514321</v>
      </c>
      <c r="Q19" s="445">
        <v>2.4900000000000002</v>
      </c>
      <c r="R19" s="447">
        <f t="shared" si="6"/>
        <v>4.5626958386015062E-3</v>
      </c>
      <c r="S19" s="455">
        <f t="shared" si="7"/>
        <v>1030.7355</v>
      </c>
      <c r="T19" s="448">
        <f t="shared" si="8"/>
        <v>13.110000000000014</v>
      </c>
      <c r="U19" s="447">
        <f t="shared" si="9"/>
        <v>2.4022868451432051E-2</v>
      </c>
      <c r="Y19" s="367" t="s">
        <v>174</v>
      </c>
      <c r="Z19" s="367" t="s">
        <v>429</v>
      </c>
      <c r="AA19" s="368" t="s">
        <v>612</v>
      </c>
      <c r="AB19" s="368" t="s">
        <v>526</v>
      </c>
      <c r="AC19" s="368">
        <v>1</v>
      </c>
      <c r="AD19" s="449" t="s">
        <v>601</v>
      </c>
    </row>
    <row r="20" spans="2:39" s="147" customFormat="1" ht="27" hidden="1" customHeight="1">
      <c r="B20" s="845"/>
      <c r="C20" s="846"/>
      <c r="D20" s="362">
        <v>14</v>
      </c>
      <c r="E20" s="443" t="s">
        <v>570</v>
      </c>
      <c r="F20" s="365">
        <v>5387.7824000000001</v>
      </c>
      <c r="G20" s="366">
        <v>40.04</v>
      </c>
      <c r="H20" s="445">
        <v>3995.9500000000007</v>
      </c>
      <c r="I20" s="445">
        <v>3995.9500000000007</v>
      </c>
      <c r="J20" s="447">
        <f t="shared" si="1"/>
        <v>1</v>
      </c>
      <c r="K20" s="446">
        <v>3995.9500000000007</v>
      </c>
      <c r="L20" s="447">
        <f t="shared" si="2"/>
        <v>1</v>
      </c>
      <c r="M20" s="446">
        <v>134.56000000000003</v>
      </c>
      <c r="N20" s="447">
        <f t="shared" si="3"/>
        <v>3.3674095021208973E-2</v>
      </c>
      <c r="O20" s="448">
        <f t="shared" si="4"/>
        <v>4130.5100000000011</v>
      </c>
      <c r="P20" s="447">
        <f t="shared" si="5"/>
        <v>1.0336740950212091</v>
      </c>
      <c r="Q20" s="445">
        <v>21.759999999999998</v>
      </c>
      <c r="R20" s="447">
        <f t="shared" si="6"/>
        <v>5.4455135825022824E-3</v>
      </c>
      <c r="S20" s="455">
        <f t="shared" si="7"/>
        <v>871.27039999999988</v>
      </c>
      <c r="T20" s="448">
        <f t="shared" si="8"/>
        <v>134.5600000000004</v>
      </c>
      <c r="U20" s="447">
        <f t="shared" si="9"/>
        <v>3.367409502120907E-2</v>
      </c>
      <c r="Y20" s="367" t="s">
        <v>174</v>
      </c>
      <c r="Z20" s="367" t="s">
        <v>216</v>
      </c>
      <c r="AA20" s="368" t="s">
        <v>595</v>
      </c>
      <c r="AB20" s="368" t="s">
        <v>575</v>
      </c>
      <c r="AC20" s="368">
        <v>1</v>
      </c>
      <c r="AD20" s="449" t="s">
        <v>534</v>
      </c>
    </row>
    <row r="21" spans="2:39" s="147" customFormat="1" ht="27" hidden="1" customHeight="1">
      <c r="B21" s="845"/>
      <c r="C21" s="846"/>
      <c r="D21" s="362">
        <v>15</v>
      </c>
      <c r="E21" s="443" t="s">
        <v>603</v>
      </c>
      <c r="F21" s="365">
        <v>5249.1824000000051</v>
      </c>
      <c r="G21" s="366">
        <v>153.44000000000003</v>
      </c>
      <c r="H21" s="445">
        <v>2546.5</v>
      </c>
      <c r="I21" s="445">
        <v>2546.5</v>
      </c>
      <c r="J21" s="447">
        <f t="shared" si="1"/>
        <v>1</v>
      </c>
      <c r="K21" s="446">
        <v>2546.5</v>
      </c>
      <c r="L21" s="447">
        <f t="shared" si="2"/>
        <v>1</v>
      </c>
      <c r="M21" s="446">
        <v>34.21</v>
      </c>
      <c r="N21" s="447">
        <f t="shared" si="3"/>
        <v>1.3434125269978402E-2</v>
      </c>
      <c r="O21" s="448">
        <f t="shared" si="4"/>
        <v>2580.71</v>
      </c>
      <c r="P21" s="447">
        <f t="shared" si="5"/>
        <v>1.0134341252699783</v>
      </c>
      <c r="Q21" s="445">
        <v>6.81</v>
      </c>
      <c r="R21" s="447">
        <f t="shared" si="6"/>
        <v>2.6742587865698016E-3</v>
      </c>
      <c r="S21" s="455">
        <f t="shared" si="7"/>
        <v>1044.9264000000001</v>
      </c>
      <c r="T21" s="448">
        <f t="shared" si="8"/>
        <v>34.210000000000036</v>
      </c>
      <c r="U21" s="447">
        <f t="shared" si="9"/>
        <v>1.3434125269978416E-2</v>
      </c>
      <c r="Y21" s="367" t="s">
        <v>174</v>
      </c>
      <c r="Z21" s="367" t="s">
        <v>429</v>
      </c>
      <c r="AA21" s="368" t="s">
        <v>612</v>
      </c>
      <c r="AB21" s="368" t="s">
        <v>526</v>
      </c>
      <c r="AC21" s="368">
        <v>1</v>
      </c>
      <c r="AD21" s="449" t="s">
        <v>466</v>
      </c>
    </row>
    <row r="22" spans="2:39" s="147" customFormat="1" ht="27" hidden="1" customHeight="1">
      <c r="B22" s="845"/>
      <c r="C22" s="846"/>
      <c r="D22" s="362">
        <v>16</v>
      </c>
      <c r="E22" s="443" t="s">
        <v>547</v>
      </c>
      <c r="F22" s="365">
        <v>5240.1412</v>
      </c>
      <c r="G22" s="366">
        <v>66.13</v>
      </c>
      <c r="H22" s="445">
        <v>1826.8600000000001</v>
      </c>
      <c r="I22" s="445">
        <v>1826.8600000000001</v>
      </c>
      <c r="J22" s="447">
        <f t="shared" si="1"/>
        <v>1</v>
      </c>
      <c r="K22" s="446">
        <v>1826.8600000000001</v>
      </c>
      <c r="L22" s="447">
        <f t="shared" si="2"/>
        <v>1</v>
      </c>
      <c r="M22" s="446">
        <v>79.240000000000009</v>
      </c>
      <c r="N22" s="447">
        <f t="shared" si="3"/>
        <v>4.3374971262165683E-2</v>
      </c>
      <c r="O22" s="448">
        <f t="shared" si="4"/>
        <v>1906.1000000000001</v>
      </c>
      <c r="P22" s="447">
        <f t="shared" si="5"/>
        <v>1.0433749712621656</v>
      </c>
      <c r="Q22" s="445">
        <v>12.89</v>
      </c>
      <c r="R22" s="447">
        <f t="shared" si="6"/>
        <v>7.0558225589262445E-3</v>
      </c>
      <c r="S22" s="455">
        <f t="shared" si="7"/>
        <v>852.41570000000002</v>
      </c>
      <c r="T22" s="448">
        <f t="shared" si="8"/>
        <v>79.240000000000009</v>
      </c>
      <c r="U22" s="447">
        <f t="shared" si="9"/>
        <v>4.3374971262165683E-2</v>
      </c>
      <c r="Y22" s="367" t="s">
        <v>174</v>
      </c>
      <c r="Z22" s="367" t="s">
        <v>429</v>
      </c>
      <c r="AA22" s="368" t="s">
        <v>480</v>
      </c>
      <c r="AB22" s="368" t="s">
        <v>478</v>
      </c>
      <c r="AC22" s="368">
        <v>1</v>
      </c>
      <c r="AD22" s="449" t="s">
        <v>341</v>
      </c>
    </row>
    <row r="23" spans="2:39" s="147" customFormat="1" ht="27" hidden="1" customHeight="1">
      <c r="B23" s="845"/>
      <c r="C23" s="846"/>
      <c r="D23" s="362">
        <v>17</v>
      </c>
      <c r="E23" s="443" t="s">
        <v>421</v>
      </c>
      <c r="F23" s="365">
        <v>4690.3177000000069</v>
      </c>
      <c r="G23" s="366">
        <v>157.87000000000003</v>
      </c>
      <c r="H23" s="445">
        <v>1903.27</v>
      </c>
      <c r="I23" s="445">
        <v>1903.27</v>
      </c>
      <c r="J23" s="447">
        <f t="shared" si="1"/>
        <v>1</v>
      </c>
      <c r="K23" s="446">
        <v>1903.27</v>
      </c>
      <c r="L23" s="447">
        <f t="shared" si="2"/>
        <v>1</v>
      </c>
      <c r="M23" s="446">
        <v>29.71</v>
      </c>
      <c r="N23" s="447">
        <f t="shared" si="3"/>
        <v>1.5609976514104673E-2</v>
      </c>
      <c r="O23" s="448">
        <f t="shared" si="4"/>
        <v>1932.98</v>
      </c>
      <c r="P23" s="447">
        <f t="shared" si="5"/>
        <v>1.0156099765141047</v>
      </c>
      <c r="Q23" s="445">
        <v>6.4799999999999986</v>
      </c>
      <c r="R23" s="447">
        <f t="shared" si="6"/>
        <v>3.4046667051968447E-3</v>
      </c>
      <c r="S23" s="455">
        <f t="shared" si="7"/>
        <v>1022.9976</v>
      </c>
      <c r="T23" s="448">
        <f t="shared" si="8"/>
        <v>29.710000000000036</v>
      </c>
      <c r="U23" s="447">
        <f t="shared" si="9"/>
        <v>1.5609976514104692E-2</v>
      </c>
      <c r="Y23" s="367" t="s">
        <v>174</v>
      </c>
      <c r="Z23" s="367" t="s">
        <v>429</v>
      </c>
      <c r="AA23" s="368" t="s">
        <v>542</v>
      </c>
      <c r="AB23" s="368" t="s">
        <v>543</v>
      </c>
      <c r="AC23" s="368">
        <v>1</v>
      </c>
      <c r="AD23" s="449" t="s">
        <v>340</v>
      </c>
    </row>
    <row r="24" spans="2:39" s="147" customFormat="1" ht="27" hidden="1" customHeight="1">
      <c r="B24" s="845"/>
      <c r="C24" s="846"/>
      <c r="D24" s="362">
        <v>18</v>
      </c>
      <c r="E24" s="443" t="s">
        <v>433</v>
      </c>
      <c r="F24" s="365">
        <v>4656.9709999999986</v>
      </c>
      <c r="G24" s="366">
        <v>368.13999999999993</v>
      </c>
      <c r="H24" s="445">
        <v>439.56</v>
      </c>
      <c r="I24" s="445">
        <v>439.56</v>
      </c>
      <c r="J24" s="447">
        <f t="shared" si="1"/>
        <v>1</v>
      </c>
      <c r="K24" s="446">
        <v>439.56</v>
      </c>
      <c r="L24" s="447">
        <f t="shared" si="2"/>
        <v>1</v>
      </c>
      <c r="M24" s="446">
        <v>12.649999999999999</v>
      </c>
      <c r="N24" s="447">
        <f t="shared" si="3"/>
        <v>2.8778778778778775E-2</v>
      </c>
      <c r="O24" s="448">
        <f t="shared" si="4"/>
        <v>452.21</v>
      </c>
      <c r="P24" s="447">
        <f t="shared" si="5"/>
        <v>1.0287787787787788</v>
      </c>
      <c r="Q24" s="445">
        <v>2.63</v>
      </c>
      <c r="R24" s="447">
        <f t="shared" si="6"/>
        <v>5.9832559832559834E-3</v>
      </c>
      <c r="S24" s="455">
        <f t="shared" si="7"/>
        <v>968.20819999999981</v>
      </c>
      <c r="T24" s="448">
        <f t="shared" si="8"/>
        <v>12.649999999999977</v>
      </c>
      <c r="U24" s="447">
        <f t="shared" si="9"/>
        <v>2.8778778778778727E-2</v>
      </c>
      <c r="Y24" s="367" t="s">
        <v>174</v>
      </c>
      <c r="Z24" s="367" t="s">
        <v>429</v>
      </c>
      <c r="AA24" s="368" t="s">
        <v>594</v>
      </c>
      <c r="AB24" s="368" t="s">
        <v>482</v>
      </c>
      <c r="AC24" s="368">
        <v>1</v>
      </c>
      <c r="AD24" s="449" t="s">
        <v>434</v>
      </c>
    </row>
    <row r="25" spans="2:39" s="147" customFormat="1" ht="27" hidden="1" customHeight="1">
      <c r="B25" s="845"/>
      <c r="C25" s="846"/>
      <c r="D25" s="362">
        <v>19</v>
      </c>
      <c r="E25" s="443" t="s">
        <v>627</v>
      </c>
      <c r="F25" s="365">
        <v>4565.8496000000032</v>
      </c>
      <c r="G25" s="366">
        <v>95.439999999999984</v>
      </c>
      <c r="H25" s="445">
        <v>2225.1</v>
      </c>
      <c r="I25" s="445">
        <v>2225.1</v>
      </c>
      <c r="J25" s="447">
        <f t="shared" si="1"/>
        <v>1</v>
      </c>
      <c r="K25" s="446">
        <v>2225.1</v>
      </c>
      <c r="L25" s="447">
        <f t="shared" si="2"/>
        <v>1</v>
      </c>
      <c r="M25" s="446">
        <v>47.839999999999996</v>
      </c>
      <c r="N25" s="447">
        <f t="shared" si="3"/>
        <v>2.1500157296301288E-2</v>
      </c>
      <c r="O25" s="448">
        <f t="shared" si="4"/>
        <v>2272.94</v>
      </c>
      <c r="P25" s="447">
        <f t="shared" si="5"/>
        <v>1.0215001572963014</v>
      </c>
      <c r="Q25" s="445">
        <v>8.4</v>
      </c>
      <c r="R25" s="447">
        <f t="shared" si="6"/>
        <v>3.7751112309559122E-3</v>
      </c>
      <c r="S25" s="455">
        <f t="shared" si="7"/>
        <v>801.69599999999991</v>
      </c>
      <c r="T25" s="448">
        <f t="shared" si="8"/>
        <v>47.840000000000146</v>
      </c>
      <c r="U25" s="447">
        <f t="shared" si="9"/>
        <v>2.1500157296301357E-2</v>
      </c>
      <c r="V25" s="145"/>
      <c r="W25" s="145"/>
      <c r="X25" s="145"/>
      <c r="Y25" s="367" t="s">
        <v>174</v>
      </c>
      <c r="Z25" s="367" t="s">
        <v>429</v>
      </c>
      <c r="AA25" s="368" t="s">
        <v>612</v>
      </c>
      <c r="AB25" s="368" t="s">
        <v>526</v>
      </c>
      <c r="AC25" s="368">
        <v>1</v>
      </c>
      <c r="AD25" s="449" t="s">
        <v>340</v>
      </c>
      <c r="AG25" s="372"/>
      <c r="AH25" s="371"/>
    </row>
    <row r="26" spans="2:39" s="147" customFormat="1" ht="27" hidden="1" customHeight="1">
      <c r="B26" s="847"/>
      <c r="C26" s="848"/>
      <c r="D26" s="362">
        <v>20</v>
      </c>
      <c r="E26" s="443" t="s">
        <v>471</v>
      </c>
      <c r="F26" s="365">
        <v>4428.2364000000061</v>
      </c>
      <c r="G26" s="366">
        <v>266.27999999999997</v>
      </c>
      <c r="H26" s="445">
        <v>1367.73</v>
      </c>
      <c r="I26" s="445">
        <v>1367.73</v>
      </c>
      <c r="J26" s="447">
        <f t="shared" si="1"/>
        <v>1</v>
      </c>
      <c r="K26" s="446">
        <v>1372.3700000000001</v>
      </c>
      <c r="L26" s="447">
        <f t="shared" si="2"/>
        <v>1.0033924824343987</v>
      </c>
      <c r="M26" s="446">
        <v>11.99</v>
      </c>
      <c r="N26" s="447">
        <f t="shared" si="3"/>
        <v>8.7663500837153532E-3</v>
      </c>
      <c r="O26" s="448">
        <f t="shared" si="4"/>
        <v>1384.3600000000001</v>
      </c>
      <c r="P26" s="447">
        <f t="shared" si="5"/>
        <v>1.0121588325181141</v>
      </c>
      <c r="Q26" s="445">
        <v>2.5300000000000002</v>
      </c>
      <c r="R26" s="447">
        <f t="shared" si="6"/>
        <v>1.8497802928940654E-3</v>
      </c>
      <c r="S26" s="455">
        <f t="shared" si="7"/>
        <v>673.6884</v>
      </c>
      <c r="T26" s="448">
        <f t="shared" si="8"/>
        <v>16.630000000000109</v>
      </c>
      <c r="U26" s="447">
        <f t="shared" si="9"/>
        <v>1.2158832518114036E-2</v>
      </c>
      <c r="V26" s="145"/>
      <c r="W26" s="145"/>
      <c r="X26" s="145"/>
      <c r="Y26" s="367" t="s">
        <v>174</v>
      </c>
      <c r="Z26" s="367" t="s">
        <v>429</v>
      </c>
      <c r="AA26" s="368" t="s">
        <v>481</v>
      </c>
      <c r="AB26" s="368" t="s">
        <v>576</v>
      </c>
      <c r="AC26" s="368">
        <v>1</v>
      </c>
      <c r="AD26" s="449" t="s">
        <v>472</v>
      </c>
      <c r="AG26" s="372"/>
      <c r="AH26" s="371"/>
    </row>
    <row r="27" spans="2:39" ht="17.149999999999999" hidden="1" customHeight="1">
      <c r="B27" s="873" t="s">
        <v>443</v>
      </c>
      <c r="C27" s="874"/>
      <c r="D27" s="875" t="s">
        <v>551</v>
      </c>
      <c r="E27" s="876" t="s">
        <v>552</v>
      </c>
      <c r="F27" s="906" t="s">
        <v>569</v>
      </c>
      <c r="G27" s="835" t="s">
        <v>554</v>
      </c>
      <c r="H27" s="878" t="s">
        <v>555</v>
      </c>
      <c r="I27" s="867" t="s">
        <v>556</v>
      </c>
      <c r="J27" s="868"/>
      <c r="K27" s="867" t="s">
        <v>557</v>
      </c>
      <c r="L27" s="868"/>
      <c r="M27" s="867" t="s">
        <v>558</v>
      </c>
      <c r="N27" s="868"/>
      <c r="O27" s="867" t="s">
        <v>559</v>
      </c>
      <c r="P27" s="868"/>
      <c r="Q27" s="867" t="s">
        <v>418</v>
      </c>
      <c r="R27" s="905"/>
      <c r="S27" s="868"/>
      <c r="T27" s="864" t="s">
        <v>419</v>
      </c>
      <c r="U27" s="866"/>
      <c r="Y27" s="861" t="s">
        <v>171</v>
      </c>
      <c r="Z27" s="861" t="s">
        <v>245</v>
      </c>
      <c r="AA27" s="861" t="s">
        <v>560</v>
      </c>
      <c r="AB27" s="861" t="s">
        <v>445</v>
      </c>
      <c r="AC27" s="861" t="s">
        <v>246</v>
      </c>
      <c r="AD27" s="835" t="s">
        <v>172</v>
      </c>
      <c r="AF27" s="884" t="s">
        <v>247</v>
      </c>
      <c r="AG27" s="885"/>
      <c r="AH27" s="885"/>
      <c r="AI27" s="885"/>
      <c r="AJ27" s="885"/>
      <c r="AK27" s="885"/>
      <c r="AL27" s="885"/>
      <c r="AM27" s="886"/>
    </row>
    <row r="28" spans="2:39" ht="16.5" hidden="1" customHeight="1">
      <c r="B28" s="871"/>
      <c r="C28" s="872"/>
      <c r="D28" s="875"/>
      <c r="E28" s="875"/>
      <c r="F28" s="877"/>
      <c r="G28" s="836"/>
      <c r="H28" s="836"/>
      <c r="I28" s="442" t="s">
        <v>561</v>
      </c>
      <c r="J28" s="363" t="s">
        <v>562</v>
      </c>
      <c r="K28" s="442" t="s">
        <v>561</v>
      </c>
      <c r="L28" s="363" t="s">
        <v>562</v>
      </c>
      <c r="M28" s="442" t="s">
        <v>561</v>
      </c>
      <c r="N28" s="363" t="s">
        <v>562</v>
      </c>
      <c r="O28" s="442" t="s">
        <v>561</v>
      </c>
      <c r="P28" s="363" t="s">
        <v>562</v>
      </c>
      <c r="Q28" s="442" t="s">
        <v>561</v>
      </c>
      <c r="R28" s="363" t="s">
        <v>562</v>
      </c>
      <c r="S28" s="363" t="s">
        <v>563</v>
      </c>
      <c r="T28" s="442" t="s">
        <v>561</v>
      </c>
      <c r="U28" s="363" t="s">
        <v>562</v>
      </c>
      <c r="Y28" s="863"/>
      <c r="Z28" s="863"/>
      <c r="AA28" s="863"/>
      <c r="AB28" s="863"/>
      <c r="AC28" s="863"/>
      <c r="AD28" s="836"/>
      <c r="AF28" s="887"/>
      <c r="AG28" s="888"/>
      <c r="AH28" s="888"/>
      <c r="AI28" s="888"/>
      <c r="AJ28" s="888"/>
      <c r="AK28" s="888"/>
      <c r="AL28" s="888"/>
      <c r="AM28" s="889"/>
    </row>
    <row r="29" spans="2:39" s="147" customFormat="1" ht="27" hidden="1" customHeight="1">
      <c r="B29" s="843" t="s">
        <v>637</v>
      </c>
      <c r="C29" s="844"/>
      <c r="D29" s="362">
        <v>1</v>
      </c>
      <c r="E29" s="443" t="s">
        <v>336</v>
      </c>
      <c r="F29" s="365">
        <f>IFERROR(T29*G29,"-")</f>
        <v>12264.701699999943</v>
      </c>
      <c r="G29" s="366">
        <v>147.43000000000004</v>
      </c>
      <c r="H29" s="445">
        <v>4841.42</v>
      </c>
      <c r="I29" s="445">
        <v>4841.42</v>
      </c>
      <c r="J29" s="447">
        <f>IFERROR(I29/H29,"-")</f>
        <v>1</v>
      </c>
      <c r="K29" s="446">
        <v>4841.42</v>
      </c>
      <c r="L29" s="447">
        <f>IFERROR(K29/H29,"-")</f>
        <v>1</v>
      </c>
      <c r="M29" s="446">
        <v>83.190000000000012</v>
      </c>
      <c r="N29" s="447">
        <f>IFERROR(M29/H29,"-")</f>
        <v>1.7182975242800668E-2</v>
      </c>
      <c r="O29" s="448">
        <f>IFERROR(K29+M29,"-")</f>
        <v>4924.6099999999997</v>
      </c>
      <c r="P29" s="447">
        <f>IFERROR(O29/H29,"-")</f>
        <v>1.0171829752428005</v>
      </c>
      <c r="Q29" s="445">
        <v>10.220000000000001</v>
      </c>
      <c r="R29" s="447">
        <f>IFERROR(Q29/H29,"-")</f>
        <v>2.1109509193583701E-3</v>
      </c>
      <c r="S29" s="455">
        <f>IFERROR(Q29*G29,"-")</f>
        <v>1506.7346000000005</v>
      </c>
      <c r="T29" s="448">
        <f>IFERROR(O29-H29,"-")</f>
        <v>83.1899999999996</v>
      </c>
      <c r="U29" s="447">
        <f>IFERROR(T29/H29,"-")</f>
        <v>1.7182975242800581E-2</v>
      </c>
      <c r="V29" s="145"/>
      <c r="W29" s="145"/>
      <c r="X29" s="145"/>
      <c r="Y29" s="367" t="s">
        <v>174</v>
      </c>
      <c r="Z29" s="367" t="s">
        <v>215</v>
      </c>
      <c r="AA29" s="368" t="s">
        <v>479</v>
      </c>
      <c r="AB29" s="368" t="s">
        <v>525</v>
      </c>
      <c r="AC29" s="368">
        <v>1</v>
      </c>
      <c r="AD29" s="449" t="s">
        <v>340</v>
      </c>
      <c r="AF29" s="890"/>
      <c r="AG29" s="891"/>
      <c r="AH29" s="891"/>
      <c r="AI29" s="891"/>
      <c r="AJ29" s="891"/>
      <c r="AK29" s="891"/>
      <c r="AL29" s="891"/>
      <c r="AM29" s="892"/>
    </row>
    <row r="30" spans="2:39" s="147" customFormat="1" ht="27" hidden="1" customHeight="1">
      <c r="B30" s="845"/>
      <c r="C30" s="846"/>
      <c r="D30" s="362">
        <v>2</v>
      </c>
      <c r="E30" s="443" t="s">
        <v>535</v>
      </c>
      <c r="F30" s="365">
        <f t="shared" ref="F30:F48" si="12">IFERROR(T30*G30,"-")</f>
        <v>9400.4235000000554</v>
      </c>
      <c r="G30" s="366">
        <v>39.389999999999993</v>
      </c>
      <c r="H30" s="445">
        <v>35576.85</v>
      </c>
      <c r="I30" s="445">
        <v>35576.85</v>
      </c>
      <c r="J30" s="447">
        <f t="shared" ref="J30:J48" si="13">IFERROR(I30/H30,"-")</f>
        <v>1</v>
      </c>
      <c r="K30" s="446">
        <v>35576.85</v>
      </c>
      <c r="L30" s="447">
        <f t="shared" ref="L30:L48" si="14">IFERROR(K30/H30,"-")</f>
        <v>1</v>
      </c>
      <c r="M30" s="446">
        <v>238.64999999999998</v>
      </c>
      <c r="N30" s="447">
        <f t="shared" ref="N30:N48" si="15">IFERROR(M30/H30,"-")</f>
        <v>6.7080137786228958E-3</v>
      </c>
      <c r="O30" s="448">
        <f t="shared" ref="O30:O48" si="16">IFERROR(K30+M30,"-")</f>
        <v>35815.5</v>
      </c>
      <c r="P30" s="447">
        <f t="shared" ref="P30:P48" si="17">IFERROR(O30/H30,"-")</f>
        <v>1.0067080137786228</v>
      </c>
      <c r="Q30" s="445">
        <v>37.22</v>
      </c>
      <c r="R30" s="447">
        <f t="shared" ref="R30:R48" si="18">IFERROR(Q30/H30,"-")</f>
        <v>1.0461859327062402E-3</v>
      </c>
      <c r="S30" s="455">
        <f t="shared" ref="S30:S48" si="19">IFERROR(Q30*G30,"-")</f>
        <v>1466.0957999999996</v>
      </c>
      <c r="T30" s="448">
        <f t="shared" ref="T30:T48" si="20">IFERROR(O30-H30,"-")</f>
        <v>238.65000000000146</v>
      </c>
      <c r="U30" s="447">
        <f t="shared" ref="U30:U48" si="21">IFERROR(T30/H30,"-")</f>
        <v>6.7080137786229375E-3</v>
      </c>
      <c r="V30" s="145"/>
      <c r="W30" s="145"/>
      <c r="X30" s="145"/>
      <c r="Y30" s="367" t="s">
        <v>174</v>
      </c>
      <c r="Z30" s="367" t="s">
        <v>216</v>
      </c>
      <c r="AA30" s="368" t="s">
        <v>595</v>
      </c>
      <c r="AB30" s="368" t="s">
        <v>575</v>
      </c>
      <c r="AC30" s="368">
        <v>1</v>
      </c>
      <c r="AD30" s="449" t="s">
        <v>340</v>
      </c>
      <c r="AF30" s="160" t="s">
        <v>244</v>
      </c>
      <c r="AG30" s="160" t="s">
        <v>446</v>
      </c>
      <c r="AH30" s="155" t="s">
        <v>564</v>
      </c>
      <c r="AI30" s="155" t="s">
        <v>337</v>
      </c>
      <c r="AJ30" s="155" t="s">
        <v>429</v>
      </c>
      <c r="AK30" s="155" t="s">
        <v>215</v>
      </c>
      <c r="AL30" s="155" t="s">
        <v>216</v>
      </c>
      <c r="AM30" s="155" t="s">
        <v>384</v>
      </c>
    </row>
    <row r="31" spans="2:39" s="147" customFormat="1" ht="27" hidden="1" customHeight="1">
      <c r="B31" s="845"/>
      <c r="C31" s="846"/>
      <c r="D31" s="362">
        <v>3</v>
      </c>
      <c r="E31" s="443" t="s">
        <v>651</v>
      </c>
      <c r="F31" s="365">
        <f t="shared" si="12"/>
        <v>7987.1021999999793</v>
      </c>
      <c r="G31" s="366">
        <v>43.889999999999993</v>
      </c>
      <c r="H31" s="445">
        <v>6266.0999999999985</v>
      </c>
      <c r="I31" s="445">
        <v>6266.0999999999985</v>
      </c>
      <c r="J31" s="447">
        <f t="shared" si="13"/>
        <v>1</v>
      </c>
      <c r="K31" s="446">
        <v>6266.0999999999985</v>
      </c>
      <c r="L31" s="447">
        <f t="shared" si="14"/>
        <v>1</v>
      </c>
      <c r="M31" s="446">
        <v>181.98</v>
      </c>
      <c r="N31" s="447">
        <f t="shared" si="15"/>
        <v>2.9041987839325902E-2</v>
      </c>
      <c r="O31" s="448">
        <f t="shared" si="16"/>
        <v>6448.0799999999981</v>
      </c>
      <c r="P31" s="447">
        <f t="shared" si="17"/>
        <v>1.0290419878393258</v>
      </c>
      <c r="Q31" s="445">
        <v>32.89</v>
      </c>
      <c r="R31" s="447">
        <f t="shared" si="18"/>
        <v>5.2488788879845533E-3</v>
      </c>
      <c r="S31" s="455">
        <f t="shared" si="19"/>
        <v>1443.5420999999999</v>
      </c>
      <c r="T31" s="448">
        <f t="shared" si="20"/>
        <v>181.97999999999956</v>
      </c>
      <c r="U31" s="447">
        <f t="shared" si="21"/>
        <v>2.9041987839325833E-2</v>
      </c>
      <c r="V31" s="145"/>
      <c r="W31" s="145"/>
      <c r="X31" s="145"/>
      <c r="Y31" s="367" t="s">
        <v>174</v>
      </c>
      <c r="Z31" s="367" t="s">
        <v>216</v>
      </c>
      <c r="AA31" s="368" t="s">
        <v>595</v>
      </c>
      <c r="AB31" s="368" t="s">
        <v>575</v>
      </c>
      <c r="AC31" s="368">
        <v>1</v>
      </c>
      <c r="AD31" s="449" t="s">
        <v>642</v>
      </c>
      <c r="AF31" s="375">
        <f>SUM(AC29:AC48)</f>
        <v>20</v>
      </c>
      <c r="AG31" s="370">
        <f>SUMIF($Z$29:$Z$48,TRIM(AG30),$AC$29:$AC$48)</f>
        <v>0</v>
      </c>
      <c r="AH31" s="370">
        <f t="shared" ref="AH31:AM31" si="22">SUMIF($Z$29:$Z$48,TRIM(AH30),$AC$29:$AC$48)</f>
        <v>0</v>
      </c>
      <c r="AI31" s="370">
        <f t="shared" si="22"/>
        <v>0</v>
      </c>
      <c r="AJ31" s="370">
        <f t="shared" si="22"/>
        <v>12</v>
      </c>
      <c r="AK31" s="370">
        <f t="shared" si="22"/>
        <v>1</v>
      </c>
      <c r="AL31" s="370">
        <f t="shared" si="22"/>
        <v>7</v>
      </c>
      <c r="AM31" s="370">
        <f t="shared" si="22"/>
        <v>0</v>
      </c>
    </row>
    <row r="32" spans="2:39" s="147" customFormat="1" ht="27" hidden="1" customHeight="1">
      <c r="B32" s="845"/>
      <c r="C32" s="846"/>
      <c r="D32" s="362">
        <v>4</v>
      </c>
      <c r="E32" s="443" t="s">
        <v>462</v>
      </c>
      <c r="F32" s="365">
        <f t="shared" si="12"/>
        <v>7885.691600000061</v>
      </c>
      <c r="G32" s="366">
        <v>407.74000000000007</v>
      </c>
      <c r="H32" s="445">
        <v>1125.69</v>
      </c>
      <c r="I32" s="445">
        <v>1125.69</v>
      </c>
      <c r="J32" s="447">
        <f t="shared" si="13"/>
        <v>1</v>
      </c>
      <c r="K32" s="446">
        <v>1126.3900000000001</v>
      </c>
      <c r="L32" s="447">
        <f t="shared" si="14"/>
        <v>1.0006218408265153</v>
      </c>
      <c r="M32" s="446">
        <v>18.64</v>
      </c>
      <c r="N32" s="447">
        <f t="shared" si="15"/>
        <v>1.6558732866064369E-2</v>
      </c>
      <c r="O32" s="448">
        <f t="shared" si="16"/>
        <v>1145.0300000000002</v>
      </c>
      <c r="P32" s="447">
        <f t="shared" si="17"/>
        <v>1.0171805736925799</v>
      </c>
      <c r="Q32" s="445">
        <v>2.31</v>
      </c>
      <c r="R32" s="447">
        <f t="shared" si="18"/>
        <v>2.0520747275004662E-3</v>
      </c>
      <c r="S32" s="455">
        <f t="shared" si="19"/>
        <v>941.87940000000015</v>
      </c>
      <c r="T32" s="448">
        <f t="shared" si="20"/>
        <v>19.340000000000146</v>
      </c>
      <c r="U32" s="447">
        <f t="shared" si="21"/>
        <v>1.718057369257979E-2</v>
      </c>
      <c r="V32" s="145"/>
      <c r="W32" s="145"/>
      <c r="X32" s="145"/>
      <c r="Y32" s="367" t="s">
        <v>174</v>
      </c>
      <c r="Z32" s="367" t="s">
        <v>216</v>
      </c>
      <c r="AA32" s="368" t="s">
        <v>481</v>
      </c>
      <c r="AB32" s="368" t="s">
        <v>482</v>
      </c>
      <c r="AC32" s="368">
        <v>1</v>
      </c>
      <c r="AD32" s="449" t="s">
        <v>464</v>
      </c>
      <c r="AF32" s="376"/>
      <c r="AG32" s="373">
        <f t="shared" ref="AG32:AM32" si="23">SUMIF($Z$29:$Z$48,TRIM(AG30),$F$29:$F$48)</f>
        <v>0</v>
      </c>
      <c r="AH32" s="373">
        <f t="shared" si="23"/>
        <v>0</v>
      </c>
      <c r="AI32" s="373">
        <f t="shared" si="23"/>
        <v>0</v>
      </c>
      <c r="AJ32" s="373">
        <f t="shared" si="23"/>
        <v>63700.014900000075</v>
      </c>
      <c r="AK32" s="373">
        <f t="shared" si="23"/>
        <v>12264.701699999943</v>
      </c>
      <c r="AL32" s="373">
        <f t="shared" si="23"/>
        <v>44969.139500000027</v>
      </c>
      <c r="AM32" s="373">
        <f t="shared" si="23"/>
        <v>0</v>
      </c>
    </row>
    <row r="33" spans="2:39" s="147" customFormat="1" ht="27" hidden="1" customHeight="1">
      <c r="B33" s="845"/>
      <c r="C33" s="846"/>
      <c r="D33" s="362">
        <v>5</v>
      </c>
      <c r="E33" s="443" t="s">
        <v>652</v>
      </c>
      <c r="F33" s="365">
        <f t="shared" si="12"/>
        <v>6758.8521000000665</v>
      </c>
      <c r="G33" s="366">
        <v>193.82999999999998</v>
      </c>
      <c r="H33" s="445">
        <v>2481.16</v>
      </c>
      <c r="I33" s="445">
        <v>2481.16</v>
      </c>
      <c r="J33" s="447">
        <f t="shared" si="13"/>
        <v>1</v>
      </c>
      <c r="K33" s="446">
        <v>2487.63</v>
      </c>
      <c r="L33" s="447">
        <f t="shared" si="14"/>
        <v>1.0026076512598947</v>
      </c>
      <c r="M33" s="446">
        <v>28.400000000000002</v>
      </c>
      <c r="N33" s="447">
        <f t="shared" si="15"/>
        <v>1.1446259007883411E-2</v>
      </c>
      <c r="O33" s="448">
        <f t="shared" si="16"/>
        <v>2516.0300000000002</v>
      </c>
      <c r="P33" s="447">
        <f t="shared" si="17"/>
        <v>1.0140539102677781</v>
      </c>
      <c r="Q33" s="445">
        <v>2.37</v>
      </c>
      <c r="R33" s="447">
        <f t="shared" si="18"/>
        <v>9.5519837495365079E-4</v>
      </c>
      <c r="S33" s="455">
        <f t="shared" si="19"/>
        <v>459.37709999999998</v>
      </c>
      <c r="T33" s="448">
        <f t="shared" si="20"/>
        <v>34.870000000000346</v>
      </c>
      <c r="U33" s="447">
        <f t="shared" si="21"/>
        <v>1.4053910267778115E-2</v>
      </c>
      <c r="V33" s="145"/>
      <c r="W33" s="145"/>
      <c r="X33" s="145"/>
      <c r="Y33" s="367" t="s">
        <v>174</v>
      </c>
      <c r="Z33" s="367" t="s">
        <v>429</v>
      </c>
      <c r="AA33" s="368" t="s">
        <v>595</v>
      </c>
      <c r="AB33" s="368" t="s">
        <v>575</v>
      </c>
      <c r="AC33" s="368">
        <v>1</v>
      </c>
      <c r="AD33" s="449" t="s">
        <v>656</v>
      </c>
      <c r="AF33" s="362"/>
      <c r="AG33" s="374">
        <f t="shared" ref="AG33:AM33" si="24">AG31/$AF31</f>
        <v>0</v>
      </c>
      <c r="AH33" s="374">
        <f t="shared" si="24"/>
        <v>0</v>
      </c>
      <c r="AI33" s="374">
        <f t="shared" si="24"/>
        <v>0</v>
      </c>
      <c r="AJ33" s="374">
        <f t="shared" si="24"/>
        <v>0.6</v>
      </c>
      <c r="AK33" s="374">
        <f t="shared" si="24"/>
        <v>0.05</v>
      </c>
      <c r="AL33" s="374">
        <f t="shared" si="24"/>
        <v>0.35</v>
      </c>
      <c r="AM33" s="374">
        <f t="shared" si="24"/>
        <v>0</v>
      </c>
    </row>
    <row r="34" spans="2:39" s="147" customFormat="1" ht="27" hidden="1" customHeight="1">
      <c r="B34" s="845"/>
      <c r="C34" s="846"/>
      <c r="D34" s="362">
        <v>6</v>
      </c>
      <c r="E34" s="443" t="s">
        <v>604</v>
      </c>
      <c r="F34" s="365">
        <f t="shared" si="12"/>
        <v>6118.1809999999878</v>
      </c>
      <c r="G34" s="366">
        <v>413.94999999999993</v>
      </c>
      <c r="H34" s="445">
        <v>827.88999999999987</v>
      </c>
      <c r="I34" s="445">
        <v>827.88999999999987</v>
      </c>
      <c r="J34" s="447">
        <f t="shared" si="13"/>
        <v>1</v>
      </c>
      <c r="K34" s="446">
        <v>827.88999999999987</v>
      </c>
      <c r="L34" s="447">
        <f t="shared" si="14"/>
        <v>1</v>
      </c>
      <c r="M34" s="446">
        <v>14.780000000000001</v>
      </c>
      <c r="N34" s="447">
        <f t="shared" si="15"/>
        <v>1.7852613269878852E-2</v>
      </c>
      <c r="O34" s="448">
        <f t="shared" si="16"/>
        <v>842.66999999999985</v>
      </c>
      <c r="P34" s="447">
        <f t="shared" si="17"/>
        <v>1.0178526132698789</v>
      </c>
      <c r="Q34" s="445">
        <v>3.6700000000000004</v>
      </c>
      <c r="R34" s="447">
        <f t="shared" si="18"/>
        <v>4.4329560690429901E-3</v>
      </c>
      <c r="S34" s="455">
        <f t="shared" si="19"/>
        <v>1519.1965</v>
      </c>
      <c r="T34" s="448">
        <f t="shared" si="20"/>
        <v>14.779999999999973</v>
      </c>
      <c r="U34" s="447">
        <f t="shared" si="21"/>
        <v>1.7852613269878817E-2</v>
      </c>
      <c r="V34" s="145"/>
      <c r="W34" s="145"/>
      <c r="X34" s="145"/>
      <c r="Y34" s="367" t="s">
        <v>174</v>
      </c>
      <c r="Z34" s="367" t="s">
        <v>429</v>
      </c>
      <c r="AA34" s="368" t="s">
        <v>595</v>
      </c>
      <c r="AB34" s="368" t="s">
        <v>575</v>
      </c>
      <c r="AC34" s="368">
        <v>1</v>
      </c>
      <c r="AD34" s="449" t="s">
        <v>340</v>
      </c>
    </row>
    <row r="35" spans="2:39" s="147" customFormat="1" ht="27" hidden="1" customHeight="1">
      <c r="B35" s="845"/>
      <c r="C35" s="846"/>
      <c r="D35" s="362">
        <v>7</v>
      </c>
      <c r="E35" s="443" t="s">
        <v>653</v>
      </c>
      <c r="F35" s="365">
        <f t="shared" si="12"/>
        <v>5900.5999999999995</v>
      </c>
      <c r="G35" s="366">
        <v>144.79999999999998</v>
      </c>
      <c r="H35" s="445">
        <v>2957.66</v>
      </c>
      <c r="I35" s="445">
        <v>2957.66</v>
      </c>
      <c r="J35" s="447">
        <f t="shared" si="13"/>
        <v>1</v>
      </c>
      <c r="K35" s="446">
        <v>2957.66</v>
      </c>
      <c r="L35" s="447">
        <f t="shared" si="14"/>
        <v>1</v>
      </c>
      <c r="M35" s="446">
        <v>40.75</v>
      </c>
      <c r="N35" s="447">
        <f t="shared" si="15"/>
        <v>1.3777783788535532E-2</v>
      </c>
      <c r="O35" s="448">
        <f t="shared" si="16"/>
        <v>2998.41</v>
      </c>
      <c r="P35" s="447">
        <f t="shared" si="17"/>
        <v>1.0137777837885356</v>
      </c>
      <c r="Q35" s="445">
        <v>7.4899999999999993</v>
      </c>
      <c r="R35" s="447">
        <f t="shared" si="18"/>
        <v>2.5324073761013774E-3</v>
      </c>
      <c r="S35" s="455">
        <f t="shared" si="19"/>
        <v>1084.5519999999997</v>
      </c>
      <c r="T35" s="448">
        <f t="shared" si="20"/>
        <v>40.75</v>
      </c>
      <c r="U35" s="447">
        <f t="shared" si="21"/>
        <v>1.3777783788535532E-2</v>
      </c>
      <c r="V35" s="145"/>
      <c r="W35" s="145"/>
      <c r="X35" s="145"/>
      <c r="Y35" s="367" t="s">
        <v>174</v>
      </c>
      <c r="Z35" s="367" t="s">
        <v>429</v>
      </c>
      <c r="AA35" s="368" t="s">
        <v>612</v>
      </c>
      <c r="AB35" s="368" t="s">
        <v>526</v>
      </c>
      <c r="AC35" s="368">
        <v>1</v>
      </c>
      <c r="AD35" s="449" t="s">
        <v>340</v>
      </c>
    </row>
    <row r="36" spans="2:39" s="147" customFormat="1" ht="27" hidden="1" customHeight="1">
      <c r="B36" s="845"/>
      <c r="C36" s="846"/>
      <c r="D36" s="362">
        <v>8</v>
      </c>
      <c r="E36" s="443" t="s">
        <v>586</v>
      </c>
      <c r="F36" s="365">
        <f t="shared" si="12"/>
        <v>5677.1792000000078</v>
      </c>
      <c r="G36" s="366">
        <v>113.68000000000004</v>
      </c>
      <c r="H36" s="445">
        <v>1662.5</v>
      </c>
      <c r="I36" s="445">
        <v>1662.5</v>
      </c>
      <c r="J36" s="447">
        <f t="shared" si="13"/>
        <v>1</v>
      </c>
      <c r="K36" s="446">
        <v>1662.5</v>
      </c>
      <c r="L36" s="447">
        <f t="shared" si="14"/>
        <v>1</v>
      </c>
      <c r="M36" s="446">
        <v>49.94</v>
      </c>
      <c r="N36" s="447">
        <f t="shared" si="15"/>
        <v>3.00390977443609E-2</v>
      </c>
      <c r="O36" s="448">
        <f t="shared" si="16"/>
        <v>1712.44</v>
      </c>
      <c r="P36" s="447">
        <f t="shared" si="17"/>
        <v>1.030039097744361</v>
      </c>
      <c r="Q36" s="445">
        <v>10.01</v>
      </c>
      <c r="R36" s="447">
        <f t="shared" si="18"/>
        <v>6.021052631578947E-3</v>
      </c>
      <c r="S36" s="455">
        <f t="shared" si="19"/>
        <v>1137.9368000000004</v>
      </c>
      <c r="T36" s="448">
        <f t="shared" si="20"/>
        <v>49.940000000000055</v>
      </c>
      <c r="U36" s="447">
        <f t="shared" si="21"/>
        <v>3.0039097744360935E-2</v>
      </c>
      <c r="V36" s="145"/>
      <c r="W36" s="145"/>
      <c r="X36" s="145"/>
      <c r="Y36" s="367" t="s">
        <v>174</v>
      </c>
      <c r="Z36" s="367" t="s">
        <v>429</v>
      </c>
      <c r="AA36" s="368" t="s">
        <v>480</v>
      </c>
      <c r="AB36" s="368" t="s">
        <v>478</v>
      </c>
      <c r="AC36" s="368">
        <v>1</v>
      </c>
      <c r="AD36" s="449" t="s">
        <v>568</v>
      </c>
    </row>
    <row r="37" spans="2:39" s="147" customFormat="1" ht="27" hidden="1" customHeight="1">
      <c r="B37" s="845"/>
      <c r="C37" s="846"/>
      <c r="D37" s="362">
        <v>9</v>
      </c>
      <c r="E37" s="443" t="s">
        <v>654</v>
      </c>
      <c r="F37" s="365">
        <f t="shared" si="12"/>
        <v>5449.2958000000026</v>
      </c>
      <c r="G37" s="366">
        <v>212.78</v>
      </c>
      <c r="H37" s="445">
        <v>908.13</v>
      </c>
      <c r="I37" s="445">
        <v>908.13</v>
      </c>
      <c r="J37" s="447">
        <f t="shared" si="13"/>
        <v>1</v>
      </c>
      <c r="K37" s="446">
        <v>908.13</v>
      </c>
      <c r="L37" s="447">
        <f t="shared" si="14"/>
        <v>1</v>
      </c>
      <c r="M37" s="446">
        <v>25.61</v>
      </c>
      <c r="N37" s="447">
        <f t="shared" si="15"/>
        <v>2.8200808254324822E-2</v>
      </c>
      <c r="O37" s="448">
        <f t="shared" si="16"/>
        <v>933.74</v>
      </c>
      <c r="P37" s="447">
        <f t="shared" si="17"/>
        <v>1.0282008082543248</v>
      </c>
      <c r="Q37" s="445">
        <v>7.45</v>
      </c>
      <c r="R37" s="447">
        <f t="shared" si="18"/>
        <v>8.2036712805435355E-3</v>
      </c>
      <c r="S37" s="455">
        <f t="shared" si="19"/>
        <v>1585.211</v>
      </c>
      <c r="T37" s="448">
        <f t="shared" si="20"/>
        <v>25.610000000000014</v>
      </c>
      <c r="U37" s="447">
        <f t="shared" si="21"/>
        <v>2.8200808254324836E-2</v>
      </c>
      <c r="V37" s="145"/>
      <c r="W37" s="145"/>
      <c r="X37" s="145"/>
      <c r="Y37" s="367" t="s">
        <v>174</v>
      </c>
      <c r="Z37" s="367" t="s">
        <v>429</v>
      </c>
      <c r="AA37" s="368" t="s">
        <v>542</v>
      </c>
      <c r="AB37" s="368" t="s">
        <v>543</v>
      </c>
      <c r="AC37" s="368">
        <v>1</v>
      </c>
      <c r="AD37" s="449" t="s">
        <v>642</v>
      </c>
    </row>
    <row r="38" spans="2:39" s="147" customFormat="1" ht="27" hidden="1" customHeight="1">
      <c r="B38" s="845"/>
      <c r="C38" s="846"/>
      <c r="D38" s="362">
        <v>10</v>
      </c>
      <c r="E38" s="443" t="s">
        <v>655</v>
      </c>
      <c r="F38" s="365">
        <f t="shared" si="12"/>
        <v>5348.1769999999951</v>
      </c>
      <c r="G38" s="366">
        <v>49.82</v>
      </c>
      <c r="H38" s="445">
        <v>3275.25</v>
      </c>
      <c r="I38" s="445">
        <v>3275.25</v>
      </c>
      <c r="J38" s="447">
        <f t="shared" si="13"/>
        <v>1</v>
      </c>
      <c r="K38" s="446">
        <v>3275.25</v>
      </c>
      <c r="L38" s="447">
        <f t="shared" si="14"/>
        <v>1</v>
      </c>
      <c r="M38" s="446">
        <v>107.35</v>
      </c>
      <c r="N38" s="447">
        <f t="shared" si="15"/>
        <v>3.2776123960003054E-2</v>
      </c>
      <c r="O38" s="448">
        <f t="shared" si="16"/>
        <v>3382.6</v>
      </c>
      <c r="P38" s="447">
        <f t="shared" si="17"/>
        <v>1.0327761239600031</v>
      </c>
      <c r="Q38" s="445">
        <v>21.630000000000003</v>
      </c>
      <c r="R38" s="447">
        <f t="shared" si="18"/>
        <v>6.6040760247309373E-3</v>
      </c>
      <c r="S38" s="455">
        <f t="shared" si="19"/>
        <v>1077.6066000000001</v>
      </c>
      <c r="T38" s="448">
        <f t="shared" si="20"/>
        <v>107.34999999999991</v>
      </c>
      <c r="U38" s="447">
        <f t="shared" si="21"/>
        <v>3.2776123960003026E-2</v>
      </c>
      <c r="V38" s="145"/>
      <c r="W38" s="145"/>
      <c r="X38" s="145"/>
      <c r="Y38" s="367" t="s">
        <v>174</v>
      </c>
      <c r="Z38" s="367" t="s">
        <v>429</v>
      </c>
      <c r="AA38" s="368" t="s">
        <v>542</v>
      </c>
      <c r="AB38" s="368" t="s">
        <v>543</v>
      </c>
      <c r="AC38" s="368">
        <v>1</v>
      </c>
      <c r="AD38" s="449" t="s">
        <v>623</v>
      </c>
    </row>
    <row r="39" spans="2:39" s="147" customFormat="1" ht="27" hidden="1" customHeight="1">
      <c r="B39" s="845"/>
      <c r="C39" s="846"/>
      <c r="D39" s="362">
        <v>11</v>
      </c>
      <c r="E39" s="443" t="s">
        <v>626</v>
      </c>
      <c r="F39" s="365">
        <f t="shared" si="12"/>
        <v>5212.478699999996</v>
      </c>
      <c r="G39" s="366">
        <v>39.389999999999993</v>
      </c>
      <c r="H39" s="445">
        <v>5051.83</v>
      </c>
      <c r="I39" s="445">
        <v>5051.83</v>
      </c>
      <c r="J39" s="447">
        <f t="shared" si="13"/>
        <v>1</v>
      </c>
      <c r="K39" s="446">
        <v>5051.83</v>
      </c>
      <c r="L39" s="447">
        <f t="shared" si="14"/>
        <v>1</v>
      </c>
      <c r="M39" s="446">
        <v>132.33000000000001</v>
      </c>
      <c r="N39" s="447">
        <f t="shared" si="15"/>
        <v>2.6194468143227307E-2</v>
      </c>
      <c r="O39" s="448">
        <f t="shared" si="16"/>
        <v>5184.16</v>
      </c>
      <c r="P39" s="447">
        <f t="shared" si="17"/>
        <v>1.0261944681432273</v>
      </c>
      <c r="Q39" s="445">
        <v>29.68</v>
      </c>
      <c r="R39" s="447">
        <f t="shared" si="18"/>
        <v>5.8750987266000636E-3</v>
      </c>
      <c r="S39" s="455">
        <f t="shared" si="19"/>
        <v>1169.0951999999997</v>
      </c>
      <c r="T39" s="448">
        <f t="shared" si="20"/>
        <v>132.32999999999993</v>
      </c>
      <c r="U39" s="447">
        <f t="shared" si="21"/>
        <v>2.6194468143227293E-2</v>
      </c>
      <c r="V39" s="145"/>
      <c r="W39" s="145"/>
      <c r="X39" s="145"/>
      <c r="Y39" s="367" t="s">
        <v>174</v>
      </c>
      <c r="Z39" s="367" t="s">
        <v>216</v>
      </c>
      <c r="AA39" s="368" t="s">
        <v>595</v>
      </c>
      <c r="AB39" s="368" t="s">
        <v>575</v>
      </c>
      <c r="AC39" s="368">
        <v>1</v>
      </c>
      <c r="AD39" s="449" t="s">
        <v>621</v>
      </c>
      <c r="AH39" s="371"/>
    </row>
    <row r="40" spans="2:39" s="147" customFormat="1" ht="27" hidden="1" customHeight="1">
      <c r="B40" s="845"/>
      <c r="C40" s="846"/>
      <c r="D40" s="362">
        <v>12</v>
      </c>
      <c r="E40" s="443" t="s">
        <v>386</v>
      </c>
      <c r="F40" s="365">
        <f t="shared" si="12"/>
        <v>5062.4640000000472</v>
      </c>
      <c r="G40" s="366">
        <v>127.84000000000002</v>
      </c>
      <c r="H40" s="445">
        <v>4280.3500000000004</v>
      </c>
      <c r="I40" s="445">
        <v>4280.3500000000004</v>
      </c>
      <c r="J40" s="447">
        <f t="shared" si="13"/>
        <v>1</v>
      </c>
      <c r="K40" s="446">
        <v>4280.3500000000004</v>
      </c>
      <c r="L40" s="447">
        <f t="shared" si="14"/>
        <v>1</v>
      </c>
      <c r="M40" s="446">
        <v>39.599999999999994</v>
      </c>
      <c r="N40" s="447">
        <f t="shared" si="15"/>
        <v>9.251579894167531E-3</v>
      </c>
      <c r="O40" s="448">
        <f t="shared" si="16"/>
        <v>4319.9500000000007</v>
      </c>
      <c r="P40" s="447">
        <f t="shared" si="17"/>
        <v>1.0092515798941677</v>
      </c>
      <c r="Q40" s="445">
        <v>13.71</v>
      </c>
      <c r="R40" s="447">
        <f t="shared" si="18"/>
        <v>3.2030090997231535E-3</v>
      </c>
      <c r="S40" s="455">
        <f t="shared" si="19"/>
        <v>1752.6864000000003</v>
      </c>
      <c r="T40" s="448">
        <f t="shared" si="20"/>
        <v>39.600000000000364</v>
      </c>
      <c r="U40" s="447">
        <f t="shared" si="21"/>
        <v>9.2515798941676178E-3</v>
      </c>
      <c r="V40" s="145"/>
      <c r="W40" s="145"/>
      <c r="X40" s="145"/>
      <c r="Y40" s="367" t="s">
        <v>174</v>
      </c>
      <c r="Z40" s="367" t="s">
        <v>429</v>
      </c>
      <c r="AA40" s="368" t="s">
        <v>612</v>
      </c>
      <c r="AB40" s="368" t="s">
        <v>526</v>
      </c>
      <c r="AC40" s="368">
        <v>1</v>
      </c>
      <c r="AD40" s="449" t="s">
        <v>340</v>
      </c>
    </row>
    <row r="41" spans="2:39" s="147" customFormat="1" ht="27" hidden="1" customHeight="1">
      <c r="B41" s="845"/>
      <c r="C41" s="846"/>
      <c r="D41" s="362">
        <v>13</v>
      </c>
      <c r="E41" s="443" t="s">
        <v>471</v>
      </c>
      <c r="F41" s="365">
        <f t="shared" si="12"/>
        <v>5016.7151999999778</v>
      </c>
      <c r="G41" s="366">
        <v>266.27999999999997</v>
      </c>
      <c r="H41" s="445">
        <v>1314.67</v>
      </c>
      <c r="I41" s="445">
        <v>1314.67</v>
      </c>
      <c r="J41" s="447">
        <f t="shared" si="13"/>
        <v>1</v>
      </c>
      <c r="K41" s="446">
        <v>1319.17</v>
      </c>
      <c r="L41" s="447">
        <f t="shared" si="14"/>
        <v>1.0034229122137115</v>
      </c>
      <c r="M41" s="446">
        <v>14.34</v>
      </c>
      <c r="N41" s="447">
        <f t="shared" si="15"/>
        <v>1.0907680254360409E-2</v>
      </c>
      <c r="O41" s="448">
        <f t="shared" si="16"/>
        <v>1333.51</v>
      </c>
      <c r="P41" s="447">
        <f t="shared" si="17"/>
        <v>1.0143305924680717</v>
      </c>
      <c r="Q41" s="445">
        <v>1.19</v>
      </c>
      <c r="R41" s="447">
        <f t="shared" si="18"/>
        <v>9.0517011873702136E-4</v>
      </c>
      <c r="S41" s="455">
        <f t="shared" si="19"/>
        <v>316.87319999999994</v>
      </c>
      <c r="T41" s="448">
        <f t="shared" si="20"/>
        <v>18.839999999999918</v>
      </c>
      <c r="U41" s="447">
        <f t="shared" si="21"/>
        <v>1.4330592468071772E-2</v>
      </c>
      <c r="V41" s="145"/>
      <c r="W41" s="145"/>
      <c r="X41" s="145"/>
      <c r="Y41" s="367" t="s">
        <v>174</v>
      </c>
      <c r="Z41" s="367" t="s">
        <v>429</v>
      </c>
      <c r="AA41" s="368" t="s">
        <v>612</v>
      </c>
      <c r="AB41" s="368" t="s">
        <v>526</v>
      </c>
      <c r="AC41" s="368">
        <v>1</v>
      </c>
      <c r="AD41" s="449" t="s">
        <v>472</v>
      </c>
    </row>
    <row r="42" spans="2:39" s="147" customFormat="1" ht="27" hidden="1" customHeight="1">
      <c r="B42" s="845"/>
      <c r="C42" s="846"/>
      <c r="D42" s="362">
        <v>14</v>
      </c>
      <c r="E42" s="443" t="s">
        <v>570</v>
      </c>
      <c r="F42" s="365">
        <f t="shared" si="12"/>
        <v>5011.006000000004</v>
      </c>
      <c r="G42" s="366">
        <v>40.04</v>
      </c>
      <c r="H42" s="445">
        <v>3778.71</v>
      </c>
      <c r="I42" s="445">
        <v>3778.71</v>
      </c>
      <c r="J42" s="447">
        <f t="shared" si="13"/>
        <v>1</v>
      </c>
      <c r="K42" s="446">
        <v>3778.71</v>
      </c>
      <c r="L42" s="447">
        <f t="shared" si="14"/>
        <v>1</v>
      </c>
      <c r="M42" s="446">
        <v>125.15</v>
      </c>
      <c r="N42" s="447">
        <f t="shared" si="15"/>
        <v>3.3119768386565787E-2</v>
      </c>
      <c r="O42" s="448">
        <f t="shared" si="16"/>
        <v>3903.86</v>
      </c>
      <c r="P42" s="447">
        <f t="shared" si="17"/>
        <v>1.0331197683865658</v>
      </c>
      <c r="Q42" s="445">
        <v>21.74</v>
      </c>
      <c r="R42" s="447">
        <f t="shared" si="18"/>
        <v>5.7532861743822619E-3</v>
      </c>
      <c r="S42" s="455">
        <f t="shared" si="19"/>
        <v>870.4695999999999</v>
      </c>
      <c r="T42" s="448">
        <f t="shared" si="20"/>
        <v>125.15000000000009</v>
      </c>
      <c r="U42" s="447">
        <f t="shared" si="21"/>
        <v>3.3119768386565808E-2</v>
      </c>
      <c r="V42" s="145"/>
      <c r="W42" s="145"/>
      <c r="X42" s="145"/>
      <c r="Y42" s="367" t="s">
        <v>174</v>
      </c>
      <c r="Z42" s="367" t="s">
        <v>216</v>
      </c>
      <c r="AA42" s="368" t="s">
        <v>612</v>
      </c>
      <c r="AB42" s="368" t="s">
        <v>662</v>
      </c>
      <c r="AC42" s="368">
        <v>1</v>
      </c>
      <c r="AD42" s="449" t="s">
        <v>534</v>
      </c>
    </row>
    <row r="43" spans="2:39" s="147" customFormat="1" ht="27" hidden="1" customHeight="1">
      <c r="B43" s="845"/>
      <c r="C43" s="846"/>
      <c r="D43" s="362">
        <v>15</v>
      </c>
      <c r="E43" s="443" t="s">
        <v>603</v>
      </c>
      <c r="F43" s="365">
        <f t="shared" si="12"/>
        <v>5006.747200000018</v>
      </c>
      <c r="G43" s="366">
        <v>153.44000000000003</v>
      </c>
      <c r="H43" s="445">
        <v>2031.73</v>
      </c>
      <c r="I43" s="445">
        <v>2031.73</v>
      </c>
      <c r="J43" s="447">
        <f t="shared" si="13"/>
        <v>1</v>
      </c>
      <c r="K43" s="446">
        <v>2031.73</v>
      </c>
      <c r="L43" s="447">
        <f t="shared" si="14"/>
        <v>1</v>
      </c>
      <c r="M43" s="446">
        <v>32.630000000000003</v>
      </c>
      <c r="N43" s="447">
        <f t="shared" si="15"/>
        <v>1.6060204850053897E-2</v>
      </c>
      <c r="O43" s="448">
        <f t="shared" si="16"/>
        <v>2064.36</v>
      </c>
      <c r="P43" s="447">
        <f t="shared" si="17"/>
        <v>1.016060204850054</v>
      </c>
      <c r="Q43" s="445">
        <v>6.98</v>
      </c>
      <c r="R43" s="447">
        <f t="shared" si="18"/>
        <v>3.4354958582095063E-3</v>
      </c>
      <c r="S43" s="455">
        <f t="shared" si="19"/>
        <v>1071.0112000000001</v>
      </c>
      <c r="T43" s="448">
        <f t="shared" si="20"/>
        <v>32.630000000000109</v>
      </c>
      <c r="U43" s="447">
        <f t="shared" si="21"/>
        <v>1.6060204850053949E-2</v>
      </c>
      <c r="V43" s="145"/>
      <c r="W43" s="145"/>
      <c r="X43" s="145"/>
      <c r="Y43" s="367" t="s">
        <v>174</v>
      </c>
      <c r="Z43" s="367" t="s">
        <v>429</v>
      </c>
      <c r="AA43" s="368" t="s">
        <v>612</v>
      </c>
      <c r="AB43" s="368" t="s">
        <v>662</v>
      </c>
      <c r="AC43" s="368">
        <v>1</v>
      </c>
      <c r="AD43" s="449" t="s">
        <v>466</v>
      </c>
    </row>
    <row r="44" spans="2:39" s="147" customFormat="1" ht="27" hidden="1" customHeight="1">
      <c r="B44" s="845"/>
      <c r="C44" s="846"/>
      <c r="D44" s="362">
        <v>16</v>
      </c>
      <c r="E44" s="443" t="s">
        <v>460</v>
      </c>
      <c r="F44" s="365">
        <f t="shared" si="12"/>
        <v>4906.8179999999438</v>
      </c>
      <c r="G44" s="366">
        <v>605.77999999999986</v>
      </c>
      <c r="H44" s="445">
        <v>1043.78</v>
      </c>
      <c r="I44" s="445">
        <v>1043.78</v>
      </c>
      <c r="J44" s="447">
        <f t="shared" si="13"/>
        <v>1</v>
      </c>
      <c r="K44" s="446">
        <v>1044.8799999999999</v>
      </c>
      <c r="L44" s="447">
        <f t="shared" si="14"/>
        <v>1.0010538619249265</v>
      </c>
      <c r="M44" s="446">
        <v>7.0000000000000009</v>
      </c>
      <c r="N44" s="447">
        <f t="shared" si="15"/>
        <v>6.7063940677154201E-3</v>
      </c>
      <c r="O44" s="448">
        <f t="shared" si="16"/>
        <v>1051.8799999999999</v>
      </c>
      <c r="P44" s="447">
        <f t="shared" si="17"/>
        <v>1.007760255992642</v>
      </c>
      <c r="Q44" s="445">
        <v>2.7199999999999998</v>
      </c>
      <c r="R44" s="447">
        <f t="shared" si="18"/>
        <v>2.6059131234551342E-3</v>
      </c>
      <c r="S44" s="455">
        <f t="shared" si="19"/>
        <v>1647.7215999999994</v>
      </c>
      <c r="T44" s="448">
        <f t="shared" si="20"/>
        <v>8.0999999999999091</v>
      </c>
      <c r="U44" s="447">
        <f t="shared" si="21"/>
        <v>7.7602559926420404E-3</v>
      </c>
      <c r="V44" s="145"/>
      <c r="W44" s="145"/>
      <c r="X44" s="145"/>
      <c r="Y44" s="367" t="s">
        <v>174</v>
      </c>
      <c r="Z44" s="368" t="s">
        <v>216</v>
      </c>
      <c r="AA44" s="368" t="s">
        <v>483</v>
      </c>
      <c r="AB44" s="368" t="s">
        <v>549</v>
      </c>
      <c r="AC44" s="368">
        <v>1</v>
      </c>
      <c r="AD44" s="449" t="s">
        <v>342</v>
      </c>
    </row>
    <row r="45" spans="2:39" s="147" customFormat="1" ht="27" hidden="1" customHeight="1">
      <c r="B45" s="845"/>
      <c r="C45" s="846"/>
      <c r="D45" s="362">
        <v>17</v>
      </c>
      <c r="E45" s="443" t="s">
        <v>605</v>
      </c>
      <c r="F45" s="365">
        <f t="shared" si="12"/>
        <v>4565.6194999999916</v>
      </c>
      <c r="G45" s="366">
        <v>46.149999999999991</v>
      </c>
      <c r="H45" s="445">
        <v>3553.92</v>
      </c>
      <c r="I45" s="445">
        <v>3553.92</v>
      </c>
      <c r="J45" s="447">
        <f t="shared" si="13"/>
        <v>1</v>
      </c>
      <c r="K45" s="446">
        <v>3553.92</v>
      </c>
      <c r="L45" s="447">
        <f t="shared" si="14"/>
        <v>1</v>
      </c>
      <c r="M45" s="446">
        <v>98.929999999999993</v>
      </c>
      <c r="N45" s="447">
        <f t="shared" si="15"/>
        <v>2.7836867459031151E-2</v>
      </c>
      <c r="O45" s="448">
        <f t="shared" si="16"/>
        <v>3652.85</v>
      </c>
      <c r="P45" s="447">
        <f t="shared" si="17"/>
        <v>1.027836867459031</v>
      </c>
      <c r="Q45" s="445">
        <v>23.389999999999997</v>
      </c>
      <c r="R45" s="447">
        <f t="shared" si="18"/>
        <v>6.5814649738879872E-3</v>
      </c>
      <c r="S45" s="455">
        <f t="shared" si="19"/>
        <v>1079.4484999999997</v>
      </c>
      <c r="T45" s="448">
        <f t="shared" si="20"/>
        <v>98.929999999999836</v>
      </c>
      <c r="U45" s="447">
        <f t="shared" si="21"/>
        <v>2.7836867459031106E-2</v>
      </c>
      <c r="V45" s="145"/>
      <c r="W45" s="145"/>
      <c r="X45" s="145"/>
      <c r="Y45" s="367" t="s">
        <v>174</v>
      </c>
      <c r="Z45" s="368" t="s">
        <v>216</v>
      </c>
      <c r="AA45" s="368" t="s">
        <v>595</v>
      </c>
      <c r="AB45" s="368" t="s">
        <v>575</v>
      </c>
      <c r="AC45" s="368">
        <v>1</v>
      </c>
      <c r="AD45" s="449" t="s">
        <v>601</v>
      </c>
    </row>
    <row r="46" spans="2:39" s="147" customFormat="1" ht="27" hidden="1" customHeight="1">
      <c r="B46" s="845"/>
      <c r="C46" s="846"/>
      <c r="D46" s="362">
        <v>18</v>
      </c>
      <c r="E46" s="443" t="s">
        <v>547</v>
      </c>
      <c r="F46" s="365">
        <f t="shared" si="12"/>
        <v>4532.5501999999969</v>
      </c>
      <c r="G46" s="366">
        <v>66.13</v>
      </c>
      <c r="H46" s="445">
        <v>1915.3400000000001</v>
      </c>
      <c r="I46" s="445">
        <v>1915.3400000000001</v>
      </c>
      <c r="J46" s="447">
        <f t="shared" si="13"/>
        <v>1</v>
      </c>
      <c r="K46" s="446">
        <v>1921.8000000000002</v>
      </c>
      <c r="L46" s="447">
        <f t="shared" si="14"/>
        <v>1.0033727693255505</v>
      </c>
      <c r="M46" s="446">
        <v>62.08</v>
      </c>
      <c r="N46" s="447">
        <f t="shared" si="15"/>
        <v>3.2411999958231956E-2</v>
      </c>
      <c r="O46" s="448">
        <f t="shared" si="16"/>
        <v>1983.88</v>
      </c>
      <c r="P46" s="447">
        <f t="shared" si="17"/>
        <v>1.0357847692837825</v>
      </c>
      <c r="Q46" s="445">
        <v>14.2</v>
      </c>
      <c r="R46" s="447">
        <f t="shared" si="18"/>
        <v>7.4138273100337266E-3</v>
      </c>
      <c r="S46" s="455">
        <f t="shared" si="19"/>
        <v>939.04599999999994</v>
      </c>
      <c r="T46" s="448">
        <f t="shared" si="20"/>
        <v>68.539999999999964</v>
      </c>
      <c r="U46" s="447">
        <f t="shared" si="21"/>
        <v>3.5784769283782492E-2</v>
      </c>
      <c r="V46" s="145"/>
      <c r="W46" s="145"/>
      <c r="X46" s="145"/>
      <c r="Y46" s="367" t="s">
        <v>174</v>
      </c>
      <c r="Z46" s="367" t="s">
        <v>429</v>
      </c>
      <c r="AA46" s="368" t="s">
        <v>480</v>
      </c>
      <c r="AB46" s="368" t="s">
        <v>478</v>
      </c>
      <c r="AC46" s="368">
        <v>1</v>
      </c>
      <c r="AD46" s="449" t="s">
        <v>341</v>
      </c>
    </row>
    <row r="47" spans="2:39" s="147" customFormat="1" ht="27" hidden="1" customHeight="1">
      <c r="B47" s="845"/>
      <c r="C47" s="846"/>
      <c r="D47" s="362">
        <v>19</v>
      </c>
      <c r="E47" s="443" t="s">
        <v>465</v>
      </c>
      <c r="F47" s="365">
        <f t="shared" si="12"/>
        <v>4509.9299999999921</v>
      </c>
      <c r="G47" s="366">
        <v>629</v>
      </c>
      <c r="H47" s="445">
        <v>191.45</v>
      </c>
      <c r="I47" s="445">
        <v>191.45</v>
      </c>
      <c r="J47" s="447">
        <f t="shared" si="13"/>
        <v>1</v>
      </c>
      <c r="K47" s="446">
        <v>191.45</v>
      </c>
      <c r="L47" s="447">
        <f t="shared" si="14"/>
        <v>1</v>
      </c>
      <c r="M47" s="446">
        <v>7.17</v>
      </c>
      <c r="N47" s="447">
        <f t="shared" si="15"/>
        <v>3.7451031600940196E-2</v>
      </c>
      <c r="O47" s="448">
        <f t="shared" si="16"/>
        <v>198.61999999999998</v>
      </c>
      <c r="P47" s="447">
        <f t="shared" si="17"/>
        <v>1.0374510316009402</v>
      </c>
      <c r="Q47" s="445">
        <v>1.68</v>
      </c>
      <c r="R47" s="447">
        <f t="shared" si="18"/>
        <v>8.7751371115173671E-3</v>
      </c>
      <c r="S47" s="455">
        <f t="shared" si="19"/>
        <v>1056.72</v>
      </c>
      <c r="T47" s="448">
        <f t="shared" si="20"/>
        <v>7.1699999999999875</v>
      </c>
      <c r="U47" s="447">
        <f t="shared" si="21"/>
        <v>3.7451031600940127E-2</v>
      </c>
      <c r="V47" s="145"/>
      <c r="W47" s="145"/>
      <c r="X47" s="145"/>
      <c r="Y47" s="367" t="s">
        <v>174</v>
      </c>
      <c r="Z47" s="367" t="s">
        <v>429</v>
      </c>
      <c r="AA47" s="368" t="s">
        <v>483</v>
      </c>
      <c r="AB47" s="368" t="s">
        <v>549</v>
      </c>
      <c r="AC47" s="368">
        <v>1</v>
      </c>
      <c r="AD47" s="449" t="s">
        <v>459</v>
      </c>
    </row>
    <row r="48" spans="2:39" s="147" customFormat="1" ht="27" hidden="1" customHeight="1">
      <c r="B48" s="847"/>
      <c r="C48" s="848"/>
      <c r="D48" s="362">
        <v>20</v>
      </c>
      <c r="E48" s="443" t="s">
        <v>421</v>
      </c>
      <c r="F48" s="365">
        <f t="shared" si="12"/>
        <v>4319.3231999999853</v>
      </c>
      <c r="G48" s="366">
        <v>157.87000000000003</v>
      </c>
      <c r="H48" s="445">
        <v>1811.05</v>
      </c>
      <c r="I48" s="445">
        <v>1811.05</v>
      </c>
      <c r="J48" s="447">
        <f t="shared" si="13"/>
        <v>1</v>
      </c>
      <c r="K48" s="446">
        <v>1812.0199999999998</v>
      </c>
      <c r="L48" s="447">
        <f t="shared" si="14"/>
        <v>1.0005356008945085</v>
      </c>
      <c r="M48" s="446">
        <v>26.39</v>
      </c>
      <c r="N48" s="447">
        <f t="shared" si="15"/>
        <v>1.4571657325860689E-2</v>
      </c>
      <c r="O48" s="448">
        <f t="shared" si="16"/>
        <v>1838.4099999999999</v>
      </c>
      <c r="P48" s="447">
        <f t="shared" si="17"/>
        <v>1.0151072582203693</v>
      </c>
      <c r="Q48" s="445">
        <v>6.08</v>
      </c>
      <c r="R48" s="447">
        <f t="shared" si="18"/>
        <v>3.357168493415422E-3</v>
      </c>
      <c r="S48" s="455">
        <f t="shared" si="19"/>
        <v>959.84960000000024</v>
      </c>
      <c r="T48" s="448">
        <f t="shared" si="20"/>
        <v>27.3599999999999</v>
      </c>
      <c r="U48" s="447">
        <f t="shared" si="21"/>
        <v>1.5107258220369344E-2</v>
      </c>
      <c r="V48" s="145"/>
      <c r="W48" s="145"/>
      <c r="X48" s="145"/>
      <c r="Y48" s="367" t="s">
        <v>174</v>
      </c>
      <c r="Z48" s="367" t="s">
        <v>429</v>
      </c>
      <c r="AA48" s="368" t="s">
        <v>542</v>
      </c>
      <c r="AB48" s="368" t="s">
        <v>543</v>
      </c>
      <c r="AC48" s="368">
        <v>1</v>
      </c>
      <c r="AD48" s="449" t="s">
        <v>340</v>
      </c>
    </row>
    <row r="49" spans="2:39" ht="17.149999999999999" hidden="1" customHeight="1">
      <c r="B49" s="873" t="s">
        <v>443</v>
      </c>
      <c r="C49" s="874"/>
      <c r="D49" s="875" t="s">
        <v>551</v>
      </c>
      <c r="E49" s="876" t="s">
        <v>552</v>
      </c>
      <c r="F49" s="906" t="s">
        <v>569</v>
      </c>
      <c r="G49" s="835" t="s">
        <v>554</v>
      </c>
      <c r="H49" s="878" t="s">
        <v>555</v>
      </c>
      <c r="I49" s="867" t="s">
        <v>556</v>
      </c>
      <c r="J49" s="868"/>
      <c r="K49" s="867" t="s">
        <v>557</v>
      </c>
      <c r="L49" s="868"/>
      <c r="M49" s="867" t="s">
        <v>558</v>
      </c>
      <c r="N49" s="868"/>
      <c r="O49" s="867" t="s">
        <v>559</v>
      </c>
      <c r="P49" s="868"/>
      <c r="Q49" s="867" t="s">
        <v>418</v>
      </c>
      <c r="R49" s="905"/>
      <c r="S49" s="868"/>
      <c r="T49" s="864" t="s">
        <v>419</v>
      </c>
      <c r="U49" s="866"/>
      <c r="Y49" s="861" t="s">
        <v>171</v>
      </c>
      <c r="Z49" s="861" t="s">
        <v>245</v>
      </c>
      <c r="AA49" s="861" t="s">
        <v>560</v>
      </c>
      <c r="AB49" s="861" t="s">
        <v>445</v>
      </c>
      <c r="AC49" s="861" t="s">
        <v>246</v>
      </c>
      <c r="AD49" s="835" t="s">
        <v>172</v>
      </c>
      <c r="AF49" s="884" t="s">
        <v>247</v>
      </c>
      <c r="AG49" s="885"/>
      <c r="AH49" s="885"/>
      <c r="AI49" s="885"/>
      <c r="AJ49" s="885"/>
      <c r="AK49" s="885"/>
      <c r="AL49" s="885"/>
      <c r="AM49" s="886"/>
    </row>
    <row r="50" spans="2:39" ht="16.5" hidden="1" customHeight="1">
      <c r="B50" s="871"/>
      <c r="C50" s="872"/>
      <c r="D50" s="875"/>
      <c r="E50" s="875"/>
      <c r="F50" s="877"/>
      <c r="G50" s="836"/>
      <c r="H50" s="836"/>
      <c r="I50" s="442" t="s">
        <v>561</v>
      </c>
      <c r="J50" s="363" t="s">
        <v>562</v>
      </c>
      <c r="K50" s="442" t="s">
        <v>561</v>
      </c>
      <c r="L50" s="363" t="s">
        <v>562</v>
      </c>
      <c r="M50" s="442" t="s">
        <v>561</v>
      </c>
      <c r="N50" s="363" t="s">
        <v>562</v>
      </c>
      <c r="O50" s="442" t="s">
        <v>561</v>
      </c>
      <c r="P50" s="363" t="s">
        <v>562</v>
      </c>
      <c r="Q50" s="442" t="s">
        <v>561</v>
      </c>
      <c r="R50" s="363" t="s">
        <v>562</v>
      </c>
      <c r="S50" s="363" t="s">
        <v>563</v>
      </c>
      <c r="T50" s="442" t="s">
        <v>561</v>
      </c>
      <c r="U50" s="363" t="s">
        <v>562</v>
      </c>
      <c r="Y50" s="863"/>
      <c r="Z50" s="863"/>
      <c r="AA50" s="863"/>
      <c r="AB50" s="863"/>
      <c r="AC50" s="863"/>
      <c r="AD50" s="836"/>
      <c r="AF50" s="887"/>
      <c r="AG50" s="888"/>
      <c r="AH50" s="888"/>
      <c r="AI50" s="888"/>
      <c r="AJ50" s="888"/>
      <c r="AK50" s="888"/>
      <c r="AL50" s="888"/>
      <c r="AM50" s="889"/>
    </row>
    <row r="51" spans="2:39" s="147" customFormat="1" ht="27" hidden="1" customHeight="1">
      <c r="B51" s="843" t="s">
        <v>638</v>
      </c>
      <c r="C51" s="844"/>
      <c r="D51" s="362">
        <v>1</v>
      </c>
      <c r="E51" s="443" t="s">
        <v>336</v>
      </c>
      <c r="F51" s="365">
        <f>IFERROR(T51*G51,"-")</f>
        <v>10418.878100000013</v>
      </c>
      <c r="G51" s="366">
        <v>147.43000000000004</v>
      </c>
      <c r="H51" s="445">
        <v>4946.46</v>
      </c>
      <c r="I51" s="445">
        <v>4946.46</v>
      </c>
      <c r="J51" s="447">
        <f>IFERROR(I51/H51,"-")</f>
        <v>1</v>
      </c>
      <c r="K51" s="446">
        <v>4946.46</v>
      </c>
      <c r="L51" s="447">
        <f>IFERROR(K51/H51,"-")</f>
        <v>1</v>
      </c>
      <c r="M51" s="446">
        <v>70.67</v>
      </c>
      <c r="N51" s="447">
        <f>IFERROR(M51/H51,"-")</f>
        <v>1.428698503576295E-2</v>
      </c>
      <c r="O51" s="448">
        <f>IFERROR(K51+M51,"-")</f>
        <v>5017.13</v>
      </c>
      <c r="P51" s="447">
        <f>IFERROR(O51/H51,"-")</f>
        <v>1.014286985035763</v>
      </c>
      <c r="Q51" s="445">
        <v>12.290000000000001</v>
      </c>
      <c r="R51" s="447">
        <f>IFERROR(Q51/H51,"-")</f>
        <v>2.4846051519672656E-3</v>
      </c>
      <c r="S51" s="455">
        <f>IFERROR(Q51*G51,"-")</f>
        <v>1811.9147000000005</v>
      </c>
      <c r="T51" s="448">
        <f>IFERROR(O51-H51,"-")</f>
        <v>70.670000000000073</v>
      </c>
      <c r="U51" s="447">
        <f>IFERROR(T51/H51,"-")</f>
        <v>1.4286985035762964E-2</v>
      </c>
      <c r="V51" s="145"/>
      <c r="W51" s="145"/>
      <c r="X51" s="145"/>
      <c r="Y51" s="367" t="s">
        <v>174</v>
      </c>
      <c r="Z51" s="367" t="s">
        <v>215</v>
      </c>
      <c r="AA51" s="368" t="s">
        <v>479</v>
      </c>
      <c r="AB51" s="368" t="s">
        <v>525</v>
      </c>
      <c r="AC51" s="368">
        <v>1</v>
      </c>
      <c r="AD51" s="449" t="s">
        <v>340</v>
      </c>
      <c r="AF51" s="890"/>
      <c r="AG51" s="891"/>
      <c r="AH51" s="891"/>
      <c r="AI51" s="891"/>
      <c r="AJ51" s="891"/>
      <c r="AK51" s="891"/>
      <c r="AL51" s="891"/>
      <c r="AM51" s="892"/>
    </row>
    <row r="52" spans="2:39" s="147" customFormat="1" ht="27" hidden="1" customHeight="1">
      <c r="B52" s="845"/>
      <c r="C52" s="846"/>
      <c r="D52" s="362">
        <v>2</v>
      </c>
      <c r="E52" s="443" t="s">
        <v>675</v>
      </c>
      <c r="F52" s="365">
        <f t="shared" ref="F52:F70" si="25">IFERROR(T52*G52,"-")</f>
        <v>8323.1990000000296</v>
      </c>
      <c r="G52" s="366">
        <v>655.37</v>
      </c>
      <c r="H52" s="445">
        <v>884.7600000000001</v>
      </c>
      <c r="I52" s="445">
        <v>884.7600000000001</v>
      </c>
      <c r="J52" s="447">
        <f t="shared" ref="J52:J70" si="26">IFERROR(I52/H52,"-")</f>
        <v>1</v>
      </c>
      <c r="K52" s="446">
        <v>884.7600000000001</v>
      </c>
      <c r="L52" s="447">
        <f t="shared" ref="L52:L70" si="27">IFERROR(K52/H52,"-")</f>
        <v>1</v>
      </c>
      <c r="M52" s="446">
        <v>12.7</v>
      </c>
      <c r="N52" s="447">
        <f t="shared" ref="N52:N70" si="28">IFERROR(M52/H52,"-")</f>
        <v>1.4354175143541748E-2</v>
      </c>
      <c r="O52" s="448">
        <f t="shared" ref="O52:O70" si="29">IFERROR(K52+M52,"-")</f>
        <v>897.46000000000015</v>
      </c>
      <c r="P52" s="447">
        <f t="shared" ref="P52:P70" si="30">IFERROR(O52/H52,"-")</f>
        <v>1.0143541751435419</v>
      </c>
      <c r="Q52" s="445">
        <v>3.3499999999999996</v>
      </c>
      <c r="R52" s="447">
        <f t="shared" ref="R52:R70" si="31">IFERROR(Q52/H52,"-")</f>
        <v>3.7863375378633744E-3</v>
      </c>
      <c r="S52" s="455">
        <f t="shared" ref="S52:S70" si="32">IFERROR(Q52*G52,"-")</f>
        <v>2195.4894999999997</v>
      </c>
      <c r="T52" s="448">
        <f t="shared" ref="T52:T70" si="33">IFERROR(O52-H52,"-")</f>
        <v>12.700000000000045</v>
      </c>
      <c r="U52" s="447">
        <f t="shared" ref="U52:U70" si="34">IFERROR(T52/H52,"-")</f>
        <v>1.4354175143541802E-2</v>
      </c>
      <c r="V52" s="145"/>
      <c r="W52" s="145"/>
      <c r="X52" s="145"/>
      <c r="Y52" s="367" t="s">
        <v>174</v>
      </c>
      <c r="Z52" s="367" t="s">
        <v>429</v>
      </c>
      <c r="AA52" s="368" t="s">
        <v>683</v>
      </c>
      <c r="AB52" s="368" t="s">
        <v>575</v>
      </c>
      <c r="AC52" s="368">
        <v>1</v>
      </c>
      <c r="AD52" s="449" t="s">
        <v>674</v>
      </c>
      <c r="AF52" s="160" t="s">
        <v>244</v>
      </c>
      <c r="AG52" s="160" t="s">
        <v>446</v>
      </c>
      <c r="AH52" s="155" t="s">
        <v>564</v>
      </c>
      <c r="AI52" s="155" t="s">
        <v>337</v>
      </c>
      <c r="AJ52" s="155" t="s">
        <v>429</v>
      </c>
      <c r="AK52" s="155" t="s">
        <v>215</v>
      </c>
      <c r="AL52" s="155" t="s">
        <v>216</v>
      </c>
      <c r="AM52" s="155" t="s">
        <v>384</v>
      </c>
    </row>
    <row r="53" spans="2:39" s="147" customFormat="1" ht="27" hidden="1" customHeight="1">
      <c r="B53" s="845"/>
      <c r="C53" s="846"/>
      <c r="D53" s="362">
        <v>3</v>
      </c>
      <c r="E53" s="443" t="s">
        <v>676</v>
      </c>
      <c r="F53" s="365">
        <f t="shared" si="25"/>
        <v>7860.2237999999907</v>
      </c>
      <c r="G53" s="366">
        <v>31.59</v>
      </c>
      <c r="H53" s="445">
        <v>9400.57</v>
      </c>
      <c r="I53" s="445">
        <v>9400.57</v>
      </c>
      <c r="J53" s="447">
        <f t="shared" si="26"/>
        <v>1</v>
      </c>
      <c r="K53" s="446">
        <v>9400.57</v>
      </c>
      <c r="L53" s="447">
        <f t="shared" si="27"/>
        <v>1</v>
      </c>
      <c r="M53" s="446">
        <v>248.82</v>
      </c>
      <c r="N53" s="447">
        <f t="shared" si="28"/>
        <v>2.6468607754636154E-2</v>
      </c>
      <c r="O53" s="448">
        <f t="shared" si="29"/>
        <v>9649.39</v>
      </c>
      <c r="P53" s="447">
        <f t="shared" si="30"/>
        <v>1.0264686077546361</v>
      </c>
      <c r="Q53" s="445">
        <v>43.639999999999993</v>
      </c>
      <c r="R53" s="447">
        <f t="shared" si="31"/>
        <v>4.6422716920356951E-3</v>
      </c>
      <c r="S53" s="455">
        <f t="shared" si="32"/>
        <v>1378.5875999999998</v>
      </c>
      <c r="T53" s="448">
        <f t="shared" si="33"/>
        <v>248.81999999999971</v>
      </c>
      <c r="U53" s="447">
        <f t="shared" si="34"/>
        <v>2.6468607754636126E-2</v>
      </c>
      <c r="V53" s="145"/>
      <c r="W53" s="145"/>
      <c r="X53" s="145"/>
      <c r="Y53" s="367" t="s">
        <v>174</v>
      </c>
      <c r="Z53" s="367" t="s">
        <v>216</v>
      </c>
      <c r="AA53" s="368" t="s">
        <v>480</v>
      </c>
      <c r="AB53" s="368" t="s">
        <v>478</v>
      </c>
      <c r="AC53" s="368">
        <v>1</v>
      </c>
      <c r="AD53" s="449" t="s">
        <v>674</v>
      </c>
      <c r="AF53" s="375">
        <f>SUM(AC51:AC70)</f>
        <v>20</v>
      </c>
      <c r="AG53" s="370">
        <f>SUMIF($Z$51:$Z$70,TRIM(AG52),$AC$51:$AC$70)</f>
        <v>0</v>
      </c>
      <c r="AH53" s="370">
        <f t="shared" ref="AH53:AM53" si="35">SUMIF($Z$51:$Z$70,TRIM(AH52),$AC$51:$AC$70)</f>
        <v>0</v>
      </c>
      <c r="AI53" s="370">
        <f t="shared" si="35"/>
        <v>0</v>
      </c>
      <c r="AJ53" s="370">
        <f t="shared" si="35"/>
        <v>12</v>
      </c>
      <c r="AK53" s="370">
        <f t="shared" si="35"/>
        <v>1</v>
      </c>
      <c r="AL53" s="370">
        <f t="shared" si="35"/>
        <v>7</v>
      </c>
      <c r="AM53" s="370">
        <f t="shared" si="35"/>
        <v>0</v>
      </c>
    </row>
    <row r="54" spans="2:39" s="147" customFormat="1" ht="27" hidden="1" customHeight="1">
      <c r="B54" s="845"/>
      <c r="C54" s="846"/>
      <c r="D54" s="362">
        <v>4</v>
      </c>
      <c r="E54" s="443" t="s">
        <v>460</v>
      </c>
      <c r="F54" s="365">
        <f t="shared" si="25"/>
        <v>6487.903800000021</v>
      </c>
      <c r="G54" s="366">
        <v>605.77999999999986</v>
      </c>
      <c r="H54" s="445">
        <v>1086.77</v>
      </c>
      <c r="I54" s="445">
        <v>1086.77</v>
      </c>
      <c r="J54" s="447">
        <f t="shared" si="26"/>
        <v>1</v>
      </c>
      <c r="K54" s="446">
        <v>1086.77</v>
      </c>
      <c r="L54" s="447">
        <f t="shared" si="27"/>
        <v>1</v>
      </c>
      <c r="M54" s="446">
        <v>10.709999999999999</v>
      </c>
      <c r="N54" s="447">
        <f t="shared" si="28"/>
        <v>9.8548910993126407E-3</v>
      </c>
      <c r="O54" s="448">
        <f t="shared" si="29"/>
        <v>1097.48</v>
      </c>
      <c r="P54" s="447">
        <f t="shared" si="30"/>
        <v>1.0098548910993126</v>
      </c>
      <c r="Q54" s="445">
        <v>2.6399999999999997</v>
      </c>
      <c r="R54" s="447">
        <f t="shared" si="31"/>
        <v>2.4292168536120796E-3</v>
      </c>
      <c r="S54" s="455">
        <f t="shared" si="32"/>
        <v>1599.2591999999995</v>
      </c>
      <c r="T54" s="448">
        <f t="shared" si="33"/>
        <v>10.710000000000036</v>
      </c>
      <c r="U54" s="447">
        <f t="shared" si="34"/>
        <v>9.8548910993126754E-3</v>
      </c>
      <c r="V54" s="145"/>
      <c r="W54" s="145"/>
      <c r="X54" s="145"/>
      <c r="Y54" s="367" t="s">
        <v>174</v>
      </c>
      <c r="Z54" s="367" t="s">
        <v>216</v>
      </c>
      <c r="AA54" s="368" t="s">
        <v>483</v>
      </c>
      <c r="AB54" s="368" t="s">
        <v>549</v>
      </c>
      <c r="AC54" s="368">
        <v>1</v>
      </c>
      <c r="AD54" s="449" t="s">
        <v>342</v>
      </c>
      <c r="AF54" s="376"/>
      <c r="AG54" s="373">
        <f t="shared" ref="AG54:AM54" si="36">SUMIF($Z$51:$Z$70,TRIM(AG52),$F$51:$F$70)</f>
        <v>0</v>
      </c>
      <c r="AH54" s="373">
        <f t="shared" si="36"/>
        <v>0</v>
      </c>
      <c r="AI54" s="373">
        <f t="shared" si="36"/>
        <v>0</v>
      </c>
      <c r="AJ54" s="373">
        <f t="shared" si="36"/>
        <v>60915.576099999984</v>
      </c>
      <c r="AK54" s="373">
        <f t="shared" si="36"/>
        <v>10418.878100000013</v>
      </c>
      <c r="AL54" s="373">
        <f t="shared" si="36"/>
        <v>40453.998099999946</v>
      </c>
      <c r="AM54" s="373">
        <f t="shared" si="36"/>
        <v>0</v>
      </c>
    </row>
    <row r="55" spans="2:39" s="147" customFormat="1" ht="27" hidden="1" customHeight="1">
      <c r="B55" s="845"/>
      <c r="C55" s="846"/>
      <c r="D55" s="362">
        <v>5</v>
      </c>
      <c r="E55" s="443" t="s">
        <v>677</v>
      </c>
      <c r="F55" s="365">
        <f t="shared" si="25"/>
        <v>6375.0424000000121</v>
      </c>
      <c r="G55" s="366">
        <v>40.420000000000009</v>
      </c>
      <c r="H55" s="445">
        <v>5161.1000000000004</v>
      </c>
      <c r="I55" s="445">
        <v>5161.1000000000004</v>
      </c>
      <c r="J55" s="447">
        <f t="shared" si="26"/>
        <v>1</v>
      </c>
      <c r="K55" s="446">
        <v>5161.1000000000004</v>
      </c>
      <c r="L55" s="447">
        <f t="shared" si="27"/>
        <v>1</v>
      </c>
      <c r="M55" s="446">
        <v>157.72</v>
      </c>
      <c r="N55" s="447">
        <f t="shared" si="28"/>
        <v>3.0559376877022339E-2</v>
      </c>
      <c r="O55" s="448">
        <f t="shared" si="29"/>
        <v>5318.8200000000006</v>
      </c>
      <c r="P55" s="447">
        <f t="shared" si="30"/>
        <v>1.0305593768770225</v>
      </c>
      <c r="Q55" s="445">
        <v>29.93</v>
      </c>
      <c r="R55" s="447">
        <f t="shared" si="31"/>
        <v>5.7991513437057989E-3</v>
      </c>
      <c r="S55" s="455">
        <f t="shared" si="32"/>
        <v>1209.7706000000003</v>
      </c>
      <c r="T55" s="448">
        <f t="shared" si="33"/>
        <v>157.72000000000025</v>
      </c>
      <c r="U55" s="447">
        <f t="shared" si="34"/>
        <v>3.0559376877022388E-2</v>
      </c>
      <c r="V55" s="145"/>
      <c r="W55" s="145"/>
      <c r="X55" s="145"/>
      <c r="Y55" s="367" t="s">
        <v>174</v>
      </c>
      <c r="Z55" s="367" t="s">
        <v>216</v>
      </c>
      <c r="AA55" s="368" t="s">
        <v>612</v>
      </c>
      <c r="AB55" s="368" t="s">
        <v>662</v>
      </c>
      <c r="AC55" s="368">
        <v>1</v>
      </c>
      <c r="AD55" s="449" t="s">
        <v>674</v>
      </c>
      <c r="AF55" s="362"/>
      <c r="AG55" s="374">
        <f t="shared" ref="AG55:AM55" si="37">AG53/$AF53</f>
        <v>0</v>
      </c>
      <c r="AH55" s="374">
        <f t="shared" si="37"/>
        <v>0</v>
      </c>
      <c r="AI55" s="374">
        <f t="shared" si="37"/>
        <v>0</v>
      </c>
      <c r="AJ55" s="374">
        <f t="shared" si="37"/>
        <v>0.6</v>
      </c>
      <c r="AK55" s="374">
        <f t="shared" si="37"/>
        <v>0.05</v>
      </c>
      <c r="AL55" s="374">
        <f t="shared" si="37"/>
        <v>0.35</v>
      </c>
      <c r="AM55" s="374">
        <f t="shared" si="37"/>
        <v>0</v>
      </c>
    </row>
    <row r="56" spans="2:39" s="147" customFormat="1" ht="27" hidden="1" customHeight="1">
      <c r="B56" s="845"/>
      <c r="C56" s="846"/>
      <c r="D56" s="362">
        <v>6</v>
      </c>
      <c r="E56" s="443" t="s">
        <v>535</v>
      </c>
      <c r="F56" s="365">
        <f t="shared" si="25"/>
        <v>5776.5434999999134</v>
      </c>
      <c r="G56" s="366">
        <v>39.389999999999993</v>
      </c>
      <c r="H56" s="445">
        <v>25259.64</v>
      </c>
      <c r="I56" s="445">
        <v>25259.64</v>
      </c>
      <c r="J56" s="447">
        <f t="shared" si="26"/>
        <v>1</v>
      </c>
      <c r="K56" s="446">
        <v>25270.079999999998</v>
      </c>
      <c r="L56" s="447">
        <f t="shared" si="27"/>
        <v>1.0004133075530768</v>
      </c>
      <c r="M56" s="446">
        <v>136.21</v>
      </c>
      <c r="N56" s="447">
        <f t="shared" si="28"/>
        <v>5.3923967245772314E-3</v>
      </c>
      <c r="O56" s="448">
        <f t="shared" si="29"/>
        <v>25406.289999999997</v>
      </c>
      <c r="P56" s="447">
        <f t="shared" si="30"/>
        <v>1.0058057042776538</v>
      </c>
      <c r="Q56" s="445">
        <v>36</v>
      </c>
      <c r="R56" s="447">
        <f t="shared" si="31"/>
        <v>1.4251984588853999E-3</v>
      </c>
      <c r="S56" s="455">
        <f t="shared" si="32"/>
        <v>1418.0399999999997</v>
      </c>
      <c r="T56" s="448">
        <f t="shared" si="33"/>
        <v>146.64999999999782</v>
      </c>
      <c r="U56" s="447">
        <f t="shared" si="34"/>
        <v>5.8057042776539104E-3</v>
      </c>
      <c r="V56" s="145"/>
      <c r="W56" s="145"/>
      <c r="X56" s="145"/>
      <c r="Y56" s="367" t="s">
        <v>174</v>
      </c>
      <c r="Z56" s="367" t="s">
        <v>216</v>
      </c>
      <c r="AA56" s="368" t="s">
        <v>612</v>
      </c>
      <c r="AB56" s="368" t="s">
        <v>662</v>
      </c>
      <c r="AC56" s="368">
        <v>1</v>
      </c>
      <c r="AD56" s="449" t="s">
        <v>340</v>
      </c>
    </row>
    <row r="57" spans="2:39" s="147" customFormat="1" ht="27" hidden="1" customHeight="1">
      <c r="B57" s="845"/>
      <c r="C57" s="846"/>
      <c r="D57" s="362">
        <v>7</v>
      </c>
      <c r="E57" s="443" t="s">
        <v>655</v>
      </c>
      <c r="F57" s="365">
        <f t="shared" si="25"/>
        <v>5340.2058000000025</v>
      </c>
      <c r="G57" s="366">
        <v>49.82</v>
      </c>
      <c r="H57" s="445">
        <v>3465.25</v>
      </c>
      <c r="I57" s="445">
        <v>3465.25</v>
      </c>
      <c r="J57" s="447">
        <f t="shared" si="26"/>
        <v>1</v>
      </c>
      <c r="K57" s="446">
        <v>3474</v>
      </c>
      <c r="L57" s="447">
        <f t="shared" si="27"/>
        <v>1.0025250703412452</v>
      </c>
      <c r="M57" s="446">
        <v>98.440000000000012</v>
      </c>
      <c r="N57" s="447">
        <f t="shared" si="28"/>
        <v>2.8407762787677659E-2</v>
      </c>
      <c r="O57" s="448">
        <f t="shared" si="29"/>
        <v>3572.44</v>
      </c>
      <c r="P57" s="447">
        <f t="shared" si="30"/>
        <v>1.0309328331289229</v>
      </c>
      <c r="Q57" s="445">
        <v>20.89</v>
      </c>
      <c r="R57" s="447">
        <f t="shared" si="31"/>
        <v>6.0284250775557323E-3</v>
      </c>
      <c r="S57" s="455">
        <f t="shared" si="32"/>
        <v>1040.7398000000001</v>
      </c>
      <c r="T57" s="448">
        <f t="shared" si="33"/>
        <v>107.19000000000005</v>
      </c>
      <c r="U57" s="447">
        <f t="shared" si="34"/>
        <v>3.0932833128922893E-2</v>
      </c>
      <c r="V57" s="145"/>
      <c r="W57" s="145"/>
      <c r="X57" s="145"/>
      <c r="Y57" s="367" t="s">
        <v>174</v>
      </c>
      <c r="Z57" s="367" t="s">
        <v>429</v>
      </c>
      <c r="AA57" s="368" t="s">
        <v>480</v>
      </c>
      <c r="AB57" s="368" t="s">
        <v>478</v>
      </c>
      <c r="AC57" s="368">
        <v>1</v>
      </c>
      <c r="AD57" s="449" t="s">
        <v>623</v>
      </c>
    </row>
    <row r="58" spans="2:39" s="147" customFormat="1" ht="27" hidden="1" customHeight="1">
      <c r="B58" s="845"/>
      <c r="C58" s="846"/>
      <c r="D58" s="362">
        <v>8</v>
      </c>
      <c r="E58" s="443" t="s">
        <v>604</v>
      </c>
      <c r="F58" s="365">
        <f t="shared" si="25"/>
        <v>5141.2589999999818</v>
      </c>
      <c r="G58" s="366">
        <v>413.94999999999993</v>
      </c>
      <c r="H58" s="445">
        <v>544.71</v>
      </c>
      <c r="I58" s="445">
        <v>544.71</v>
      </c>
      <c r="J58" s="447">
        <f t="shared" si="26"/>
        <v>1</v>
      </c>
      <c r="K58" s="446">
        <v>544.71</v>
      </c>
      <c r="L58" s="447">
        <f t="shared" si="27"/>
        <v>1</v>
      </c>
      <c r="M58" s="446">
        <v>12.419999999999998</v>
      </c>
      <c r="N58" s="447">
        <f t="shared" si="28"/>
        <v>2.2801123533623392E-2</v>
      </c>
      <c r="O58" s="448">
        <f t="shared" si="29"/>
        <v>557.13</v>
      </c>
      <c r="P58" s="447">
        <f t="shared" si="30"/>
        <v>1.0228011235336234</v>
      </c>
      <c r="Q58" s="445">
        <v>2.2300000000000004</v>
      </c>
      <c r="R58" s="447">
        <f t="shared" si="31"/>
        <v>4.093921536230288E-3</v>
      </c>
      <c r="S58" s="455">
        <f t="shared" si="32"/>
        <v>923.10850000000005</v>
      </c>
      <c r="T58" s="448">
        <f t="shared" si="33"/>
        <v>12.419999999999959</v>
      </c>
      <c r="U58" s="447">
        <f t="shared" si="34"/>
        <v>2.2801123533623319E-2</v>
      </c>
      <c r="V58" s="145"/>
      <c r="W58" s="145"/>
      <c r="X58" s="145"/>
      <c r="Y58" s="367" t="s">
        <v>174</v>
      </c>
      <c r="Z58" s="367" t="s">
        <v>429</v>
      </c>
      <c r="AA58" s="368" t="s">
        <v>612</v>
      </c>
      <c r="AB58" s="368" t="s">
        <v>662</v>
      </c>
      <c r="AC58" s="368">
        <v>1</v>
      </c>
      <c r="AD58" s="449" t="s">
        <v>340</v>
      </c>
    </row>
    <row r="59" spans="2:39" s="147" customFormat="1" ht="27" hidden="1" customHeight="1">
      <c r="B59" s="845"/>
      <c r="C59" s="846"/>
      <c r="D59" s="362">
        <v>9</v>
      </c>
      <c r="E59" s="443" t="s">
        <v>386</v>
      </c>
      <c r="F59" s="365">
        <f t="shared" si="25"/>
        <v>5026.6687999999631</v>
      </c>
      <c r="G59" s="366">
        <v>127.84000000000002</v>
      </c>
      <c r="H59" s="445">
        <v>4364.0199999999995</v>
      </c>
      <c r="I59" s="445">
        <v>4364.0199999999995</v>
      </c>
      <c r="J59" s="447">
        <f t="shared" si="26"/>
        <v>1</v>
      </c>
      <c r="K59" s="446">
        <v>4364.0199999999995</v>
      </c>
      <c r="L59" s="447">
        <f t="shared" si="27"/>
        <v>1</v>
      </c>
      <c r="M59" s="446">
        <v>39.319999999999993</v>
      </c>
      <c r="N59" s="447">
        <f t="shared" si="28"/>
        <v>9.0100412005444507E-3</v>
      </c>
      <c r="O59" s="448">
        <f t="shared" si="29"/>
        <v>4403.3399999999992</v>
      </c>
      <c r="P59" s="447">
        <f t="shared" si="30"/>
        <v>1.0090100412005445</v>
      </c>
      <c r="Q59" s="445">
        <v>9.2200000000000006</v>
      </c>
      <c r="R59" s="447">
        <f t="shared" si="31"/>
        <v>2.1127309224064053E-3</v>
      </c>
      <c r="S59" s="455">
        <f t="shared" si="32"/>
        <v>1178.6848000000002</v>
      </c>
      <c r="T59" s="448">
        <f t="shared" si="33"/>
        <v>39.319999999999709</v>
      </c>
      <c r="U59" s="447">
        <f t="shared" si="34"/>
        <v>9.0100412005443865E-3</v>
      </c>
      <c r="V59" s="145"/>
      <c r="W59" s="145"/>
      <c r="X59" s="145"/>
      <c r="Y59" s="367" t="s">
        <v>174</v>
      </c>
      <c r="Z59" s="367" t="s">
        <v>429</v>
      </c>
      <c r="AA59" s="368" t="s">
        <v>612</v>
      </c>
      <c r="AB59" s="368" t="s">
        <v>526</v>
      </c>
      <c r="AC59" s="368">
        <v>1</v>
      </c>
      <c r="AD59" s="449" t="s">
        <v>340</v>
      </c>
    </row>
    <row r="60" spans="2:39" s="147" customFormat="1" ht="27" hidden="1" customHeight="1">
      <c r="B60" s="845"/>
      <c r="C60" s="846"/>
      <c r="D60" s="362">
        <v>10</v>
      </c>
      <c r="E60" s="443" t="s">
        <v>462</v>
      </c>
      <c r="F60" s="365">
        <f t="shared" si="25"/>
        <v>5015.201999999982</v>
      </c>
      <c r="G60" s="366">
        <v>407.74000000000007</v>
      </c>
      <c r="H60" s="445">
        <v>1171.4499999999998</v>
      </c>
      <c r="I60" s="445">
        <v>1171.4499999999998</v>
      </c>
      <c r="J60" s="447">
        <f t="shared" si="26"/>
        <v>1</v>
      </c>
      <c r="K60" s="446">
        <v>1171.4499999999998</v>
      </c>
      <c r="L60" s="447">
        <f t="shared" si="27"/>
        <v>1</v>
      </c>
      <c r="M60" s="446">
        <v>12.299999999999999</v>
      </c>
      <c r="N60" s="447">
        <f t="shared" si="28"/>
        <v>1.0499807930342739E-2</v>
      </c>
      <c r="O60" s="448">
        <f t="shared" si="29"/>
        <v>1183.7499999999998</v>
      </c>
      <c r="P60" s="447">
        <f t="shared" si="30"/>
        <v>1.0104998079303427</v>
      </c>
      <c r="Q60" s="445">
        <v>1.8000000000000003</v>
      </c>
      <c r="R60" s="447">
        <f t="shared" si="31"/>
        <v>1.5365572580989376E-3</v>
      </c>
      <c r="S60" s="455">
        <f t="shared" si="32"/>
        <v>733.93200000000024</v>
      </c>
      <c r="T60" s="448">
        <f t="shared" si="33"/>
        <v>12.299999999999955</v>
      </c>
      <c r="U60" s="447">
        <f t="shared" si="34"/>
        <v>1.04998079303427E-2</v>
      </c>
      <c r="V60" s="145"/>
      <c r="W60" s="145"/>
      <c r="X60" s="145"/>
      <c r="Y60" s="367" t="s">
        <v>174</v>
      </c>
      <c r="Z60" s="367" t="s">
        <v>216</v>
      </c>
      <c r="AA60" s="368" t="s">
        <v>481</v>
      </c>
      <c r="AB60" s="368" t="s">
        <v>482</v>
      </c>
      <c r="AC60" s="368">
        <v>1</v>
      </c>
      <c r="AD60" s="449" t="s">
        <v>464</v>
      </c>
    </row>
    <row r="61" spans="2:39" s="147" customFormat="1" ht="27" hidden="1" customHeight="1">
      <c r="B61" s="845"/>
      <c r="C61" s="846"/>
      <c r="D61" s="362">
        <v>11</v>
      </c>
      <c r="E61" s="443" t="s">
        <v>547</v>
      </c>
      <c r="F61" s="365">
        <f t="shared" si="25"/>
        <v>4887.007000000006</v>
      </c>
      <c r="G61" s="366">
        <v>66.13</v>
      </c>
      <c r="H61" s="445">
        <v>2087.12</v>
      </c>
      <c r="I61" s="445">
        <v>2087.12</v>
      </c>
      <c r="J61" s="447">
        <f t="shared" si="26"/>
        <v>1</v>
      </c>
      <c r="K61" s="446">
        <v>2087.12</v>
      </c>
      <c r="L61" s="447">
        <f t="shared" si="27"/>
        <v>1</v>
      </c>
      <c r="M61" s="446">
        <v>73.900000000000006</v>
      </c>
      <c r="N61" s="447">
        <f t="shared" si="28"/>
        <v>3.5407643067959682E-2</v>
      </c>
      <c r="O61" s="448">
        <f t="shared" si="29"/>
        <v>2161.02</v>
      </c>
      <c r="P61" s="447">
        <f t="shared" si="30"/>
        <v>1.0354076430679597</v>
      </c>
      <c r="Q61" s="445">
        <v>14.52</v>
      </c>
      <c r="R61" s="447">
        <f t="shared" si="31"/>
        <v>6.9569550385219824E-3</v>
      </c>
      <c r="S61" s="455">
        <f t="shared" si="32"/>
        <v>960.20759999999996</v>
      </c>
      <c r="T61" s="448">
        <f t="shared" si="33"/>
        <v>73.900000000000091</v>
      </c>
      <c r="U61" s="447">
        <f t="shared" si="34"/>
        <v>3.5407643067959724E-2</v>
      </c>
      <c r="V61" s="145"/>
      <c r="W61" s="145"/>
      <c r="X61" s="145"/>
      <c r="Y61" s="367" t="s">
        <v>174</v>
      </c>
      <c r="Z61" s="367" t="s">
        <v>429</v>
      </c>
      <c r="AA61" s="368" t="s">
        <v>480</v>
      </c>
      <c r="AB61" s="368" t="s">
        <v>478</v>
      </c>
      <c r="AC61" s="368">
        <v>1</v>
      </c>
      <c r="AD61" s="449" t="s">
        <v>341</v>
      </c>
      <c r="AH61" s="371"/>
    </row>
    <row r="62" spans="2:39" s="147" customFormat="1" ht="27" hidden="1" customHeight="1">
      <c r="B62" s="845"/>
      <c r="C62" s="846"/>
      <c r="D62" s="362">
        <v>12</v>
      </c>
      <c r="E62" s="443" t="s">
        <v>357</v>
      </c>
      <c r="F62" s="365">
        <f t="shared" si="25"/>
        <v>4768.8550000000041</v>
      </c>
      <c r="G62" s="366">
        <v>152.75</v>
      </c>
      <c r="H62" s="445">
        <v>1200.21</v>
      </c>
      <c r="I62" s="445">
        <v>1200.21</v>
      </c>
      <c r="J62" s="447">
        <f t="shared" si="26"/>
        <v>1</v>
      </c>
      <c r="K62" s="446">
        <v>1200.21</v>
      </c>
      <c r="L62" s="447">
        <f t="shared" si="27"/>
        <v>1</v>
      </c>
      <c r="M62" s="446">
        <v>31.220000000000002</v>
      </c>
      <c r="N62" s="447">
        <f t="shared" si="28"/>
        <v>2.6012114546621008E-2</v>
      </c>
      <c r="O62" s="448">
        <f t="shared" si="29"/>
        <v>1231.43</v>
      </c>
      <c r="P62" s="447">
        <f t="shared" si="30"/>
        <v>1.026012114546621</v>
      </c>
      <c r="Q62" s="445">
        <v>6.7</v>
      </c>
      <c r="R62" s="447">
        <f t="shared" si="31"/>
        <v>5.5823564209596657E-3</v>
      </c>
      <c r="S62" s="455">
        <f t="shared" si="32"/>
        <v>1023.4250000000001</v>
      </c>
      <c r="T62" s="448">
        <f t="shared" si="33"/>
        <v>31.220000000000027</v>
      </c>
      <c r="U62" s="447">
        <f t="shared" si="34"/>
        <v>2.6012114546621029E-2</v>
      </c>
      <c r="V62" s="145"/>
      <c r="W62" s="145"/>
      <c r="X62" s="145"/>
      <c r="Y62" s="367" t="s">
        <v>174</v>
      </c>
      <c r="Z62" s="367" t="s">
        <v>429</v>
      </c>
      <c r="AA62" s="368" t="s">
        <v>612</v>
      </c>
      <c r="AB62" s="368" t="s">
        <v>526</v>
      </c>
      <c r="AC62" s="368">
        <v>1</v>
      </c>
      <c r="AD62" s="449" t="s">
        <v>358</v>
      </c>
    </row>
    <row r="63" spans="2:39" s="147" customFormat="1" ht="27" hidden="1" customHeight="1">
      <c r="B63" s="845"/>
      <c r="C63" s="846"/>
      <c r="D63" s="362">
        <v>13</v>
      </c>
      <c r="E63" s="443" t="s">
        <v>465</v>
      </c>
      <c r="F63" s="365">
        <f t="shared" si="25"/>
        <v>4742.6599999999953</v>
      </c>
      <c r="G63" s="366">
        <v>629</v>
      </c>
      <c r="H63" s="445">
        <v>252.04999999999998</v>
      </c>
      <c r="I63" s="445">
        <v>252.04999999999998</v>
      </c>
      <c r="J63" s="447">
        <f t="shared" si="26"/>
        <v>1</v>
      </c>
      <c r="K63" s="446">
        <v>252.04999999999998</v>
      </c>
      <c r="L63" s="447">
        <f t="shared" si="27"/>
        <v>1</v>
      </c>
      <c r="M63" s="446">
        <v>7.5400000000000009</v>
      </c>
      <c r="N63" s="447">
        <f t="shared" si="28"/>
        <v>2.9914699464391993E-2</v>
      </c>
      <c r="O63" s="448">
        <f t="shared" si="29"/>
        <v>259.58999999999997</v>
      </c>
      <c r="P63" s="447">
        <f t="shared" si="30"/>
        <v>1.029914699464392</v>
      </c>
      <c r="Q63" s="445">
        <v>1.63</v>
      </c>
      <c r="R63" s="447">
        <f t="shared" si="31"/>
        <v>6.4669708391192227E-3</v>
      </c>
      <c r="S63" s="455">
        <f t="shared" si="32"/>
        <v>1025.27</v>
      </c>
      <c r="T63" s="448">
        <f t="shared" si="33"/>
        <v>7.539999999999992</v>
      </c>
      <c r="U63" s="447">
        <f t="shared" si="34"/>
        <v>2.9914699464391955E-2</v>
      </c>
      <c r="V63" s="145"/>
      <c r="W63" s="145"/>
      <c r="X63" s="145"/>
      <c r="Y63" s="367" t="s">
        <v>174</v>
      </c>
      <c r="Z63" s="367" t="s">
        <v>429</v>
      </c>
      <c r="AA63" s="368" t="s">
        <v>483</v>
      </c>
      <c r="AB63" s="368" t="s">
        <v>549</v>
      </c>
      <c r="AC63" s="368">
        <v>1</v>
      </c>
      <c r="AD63" s="449" t="s">
        <v>459</v>
      </c>
    </row>
    <row r="64" spans="2:39" s="147" customFormat="1" ht="27" hidden="1" customHeight="1">
      <c r="B64" s="845"/>
      <c r="C64" s="846"/>
      <c r="D64" s="362">
        <v>14</v>
      </c>
      <c r="E64" s="443" t="s">
        <v>603</v>
      </c>
      <c r="F64" s="365">
        <f t="shared" si="25"/>
        <v>4725.9519999999939</v>
      </c>
      <c r="G64" s="366">
        <v>153.44000000000003</v>
      </c>
      <c r="H64" s="445">
        <v>2006.9699999999998</v>
      </c>
      <c r="I64" s="445">
        <v>2006.9699999999998</v>
      </c>
      <c r="J64" s="447">
        <f t="shared" si="26"/>
        <v>1</v>
      </c>
      <c r="K64" s="446">
        <v>2006.9699999999998</v>
      </c>
      <c r="L64" s="447">
        <f t="shared" si="27"/>
        <v>1</v>
      </c>
      <c r="M64" s="446">
        <v>30.799999999999997</v>
      </c>
      <c r="N64" s="447">
        <f t="shared" si="28"/>
        <v>1.534651738690663E-2</v>
      </c>
      <c r="O64" s="448">
        <f t="shared" si="29"/>
        <v>2037.7699999999998</v>
      </c>
      <c r="P64" s="447">
        <f t="shared" si="30"/>
        <v>1.0153465173869065</v>
      </c>
      <c r="Q64" s="445">
        <v>6.5200000000000005</v>
      </c>
      <c r="R64" s="447">
        <f t="shared" si="31"/>
        <v>3.2486783559295858E-3</v>
      </c>
      <c r="S64" s="455">
        <f t="shared" si="32"/>
        <v>1000.4288000000003</v>
      </c>
      <c r="T64" s="448">
        <f t="shared" si="33"/>
        <v>30.799999999999955</v>
      </c>
      <c r="U64" s="447">
        <f t="shared" si="34"/>
        <v>1.534651738690661E-2</v>
      </c>
      <c r="V64" s="145"/>
      <c r="W64" s="145"/>
      <c r="X64" s="145"/>
      <c r="Y64" s="367" t="s">
        <v>174</v>
      </c>
      <c r="Z64" s="367" t="s">
        <v>429</v>
      </c>
      <c r="AA64" s="368" t="s">
        <v>612</v>
      </c>
      <c r="AB64" s="368" t="s">
        <v>575</v>
      </c>
      <c r="AC64" s="368">
        <v>1</v>
      </c>
      <c r="AD64" s="449" t="s">
        <v>466</v>
      </c>
    </row>
    <row r="65" spans="2:39" s="147" customFormat="1" ht="27" hidden="1" customHeight="1">
      <c r="B65" s="845"/>
      <c r="C65" s="846"/>
      <c r="D65" s="362">
        <v>15</v>
      </c>
      <c r="E65" s="443" t="s">
        <v>586</v>
      </c>
      <c r="F65" s="365">
        <f t="shared" si="25"/>
        <v>4685.889600000005</v>
      </c>
      <c r="G65" s="366">
        <v>113.68000000000004</v>
      </c>
      <c r="H65" s="445">
        <v>1586.1000000000001</v>
      </c>
      <c r="I65" s="445">
        <v>1586.1000000000001</v>
      </c>
      <c r="J65" s="447">
        <f t="shared" si="26"/>
        <v>1</v>
      </c>
      <c r="K65" s="446">
        <v>1586.1000000000001</v>
      </c>
      <c r="L65" s="447">
        <f t="shared" si="27"/>
        <v>1</v>
      </c>
      <c r="M65" s="446">
        <v>41.22</v>
      </c>
      <c r="N65" s="447">
        <f t="shared" si="28"/>
        <v>2.5988273122753921E-2</v>
      </c>
      <c r="O65" s="448">
        <f t="shared" si="29"/>
        <v>1627.3200000000002</v>
      </c>
      <c r="P65" s="447">
        <f t="shared" si="30"/>
        <v>1.0259882731227539</v>
      </c>
      <c r="Q65" s="445">
        <v>7.88</v>
      </c>
      <c r="R65" s="447">
        <f t="shared" si="31"/>
        <v>4.9681608977996342E-3</v>
      </c>
      <c r="S65" s="455">
        <f t="shared" si="32"/>
        <v>895.79840000000024</v>
      </c>
      <c r="T65" s="448">
        <f t="shared" si="33"/>
        <v>41.220000000000027</v>
      </c>
      <c r="U65" s="447">
        <f t="shared" si="34"/>
        <v>2.5988273122753938E-2</v>
      </c>
      <c r="V65" s="145"/>
      <c r="W65" s="145"/>
      <c r="X65" s="145"/>
      <c r="Y65" s="367" t="s">
        <v>174</v>
      </c>
      <c r="Z65" s="367" t="s">
        <v>429</v>
      </c>
      <c r="AA65" s="368" t="s">
        <v>480</v>
      </c>
      <c r="AB65" s="368" t="s">
        <v>478</v>
      </c>
      <c r="AC65" s="368">
        <v>1</v>
      </c>
      <c r="AD65" s="449" t="s">
        <v>568</v>
      </c>
    </row>
    <row r="66" spans="2:39" s="147" customFormat="1" ht="27" hidden="1" customHeight="1">
      <c r="B66" s="845"/>
      <c r="C66" s="846"/>
      <c r="D66" s="362">
        <v>16</v>
      </c>
      <c r="E66" s="443" t="s">
        <v>433</v>
      </c>
      <c r="F66" s="365">
        <f t="shared" si="25"/>
        <v>4528.122000000003</v>
      </c>
      <c r="G66" s="366">
        <v>368.13999999999993</v>
      </c>
      <c r="H66" s="445">
        <v>463.78000000000003</v>
      </c>
      <c r="I66" s="445">
        <v>463.78000000000003</v>
      </c>
      <c r="J66" s="447">
        <f t="shared" si="26"/>
        <v>1</v>
      </c>
      <c r="K66" s="446">
        <v>463.78000000000003</v>
      </c>
      <c r="L66" s="447">
        <f t="shared" si="27"/>
        <v>1</v>
      </c>
      <c r="M66" s="446">
        <v>12.3</v>
      </c>
      <c r="N66" s="447">
        <f t="shared" si="28"/>
        <v>2.6521195394368018E-2</v>
      </c>
      <c r="O66" s="448">
        <f t="shared" si="29"/>
        <v>476.08000000000004</v>
      </c>
      <c r="P66" s="447">
        <f t="shared" si="30"/>
        <v>1.026521195394368</v>
      </c>
      <c r="Q66" s="445">
        <v>2.62</v>
      </c>
      <c r="R66" s="447">
        <f t="shared" si="31"/>
        <v>5.6492302384751388E-3</v>
      </c>
      <c r="S66" s="455">
        <f t="shared" si="32"/>
        <v>964.52679999999987</v>
      </c>
      <c r="T66" s="448">
        <f t="shared" si="33"/>
        <v>12.300000000000011</v>
      </c>
      <c r="U66" s="447">
        <f t="shared" si="34"/>
        <v>2.6521195394368043E-2</v>
      </c>
      <c r="V66" s="145"/>
      <c r="W66" s="145"/>
      <c r="X66" s="145"/>
      <c r="Y66" s="367" t="s">
        <v>174</v>
      </c>
      <c r="Z66" s="367" t="s">
        <v>429</v>
      </c>
      <c r="AA66" s="368" t="s">
        <v>684</v>
      </c>
      <c r="AB66" s="368" t="s">
        <v>576</v>
      </c>
      <c r="AC66" s="368">
        <v>1</v>
      </c>
      <c r="AD66" s="449" t="s">
        <v>434</v>
      </c>
    </row>
    <row r="67" spans="2:39" s="147" customFormat="1" ht="27" hidden="1" customHeight="1">
      <c r="B67" s="845"/>
      <c r="C67" s="846"/>
      <c r="D67" s="362">
        <v>17</v>
      </c>
      <c r="E67" s="443" t="s">
        <v>626</v>
      </c>
      <c r="F67" s="365">
        <f t="shared" si="25"/>
        <v>4483.369800000024</v>
      </c>
      <c r="G67" s="366">
        <v>39.389999999999993</v>
      </c>
      <c r="H67" s="445">
        <v>5930.2000000000007</v>
      </c>
      <c r="I67" s="445">
        <v>5930.2000000000007</v>
      </c>
      <c r="J67" s="447">
        <f t="shared" si="26"/>
        <v>1</v>
      </c>
      <c r="K67" s="446">
        <v>5934.8000000000011</v>
      </c>
      <c r="L67" s="447">
        <f t="shared" si="27"/>
        <v>1.000775690533203</v>
      </c>
      <c r="M67" s="446">
        <v>109.22</v>
      </c>
      <c r="N67" s="447">
        <f t="shared" si="28"/>
        <v>1.8417591312266026E-2</v>
      </c>
      <c r="O67" s="448">
        <f t="shared" si="29"/>
        <v>6044.0200000000013</v>
      </c>
      <c r="P67" s="447">
        <f t="shared" si="30"/>
        <v>1.019193281845469</v>
      </c>
      <c r="Q67" s="445">
        <v>19.830000000000002</v>
      </c>
      <c r="R67" s="447">
        <f t="shared" si="31"/>
        <v>3.3439007116117499E-3</v>
      </c>
      <c r="S67" s="455">
        <f t="shared" si="32"/>
        <v>781.10369999999989</v>
      </c>
      <c r="T67" s="448">
        <f t="shared" si="33"/>
        <v>113.82000000000062</v>
      </c>
      <c r="U67" s="447">
        <f t="shared" si="34"/>
        <v>1.9193281845469059E-2</v>
      </c>
      <c r="V67" s="145"/>
      <c r="W67" s="145"/>
      <c r="X67" s="145"/>
      <c r="Y67" s="367" t="s">
        <v>174</v>
      </c>
      <c r="Z67" s="367" t="s">
        <v>216</v>
      </c>
      <c r="AA67" s="368" t="s">
        <v>612</v>
      </c>
      <c r="AB67" s="368" t="s">
        <v>526</v>
      </c>
      <c r="AC67" s="368">
        <v>1</v>
      </c>
      <c r="AD67" s="449" t="s">
        <v>621</v>
      </c>
    </row>
    <row r="68" spans="2:39" s="147" customFormat="1" ht="27" hidden="1" customHeight="1">
      <c r="B68" s="845"/>
      <c r="C68" s="846"/>
      <c r="D68" s="362">
        <v>18</v>
      </c>
      <c r="E68" s="443" t="s">
        <v>651</v>
      </c>
      <c r="F68" s="365">
        <f t="shared" si="25"/>
        <v>4455.7127999999984</v>
      </c>
      <c r="G68" s="366">
        <v>43.889999999999993</v>
      </c>
      <c r="H68" s="445">
        <v>3631.4</v>
      </c>
      <c r="I68" s="445">
        <v>3631.4</v>
      </c>
      <c r="J68" s="447">
        <f t="shared" si="26"/>
        <v>1</v>
      </c>
      <c r="K68" s="446">
        <v>3640.3</v>
      </c>
      <c r="L68" s="447">
        <f t="shared" si="27"/>
        <v>1.0024508454039764</v>
      </c>
      <c r="M68" s="446">
        <v>92.62</v>
      </c>
      <c r="N68" s="447">
        <f t="shared" si="28"/>
        <v>2.5505314754640084E-2</v>
      </c>
      <c r="O68" s="448">
        <f t="shared" si="29"/>
        <v>3732.92</v>
      </c>
      <c r="P68" s="447">
        <f t="shared" si="30"/>
        <v>1.0279561601586165</v>
      </c>
      <c r="Q68" s="445">
        <v>33.130000000000003</v>
      </c>
      <c r="R68" s="447">
        <f t="shared" si="31"/>
        <v>9.1232031723302316E-3</v>
      </c>
      <c r="S68" s="455">
        <f t="shared" si="32"/>
        <v>1454.0756999999999</v>
      </c>
      <c r="T68" s="448">
        <f t="shared" si="33"/>
        <v>101.51999999999998</v>
      </c>
      <c r="U68" s="447">
        <f t="shared" si="34"/>
        <v>2.7956160158616506E-2</v>
      </c>
      <c r="V68" s="145"/>
      <c r="W68" s="145"/>
      <c r="X68" s="145"/>
      <c r="Y68" s="367" t="s">
        <v>174</v>
      </c>
      <c r="Z68" s="367" t="s">
        <v>216</v>
      </c>
      <c r="AA68" s="368" t="s">
        <v>612</v>
      </c>
      <c r="AB68" s="368" t="s">
        <v>526</v>
      </c>
      <c r="AC68" s="368">
        <v>1</v>
      </c>
      <c r="AD68" s="449" t="s">
        <v>642</v>
      </c>
    </row>
    <row r="69" spans="2:39" s="147" customFormat="1" ht="27" hidden="1" customHeight="1">
      <c r="B69" s="845"/>
      <c r="C69" s="846"/>
      <c r="D69" s="362">
        <v>19</v>
      </c>
      <c r="E69" s="443" t="s">
        <v>484</v>
      </c>
      <c r="F69" s="365">
        <f t="shared" si="25"/>
        <v>4409.0689999999904</v>
      </c>
      <c r="G69" s="366">
        <v>370.50999999999993</v>
      </c>
      <c r="H69" s="445">
        <v>430.84000000000003</v>
      </c>
      <c r="I69" s="445">
        <v>430.84000000000003</v>
      </c>
      <c r="J69" s="447">
        <f t="shared" si="26"/>
        <v>1</v>
      </c>
      <c r="K69" s="446">
        <v>430.84000000000003</v>
      </c>
      <c r="L69" s="447">
        <f t="shared" si="27"/>
        <v>1</v>
      </c>
      <c r="M69" s="446">
        <v>11.900000000000002</v>
      </c>
      <c r="N69" s="447">
        <f t="shared" si="28"/>
        <v>2.7620462352613503E-2</v>
      </c>
      <c r="O69" s="448">
        <f t="shared" si="29"/>
        <v>442.74</v>
      </c>
      <c r="P69" s="447">
        <f t="shared" si="30"/>
        <v>1.0276204623526135</v>
      </c>
      <c r="Q69" s="445">
        <v>2.9600000000000004</v>
      </c>
      <c r="R69" s="447">
        <f t="shared" si="31"/>
        <v>6.8702998793055432E-3</v>
      </c>
      <c r="S69" s="455">
        <f t="shared" si="32"/>
        <v>1096.7095999999999</v>
      </c>
      <c r="T69" s="448">
        <f t="shared" si="33"/>
        <v>11.899999999999977</v>
      </c>
      <c r="U69" s="447">
        <f t="shared" si="34"/>
        <v>2.7620462352613444E-2</v>
      </c>
      <c r="V69" s="145"/>
      <c r="W69" s="145"/>
      <c r="X69" s="145"/>
      <c r="Y69" s="367" t="s">
        <v>174</v>
      </c>
      <c r="Z69" s="367" t="s">
        <v>429</v>
      </c>
      <c r="AA69" s="368" t="s">
        <v>684</v>
      </c>
      <c r="AB69" s="368" t="s">
        <v>576</v>
      </c>
      <c r="AC69" s="368">
        <v>1</v>
      </c>
      <c r="AD69" s="449" t="s">
        <v>353</v>
      </c>
    </row>
    <row r="70" spans="2:39" s="147" customFormat="1" ht="27" hidden="1" customHeight="1">
      <c r="B70" s="847"/>
      <c r="C70" s="848"/>
      <c r="D70" s="362">
        <v>20</v>
      </c>
      <c r="E70" s="443" t="s">
        <v>421</v>
      </c>
      <c r="F70" s="365">
        <f t="shared" si="25"/>
        <v>4336.6889000000056</v>
      </c>
      <c r="G70" s="366">
        <v>157.87000000000003</v>
      </c>
      <c r="H70" s="445">
        <v>1809.74</v>
      </c>
      <c r="I70" s="445">
        <v>1809.74</v>
      </c>
      <c r="J70" s="447">
        <f t="shared" si="26"/>
        <v>1</v>
      </c>
      <c r="K70" s="446">
        <v>1809.74</v>
      </c>
      <c r="L70" s="447">
        <f t="shared" si="27"/>
        <v>1</v>
      </c>
      <c r="M70" s="446">
        <v>27.47</v>
      </c>
      <c r="N70" s="447">
        <f t="shared" si="28"/>
        <v>1.5178975985500678E-2</v>
      </c>
      <c r="O70" s="448">
        <f t="shared" si="29"/>
        <v>1837.21</v>
      </c>
      <c r="P70" s="447">
        <f t="shared" si="30"/>
        <v>1.0151789759855008</v>
      </c>
      <c r="Q70" s="445">
        <v>5.57</v>
      </c>
      <c r="R70" s="447">
        <f t="shared" si="31"/>
        <v>3.0777901798048342E-3</v>
      </c>
      <c r="S70" s="455">
        <f t="shared" si="32"/>
        <v>879.33590000000027</v>
      </c>
      <c r="T70" s="448">
        <f t="shared" si="33"/>
        <v>27.470000000000027</v>
      </c>
      <c r="U70" s="447">
        <f t="shared" si="34"/>
        <v>1.5178975985500694E-2</v>
      </c>
      <c r="V70" s="145"/>
      <c r="W70" s="145"/>
      <c r="X70" s="145"/>
      <c r="Y70" s="367" t="s">
        <v>174</v>
      </c>
      <c r="Z70" s="367" t="s">
        <v>429</v>
      </c>
      <c r="AA70" s="368" t="s">
        <v>542</v>
      </c>
      <c r="AB70" s="368" t="s">
        <v>543</v>
      </c>
      <c r="AC70" s="368">
        <v>1</v>
      </c>
      <c r="AD70" s="449" t="s">
        <v>340</v>
      </c>
    </row>
    <row r="71" spans="2:39" ht="17.149999999999999" hidden="1" customHeight="1">
      <c r="B71" s="873" t="s">
        <v>443</v>
      </c>
      <c r="C71" s="874"/>
      <c r="D71" s="875" t="s">
        <v>551</v>
      </c>
      <c r="E71" s="876" t="s">
        <v>552</v>
      </c>
      <c r="F71" s="906" t="s">
        <v>569</v>
      </c>
      <c r="G71" s="835" t="s">
        <v>554</v>
      </c>
      <c r="H71" s="878" t="s">
        <v>555</v>
      </c>
      <c r="I71" s="867" t="s">
        <v>556</v>
      </c>
      <c r="J71" s="868"/>
      <c r="K71" s="867" t="s">
        <v>557</v>
      </c>
      <c r="L71" s="868"/>
      <c r="M71" s="867" t="s">
        <v>558</v>
      </c>
      <c r="N71" s="868"/>
      <c r="O71" s="867" t="s">
        <v>559</v>
      </c>
      <c r="P71" s="868"/>
      <c r="Q71" s="867" t="s">
        <v>418</v>
      </c>
      <c r="R71" s="905"/>
      <c r="S71" s="868"/>
      <c r="T71" s="864" t="s">
        <v>419</v>
      </c>
      <c r="U71" s="866"/>
      <c r="Y71" s="861" t="s">
        <v>171</v>
      </c>
      <c r="Z71" s="861" t="s">
        <v>245</v>
      </c>
      <c r="AA71" s="861" t="s">
        <v>560</v>
      </c>
      <c r="AB71" s="861" t="s">
        <v>445</v>
      </c>
      <c r="AC71" s="861" t="s">
        <v>246</v>
      </c>
      <c r="AD71" s="835" t="s">
        <v>172</v>
      </c>
      <c r="AF71" s="884" t="s">
        <v>247</v>
      </c>
      <c r="AG71" s="885"/>
      <c r="AH71" s="885"/>
      <c r="AI71" s="885"/>
      <c r="AJ71" s="885"/>
      <c r="AK71" s="885"/>
      <c r="AL71" s="885"/>
      <c r="AM71" s="886"/>
    </row>
    <row r="72" spans="2:39" ht="16.5" hidden="1" customHeight="1">
      <c r="B72" s="871"/>
      <c r="C72" s="872"/>
      <c r="D72" s="875"/>
      <c r="E72" s="875"/>
      <c r="F72" s="877"/>
      <c r="G72" s="836"/>
      <c r="H72" s="836"/>
      <c r="I72" s="442" t="s">
        <v>561</v>
      </c>
      <c r="J72" s="363" t="s">
        <v>562</v>
      </c>
      <c r="K72" s="442" t="s">
        <v>561</v>
      </c>
      <c r="L72" s="363" t="s">
        <v>562</v>
      </c>
      <c r="M72" s="442" t="s">
        <v>561</v>
      </c>
      <c r="N72" s="363" t="s">
        <v>562</v>
      </c>
      <c r="O72" s="442" t="s">
        <v>561</v>
      </c>
      <c r="P72" s="363" t="s">
        <v>562</v>
      </c>
      <c r="Q72" s="442" t="s">
        <v>561</v>
      </c>
      <c r="R72" s="363" t="s">
        <v>562</v>
      </c>
      <c r="S72" s="363" t="s">
        <v>563</v>
      </c>
      <c r="T72" s="442" t="s">
        <v>561</v>
      </c>
      <c r="U72" s="363" t="s">
        <v>562</v>
      </c>
      <c r="Y72" s="863"/>
      <c r="Z72" s="863"/>
      <c r="AA72" s="863"/>
      <c r="AB72" s="863"/>
      <c r="AC72" s="863"/>
      <c r="AD72" s="836"/>
      <c r="AF72" s="887"/>
      <c r="AG72" s="888"/>
      <c r="AH72" s="888"/>
      <c r="AI72" s="888"/>
      <c r="AJ72" s="888"/>
      <c r="AK72" s="888"/>
      <c r="AL72" s="888"/>
      <c r="AM72" s="889"/>
    </row>
    <row r="73" spans="2:39" s="147" customFormat="1" ht="27" hidden="1" customHeight="1">
      <c r="B73" s="843" t="s">
        <v>639</v>
      </c>
      <c r="C73" s="844"/>
      <c r="D73" s="362">
        <v>1</v>
      </c>
      <c r="E73" s="443" t="s">
        <v>336</v>
      </c>
      <c r="F73" s="365">
        <f>IFERROR(T73*G73,"-")</f>
        <v>9627.1790000000292</v>
      </c>
      <c r="G73" s="366">
        <v>147.43000000000004</v>
      </c>
      <c r="H73" s="445">
        <v>4104.16</v>
      </c>
      <c r="I73" s="445">
        <v>4104.16</v>
      </c>
      <c r="J73" s="447">
        <f>IFERROR(I73/H73,"-")</f>
        <v>1</v>
      </c>
      <c r="K73" s="446">
        <v>4104.16</v>
      </c>
      <c r="L73" s="447">
        <f>IFERROR(K73/H73,"-")</f>
        <v>1</v>
      </c>
      <c r="M73" s="446">
        <v>65.3</v>
      </c>
      <c r="N73" s="447">
        <f>IFERROR(M73/H73,"-")</f>
        <v>1.5910685743245879E-2</v>
      </c>
      <c r="O73" s="448">
        <f>IFERROR(K73+M73,"-")</f>
        <v>4169.46</v>
      </c>
      <c r="P73" s="447">
        <f>IFERROR(O73/H73,"-")</f>
        <v>1.0159106857432458</v>
      </c>
      <c r="Q73" s="445">
        <v>9.59</v>
      </c>
      <c r="R73" s="447">
        <f>IFERROR(Q73/H73,"-")</f>
        <v>2.3366535417722505E-3</v>
      </c>
      <c r="S73" s="455">
        <f>IFERROR(Q73*G73,"-")</f>
        <v>1413.8537000000003</v>
      </c>
      <c r="T73" s="448">
        <f>IFERROR(O73-H73,"-")</f>
        <v>65.300000000000182</v>
      </c>
      <c r="U73" s="447">
        <f>IFERROR(T73/H73,"-")</f>
        <v>1.5910685743245924E-2</v>
      </c>
      <c r="V73" s="145"/>
      <c r="W73" s="145"/>
      <c r="X73" s="145"/>
      <c r="Y73" s="367" t="s">
        <v>174</v>
      </c>
      <c r="Z73" s="367" t="s">
        <v>215</v>
      </c>
      <c r="AA73" s="368" t="s">
        <v>479</v>
      </c>
      <c r="AB73" s="368" t="s">
        <v>525</v>
      </c>
      <c r="AC73" s="368">
        <v>1</v>
      </c>
      <c r="AD73" s="449" t="s">
        <v>340</v>
      </c>
      <c r="AF73" s="890"/>
      <c r="AG73" s="891"/>
      <c r="AH73" s="891"/>
      <c r="AI73" s="891"/>
      <c r="AJ73" s="891"/>
      <c r="AK73" s="891"/>
      <c r="AL73" s="891"/>
      <c r="AM73" s="892"/>
    </row>
    <row r="74" spans="2:39" s="147" customFormat="1" ht="27" hidden="1" customHeight="1">
      <c r="B74" s="845"/>
      <c r="C74" s="846"/>
      <c r="D74" s="362">
        <v>2</v>
      </c>
      <c r="E74" s="443" t="s">
        <v>535</v>
      </c>
      <c r="F74" s="365">
        <f t="shared" ref="F74:F92" si="38">IFERROR(T74*G74,"-")</f>
        <v>6189.7445999999763</v>
      </c>
      <c r="G74" s="366">
        <v>39.389999999999993</v>
      </c>
      <c r="H74" s="445">
        <v>29156.94</v>
      </c>
      <c r="I74" s="445">
        <v>29156.94</v>
      </c>
      <c r="J74" s="447">
        <f t="shared" ref="J74:J92" si="39">IFERROR(I74/H74,"-")</f>
        <v>1</v>
      </c>
      <c r="K74" s="446">
        <v>29156.94</v>
      </c>
      <c r="L74" s="447">
        <f t="shared" ref="L74:L92" si="40">IFERROR(K74/H74,"-")</f>
        <v>1</v>
      </c>
      <c r="M74" s="446">
        <v>157.14000000000001</v>
      </c>
      <c r="N74" s="447">
        <f t="shared" ref="N74:N92" si="41">IFERROR(M74/H74,"-")</f>
        <v>5.3894544489236536E-3</v>
      </c>
      <c r="O74" s="448">
        <f t="shared" ref="O74:O92" si="42">IFERROR(K74+M74,"-")</f>
        <v>29314.079999999998</v>
      </c>
      <c r="P74" s="447">
        <f t="shared" ref="P74:P92" si="43">IFERROR(O74/H74,"-")</f>
        <v>1.0053894544489237</v>
      </c>
      <c r="Q74" s="445">
        <v>38.880000000000003</v>
      </c>
      <c r="R74" s="447">
        <f t="shared" ref="R74:R92" si="44">IFERROR(Q74/H74,"-")</f>
        <v>1.3334732657130689E-3</v>
      </c>
      <c r="S74" s="455">
        <f t="shared" ref="S74:S92" si="45">IFERROR(Q74*G74,"-")</f>
        <v>1531.4831999999999</v>
      </c>
      <c r="T74" s="448">
        <f t="shared" ref="T74:T92" si="46">IFERROR(O74-H74,"-")</f>
        <v>157.13999999999942</v>
      </c>
      <c r="U74" s="447">
        <f t="shared" ref="U74:U92" si="47">IFERROR(T74/H74,"-")</f>
        <v>5.3894544489236328E-3</v>
      </c>
      <c r="V74" s="145"/>
      <c r="W74" s="145"/>
      <c r="X74" s="145"/>
      <c r="Y74" s="367" t="s">
        <v>174</v>
      </c>
      <c r="Z74" s="367" t="s">
        <v>216</v>
      </c>
      <c r="AA74" s="368" t="s">
        <v>713</v>
      </c>
      <c r="AB74" s="368" t="s">
        <v>714</v>
      </c>
      <c r="AC74" s="368">
        <v>1</v>
      </c>
      <c r="AD74" s="449" t="s">
        <v>340</v>
      </c>
      <c r="AF74" s="160" t="s">
        <v>244</v>
      </c>
      <c r="AG74" s="160" t="s">
        <v>446</v>
      </c>
      <c r="AH74" s="155" t="s">
        <v>564</v>
      </c>
      <c r="AI74" s="155" t="s">
        <v>337</v>
      </c>
      <c r="AJ74" s="155" t="s">
        <v>429</v>
      </c>
      <c r="AK74" s="155" t="s">
        <v>215</v>
      </c>
      <c r="AL74" s="155" t="s">
        <v>216</v>
      </c>
      <c r="AM74" s="155" t="s">
        <v>384</v>
      </c>
    </row>
    <row r="75" spans="2:39" s="147" customFormat="1" ht="27" hidden="1" customHeight="1">
      <c r="B75" s="845"/>
      <c r="C75" s="846"/>
      <c r="D75" s="362">
        <v>3</v>
      </c>
      <c r="E75" s="443" t="s">
        <v>653</v>
      </c>
      <c r="F75" s="365">
        <f t="shared" si="38"/>
        <v>5900.5999999999995</v>
      </c>
      <c r="G75" s="366">
        <v>144.79999999999998</v>
      </c>
      <c r="H75" s="445">
        <v>2378.71</v>
      </c>
      <c r="I75" s="445">
        <v>2378.71</v>
      </c>
      <c r="J75" s="447">
        <f t="shared" si="39"/>
        <v>1</v>
      </c>
      <c r="K75" s="446">
        <v>2378.71</v>
      </c>
      <c r="L75" s="447">
        <f t="shared" si="40"/>
        <v>1</v>
      </c>
      <c r="M75" s="446">
        <v>40.75</v>
      </c>
      <c r="N75" s="447">
        <f t="shared" si="41"/>
        <v>1.7131134102097354E-2</v>
      </c>
      <c r="O75" s="448">
        <f t="shared" si="42"/>
        <v>2419.46</v>
      </c>
      <c r="P75" s="447">
        <f t="shared" si="43"/>
        <v>1.0171311341020974</v>
      </c>
      <c r="Q75" s="445">
        <v>5.8800000000000008</v>
      </c>
      <c r="R75" s="447">
        <f t="shared" si="44"/>
        <v>2.4719280618486494E-3</v>
      </c>
      <c r="S75" s="455">
        <f t="shared" si="45"/>
        <v>851.42399999999998</v>
      </c>
      <c r="T75" s="448">
        <f t="shared" si="46"/>
        <v>40.75</v>
      </c>
      <c r="U75" s="447">
        <f t="shared" si="47"/>
        <v>1.7131134102097354E-2</v>
      </c>
      <c r="V75" s="145"/>
      <c r="W75" s="145"/>
      <c r="X75" s="145"/>
      <c r="Y75" s="367" t="s">
        <v>174</v>
      </c>
      <c r="Z75" s="367" t="s">
        <v>429</v>
      </c>
      <c r="AA75" s="368" t="s">
        <v>612</v>
      </c>
      <c r="AB75" s="368" t="s">
        <v>575</v>
      </c>
      <c r="AC75" s="368">
        <v>1</v>
      </c>
      <c r="AD75" s="449" t="s">
        <v>340</v>
      </c>
      <c r="AF75" s="375">
        <f>SUM(AC73:AC92)</f>
        <v>20</v>
      </c>
      <c r="AG75" s="370">
        <f>SUMIF($Z$73:$Z$92,TRIM(AG74),$AC$73:$AC$92)</f>
        <v>0</v>
      </c>
      <c r="AH75" s="370">
        <f t="shared" ref="AH75:AM75" si="48">SUMIF($Z$73:$Z$92,TRIM(AH74),$AC$73:$AC$92)</f>
        <v>0</v>
      </c>
      <c r="AI75" s="370">
        <f t="shared" si="48"/>
        <v>0</v>
      </c>
      <c r="AJ75" s="370">
        <f t="shared" si="48"/>
        <v>10</v>
      </c>
      <c r="AK75" s="370">
        <f t="shared" si="48"/>
        <v>1</v>
      </c>
      <c r="AL75" s="370">
        <f t="shared" si="48"/>
        <v>9</v>
      </c>
      <c r="AM75" s="370">
        <f t="shared" si="48"/>
        <v>0</v>
      </c>
    </row>
    <row r="76" spans="2:39" s="147" customFormat="1" ht="27" hidden="1" customHeight="1">
      <c r="B76" s="845"/>
      <c r="C76" s="846"/>
      <c r="D76" s="362">
        <v>4</v>
      </c>
      <c r="E76" s="443" t="s">
        <v>386</v>
      </c>
      <c r="F76" s="365">
        <f t="shared" si="38"/>
        <v>5254.2239999999892</v>
      </c>
      <c r="G76" s="366">
        <v>127.84000000000002</v>
      </c>
      <c r="H76" s="445">
        <v>3665.4800000000005</v>
      </c>
      <c r="I76" s="445">
        <v>3665.4800000000005</v>
      </c>
      <c r="J76" s="447">
        <f t="shared" si="39"/>
        <v>1</v>
      </c>
      <c r="K76" s="446">
        <v>3665.4800000000005</v>
      </c>
      <c r="L76" s="447">
        <f t="shared" si="40"/>
        <v>1</v>
      </c>
      <c r="M76" s="446">
        <v>41.1</v>
      </c>
      <c r="N76" s="447">
        <f t="shared" si="41"/>
        <v>1.1212719752938223E-2</v>
      </c>
      <c r="O76" s="448">
        <f t="shared" si="42"/>
        <v>3706.5800000000004</v>
      </c>
      <c r="P76" s="447">
        <f t="shared" si="43"/>
        <v>1.0112127197529381</v>
      </c>
      <c r="Q76" s="445">
        <v>9.5299999999999994</v>
      </c>
      <c r="R76" s="447">
        <f t="shared" si="44"/>
        <v>2.5999323417396896E-3</v>
      </c>
      <c r="S76" s="455">
        <f t="shared" si="45"/>
        <v>1218.3152</v>
      </c>
      <c r="T76" s="448">
        <f t="shared" si="46"/>
        <v>41.099999999999909</v>
      </c>
      <c r="U76" s="447">
        <f t="shared" si="47"/>
        <v>1.1212719752938197E-2</v>
      </c>
      <c r="V76" s="145"/>
      <c r="W76" s="145"/>
      <c r="X76" s="145"/>
      <c r="Y76" s="367" t="s">
        <v>174</v>
      </c>
      <c r="Z76" s="367" t="s">
        <v>429</v>
      </c>
      <c r="AA76" s="368" t="s">
        <v>612</v>
      </c>
      <c r="AB76" s="368" t="s">
        <v>526</v>
      </c>
      <c r="AC76" s="368">
        <v>1</v>
      </c>
      <c r="AD76" s="449" t="s">
        <v>340</v>
      </c>
      <c r="AF76" s="376"/>
      <c r="AG76" s="373">
        <f t="shared" ref="AG76:AM76" si="49">SUMIF($Z$73:$Z$92,TRIM(AG74),$F$73:$F$92)</f>
        <v>0</v>
      </c>
      <c r="AH76" s="373">
        <f t="shared" si="49"/>
        <v>0</v>
      </c>
      <c r="AI76" s="373">
        <f t="shared" si="49"/>
        <v>0</v>
      </c>
      <c r="AJ76" s="373">
        <f t="shared" si="49"/>
        <v>42291.047799999898</v>
      </c>
      <c r="AK76" s="373">
        <f t="shared" si="49"/>
        <v>9627.1790000000292</v>
      </c>
      <c r="AL76" s="373">
        <f t="shared" si="49"/>
        <v>39366.486830000023</v>
      </c>
      <c r="AM76" s="373">
        <f t="shared" si="49"/>
        <v>0</v>
      </c>
    </row>
    <row r="77" spans="2:39" s="147" customFormat="1" ht="27" hidden="1" customHeight="1">
      <c r="B77" s="845"/>
      <c r="C77" s="846"/>
      <c r="D77" s="362">
        <v>5</v>
      </c>
      <c r="E77" s="443" t="s">
        <v>676</v>
      </c>
      <c r="F77" s="365">
        <f t="shared" si="38"/>
        <v>5136.7551299999986</v>
      </c>
      <c r="G77" s="366">
        <v>31.59</v>
      </c>
      <c r="H77" s="445">
        <v>5557.7400000000007</v>
      </c>
      <c r="I77" s="445">
        <v>5557.7400000000007</v>
      </c>
      <c r="J77" s="447">
        <f t="shared" si="39"/>
        <v>1</v>
      </c>
      <c r="K77" s="446">
        <v>5557.7400000000007</v>
      </c>
      <c r="L77" s="447">
        <f t="shared" si="40"/>
        <v>1</v>
      </c>
      <c r="M77" s="446">
        <v>162.607</v>
      </c>
      <c r="N77" s="447">
        <f t="shared" si="41"/>
        <v>2.9257755850399619E-2</v>
      </c>
      <c r="O77" s="448">
        <f t="shared" si="42"/>
        <v>5720.3470000000007</v>
      </c>
      <c r="P77" s="447">
        <f t="shared" si="43"/>
        <v>1.0292577558503997</v>
      </c>
      <c r="Q77" s="445">
        <v>28.46</v>
      </c>
      <c r="R77" s="447">
        <f t="shared" si="44"/>
        <v>5.120786506745547E-3</v>
      </c>
      <c r="S77" s="455">
        <f t="shared" si="45"/>
        <v>899.05140000000006</v>
      </c>
      <c r="T77" s="448">
        <f t="shared" si="46"/>
        <v>162.60699999999997</v>
      </c>
      <c r="U77" s="447">
        <f t="shared" si="47"/>
        <v>2.9257755850399615E-2</v>
      </c>
      <c r="V77" s="145"/>
      <c r="W77" s="145"/>
      <c r="X77" s="145"/>
      <c r="Y77" s="367" t="s">
        <v>174</v>
      </c>
      <c r="Z77" s="367" t="s">
        <v>216</v>
      </c>
      <c r="AA77" s="368" t="s">
        <v>480</v>
      </c>
      <c r="AB77" s="368" t="s">
        <v>478</v>
      </c>
      <c r="AC77" s="368">
        <v>1</v>
      </c>
      <c r="AD77" s="449" t="s">
        <v>674</v>
      </c>
      <c r="AF77" s="362"/>
      <c r="AG77" s="374">
        <f t="shared" ref="AG77:AM77" si="50">AG75/$AF75</f>
        <v>0</v>
      </c>
      <c r="AH77" s="374">
        <f t="shared" si="50"/>
        <v>0</v>
      </c>
      <c r="AI77" s="374">
        <f t="shared" si="50"/>
        <v>0</v>
      </c>
      <c r="AJ77" s="374">
        <f t="shared" si="50"/>
        <v>0.5</v>
      </c>
      <c r="AK77" s="374">
        <f t="shared" si="50"/>
        <v>0.05</v>
      </c>
      <c r="AL77" s="374">
        <f t="shared" si="50"/>
        <v>0.45</v>
      </c>
      <c r="AM77" s="374">
        <f t="shared" si="50"/>
        <v>0</v>
      </c>
    </row>
    <row r="78" spans="2:39" s="147" customFormat="1" ht="27" hidden="1" customHeight="1">
      <c r="B78" s="845"/>
      <c r="C78" s="846"/>
      <c r="D78" s="362">
        <v>6</v>
      </c>
      <c r="E78" s="443" t="s">
        <v>462</v>
      </c>
      <c r="F78" s="365">
        <f t="shared" si="38"/>
        <v>4729.7840000000097</v>
      </c>
      <c r="G78" s="366">
        <v>407.74000000000007</v>
      </c>
      <c r="H78" s="445">
        <v>965.51</v>
      </c>
      <c r="I78" s="445">
        <v>965.51</v>
      </c>
      <c r="J78" s="447">
        <f t="shared" si="39"/>
        <v>1</v>
      </c>
      <c r="K78" s="446">
        <v>965.51</v>
      </c>
      <c r="L78" s="447">
        <f t="shared" si="40"/>
        <v>1</v>
      </c>
      <c r="M78" s="446">
        <v>11.6</v>
      </c>
      <c r="N78" s="447">
        <f t="shared" si="41"/>
        <v>1.201437582210438E-2</v>
      </c>
      <c r="O78" s="448">
        <f t="shared" si="42"/>
        <v>977.11</v>
      </c>
      <c r="P78" s="447">
        <f t="shared" si="43"/>
        <v>1.0120143758221043</v>
      </c>
      <c r="Q78" s="445">
        <v>2.84</v>
      </c>
      <c r="R78" s="447">
        <f t="shared" si="44"/>
        <v>2.9414506323083137E-3</v>
      </c>
      <c r="S78" s="455">
        <f t="shared" si="45"/>
        <v>1157.9816000000001</v>
      </c>
      <c r="T78" s="448">
        <f t="shared" si="46"/>
        <v>11.600000000000023</v>
      </c>
      <c r="U78" s="447">
        <f t="shared" si="47"/>
        <v>1.2014375822104404E-2</v>
      </c>
      <c r="V78" s="145"/>
      <c r="W78" s="145"/>
      <c r="X78" s="145"/>
      <c r="Y78" s="367" t="s">
        <v>174</v>
      </c>
      <c r="Z78" s="367" t="s">
        <v>216</v>
      </c>
      <c r="AA78" s="368" t="s">
        <v>481</v>
      </c>
      <c r="AB78" s="368" t="s">
        <v>482</v>
      </c>
      <c r="AC78" s="368">
        <v>1</v>
      </c>
      <c r="AD78" s="449" t="s">
        <v>464</v>
      </c>
    </row>
    <row r="79" spans="2:39" s="147" customFormat="1" ht="27" hidden="1" customHeight="1">
      <c r="B79" s="845"/>
      <c r="C79" s="846"/>
      <c r="D79" s="362">
        <v>7</v>
      </c>
      <c r="E79" s="443" t="s">
        <v>626</v>
      </c>
      <c r="F79" s="365">
        <f t="shared" si="38"/>
        <v>4576.7240999999831</v>
      </c>
      <c r="G79" s="366">
        <v>39.389999999999993</v>
      </c>
      <c r="H79" s="445">
        <v>5900.0300000000007</v>
      </c>
      <c r="I79" s="445">
        <v>5900.0300000000007</v>
      </c>
      <c r="J79" s="447">
        <f t="shared" si="39"/>
        <v>1</v>
      </c>
      <c r="K79" s="446">
        <v>5900.0300000000007</v>
      </c>
      <c r="L79" s="447">
        <f t="shared" si="40"/>
        <v>1</v>
      </c>
      <c r="M79" s="446">
        <v>116.19</v>
      </c>
      <c r="N79" s="447">
        <f t="shared" si="41"/>
        <v>1.9693120204473533E-2</v>
      </c>
      <c r="O79" s="448">
        <f t="shared" si="42"/>
        <v>6016.22</v>
      </c>
      <c r="P79" s="447">
        <f t="shared" si="43"/>
        <v>1.0196931202044734</v>
      </c>
      <c r="Q79" s="445">
        <v>29.81</v>
      </c>
      <c r="R79" s="447">
        <f t="shared" si="44"/>
        <v>5.0525166821185647E-3</v>
      </c>
      <c r="S79" s="455">
        <f t="shared" si="45"/>
        <v>1174.2158999999997</v>
      </c>
      <c r="T79" s="448">
        <f t="shared" si="46"/>
        <v>116.1899999999996</v>
      </c>
      <c r="U79" s="447">
        <f t="shared" si="47"/>
        <v>1.9693120204473467E-2</v>
      </c>
      <c r="V79" s="145"/>
      <c r="W79" s="145"/>
      <c r="X79" s="145"/>
      <c r="Y79" s="367" t="s">
        <v>174</v>
      </c>
      <c r="Z79" s="367" t="s">
        <v>216</v>
      </c>
      <c r="AA79" s="368" t="s">
        <v>713</v>
      </c>
      <c r="AB79" s="368" t="s">
        <v>714</v>
      </c>
      <c r="AC79" s="368">
        <v>1</v>
      </c>
      <c r="AD79" s="449" t="s">
        <v>621</v>
      </c>
    </row>
    <row r="80" spans="2:39" s="147" customFormat="1" ht="27" hidden="1" customHeight="1">
      <c r="B80" s="845"/>
      <c r="C80" s="846"/>
      <c r="D80" s="362">
        <v>8</v>
      </c>
      <c r="E80" s="443" t="s">
        <v>655</v>
      </c>
      <c r="F80" s="365">
        <f t="shared" si="38"/>
        <v>4428.4997999999932</v>
      </c>
      <c r="G80" s="366">
        <v>49.82</v>
      </c>
      <c r="H80" s="445">
        <v>3093.75</v>
      </c>
      <c r="I80" s="445">
        <v>3093.75</v>
      </c>
      <c r="J80" s="447">
        <f t="shared" si="39"/>
        <v>1</v>
      </c>
      <c r="K80" s="446">
        <v>3093.75</v>
      </c>
      <c r="L80" s="447">
        <f t="shared" si="40"/>
        <v>1</v>
      </c>
      <c r="M80" s="446">
        <v>88.89</v>
      </c>
      <c r="N80" s="447">
        <f t="shared" si="41"/>
        <v>2.8732121212121212E-2</v>
      </c>
      <c r="O80" s="448">
        <f t="shared" si="42"/>
        <v>3182.64</v>
      </c>
      <c r="P80" s="447">
        <f t="shared" si="43"/>
        <v>1.0287321212121212</v>
      </c>
      <c r="Q80" s="445">
        <v>18.049999999999997</v>
      </c>
      <c r="R80" s="447">
        <f t="shared" si="44"/>
        <v>5.8343434343434333E-3</v>
      </c>
      <c r="S80" s="455">
        <f t="shared" si="45"/>
        <v>899.25099999999986</v>
      </c>
      <c r="T80" s="448">
        <f t="shared" si="46"/>
        <v>88.889999999999873</v>
      </c>
      <c r="U80" s="447">
        <f t="shared" si="47"/>
        <v>2.8732121212121171E-2</v>
      </c>
      <c r="V80" s="145"/>
      <c r="W80" s="145"/>
      <c r="X80" s="145"/>
      <c r="Y80" s="367" t="s">
        <v>174</v>
      </c>
      <c r="Z80" s="367" t="s">
        <v>429</v>
      </c>
      <c r="AA80" s="368" t="s">
        <v>480</v>
      </c>
      <c r="AB80" s="368" t="s">
        <v>478</v>
      </c>
      <c r="AC80" s="368">
        <v>1</v>
      </c>
      <c r="AD80" s="449" t="s">
        <v>623</v>
      </c>
    </row>
    <row r="81" spans="2:39" s="147" customFormat="1" ht="27" hidden="1" customHeight="1">
      <c r="B81" s="845"/>
      <c r="C81" s="846"/>
      <c r="D81" s="362">
        <v>9</v>
      </c>
      <c r="E81" s="443" t="s">
        <v>465</v>
      </c>
      <c r="F81" s="365">
        <f t="shared" si="38"/>
        <v>4170.2699999999968</v>
      </c>
      <c r="G81" s="366">
        <v>629</v>
      </c>
      <c r="H81" s="445">
        <v>259.95</v>
      </c>
      <c r="I81" s="445">
        <v>259.95</v>
      </c>
      <c r="J81" s="447">
        <f t="shared" si="39"/>
        <v>1</v>
      </c>
      <c r="K81" s="446">
        <v>259.95</v>
      </c>
      <c r="L81" s="447">
        <f t="shared" si="40"/>
        <v>1</v>
      </c>
      <c r="M81" s="446">
        <v>6.63</v>
      </c>
      <c r="N81" s="447">
        <f t="shared" si="41"/>
        <v>2.5504904789382575E-2</v>
      </c>
      <c r="O81" s="448">
        <f t="shared" si="42"/>
        <v>266.58</v>
      </c>
      <c r="P81" s="447">
        <f t="shared" si="43"/>
        <v>1.0255049047893825</v>
      </c>
      <c r="Q81" s="445">
        <v>1.3199999999999998</v>
      </c>
      <c r="R81" s="447">
        <f t="shared" si="44"/>
        <v>5.0778995960761679E-3</v>
      </c>
      <c r="S81" s="455">
        <f t="shared" si="45"/>
        <v>830.27999999999986</v>
      </c>
      <c r="T81" s="448">
        <f t="shared" si="46"/>
        <v>6.6299999999999955</v>
      </c>
      <c r="U81" s="447">
        <f t="shared" si="47"/>
        <v>2.5504904789382558E-2</v>
      </c>
      <c r="V81" s="145"/>
      <c r="W81" s="145"/>
      <c r="X81" s="145"/>
      <c r="Y81" s="367" t="s">
        <v>174</v>
      </c>
      <c r="Z81" s="367" t="s">
        <v>429</v>
      </c>
      <c r="AA81" s="368" t="s">
        <v>483</v>
      </c>
      <c r="AB81" s="368" t="s">
        <v>549</v>
      </c>
      <c r="AC81" s="368">
        <v>1</v>
      </c>
      <c r="AD81" s="449" t="s">
        <v>459</v>
      </c>
    </row>
    <row r="82" spans="2:39" s="147" customFormat="1" ht="27" hidden="1" customHeight="1">
      <c r="B82" s="845"/>
      <c r="C82" s="846"/>
      <c r="D82" s="362">
        <v>10</v>
      </c>
      <c r="E82" s="443" t="s">
        <v>586</v>
      </c>
      <c r="F82" s="365">
        <f t="shared" si="38"/>
        <v>4159.5511999999917</v>
      </c>
      <c r="G82" s="366">
        <v>113.68000000000004</v>
      </c>
      <c r="H82" s="445">
        <v>1240.8</v>
      </c>
      <c r="I82" s="445">
        <v>1240.8</v>
      </c>
      <c r="J82" s="447">
        <f t="shared" si="39"/>
        <v>1</v>
      </c>
      <c r="K82" s="446">
        <v>1240.8</v>
      </c>
      <c r="L82" s="447">
        <f t="shared" si="40"/>
        <v>1</v>
      </c>
      <c r="M82" s="446">
        <v>36.589999999999996</v>
      </c>
      <c r="N82" s="447">
        <f t="shared" si="41"/>
        <v>2.948903932946486E-2</v>
      </c>
      <c r="O82" s="448">
        <f t="shared" si="42"/>
        <v>1277.3899999999999</v>
      </c>
      <c r="P82" s="447">
        <f t="shared" si="43"/>
        <v>1.0294890393294649</v>
      </c>
      <c r="Q82" s="445">
        <v>8.11</v>
      </c>
      <c r="R82" s="447">
        <f t="shared" si="44"/>
        <v>6.5361057382333975E-3</v>
      </c>
      <c r="S82" s="455">
        <f t="shared" si="45"/>
        <v>921.94480000000021</v>
      </c>
      <c r="T82" s="448">
        <f t="shared" si="46"/>
        <v>36.589999999999918</v>
      </c>
      <c r="U82" s="447">
        <f t="shared" si="47"/>
        <v>2.9489039329464797E-2</v>
      </c>
      <c r="V82" s="145"/>
      <c r="W82" s="145"/>
      <c r="X82" s="145"/>
      <c r="Y82" s="367" t="s">
        <v>174</v>
      </c>
      <c r="Z82" s="367" t="s">
        <v>429</v>
      </c>
      <c r="AA82" s="368" t="s">
        <v>480</v>
      </c>
      <c r="AB82" s="368" t="s">
        <v>478</v>
      </c>
      <c r="AC82" s="368">
        <v>1</v>
      </c>
      <c r="AD82" s="449" t="s">
        <v>568</v>
      </c>
    </row>
    <row r="83" spans="2:39" s="147" customFormat="1" ht="27" hidden="1" customHeight="1">
      <c r="B83" s="845"/>
      <c r="C83" s="846"/>
      <c r="D83" s="362">
        <v>11</v>
      </c>
      <c r="E83" s="443" t="s">
        <v>677</v>
      </c>
      <c r="F83" s="365">
        <f t="shared" si="38"/>
        <v>4060.5932000000025</v>
      </c>
      <c r="G83" s="366">
        <v>40.420000000000009</v>
      </c>
      <c r="H83" s="445">
        <v>3051.3</v>
      </c>
      <c r="I83" s="445">
        <v>3051.3</v>
      </c>
      <c r="J83" s="447">
        <f t="shared" si="39"/>
        <v>1</v>
      </c>
      <c r="K83" s="446">
        <v>3051.3</v>
      </c>
      <c r="L83" s="447">
        <f t="shared" si="40"/>
        <v>1</v>
      </c>
      <c r="M83" s="446">
        <v>100.46000000000001</v>
      </c>
      <c r="N83" s="447">
        <f t="shared" si="41"/>
        <v>3.2923671877560387E-2</v>
      </c>
      <c r="O83" s="448">
        <f t="shared" si="42"/>
        <v>3151.76</v>
      </c>
      <c r="P83" s="447">
        <f t="shared" si="43"/>
        <v>1.0329236718775603</v>
      </c>
      <c r="Q83" s="445">
        <v>21.44</v>
      </c>
      <c r="R83" s="447">
        <f t="shared" si="44"/>
        <v>7.0265132894176251E-3</v>
      </c>
      <c r="S83" s="455">
        <f t="shared" si="45"/>
        <v>866.6048000000003</v>
      </c>
      <c r="T83" s="448">
        <f t="shared" si="46"/>
        <v>100.46000000000004</v>
      </c>
      <c r="U83" s="447">
        <f t="shared" si="47"/>
        <v>3.2923671877560394E-2</v>
      </c>
      <c r="V83" s="145"/>
      <c r="W83" s="145"/>
      <c r="X83" s="145"/>
      <c r="Y83" s="367" t="s">
        <v>174</v>
      </c>
      <c r="Z83" s="367" t="s">
        <v>216</v>
      </c>
      <c r="AA83" s="368" t="s">
        <v>713</v>
      </c>
      <c r="AB83" s="368" t="s">
        <v>714</v>
      </c>
      <c r="AC83" s="368">
        <v>1</v>
      </c>
      <c r="AD83" s="449" t="s">
        <v>674</v>
      </c>
      <c r="AH83" s="371"/>
    </row>
    <row r="84" spans="2:39" s="147" customFormat="1" ht="27" hidden="1" customHeight="1">
      <c r="B84" s="845"/>
      <c r="C84" s="846"/>
      <c r="D84" s="362">
        <v>12</v>
      </c>
      <c r="E84" s="443" t="s">
        <v>547</v>
      </c>
      <c r="F84" s="365">
        <f t="shared" si="38"/>
        <v>3992.2680999999925</v>
      </c>
      <c r="G84" s="366">
        <v>66.13</v>
      </c>
      <c r="H84" s="445">
        <v>1744.54</v>
      </c>
      <c r="I84" s="445">
        <v>1744.54</v>
      </c>
      <c r="J84" s="447">
        <f t="shared" si="39"/>
        <v>1</v>
      </c>
      <c r="K84" s="446">
        <v>1744.54</v>
      </c>
      <c r="L84" s="447">
        <f t="shared" si="40"/>
        <v>1</v>
      </c>
      <c r="M84" s="446">
        <v>60.36999999999999</v>
      </c>
      <c r="N84" s="447">
        <f t="shared" si="41"/>
        <v>3.4605110802847734E-2</v>
      </c>
      <c r="O84" s="448">
        <f t="shared" si="42"/>
        <v>1804.9099999999999</v>
      </c>
      <c r="P84" s="447">
        <f t="shared" si="43"/>
        <v>1.0346051108028478</v>
      </c>
      <c r="Q84" s="445">
        <v>12.989999999999998</v>
      </c>
      <c r="R84" s="447">
        <f t="shared" si="44"/>
        <v>7.4460889403510375E-3</v>
      </c>
      <c r="S84" s="455">
        <f t="shared" si="45"/>
        <v>859.02869999999984</v>
      </c>
      <c r="T84" s="448">
        <f t="shared" si="46"/>
        <v>60.369999999999891</v>
      </c>
      <c r="U84" s="447">
        <f t="shared" si="47"/>
        <v>3.4605110802847679E-2</v>
      </c>
      <c r="V84" s="145"/>
      <c r="W84" s="145"/>
      <c r="X84" s="145"/>
      <c r="Y84" s="367" t="s">
        <v>174</v>
      </c>
      <c r="Z84" s="367" t="s">
        <v>429</v>
      </c>
      <c r="AA84" s="368" t="s">
        <v>480</v>
      </c>
      <c r="AB84" s="368" t="s">
        <v>478</v>
      </c>
      <c r="AC84" s="368">
        <v>1</v>
      </c>
      <c r="AD84" s="449" t="s">
        <v>341</v>
      </c>
    </row>
    <row r="85" spans="2:39" s="147" customFormat="1" ht="27" hidden="1" customHeight="1">
      <c r="B85" s="845"/>
      <c r="C85" s="846"/>
      <c r="D85" s="362">
        <v>13</v>
      </c>
      <c r="E85" s="443" t="s">
        <v>570</v>
      </c>
      <c r="F85" s="365">
        <f t="shared" si="38"/>
        <v>3841.437600000002</v>
      </c>
      <c r="G85" s="366">
        <v>40.04</v>
      </c>
      <c r="H85" s="445">
        <v>2859.09</v>
      </c>
      <c r="I85" s="445">
        <v>2859.09</v>
      </c>
      <c r="J85" s="447">
        <f t="shared" si="39"/>
        <v>1</v>
      </c>
      <c r="K85" s="446">
        <v>2859.09</v>
      </c>
      <c r="L85" s="447">
        <f t="shared" si="40"/>
        <v>1</v>
      </c>
      <c r="M85" s="446">
        <v>95.940000000000012</v>
      </c>
      <c r="N85" s="447">
        <f t="shared" si="41"/>
        <v>3.3556131496385214E-2</v>
      </c>
      <c r="O85" s="448">
        <f t="shared" si="42"/>
        <v>2955.03</v>
      </c>
      <c r="P85" s="447">
        <f t="shared" si="43"/>
        <v>1.0335561314963853</v>
      </c>
      <c r="Q85" s="445">
        <v>23.96</v>
      </c>
      <c r="R85" s="447">
        <f t="shared" si="44"/>
        <v>8.3802888331602019E-3</v>
      </c>
      <c r="S85" s="455">
        <f t="shared" si="45"/>
        <v>959.35839999999996</v>
      </c>
      <c r="T85" s="448">
        <f t="shared" si="46"/>
        <v>95.940000000000055</v>
      </c>
      <c r="U85" s="447">
        <f t="shared" si="47"/>
        <v>3.3556131496385228E-2</v>
      </c>
      <c r="V85" s="145"/>
      <c r="W85" s="145"/>
      <c r="X85" s="145"/>
      <c r="Y85" s="367" t="s">
        <v>174</v>
      </c>
      <c r="Z85" s="367" t="s">
        <v>216</v>
      </c>
      <c r="AA85" s="368" t="s">
        <v>713</v>
      </c>
      <c r="AB85" s="368" t="s">
        <v>714</v>
      </c>
      <c r="AC85" s="368">
        <v>1</v>
      </c>
      <c r="AD85" s="449" t="s">
        <v>534</v>
      </c>
    </row>
    <row r="86" spans="2:39" s="147" customFormat="1" ht="27" hidden="1" customHeight="1">
      <c r="B86" s="845"/>
      <c r="C86" s="846"/>
      <c r="D86" s="362">
        <v>14</v>
      </c>
      <c r="E86" s="443" t="s">
        <v>675</v>
      </c>
      <c r="F86" s="365">
        <f t="shared" si="38"/>
        <v>3768.3774999999255</v>
      </c>
      <c r="G86" s="366">
        <v>655.37</v>
      </c>
      <c r="H86" s="445">
        <v>523.09</v>
      </c>
      <c r="I86" s="445">
        <v>523.09</v>
      </c>
      <c r="J86" s="447">
        <f t="shared" si="39"/>
        <v>1</v>
      </c>
      <c r="K86" s="446">
        <v>523.57999999999993</v>
      </c>
      <c r="L86" s="447">
        <f t="shared" si="40"/>
        <v>1.00093674128735</v>
      </c>
      <c r="M86" s="446">
        <v>5.26</v>
      </c>
      <c r="N86" s="447">
        <f t="shared" si="41"/>
        <v>1.0055630962167121E-2</v>
      </c>
      <c r="O86" s="448">
        <f t="shared" si="42"/>
        <v>528.83999999999992</v>
      </c>
      <c r="P86" s="447">
        <f t="shared" si="43"/>
        <v>1.0109923722495171</v>
      </c>
      <c r="Q86" s="445">
        <v>1.29</v>
      </c>
      <c r="R86" s="447">
        <f t="shared" si="44"/>
        <v>2.4661148177177921E-3</v>
      </c>
      <c r="S86" s="455">
        <f t="shared" si="45"/>
        <v>845.42730000000006</v>
      </c>
      <c r="T86" s="448">
        <f t="shared" si="46"/>
        <v>5.7499999999998863</v>
      </c>
      <c r="U86" s="447">
        <f t="shared" si="47"/>
        <v>1.0992372249517074E-2</v>
      </c>
      <c r="V86" s="145"/>
      <c r="W86" s="145"/>
      <c r="X86" s="145"/>
      <c r="Y86" s="367" t="s">
        <v>174</v>
      </c>
      <c r="Z86" s="367" t="s">
        <v>429</v>
      </c>
      <c r="AA86" s="368" t="s">
        <v>683</v>
      </c>
      <c r="AB86" s="368" t="s">
        <v>715</v>
      </c>
      <c r="AC86" s="368">
        <v>1</v>
      </c>
      <c r="AD86" s="449" t="s">
        <v>674</v>
      </c>
    </row>
    <row r="87" spans="2:39" s="147" customFormat="1" ht="27" hidden="1" customHeight="1">
      <c r="B87" s="845"/>
      <c r="C87" s="846"/>
      <c r="D87" s="362">
        <v>15</v>
      </c>
      <c r="E87" s="443" t="s">
        <v>651</v>
      </c>
      <c r="F87" s="365">
        <f t="shared" si="38"/>
        <v>3734.600100000006</v>
      </c>
      <c r="G87" s="366">
        <v>43.889999999999993</v>
      </c>
      <c r="H87" s="445">
        <v>3143.3</v>
      </c>
      <c r="I87" s="445">
        <v>3143.3</v>
      </c>
      <c r="J87" s="447">
        <f t="shared" si="39"/>
        <v>1</v>
      </c>
      <c r="K87" s="446">
        <v>3143.3</v>
      </c>
      <c r="L87" s="447">
        <f t="shared" si="40"/>
        <v>1</v>
      </c>
      <c r="M87" s="446">
        <v>85.09</v>
      </c>
      <c r="N87" s="447">
        <f t="shared" si="41"/>
        <v>2.7070276461044124E-2</v>
      </c>
      <c r="O87" s="448">
        <f t="shared" si="42"/>
        <v>3228.3900000000003</v>
      </c>
      <c r="P87" s="447">
        <f t="shared" si="43"/>
        <v>1.0270702764610442</v>
      </c>
      <c r="Q87" s="445">
        <v>18.78</v>
      </c>
      <c r="R87" s="447">
        <f t="shared" si="44"/>
        <v>5.9746126682149337E-3</v>
      </c>
      <c r="S87" s="455">
        <f t="shared" si="45"/>
        <v>824.25419999999997</v>
      </c>
      <c r="T87" s="448">
        <f t="shared" si="46"/>
        <v>85.090000000000146</v>
      </c>
      <c r="U87" s="447">
        <f t="shared" si="47"/>
        <v>2.7070276461044169E-2</v>
      </c>
      <c r="V87" s="145"/>
      <c r="W87" s="145"/>
      <c r="X87" s="145"/>
      <c r="Y87" s="367" t="s">
        <v>174</v>
      </c>
      <c r="Z87" s="367" t="s">
        <v>216</v>
      </c>
      <c r="AA87" s="368" t="s">
        <v>713</v>
      </c>
      <c r="AB87" s="368" t="s">
        <v>714</v>
      </c>
      <c r="AC87" s="368">
        <v>1</v>
      </c>
      <c r="AD87" s="449" t="s">
        <v>642</v>
      </c>
    </row>
    <row r="88" spans="2:39" s="147" customFormat="1" ht="27" hidden="1" customHeight="1">
      <c r="B88" s="845"/>
      <c r="C88" s="846"/>
      <c r="D88" s="362">
        <v>16</v>
      </c>
      <c r="E88" s="443" t="s">
        <v>460</v>
      </c>
      <c r="F88" s="365">
        <f t="shared" si="38"/>
        <v>3586.2176000000431</v>
      </c>
      <c r="G88" s="366">
        <v>605.77999999999986</v>
      </c>
      <c r="H88" s="445">
        <v>796.18999999999994</v>
      </c>
      <c r="I88" s="445">
        <v>796.18999999999994</v>
      </c>
      <c r="J88" s="447">
        <f t="shared" si="39"/>
        <v>1</v>
      </c>
      <c r="K88" s="446">
        <v>796.89</v>
      </c>
      <c r="L88" s="447">
        <f t="shared" si="40"/>
        <v>1.0008791871287004</v>
      </c>
      <c r="M88" s="446">
        <v>5.2200000000000006</v>
      </c>
      <c r="N88" s="447">
        <f t="shared" si="41"/>
        <v>6.556224016880394E-3</v>
      </c>
      <c r="O88" s="448">
        <f t="shared" si="42"/>
        <v>802.11</v>
      </c>
      <c r="P88" s="447">
        <f t="shared" si="43"/>
        <v>1.007435411145581</v>
      </c>
      <c r="Q88" s="445">
        <v>1.44</v>
      </c>
      <c r="R88" s="447">
        <f t="shared" si="44"/>
        <v>1.8086135218980395E-3</v>
      </c>
      <c r="S88" s="455">
        <f t="shared" si="45"/>
        <v>872.32319999999982</v>
      </c>
      <c r="T88" s="448">
        <f t="shared" si="46"/>
        <v>5.9200000000000728</v>
      </c>
      <c r="U88" s="447">
        <f t="shared" si="47"/>
        <v>7.4354111455809209E-3</v>
      </c>
      <c r="V88" s="145"/>
      <c r="W88" s="145"/>
      <c r="X88" s="145"/>
      <c r="Y88" s="367" t="s">
        <v>174</v>
      </c>
      <c r="Z88" s="367" t="s">
        <v>216</v>
      </c>
      <c r="AA88" s="368" t="s">
        <v>483</v>
      </c>
      <c r="AB88" s="368" t="s">
        <v>549</v>
      </c>
      <c r="AC88" s="368">
        <v>1</v>
      </c>
      <c r="AD88" s="449" t="s">
        <v>342</v>
      </c>
    </row>
    <row r="89" spans="2:39" s="147" customFormat="1" ht="27" hidden="1" customHeight="1">
      <c r="B89" s="845"/>
      <c r="C89" s="846"/>
      <c r="D89" s="362">
        <v>17</v>
      </c>
      <c r="E89" s="443" t="s">
        <v>700</v>
      </c>
      <c r="F89" s="365">
        <f t="shared" si="38"/>
        <v>3580.3698000000022</v>
      </c>
      <c r="G89" s="366">
        <v>99.51</v>
      </c>
      <c r="H89" s="445">
        <v>1100.2800000000002</v>
      </c>
      <c r="I89" s="445">
        <v>1100.2800000000002</v>
      </c>
      <c r="J89" s="447">
        <f t="shared" si="39"/>
        <v>1</v>
      </c>
      <c r="K89" s="446">
        <v>1100.2800000000002</v>
      </c>
      <c r="L89" s="447">
        <f t="shared" si="40"/>
        <v>1</v>
      </c>
      <c r="M89" s="446">
        <v>35.980000000000004</v>
      </c>
      <c r="N89" s="447">
        <f t="shared" si="41"/>
        <v>3.2700767077471188E-2</v>
      </c>
      <c r="O89" s="448">
        <f t="shared" si="42"/>
        <v>1136.2600000000002</v>
      </c>
      <c r="P89" s="447">
        <f t="shared" si="43"/>
        <v>1.0327007670774713</v>
      </c>
      <c r="Q89" s="445">
        <v>8.98</v>
      </c>
      <c r="R89" s="447">
        <f t="shared" si="44"/>
        <v>8.1615588759224918E-3</v>
      </c>
      <c r="S89" s="455">
        <f t="shared" si="45"/>
        <v>893.59980000000007</v>
      </c>
      <c r="T89" s="448">
        <f t="shared" si="46"/>
        <v>35.980000000000018</v>
      </c>
      <c r="U89" s="447">
        <f t="shared" si="47"/>
        <v>3.2700767077471202E-2</v>
      </c>
      <c r="V89" s="145"/>
      <c r="W89" s="145"/>
      <c r="X89" s="145"/>
      <c r="Y89" s="367" t="s">
        <v>174</v>
      </c>
      <c r="Z89" s="367" t="s">
        <v>429</v>
      </c>
      <c r="AA89" s="368" t="s">
        <v>480</v>
      </c>
      <c r="AB89" s="368" t="s">
        <v>478</v>
      </c>
      <c r="AC89" s="368">
        <v>1</v>
      </c>
      <c r="AD89" s="449" t="s">
        <v>349</v>
      </c>
    </row>
    <row r="90" spans="2:39" s="147" customFormat="1" ht="27" hidden="1" customHeight="1">
      <c r="B90" s="845"/>
      <c r="C90" s="846"/>
      <c r="D90" s="362">
        <v>18</v>
      </c>
      <c r="E90" s="443" t="s">
        <v>603</v>
      </c>
      <c r="F90" s="365">
        <f t="shared" si="38"/>
        <v>3550.6016000000159</v>
      </c>
      <c r="G90" s="366">
        <v>153.44000000000003</v>
      </c>
      <c r="H90" s="445">
        <v>1392.6200000000001</v>
      </c>
      <c r="I90" s="445">
        <v>1392.6200000000001</v>
      </c>
      <c r="J90" s="447">
        <f t="shared" si="39"/>
        <v>1</v>
      </c>
      <c r="K90" s="446">
        <v>1395.1200000000001</v>
      </c>
      <c r="L90" s="447">
        <f t="shared" si="40"/>
        <v>1.0017951774353377</v>
      </c>
      <c r="M90" s="446">
        <v>20.64</v>
      </c>
      <c r="N90" s="447">
        <f t="shared" si="41"/>
        <v>1.4820984906148122E-2</v>
      </c>
      <c r="O90" s="448">
        <f t="shared" si="42"/>
        <v>1415.7600000000002</v>
      </c>
      <c r="P90" s="447">
        <f t="shared" si="43"/>
        <v>1.016616162341486</v>
      </c>
      <c r="Q90" s="445">
        <v>6.08</v>
      </c>
      <c r="R90" s="447">
        <f t="shared" si="44"/>
        <v>4.3658715227413072E-3</v>
      </c>
      <c r="S90" s="455">
        <f t="shared" si="45"/>
        <v>932.91520000000014</v>
      </c>
      <c r="T90" s="448">
        <f t="shared" si="46"/>
        <v>23.1400000000001</v>
      </c>
      <c r="U90" s="447">
        <f t="shared" si="47"/>
        <v>1.6616162341485902E-2</v>
      </c>
      <c r="V90" s="145"/>
      <c r="W90" s="145"/>
      <c r="X90" s="145"/>
      <c r="Y90" s="367" t="s">
        <v>174</v>
      </c>
      <c r="Z90" s="367" t="s">
        <v>429</v>
      </c>
      <c r="AA90" s="368" t="s">
        <v>612</v>
      </c>
      <c r="AB90" s="368" t="s">
        <v>526</v>
      </c>
      <c r="AC90" s="368">
        <v>1</v>
      </c>
      <c r="AD90" s="449" t="s">
        <v>466</v>
      </c>
    </row>
    <row r="91" spans="2:39" s="147" customFormat="1" ht="27" hidden="1" customHeight="1">
      <c r="B91" s="845"/>
      <c r="C91" s="846"/>
      <c r="D91" s="362">
        <v>19</v>
      </c>
      <c r="E91" s="443" t="s">
        <v>605</v>
      </c>
      <c r="F91" s="365">
        <f t="shared" si="38"/>
        <v>3510.630500000007</v>
      </c>
      <c r="G91" s="366">
        <v>46.149999999999991</v>
      </c>
      <c r="H91" s="445">
        <v>2326.14</v>
      </c>
      <c r="I91" s="445">
        <v>2326.14</v>
      </c>
      <c r="J91" s="447">
        <f t="shared" si="39"/>
        <v>1</v>
      </c>
      <c r="K91" s="446">
        <v>2326.14</v>
      </c>
      <c r="L91" s="447">
        <f t="shared" si="40"/>
        <v>1</v>
      </c>
      <c r="M91" s="446">
        <v>76.069999999999993</v>
      </c>
      <c r="N91" s="447">
        <f t="shared" si="41"/>
        <v>3.2702244920770028E-2</v>
      </c>
      <c r="O91" s="448">
        <f t="shared" si="42"/>
        <v>2402.21</v>
      </c>
      <c r="P91" s="447">
        <f t="shared" si="43"/>
        <v>1.0327022449207701</v>
      </c>
      <c r="Q91" s="445">
        <v>24.669999999999998</v>
      </c>
      <c r="R91" s="447">
        <f t="shared" si="44"/>
        <v>1.0605552546278384E-2</v>
      </c>
      <c r="S91" s="455">
        <f t="shared" si="45"/>
        <v>1138.5204999999996</v>
      </c>
      <c r="T91" s="448">
        <f t="shared" si="46"/>
        <v>76.070000000000164</v>
      </c>
      <c r="U91" s="447">
        <f t="shared" si="47"/>
        <v>3.2702244920770104E-2</v>
      </c>
      <c r="V91" s="145"/>
      <c r="W91" s="145"/>
      <c r="X91" s="145"/>
      <c r="Y91" s="367" t="s">
        <v>174</v>
      </c>
      <c r="Z91" s="367" t="s">
        <v>216</v>
      </c>
      <c r="AA91" s="368" t="s">
        <v>713</v>
      </c>
      <c r="AB91" s="368" t="s">
        <v>714</v>
      </c>
      <c r="AC91" s="368">
        <v>1</v>
      </c>
      <c r="AD91" s="449" t="s">
        <v>601</v>
      </c>
    </row>
    <row r="92" spans="2:39" s="147" customFormat="1" ht="27" hidden="1" customHeight="1">
      <c r="B92" s="847"/>
      <c r="C92" s="848"/>
      <c r="D92" s="362">
        <v>20</v>
      </c>
      <c r="E92" s="443" t="s">
        <v>433</v>
      </c>
      <c r="F92" s="365">
        <f t="shared" si="38"/>
        <v>3486.2857999999883</v>
      </c>
      <c r="G92" s="366">
        <v>368.13999999999993</v>
      </c>
      <c r="H92" s="445">
        <v>377.51000000000005</v>
      </c>
      <c r="I92" s="445">
        <v>377.51000000000005</v>
      </c>
      <c r="J92" s="447">
        <f t="shared" si="39"/>
        <v>1</v>
      </c>
      <c r="K92" s="446">
        <v>377.51000000000005</v>
      </c>
      <c r="L92" s="447">
        <f t="shared" si="40"/>
        <v>1</v>
      </c>
      <c r="M92" s="446">
        <v>9.4699999999999989</v>
      </c>
      <c r="N92" s="447">
        <f t="shared" si="41"/>
        <v>2.5085428200577461E-2</v>
      </c>
      <c r="O92" s="448">
        <f t="shared" si="42"/>
        <v>386.98</v>
      </c>
      <c r="P92" s="447">
        <f t="shared" si="43"/>
        <v>1.0250854282005775</v>
      </c>
      <c r="Q92" s="445">
        <v>2.4500000000000002</v>
      </c>
      <c r="R92" s="447">
        <f t="shared" si="44"/>
        <v>6.4898943074355644E-3</v>
      </c>
      <c r="S92" s="455">
        <f t="shared" si="45"/>
        <v>901.94299999999987</v>
      </c>
      <c r="T92" s="448">
        <f t="shared" si="46"/>
        <v>9.4699999999999704</v>
      </c>
      <c r="U92" s="447">
        <f t="shared" si="47"/>
        <v>2.5085428200577388E-2</v>
      </c>
      <c r="V92" s="145"/>
      <c r="W92" s="145"/>
      <c r="X92" s="145"/>
      <c r="Y92" s="367" t="s">
        <v>174</v>
      </c>
      <c r="Z92" s="367" t="s">
        <v>429</v>
      </c>
      <c r="AA92" s="368" t="s">
        <v>684</v>
      </c>
      <c r="AB92" s="368" t="s">
        <v>576</v>
      </c>
      <c r="AC92" s="368">
        <v>1</v>
      </c>
      <c r="AD92" s="449" t="s">
        <v>434</v>
      </c>
    </row>
    <row r="93" spans="2:39" ht="17.149999999999999" hidden="1" customHeight="1">
      <c r="B93" s="873" t="s">
        <v>443</v>
      </c>
      <c r="C93" s="874"/>
      <c r="D93" s="875" t="s">
        <v>551</v>
      </c>
      <c r="E93" s="876" t="s">
        <v>552</v>
      </c>
      <c r="F93" s="906" t="s">
        <v>569</v>
      </c>
      <c r="G93" s="835" t="s">
        <v>554</v>
      </c>
      <c r="H93" s="878" t="s">
        <v>555</v>
      </c>
      <c r="I93" s="867" t="s">
        <v>556</v>
      </c>
      <c r="J93" s="868"/>
      <c r="K93" s="867" t="s">
        <v>557</v>
      </c>
      <c r="L93" s="868"/>
      <c r="M93" s="867" t="s">
        <v>558</v>
      </c>
      <c r="N93" s="868"/>
      <c r="O93" s="867" t="s">
        <v>559</v>
      </c>
      <c r="P93" s="868"/>
      <c r="Q93" s="867" t="s">
        <v>418</v>
      </c>
      <c r="R93" s="905"/>
      <c r="S93" s="868"/>
      <c r="T93" s="864" t="s">
        <v>419</v>
      </c>
      <c r="U93" s="866"/>
      <c r="Y93" s="861" t="s">
        <v>171</v>
      </c>
      <c r="Z93" s="861" t="s">
        <v>245</v>
      </c>
      <c r="AA93" s="861" t="s">
        <v>560</v>
      </c>
      <c r="AB93" s="861" t="s">
        <v>445</v>
      </c>
      <c r="AC93" s="861" t="s">
        <v>246</v>
      </c>
      <c r="AD93" s="835" t="s">
        <v>172</v>
      </c>
      <c r="AF93" s="884" t="s">
        <v>247</v>
      </c>
      <c r="AG93" s="885"/>
      <c r="AH93" s="885"/>
      <c r="AI93" s="885"/>
      <c r="AJ93" s="885"/>
      <c r="AK93" s="885"/>
      <c r="AL93" s="885"/>
      <c r="AM93" s="886"/>
    </row>
    <row r="94" spans="2:39" ht="16.5" hidden="1" customHeight="1">
      <c r="B94" s="871"/>
      <c r="C94" s="872"/>
      <c r="D94" s="875"/>
      <c r="E94" s="875"/>
      <c r="F94" s="877"/>
      <c r="G94" s="836"/>
      <c r="H94" s="836"/>
      <c r="I94" s="442" t="s">
        <v>561</v>
      </c>
      <c r="J94" s="363" t="s">
        <v>562</v>
      </c>
      <c r="K94" s="442" t="s">
        <v>561</v>
      </c>
      <c r="L94" s="363" t="s">
        <v>562</v>
      </c>
      <c r="M94" s="442" t="s">
        <v>561</v>
      </c>
      <c r="N94" s="363" t="s">
        <v>562</v>
      </c>
      <c r="O94" s="442" t="s">
        <v>561</v>
      </c>
      <c r="P94" s="363" t="s">
        <v>562</v>
      </c>
      <c r="Q94" s="442" t="s">
        <v>561</v>
      </c>
      <c r="R94" s="363" t="s">
        <v>562</v>
      </c>
      <c r="S94" s="363" t="s">
        <v>563</v>
      </c>
      <c r="T94" s="442" t="s">
        <v>561</v>
      </c>
      <c r="U94" s="363" t="s">
        <v>562</v>
      </c>
      <c r="Y94" s="863"/>
      <c r="Z94" s="863"/>
      <c r="AA94" s="863"/>
      <c r="AB94" s="863"/>
      <c r="AC94" s="863"/>
      <c r="AD94" s="836"/>
      <c r="AF94" s="887"/>
      <c r="AG94" s="888"/>
      <c r="AH94" s="888"/>
      <c r="AI94" s="888"/>
      <c r="AJ94" s="888"/>
      <c r="AK94" s="888"/>
      <c r="AL94" s="888"/>
      <c r="AM94" s="889"/>
    </row>
    <row r="95" spans="2:39" s="147" customFormat="1" ht="27" hidden="1" customHeight="1">
      <c r="B95" s="843" t="s">
        <v>640</v>
      </c>
      <c r="C95" s="844"/>
      <c r="D95" s="362">
        <v>1</v>
      </c>
      <c r="E95" s="443" t="s">
        <v>336</v>
      </c>
      <c r="F95" s="365">
        <f>IFERROR(T95*G95,"-")</f>
        <v>12479.94949999995</v>
      </c>
      <c r="G95" s="366">
        <v>147.43000000000004</v>
      </c>
      <c r="H95" s="445">
        <v>4611.7699999999995</v>
      </c>
      <c r="I95" s="445">
        <v>4611.7699999999995</v>
      </c>
      <c r="J95" s="447">
        <f>IFERROR(I95/H95,"-")</f>
        <v>1</v>
      </c>
      <c r="K95" s="446">
        <v>4611.7699999999995</v>
      </c>
      <c r="L95" s="447">
        <f>IFERROR(K95/H95,"-")</f>
        <v>1</v>
      </c>
      <c r="M95" s="446">
        <v>84.65</v>
      </c>
      <c r="N95" s="447">
        <f>IFERROR(M95/H95,"-")</f>
        <v>1.8355208520806549E-2</v>
      </c>
      <c r="O95" s="448">
        <f>IFERROR(K95+M95,"-")</f>
        <v>4696.4199999999992</v>
      </c>
      <c r="P95" s="447">
        <f>IFERROR(O95/H95,"-")</f>
        <v>1.0183552085208065</v>
      </c>
      <c r="Q95" s="445">
        <v>9.3000000000000007</v>
      </c>
      <c r="R95" s="447">
        <f>IFERROR(Q95/H95,"-")</f>
        <v>2.0165793177023142E-3</v>
      </c>
      <c r="S95" s="455">
        <f>IFERROR(Q95*G95,"-")</f>
        <v>1371.0990000000004</v>
      </c>
      <c r="T95" s="448">
        <f>IFERROR(O95-H95,"-")</f>
        <v>84.649999999999636</v>
      </c>
      <c r="U95" s="447">
        <f>IFERROR(T95/H95,"-")</f>
        <v>1.8355208520806469E-2</v>
      </c>
      <c r="V95" s="145"/>
      <c r="W95" s="145"/>
      <c r="X95" s="145"/>
      <c r="Y95" s="367" t="s">
        <v>174</v>
      </c>
      <c r="Z95" s="367" t="s">
        <v>215</v>
      </c>
      <c r="AA95" s="368" t="s">
        <v>479</v>
      </c>
      <c r="AB95" s="368" t="s">
        <v>525</v>
      </c>
      <c r="AC95" s="368">
        <v>1</v>
      </c>
      <c r="AD95" s="449" t="s">
        <v>340</v>
      </c>
      <c r="AF95" s="890"/>
      <c r="AG95" s="891"/>
      <c r="AH95" s="891"/>
      <c r="AI95" s="891"/>
      <c r="AJ95" s="891"/>
      <c r="AK95" s="891"/>
      <c r="AL95" s="891"/>
      <c r="AM95" s="892"/>
    </row>
    <row r="96" spans="2:39" s="147" customFormat="1" ht="27" hidden="1" customHeight="1">
      <c r="B96" s="845"/>
      <c r="C96" s="846"/>
      <c r="D96" s="362">
        <v>2</v>
      </c>
      <c r="E96" s="443" t="s">
        <v>653</v>
      </c>
      <c r="F96" s="365">
        <f t="shared" ref="F96:F114" si="51">IFERROR(T96*G96,"-")</f>
        <v>8205.8160000000098</v>
      </c>
      <c r="G96" s="366">
        <v>144.79999999999998</v>
      </c>
      <c r="H96" s="445">
        <v>2814.75</v>
      </c>
      <c r="I96" s="445">
        <v>2814.75</v>
      </c>
      <c r="J96" s="447">
        <f t="shared" ref="J96:J114" si="52">IFERROR(I96/H96,"-")</f>
        <v>1</v>
      </c>
      <c r="K96" s="446">
        <v>2825.75</v>
      </c>
      <c r="L96" s="447">
        <f t="shared" ref="L96:L114" si="53">IFERROR(K96/H96,"-")</f>
        <v>1.0039079847233325</v>
      </c>
      <c r="M96" s="446">
        <v>45.67</v>
      </c>
      <c r="N96" s="447">
        <f t="shared" ref="N96:N114" si="54">IFERROR(M96/H96,"-")</f>
        <v>1.6225242028599342E-2</v>
      </c>
      <c r="O96" s="448">
        <f t="shared" ref="O96:O114" si="55">IFERROR(K96+M96,"-")</f>
        <v>2871.42</v>
      </c>
      <c r="P96" s="447">
        <f t="shared" ref="P96:P114" si="56">IFERROR(O96/H96,"-")</f>
        <v>1.0201332267519319</v>
      </c>
      <c r="Q96" s="445">
        <v>8.98</v>
      </c>
      <c r="R96" s="447">
        <f t="shared" ref="R96:R114" si="57">IFERROR(Q96/H96,"-")</f>
        <v>3.1903366195932146E-3</v>
      </c>
      <c r="S96" s="455">
        <f t="shared" ref="S96:S114" si="58">IFERROR(Q96*G96,"-")</f>
        <v>1300.3039999999999</v>
      </c>
      <c r="T96" s="448">
        <f t="shared" ref="T96:T114" si="59">IFERROR(O96-H96,"-")</f>
        <v>56.670000000000073</v>
      </c>
      <c r="U96" s="447">
        <f t="shared" ref="U96:U114" si="60">IFERROR(T96/H96,"-")</f>
        <v>2.0133226751931813E-2</v>
      </c>
      <c r="V96" s="145"/>
      <c r="W96" s="145"/>
      <c r="X96" s="145"/>
      <c r="Y96" s="367" t="s">
        <v>174</v>
      </c>
      <c r="Z96" s="367" t="s">
        <v>429</v>
      </c>
      <c r="AA96" s="368" t="s">
        <v>612</v>
      </c>
      <c r="AB96" s="368" t="s">
        <v>575</v>
      </c>
      <c r="AC96" s="368">
        <v>1</v>
      </c>
      <c r="AD96" s="449" t="s">
        <v>340</v>
      </c>
      <c r="AF96" s="160" t="s">
        <v>244</v>
      </c>
      <c r="AG96" s="160" t="s">
        <v>446</v>
      </c>
      <c r="AH96" s="155" t="s">
        <v>564</v>
      </c>
      <c r="AI96" s="155" t="s">
        <v>337</v>
      </c>
      <c r="AJ96" s="155" t="s">
        <v>429</v>
      </c>
      <c r="AK96" s="155" t="s">
        <v>215</v>
      </c>
      <c r="AL96" s="155" t="s">
        <v>216</v>
      </c>
      <c r="AM96" s="155" t="s">
        <v>384</v>
      </c>
    </row>
    <row r="97" spans="2:39" s="147" customFormat="1" ht="27" hidden="1" customHeight="1">
      <c r="B97" s="845"/>
      <c r="C97" s="846"/>
      <c r="D97" s="362">
        <v>3</v>
      </c>
      <c r="E97" s="443" t="s">
        <v>535</v>
      </c>
      <c r="F97" s="365">
        <f t="shared" si="51"/>
        <v>7618.4199000001363</v>
      </c>
      <c r="G97" s="366">
        <v>39.389999999999993</v>
      </c>
      <c r="H97" s="445">
        <v>34928.070000000007</v>
      </c>
      <c r="I97" s="445">
        <v>34928.070000000007</v>
      </c>
      <c r="J97" s="447">
        <f t="shared" si="52"/>
        <v>1</v>
      </c>
      <c r="K97" s="446">
        <v>34928.070000000007</v>
      </c>
      <c r="L97" s="447">
        <f t="shared" si="53"/>
        <v>1</v>
      </c>
      <c r="M97" s="446">
        <v>193.41000000000003</v>
      </c>
      <c r="N97" s="447">
        <f t="shared" si="54"/>
        <v>5.5373801071745441E-3</v>
      </c>
      <c r="O97" s="448">
        <f t="shared" si="55"/>
        <v>35121.48000000001</v>
      </c>
      <c r="P97" s="447">
        <f t="shared" si="56"/>
        <v>1.0055373801071747</v>
      </c>
      <c r="Q97" s="445">
        <v>35.849999999999994</v>
      </c>
      <c r="R97" s="447">
        <f t="shared" si="57"/>
        <v>1.0263951028499424E-3</v>
      </c>
      <c r="S97" s="455">
        <f t="shared" si="58"/>
        <v>1412.1314999999995</v>
      </c>
      <c r="T97" s="448">
        <f t="shared" si="59"/>
        <v>193.41000000000349</v>
      </c>
      <c r="U97" s="447">
        <f t="shared" si="60"/>
        <v>5.5373801071746439E-3</v>
      </c>
      <c r="V97" s="145"/>
      <c r="W97" s="145"/>
      <c r="X97" s="145"/>
      <c r="Y97" s="367" t="s">
        <v>174</v>
      </c>
      <c r="Z97" s="367" t="s">
        <v>216</v>
      </c>
      <c r="AA97" s="368" t="s">
        <v>713</v>
      </c>
      <c r="AB97" s="368" t="s">
        <v>734</v>
      </c>
      <c r="AC97" s="368">
        <v>1</v>
      </c>
      <c r="AD97" s="449" t="s">
        <v>340</v>
      </c>
      <c r="AF97" s="375">
        <f>SUM(AC95:AC114)</f>
        <v>20</v>
      </c>
      <c r="AG97" s="370">
        <f>SUMIF($Z$95:$Z$114,TRIM(AG96),$AC$95:$AC$114)</f>
        <v>0</v>
      </c>
      <c r="AH97" s="370">
        <f t="shared" ref="AH97:AM97" si="61">SUMIF($Z$95:$Z$114,TRIM(AH96),$AC$95:$AC$114)</f>
        <v>0</v>
      </c>
      <c r="AI97" s="370">
        <f t="shared" si="61"/>
        <v>0</v>
      </c>
      <c r="AJ97" s="370">
        <f t="shared" si="61"/>
        <v>12</v>
      </c>
      <c r="AK97" s="370">
        <f t="shared" si="61"/>
        <v>1</v>
      </c>
      <c r="AL97" s="370">
        <f t="shared" si="61"/>
        <v>7</v>
      </c>
      <c r="AM97" s="370">
        <f t="shared" si="61"/>
        <v>0</v>
      </c>
    </row>
    <row r="98" spans="2:39" s="147" customFormat="1" ht="27" hidden="1" customHeight="1">
      <c r="B98" s="845"/>
      <c r="C98" s="846"/>
      <c r="D98" s="362">
        <v>4</v>
      </c>
      <c r="E98" s="443" t="s">
        <v>725</v>
      </c>
      <c r="F98" s="365">
        <f t="shared" si="51"/>
        <v>6516.0354000000507</v>
      </c>
      <c r="G98" s="366">
        <v>625.93999999999994</v>
      </c>
      <c r="H98" s="445">
        <v>1716.9</v>
      </c>
      <c r="I98" s="445">
        <v>1716.9</v>
      </c>
      <c r="J98" s="447">
        <f t="shared" si="52"/>
        <v>1</v>
      </c>
      <c r="K98" s="446">
        <v>1716.9</v>
      </c>
      <c r="L98" s="447">
        <f t="shared" si="53"/>
        <v>1</v>
      </c>
      <c r="M98" s="446">
        <v>10.41</v>
      </c>
      <c r="N98" s="447">
        <f t="shared" si="54"/>
        <v>6.06325353835401E-3</v>
      </c>
      <c r="O98" s="448">
        <f t="shared" si="55"/>
        <v>1727.3100000000002</v>
      </c>
      <c r="P98" s="447">
        <f t="shared" si="56"/>
        <v>1.006063253538354</v>
      </c>
      <c r="Q98" s="445">
        <v>1.75</v>
      </c>
      <c r="R98" s="447">
        <f t="shared" si="57"/>
        <v>1.0192789329605684E-3</v>
      </c>
      <c r="S98" s="455">
        <f t="shared" si="58"/>
        <v>1095.395</v>
      </c>
      <c r="T98" s="448">
        <f t="shared" si="59"/>
        <v>10.410000000000082</v>
      </c>
      <c r="U98" s="447">
        <f t="shared" si="60"/>
        <v>6.0632535383540577E-3</v>
      </c>
      <c r="V98" s="145"/>
      <c r="W98" s="145"/>
      <c r="X98" s="145"/>
      <c r="Y98" s="367" t="s">
        <v>174</v>
      </c>
      <c r="Z98" s="367" t="s">
        <v>216</v>
      </c>
      <c r="AA98" s="368" t="s">
        <v>483</v>
      </c>
      <c r="AB98" s="368" t="s">
        <v>549</v>
      </c>
      <c r="AC98" s="368">
        <v>1</v>
      </c>
      <c r="AD98" s="449" t="s">
        <v>730</v>
      </c>
      <c r="AF98" s="376"/>
      <c r="AG98" s="373">
        <f t="shared" ref="AG98:AM98" si="62">SUMIF($Z$95:$Z$114,TRIM(AG96),$F$95:$F$114)</f>
        <v>0</v>
      </c>
      <c r="AH98" s="373">
        <f t="shared" si="62"/>
        <v>0</v>
      </c>
      <c r="AI98" s="373">
        <f t="shared" si="62"/>
        <v>0</v>
      </c>
      <c r="AJ98" s="373">
        <f t="shared" si="62"/>
        <v>52765.907799999972</v>
      </c>
      <c r="AK98" s="373">
        <f t="shared" si="62"/>
        <v>12479.94949999995</v>
      </c>
      <c r="AL98" s="373">
        <f t="shared" si="62"/>
        <v>36114.031800000201</v>
      </c>
      <c r="AM98" s="373">
        <f t="shared" si="62"/>
        <v>0</v>
      </c>
    </row>
    <row r="99" spans="2:39" s="147" customFormat="1" ht="27" hidden="1" customHeight="1">
      <c r="B99" s="845"/>
      <c r="C99" s="846"/>
      <c r="D99" s="362">
        <v>5</v>
      </c>
      <c r="E99" s="443" t="s">
        <v>676</v>
      </c>
      <c r="F99" s="365">
        <f t="shared" si="51"/>
        <v>5168.1240000000116</v>
      </c>
      <c r="G99" s="366">
        <v>31.59</v>
      </c>
      <c r="H99" s="445">
        <v>5645.1799999999994</v>
      </c>
      <c r="I99" s="445">
        <v>5645.1799999999994</v>
      </c>
      <c r="J99" s="447">
        <f t="shared" si="52"/>
        <v>1</v>
      </c>
      <c r="K99" s="446">
        <v>5645.1799999999994</v>
      </c>
      <c r="L99" s="447">
        <f t="shared" si="53"/>
        <v>1</v>
      </c>
      <c r="M99" s="446">
        <v>163.6</v>
      </c>
      <c r="N99" s="447">
        <f t="shared" si="54"/>
        <v>2.8980475378995889E-2</v>
      </c>
      <c r="O99" s="448">
        <f t="shared" si="55"/>
        <v>5808.78</v>
      </c>
      <c r="P99" s="447">
        <f t="shared" si="56"/>
        <v>1.028980475378996</v>
      </c>
      <c r="Q99" s="445">
        <v>31.52</v>
      </c>
      <c r="R99" s="447">
        <f t="shared" si="57"/>
        <v>5.5835243517478629E-3</v>
      </c>
      <c r="S99" s="455">
        <f t="shared" si="58"/>
        <v>995.71680000000003</v>
      </c>
      <c r="T99" s="448">
        <f t="shared" si="59"/>
        <v>163.60000000000036</v>
      </c>
      <c r="U99" s="447">
        <f t="shared" si="60"/>
        <v>2.8980475378995955E-2</v>
      </c>
      <c r="V99" s="145"/>
      <c r="W99" s="145"/>
      <c r="X99" s="145"/>
      <c r="Y99" s="367" t="s">
        <v>174</v>
      </c>
      <c r="Z99" s="367" t="s">
        <v>216</v>
      </c>
      <c r="AA99" s="368" t="s">
        <v>480</v>
      </c>
      <c r="AB99" s="368" t="s">
        <v>478</v>
      </c>
      <c r="AC99" s="368">
        <v>1</v>
      </c>
      <c r="AD99" s="449" t="s">
        <v>674</v>
      </c>
      <c r="AF99" s="362"/>
      <c r="AG99" s="374">
        <f t="shared" ref="AG99:AM99" si="63">AG97/$AF97</f>
        <v>0</v>
      </c>
      <c r="AH99" s="374">
        <f t="shared" si="63"/>
        <v>0</v>
      </c>
      <c r="AI99" s="374">
        <f t="shared" si="63"/>
        <v>0</v>
      </c>
      <c r="AJ99" s="374">
        <f t="shared" si="63"/>
        <v>0.6</v>
      </c>
      <c r="AK99" s="374">
        <f t="shared" si="63"/>
        <v>0.05</v>
      </c>
      <c r="AL99" s="374">
        <f t="shared" si="63"/>
        <v>0.35</v>
      </c>
      <c r="AM99" s="374">
        <f t="shared" si="63"/>
        <v>0</v>
      </c>
    </row>
    <row r="100" spans="2:39" s="147" customFormat="1" ht="27" hidden="1" customHeight="1">
      <c r="B100" s="845"/>
      <c r="C100" s="846"/>
      <c r="D100" s="362">
        <v>6</v>
      </c>
      <c r="E100" s="443" t="s">
        <v>386</v>
      </c>
      <c r="F100" s="365">
        <f t="shared" si="51"/>
        <v>5136.6111999999794</v>
      </c>
      <c r="G100" s="366">
        <v>127.84000000000002</v>
      </c>
      <c r="H100" s="445">
        <v>4089.3399999999997</v>
      </c>
      <c r="I100" s="445">
        <v>4089.3399999999997</v>
      </c>
      <c r="J100" s="447">
        <f t="shared" si="52"/>
        <v>1</v>
      </c>
      <c r="K100" s="446">
        <v>4089.3399999999997</v>
      </c>
      <c r="L100" s="447">
        <f t="shared" si="53"/>
        <v>1</v>
      </c>
      <c r="M100" s="446">
        <v>40.179999999999993</v>
      </c>
      <c r="N100" s="447">
        <f t="shared" si="54"/>
        <v>9.8255464206938037E-3</v>
      </c>
      <c r="O100" s="448">
        <f t="shared" si="55"/>
        <v>4129.5199999999995</v>
      </c>
      <c r="P100" s="447">
        <f t="shared" si="56"/>
        <v>1.0098255464206938</v>
      </c>
      <c r="Q100" s="445">
        <v>9.36</v>
      </c>
      <c r="R100" s="447">
        <f t="shared" si="57"/>
        <v>2.2888779118390742E-3</v>
      </c>
      <c r="S100" s="455">
        <f t="shared" si="58"/>
        <v>1196.5824</v>
      </c>
      <c r="T100" s="448">
        <f t="shared" si="59"/>
        <v>40.179999999999836</v>
      </c>
      <c r="U100" s="447">
        <f t="shared" si="60"/>
        <v>9.8255464206937638E-3</v>
      </c>
      <c r="V100" s="145"/>
      <c r="W100" s="145"/>
      <c r="X100" s="145"/>
      <c r="Y100" s="367" t="s">
        <v>174</v>
      </c>
      <c r="Z100" s="367" t="s">
        <v>429</v>
      </c>
      <c r="AA100" s="368" t="s">
        <v>735</v>
      </c>
      <c r="AB100" s="368" t="s">
        <v>736</v>
      </c>
      <c r="AC100" s="368">
        <v>1</v>
      </c>
      <c r="AD100" s="449" t="s">
        <v>340</v>
      </c>
    </row>
    <row r="101" spans="2:39" s="147" customFormat="1" ht="27" hidden="1" customHeight="1">
      <c r="B101" s="845"/>
      <c r="C101" s="846"/>
      <c r="D101" s="362">
        <v>7</v>
      </c>
      <c r="E101" s="443" t="s">
        <v>462</v>
      </c>
      <c r="F101" s="365">
        <f t="shared" si="51"/>
        <v>4746.093600000042</v>
      </c>
      <c r="G101" s="366">
        <v>407.74000000000007</v>
      </c>
      <c r="H101" s="445">
        <v>1119.06</v>
      </c>
      <c r="I101" s="445">
        <v>1119.06</v>
      </c>
      <c r="J101" s="447">
        <f t="shared" si="52"/>
        <v>1</v>
      </c>
      <c r="K101" s="446">
        <v>1119.06</v>
      </c>
      <c r="L101" s="447">
        <f t="shared" si="53"/>
        <v>1</v>
      </c>
      <c r="M101" s="446">
        <v>11.64</v>
      </c>
      <c r="N101" s="447">
        <f t="shared" si="54"/>
        <v>1.0401587046270979E-2</v>
      </c>
      <c r="O101" s="448">
        <f t="shared" si="55"/>
        <v>1130.7</v>
      </c>
      <c r="P101" s="447">
        <f t="shared" si="56"/>
        <v>1.010401587046271</v>
      </c>
      <c r="Q101" s="445">
        <v>2.67</v>
      </c>
      <c r="R101" s="447">
        <f t="shared" si="57"/>
        <v>2.3859310492734976E-3</v>
      </c>
      <c r="S101" s="455">
        <f t="shared" si="58"/>
        <v>1088.6658000000002</v>
      </c>
      <c r="T101" s="448">
        <f t="shared" si="59"/>
        <v>11.6400000000001</v>
      </c>
      <c r="U101" s="447">
        <f t="shared" si="60"/>
        <v>1.0401587046271067E-2</v>
      </c>
      <c r="V101" s="145"/>
      <c r="W101" s="145"/>
      <c r="X101" s="145"/>
      <c r="Y101" s="367" t="s">
        <v>174</v>
      </c>
      <c r="Z101" s="367" t="s">
        <v>216</v>
      </c>
      <c r="AA101" s="368" t="s">
        <v>481</v>
      </c>
      <c r="AB101" s="368" t="s">
        <v>482</v>
      </c>
      <c r="AC101" s="368">
        <v>1</v>
      </c>
      <c r="AD101" s="449" t="s">
        <v>464</v>
      </c>
    </row>
    <row r="102" spans="2:39" s="147" customFormat="1" ht="27" hidden="1" customHeight="1">
      <c r="B102" s="845"/>
      <c r="C102" s="846"/>
      <c r="D102" s="362">
        <v>8</v>
      </c>
      <c r="E102" s="443" t="s">
        <v>655</v>
      </c>
      <c r="F102" s="365">
        <f t="shared" si="51"/>
        <v>4664.6466000000055</v>
      </c>
      <c r="G102" s="366">
        <v>49.82</v>
      </c>
      <c r="H102" s="445">
        <v>3175.25</v>
      </c>
      <c r="I102" s="445">
        <v>3175.25</v>
      </c>
      <c r="J102" s="447">
        <f t="shared" si="52"/>
        <v>1</v>
      </c>
      <c r="K102" s="446">
        <v>3175.25</v>
      </c>
      <c r="L102" s="447">
        <f t="shared" si="53"/>
        <v>1</v>
      </c>
      <c r="M102" s="446">
        <v>93.63</v>
      </c>
      <c r="N102" s="447">
        <f t="shared" si="54"/>
        <v>2.9487441933706005E-2</v>
      </c>
      <c r="O102" s="448">
        <f t="shared" si="55"/>
        <v>3268.88</v>
      </c>
      <c r="P102" s="447">
        <f t="shared" si="56"/>
        <v>1.0294874419337061</v>
      </c>
      <c r="Q102" s="445">
        <v>19.990000000000002</v>
      </c>
      <c r="R102" s="447">
        <f t="shared" si="57"/>
        <v>6.2955672781670738E-3</v>
      </c>
      <c r="S102" s="455">
        <f t="shared" si="58"/>
        <v>995.90180000000009</v>
      </c>
      <c r="T102" s="448">
        <f t="shared" si="59"/>
        <v>93.630000000000109</v>
      </c>
      <c r="U102" s="447">
        <f t="shared" si="60"/>
        <v>2.9487441933706043E-2</v>
      </c>
      <c r="V102" s="145"/>
      <c r="W102" s="145"/>
      <c r="X102" s="145"/>
      <c r="Y102" s="367" t="s">
        <v>174</v>
      </c>
      <c r="Z102" s="367" t="s">
        <v>429</v>
      </c>
      <c r="AA102" s="368" t="s">
        <v>480</v>
      </c>
      <c r="AB102" s="368" t="s">
        <v>478</v>
      </c>
      <c r="AC102" s="368">
        <v>1</v>
      </c>
      <c r="AD102" s="449" t="s">
        <v>623</v>
      </c>
    </row>
    <row r="103" spans="2:39" s="147" customFormat="1" ht="27" hidden="1" customHeight="1">
      <c r="B103" s="845"/>
      <c r="C103" s="846"/>
      <c r="D103" s="362">
        <v>9</v>
      </c>
      <c r="E103" s="443" t="s">
        <v>626</v>
      </c>
      <c r="F103" s="365">
        <f t="shared" si="51"/>
        <v>4363.6241999999538</v>
      </c>
      <c r="G103" s="366">
        <v>39.389999999999993</v>
      </c>
      <c r="H103" s="445">
        <v>7006.3500000000013</v>
      </c>
      <c r="I103" s="445">
        <v>7006.3500000000013</v>
      </c>
      <c r="J103" s="447">
        <f t="shared" si="52"/>
        <v>1</v>
      </c>
      <c r="K103" s="446">
        <v>7015.13</v>
      </c>
      <c r="L103" s="447">
        <f t="shared" si="53"/>
        <v>1.0012531489291856</v>
      </c>
      <c r="M103" s="446">
        <v>102.00000000000001</v>
      </c>
      <c r="N103" s="447">
        <f t="shared" si="54"/>
        <v>1.455822218416151E-2</v>
      </c>
      <c r="O103" s="448">
        <f t="shared" si="55"/>
        <v>7117.13</v>
      </c>
      <c r="P103" s="447">
        <f t="shared" si="56"/>
        <v>1.015811371113347</v>
      </c>
      <c r="Q103" s="445">
        <v>31.970000000000002</v>
      </c>
      <c r="R103" s="447">
        <f t="shared" si="57"/>
        <v>4.5630035610553276E-3</v>
      </c>
      <c r="S103" s="455">
        <f t="shared" si="58"/>
        <v>1259.2982999999999</v>
      </c>
      <c r="T103" s="448">
        <f t="shared" si="59"/>
        <v>110.77999999999884</v>
      </c>
      <c r="U103" s="447">
        <f t="shared" si="60"/>
        <v>1.581137111334701E-2</v>
      </c>
      <c r="V103" s="145"/>
      <c r="W103" s="145"/>
      <c r="X103" s="145"/>
      <c r="Y103" s="367" t="s">
        <v>174</v>
      </c>
      <c r="Z103" s="367" t="s">
        <v>216</v>
      </c>
      <c r="AA103" s="368" t="s">
        <v>713</v>
      </c>
      <c r="AB103" s="368" t="s">
        <v>714</v>
      </c>
      <c r="AC103" s="368">
        <v>1</v>
      </c>
      <c r="AD103" s="449" t="s">
        <v>621</v>
      </c>
      <c r="AH103" s="371"/>
    </row>
    <row r="104" spans="2:39" s="147" customFormat="1" ht="27" hidden="1" customHeight="1">
      <c r="B104" s="845"/>
      <c r="C104" s="846"/>
      <c r="D104" s="362">
        <v>10</v>
      </c>
      <c r="E104" s="443" t="s">
        <v>728</v>
      </c>
      <c r="F104" s="365">
        <f t="shared" si="51"/>
        <v>4259.2104000000018</v>
      </c>
      <c r="G104" s="366">
        <v>351.42</v>
      </c>
      <c r="H104" s="445">
        <v>483.08999999999992</v>
      </c>
      <c r="I104" s="445">
        <v>483.08999999999992</v>
      </c>
      <c r="J104" s="447">
        <f t="shared" si="52"/>
        <v>1</v>
      </c>
      <c r="K104" s="446">
        <v>483.08999999999992</v>
      </c>
      <c r="L104" s="447">
        <f t="shared" si="53"/>
        <v>1</v>
      </c>
      <c r="M104" s="446">
        <v>12.119999999999997</v>
      </c>
      <c r="N104" s="447">
        <f t="shared" si="54"/>
        <v>2.508849282742346E-2</v>
      </c>
      <c r="O104" s="448">
        <f t="shared" si="55"/>
        <v>495.20999999999992</v>
      </c>
      <c r="P104" s="447">
        <f t="shared" si="56"/>
        <v>1.0250884928274235</v>
      </c>
      <c r="Q104" s="445">
        <v>1.5399999999999998</v>
      </c>
      <c r="R104" s="447">
        <f t="shared" si="57"/>
        <v>3.1878117949036412E-3</v>
      </c>
      <c r="S104" s="455">
        <f t="shared" si="58"/>
        <v>541.18679999999995</v>
      </c>
      <c r="T104" s="448">
        <f t="shared" si="59"/>
        <v>12.120000000000005</v>
      </c>
      <c r="U104" s="447">
        <f t="shared" si="60"/>
        <v>2.5088492827423474E-2</v>
      </c>
      <c r="V104" s="145"/>
      <c r="W104" s="145"/>
      <c r="X104" s="145"/>
      <c r="Y104" s="367" t="s">
        <v>174</v>
      </c>
      <c r="Z104" s="367" t="s">
        <v>429</v>
      </c>
      <c r="AA104" s="368" t="s">
        <v>737</v>
      </c>
      <c r="AB104" s="368" t="s">
        <v>715</v>
      </c>
      <c r="AC104" s="368">
        <v>1</v>
      </c>
      <c r="AD104" s="449" t="s">
        <v>695</v>
      </c>
      <c r="AH104" s="371"/>
    </row>
    <row r="105" spans="2:39" s="147" customFormat="1" ht="27" hidden="1" customHeight="1">
      <c r="B105" s="845"/>
      <c r="C105" s="846"/>
      <c r="D105" s="362">
        <v>11</v>
      </c>
      <c r="E105" s="443" t="s">
        <v>729</v>
      </c>
      <c r="F105" s="365">
        <f t="shared" si="51"/>
        <v>4127.3453999999929</v>
      </c>
      <c r="G105" s="366">
        <v>98.060000000000016</v>
      </c>
      <c r="H105" s="445">
        <v>1507.1899999999998</v>
      </c>
      <c r="I105" s="445">
        <v>1507.1899999999998</v>
      </c>
      <c r="J105" s="447">
        <f t="shared" si="52"/>
        <v>1</v>
      </c>
      <c r="K105" s="446">
        <v>1507.1899999999998</v>
      </c>
      <c r="L105" s="447">
        <f t="shared" si="53"/>
        <v>1</v>
      </c>
      <c r="M105" s="446">
        <v>42.089999999999996</v>
      </c>
      <c r="N105" s="447">
        <f t="shared" si="54"/>
        <v>2.7926140698916527E-2</v>
      </c>
      <c r="O105" s="448">
        <f t="shared" si="55"/>
        <v>1549.2799999999997</v>
      </c>
      <c r="P105" s="447">
        <f t="shared" si="56"/>
        <v>1.0279261406989164</v>
      </c>
      <c r="Q105" s="445">
        <v>8.7899999999999991</v>
      </c>
      <c r="R105" s="447">
        <f t="shared" si="57"/>
        <v>5.8320450639932587E-3</v>
      </c>
      <c r="S105" s="455">
        <f t="shared" si="58"/>
        <v>861.94740000000002</v>
      </c>
      <c r="T105" s="448">
        <f t="shared" si="59"/>
        <v>42.089999999999918</v>
      </c>
      <c r="U105" s="447">
        <f t="shared" si="60"/>
        <v>2.7926140698916475E-2</v>
      </c>
      <c r="V105" s="145"/>
      <c r="W105" s="145"/>
      <c r="X105" s="145"/>
      <c r="Y105" s="367" t="s">
        <v>174</v>
      </c>
      <c r="Z105" s="367" t="s">
        <v>429</v>
      </c>
      <c r="AA105" s="368" t="s">
        <v>480</v>
      </c>
      <c r="AB105" s="368" t="s">
        <v>478</v>
      </c>
      <c r="AC105" s="368">
        <v>1</v>
      </c>
      <c r="AD105" s="449" t="s">
        <v>695</v>
      </c>
      <c r="AH105" s="371"/>
    </row>
    <row r="106" spans="2:39" s="147" customFormat="1" ht="27" hidden="1" customHeight="1">
      <c r="B106" s="845"/>
      <c r="C106" s="846"/>
      <c r="D106" s="362">
        <v>12</v>
      </c>
      <c r="E106" s="443" t="s">
        <v>677</v>
      </c>
      <c r="F106" s="365">
        <f t="shared" si="51"/>
        <v>3978.5405999999944</v>
      </c>
      <c r="G106" s="366">
        <v>40.420000000000009</v>
      </c>
      <c r="H106" s="445">
        <v>3099.3199999999997</v>
      </c>
      <c r="I106" s="445">
        <v>3099.3199999999997</v>
      </c>
      <c r="J106" s="447">
        <f t="shared" si="52"/>
        <v>1</v>
      </c>
      <c r="K106" s="446">
        <v>3099.3199999999997</v>
      </c>
      <c r="L106" s="447">
        <f t="shared" si="53"/>
        <v>1</v>
      </c>
      <c r="M106" s="446">
        <v>98.43</v>
      </c>
      <c r="N106" s="447">
        <f t="shared" si="54"/>
        <v>3.1758579301266091E-2</v>
      </c>
      <c r="O106" s="448">
        <f t="shared" si="55"/>
        <v>3197.7499999999995</v>
      </c>
      <c r="P106" s="447">
        <f t="shared" si="56"/>
        <v>1.031758579301266</v>
      </c>
      <c r="Q106" s="445">
        <v>25.94</v>
      </c>
      <c r="R106" s="447">
        <f t="shared" si="57"/>
        <v>8.3695778428816651E-3</v>
      </c>
      <c r="S106" s="455">
        <f t="shared" si="58"/>
        <v>1048.4948000000002</v>
      </c>
      <c r="T106" s="448">
        <f t="shared" si="59"/>
        <v>98.429999999999836</v>
      </c>
      <c r="U106" s="447">
        <f t="shared" si="60"/>
        <v>3.1758579301266035E-2</v>
      </c>
      <c r="V106" s="145"/>
      <c r="W106" s="145"/>
      <c r="X106" s="145"/>
      <c r="Y106" s="367" t="s">
        <v>174</v>
      </c>
      <c r="Z106" s="367" t="s">
        <v>429</v>
      </c>
      <c r="AA106" s="368" t="s">
        <v>713</v>
      </c>
      <c r="AB106" s="368" t="s">
        <v>714</v>
      </c>
      <c r="AC106" s="368">
        <v>1</v>
      </c>
      <c r="AD106" s="449" t="s">
        <v>674</v>
      </c>
      <c r="AH106" s="371"/>
    </row>
    <row r="107" spans="2:39" s="147" customFormat="1" ht="27" hidden="1" customHeight="1">
      <c r="B107" s="845"/>
      <c r="C107" s="846"/>
      <c r="D107" s="362">
        <v>13</v>
      </c>
      <c r="E107" s="443" t="s">
        <v>586</v>
      </c>
      <c r="F107" s="365">
        <f t="shared" si="51"/>
        <v>3877.62479999999</v>
      </c>
      <c r="G107" s="366">
        <v>113.68000000000004</v>
      </c>
      <c r="H107" s="445">
        <v>1279.5999999999999</v>
      </c>
      <c r="I107" s="445">
        <v>1279.5999999999999</v>
      </c>
      <c r="J107" s="447">
        <f t="shared" si="52"/>
        <v>1</v>
      </c>
      <c r="K107" s="446">
        <v>1279.5999999999999</v>
      </c>
      <c r="L107" s="447">
        <f t="shared" si="53"/>
        <v>1</v>
      </c>
      <c r="M107" s="446">
        <v>34.11</v>
      </c>
      <c r="N107" s="447">
        <f t="shared" si="54"/>
        <v>2.6656767739918725E-2</v>
      </c>
      <c r="O107" s="448">
        <f t="shared" si="55"/>
        <v>1313.7099999999998</v>
      </c>
      <c r="P107" s="447">
        <f t="shared" si="56"/>
        <v>1.0266567677399185</v>
      </c>
      <c r="Q107" s="445">
        <v>8.75</v>
      </c>
      <c r="R107" s="447">
        <f t="shared" si="57"/>
        <v>6.8380743982494538E-3</v>
      </c>
      <c r="S107" s="455">
        <f t="shared" si="58"/>
        <v>994.70000000000027</v>
      </c>
      <c r="T107" s="448">
        <f t="shared" si="59"/>
        <v>34.1099999999999</v>
      </c>
      <c r="U107" s="447">
        <f t="shared" si="60"/>
        <v>2.6656767739918649E-2</v>
      </c>
      <c r="V107" s="145"/>
      <c r="W107" s="145"/>
      <c r="X107" s="145"/>
      <c r="Y107" s="367" t="s">
        <v>174</v>
      </c>
      <c r="Z107" s="367" t="s">
        <v>429</v>
      </c>
      <c r="AA107" s="368" t="s">
        <v>480</v>
      </c>
      <c r="AB107" s="368" t="s">
        <v>478</v>
      </c>
      <c r="AC107" s="368">
        <v>1</v>
      </c>
      <c r="AD107" s="449" t="s">
        <v>568</v>
      </c>
      <c r="AH107" s="371"/>
    </row>
    <row r="108" spans="2:39" s="147" customFormat="1" ht="27" hidden="1" customHeight="1">
      <c r="B108" s="845"/>
      <c r="C108" s="846"/>
      <c r="D108" s="362">
        <v>14</v>
      </c>
      <c r="E108" s="443" t="s">
        <v>651</v>
      </c>
      <c r="F108" s="365">
        <f t="shared" si="51"/>
        <v>3869.7813000000028</v>
      </c>
      <c r="G108" s="366">
        <v>43.889999999999993</v>
      </c>
      <c r="H108" s="445">
        <v>3500.59</v>
      </c>
      <c r="I108" s="445">
        <v>3500.59</v>
      </c>
      <c r="J108" s="447">
        <f t="shared" si="52"/>
        <v>1</v>
      </c>
      <c r="K108" s="446">
        <v>3500.59</v>
      </c>
      <c r="L108" s="447">
        <f t="shared" si="53"/>
        <v>1</v>
      </c>
      <c r="M108" s="446">
        <v>88.17</v>
      </c>
      <c r="N108" s="447">
        <f t="shared" si="54"/>
        <v>2.5187182732053739E-2</v>
      </c>
      <c r="O108" s="448">
        <f t="shared" si="55"/>
        <v>3588.76</v>
      </c>
      <c r="P108" s="447">
        <f t="shared" si="56"/>
        <v>1.0251871827320538</v>
      </c>
      <c r="Q108" s="445">
        <v>22.84</v>
      </c>
      <c r="R108" s="447">
        <f t="shared" si="57"/>
        <v>6.5246144221402678E-3</v>
      </c>
      <c r="S108" s="455">
        <f t="shared" si="58"/>
        <v>1002.4475999999999</v>
      </c>
      <c r="T108" s="448">
        <f t="shared" si="59"/>
        <v>88.170000000000073</v>
      </c>
      <c r="U108" s="447">
        <f t="shared" si="60"/>
        <v>2.518718273205376E-2</v>
      </c>
      <c r="V108" s="145"/>
      <c r="W108" s="145"/>
      <c r="X108" s="145"/>
      <c r="Y108" s="367" t="s">
        <v>174</v>
      </c>
      <c r="Z108" s="367" t="s">
        <v>216</v>
      </c>
      <c r="AA108" s="368" t="s">
        <v>713</v>
      </c>
      <c r="AB108" s="368" t="s">
        <v>714</v>
      </c>
      <c r="AC108" s="368">
        <v>1</v>
      </c>
      <c r="AD108" s="449" t="s">
        <v>642</v>
      </c>
      <c r="AF108" s="893" t="s">
        <v>247</v>
      </c>
      <c r="AG108" s="894"/>
      <c r="AH108" s="894"/>
      <c r="AI108" s="894"/>
      <c r="AJ108" s="894"/>
      <c r="AK108" s="894"/>
      <c r="AL108" s="894"/>
      <c r="AM108" s="895"/>
    </row>
    <row r="109" spans="2:39" s="147" customFormat="1" ht="27" hidden="1" customHeight="1">
      <c r="B109" s="845"/>
      <c r="C109" s="846"/>
      <c r="D109" s="362">
        <v>15</v>
      </c>
      <c r="E109" s="443" t="s">
        <v>546</v>
      </c>
      <c r="F109" s="365">
        <f t="shared" si="51"/>
        <v>3831.9534000000067</v>
      </c>
      <c r="G109" s="366">
        <v>62.43</v>
      </c>
      <c r="H109" s="445">
        <v>2296.34</v>
      </c>
      <c r="I109" s="445">
        <v>2296.34</v>
      </c>
      <c r="J109" s="447">
        <f t="shared" si="52"/>
        <v>1</v>
      </c>
      <c r="K109" s="446">
        <v>2296.34</v>
      </c>
      <c r="L109" s="447">
        <f t="shared" si="53"/>
        <v>1</v>
      </c>
      <c r="M109" s="446">
        <v>61.379999999999995</v>
      </c>
      <c r="N109" s="447">
        <f t="shared" si="54"/>
        <v>2.6729491277424071E-2</v>
      </c>
      <c r="O109" s="448">
        <f t="shared" si="55"/>
        <v>2357.7200000000003</v>
      </c>
      <c r="P109" s="447">
        <f t="shared" si="56"/>
        <v>1.0267294912774241</v>
      </c>
      <c r="Q109" s="445">
        <v>25.980000000000004</v>
      </c>
      <c r="R109" s="447">
        <f t="shared" si="57"/>
        <v>1.1313655643328079E-2</v>
      </c>
      <c r="S109" s="455">
        <f t="shared" si="58"/>
        <v>1621.9314000000002</v>
      </c>
      <c r="T109" s="448">
        <f t="shared" si="59"/>
        <v>61.380000000000109</v>
      </c>
      <c r="U109" s="447">
        <f t="shared" si="60"/>
        <v>2.6729491277424119E-2</v>
      </c>
      <c r="V109" s="145"/>
      <c r="W109" s="145"/>
      <c r="X109" s="145"/>
      <c r="Y109" s="367" t="s">
        <v>174</v>
      </c>
      <c r="Z109" s="367" t="s">
        <v>216</v>
      </c>
      <c r="AA109" s="368" t="s">
        <v>713</v>
      </c>
      <c r="AB109" s="368" t="s">
        <v>714</v>
      </c>
      <c r="AC109" s="368">
        <v>1</v>
      </c>
      <c r="AD109" s="449" t="s">
        <v>545</v>
      </c>
      <c r="AF109" s="896"/>
      <c r="AG109" s="897"/>
      <c r="AH109" s="897"/>
      <c r="AI109" s="897"/>
      <c r="AJ109" s="897"/>
      <c r="AK109" s="897"/>
      <c r="AL109" s="897"/>
      <c r="AM109" s="898"/>
    </row>
    <row r="110" spans="2:39" s="147" customFormat="1" ht="27" hidden="1" customHeight="1">
      <c r="B110" s="845"/>
      <c r="C110" s="846"/>
      <c r="D110" s="362">
        <v>16</v>
      </c>
      <c r="E110" s="443" t="s">
        <v>433</v>
      </c>
      <c r="F110" s="365">
        <f t="shared" si="51"/>
        <v>3813.9304000000043</v>
      </c>
      <c r="G110" s="366">
        <v>368.13999999999993</v>
      </c>
      <c r="H110" s="445">
        <v>416.59000000000003</v>
      </c>
      <c r="I110" s="445">
        <v>416.59000000000003</v>
      </c>
      <c r="J110" s="447">
        <f t="shared" si="52"/>
        <v>1</v>
      </c>
      <c r="K110" s="446">
        <v>416.59000000000003</v>
      </c>
      <c r="L110" s="447">
        <f t="shared" si="53"/>
        <v>1</v>
      </c>
      <c r="M110" s="446">
        <v>10.36</v>
      </c>
      <c r="N110" s="447">
        <f t="shared" si="54"/>
        <v>2.4868575817950499E-2</v>
      </c>
      <c r="O110" s="448">
        <f t="shared" si="55"/>
        <v>426.95000000000005</v>
      </c>
      <c r="P110" s="447">
        <f t="shared" si="56"/>
        <v>1.0248685758179505</v>
      </c>
      <c r="Q110" s="445">
        <v>2.75</v>
      </c>
      <c r="R110" s="447">
        <f t="shared" si="57"/>
        <v>6.6012146234907219E-3</v>
      </c>
      <c r="S110" s="455">
        <f t="shared" si="58"/>
        <v>1012.3849999999998</v>
      </c>
      <c r="T110" s="448">
        <f t="shared" si="59"/>
        <v>10.360000000000014</v>
      </c>
      <c r="U110" s="447">
        <f t="shared" si="60"/>
        <v>2.4868575817950534E-2</v>
      </c>
      <c r="V110" s="145"/>
      <c r="W110" s="145"/>
      <c r="X110" s="145"/>
      <c r="Y110" s="367" t="s">
        <v>174</v>
      </c>
      <c r="Z110" s="367" t="s">
        <v>429</v>
      </c>
      <c r="AA110" s="368" t="s">
        <v>737</v>
      </c>
      <c r="AB110" s="368" t="s">
        <v>715</v>
      </c>
      <c r="AC110" s="368">
        <v>1</v>
      </c>
      <c r="AD110" s="449" t="s">
        <v>434</v>
      </c>
      <c r="AF110" s="899"/>
      <c r="AG110" s="900"/>
      <c r="AH110" s="900"/>
      <c r="AI110" s="900"/>
      <c r="AJ110" s="900"/>
      <c r="AK110" s="900"/>
      <c r="AL110" s="900"/>
      <c r="AM110" s="901"/>
    </row>
    <row r="111" spans="2:39" s="147" customFormat="1" ht="27" hidden="1" customHeight="1">
      <c r="B111" s="845"/>
      <c r="C111" s="846"/>
      <c r="D111" s="362">
        <v>17</v>
      </c>
      <c r="E111" s="443" t="s">
        <v>547</v>
      </c>
      <c r="F111" s="365">
        <f t="shared" si="51"/>
        <v>3768.7487000000006</v>
      </c>
      <c r="G111" s="366">
        <v>66.13</v>
      </c>
      <c r="H111" s="445">
        <v>1931.02</v>
      </c>
      <c r="I111" s="445">
        <v>1931.02</v>
      </c>
      <c r="J111" s="447">
        <f t="shared" si="52"/>
        <v>1</v>
      </c>
      <c r="K111" s="446">
        <v>1931.02</v>
      </c>
      <c r="L111" s="447">
        <f t="shared" si="53"/>
        <v>1</v>
      </c>
      <c r="M111" s="446">
        <v>56.99</v>
      </c>
      <c r="N111" s="447">
        <f t="shared" si="54"/>
        <v>2.9512899918177959E-2</v>
      </c>
      <c r="O111" s="448">
        <f t="shared" si="55"/>
        <v>1988.01</v>
      </c>
      <c r="P111" s="447">
        <f t="shared" si="56"/>
        <v>1.029512899918178</v>
      </c>
      <c r="Q111" s="445">
        <v>15.62</v>
      </c>
      <c r="R111" s="447">
        <f t="shared" si="57"/>
        <v>8.0889892388478629E-3</v>
      </c>
      <c r="S111" s="455">
        <f t="shared" si="58"/>
        <v>1032.9505999999999</v>
      </c>
      <c r="T111" s="448">
        <f t="shared" si="59"/>
        <v>56.990000000000009</v>
      </c>
      <c r="U111" s="447">
        <f t="shared" si="60"/>
        <v>2.9512899918177963E-2</v>
      </c>
      <c r="V111" s="145"/>
      <c r="W111" s="145"/>
      <c r="X111" s="145"/>
      <c r="Y111" s="367" t="s">
        <v>174</v>
      </c>
      <c r="Z111" s="367" t="s">
        <v>429</v>
      </c>
      <c r="AA111" s="368" t="s">
        <v>480</v>
      </c>
      <c r="AB111" s="368" t="s">
        <v>478</v>
      </c>
      <c r="AC111" s="368">
        <v>1</v>
      </c>
      <c r="AD111" s="449" t="s">
        <v>341</v>
      </c>
      <c r="AF111" s="160" t="s">
        <v>244</v>
      </c>
      <c r="AG111" s="160" t="s">
        <v>446</v>
      </c>
      <c r="AH111" s="155" t="s">
        <v>383</v>
      </c>
      <c r="AI111" s="155" t="s">
        <v>337</v>
      </c>
      <c r="AJ111" s="155" t="s">
        <v>429</v>
      </c>
      <c r="AK111" s="155" t="s">
        <v>215</v>
      </c>
      <c r="AL111" s="155" t="s">
        <v>216</v>
      </c>
      <c r="AM111" s="155" t="s">
        <v>384</v>
      </c>
    </row>
    <row r="112" spans="2:39" s="147" customFormat="1" ht="27" hidden="1" customHeight="1">
      <c r="B112" s="845"/>
      <c r="C112" s="846"/>
      <c r="D112" s="362">
        <v>18</v>
      </c>
      <c r="E112" s="443" t="s">
        <v>471</v>
      </c>
      <c r="F112" s="365">
        <f t="shared" si="51"/>
        <v>3727.9199999999996</v>
      </c>
      <c r="G112" s="366">
        <v>266.27999999999997</v>
      </c>
      <c r="H112" s="445">
        <v>1257.02</v>
      </c>
      <c r="I112" s="445">
        <v>1257.02</v>
      </c>
      <c r="J112" s="447">
        <f t="shared" si="52"/>
        <v>1</v>
      </c>
      <c r="K112" s="446">
        <v>1257.02</v>
      </c>
      <c r="L112" s="447">
        <f t="shared" si="53"/>
        <v>1</v>
      </c>
      <c r="M112" s="446">
        <v>14</v>
      </c>
      <c r="N112" s="447">
        <f t="shared" si="54"/>
        <v>1.1137452069179488E-2</v>
      </c>
      <c r="O112" s="448">
        <f t="shared" si="55"/>
        <v>1271.02</v>
      </c>
      <c r="P112" s="447">
        <f t="shared" si="56"/>
        <v>1.0111374520691796</v>
      </c>
      <c r="Q112" s="445">
        <v>3.2700000000000005</v>
      </c>
      <c r="R112" s="447">
        <f t="shared" si="57"/>
        <v>2.6013905904440663E-3</v>
      </c>
      <c r="S112" s="455">
        <f t="shared" si="58"/>
        <v>870.73560000000009</v>
      </c>
      <c r="T112" s="448">
        <f t="shared" si="59"/>
        <v>14</v>
      </c>
      <c r="U112" s="447">
        <f t="shared" si="60"/>
        <v>1.1137452069179488E-2</v>
      </c>
      <c r="V112" s="145"/>
      <c r="W112" s="145"/>
      <c r="X112" s="145"/>
      <c r="Y112" s="367" t="s">
        <v>174</v>
      </c>
      <c r="Z112" s="367" t="s">
        <v>429</v>
      </c>
      <c r="AA112" s="368" t="s">
        <v>683</v>
      </c>
      <c r="AB112" s="368" t="s">
        <v>715</v>
      </c>
      <c r="AC112" s="368">
        <v>1</v>
      </c>
      <c r="AD112" s="449" t="s">
        <v>472</v>
      </c>
      <c r="AE112" s="460" t="s">
        <v>615</v>
      </c>
      <c r="AF112" s="375">
        <f>AF31+AF53+AF7+AF75+AF97</f>
        <v>100</v>
      </c>
      <c r="AG112" s="375">
        <f>AG31+AG53+AG7+AG75+AG97</f>
        <v>0</v>
      </c>
      <c r="AH112" s="375">
        <f t="shared" ref="AH112:AM113" si="64">AH31+AH53+AH7+AH75+AH97</f>
        <v>0</v>
      </c>
      <c r="AI112" s="375">
        <f t="shared" si="64"/>
        <v>0</v>
      </c>
      <c r="AJ112" s="375">
        <f t="shared" si="64"/>
        <v>58</v>
      </c>
      <c r="AK112" s="375">
        <f t="shared" si="64"/>
        <v>5</v>
      </c>
      <c r="AL112" s="375">
        <f t="shared" si="64"/>
        <v>37</v>
      </c>
      <c r="AM112" s="375">
        <f t="shared" si="64"/>
        <v>0</v>
      </c>
    </row>
    <row r="113" spans="2:39" s="147" customFormat="1" ht="27" hidden="1" customHeight="1">
      <c r="B113" s="845"/>
      <c r="C113" s="846"/>
      <c r="D113" s="362">
        <v>19</v>
      </c>
      <c r="E113" s="443" t="s">
        <v>484</v>
      </c>
      <c r="F113" s="365">
        <f t="shared" si="51"/>
        <v>3627.2929000000067</v>
      </c>
      <c r="G113" s="366">
        <v>370.50999999999993</v>
      </c>
      <c r="H113" s="445">
        <v>386.56</v>
      </c>
      <c r="I113" s="445">
        <v>386.56</v>
      </c>
      <c r="J113" s="447">
        <f t="shared" si="52"/>
        <v>1</v>
      </c>
      <c r="K113" s="446">
        <v>386.56</v>
      </c>
      <c r="L113" s="447">
        <f t="shared" si="53"/>
        <v>1</v>
      </c>
      <c r="M113" s="446">
        <v>9.7899999999999991</v>
      </c>
      <c r="N113" s="447">
        <f t="shared" si="54"/>
        <v>2.5325951986754965E-2</v>
      </c>
      <c r="O113" s="448">
        <f t="shared" si="55"/>
        <v>396.35</v>
      </c>
      <c r="P113" s="447">
        <f t="shared" si="56"/>
        <v>1.025325951986755</v>
      </c>
      <c r="Q113" s="445">
        <v>2.68</v>
      </c>
      <c r="R113" s="447">
        <f t="shared" si="57"/>
        <v>6.9329470198675504E-3</v>
      </c>
      <c r="S113" s="455">
        <f t="shared" si="58"/>
        <v>992.96679999999992</v>
      </c>
      <c r="T113" s="448">
        <f t="shared" si="59"/>
        <v>9.7900000000000205</v>
      </c>
      <c r="U113" s="447">
        <f t="shared" si="60"/>
        <v>2.5325951986755021E-2</v>
      </c>
      <c r="V113" s="145"/>
      <c r="W113" s="145"/>
      <c r="X113" s="145"/>
      <c r="Y113" s="367" t="s">
        <v>174</v>
      </c>
      <c r="Z113" s="367" t="s">
        <v>429</v>
      </c>
      <c r="AA113" s="368" t="s">
        <v>737</v>
      </c>
      <c r="AB113" s="368" t="s">
        <v>715</v>
      </c>
      <c r="AC113" s="368">
        <v>1</v>
      </c>
      <c r="AD113" s="449" t="s">
        <v>353</v>
      </c>
      <c r="AF113" s="376"/>
      <c r="AG113" s="375">
        <f>AG32+AG54+AG8+AG76+AG98</f>
        <v>0</v>
      </c>
      <c r="AH113" s="375">
        <f t="shared" si="64"/>
        <v>0</v>
      </c>
      <c r="AI113" s="375">
        <f t="shared" si="64"/>
        <v>0</v>
      </c>
      <c r="AJ113" s="375">
        <f t="shared" si="64"/>
        <v>289451.13219999993</v>
      </c>
      <c r="AK113" s="375">
        <f t="shared" si="64"/>
        <v>61171.655599999933</v>
      </c>
      <c r="AL113" s="375">
        <f t="shared" si="64"/>
        <v>214304.63423000017</v>
      </c>
      <c r="AM113" s="375">
        <f t="shared" si="64"/>
        <v>0</v>
      </c>
    </row>
    <row r="114" spans="2:39" s="147" customFormat="1" ht="27" hidden="1" customHeight="1">
      <c r="B114" s="847"/>
      <c r="C114" s="848"/>
      <c r="D114" s="362">
        <v>20</v>
      </c>
      <c r="E114" s="443" t="s">
        <v>603</v>
      </c>
      <c r="F114" s="365">
        <f t="shared" si="51"/>
        <v>3578.220799999991</v>
      </c>
      <c r="G114" s="366">
        <v>153.44000000000003</v>
      </c>
      <c r="H114" s="445">
        <v>1698.1799999999998</v>
      </c>
      <c r="I114" s="445">
        <v>1698.1799999999998</v>
      </c>
      <c r="J114" s="447">
        <f t="shared" si="52"/>
        <v>1</v>
      </c>
      <c r="K114" s="446">
        <v>1698.1799999999998</v>
      </c>
      <c r="L114" s="447">
        <f t="shared" si="53"/>
        <v>1</v>
      </c>
      <c r="M114" s="446">
        <v>23.320000000000004</v>
      </c>
      <c r="N114" s="447">
        <f t="shared" si="54"/>
        <v>1.3732348749838065E-2</v>
      </c>
      <c r="O114" s="448">
        <f t="shared" si="55"/>
        <v>1721.4999999999998</v>
      </c>
      <c r="P114" s="447">
        <f t="shared" si="56"/>
        <v>1.013732348749838</v>
      </c>
      <c r="Q114" s="445">
        <v>5.62</v>
      </c>
      <c r="R114" s="447">
        <f t="shared" si="57"/>
        <v>3.3094253848237527E-3</v>
      </c>
      <c r="S114" s="455">
        <f t="shared" si="58"/>
        <v>862.33280000000013</v>
      </c>
      <c r="T114" s="448">
        <f t="shared" si="59"/>
        <v>23.319999999999936</v>
      </c>
      <c r="U114" s="447">
        <f t="shared" si="60"/>
        <v>1.3732348749838025E-2</v>
      </c>
      <c r="V114" s="145"/>
      <c r="W114" s="145"/>
      <c r="X114" s="145"/>
      <c r="Y114" s="367" t="s">
        <v>174</v>
      </c>
      <c r="Z114" s="367" t="s">
        <v>429</v>
      </c>
      <c r="AA114" s="368" t="s">
        <v>612</v>
      </c>
      <c r="AB114" s="368" t="s">
        <v>738</v>
      </c>
      <c r="AC114" s="368">
        <v>1</v>
      </c>
      <c r="AD114" s="449" t="s">
        <v>466</v>
      </c>
      <c r="AF114" s="362"/>
      <c r="AG114" s="374">
        <f>AG112/$AF112</f>
        <v>0</v>
      </c>
      <c r="AH114" s="374">
        <f t="shared" ref="AH114:AM114" si="65">AH112/$AF112</f>
        <v>0</v>
      </c>
      <c r="AI114" s="374">
        <f t="shared" si="65"/>
        <v>0</v>
      </c>
      <c r="AJ114" s="374">
        <f t="shared" si="65"/>
        <v>0.57999999999999996</v>
      </c>
      <c r="AK114" s="374">
        <f t="shared" si="65"/>
        <v>0.05</v>
      </c>
      <c r="AL114" s="374">
        <f t="shared" si="65"/>
        <v>0.37</v>
      </c>
      <c r="AM114" s="374">
        <f t="shared" si="65"/>
        <v>0</v>
      </c>
    </row>
    <row r="115" spans="2:39" ht="17.149999999999999" customHeight="1">
      <c r="B115" s="873" t="s">
        <v>443</v>
      </c>
      <c r="C115" s="874"/>
      <c r="D115" s="875" t="s">
        <v>551</v>
      </c>
      <c r="E115" s="876" t="s">
        <v>552</v>
      </c>
      <c r="F115" s="906" t="s">
        <v>569</v>
      </c>
      <c r="G115" s="835" t="s">
        <v>554</v>
      </c>
      <c r="H115" s="878" t="s">
        <v>555</v>
      </c>
      <c r="I115" s="867" t="s">
        <v>556</v>
      </c>
      <c r="J115" s="868"/>
      <c r="K115" s="867" t="s">
        <v>557</v>
      </c>
      <c r="L115" s="868"/>
      <c r="M115" s="867" t="s">
        <v>558</v>
      </c>
      <c r="N115" s="868"/>
      <c r="O115" s="867" t="s">
        <v>559</v>
      </c>
      <c r="P115" s="868"/>
      <c r="Q115" s="867" t="s">
        <v>418</v>
      </c>
      <c r="R115" s="905"/>
      <c r="S115" s="868"/>
      <c r="T115" s="864" t="s">
        <v>776</v>
      </c>
      <c r="U115" s="865"/>
      <c r="V115" s="881" t="s">
        <v>775</v>
      </c>
      <c r="W115" s="882"/>
      <c r="X115" s="883"/>
      <c r="Y115" s="861" t="s">
        <v>171</v>
      </c>
      <c r="Z115" s="861" t="s">
        <v>245</v>
      </c>
      <c r="AA115" s="861" t="s">
        <v>560</v>
      </c>
      <c r="AB115" s="861" t="s">
        <v>445</v>
      </c>
      <c r="AC115" s="861" t="s">
        <v>246</v>
      </c>
      <c r="AD115" s="835" t="s">
        <v>172</v>
      </c>
      <c r="AF115" s="884" t="s">
        <v>247</v>
      </c>
      <c r="AG115" s="885"/>
      <c r="AH115" s="885"/>
      <c r="AI115" s="885"/>
      <c r="AJ115" s="885"/>
      <c r="AK115" s="885"/>
      <c r="AL115" s="885"/>
      <c r="AM115" s="886"/>
    </row>
    <row r="116" spans="2:39" ht="16.5" customHeight="1">
      <c r="B116" s="871"/>
      <c r="C116" s="872"/>
      <c r="D116" s="875"/>
      <c r="E116" s="875"/>
      <c r="F116" s="877"/>
      <c r="G116" s="836"/>
      <c r="H116" s="836"/>
      <c r="I116" s="442" t="s">
        <v>561</v>
      </c>
      <c r="J116" s="363" t="s">
        <v>562</v>
      </c>
      <c r="K116" s="442" t="s">
        <v>561</v>
      </c>
      <c r="L116" s="363" t="s">
        <v>562</v>
      </c>
      <c r="M116" s="442" t="s">
        <v>561</v>
      </c>
      <c r="N116" s="363" t="s">
        <v>562</v>
      </c>
      <c r="O116" s="442" t="s">
        <v>561</v>
      </c>
      <c r="P116" s="363" t="s">
        <v>562</v>
      </c>
      <c r="Q116" s="442" t="s">
        <v>561</v>
      </c>
      <c r="R116" s="363" t="s">
        <v>562</v>
      </c>
      <c r="S116" s="363" t="s">
        <v>563</v>
      </c>
      <c r="T116" s="442" t="s">
        <v>561</v>
      </c>
      <c r="U116" s="363" t="s">
        <v>562</v>
      </c>
      <c r="V116" s="442" t="s">
        <v>561</v>
      </c>
      <c r="W116" s="363" t="s">
        <v>562</v>
      </c>
      <c r="X116" s="363" t="s">
        <v>563</v>
      </c>
      <c r="Y116" s="863"/>
      <c r="Z116" s="863"/>
      <c r="AA116" s="863"/>
      <c r="AB116" s="863"/>
      <c r="AC116" s="863"/>
      <c r="AD116" s="836"/>
      <c r="AF116" s="887"/>
      <c r="AG116" s="888"/>
      <c r="AH116" s="888"/>
      <c r="AI116" s="888"/>
      <c r="AJ116" s="888"/>
      <c r="AK116" s="888"/>
      <c r="AL116" s="888"/>
      <c r="AM116" s="889"/>
    </row>
    <row r="117" spans="2:39" s="147" customFormat="1" ht="27" customHeight="1">
      <c r="B117" s="843" t="s">
        <v>769</v>
      </c>
      <c r="C117" s="844"/>
      <c r="D117" s="362">
        <v>1</v>
      </c>
      <c r="E117" s="443" t="s">
        <v>336</v>
      </c>
      <c r="F117" s="365">
        <f>IFERROR(T117*G117,"-")</f>
        <v>9270.3984000000182</v>
      </c>
      <c r="G117" s="366">
        <v>147.43000000000004</v>
      </c>
      <c r="H117" s="445">
        <v>4268.05</v>
      </c>
      <c r="I117" s="445">
        <v>4268.05</v>
      </c>
      <c r="J117" s="447">
        <f>IFERROR(I117/H117,"-")</f>
        <v>1</v>
      </c>
      <c r="K117" s="446">
        <v>4268.05</v>
      </c>
      <c r="L117" s="447">
        <f>IFERROR(K117/H117,"-")</f>
        <v>1</v>
      </c>
      <c r="M117" s="446">
        <v>62.88000000000001</v>
      </c>
      <c r="N117" s="447">
        <f>IFERROR(M117/H117,"-")</f>
        <v>1.4732723374843314E-2</v>
      </c>
      <c r="O117" s="448">
        <f>IFERROR(K117+M117,"-")</f>
        <v>4330.93</v>
      </c>
      <c r="P117" s="447">
        <f>IFERROR(O117/H117,"-")</f>
        <v>1.0147327233748433</v>
      </c>
      <c r="Q117" s="445">
        <v>6.74</v>
      </c>
      <c r="R117" s="447">
        <f>IFERROR(Q117/H117,"-")</f>
        <v>1.5791755016928105E-3</v>
      </c>
      <c r="S117" s="455">
        <f>IFERROR(Q117*G117,"-")</f>
        <v>993.67820000000029</v>
      </c>
      <c r="T117" s="448">
        <f>IFERROR(O117-H117,"-")</f>
        <v>62.880000000000109</v>
      </c>
      <c r="U117" s="447">
        <f>IFERROR(T117/H117,"-")</f>
        <v>1.4732723374843338E-2</v>
      </c>
      <c r="V117" s="470">
        <f>T117-Q117</f>
        <v>56.140000000000107</v>
      </c>
      <c r="W117" s="471">
        <f>IFERROR(V117/H117,"-")</f>
        <v>1.3153547873150527E-2</v>
      </c>
      <c r="X117" s="472">
        <f>IFERROR(V117*G117,"-")</f>
        <v>8276.7202000000179</v>
      </c>
      <c r="Y117" s="367" t="s">
        <v>174</v>
      </c>
      <c r="Z117" s="367" t="s">
        <v>215</v>
      </c>
      <c r="AA117" s="368" t="s">
        <v>479</v>
      </c>
      <c r="AB117" s="368" t="s">
        <v>525</v>
      </c>
      <c r="AC117" s="368">
        <v>1</v>
      </c>
      <c r="AD117" s="449" t="s">
        <v>340</v>
      </c>
      <c r="AF117" s="890"/>
      <c r="AG117" s="891"/>
      <c r="AH117" s="891"/>
      <c r="AI117" s="891"/>
      <c r="AJ117" s="891"/>
      <c r="AK117" s="891"/>
      <c r="AL117" s="891"/>
      <c r="AM117" s="892"/>
    </row>
    <row r="118" spans="2:39" s="147" customFormat="1" ht="27" customHeight="1">
      <c r="B118" s="845"/>
      <c r="C118" s="846"/>
      <c r="D118" s="362">
        <v>2</v>
      </c>
      <c r="E118" s="443" t="s">
        <v>535</v>
      </c>
      <c r="F118" s="365">
        <f t="shared" ref="F118:F136" si="66">IFERROR(T118*G118,"-")</f>
        <v>7055.1429000000217</v>
      </c>
      <c r="G118" s="366">
        <v>39.389999999999993</v>
      </c>
      <c r="H118" s="445">
        <v>34169.370000000003</v>
      </c>
      <c r="I118" s="445">
        <v>34169.370000000003</v>
      </c>
      <c r="J118" s="447">
        <f t="shared" ref="J118:J136" si="67">IFERROR(I118/H118,"-")</f>
        <v>1</v>
      </c>
      <c r="K118" s="446">
        <v>34169.370000000003</v>
      </c>
      <c r="L118" s="447">
        <f t="shared" ref="L118:L136" si="68">IFERROR(K118/H118,"-")</f>
        <v>1</v>
      </c>
      <c r="M118" s="446">
        <v>179.10999999999999</v>
      </c>
      <c r="N118" s="447">
        <f t="shared" ref="N118:N136" si="69">IFERROR(M118/H118,"-")</f>
        <v>5.2418291586880288E-3</v>
      </c>
      <c r="O118" s="448">
        <f t="shared" ref="O118:O136" si="70">IFERROR(K118+M118,"-")</f>
        <v>34348.480000000003</v>
      </c>
      <c r="P118" s="447">
        <f t="shared" ref="P118:P136" si="71">IFERROR(O118/H118,"-")</f>
        <v>1.005241829158688</v>
      </c>
      <c r="Q118" s="445">
        <v>38.01</v>
      </c>
      <c r="R118" s="447">
        <f t="shared" ref="R118:R136" si="72">IFERROR(Q118/H118,"-")</f>
        <v>1.1123997896361564E-3</v>
      </c>
      <c r="S118" s="455">
        <f t="shared" ref="S118:S136" si="73">IFERROR(Q118*G118,"-")</f>
        <v>1497.2138999999997</v>
      </c>
      <c r="T118" s="448">
        <f t="shared" ref="T118:T136" si="74">IFERROR(O118-H118,"-")</f>
        <v>179.11000000000058</v>
      </c>
      <c r="U118" s="447">
        <f t="shared" ref="U118:U136" si="75">IFERROR(T118/H118,"-")</f>
        <v>5.2418291586880461E-3</v>
      </c>
      <c r="V118" s="470">
        <f t="shared" ref="V118:V136" si="76">T118-Q118</f>
        <v>141.10000000000059</v>
      </c>
      <c r="W118" s="471">
        <f t="shared" ref="W118:W136" si="77">IFERROR(V118/H118,"-")</f>
        <v>4.1294293690518902E-3</v>
      </c>
      <c r="X118" s="472">
        <f t="shared" ref="X118:X136" si="78">IFERROR(V118*G118,"-")</f>
        <v>5557.9290000000219</v>
      </c>
      <c r="Y118" s="367" t="s">
        <v>174</v>
      </c>
      <c r="Z118" s="367" t="s">
        <v>216</v>
      </c>
      <c r="AA118" s="368" t="s">
        <v>789</v>
      </c>
      <c r="AB118" s="368" t="s">
        <v>790</v>
      </c>
      <c r="AC118" s="368">
        <v>1</v>
      </c>
      <c r="AD118" s="449" t="s">
        <v>340</v>
      </c>
      <c r="AF118" s="160" t="s">
        <v>244</v>
      </c>
      <c r="AG118" s="160" t="s">
        <v>446</v>
      </c>
      <c r="AH118" s="155" t="s">
        <v>564</v>
      </c>
      <c r="AI118" s="155" t="s">
        <v>337</v>
      </c>
      <c r="AJ118" s="155" t="s">
        <v>429</v>
      </c>
      <c r="AK118" s="155" t="s">
        <v>215</v>
      </c>
      <c r="AL118" s="155" t="s">
        <v>216</v>
      </c>
      <c r="AM118" s="155" t="s">
        <v>384</v>
      </c>
    </row>
    <row r="119" spans="2:39" s="147" customFormat="1" ht="27" customHeight="1">
      <c r="B119" s="845"/>
      <c r="C119" s="846"/>
      <c r="D119" s="362">
        <v>3</v>
      </c>
      <c r="E119" s="443" t="s">
        <v>653</v>
      </c>
      <c r="F119" s="365">
        <f t="shared" si="66"/>
        <v>7024.2480000000305</v>
      </c>
      <c r="G119" s="366">
        <v>144.79999999999998</v>
      </c>
      <c r="H119" s="445">
        <v>2683.3800000000006</v>
      </c>
      <c r="I119" s="445">
        <v>2683.3800000000006</v>
      </c>
      <c r="J119" s="447">
        <f t="shared" si="67"/>
        <v>1</v>
      </c>
      <c r="K119" s="446">
        <v>2683.3800000000006</v>
      </c>
      <c r="L119" s="447">
        <f t="shared" si="68"/>
        <v>1</v>
      </c>
      <c r="M119" s="446">
        <v>48.510000000000005</v>
      </c>
      <c r="N119" s="447">
        <f t="shared" si="69"/>
        <v>1.8077946470496164E-2</v>
      </c>
      <c r="O119" s="448">
        <f t="shared" si="70"/>
        <v>2731.8900000000008</v>
      </c>
      <c r="P119" s="447">
        <f t="shared" si="71"/>
        <v>1.0180779464704963</v>
      </c>
      <c r="Q119" s="445">
        <v>7.4500000000000011</v>
      </c>
      <c r="R119" s="447">
        <f t="shared" si="72"/>
        <v>2.7763492311934945E-3</v>
      </c>
      <c r="S119" s="455">
        <f t="shared" si="73"/>
        <v>1078.76</v>
      </c>
      <c r="T119" s="448">
        <f t="shared" si="74"/>
        <v>48.510000000000218</v>
      </c>
      <c r="U119" s="447">
        <f t="shared" si="75"/>
        <v>1.8077946470496244E-2</v>
      </c>
      <c r="V119" s="470">
        <f t="shared" si="76"/>
        <v>41.060000000000215</v>
      </c>
      <c r="W119" s="471">
        <f t="shared" si="77"/>
        <v>1.5301597239302748E-2</v>
      </c>
      <c r="X119" s="472">
        <f t="shared" si="78"/>
        <v>5945.4880000000303</v>
      </c>
      <c r="Y119" s="367" t="s">
        <v>174</v>
      </c>
      <c r="Z119" s="367" t="s">
        <v>429</v>
      </c>
      <c r="AA119" s="368" t="s">
        <v>483</v>
      </c>
      <c r="AB119" s="368" t="s">
        <v>526</v>
      </c>
      <c r="AC119" s="368">
        <v>1</v>
      </c>
      <c r="AD119" s="449" t="s">
        <v>340</v>
      </c>
      <c r="AF119" s="375">
        <f>SUM(AC117:AC136)</f>
        <v>20</v>
      </c>
      <c r="AG119" s="370">
        <f>SUMIF($Z$117:$Z$136,TRIM(AG118),$AC$117:$AC$136)</f>
        <v>0</v>
      </c>
      <c r="AH119" s="370">
        <f t="shared" ref="AH119:AM119" si="79">SUMIF($Z$117:$Z$136,TRIM(AH118),$AC$117:$AC$136)</f>
        <v>0</v>
      </c>
      <c r="AI119" s="370">
        <f t="shared" si="79"/>
        <v>0</v>
      </c>
      <c r="AJ119" s="370">
        <f t="shared" si="79"/>
        <v>12</v>
      </c>
      <c r="AK119" s="370">
        <f t="shared" si="79"/>
        <v>1</v>
      </c>
      <c r="AL119" s="370">
        <f t="shared" si="79"/>
        <v>7</v>
      </c>
      <c r="AM119" s="370">
        <f t="shared" si="79"/>
        <v>0</v>
      </c>
    </row>
    <row r="120" spans="2:39" s="147" customFormat="1" ht="27" customHeight="1">
      <c r="B120" s="845"/>
      <c r="C120" s="846"/>
      <c r="D120" s="362">
        <v>4</v>
      </c>
      <c r="E120" s="443" t="s">
        <v>386</v>
      </c>
      <c r="F120" s="365">
        <f t="shared" si="66"/>
        <v>6308.9039999999895</v>
      </c>
      <c r="G120" s="366">
        <v>127.84000000000002</v>
      </c>
      <c r="H120" s="445">
        <v>3963.8499999999995</v>
      </c>
      <c r="I120" s="445">
        <v>3963.8499999999995</v>
      </c>
      <c r="J120" s="447">
        <f t="shared" si="67"/>
        <v>1</v>
      </c>
      <c r="K120" s="446">
        <v>3963.8499999999995</v>
      </c>
      <c r="L120" s="447">
        <f t="shared" si="68"/>
        <v>1</v>
      </c>
      <c r="M120" s="446">
        <v>49.35</v>
      </c>
      <c r="N120" s="447">
        <f t="shared" si="69"/>
        <v>1.2450017028898674E-2</v>
      </c>
      <c r="O120" s="448">
        <f t="shared" si="70"/>
        <v>4013.1999999999994</v>
      </c>
      <c r="P120" s="447">
        <f t="shared" si="71"/>
        <v>1.0124500170288986</v>
      </c>
      <c r="Q120" s="445">
        <v>8.5</v>
      </c>
      <c r="R120" s="447">
        <f t="shared" si="72"/>
        <v>2.1443798327383731E-3</v>
      </c>
      <c r="S120" s="455">
        <f t="shared" si="73"/>
        <v>1086.6400000000001</v>
      </c>
      <c r="T120" s="448">
        <f t="shared" si="74"/>
        <v>49.349999999999909</v>
      </c>
      <c r="U120" s="447">
        <f t="shared" si="75"/>
        <v>1.245001702889865E-2</v>
      </c>
      <c r="V120" s="470">
        <f t="shared" si="76"/>
        <v>40.849999999999909</v>
      </c>
      <c r="W120" s="471">
        <f t="shared" si="77"/>
        <v>1.0305637196160277E-2</v>
      </c>
      <c r="X120" s="472">
        <f t="shared" si="78"/>
        <v>5222.2639999999892</v>
      </c>
      <c r="Y120" s="367" t="s">
        <v>174</v>
      </c>
      <c r="Z120" s="367" t="s">
        <v>429</v>
      </c>
      <c r="AA120" s="368" t="s">
        <v>791</v>
      </c>
      <c r="AB120" s="368" t="s">
        <v>792</v>
      </c>
      <c r="AC120" s="368">
        <v>1</v>
      </c>
      <c r="AD120" s="449" t="s">
        <v>340</v>
      </c>
      <c r="AF120" s="376"/>
      <c r="AG120" s="373">
        <f t="shared" ref="AG120:AM120" si="80">SUMIF($Z$117:$Z$136,TRIM(AG118),$F$117:$F$136)</f>
        <v>0</v>
      </c>
      <c r="AH120" s="373">
        <f t="shared" si="80"/>
        <v>0</v>
      </c>
      <c r="AI120" s="373">
        <f t="shared" si="80"/>
        <v>0</v>
      </c>
      <c r="AJ120" s="373">
        <f t="shared" si="80"/>
        <v>57234.067640000016</v>
      </c>
      <c r="AK120" s="373">
        <f t="shared" si="80"/>
        <v>9270.3984000000182</v>
      </c>
      <c r="AL120" s="373">
        <f t="shared" si="80"/>
        <v>34878.453199999967</v>
      </c>
      <c r="AM120" s="373">
        <f t="shared" si="80"/>
        <v>0</v>
      </c>
    </row>
    <row r="121" spans="2:39" s="147" customFormat="1" ht="27" customHeight="1">
      <c r="B121" s="845"/>
      <c r="C121" s="846"/>
      <c r="D121" s="362">
        <v>5</v>
      </c>
      <c r="E121" s="443" t="s">
        <v>725</v>
      </c>
      <c r="F121" s="365">
        <f t="shared" si="66"/>
        <v>6284.4375999999766</v>
      </c>
      <c r="G121" s="366">
        <v>625.93999999999994</v>
      </c>
      <c r="H121" s="445">
        <v>1394.8700000000001</v>
      </c>
      <c r="I121" s="445">
        <v>1394.8700000000001</v>
      </c>
      <c r="J121" s="447">
        <f t="shared" si="67"/>
        <v>1</v>
      </c>
      <c r="K121" s="446">
        <v>1394.8700000000001</v>
      </c>
      <c r="L121" s="447">
        <f t="shared" si="68"/>
        <v>1</v>
      </c>
      <c r="M121" s="446">
        <v>10.039999999999999</v>
      </c>
      <c r="N121" s="447">
        <f t="shared" si="69"/>
        <v>7.197803379526406E-3</v>
      </c>
      <c r="O121" s="448">
        <f t="shared" si="70"/>
        <v>1404.91</v>
      </c>
      <c r="P121" s="447">
        <f t="shared" si="71"/>
        <v>1.0071978033795264</v>
      </c>
      <c r="Q121" s="445">
        <v>1.51</v>
      </c>
      <c r="R121" s="447">
        <f t="shared" si="72"/>
        <v>1.0825381576777763E-3</v>
      </c>
      <c r="S121" s="455">
        <f t="shared" si="73"/>
        <v>945.16939999999988</v>
      </c>
      <c r="T121" s="448">
        <f t="shared" si="74"/>
        <v>10.039999999999964</v>
      </c>
      <c r="U121" s="447">
        <f t="shared" si="75"/>
        <v>7.1978033795263808E-3</v>
      </c>
      <c r="V121" s="470">
        <f t="shared" si="76"/>
        <v>8.5299999999999638</v>
      </c>
      <c r="W121" s="471">
        <f t="shared" si="77"/>
        <v>6.1152652218486045E-3</v>
      </c>
      <c r="X121" s="472">
        <f t="shared" si="78"/>
        <v>5339.2681999999768</v>
      </c>
      <c r="Y121" s="367" t="s">
        <v>174</v>
      </c>
      <c r="Z121" s="367" t="s">
        <v>216</v>
      </c>
      <c r="AA121" s="368" t="s">
        <v>483</v>
      </c>
      <c r="AB121" s="368" t="s">
        <v>793</v>
      </c>
      <c r="AC121" s="368">
        <v>1</v>
      </c>
      <c r="AD121" s="449" t="s">
        <v>730</v>
      </c>
      <c r="AF121" s="362"/>
      <c r="AG121" s="374">
        <f t="shared" ref="AG121:AM121" si="81">AG119/$AF119</f>
        <v>0</v>
      </c>
      <c r="AH121" s="374">
        <f t="shared" si="81"/>
        <v>0</v>
      </c>
      <c r="AI121" s="374">
        <f t="shared" si="81"/>
        <v>0</v>
      </c>
      <c r="AJ121" s="374">
        <f t="shared" si="81"/>
        <v>0.6</v>
      </c>
      <c r="AK121" s="374">
        <f t="shared" si="81"/>
        <v>0.05</v>
      </c>
      <c r="AL121" s="374">
        <f t="shared" si="81"/>
        <v>0.35</v>
      </c>
      <c r="AM121" s="374">
        <f t="shared" si="81"/>
        <v>0</v>
      </c>
    </row>
    <row r="122" spans="2:39" s="147" customFormat="1" ht="27" customHeight="1">
      <c r="B122" s="845"/>
      <c r="C122" s="846"/>
      <c r="D122" s="362">
        <v>6</v>
      </c>
      <c r="E122" s="443" t="s">
        <v>773</v>
      </c>
      <c r="F122" s="365">
        <f t="shared" si="66"/>
        <v>5978.4000000000124</v>
      </c>
      <c r="G122" s="366">
        <v>705</v>
      </c>
      <c r="H122" s="445">
        <v>285.52</v>
      </c>
      <c r="I122" s="445">
        <v>285.52</v>
      </c>
      <c r="J122" s="447">
        <f t="shared" si="67"/>
        <v>1</v>
      </c>
      <c r="K122" s="446">
        <v>285.52</v>
      </c>
      <c r="L122" s="447">
        <f t="shared" si="68"/>
        <v>1</v>
      </c>
      <c r="M122" s="446">
        <v>8.48</v>
      </c>
      <c r="N122" s="447">
        <f t="shared" si="69"/>
        <v>2.9700196133370695E-2</v>
      </c>
      <c r="O122" s="448">
        <f t="shared" si="70"/>
        <v>294</v>
      </c>
      <c r="P122" s="447">
        <f t="shared" si="71"/>
        <v>1.0297001961333707</v>
      </c>
      <c r="Q122" s="445">
        <v>1.37</v>
      </c>
      <c r="R122" s="447">
        <f t="shared" si="72"/>
        <v>4.7982628187167283E-3</v>
      </c>
      <c r="S122" s="455">
        <f t="shared" si="73"/>
        <v>965.85</v>
      </c>
      <c r="T122" s="448">
        <f t="shared" si="74"/>
        <v>8.4800000000000182</v>
      </c>
      <c r="U122" s="447">
        <f t="shared" si="75"/>
        <v>2.9700196133370757E-2</v>
      </c>
      <c r="V122" s="470">
        <f t="shared" si="76"/>
        <v>7.1100000000000181</v>
      </c>
      <c r="W122" s="471">
        <f t="shared" si="77"/>
        <v>2.490193331465403E-2</v>
      </c>
      <c r="X122" s="472">
        <f t="shared" si="78"/>
        <v>5012.5500000000129</v>
      </c>
      <c r="Y122" s="367" t="s">
        <v>174</v>
      </c>
      <c r="Z122" s="367" t="s">
        <v>429</v>
      </c>
      <c r="AA122" s="368" t="s">
        <v>483</v>
      </c>
      <c r="AB122" s="368" t="s">
        <v>793</v>
      </c>
      <c r="AC122" s="368">
        <v>1</v>
      </c>
      <c r="AD122" s="449" t="s">
        <v>743</v>
      </c>
    </row>
    <row r="123" spans="2:39" s="147" customFormat="1" ht="27" customHeight="1">
      <c r="B123" s="845"/>
      <c r="C123" s="846"/>
      <c r="D123" s="362">
        <v>7</v>
      </c>
      <c r="E123" s="443" t="s">
        <v>771</v>
      </c>
      <c r="F123" s="365">
        <f t="shared" si="66"/>
        <v>5136.0867999999909</v>
      </c>
      <c r="G123" s="366">
        <v>91.13</v>
      </c>
      <c r="H123" s="445">
        <v>1903.5200000000002</v>
      </c>
      <c r="I123" s="445">
        <v>1903.5200000000002</v>
      </c>
      <c r="J123" s="447">
        <f t="shared" si="67"/>
        <v>1</v>
      </c>
      <c r="K123" s="446">
        <v>1903.5200000000002</v>
      </c>
      <c r="L123" s="447">
        <f t="shared" si="68"/>
        <v>1</v>
      </c>
      <c r="M123" s="446">
        <v>56.36</v>
      </c>
      <c r="N123" s="447">
        <f t="shared" si="69"/>
        <v>2.960830461460872E-2</v>
      </c>
      <c r="O123" s="448">
        <f t="shared" si="70"/>
        <v>1959.88</v>
      </c>
      <c r="P123" s="447">
        <f t="shared" si="71"/>
        <v>1.0296083046146087</v>
      </c>
      <c r="Q123" s="445">
        <v>12.909999999999998</v>
      </c>
      <c r="R123" s="447">
        <f t="shared" si="72"/>
        <v>6.7821719761284342E-3</v>
      </c>
      <c r="S123" s="455">
        <f t="shared" si="73"/>
        <v>1176.4882999999998</v>
      </c>
      <c r="T123" s="448">
        <f t="shared" si="74"/>
        <v>56.3599999999999</v>
      </c>
      <c r="U123" s="447">
        <f t="shared" si="75"/>
        <v>2.9608304614608668E-2</v>
      </c>
      <c r="V123" s="470">
        <f t="shared" si="76"/>
        <v>43.449999999999903</v>
      </c>
      <c r="W123" s="471">
        <f t="shared" si="77"/>
        <v>2.2826132638480236E-2</v>
      </c>
      <c r="X123" s="472">
        <f t="shared" si="78"/>
        <v>3959.598499999991</v>
      </c>
      <c r="Y123" s="367" t="s">
        <v>174</v>
      </c>
      <c r="Z123" s="367" t="s">
        <v>429</v>
      </c>
      <c r="AA123" s="368" t="s">
        <v>794</v>
      </c>
      <c r="AB123" s="368" t="s">
        <v>795</v>
      </c>
      <c r="AC123" s="368">
        <v>1</v>
      </c>
      <c r="AD123" s="449" t="s">
        <v>743</v>
      </c>
    </row>
    <row r="124" spans="2:39" s="147" customFormat="1" ht="27" customHeight="1">
      <c r="B124" s="845"/>
      <c r="C124" s="846"/>
      <c r="D124" s="362">
        <v>8</v>
      </c>
      <c r="E124" s="443" t="s">
        <v>626</v>
      </c>
      <c r="F124" s="365">
        <f t="shared" si="66"/>
        <v>4779.5826000000052</v>
      </c>
      <c r="G124" s="366">
        <v>39.389999999999993</v>
      </c>
      <c r="H124" s="445">
        <v>6291.2999999999993</v>
      </c>
      <c r="I124" s="445">
        <v>6291.2999999999993</v>
      </c>
      <c r="J124" s="447">
        <f t="shared" si="67"/>
        <v>1</v>
      </c>
      <c r="K124" s="446">
        <v>6291.2999999999993</v>
      </c>
      <c r="L124" s="447">
        <f t="shared" si="68"/>
        <v>1</v>
      </c>
      <c r="M124" s="446">
        <v>121.34</v>
      </c>
      <c r="N124" s="447">
        <f t="shared" si="69"/>
        <v>1.9286951822357862E-2</v>
      </c>
      <c r="O124" s="448">
        <f t="shared" si="70"/>
        <v>6412.6399999999994</v>
      </c>
      <c r="P124" s="447">
        <f t="shared" si="71"/>
        <v>1.019286951822358</v>
      </c>
      <c r="Q124" s="445">
        <v>38.270000000000003</v>
      </c>
      <c r="R124" s="447">
        <f t="shared" si="72"/>
        <v>6.0830035127875017E-3</v>
      </c>
      <c r="S124" s="455">
        <f t="shared" si="73"/>
        <v>1507.4552999999999</v>
      </c>
      <c r="T124" s="448">
        <f t="shared" si="74"/>
        <v>121.34000000000015</v>
      </c>
      <c r="U124" s="447">
        <f t="shared" si="75"/>
        <v>1.9286951822357883E-2</v>
      </c>
      <c r="V124" s="470">
        <f t="shared" si="76"/>
        <v>83.070000000000135</v>
      </c>
      <c r="W124" s="471">
        <f t="shared" si="77"/>
        <v>1.3203948309570382E-2</v>
      </c>
      <c r="X124" s="472">
        <f t="shared" si="78"/>
        <v>3272.1273000000047</v>
      </c>
      <c r="Y124" s="367" t="s">
        <v>174</v>
      </c>
      <c r="Z124" s="367" t="s">
        <v>216</v>
      </c>
      <c r="AA124" s="368" t="s">
        <v>789</v>
      </c>
      <c r="AB124" s="368" t="s">
        <v>790</v>
      </c>
      <c r="AC124" s="368">
        <v>1</v>
      </c>
      <c r="AD124" s="449" t="s">
        <v>621</v>
      </c>
    </row>
    <row r="125" spans="2:39" s="147" customFormat="1" ht="27" customHeight="1">
      <c r="B125" s="845"/>
      <c r="C125" s="846"/>
      <c r="D125" s="362">
        <v>9</v>
      </c>
      <c r="E125" s="443" t="s">
        <v>627</v>
      </c>
      <c r="F125" s="365">
        <f t="shared" si="66"/>
        <v>4616.4327999999887</v>
      </c>
      <c r="G125" s="366">
        <v>95.439999999999984</v>
      </c>
      <c r="H125" s="445">
        <v>1968.5900000000001</v>
      </c>
      <c r="I125" s="445">
        <v>1968.5900000000001</v>
      </c>
      <c r="J125" s="447">
        <f t="shared" si="67"/>
        <v>1</v>
      </c>
      <c r="K125" s="446">
        <v>1968.5900000000001</v>
      </c>
      <c r="L125" s="447">
        <f t="shared" si="68"/>
        <v>1</v>
      </c>
      <c r="M125" s="446">
        <v>48.370000000000005</v>
      </c>
      <c r="N125" s="447">
        <f t="shared" si="69"/>
        <v>2.4570885760874534E-2</v>
      </c>
      <c r="O125" s="448">
        <f t="shared" si="70"/>
        <v>2016.96</v>
      </c>
      <c r="P125" s="447">
        <f t="shared" si="71"/>
        <v>1.0245708857608744</v>
      </c>
      <c r="Q125" s="445">
        <v>10.59</v>
      </c>
      <c r="R125" s="447">
        <f t="shared" si="72"/>
        <v>5.3794848089241537E-3</v>
      </c>
      <c r="S125" s="455">
        <f t="shared" si="73"/>
        <v>1010.7095999999998</v>
      </c>
      <c r="T125" s="448">
        <f t="shared" si="74"/>
        <v>48.369999999999891</v>
      </c>
      <c r="U125" s="447">
        <f t="shared" si="75"/>
        <v>2.4570885760874479E-2</v>
      </c>
      <c r="V125" s="470">
        <f t="shared" si="76"/>
        <v>37.779999999999887</v>
      </c>
      <c r="W125" s="471">
        <f t="shared" si="77"/>
        <v>1.9191400951950321E-2</v>
      </c>
      <c r="X125" s="472">
        <f t="shared" si="78"/>
        <v>3605.7231999999885</v>
      </c>
      <c r="Y125" s="367" t="s">
        <v>174</v>
      </c>
      <c r="Z125" s="367" t="s">
        <v>429</v>
      </c>
      <c r="AA125" s="368" t="s">
        <v>483</v>
      </c>
      <c r="AB125" s="368" t="s">
        <v>793</v>
      </c>
      <c r="AC125" s="368">
        <v>1</v>
      </c>
      <c r="AD125" s="449" t="s">
        <v>340</v>
      </c>
      <c r="AH125" s="371"/>
    </row>
    <row r="126" spans="2:39" s="147" customFormat="1" ht="27" customHeight="1">
      <c r="B126" s="845"/>
      <c r="C126" s="846"/>
      <c r="D126" s="362">
        <v>10</v>
      </c>
      <c r="E126" s="443" t="s">
        <v>676</v>
      </c>
      <c r="F126" s="365">
        <f t="shared" si="66"/>
        <v>4258.0160999999989</v>
      </c>
      <c r="G126" s="366">
        <v>31.59</v>
      </c>
      <c r="H126" s="445">
        <v>4718.01</v>
      </c>
      <c r="I126" s="445">
        <v>4718.01</v>
      </c>
      <c r="J126" s="447">
        <f t="shared" si="67"/>
        <v>1</v>
      </c>
      <c r="K126" s="446">
        <v>4718.01</v>
      </c>
      <c r="L126" s="447">
        <f t="shared" si="68"/>
        <v>1</v>
      </c>
      <c r="M126" s="446">
        <v>134.79000000000002</v>
      </c>
      <c r="N126" s="447">
        <f t="shared" si="69"/>
        <v>2.8569248475522523E-2</v>
      </c>
      <c r="O126" s="448">
        <f t="shared" si="70"/>
        <v>4852.8</v>
      </c>
      <c r="P126" s="447">
        <f t="shared" si="71"/>
        <v>1.0285692484755224</v>
      </c>
      <c r="Q126" s="445">
        <v>31.68</v>
      </c>
      <c r="R126" s="447">
        <f t="shared" si="72"/>
        <v>6.7146953906413931E-3</v>
      </c>
      <c r="S126" s="455">
        <f t="shared" si="73"/>
        <v>1000.7712</v>
      </c>
      <c r="T126" s="448">
        <f t="shared" si="74"/>
        <v>134.78999999999996</v>
      </c>
      <c r="U126" s="447">
        <f t="shared" si="75"/>
        <v>2.8569248475522509E-2</v>
      </c>
      <c r="V126" s="470">
        <f t="shared" si="76"/>
        <v>103.10999999999996</v>
      </c>
      <c r="W126" s="471">
        <f t="shared" si="77"/>
        <v>2.1854553084881115E-2</v>
      </c>
      <c r="X126" s="472">
        <f t="shared" si="78"/>
        <v>3257.2448999999988</v>
      </c>
      <c r="Y126" s="367" t="s">
        <v>174</v>
      </c>
      <c r="Z126" s="367" t="s">
        <v>216</v>
      </c>
      <c r="AA126" s="368" t="s">
        <v>480</v>
      </c>
      <c r="AB126" s="368" t="s">
        <v>478</v>
      </c>
      <c r="AC126" s="368">
        <v>1</v>
      </c>
      <c r="AD126" s="449" t="s">
        <v>674</v>
      </c>
      <c r="AH126" s="371"/>
    </row>
    <row r="127" spans="2:39" s="147" customFormat="1" ht="27" customHeight="1">
      <c r="B127" s="845"/>
      <c r="C127" s="846"/>
      <c r="D127" s="362">
        <v>11</v>
      </c>
      <c r="E127" s="443" t="s">
        <v>462</v>
      </c>
      <c r="F127" s="365">
        <f t="shared" si="66"/>
        <v>4224.1863999999596</v>
      </c>
      <c r="G127" s="366">
        <v>407.74000000000007</v>
      </c>
      <c r="H127" s="445">
        <v>1081.02</v>
      </c>
      <c r="I127" s="445">
        <v>1081.02</v>
      </c>
      <c r="J127" s="447">
        <f t="shared" si="67"/>
        <v>1</v>
      </c>
      <c r="K127" s="446">
        <v>1081.02</v>
      </c>
      <c r="L127" s="447">
        <f t="shared" si="68"/>
        <v>1</v>
      </c>
      <c r="M127" s="446">
        <v>10.36</v>
      </c>
      <c r="N127" s="447">
        <f t="shared" si="69"/>
        <v>9.5835414700930592E-3</v>
      </c>
      <c r="O127" s="448">
        <f t="shared" si="70"/>
        <v>1091.3799999999999</v>
      </c>
      <c r="P127" s="447">
        <f t="shared" si="71"/>
        <v>1.0095835414700929</v>
      </c>
      <c r="Q127" s="445">
        <v>2.5100000000000002</v>
      </c>
      <c r="R127" s="447">
        <f t="shared" si="72"/>
        <v>2.3218811862870253E-3</v>
      </c>
      <c r="S127" s="455">
        <f t="shared" si="73"/>
        <v>1023.4274000000003</v>
      </c>
      <c r="T127" s="448">
        <f t="shared" si="74"/>
        <v>10.3599999999999</v>
      </c>
      <c r="U127" s="447">
        <f t="shared" si="75"/>
        <v>9.5835414700929673E-3</v>
      </c>
      <c r="V127" s="470">
        <f t="shared" si="76"/>
        <v>7.8499999999999002</v>
      </c>
      <c r="W127" s="471">
        <f t="shared" si="77"/>
        <v>7.2616602838059428E-3</v>
      </c>
      <c r="X127" s="472">
        <f t="shared" si="78"/>
        <v>3200.75899999996</v>
      </c>
      <c r="Y127" s="367" t="s">
        <v>174</v>
      </c>
      <c r="Z127" s="367" t="s">
        <v>216</v>
      </c>
      <c r="AA127" s="368" t="s">
        <v>481</v>
      </c>
      <c r="AB127" s="368" t="s">
        <v>482</v>
      </c>
      <c r="AC127" s="368">
        <v>1</v>
      </c>
      <c r="AD127" s="449" t="s">
        <v>464</v>
      </c>
      <c r="AH127" s="371"/>
    </row>
    <row r="128" spans="2:39" s="147" customFormat="1" ht="27" customHeight="1">
      <c r="B128" s="845"/>
      <c r="C128" s="846"/>
      <c r="D128" s="362">
        <v>12</v>
      </c>
      <c r="E128" s="443" t="s">
        <v>728</v>
      </c>
      <c r="F128" s="365">
        <f t="shared" si="66"/>
        <v>4221.2570400000004</v>
      </c>
      <c r="G128" s="366">
        <v>351.42</v>
      </c>
      <c r="H128" s="445">
        <v>451.01</v>
      </c>
      <c r="I128" s="445">
        <v>451.01</v>
      </c>
      <c r="J128" s="447">
        <f t="shared" si="67"/>
        <v>1</v>
      </c>
      <c r="K128" s="446">
        <v>451.01</v>
      </c>
      <c r="L128" s="447">
        <f t="shared" si="68"/>
        <v>1</v>
      </c>
      <c r="M128" s="446">
        <v>12.012</v>
      </c>
      <c r="N128" s="447">
        <f t="shared" si="69"/>
        <v>2.6633555796988981E-2</v>
      </c>
      <c r="O128" s="448">
        <f t="shared" si="70"/>
        <v>463.02199999999999</v>
      </c>
      <c r="P128" s="447">
        <f t="shared" si="71"/>
        <v>1.026633555796989</v>
      </c>
      <c r="Q128" s="445">
        <v>2.68</v>
      </c>
      <c r="R128" s="447">
        <f t="shared" si="72"/>
        <v>5.9422185760847884E-3</v>
      </c>
      <c r="S128" s="455">
        <f t="shared" si="73"/>
        <v>941.80560000000014</v>
      </c>
      <c r="T128" s="448">
        <f t="shared" si="74"/>
        <v>12.012</v>
      </c>
      <c r="U128" s="447">
        <f t="shared" si="75"/>
        <v>2.6633555796988981E-2</v>
      </c>
      <c r="V128" s="470">
        <f t="shared" si="76"/>
        <v>9.3320000000000007</v>
      </c>
      <c r="W128" s="471">
        <f t="shared" si="77"/>
        <v>2.0691337220904195E-2</v>
      </c>
      <c r="X128" s="472">
        <f t="shared" si="78"/>
        <v>3279.4514400000003</v>
      </c>
      <c r="Y128" s="367" t="s">
        <v>174</v>
      </c>
      <c r="Z128" s="367" t="s">
        <v>429</v>
      </c>
      <c r="AA128" s="368" t="s">
        <v>796</v>
      </c>
      <c r="AB128" s="368" t="s">
        <v>797</v>
      </c>
      <c r="AC128" s="368">
        <v>1</v>
      </c>
      <c r="AD128" s="449" t="s">
        <v>695</v>
      </c>
      <c r="AH128" s="371"/>
    </row>
    <row r="129" spans="2:39" s="147" customFormat="1" ht="27" customHeight="1">
      <c r="B129" s="845"/>
      <c r="C129" s="846"/>
      <c r="D129" s="362">
        <v>13</v>
      </c>
      <c r="E129" s="443" t="s">
        <v>651</v>
      </c>
      <c r="F129" s="365">
        <f t="shared" si="66"/>
        <v>4165.1610000000037</v>
      </c>
      <c r="G129" s="366">
        <v>43.889999999999993</v>
      </c>
      <c r="H129" s="445">
        <v>3197.54</v>
      </c>
      <c r="I129" s="445">
        <v>3197.54</v>
      </c>
      <c r="J129" s="447">
        <f t="shared" si="67"/>
        <v>1</v>
      </c>
      <c r="K129" s="446">
        <v>3197.54</v>
      </c>
      <c r="L129" s="447">
        <f t="shared" si="68"/>
        <v>1</v>
      </c>
      <c r="M129" s="446">
        <v>94.9</v>
      </c>
      <c r="N129" s="447">
        <f t="shared" si="69"/>
        <v>2.9679065781819777E-2</v>
      </c>
      <c r="O129" s="448">
        <f t="shared" si="70"/>
        <v>3292.44</v>
      </c>
      <c r="P129" s="447">
        <f t="shared" si="71"/>
        <v>1.0296790657818198</v>
      </c>
      <c r="Q129" s="445">
        <v>22.82</v>
      </c>
      <c r="R129" s="447">
        <f t="shared" si="72"/>
        <v>7.136736366081425E-3</v>
      </c>
      <c r="S129" s="455">
        <f t="shared" si="73"/>
        <v>1001.5697999999999</v>
      </c>
      <c r="T129" s="448">
        <f t="shared" si="74"/>
        <v>94.900000000000091</v>
      </c>
      <c r="U129" s="447">
        <f t="shared" si="75"/>
        <v>2.9679065781819804E-2</v>
      </c>
      <c r="V129" s="470">
        <f t="shared" si="76"/>
        <v>72.080000000000098</v>
      </c>
      <c r="W129" s="471">
        <f t="shared" si="77"/>
        <v>2.2542329415738381E-2</v>
      </c>
      <c r="X129" s="472">
        <f t="shared" si="78"/>
        <v>3163.5912000000039</v>
      </c>
      <c r="Y129" s="367" t="s">
        <v>174</v>
      </c>
      <c r="Z129" s="367" t="s">
        <v>216</v>
      </c>
      <c r="AA129" s="368" t="s">
        <v>789</v>
      </c>
      <c r="AB129" s="368" t="s">
        <v>790</v>
      </c>
      <c r="AC129" s="368">
        <v>1</v>
      </c>
      <c r="AD129" s="449" t="s">
        <v>642</v>
      </c>
    </row>
    <row r="130" spans="2:39" s="147" customFormat="1" ht="27" customHeight="1">
      <c r="B130" s="845"/>
      <c r="C130" s="846"/>
      <c r="D130" s="362">
        <v>14</v>
      </c>
      <c r="E130" s="443" t="s">
        <v>677</v>
      </c>
      <c r="F130" s="365">
        <f t="shared" si="66"/>
        <v>4111.9266000000016</v>
      </c>
      <c r="G130" s="366">
        <v>40.420000000000009</v>
      </c>
      <c r="H130" s="445">
        <v>2590.2800000000002</v>
      </c>
      <c r="I130" s="445">
        <v>2590.2800000000002</v>
      </c>
      <c r="J130" s="447">
        <f t="shared" si="67"/>
        <v>1</v>
      </c>
      <c r="K130" s="446">
        <v>2590.2800000000002</v>
      </c>
      <c r="L130" s="447">
        <f t="shared" si="68"/>
        <v>1</v>
      </c>
      <c r="M130" s="446">
        <v>101.73</v>
      </c>
      <c r="N130" s="447">
        <f t="shared" si="69"/>
        <v>3.9273746467563347E-2</v>
      </c>
      <c r="O130" s="448">
        <f t="shared" si="70"/>
        <v>2692.01</v>
      </c>
      <c r="P130" s="447">
        <f t="shared" si="71"/>
        <v>1.0392737464675634</v>
      </c>
      <c r="Q130" s="445">
        <v>25.98</v>
      </c>
      <c r="R130" s="447">
        <f t="shared" si="72"/>
        <v>1.0029803727782324E-2</v>
      </c>
      <c r="S130" s="455">
        <f t="shared" si="73"/>
        <v>1050.1116000000002</v>
      </c>
      <c r="T130" s="448">
        <f t="shared" si="74"/>
        <v>101.73000000000002</v>
      </c>
      <c r="U130" s="447">
        <f t="shared" si="75"/>
        <v>3.9273746467563354E-2</v>
      </c>
      <c r="V130" s="470">
        <f t="shared" si="76"/>
        <v>75.750000000000014</v>
      </c>
      <c r="W130" s="471">
        <f t="shared" si="77"/>
        <v>2.924394273978103E-2</v>
      </c>
      <c r="X130" s="472">
        <f t="shared" si="78"/>
        <v>3061.8150000000014</v>
      </c>
      <c r="Y130" s="367" t="s">
        <v>174</v>
      </c>
      <c r="Z130" s="367" t="s">
        <v>216</v>
      </c>
      <c r="AA130" s="368" t="s">
        <v>789</v>
      </c>
      <c r="AB130" s="368" t="s">
        <v>790</v>
      </c>
      <c r="AC130" s="368">
        <v>1</v>
      </c>
      <c r="AD130" s="449" t="s">
        <v>674</v>
      </c>
    </row>
    <row r="131" spans="2:39" s="147" customFormat="1" ht="27" customHeight="1">
      <c r="B131" s="845"/>
      <c r="C131" s="846"/>
      <c r="D131" s="362">
        <v>15</v>
      </c>
      <c r="E131" s="443" t="s">
        <v>433</v>
      </c>
      <c r="F131" s="365">
        <f t="shared" si="66"/>
        <v>4049.5399999999991</v>
      </c>
      <c r="G131" s="366">
        <v>368.13999999999993</v>
      </c>
      <c r="H131" s="445">
        <v>398.59</v>
      </c>
      <c r="I131" s="445">
        <v>398.59</v>
      </c>
      <c r="J131" s="447">
        <f t="shared" si="67"/>
        <v>1</v>
      </c>
      <c r="K131" s="446">
        <v>398.59</v>
      </c>
      <c r="L131" s="447">
        <f t="shared" si="68"/>
        <v>1</v>
      </c>
      <c r="M131" s="446">
        <v>11</v>
      </c>
      <c r="N131" s="447">
        <f t="shared" si="69"/>
        <v>2.759728041345744E-2</v>
      </c>
      <c r="O131" s="448">
        <f t="shared" si="70"/>
        <v>409.59</v>
      </c>
      <c r="P131" s="447">
        <f t="shared" si="71"/>
        <v>1.0275972804134574</v>
      </c>
      <c r="Q131" s="445">
        <v>2.7</v>
      </c>
      <c r="R131" s="447">
        <f t="shared" si="72"/>
        <v>6.7738779196668264E-3</v>
      </c>
      <c r="S131" s="455">
        <f t="shared" si="73"/>
        <v>993.97799999999984</v>
      </c>
      <c r="T131" s="448">
        <f t="shared" si="74"/>
        <v>11</v>
      </c>
      <c r="U131" s="447">
        <f t="shared" si="75"/>
        <v>2.759728041345744E-2</v>
      </c>
      <c r="V131" s="470">
        <f t="shared" si="76"/>
        <v>8.3000000000000007</v>
      </c>
      <c r="W131" s="471">
        <f t="shared" si="77"/>
        <v>2.0823402493790614E-2</v>
      </c>
      <c r="X131" s="472">
        <f t="shared" si="78"/>
        <v>3055.5619999999999</v>
      </c>
      <c r="Y131" s="367" t="s">
        <v>174</v>
      </c>
      <c r="Z131" s="367" t="s">
        <v>429</v>
      </c>
      <c r="AA131" s="368" t="s">
        <v>796</v>
      </c>
      <c r="AB131" s="368" t="s">
        <v>797</v>
      </c>
      <c r="AC131" s="368">
        <v>1</v>
      </c>
      <c r="AD131" s="449" t="s">
        <v>434</v>
      </c>
    </row>
    <row r="132" spans="2:39" s="147" customFormat="1" ht="27" customHeight="1">
      <c r="B132" s="845"/>
      <c r="C132" s="846"/>
      <c r="D132" s="362">
        <v>16</v>
      </c>
      <c r="E132" s="443" t="s">
        <v>655</v>
      </c>
      <c r="F132" s="365">
        <f t="shared" si="66"/>
        <v>4046.8786000000009</v>
      </c>
      <c r="G132" s="366">
        <v>49.82</v>
      </c>
      <c r="H132" s="445">
        <v>2935.75</v>
      </c>
      <c r="I132" s="445">
        <v>2935.75</v>
      </c>
      <c r="J132" s="447">
        <f t="shared" si="67"/>
        <v>1</v>
      </c>
      <c r="K132" s="446">
        <v>2935.75</v>
      </c>
      <c r="L132" s="447">
        <f t="shared" si="68"/>
        <v>1</v>
      </c>
      <c r="M132" s="446">
        <v>81.23</v>
      </c>
      <c r="N132" s="447">
        <f t="shared" si="69"/>
        <v>2.7669249765817937E-2</v>
      </c>
      <c r="O132" s="448">
        <f t="shared" si="70"/>
        <v>3016.98</v>
      </c>
      <c r="P132" s="447">
        <f t="shared" si="71"/>
        <v>1.027669249765818</v>
      </c>
      <c r="Q132" s="445">
        <v>21.09</v>
      </c>
      <c r="R132" s="447">
        <f t="shared" si="72"/>
        <v>7.1838542110193304E-3</v>
      </c>
      <c r="S132" s="455">
        <f t="shared" si="73"/>
        <v>1050.7038</v>
      </c>
      <c r="T132" s="448">
        <f t="shared" si="74"/>
        <v>81.230000000000018</v>
      </c>
      <c r="U132" s="447">
        <f t="shared" si="75"/>
        <v>2.766924976581794E-2</v>
      </c>
      <c r="V132" s="470">
        <f t="shared" si="76"/>
        <v>60.140000000000015</v>
      </c>
      <c r="W132" s="471">
        <f t="shared" si="77"/>
        <v>2.048539555479861E-2</v>
      </c>
      <c r="X132" s="472">
        <f t="shared" si="78"/>
        <v>2996.1748000000007</v>
      </c>
      <c r="Y132" s="367" t="s">
        <v>174</v>
      </c>
      <c r="Z132" s="367" t="s">
        <v>429</v>
      </c>
      <c r="AA132" s="368" t="s">
        <v>480</v>
      </c>
      <c r="AB132" s="368" t="s">
        <v>478</v>
      </c>
      <c r="AC132" s="368">
        <v>1</v>
      </c>
      <c r="AD132" s="449" t="s">
        <v>623</v>
      </c>
    </row>
    <row r="133" spans="2:39" s="147" customFormat="1" ht="27" customHeight="1">
      <c r="B133" s="845"/>
      <c r="C133" s="846"/>
      <c r="D133" s="362">
        <v>17</v>
      </c>
      <c r="E133" s="443" t="s">
        <v>729</v>
      </c>
      <c r="F133" s="365">
        <f t="shared" si="66"/>
        <v>4010.6540000000095</v>
      </c>
      <c r="G133" s="366">
        <v>98.060000000000016</v>
      </c>
      <c r="H133" s="445">
        <v>1407.1200000000001</v>
      </c>
      <c r="I133" s="445">
        <v>1407.1200000000001</v>
      </c>
      <c r="J133" s="447">
        <f t="shared" si="67"/>
        <v>1</v>
      </c>
      <c r="K133" s="446">
        <v>1407.1200000000001</v>
      </c>
      <c r="L133" s="447">
        <f t="shared" si="68"/>
        <v>1</v>
      </c>
      <c r="M133" s="446">
        <v>40.9</v>
      </c>
      <c r="N133" s="447">
        <f t="shared" si="69"/>
        <v>2.9066461993291257E-2</v>
      </c>
      <c r="O133" s="448">
        <f t="shared" si="70"/>
        <v>1448.0200000000002</v>
      </c>
      <c r="P133" s="447">
        <f t="shared" si="71"/>
        <v>1.0290664619932912</v>
      </c>
      <c r="Q133" s="445">
        <v>10.220000000000001</v>
      </c>
      <c r="R133" s="447">
        <f t="shared" si="72"/>
        <v>7.2630621411109214E-3</v>
      </c>
      <c r="S133" s="455">
        <f t="shared" si="73"/>
        <v>1002.1732000000002</v>
      </c>
      <c r="T133" s="448">
        <f t="shared" si="74"/>
        <v>40.900000000000091</v>
      </c>
      <c r="U133" s="447">
        <f t="shared" si="75"/>
        <v>2.9066461993291322E-2</v>
      </c>
      <c r="V133" s="470">
        <f t="shared" si="76"/>
        <v>30.680000000000092</v>
      </c>
      <c r="W133" s="471">
        <f t="shared" si="77"/>
        <v>2.1803399852180404E-2</v>
      </c>
      <c r="X133" s="472">
        <f t="shared" si="78"/>
        <v>3008.4808000000094</v>
      </c>
      <c r="Y133" s="367" t="s">
        <v>174</v>
      </c>
      <c r="Z133" s="367" t="s">
        <v>429</v>
      </c>
      <c r="AA133" s="368" t="s">
        <v>480</v>
      </c>
      <c r="AB133" s="368" t="s">
        <v>478</v>
      </c>
      <c r="AC133" s="368">
        <v>1</v>
      </c>
      <c r="AD133" s="449" t="s">
        <v>695</v>
      </c>
    </row>
    <row r="134" spans="2:39" s="147" customFormat="1" ht="27" customHeight="1">
      <c r="B134" s="845"/>
      <c r="C134" s="846"/>
      <c r="D134" s="362">
        <v>18</v>
      </c>
      <c r="E134" s="443" t="s">
        <v>586</v>
      </c>
      <c r="F134" s="365">
        <f t="shared" si="66"/>
        <v>4003.8096000000041</v>
      </c>
      <c r="G134" s="366">
        <v>113.68000000000004</v>
      </c>
      <c r="H134" s="445">
        <v>1243</v>
      </c>
      <c r="I134" s="445">
        <v>1243</v>
      </c>
      <c r="J134" s="447">
        <f t="shared" si="67"/>
        <v>1</v>
      </c>
      <c r="K134" s="446">
        <v>1243</v>
      </c>
      <c r="L134" s="447">
        <f t="shared" si="68"/>
        <v>1</v>
      </c>
      <c r="M134" s="446">
        <v>35.220000000000006</v>
      </c>
      <c r="N134" s="447">
        <f t="shared" si="69"/>
        <v>2.8334674175382144E-2</v>
      </c>
      <c r="O134" s="448">
        <f t="shared" si="70"/>
        <v>1278.22</v>
      </c>
      <c r="P134" s="447">
        <f t="shared" si="71"/>
        <v>1.0283346741753823</v>
      </c>
      <c r="Q134" s="445">
        <v>8.81</v>
      </c>
      <c r="R134" s="447">
        <f t="shared" si="72"/>
        <v>7.0876910699919551E-3</v>
      </c>
      <c r="S134" s="455">
        <f t="shared" si="73"/>
        <v>1001.5208000000003</v>
      </c>
      <c r="T134" s="448">
        <f t="shared" si="74"/>
        <v>35.220000000000027</v>
      </c>
      <c r="U134" s="447">
        <f t="shared" si="75"/>
        <v>2.8334674175382161E-2</v>
      </c>
      <c r="V134" s="470">
        <f t="shared" si="76"/>
        <v>26.410000000000025</v>
      </c>
      <c r="W134" s="471">
        <f t="shared" si="77"/>
        <v>2.1246983105390204E-2</v>
      </c>
      <c r="X134" s="472">
        <f t="shared" si="78"/>
        <v>3002.2888000000039</v>
      </c>
      <c r="Y134" s="367" t="s">
        <v>174</v>
      </c>
      <c r="Z134" s="367" t="s">
        <v>429</v>
      </c>
      <c r="AA134" s="368" t="s">
        <v>480</v>
      </c>
      <c r="AB134" s="368" t="s">
        <v>478</v>
      </c>
      <c r="AC134" s="368">
        <v>1</v>
      </c>
      <c r="AD134" s="449" t="s">
        <v>568</v>
      </c>
    </row>
    <row r="135" spans="2:39" s="147" customFormat="1" ht="27" customHeight="1">
      <c r="B135" s="845"/>
      <c r="C135" s="846"/>
      <c r="D135" s="362">
        <v>19</v>
      </c>
      <c r="E135" s="443" t="s">
        <v>547</v>
      </c>
      <c r="F135" s="365">
        <f t="shared" si="66"/>
        <v>3925.4767999999931</v>
      </c>
      <c r="G135" s="366">
        <v>66.13</v>
      </c>
      <c r="H135" s="445">
        <v>1969.3800000000003</v>
      </c>
      <c r="I135" s="445">
        <v>1969.3800000000003</v>
      </c>
      <c r="J135" s="447">
        <f t="shared" si="67"/>
        <v>1</v>
      </c>
      <c r="K135" s="446">
        <v>1969.3800000000003</v>
      </c>
      <c r="L135" s="447">
        <f t="shared" si="68"/>
        <v>1</v>
      </c>
      <c r="M135" s="446">
        <v>59.36</v>
      </c>
      <c r="N135" s="447">
        <f t="shared" si="69"/>
        <v>3.0141465842041651E-2</v>
      </c>
      <c r="O135" s="448">
        <f t="shared" si="70"/>
        <v>2028.7400000000002</v>
      </c>
      <c r="P135" s="447">
        <f t="shared" si="71"/>
        <v>1.0301414658420416</v>
      </c>
      <c r="Q135" s="445">
        <v>15.13</v>
      </c>
      <c r="R135" s="447">
        <f t="shared" si="72"/>
        <v>7.682620926382922E-3</v>
      </c>
      <c r="S135" s="455">
        <f t="shared" si="73"/>
        <v>1000.5468999999999</v>
      </c>
      <c r="T135" s="448">
        <f t="shared" si="74"/>
        <v>59.3599999999999</v>
      </c>
      <c r="U135" s="447">
        <f t="shared" si="75"/>
        <v>3.0141465842041602E-2</v>
      </c>
      <c r="V135" s="470">
        <f t="shared" si="76"/>
        <v>44.229999999999897</v>
      </c>
      <c r="W135" s="471">
        <f t="shared" si="77"/>
        <v>2.2458844915658679E-2</v>
      </c>
      <c r="X135" s="472">
        <f t="shared" si="78"/>
        <v>2924.9298999999928</v>
      </c>
      <c r="Y135" s="367" t="s">
        <v>174</v>
      </c>
      <c r="Z135" s="367" t="s">
        <v>429</v>
      </c>
      <c r="AA135" s="368" t="s">
        <v>480</v>
      </c>
      <c r="AB135" s="368" t="s">
        <v>478</v>
      </c>
      <c r="AC135" s="368">
        <v>1</v>
      </c>
      <c r="AD135" s="449" t="s">
        <v>341</v>
      </c>
    </row>
    <row r="136" spans="2:39" s="147" customFormat="1" ht="27" customHeight="1">
      <c r="B136" s="847"/>
      <c r="C136" s="848"/>
      <c r="D136" s="362">
        <v>20</v>
      </c>
      <c r="E136" s="443" t="s">
        <v>465</v>
      </c>
      <c r="F136" s="365">
        <f t="shared" si="66"/>
        <v>3912.3799999999992</v>
      </c>
      <c r="G136" s="366">
        <v>629</v>
      </c>
      <c r="H136" s="445">
        <v>250.79999999999998</v>
      </c>
      <c r="I136" s="445">
        <v>250.79999999999998</v>
      </c>
      <c r="J136" s="447">
        <f t="shared" si="67"/>
        <v>1</v>
      </c>
      <c r="K136" s="446">
        <v>250.79999999999998</v>
      </c>
      <c r="L136" s="447">
        <f t="shared" si="68"/>
        <v>1</v>
      </c>
      <c r="M136" s="446">
        <v>6.22</v>
      </c>
      <c r="N136" s="447">
        <f t="shared" si="69"/>
        <v>2.4800637958532695E-2</v>
      </c>
      <c r="O136" s="448">
        <f t="shared" si="70"/>
        <v>257.02</v>
      </c>
      <c r="P136" s="447">
        <f t="shared" si="71"/>
        <v>1.0248006379585326</v>
      </c>
      <c r="Q136" s="445">
        <v>1.57</v>
      </c>
      <c r="R136" s="447">
        <f t="shared" si="72"/>
        <v>6.2599681020733657E-3</v>
      </c>
      <c r="S136" s="455">
        <f t="shared" si="73"/>
        <v>987.53000000000009</v>
      </c>
      <c r="T136" s="448">
        <f t="shared" si="74"/>
        <v>6.2199999999999989</v>
      </c>
      <c r="U136" s="447">
        <f t="shared" si="75"/>
        <v>2.4800637958532691E-2</v>
      </c>
      <c r="V136" s="470">
        <f t="shared" si="76"/>
        <v>4.6499999999999986</v>
      </c>
      <c r="W136" s="471">
        <f t="shared" si="77"/>
        <v>1.8540669856459326E-2</v>
      </c>
      <c r="X136" s="472">
        <f t="shared" si="78"/>
        <v>2924.849999999999</v>
      </c>
      <c r="Y136" s="367" t="s">
        <v>174</v>
      </c>
      <c r="Z136" s="367" t="s">
        <v>429</v>
      </c>
      <c r="AA136" s="368" t="s">
        <v>483</v>
      </c>
      <c r="AB136" s="368" t="s">
        <v>793</v>
      </c>
      <c r="AC136" s="368">
        <v>1</v>
      </c>
      <c r="AD136" s="449" t="s">
        <v>459</v>
      </c>
    </row>
    <row r="137" spans="2:39" ht="17.149999999999999" customHeight="1">
      <c r="B137" s="873" t="s">
        <v>443</v>
      </c>
      <c r="C137" s="874"/>
      <c r="D137" s="875" t="s">
        <v>551</v>
      </c>
      <c r="E137" s="876" t="s">
        <v>552</v>
      </c>
      <c r="F137" s="906" t="s">
        <v>569</v>
      </c>
      <c r="G137" s="835" t="s">
        <v>554</v>
      </c>
      <c r="H137" s="878" t="s">
        <v>555</v>
      </c>
      <c r="I137" s="867" t="s">
        <v>556</v>
      </c>
      <c r="J137" s="868"/>
      <c r="K137" s="867" t="s">
        <v>557</v>
      </c>
      <c r="L137" s="868"/>
      <c r="M137" s="867" t="s">
        <v>558</v>
      </c>
      <c r="N137" s="868"/>
      <c r="O137" s="867" t="s">
        <v>559</v>
      </c>
      <c r="P137" s="868"/>
      <c r="Q137" s="867" t="s">
        <v>418</v>
      </c>
      <c r="R137" s="905"/>
      <c r="S137" s="868"/>
      <c r="T137" s="864" t="s">
        <v>776</v>
      </c>
      <c r="U137" s="865"/>
      <c r="V137" s="881" t="s">
        <v>775</v>
      </c>
      <c r="W137" s="882"/>
      <c r="X137" s="883"/>
      <c r="Y137" s="861" t="s">
        <v>171</v>
      </c>
      <c r="Z137" s="861" t="s">
        <v>245</v>
      </c>
      <c r="AA137" s="861" t="s">
        <v>560</v>
      </c>
      <c r="AB137" s="861" t="s">
        <v>445</v>
      </c>
      <c r="AC137" s="861" t="s">
        <v>246</v>
      </c>
      <c r="AD137" s="835" t="s">
        <v>172</v>
      </c>
      <c r="AF137" s="884" t="s">
        <v>247</v>
      </c>
      <c r="AG137" s="885"/>
      <c r="AH137" s="885"/>
      <c r="AI137" s="885"/>
      <c r="AJ137" s="885"/>
      <c r="AK137" s="885"/>
      <c r="AL137" s="885"/>
      <c r="AM137" s="886"/>
    </row>
    <row r="138" spans="2:39" ht="16.5" customHeight="1">
      <c r="B138" s="871"/>
      <c r="C138" s="872"/>
      <c r="D138" s="875"/>
      <c r="E138" s="875"/>
      <c r="F138" s="877"/>
      <c r="G138" s="836"/>
      <c r="H138" s="836"/>
      <c r="I138" s="442" t="s">
        <v>561</v>
      </c>
      <c r="J138" s="363" t="s">
        <v>562</v>
      </c>
      <c r="K138" s="442" t="s">
        <v>561</v>
      </c>
      <c r="L138" s="363" t="s">
        <v>562</v>
      </c>
      <c r="M138" s="442" t="s">
        <v>561</v>
      </c>
      <c r="N138" s="363" t="s">
        <v>562</v>
      </c>
      <c r="O138" s="442" t="s">
        <v>561</v>
      </c>
      <c r="P138" s="363" t="s">
        <v>562</v>
      </c>
      <c r="Q138" s="442" t="s">
        <v>561</v>
      </c>
      <c r="R138" s="363" t="s">
        <v>562</v>
      </c>
      <c r="S138" s="363" t="s">
        <v>563</v>
      </c>
      <c r="T138" s="442" t="s">
        <v>561</v>
      </c>
      <c r="U138" s="363" t="s">
        <v>562</v>
      </c>
      <c r="V138" s="442" t="s">
        <v>561</v>
      </c>
      <c r="W138" s="363" t="s">
        <v>562</v>
      </c>
      <c r="X138" s="363" t="s">
        <v>563</v>
      </c>
      <c r="Y138" s="863"/>
      <c r="Z138" s="863"/>
      <c r="AA138" s="863"/>
      <c r="AB138" s="863"/>
      <c r="AC138" s="863"/>
      <c r="AD138" s="836"/>
      <c r="AF138" s="887"/>
      <c r="AG138" s="888"/>
      <c r="AH138" s="888"/>
      <c r="AI138" s="888"/>
      <c r="AJ138" s="888"/>
      <c r="AK138" s="888"/>
      <c r="AL138" s="888"/>
      <c r="AM138" s="889"/>
    </row>
    <row r="139" spans="2:39" s="147" customFormat="1" ht="27" customHeight="1">
      <c r="B139" s="904" t="s">
        <v>828</v>
      </c>
      <c r="C139" s="844"/>
      <c r="D139" s="362">
        <v>1</v>
      </c>
      <c r="E139" s="443" t="s">
        <v>336</v>
      </c>
      <c r="F139" s="365">
        <f>IFERROR(T139*G139,"-")</f>
        <v>11128.016399999939</v>
      </c>
      <c r="G139" s="366">
        <v>147.43000000000004</v>
      </c>
      <c r="H139" s="445">
        <v>4347.82</v>
      </c>
      <c r="I139" s="445">
        <v>4347.82</v>
      </c>
      <c r="J139" s="447">
        <f>IFERROR(I139/H139,"-")</f>
        <v>1</v>
      </c>
      <c r="K139" s="446">
        <v>4347.82</v>
      </c>
      <c r="L139" s="447">
        <f>IFERROR(K139/H139,"-")</f>
        <v>1</v>
      </c>
      <c r="M139" s="446">
        <v>75.47999999999999</v>
      </c>
      <c r="N139" s="447">
        <f>IFERROR(M139/H139,"-")</f>
        <v>1.7360424304594026E-2</v>
      </c>
      <c r="O139" s="448">
        <f>IFERROR(K139+M139,"-")</f>
        <v>4423.2999999999993</v>
      </c>
      <c r="P139" s="447">
        <f>IFERROR(O139/H139,"-")</f>
        <v>1.0173604243045939</v>
      </c>
      <c r="Q139" s="445">
        <v>11.11</v>
      </c>
      <c r="R139" s="447">
        <f>IFERROR(Q139/H139,"-")</f>
        <v>2.5553035774250085E-3</v>
      </c>
      <c r="S139" s="455">
        <f>IFERROR(Q139*G139,"-")</f>
        <v>1637.9473000000003</v>
      </c>
      <c r="T139" s="448">
        <f>IFERROR(O139-H139,"-")</f>
        <v>75.479999999999563</v>
      </c>
      <c r="U139" s="447">
        <f>IFERROR(T139/H139,"-")</f>
        <v>1.7360424304593926E-2</v>
      </c>
      <c r="V139" s="470">
        <f>T139-Q139</f>
        <v>64.369999999999564</v>
      </c>
      <c r="W139" s="471">
        <f>IFERROR(V139/H139,"-")</f>
        <v>1.4805120727168919E-2</v>
      </c>
      <c r="X139" s="472">
        <f>IFERROR(V139*G139,"-")</f>
        <v>9490.0690999999388</v>
      </c>
      <c r="Y139" s="367" t="s">
        <v>174</v>
      </c>
      <c r="Z139" s="367" t="s">
        <v>215</v>
      </c>
      <c r="AA139" s="368"/>
      <c r="AB139" s="368"/>
      <c r="AC139" s="368">
        <v>1</v>
      </c>
      <c r="AD139" s="449" t="s">
        <v>340</v>
      </c>
      <c r="AF139" s="890"/>
      <c r="AG139" s="891"/>
      <c r="AH139" s="891"/>
      <c r="AI139" s="891"/>
      <c r="AJ139" s="891"/>
      <c r="AK139" s="891"/>
      <c r="AL139" s="891"/>
      <c r="AM139" s="892"/>
    </row>
    <row r="140" spans="2:39" s="147" customFormat="1" ht="27" customHeight="1">
      <c r="B140" s="845"/>
      <c r="C140" s="846"/>
      <c r="D140" s="362">
        <v>2</v>
      </c>
      <c r="E140" s="443" t="s">
        <v>725</v>
      </c>
      <c r="F140" s="365">
        <f t="shared" ref="F140:F158" si="82">IFERROR(T140*G140,"-")</f>
        <v>8155.9981999999818</v>
      </c>
      <c r="G140" s="366">
        <v>625.93999999999994</v>
      </c>
      <c r="H140" s="445">
        <v>1384.34</v>
      </c>
      <c r="I140" s="445">
        <v>1384.34</v>
      </c>
      <c r="J140" s="447">
        <f t="shared" ref="J140:J158" si="83">IFERROR(I140/H140,"-")</f>
        <v>1</v>
      </c>
      <c r="K140" s="446">
        <v>1384.34</v>
      </c>
      <c r="L140" s="447">
        <f t="shared" ref="L140:L158" si="84">IFERROR(K140/H140,"-")</f>
        <v>1</v>
      </c>
      <c r="M140" s="446">
        <v>13.03</v>
      </c>
      <c r="N140" s="447">
        <f t="shared" ref="N140:N158" si="85">IFERROR(M140/H140,"-")</f>
        <v>9.4124275828192504E-3</v>
      </c>
      <c r="O140" s="448">
        <f t="shared" ref="O140:O158" si="86">IFERROR(K140+M140,"-")</f>
        <v>1397.37</v>
      </c>
      <c r="P140" s="447">
        <f t="shared" ref="P140:P158" si="87">IFERROR(O140/H140,"-")</f>
        <v>1.0094124275828191</v>
      </c>
      <c r="Q140" s="445">
        <v>1.87</v>
      </c>
      <c r="R140" s="447">
        <f t="shared" ref="R140:R158" si="88">IFERROR(Q140/H140,"-")</f>
        <v>1.3508242194836531E-3</v>
      </c>
      <c r="S140" s="455">
        <f t="shared" ref="S140:S158" si="89">IFERROR(Q140*G140,"-")</f>
        <v>1170.5077999999999</v>
      </c>
      <c r="T140" s="448">
        <f t="shared" ref="T140:T158" si="90">IFERROR(O140-H140,"-")</f>
        <v>13.029999999999973</v>
      </c>
      <c r="U140" s="447">
        <f t="shared" ref="U140:U158" si="91">IFERROR(T140/H140,"-")</f>
        <v>9.4124275828192296E-3</v>
      </c>
      <c r="V140" s="470">
        <f t="shared" ref="V140:V158" si="92">T140-Q140</f>
        <v>11.159999999999972</v>
      </c>
      <c r="W140" s="471">
        <f t="shared" ref="W140:W158" si="93">IFERROR(V140/H140,"-")</f>
        <v>8.0616033633355774E-3</v>
      </c>
      <c r="X140" s="472">
        <f t="shared" ref="X140:X158" si="94">IFERROR(V140*G140,"-")</f>
        <v>6985.4903999999815</v>
      </c>
      <c r="Y140" s="367" t="s">
        <v>174</v>
      </c>
      <c r="Z140" s="367" t="s">
        <v>216</v>
      </c>
      <c r="AA140" s="368"/>
      <c r="AB140" s="368"/>
      <c r="AC140" s="368">
        <v>1</v>
      </c>
      <c r="AD140" s="449" t="s">
        <v>730</v>
      </c>
      <c r="AF140" s="160" t="s">
        <v>244</v>
      </c>
      <c r="AG140" s="160" t="s">
        <v>446</v>
      </c>
      <c r="AH140" s="155" t="s">
        <v>564</v>
      </c>
      <c r="AI140" s="155" t="s">
        <v>337</v>
      </c>
      <c r="AJ140" s="155" t="s">
        <v>429</v>
      </c>
      <c r="AK140" s="155" t="s">
        <v>215</v>
      </c>
      <c r="AL140" s="155" t="s">
        <v>216</v>
      </c>
      <c r="AM140" s="155" t="s">
        <v>384</v>
      </c>
    </row>
    <row r="141" spans="2:39" s="147" customFormat="1" ht="27" customHeight="1">
      <c r="B141" s="845"/>
      <c r="C141" s="846"/>
      <c r="D141" s="362">
        <v>3</v>
      </c>
      <c r="E141" s="443" t="s">
        <v>535</v>
      </c>
      <c r="F141" s="365">
        <f t="shared" si="82"/>
        <v>7040.9624999999987</v>
      </c>
      <c r="G141" s="366">
        <v>39.389999999999993</v>
      </c>
      <c r="H141" s="445">
        <v>32379.059999999998</v>
      </c>
      <c r="I141" s="445">
        <v>32379.059999999998</v>
      </c>
      <c r="J141" s="447">
        <f t="shared" si="83"/>
        <v>1</v>
      </c>
      <c r="K141" s="446">
        <v>32379.059999999998</v>
      </c>
      <c r="L141" s="447">
        <f t="shared" si="84"/>
        <v>1</v>
      </c>
      <c r="M141" s="446">
        <v>178.75</v>
      </c>
      <c r="N141" s="447">
        <f t="shared" si="85"/>
        <v>5.5205432152755519E-3</v>
      </c>
      <c r="O141" s="448">
        <f t="shared" si="86"/>
        <v>32557.809999999998</v>
      </c>
      <c r="P141" s="447">
        <f t="shared" si="87"/>
        <v>1.0055205432152756</v>
      </c>
      <c r="Q141" s="445">
        <v>38.47</v>
      </c>
      <c r="R141" s="447">
        <f t="shared" si="88"/>
        <v>1.1881135524008418E-3</v>
      </c>
      <c r="S141" s="455">
        <f t="shared" si="89"/>
        <v>1515.3332999999998</v>
      </c>
      <c r="T141" s="448">
        <f t="shared" si="90"/>
        <v>178.75</v>
      </c>
      <c r="U141" s="447">
        <f t="shared" si="91"/>
        <v>5.5205432152755519E-3</v>
      </c>
      <c r="V141" s="470">
        <f t="shared" si="92"/>
        <v>140.28</v>
      </c>
      <c r="W141" s="471">
        <f t="shared" si="93"/>
        <v>4.3324296628747105E-3</v>
      </c>
      <c r="X141" s="472">
        <f t="shared" si="94"/>
        <v>5525.6291999999994</v>
      </c>
      <c r="Y141" s="367" t="s">
        <v>174</v>
      </c>
      <c r="Z141" s="367" t="s">
        <v>216</v>
      </c>
      <c r="AA141" s="368"/>
      <c r="AB141" s="368"/>
      <c r="AC141" s="368">
        <v>1</v>
      </c>
      <c r="AD141" s="449" t="s">
        <v>340</v>
      </c>
      <c r="AF141" s="375">
        <f>SUM(AC139:AC158)</f>
        <v>20</v>
      </c>
      <c r="AG141" s="370">
        <f>SUMIF($Z$139:$Z$158,TRIM(AG140),$AC$139:$AC$158)</f>
        <v>0</v>
      </c>
      <c r="AH141" s="370">
        <f t="shared" ref="AH141:AM141" si="95">SUMIF($Z$139:$Z$158,TRIM(AH140),$AC$139:$AC$158)</f>
        <v>0</v>
      </c>
      <c r="AI141" s="370">
        <f t="shared" si="95"/>
        <v>0</v>
      </c>
      <c r="AJ141" s="370">
        <f t="shared" si="95"/>
        <v>12</v>
      </c>
      <c r="AK141" s="370">
        <f t="shared" si="95"/>
        <v>1</v>
      </c>
      <c r="AL141" s="370">
        <f t="shared" si="95"/>
        <v>7</v>
      </c>
      <c r="AM141" s="370">
        <f t="shared" si="95"/>
        <v>0</v>
      </c>
    </row>
    <row r="142" spans="2:39" s="147" customFormat="1" ht="27" customHeight="1">
      <c r="B142" s="845"/>
      <c r="C142" s="846"/>
      <c r="D142" s="362">
        <v>4</v>
      </c>
      <c r="E142" s="443" t="s">
        <v>835</v>
      </c>
      <c r="F142" s="365">
        <f t="shared" si="82"/>
        <v>6474.0000000000236</v>
      </c>
      <c r="G142" s="366">
        <v>650</v>
      </c>
      <c r="H142" s="445">
        <v>707.8</v>
      </c>
      <c r="I142" s="445">
        <v>707.8</v>
      </c>
      <c r="J142" s="447">
        <f t="shared" si="83"/>
        <v>1</v>
      </c>
      <c r="K142" s="446">
        <v>707.8</v>
      </c>
      <c r="L142" s="447">
        <f t="shared" si="84"/>
        <v>1</v>
      </c>
      <c r="M142" s="446">
        <v>9.9600000000000009</v>
      </c>
      <c r="N142" s="447">
        <f t="shared" si="85"/>
        <v>1.4071771686917211E-2</v>
      </c>
      <c r="O142" s="448">
        <f t="shared" si="86"/>
        <v>717.76</v>
      </c>
      <c r="P142" s="447">
        <f t="shared" si="87"/>
        <v>1.0140717716869172</v>
      </c>
      <c r="Q142" s="445">
        <v>1.1599999999999999</v>
      </c>
      <c r="R142" s="447">
        <f t="shared" si="88"/>
        <v>1.6388810398417632E-3</v>
      </c>
      <c r="S142" s="455">
        <f t="shared" si="89"/>
        <v>754</v>
      </c>
      <c r="T142" s="448">
        <f t="shared" si="90"/>
        <v>9.9600000000000364</v>
      </c>
      <c r="U142" s="447">
        <f t="shared" si="91"/>
        <v>1.4071771686917261E-2</v>
      </c>
      <c r="V142" s="470">
        <f t="shared" si="92"/>
        <v>8.8000000000000362</v>
      </c>
      <c r="W142" s="471">
        <f t="shared" si="93"/>
        <v>1.2432890647075498E-2</v>
      </c>
      <c r="X142" s="472">
        <f t="shared" si="94"/>
        <v>5720.0000000000236</v>
      </c>
      <c r="Y142" s="367" t="s">
        <v>174</v>
      </c>
      <c r="Z142" s="367" t="s">
        <v>429</v>
      </c>
      <c r="AA142" s="368"/>
      <c r="AB142" s="368"/>
      <c r="AC142" s="368">
        <v>1</v>
      </c>
      <c r="AD142" s="449" t="s">
        <v>809</v>
      </c>
      <c r="AF142" s="376"/>
      <c r="AG142" s="373">
        <f>SUMIF($Z$139:$Z$158,TRIM(AG140),$F$139:$F$158)</f>
        <v>0</v>
      </c>
      <c r="AH142" s="373">
        <f t="shared" ref="AH142:AM142" si="96">SUMIF($Z$139:$Z$158,TRIM(AH140),$F$139:$F$158)</f>
        <v>0</v>
      </c>
      <c r="AI142" s="373">
        <f t="shared" si="96"/>
        <v>0</v>
      </c>
      <c r="AJ142" s="373">
        <f t="shared" si="96"/>
        <v>59297.47359999999</v>
      </c>
      <c r="AK142" s="373">
        <f t="shared" si="96"/>
        <v>11128.016399999939</v>
      </c>
      <c r="AL142" s="373">
        <f t="shared" si="96"/>
        <v>39880.301799999957</v>
      </c>
      <c r="AM142" s="373">
        <f t="shared" si="96"/>
        <v>0</v>
      </c>
    </row>
    <row r="143" spans="2:39" s="147" customFormat="1" ht="27" customHeight="1">
      <c r="B143" s="845"/>
      <c r="C143" s="846"/>
      <c r="D143" s="362">
        <v>5</v>
      </c>
      <c r="E143" s="443" t="s">
        <v>829</v>
      </c>
      <c r="F143" s="365">
        <f t="shared" si="82"/>
        <v>6349.59</v>
      </c>
      <c r="G143" s="366">
        <v>52.26</v>
      </c>
      <c r="H143" s="445">
        <v>6370.9800000000005</v>
      </c>
      <c r="I143" s="445">
        <v>6370.9800000000005</v>
      </c>
      <c r="J143" s="447">
        <f t="shared" si="83"/>
        <v>1</v>
      </c>
      <c r="K143" s="446">
        <v>6370.9800000000005</v>
      </c>
      <c r="L143" s="447">
        <f t="shared" si="84"/>
        <v>1</v>
      </c>
      <c r="M143" s="446">
        <v>121.5</v>
      </c>
      <c r="N143" s="447">
        <f t="shared" si="85"/>
        <v>1.9070849382669539E-2</v>
      </c>
      <c r="O143" s="448">
        <f t="shared" si="86"/>
        <v>6492.4800000000005</v>
      </c>
      <c r="P143" s="447">
        <f t="shared" si="87"/>
        <v>1.0190708493826695</v>
      </c>
      <c r="Q143" s="445">
        <v>25.950000000000003</v>
      </c>
      <c r="R143" s="447">
        <f t="shared" si="88"/>
        <v>4.0731567200022606E-3</v>
      </c>
      <c r="S143" s="455">
        <f t="shared" si="89"/>
        <v>1356.1470000000002</v>
      </c>
      <c r="T143" s="448">
        <f t="shared" si="90"/>
        <v>121.5</v>
      </c>
      <c r="U143" s="447">
        <f t="shared" si="91"/>
        <v>1.9070849382669539E-2</v>
      </c>
      <c r="V143" s="470">
        <f t="shared" si="92"/>
        <v>95.55</v>
      </c>
      <c r="W143" s="471">
        <f t="shared" si="93"/>
        <v>1.499769266266728E-2</v>
      </c>
      <c r="X143" s="472">
        <f t="shared" si="94"/>
        <v>4993.4429999999993</v>
      </c>
      <c r="Y143" s="367" t="s">
        <v>174</v>
      </c>
      <c r="Z143" s="367" t="s">
        <v>216</v>
      </c>
      <c r="AA143" s="368"/>
      <c r="AB143" s="368"/>
      <c r="AC143" s="368">
        <v>1</v>
      </c>
      <c r="AD143" s="449" t="s">
        <v>810</v>
      </c>
      <c r="AF143" s="362"/>
      <c r="AG143" s="374">
        <f t="shared" ref="AG143:AM143" si="97">AG141/$AF141</f>
        <v>0</v>
      </c>
      <c r="AH143" s="374">
        <f t="shared" si="97"/>
        <v>0</v>
      </c>
      <c r="AI143" s="374">
        <f t="shared" si="97"/>
        <v>0</v>
      </c>
      <c r="AJ143" s="374">
        <f t="shared" si="97"/>
        <v>0.6</v>
      </c>
      <c r="AK143" s="374">
        <f t="shared" si="97"/>
        <v>0.05</v>
      </c>
      <c r="AL143" s="374">
        <f t="shared" si="97"/>
        <v>0.35</v>
      </c>
      <c r="AM143" s="374">
        <f t="shared" si="97"/>
        <v>0</v>
      </c>
    </row>
    <row r="144" spans="2:39" s="147" customFormat="1" ht="27" customHeight="1">
      <c r="B144" s="845"/>
      <c r="C144" s="846"/>
      <c r="D144" s="362">
        <v>6</v>
      </c>
      <c r="E144" s="443" t="s">
        <v>653</v>
      </c>
      <c r="F144" s="365">
        <f t="shared" si="82"/>
        <v>6113.4559999999701</v>
      </c>
      <c r="G144" s="366">
        <v>144.79999999999998</v>
      </c>
      <c r="H144" s="445">
        <v>2473.84</v>
      </c>
      <c r="I144" s="445">
        <v>2473.84</v>
      </c>
      <c r="J144" s="447">
        <f t="shared" si="83"/>
        <v>1</v>
      </c>
      <c r="K144" s="446">
        <v>2473.84</v>
      </c>
      <c r="L144" s="447">
        <f t="shared" si="84"/>
        <v>1</v>
      </c>
      <c r="M144" s="446">
        <v>42.22</v>
      </c>
      <c r="N144" s="447">
        <f t="shared" si="85"/>
        <v>1.7066584742748116E-2</v>
      </c>
      <c r="O144" s="448">
        <f t="shared" si="86"/>
        <v>2516.06</v>
      </c>
      <c r="P144" s="447">
        <f t="shared" si="87"/>
        <v>1.017066584742748</v>
      </c>
      <c r="Q144" s="445">
        <v>4.1500000000000004</v>
      </c>
      <c r="R144" s="447">
        <f t="shared" si="88"/>
        <v>1.6775539242634932E-3</v>
      </c>
      <c r="S144" s="455">
        <f t="shared" si="89"/>
        <v>600.91999999999996</v>
      </c>
      <c r="T144" s="448">
        <f t="shared" si="90"/>
        <v>42.2199999999998</v>
      </c>
      <c r="U144" s="447">
        <f t="shared" si="91"/>
        <v>1.7066584742748036E-2</v>
      </c>
      <c r="V144" s="470">
        <f t="shared" si="92"/>
        <v>38.069999999999801</v>
      </c>
      <c r="W144" s="471">
        <f t="shared" si="93"/>
        <v>1.5389030818484542E-2</v>
      </c>
      <c r="X144" s="472">
        <f t="shared" si="94"/>
        <v>5512.535999999971</v>
      </c>
      <c r="Y144" s="367" t="s">
        <v>174</v>
      </c>
      <c r="Z144" s="367" t="s">
        <v>429</v>
      </c>
      <c r="AA144" s="368"/>
      <c r="AB144" s="368"/>
      <c r="AC144" s="368">
        <v>1</v>
      </c>
      <c r="AD144" s="449" t="s">
        <v>340</v>
      </c>
    </row>
    <row r="145" spans="2:34" s="147" customFormat="1" ht="27" customHeight="1">
      <c r="B145" s="845"/>
      <c r="C145" s="846"/>
      <c r="D145" s="362">
        <v>7</v>
      </c>
      <c r="E145" s="443" t="s">
        <v>836</v>
      </c>
      <c r="F145" s="365">
        <f t="shared" si="82"/>
        <v>5962.6493999999893</v>
      </c>
      <c r="G145" s="366">
        <v>321.61000000000007</v>
      </c>
      <c r="H145" s="445">
        <v>677.35</v>
      </c>
      <c r="I145" s="445">
        <v>677.35</v>
      </c>
      <c r="J145" s="447">
        <f t="shared" si="83"/>
        <v>1</v>
      </c>
      <c r="K145" s="446">
        <v>677.35</v>
      </c>
      <c r="L145" s="447">
        <f t="shared" si="84"/>
        <v>1</v>
      </c>
      <c r="M145" s="446">
        <v>18.54</v>
      </c>
      <c r="N145" s="447">
        <f t="shared" si="85"/>
        <v>2.7371373735882481E-2</v>
      </c>
      <c r="O145" s="448">
        <f t="shared" si="86"/>
        <v>695.89</v>
      </c>
      <c r="P145" s="447">
        <f t="shared" si="87"/>
        <v>1.0273713737358825</v>
      </c>
      <c r="Q145" s="445">
        <v>2.89</v>
      </c>
      <c r="R145" s="447">
        <f t="shared" si="88"/>
        <v>4.2666272975566549E-3</v>
      </c>
      <c r="S145" s="455">
        <f t="shared" si="89"/>
        <v>929.45290000000023</v>
      </c>
      <c r="T145" s="448">
        <f t="shared" si="90"/>
        <v>18.539999999999964</v>
      </c>
      <c r="U145" s="447">
        <f t="shared" si="91"/>
        <v>2.7371373735882429E-2</v>
      </c>
      <c r="V145" s="470">
        <f t="shared" si="92"/>
        <v>15.649999999999963</v>
      </c>
      <c r="W145" s="471">
        <f t="shared" si="93"/>
        <v>2.3104746438325774E-2</v>
      </c>
      <c r="X145" s="472">
        <f t="shared" si="94"/>
        <v>5033.1964999999891</v>
      </c>
      <c r="Y145" s="367" t="s">
        <v>174</v>
      </c>
      <c r="Z145" s="367" t="s">
        <v>429</v>
      </c>
      <c r="AA145" s="368"/>
      <c r="AB145" s="368"/>
      <c r="AC145" s="368">
        <v>1</v>
      </c>
      <c r="AD145" s="449" t="s">
        <v>808</v>
      </c>
    </row>
    <row r="146" spans="2:34" s="147" customFormat="1" ht="27" customHeight="1">
      <c r="B146" s="845"/>
      <c r="C146" s="846"/>
      <c r="D146" s="362">
        <v>8</v>
      </c>
      <c r="E146" s="443" t="s">
        <v>830</v>
      </c>
      <c r="F146" s="365">
        <f t="shared" si="82"/>
        <v>5871.0156999999972</v>
      </c>
      <c r="G146" s="366">
        <v>24.789999999999996</v>
      </c>
      <c r="H146" s="445">
        <v>10223.720000000001</v>
      </c>
      <c r="I146" s="445">
        <v>10223.720000000001</v>
      </c>
      <c r="J146" s="447">
        <f t="shared" si="83"/>
        <v>1</v>
      </c>
      <c r="K146" s="446">
        <v>10223.720000000001</v>
      </c>
      <c r="L146" s="447">
        <f t="shared" si="84"/>
        <v>1</v>
      </c>
      <c r="M146" s="446">
        <v>236.82999999999998</v>
      </c>
      <c r="N146" s="447">
        <f t="shared" si="85"/>
        <v>2.3164758033279467E-2</v>
      </c>
      <c r="O146" s="448">
        <f t="shared" si="86"/>
        <v>10460.550000000001</v>
      </c>
      <c r="P146" s="447">
        <f t="shared" si="87"/>
        <v>1.0231647580332794</v>
      </c>
      <c r="Q146" s="445">
        <v>48.180000000000007</v>
      </c>
      <c r="R146" s="447">
        <f t="shared" si="88"/>
        <v>4.7125703755580162E-3</v>
      </c>
      <c r="S146" s="455">
        <f t="shared" si="89"/>
        <v>1194.3822</v>
      </c>
      <c r="T146" s="448">
        <f t="shared" si="90"/>
        <v>236.82999999999993</v>
      </c>
      <c r="U146" s="447">
        <f t="shared" si="91"/>
        <v>2.3164758033279463E-2</v>
      </c>
      <c r="V146" s="470">
        <f t="shared" si="92"/>
        <v>188.64999999999992</v>
      </c>
      <c r="W146" s="471">
        <f t="shared" si="93"/>
        <v>1.8452187657721445E-2</v>
      </c>
      <c r="X146" s="472">
        <f t="shared" si="94"/>
        <v>4676.6334999999972</v>
      </c>
      <c r="Y146" s="367" t="s">
        <v>174</v>
      </c>
      <c r="Z146" s="367" t="s">
        <v>429</v>
      </c>
      <c r="AA146" s="368"/>
      <c r="AB146" s="368"/>
      <c r="AC146" s="368">
        <v>1</v>
      </c>
      <c r="AD146" s="449" t="s">
        <v>809</v>
      </c>
    </row>
    <row r="147" spans="2:34" s="147" customFormat="1" ht="27" customHeight="1">
      <c r="B147" s="845"/>
      <c r="C147" s="846"/>
      <c r="D147" s="362">
        <v>9</v>
      </c>
      <c r="E147" s="443" t="s">
        <v>386</v>
      </c>
      <c r="F147" s="365">
        <f t="shared" si="82"/>
        <v>5770.697599999985</v>
      </c>
      <c r="G147" s="366">
        <v>127.84000000000002</v>
      </c>
      <c r="H147" s="445">
        <v>3938.1100000000006</v>
      </c>
      <c r="I147" s="445">
        <v>3938.1100000000006</v>
      </c>
      <c r="J147" s="447">
        <f t="shared" si="83"/>
        <v>1</v>
      </c>
      <c r="K147" s="446">
        <v>3938.1100000000006</v>
      </c>
      <c r="L147" s="447">
        <f t="shared" si="84"/>
        <v>1</v>
      </c>
      <c r="M147" s="446">
        <v>45.14</v>
      </c>
      <c r="N147" s="447">
        <f t="shared" si="85"/>
        <v>1.1462351229396841E-2</v>
      </c>
      <c r="O147" s="448">
        <f t="shared" si="86"/>
        <v>3983.2500000000005</v>
      </c>
      <c r="P147" s="447">
        <f t="shared" si="87"/>
        <v>1.0114623512293968</v>
      </c>
      <c r="Q147" s="445">
        <v>10.469999999999999</v>
      </c>
      <c r="R147" s="447">
        <f t="shared" si="88"/>
        <v>2.6586357415105209E-3</v>
      </c>
      <c r="S147" s="455">
        <f t="shared" si="89"/>
        <v>1338.4848</v>
      </c>
      <c r="T147" s="448">
        <f t="shared" si="90"/>
        <v>45.139999999999873</v>
      </c>
      <c r="U147" s="447">
        <f t="shared" si="91"/>
        <v>1.1462351229396808E-2</v>
      </c>
      <c r="V147" s="470">
        <f t="shared" si="92"/>
        <v>34.669999999999874</v>
      </c>
      <c r="W147" s="471">
        <f t="shared" si="93"/>
        <v>8.8037154878862871E-3</v>
      </c>
      <c r="X147" s="472">
        <f t="shared" si="94"/>
        <v>4432.2127999999848</v>
      </c>
      <c r="Y147" s="367" t="s">
        <v>174</v>
      </c>
      <c r="Z147" s="367" t="s">
        <v>429</v>
      </c>
      <c r="AA147" s="368"/>
      <c r="AB147" s="368"/>
      <c r="AC147" s="368">
        <v>1</v>
      </c>
      <c r="AD147" s="449" t="s">
        <v>340</v>
      </c>
      <c r="AH147" s="371"/>
    </row>
    <row r="148" spans="2:34" s="147" customFormat="1" ht="27" customHeight="1">
      <c r="B148" s="845"/>
      <c r="C148" s="846"/>
      <c r="D148" s="362">
        <v>10</v>
      </c>
      <c r="E148" s="443" t="s">
        <v>626</v>
      </c>
      <c r="F148" s="365">
        <f t="shared" si="82"/>
        <v>5086.8246000000117</v>
      </c>
      <c r="G148" s="366">
        <v>39.389999999999993</v>
      </c>
      <c r="H148" s="445">
        <v>6360.1100000000006</v>
      </c>
      <c r="I148" s="445">
        <v>6360.1100000000006</v>
      </c>
      <c r="J148" s="447">
        <f t="shared" si="83"/>
        <v>1</v>
      </c>
      <c r="K148" s="446">
        <v>6360.1100000000006</v>
      </c>
      <c r="L148" s="447">
        <f t="shared" si="84"/>
        <v>1</v>
      </c>
      <c r="M148" s="446">
        <v>129.14000000000001</v>
      </c>
      <c r="N148" s="447">
        <f t="shared" si="85"/>
        <v>2.0304680264963973E-2</v>
      </c>
      <c r="O148" s="448">
        <f t="shared" si="86"/>
        <v>6489.2500000000009</v>
      </c>
      <c r="P148" s="447">
        <f t="shared" si="87"/>
        <v>1.020304680264964</v>
      </c>
      <c r="Q148" s="445">
        <v>26.609999999999996</v>
      </c>
      <c r="R148" s="447">
        <f t="shared" si="88"/>
        <v>4.183889901275291E-3</v>
      </c>
      <c r="S148" s="455">
        <f t="shared" si="89"/>
        <v>1048.1678999999997</v>
      </c>
      <c r="T148" s="448">
        <f t="shared" si="90"/>
        <v>129.14000000000033</v>
      </c>
      <c r="U148" s="447">
        <f t="shared" si="91"/>
        <v>2.0304680264964022E-2</v>
      </c>
      <c r="V148" s="470">
        <f t="shared" si="92"/>
        <v>102.53000000000033</v>
      </c>
      <c r="W148" s="471">
        <f t="shared" si="93"/>
        <v>1.6120790363688728E-2</v>
      </c>
      <c r="X148" s="472">
        <f t="shared" si="94"/>
        <v>4038.6567000000123</v>
      </c>
      <c r="Y148" s="367" t="s">
        <v>174</v>
      </c>
      <c r="Z148" s="367" t="s">
        <v>216</v>
      </c>
      <c r="AA148" s="368"/>
      <c r="AB148" s="368"/>
      <c r="AC148" s="368">
        <v>1</v>
      </c>
      <c r="AD148" s="449" t="s">
        <v>621</v>
      </c>
      <c r="AH148" s="371"/>
    </row>
    <row r="149" spans="2:34" s="147" customFormat="1" ht="27" customHeight="1">
      <c r="B149" s="845"/>
      <c r="C149" s="846"/>
      <c r="D149" s="362">
        <v>11</v>
      </c>
      <c r="E149" s="443" t="s">
        <v>462</v>
      </c>
      <c r="F149" s="365">
        <f t="shared" si="82"/>
        <v>4933.6539999999641</v>
      </c>
      <c r="G149" s="366">
        <v>407.74000000000007</v>
      </c>
      <c r="H149" s="445">
        <v>1133.27</v>
      </c>
      <c r="I149" s="445">
        <v>1133.27</v>
      </c>
      <c r="J149" s="447">
        <f t="shared" si="83"/>
        <v>1</v>
      </c>
      <c r="K149" s="446">
        <v>1133.27</v>
      </c>
      <c r="L149" s="447">
        <f t="shared" si="84"/>
        <v>1</v>
      </c>
      <c r="M149" s="446">
        <v>12.1</v>
      </c>
      <c r="N149" s="447">
        <f t="shared" si="85"/>
        <v>1.0677067247875616E-2</v>
      </c>
      <c r="O149" s="448">
        <f t="shared" si="86"/>
        <v>1145.3699999999999</v>
      </c>
      <c r="P149" s="447">
        <f t="shared" si="87"/>
        <v>1.0106770672478755</v>
      </c>
      <c r="Q149" s="445">
        <v>2.8699999999999997</v>
      </c>
      <c r="R149" s="447">
        <f t="shared" si="88"/>
        <v>2.5324944629258692E-3</v>
      </c>
      <c r="S149" s="455">
        <f t="shared" si="89"/>
        <v>1170.2138</v>
      </c>
      <c r="T149" s="448">
        <f t="shared" si="90"/>
        <v>12.099999999999909</v>
      </c>
      <c r="U149" s="447">
        <f t="shared" si="91"/>
        <v>1.0677067247875536E-2</v>
      </c>
      <c r="V149" s="470">
        <f t="shared" si="92"/>
        <v>9.2299999999999098</v>
      </c>
      <c r="W149" s="471">
        <f t="shared" si="93"/>
        <v>8.144572784949667E-3</v>
      </c>
      <c r="X149" s="472">
        <f t="shared" si="94"/>
        <v>3763.4401999999636</v>
      </c>
      <c r="Y149" s="367" t="s">
        <v>174</v>
      </c>
      <c r="Z149" s="367" t="s">
        <v>216</v>
      </c>
      <c r="AA149" s="368"/>
      <c r="AB149" s="368"/>
      <c r="AC149" s="368">
        <v>1</v>
      </c>
      <c r="AD149" s="449" t="s">
        <v>464</v>
      </c>
      <c r="AH149" s="371"/>
    </row>
    <row r="150" spans="2:34" s="147" customFormat="1" ht="27" customHeight="1">
      <c r="B150" s="845"/>
      <c r="C150" s="846"/>
      <c r="D150" s="362">
        <v>12</v>
      </c>
      <c r="E150" s="443" t="s">
        <v>675</v>
      </c>
      <c r="F150" s="365">
        <f t="shared" si="82"/>
        <v>4869.3991000000042</v>
      </c>
      <c r="G150" s="366">
        <v>655.37</v>
      </c>
      <c r="H150" s="445">
        <v>416.78999999999996</v>
      </c>
      <c r="I150" s="445">
        <v>416.78999999999996</v>
      </c>
      <c r="J150" s="447">
        <f t="shared" si="83"/>
        <v>1</v>
      </c>
      <c r="K150" s="446">
        <v>416.78999999999996</v>
      </c>
      <c r="L150" s="447">
        <f t="shared" si="84"/>
        <v>1</v>
      </c>
      <c r="M150" s="446">
        <v>7.43</v>
      </c>
      <c r="N150" s="447">
        <f t="shared" si="85"/>
        <v>1.7826723289906189E-2</v>
      </c>
      <c r="O150" s="448">
        <f t="shared" si="86"/>
        <v>424.21999999999997</v>
      </c>
      <c r="P150" s="447">
        <f t="shared" si="87"/>
        <v>1.0178267232899063</v>
      </c>
      <c r="Q150" s="445">
        <v>1.45</v>
      </c>
      <c r="R150" s="447">
        <f t="shared" si="88"/>
        <v>3.4789702248134552E-3</v>
      </c>
      <c r="S150" s="455">
        <f t="shared" si="89"/>
        <v>950.28649999999993</v>
      </c>
      <c r="T150" s="448">
        <f t="shared" si="90"/>
        <v>7.4300000000000068</v>
      </c>
      <c r="U150" s="447">
        <f t="shared" si="91"/>
        <v>1.7826723289906206E-2</v>
      </c>
      <c r="V150" s="470">
        <f t="shared" si="92"/>
        <v>5.9800000000000066</v>
      </c>
      <c r="W150" s="471">
        <f t="shared" si="93"/>
        <v>1.434775306509275E-2</v>
      </c>
      <c r="X150" s="472">
        <f t="shared" si="94"/>
        <v>3919.1126000000045</v>
      </c>
      <c r="Y150" s="367" t="s">
        <v>174</v>
      </c>
      <c r="Z150" s="367" t="s">
        <v>429</v>
      </c>
      <c r="AA150" s="368"/>
      <c r="AB150" s="368"/>
      <c r="AC150" s="368">
        <v>1</v>
      </c>
      <c r="AD150" s="449" t="s">
        <v>674</v>
      </c>
      <c r="AH150" s="371"/>
    </row>
    <row r="151" spans="2:34" s="147" customFormat="1" ht="27" customHeight="1">
      <c r="B151" s="845"/>
      <c r="C151" s="846"/>
      <c r="D151" s="362">
        <v>13</v>
      </c>
      <c r="E151" s="443" t="s">
        <v>570</v>
      </c>
      <c r="F151" s="365">
        <f t="shared" si="82"/>
        <v>4192.9887999999919</v>
      </c>
      <c r="G151" s="366">
        <v>40.04</v>
      </c>
      <c r="H151" s="445">
        <v>3448.98</v>
      </c>
      <c r="I151" s="445">
        <v>3448.98</v>
      </c>
      <c r="J151" s="447">
        <f t="shared" si="83"/>
        <v>1</v>
      </c>
      <c r="K151" s="446">
        <v>3448.98</v>
      </c>
      <c r="L151" s="447">
        <f t="shared" si="84"/>
        <v>1</v>
      </c>
      <c r="M151" s="446">
        <v>104.72</v>
      </c>
      <c r="N151" s="447">
        <f t="shared" si="85"/>
        <v>3.0362599957088763E-2</v>
      </c>
      <c r="O151" s="448">
        <f t="shared" si="86"/>
        <v>3553.7</v>
      </c>
      <c r="P151" s="447">
        <f t="shared" si="87"/>
        <v>1.0303625999570887</v>
      </c>
      <c r="Q151" s="445">
        <v>24.64</v>
      </c>
      <c r="R151" s="447">
        <f t="shared" si="88"/>
        <v>7.1441411663738267E-3</v>
      </c>
      <c r="S151" s="455">
        <f t="shared" si="89"/>
        <v>986.5856</v>
      </c>
      <c r="T151" s="448">
        <f t="shared" si="90"/>
        <v>104.7199999999998</v>
      </c>
      <c r="U151" s="447">
        <f t="shared" si="91"/>
        <v>3.0362599957088704E-2</v>
      </c>
      <c r="V151" s="470">
        <f t="shared" si="92"/>
        <v>80.079999999999799</v>
      </c>
      <c r="W151" s="471">
        <f t="shared" si="93"/>
        <v>2.3218458790714876E-2</v>
      </c>
      <c r="X151" s="472">
        <f t="shared" si="94"/>
        <v>3206.403199999992</v>
      </c>
      <c r="Y151" s="367" t="s">
        <v>174</v>
      </c>
      <c r="Z151" s="367" t="s">
        <v>216</v>
      </c>
      <c r="AA151" s="368"/>
      <c r="AB151" s="368"/>
      <c r="AC151" s="368">
        <v>1</v>
      </c>
      <c r="AD151" s="449" t="s">
        <v>534</v>
      </c>
    </row>
    <row r="152" spans="2:34" s="147" customFormat="1" ht="27" customHeight="1">
      <c r="B152" s="845"/>
      <c r="C152" s="846"/>
      <c r="D152" s="362">
        <v>14</v>
      </c>
      <c r="E152" s="443" t="s">
        <v>547</v>
      </c>
      <c r="F152" s="365">
        <f t="shared" si="82"/>
        <v>4174.1255999999921</v>
      </c>
      <c r="G152" s="366">
        <v>66.13</v>
      </c>
      <c r="H152" s="445">
        <v>2206.8200000000002</v>
      </c>
      <c r="I152" s="445">
        <v>2206.8200000000002</v>
      </c>
      <c r="J152" s="447">
        <f t="shared" si="83"/>
        <v>1</v>
      </c>
      <c r="K152" s="446">
        <v>2206.8200000000002</v>
      </c>
      <c r="L152" s="447">
        <f t="shared" si="84"/>
        <v>1</v>
      </c>
      <c r="M152" s="446">
        <v>63.12</v>
      </c>
      <c r="N152" s="447">
        <f t="shared" si="85"/>
        <v>2.8602242140274237E-2</v>
      </c>
      <c r="O152" s="448">
        <f t="shared" si="86"/>
        <v>2269.94</v>
      </c>
      <c r="P152" s="447">
        <f t="shared" si="87"/>
        <v>1.0286022421402743</v>
      </c>
      <c r="Q152" s="445">
        <v>14.32</v>
      </c>
      <c r="R152" s="447">
        <f t="shared" si="88"/>
        <v>6.4889750863233063E-3</v>
      </c>
      <c r="S152" s="455">
        <f t="shared" si="89"/>
        <v>946.98159999999996</v>
      </c>
      <c r="T152" s="448">
        <f t="shared" si="90"/>
        <v>63.119999999999891</v>
      </c>
      <c r="U152" s="447">
        <f t="shared" si="91"/>
        <v>2.8602242140274188E-2</v>
      </c>
      <c r="V152" s="470">
        <f t="shared" si="92"/>
        <v>48.799999999999891</v>
      </c>
      <c r="W152" s="471">
        <f t="shared" si="93"/>
        <v>2.2113267053950884E-2</v>
      </c>
      <c r="X152" s="472">
        <f t="shared" si="94"/>
        <v>3227.1439999999925</v>
      </c>
      <c r="Y152" s="367" t="s">
        <v>174</v>
      </c>
      <c r="Z152" s="367" t="s">
        <v>429</v>
      </c>
      <c r="AA152" s="368"/>
      <c r="AB152" s="368"/>
      <c r="AC152" s="368">
        <v>1</v>
      </c>
      <c r="AD152" s="449" t="s">
        <v>341</v>
      </c>
    </row>
    <row r="153" spans="2:34" s="147" customFormat="1" ht="27" customHeight="1">
      <c r="B153" s="845"/>
      <c r="C153" s="846"/>
      <c r="D153" s="362">
        <v>15</v>
      </c>
      <c r="E153" s="443" t="s">
        <v>655</v>
      </c>
      <c r="F153" s="365">
        <f t="shared" si="82"/>
        <v>4165.4502000000066</v>
      </c>
      <c r="G153" s="366">
        <v>49.82</v>
      </c>
      <c r="H153" s="445">
        <v>3160.5</v>
      </c>
      <c r="I153" s="445">
        <v>3160.5</v>
      </c>
      <c r="J153" s="447">
        <f t="shared" si="83"/>
        <v>1</v>
      </c>
      <c r="K153" s="446">
        <v>3160.5</v>
      </c>
      <c r="L153" s="447">
        <f t="shared" si="84"/>
        <v>1</v>
      </c>
      <c r="M153" s="446">
        <v>83.61</v>
      </c>
      <c r="N153" s="447">
        <f t="shared" si="85"/>
        <v>2.6454674893213098E-2</v>
      </c>
      <c r="O153" s="448">
        <f t="shared" si="86"/>
        <v>3244.11</v>
      </c>
      <c r="P153" s="447">
        <f t="shared" si="87"/>
        <v>1.0264546748932131</v>
      </c>
      <c r="Q153" s="445">
        <v>19.010000000000002</v>
      </c>
      <c r="R153" s="447">
        <f t="shared" si="88"/>
        <v>6.0148710647049521E-3</v>
      </c>
      <c r="S153" s="455">
        <f t="shared" si="89"/>
        <v>947.07820000000004</v>
      </c>
      <c r="T153" s="448">
        <f t="shared" si="90"/>
        <v>83.610000000000127</v>
      </c>
      <c r="U153" s="447">
        <f t="shared" si="91"/>
        <v>2.645467489321314E-2</v>
      </c>
      <c r="V153" s="470">
        <f t="shared" si="92"/>
        <v>64.600000000000122</v>
      </c>
      <c r="W153" s="471">
        <f t="shared" si="93"/>
        <v>2.0439803828508185E-2</v>
      </c>
      <c r="X153" s="472">
        <f t="shared" si="94"/>
        <v>3218.3720000000062</v>
      </c>
      <c r="Y153" s="367" t="s">
        <v>174</v>
      </c>
      <c r="Z153" s="367" t="s">
        <v>429</v>
      </c>
      <c r="AA153" s="368"/>
      <c r="AB153" s="368"/>
      <c r="AC153" s="368">
        <v>1</v>
      </c>
      <c r="AD153" s="449" t="s">
        <v>623</v>
      </c>
    </row>
    <row r="154" spans="2:34" s="147" customFormat="1" ht="27" customHeight="1">
      <c r="B154" s="845"/>
      <c r="C154" s="846"/>
      <c r="D154" s="362">
        <v>16</v>
      </c>
      <c r="E154" s="443" t="s">
        <v>676</v>
      </c>
      <c r="F154" s="365">
        <f t="shared" si="82"/>
        <v>4120.283700000009</v>
      </c>
      <c r="G154" s="366">
        <v>31.59</v>
      </c>
      <c r="H154" s="445">
        <v>4428.34</v>
      </c>
      <c r="I154" s="445">
        <v>4428.34</v>
      </c>
      <c r="J154" s="447">
        <f t="shared" si="83"/>
        <v>1</v>
      </c>
      <c r="K154" s="446">
        <v>4428.34</v>
      </c>
      <c r="L154" s="447">
        <f t="shared" si="84"/>
        <v>1</v>
      </c>
      <c r="M154" s="446">
        <v>130.43</v>
      </c>
      <c r="N154" s="447">
        <f t="shared" si="85"/>
        <v>2.9453474665450261E-2</v>
      </c>
      <c r="O154" s="448">
        <f t="shared" si="86"/>
        <v>4558.7700000000004</v>
      </c>
      <c r="P154" s="447">
        <f t="shared" si="87"/>
        <v>1.0294534746654502</v>
      </c>
      <c r="Q154" s="445">
        <v>29.930000000000003</v>
      </c>
      <c r="R154" s="447">
        <f t="shared" si="88"/>
        <v>6.7587402954606022E-3</v>
      </c>
      <c r="S154" s="455">
        <f t="shared" si="89"/>
        <v>945.48870000000011</v>
      </c>
      <c r="T154" s="448">
        <f t="shared" si="90"/>
        <v>130.43000000000029</v>
      </c>
      <c r="U154" s="447">
        <f t="shared" si="91"/>
        <v>2.9453474665450324E-2</v>
      </c>
      <c r="V154" s="470">
        <f t="shared" si="92"/>
        <v>100.50000000000028</v>
      </c>
      <c r="W154" s="471">
        <f t="shared" si="93"/>
        <v>2.2694734369989721E-2</v>
      </c>
      <c r="X154" s="472">
        <f t="shared" si="94"/>
        <v>3174.7950000000092</v>
      </c>
      <c r="Y154" s="367" t="s">
        <v>174</v>
      </c>
      <c r="Z154" s="367" t="s">
        <v>216</v>
      </c>
      <c r="AA154" s="368"/>
      <c r="AB154" s="368"/>
      <c r="AC154" s="368">
        <v>1</v>
      </c>
      <c r="AD154" s="449" t="s">
        <v>674</v>
      </c>
    </row>
    <row r="155" spans="2:34" s="147" customFormat="1" ht="27" customHeight="1">
      <c r="B155" s="845"/>
      <c r="C155" s="846"/>
      <c r="D155" s="362">
        <v>17</v>
      </c>
      <c r="E155" s="443" t="s">
        <v>729</v>
      </c>
      <c r="F155" s="365">
        <f t="shared" si="82"/>
        <v>4085.1796000000086</v>
      </c>
      <c r="G155" s="366">
        <v>98.060000000000016</v>
      </c>
      <c r="H155" s="445">
        <v>1275.3200000000002</v>
      </c>
      <c r="I155" s="445">
        <v>1275.3200000000002</v>
      </c>
      <c r="J155" s="447">
        <f t="shared" si="83"/>
        <v>1</v>
      </c>
      <c r="K155" s="446">
        <v>1275.3200000000002</v>
      </c>
      <c r="L155" s="447">
        <f t="shared" si="84"/>
        <v>1</v>
      </c>
      <c r="M155" s="446">
        <v>41.66</v>
      </c>
      <c r="N155" s="447">
        <f t="shared" si="85"/>
        <v>3.2666311200326183E-2</v>
      </c>
      <c r="O155" s="448">
        <f t="shared" si="86"/>
        <v>1316.9800000000002</v>
      </c>
      <c r="P155" s="447">
        <f t="shared" si="87"/>
        <v>1.0326663112003263</v>
      </c>
      <c r="Q155" s="445">
        <v>9.66</v>
      </c>
      <c r="R155" s="447">
        <f t="shared" si="88"/>
        <v>7.5745695198067928E-3</v>
      </c>
      <c r="S155" s="455">
        <f t="shared" si="89"/>
        <v>947.25960000000021</v>
      </c>
      <c r="T155" s="448">
        <f t="shared" si="90"/>
        <v>41.660000000000082</v>
      </c>
      <c r="U155" s="447">
        <f t="shared" si="91"/>
        <v>3.2666311200326252E-2</v>
      </c>
      <c r="V155" s="470">
        <f t="shared" si="92"/>
        <v>32.000000000000085</v>
      </c>
      <c r="W155" s="471">
        <f t="shared" si="93"/>
        <v>2.5091741680519461E-2</v>
      </c>
      <c r="X155" s="472">
        <f t="shared" si="94"/>
        <v>3137.9200000000087</v>
      </c>
      <c r="Y155" s="367" t="s">
        <v>174</v>
      </c>
      <c r="Z155" s="367" t="s">
        <v>429</v>
      </c>
      <c r="AA155" s="368"/>
      <c r="AB155" s="368"/>
      <c r="AC155" s="368">
        <v>1</v>
      </c>
      <c r="AD155" s="449" t="s">
        <v>695</v>
      </c>
    </row>
    <row r="156" spans="2:34" s="147" customFormat="1" ht="27" customHeight="1">
      <c r="B156" s="845"/>
      <c r="C156" s="846"/>
      <c r="D156" s="362">
        <v>18</v>
      </c>
      <c r="E156" s="443" t="s">
        <v>586</v>
      </c>
      <c r="F156" s="365">
        <f t="shared" si="82"/>
        <v>3994.7152000000128</v>
      </c>
      <c r="G156" s="366">
        <v>113.68000000000004</v>
      </c>
      <c r="H156" s="445">
        <v>1266.3</v>
      </c>
      <c r="I156" s="445">
        <v>1266.3</v>
      </c>
      <c r="J156" s="447">
        <f t="shared" si="83"/>
        <v>1</v>
      </c>
      <c r="K156" s="446">
        <v>1266.3</v>
      </c>
      <c r="L156" s="447">
        <f t="shared" si="84"/>
        <v>1</v>
      </c>
      <c r="M156" s="446">
        <v>35.14</v>
      </c>
      <c r="N156" s="447">
        <f t="shared" si="85"/>
        <v>2.7750138197899392E-2</v>
      </c>
      <c r="O156" s="448">
        <f t="shared" si="86"/>
        <v>1301.44</v>
      </c>
      <c r="P156" s="447">
        <f t="shared" si="87"/>
        <v>1.0277501381978995</v>
      </c>
      <c r="Q156" s="445">
        <v>8.34</v>
      </c>
      <c r="R156" s="447">
        <f t="shared" si="88"/>
        <v>6.5861170338782282E-3</v>
      </c>
      <c r="S156" s="455">
        <f t="shared" si="89"/>
        <v>948.0912000000003</v>
      </c>
      <c r="T156" s="448">
        <f t="shared" si="90"/>
        <v>35.1400000000001</v>
      </c>
      <c r="U156" s="447">
        <f t="shared" si="91"/>
        <v>2.7750138197899472E-2</v>
      </c>
      <c r="V156" s="470">
        <f t="shared" si="92"/>
        <v>26.8000000000001</v>
      </c>
      <c r="W156" s="471">
        <f t="shared" si="93"/>
        <v>2.1164021164021243E-2</v>
      </c>
      <c r="X156" s="472">
        <f t="shared" si="94"/>
        <v>3046.6240000000125</v>
      </c>
      <c r="Y156" s="367" t="s">
        <v>174</v>
      </c>
      <c r="Z156" s="367" t="s">
        <v>429</v>
      </c>
      <c r="AA156" s="368"/>
      <c r="AB156" s="368"/>
      <c r="AC156" s="368">
        <v>1</v>
      </c>
      <c r="AD156" s="449" t="s">
        <v>568</v>
      </c>
    </row>
    <row r="157" spans="2:34" s="147" customFormat="1" ht="27" customHeight="1">
      <c r="B157" s="845"/>
      <c r="C157" s="846"/>
      <c r="D157" s="362">
        <v>19</v>
      </c>
      <c r="E157" s="443" t="s">
        <v>465</v>
      </c>
      <c r="F157" s="365">
        <f t="shared" si="82"/>
        <v>3943.8300000000063</v>
      </c>
      <c r="G157" s="366">
        <v>629</v>
      </c>
      <c r="H157" s="445">
        <v>239.56</v>
      </c>
      <c r="I157" s="445">
        <v>239.56</v>
      </c>
      <c r="J157" s="447">
        <f t="shared" si="83"/>
        <v>1</v>
      </c>
      <c r="K157" s="446">
        <v>239.56</v>
      </c>
      <c r="L157" s="447">
        <f t="shared" si="84"/>
        <v>1</v>
      </c>
      <c r="M157" s="446">
        <v>6.27</v>
      </c>
      <c r="N157" s="447">
        <f t="shared" si="85"/>
        <v>2.6172983803640006E-2</v>
      </c>
      <c r="O157" s="448">
        <f t="shared" si="86"/>
        <v>245.83</v>
      </c>
      <c r="P157" s="447">
        <f t="shared" si="87"/>
        <v>1.02617298380364</v>
      </c>
      <c r="Q157" s="445">
        <v>1.51</v>
      </c>
      <c r="R157" s="447">
        <f t="shared" si="88"/>
        <v>6.3032225747203206E-3</v>
      </c>
      <c r="S157" s="455">
        <f t="shared" si="89"/>
        <v>949.79</v>
      </c>
      <c r="T157" s="448">
        <f t="shared" si="90"/>
        <v>6.2700000000000102</v>
      </c>
      <c r="U157" s="447">
        <f t="shared" si="91"/>
        <v>2.6172983803640051E-2</v>
      </c>
      <c r="V157" s="470">
        <f t="shared" si="92"/>
        <v>4.7600000000000104</v>
      </c>
      <c r="W157" s="471">
        <f t="shared" si="93"/>
        <v>1.986976122891973E-2</v>
      </c>
      <c r="X157" s="472">
        <f t="shared" si="94"/>
        <v>2994.0400000000068</v>
      </c>
      <c r="Y157" s="367" t="s">
        <v>174</v>
      </c>
      <c r="Z157" s="367" t="s">
        <v>429</v>
      </c>
      <c r="AA157" s="368"/>
      <c r="AB157" s="368"/>
      <c r="AC157" s="368">
        <v>1</v>
      </c>
      <c r="AD157" s="449" t="s">
        <v>459</v>
      </c>
    </row>
    <row r="158" spans="2:34" s="147" customFormat="1" ht="27" customHeight="1">
      <c r="B158" s="847"/>
      <c r="C158" s="848"/>
      <c r="D158" s="362">
        <v>20</v>
      </c>
      <c r="E158" s="443" t="s">
        <v>627</v>
      </c>
      <c r="F158" s="365">
        <f t="shared" si="82"/>
        <v>3872.9551999999926</v>
      </c>
      <c r="G158" s="366">
        <v>95.439999999999984</v>
      </c>
      <c r="H158" s="445">
        <v>1818.62</v>
      </c>
      <c r="I158" s="445">
        <v>1818.62</v>
      </c>
      <c r="J158" s="447">
        <f t="shared" si="83"/>
        <v>1</v>
      </c>
      <c r="K158" s="446">
        <v>1818.62</v>
      </c>
      <c r="L158" s="447">
        <f t="shared" si="84"/>
        <v>1</v>
      </c>
      <c r="M158" s="446">
        <v>40.58</v>
      </c>
      <c r="N158" s="447">
        <f t="shared" si="85"/>
        <v>2.2313622416997504E-2</v>
      </c>
      <c r="O158" s="448">
        <f t="shared" si="86"/>
        <v>1859.1999999999998</v>
      </c>
      <c r="P158" s="447">
        <f t="shared" si="87"/>
        <v>1.0223136224169975</v>
      </c>
      <c r="Q158" s="445">
        <v>9.91</v>
      </c>
      <c r="R158" s="447">
        <f t="shared" si="88"/>
        <v>5.449186745994216E-3</v>
      </c>
      <c r="S158" s="455">
        <f t="shared" si="89"/>
        <v>945.81039999999985</v>
      </c>
      <c r="T158" s="448">
        <f t="shared" si="90"/>
        <v>40.579999999999927</v>
      </c>
      <c r="U158" s="447">
        <f t="shared" si="91"/>
        <v>2.2313622416997466E-2</v>
      </c>
      <c r="V158" s="470">
        <f t="shared" si="92"/>
        <v>30.669999999999927</v>
      </c>
      <c r="W158" s="471">
        <f t="shared" si="93"/>
        <v>1.686443567100325E-2</v>
      </c>
      <c r="X158" s="472">
        <f t="shared" si="94"/>
        <v>2927.1447999999928</v>
      </c>
      <c r="Y158" s="367" t="s">
        <v>174</v>
      </c>
      <c r="Z158" s="367" t="s">
        <v>429</v>
      </c>
      <c r="AA158" s="368"/>
      <c r="AB158" s="368"/>
      <c r="AC158" s="368">
        <v>1</v>
      </c>
      <c r="AD158" s="449" t="s">
        <v>340</v>
      </c>
    </row>
  </sheetData>
  <mergeCells count="144">
    <mergeCell ref="AD137:AD138"/>
    <mergeCell ref="AF137:AM139"/>
    <mergeCell ref="B139:C158"/>
    <mergeCell ref="O137:P137"/>
    <mergeCell ref="Q137:S137"/>
    <mergeCell ref="T137:U137"/>
    <mergeCell ref="V137:X137"/>
    <mergeCell ref="Y137:Y138"/>
    <mergeCell ref="Z137:Z138"/>
    <mergeCell ref="AA137:AA138"/>
    <mergeCell ref="AB137:AB138"/>
    <mergeCell ref="AC137:AC138"/>
    <mergeCell ref="B137:C138"/>
    <mergeCell ref="D137:D138"/>
    <mergeCell ref="E137:E138"/>
    <mergeCell ref="F137:F138"/>
    <mergeCell ref="G137:G138"/>
    <mergeCell ref="H137:H138"/>
    <mergeCell ref="I137:J137"/>
    <mergeCell ref="K137:L137"/>
    <mergeCell ref="M137:N137"/>
    <mergeCell ref="AF3:AM5"/>
    <mergeCell ref="D4:D6"/>
    <mergeCell ref="E4:F4"/>
    <mergeCell ref="G4:P4"/>
    <mergeCell ref="Q4:U4"/>
    <mergeCell ref="E5:E6"/>
    <mergeCell ref="F5:F6"/>
    <mergeCell ref="G5:P5"/>
    <mergeCell ref="Q5:R5"/>
    <mergeCell ref="S5:U5"/>
    <mergeCell ref="D3:F3"/>
    <mergeCell ref="G3:U3"/>
    <mergeCell ref="Y3:Y6"/>
    <mergeCell ref="Z3:Z6"/>
    <mergeCell ref="AA3:AA6"/>
    <mergeCell ref="AF27:AM29"/>
    <mergeCell ref="B29:C48"/>
    <mergeCell ref="B49:C50"/>
    <mergeCell ref="D49:D50"/>
    <mergeCell ref="E49:E50"/>
    <mergeCell ref="F49:F50"/>
    <mergeCell ref="G49:G50"/>
    <mergeCell ref="H49:H50"/>
    <mergeCell ref="I49:J49"/>
    <mergeCell ref="Y27:Y28"/>
    <mergeCell ref="Z27:Z28"/>
    <mergeCell ref="AA27:AA28"/>
    <mergeCell ref="AB27:AB28"/>
    <mergeCell ref="AC27:AC28"/>
    <mergeCell ref="H27:H28"/>
    <mergeCell ref="I27:J27"/>
    <mergeCell ref="K27:L27"/>
    <mergeCell ref="M27:N27"/>
    <mergeCell ref="O27:P27"/>
    <mergeCell ref="Z49:Z50"/>
    <mergeCell ref="AA49:AA50"/>
    <mergeCell ref="B27:C28"/>
    <mergeCell ref="D27:D28"/>
    <mergeCell ref="E27:E28"/>
    <mergeCell ref="B71:C72"/>
    <mergeCell ref="D71:D72"/>
    <mergeCell ref="E71:E72"/>
    <mergeCell ref="F71:F72"/>
    <mergeCell ref="G71:G72"/>
    <mergeCell ref="AC49:AC50"/>
    <mergeCell ref="AD49:AD50"/>
    <mergeCell ref="AB3:AB6"/>
    <mergeCell ref="AC3:AC6"/>
    <mergeCell ref="AD27:AD28"/>
    <mergeCell ref="AD3:AD6"/>
    <mergeCell ref="B7:C26"/>
    <mergeCell ref="F27:F28"/>
    <mergeCell ref="G27:G28"/>
    <mergeCell ref="B3:C6"/>
    <mergeCell ref="AF49:AM51"/>
    <mergeCell ref="K49:L49"/>
    <mergeCell ref="M49:N49"/>
    <mergeCell ref="O49:P49"/>
    <mergeCell ref="Y49:Y50"/>
    <mergeCell ref="AA71:AA72"/>
    <mergeCell ref="AB71:AB72"/>
    <mergeCell ref="AC71:AC72"/>
    <mergeCell ref="B93:C94"/>
    <mergeCell ref="D93:D94"/>
    <mergeCell ref="E93:E94"/>
    <mergeCell ref="F93:F94"/>
    <mergeCell ref="G93:G94"/>
    <mergeCell ref="H93:H94"/>
    <mergeCell ref="I93:J93"/>
    <mergeCell ref="Y71:Y72"/>
    <mergeCell ref="Z71:Z72"/>
    <mergeCell ref="H71:H72"/>
    <mergeCell ref="I71:J71"/>
    <mergeCell ref="K71:L71"/>
    <mergeCell ref="M71:N71"/>
    <mergeCell ref="O71:P71"/>
    <mergeCell ref="AB49:AB50"/>
    <mergeCell ref="B51:C70"/>
    <mergeCell ref="B95:C114"/>
    <mergeCell ref="AF108:AM110"/>
    <mergeCell ref="B2:AB2"/>
    <mergeCell ref="Q27:S27"/>
    <mergeCell ref="T27:U27"/>
    <mergeCell ref="Q49:S49"/>
    <mergeCell ref="T49:U49"/>
    <mergeCell ref="Q71:S71"/>
    <mergeCell ref="T71:U71"/>
    <mergeCell ref="Q93:S93"/>
    <mergeCell ref="Z93:Z94"/>
    <mergeCell ref="AA93:AA94"/>
    <mergeCell ref="AB93:AB94"/>
    <mergeCell ref="AC93:AC94"/>
    <mergeCell ref="AD93:AD94"/>
    <mergeCell ref="AF93:AM95"/>
    <mergeCell ref="K93:L93"/>
    <mergeCell ref="M93:N93"/>
    <mergeCell ref="O93:P93"/>
    <mergeCell ref="Y93:Y94"/>
    <mergeCell ref="T93:U93"/>
    <mergeCell ref="AD71:AD72"/>
    <mergeCell ref="AF71:AM73"/>
    <mergeCell ref="B73:C92"/>
    <mergeCell ref="AF115:AM117"/>
    <mergeCell ref="B117:C136"/>
    <mergeCell ref="O115:P115"/>
    <mergeCell ref="Q115:S115"/>
    <mergeCell ref="T115:U115"/>
    <mergeCell ref="Y115:Y116"/>
    <mergeCell ref="Z115:Z116"/>
    <mergeCell ref="AA115:AA116"/>
    <mergeCell ref="AB115:AB116"/>
    <mergeCell ref="AC115:AC116"/>
    <mergeCell ref="AD115:AD116"/>
    <mergeCell ref="B115:C116"/>
    <mergeCell ref="D115:D116"/>
    <mergeCell ref="E115:E116"/>
    <mergeCell ref="F115:F116"/>
    <mergeCell ref="G115:G116"/>
    <mergeCell ref="H115:H116"/>
    <mergeCell ref="I115:J115"/>
    <mergeCell ref="K115:L115"/>
    <mergeCell ref="M115:N115"/>
    <mergeCell ref="V115:X115"/>
  </mergeCells>
  <phoneticPr fontId="13" type="noConversion"/>
  <dataValidations count="1">
    <dataValidation type="list" allowBlank="1" showInputMessage="1" showErrorMessage="1" sqref="T1:X2 Y29:Y48 Y3:Z6 Y49:Z49 Y73:Z93 Z7 Y27:Z27 Y51:Y71 Y95:Z115 Z21:Z26 Y7:Y26 Z69:Z71 Z9 Z17:Z19 Z13:Z14 Z29:Z43 Z51:Z59 Z46:Z48 Z61:Z66 Y117:Z137 V25:X116 T159:X1048576 V137:X138 Y139:Z158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33" t="s">
        <v>12</v>
      </c>
      <c r="D21" s="916"/>
      <c r="E21" s="909"/>
      <c r="F21" s="49" t="s">
        <v>46</v>
      </c>
      <c r="G21" s="49" t="s">
        <v>48</v>
      </c>
      <c r="H21" s="49" t="s">
        <v>49</v>
      </c>
      <c r="I21" s="8" t="s">
        <v>13</v>
      </c>
      <c r="J21" s="925" t="s">
        <v>51</v>
      </c>
      <c r="K21" s="909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08" t="s">
        <v>14</v>
      </c>
      <c r="D22" s="916"/>
      <c r="E22" s="909"/>
      <c r="F22" s="4">
        <v>3</v>
      </c>
      <c r="G22" s="4">
        <v>3000</v>
      </c>
      <c r="H22" s="4">
        <v>1000</v>
      </c>
      <c r="I22" s="4">
        <v>10</v>
      </c>
      <c r="J22" s="915" t="s">
        <v>76</v>
      </c>
      <c r="K22" s="909"/>
      <c r="M22" s="52" t="s">
        <v>26</v>
      </c>
      <c r="N22" s="57" t="s">
        <v>47</v>
      </c>
      <c r="O22" s="921" t="s">
        <v>12</v>
      </c>
      <c r="P22" s="916"/>
      <c r="Q22" s="909"/>
      <c r="R22" s="927" t="s">
        <v>53</v>
      </c>
      <c r="S22" s="916"/>
      <c r="T22" s="909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25" t="s">
        <v>51</v>
      </c>
      <c r="AA22" s="909"/>
    </row>
    <row r="23" spans="1:27" ht="15.75" customHeight="1">
      <c r="A23" s="23"/>
      <c r="B23" s="6">
        <v>2</v>
      </c>
      <c r="C23" s="930"/>
      <c r="D23" s="916"/>
      <c r="E23" s="909"/>
      <c r="F23" s="4"/>
      <c r="G23" s="4"/>
      <c r="H23" s="4"/>
      <c r="I23" s="4"/>
      <c r="J23" s="930"/>
      <c r="K23" s="909"/>
      <c r="M23" s="56" t="s">
        <v>42</v>
      </c>
      <c r="N23" s="24">
        <v>1</v>
      </c>
      <c r="O23" s="915" t="s">
        <v>82</v>
      </c>
      <c r="P23" s="916"/>
      <c r="Q23" s="909"/>
      <c r="R23" s="915" t="s">
        <v>85</v>
      </c>
      <c r="S23" s="916"/>
      <c r="T23" s="90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15" t="s">
        <v>86</v>
      </c>
      <c r="AA23" s="909"/>
    </row>
    <row r="24" spans="1:27" ht="15.75" customHeight="1">
      <c r="A24" s="23"/>
      <c r="B24" s="6">
        <v>3</v>
      </c>
      <c r="C24" s="930"/>
      <c r="D24" s="916"/>
      <c r="E24" s="909"/>
      <c r="F24" s="4"/>
      <c r="G24" s="4"/>
      <c r="H24" s="4"/>
      <c r="I24" s="4"/>
      <c r="J24" s="930"/>
      <c r="K24" s="909"/>
      <c r="M24" s="25"/>
      <c r="N24" s="24">
        <v>2</v>
      </c>
      <c r="O24" s="908"/>
      <c r="P24" s="916"/>
      <c r="Q24" s="909"/>
      <c r="R24" s="908"/>
      <c r="S24" s="916"/>
      <c r="T24" s="909"/>
      <c r="U24" s="4"/>
      <c r="V24" s="14"/>
      <c r="W24" s="4"/>
      <c r="X24" s="16">
        <f t="shared" si="16"/>
        <v>0</v>
      </c>
      <c r="Y24" s="4"/>
      <c r="Z24" s="908"/>
      <c r="AA24" s="909"/>
    </row>
    <row r="25" spans="1:27" ht="15.75" customHeight="1">
      <c r="A25" s="23"/>
      <c r="B25" s="6">
        <v>4</v>
      </c>
      <c r="C25" s="930"/>
      <c r="D25" s="916"/>
      <c r="E25" s="909"/>
      <c r="F25" s="4"/>
      <c r="G25" s="4"/>
      <c r="H25" s="4"/>
      <c r="I25" s="4"/>
      <c r="J25" s="930"/>
      <c r="K25" s="909"/>
      <c r="M25" s="25"/>
      <c r="N25" s="24">
        <v>3</v>
      </c>
      <c r="O25" s="908"/>
      <c r="P25" s="916"/>
      <c r="Q25" s="909"/>
      <c r="R25" s="908"/>
      <c r="S25" s="916"/>
      <c r="T25" s="909"/>
      <c r="U25" s="4"/>
      <c r="V25" s="14"/>
      <c r="W25" s="4"/>
      <c r="X25" s="16">
        <f t="shared" si="16"/>
        <v>0</v>
      </c>
      <c r="Y25" s="4"/>
      <c r="Z25" s="908"/>
      <c r="AA25" s="909"/>
    </row>
    <row r="26" spans="1:27" ht="15.75" customHeight="1">
      <c r="A26" s="23"/>
      <c r="B26" s="26">
        <v>5</v>
      </c>
      <c r="C26" s="934"/>
      <c r="D26" s="917"/>
      <c r="E26" s="911"/>
      <c r="F26" s="27"/>
      <c r="G26" s="27"/>
      <c r="H26" s="27"/>
      <c r="I26" s="27"/>
      <c r="J26" s="934"/>
      <c r="K26" s="911"/>
      <c r="M26" s="25"/>
      <c r="N26" s="24">
        <v>4</v>
      </c>
      <c r="O26" s="908"/>
      <c r="P26" s="916"/>
      <c r="Q26" s="909"/>
      <c r="R26" s="908"/>
      <c r="S26" s="916"/>
      <c r="T26" s="909"/>
      <c r="U26" s="4"/>
      <c r="V26" s="14"/>
      <c r="W26" s="4"/>
      <c r="X26" s="16">
        <f t="shared" si="16"/>
        <v>0</v>
      </c>
      <c r="Y26" s="4"/>
      <c r="Z26" s="908"/>
      <c r="AA26" s="909"/>
    </row>
    <row r="27" spans="1:27" ht="15.75" customHeight="1">
      <c r="A27" s="23"/>
      <c r="B27" s="69" t="s">
        <v>101</v>
      </c>
      <c r="C27" s="918" t="s">
        <v>75</v>
      </c>
      <c r="D27" s="919"/>
      <c r="E27" s="920"/>
      <c r="F27" s="28">
        <v>4</v>
      </c>
      <c r="G27" s="28">
        <v>2800</v>
      </c>
      <c r="H27" s="28">
        <v>700</v>
      </c>
      <c r="I27" s="28" t="s">
        <v>15</v>
      </c>
      <c r="J27" s="918" t="s">
        <v>77</v>
      </c>
      <c r="K27" s="920"/>
      <c r="M27" s="25"/>
      <c r="N27" s="29">
        <v>5</v>
      </c>
      <c r="O27" s="910"/>
      <c r="P27" s="917"/>
      <c r="Q27" s="911"/>
      <c r="R27" s="910"/>
      <c r="S27" s="917"/>
      <c r="T27" s="911"/>
      <c r="U27" s="27"/>
      <c r="V27" s="30"/>
      <c r="W27" s="27"/>
      <c r="X27" s="31">
        <f t="shared" si="16"/>
        <v>0</v>
      </c>
      <c r="Y27" s="4"/>
      <c r="Z27" s="910"/>
      <c r="AA27" s="911"/>
    </row>
    <row r="28" spans="1:27" ht="15.75" customHeight="1">
      <c r="A28" s="23"/>
      <c r="B28" s="70" t="s">
        <v>102</v>
      </c>
      <c r="C28" s="930"/>
      <c r="D28" s="916"/>
      <c r="E28" s="909"/>
      <c r="F28" s="4"/>
      <c r="G28" s="4"/>
      <c r="H28" s="4"/>
      <c r="I28" s="4"/>
      <c r="J28" s="930"/>
      <c r="K28" s="909"/>
      <c r="M28" s="32"/>
      <c r="N28" s="55"/>
      <c r="O28" s="912"/>
      <c r="P28" s="916"/>
      <c r="Q28" s="916"/>
      <c r="R28" s="912"/>
      <c r="S28" s="916"/>
      <c r="T28" s="916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12"/>
      <c r="AA28" s="909"/>
    </row>
    <row r="29" spans="1:27" ht="15.75" customHeight="1">
      <c r="A29" s="23"/>
      <c r="B29" s="70" t="s">
        <v>100</v>
      </c>
      <c r="C29" s="930"/>
      <c r="D29" s="916"/>
      <c r="E29" s="909"/>
      <c r="F29" s="4"/>
      <c r="G29" s="4"/>
      <c r="H29" s="4"/>
      <c r="I29" s="4"/>
      <c r="J29" s="930"/>
      <c r="K29" s="909"/>
      <c r="M29" s="56" t="s">
        <v>43</v>
      </c>
      <c r="N29" s="24">
        <v>1</v>
      </c>
      <c r="O29" s="931" t="s">
        <v>16</v>
      </c>
      <c r="P29" s="932"/>
      <c r="Q29" s="914"/>
      <c r="R29" s="913" t="s">
        <v>87</v>
      </c>
      <c r="S29" s="932"/>
      <c r="T29" s="91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13" t="s">
        <v>88</v>
      </c>
      <c r="AA29" s="914"/>
    </row>
    <row r="30" spans="1:27" ht="15.75" customHeight="1">
      <c r="A30" s="23"/>
      <c r="B30" s="70" t="s">
        <v>99</v>
      </c>
      <c r="C30" s="930"/>
      <c r="D30" s="916"/>
      <c r="E30" s="909"/>
      <c r="F30" s="4"/>
      <c r="G30" s="4"/>
      <c r="H30" s="4"/>
      <c r="I30" s="4"/>
      <c r="J30" s="930"/>
      <c r="K30" s="909"/>
      <c r="M30" s="25"/>
      <c r="N30" s="24">
        <v>2</v>
      </c>
      <c r="O30" s="908"/>
      <c r="P30" s="916"/>
      <c r="Q30" s="909"/>
      <c r="R30" s="908"/>
      <c r="S30" s="916"/>
      <c r="T30" s="909"/>
      <c r="U30" s="4"/>
      <c r="V30" s="14"/>
      <c r="W30" s="4"/>
      <c r="X30" s="16">
        <f t="shared" si="17"/>
        <v>0</v>
      </c>
      <c r="Y30" s="4"/>
      <c r="Z30" s="908"/>
      <c r="AA30" s="909"/>
    </row>
    <row r="31" spans="1:27" ht="15.75" customHeight="1">
      <c r="A31" s="20"/>
      <c r="B31" s="70" t="s">
        <v>103</v>
      </c>
      <c r="C31" s="930"/>
      <c r="D31" s="916"/>
      <c r="E31" s="909"/>
      <c r="F31" s="4"/>
      <c r="G31" s="4"/>
      <c r="H31" s="4"/>
      <c r="I31" s="4"/>
      <c r="J31" s="930"/>
      <c r="K31" s="909"/>
      <c r="M31" s="25"/>
      <c r="N31" s="24">
        <v>3</v>
      </c>
      <c r="O31" s="908"/>
      <c r="P31" s="916"/>
      <c r="Q31" s="909"/>
      <c r="R31" s="908"/>
      <c r="S31" s="916"/>
      <c r="T31" s="909"/>
      <c r="U31" s="4"/>
      <c r="V31" s="14"/>
      <c r="W31" s="4"/>
      <c r="X31" s="16">
        <f t="shared" si="17"/>
        <v>0</v>
      </c>
      <c r="Y31" s="4"/>
      <c r="Z31" s="908"/>
      <c r="AA31" s="909"/>
    </row>
    <row r="32" spans="1:27" ht="15.75" customHeight="1">
      <c r="A32" s="67"/>
      <c r="M32" s="25"/>
      <c r="N32" s="24">
        <v>4</v>
      </c>
      <c r="O32" s="908"/>
      <c r="P32" s="916"/>
      <c r="Q32" s="909"/>
      <c r="R32" s="908"/>
      <c r="S32" s="916"/>
      <c r="T32" s="909"/>
      <c r="U32" s="4"/>
      <c r="V32" s="14"/>
      <c r="W32" s="4"/>
      <c r="X32" s="16">
        <f t="shared" si="17"/>
        <v>0</v>
      </c>
      <c r="Y32" s="4"/>
      <c r="Z32" s="908"/>
      <c r="AA32" s="909"/>
    </row>
    <row r="33" spans="1:27" ht="15.75" customHeight="1">
      <c r="A33" s="18"/>
      <c r="B33" s="49" t="s">
        <v>47</v>
      </c>
      <c r="C33" s="933" t="s">
        <v>12</v>
      </c>
      <c r="D33" s="916"/>
      <c r="E33" s="909"/>
      <c r="F33" s="49" t="s">
        <v>46</v>
      </c>
      <c r="G33" s="49" t="s">
        <v>48</v>
      </c>
      <c r="H33" s="49" t="s">
        <v>49</v>
      </c>
      <c r="I33" s="8" t="s">
        <v>13</v>
      </c>
      <c r="J33" s="925" t="s">
        <v>51</v>
      </c>
      <c r="K33" s="909"/>
      <c r="M33" s="25"/>
      <c r="N33" s="29">
        <v>5</v>
      </c>
      <c r="O33" s="908"/>
      <c r="P33" s="916"/>
      <c r="Q33" s="909"/>
      <c r="R33" s="908"/>
      <c r="S33" s="916"/>
      <c r="T33" s="909"/>
      <c r="U33" s="27"/>
      <c r="V33" s="30"/>
      <c r="W33" s="27"/>
      <c r="X33" s="31">
        <f t="shared" si="17"/>
        <v>0</v>
      </c>
      <c r="Y33" s="4"/>
      <c r="Z33" s="908"/>
      <c r="AA33" s="909"/>
    </row>
    <row r="34" spans="1:27" ht="15.75" customHeight="1">
      <c r="A34" s="52" t="s">
        <v>35</v>
      </c>
      <c r="B34" s="6">
        <v>1</v>
      </c>
      <c r="C34" s="915" t="s">
        <v>79</v>
      </c>
      <c r="D34" s="916"/>
      <c r="E34" s="909"/>
      <c r="F34" s="4">
        <v>3</v>
      </c>
      <c r="G34" s="4">
        <v>2500</v>
      </c>
      <c r="H34" s="4">
        <v>833.33</v>
      </c>
      <c r="I34" s="4">
        <v>20</v>
      </c>
      <c r="J34" s="915" t="s">
        <v>78</v>
      </c>
      <c r="K34" s="909"/>
      <c r="M34" s="68"/>
      <c r="N34" s="45"/>
      <c r="O34" s="912"/>
      <c r="P34" s="916"/>
      <c r="Q34" s="916"/>
      <c r="R34" s="912"/>
      <c r="S34" s="916"/>
      <c r="T34" s="916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12"/>
      <c r="AA34" s="909"/>
    </row>
    <row r="35" spans="1:27" ht="15.75" customHeight="1">
      <c r="A35" s="23"/>
      <c r="B35" s="6">
        <v>2</v>
      </c>
      <c r="C35" s="908"/>
      <c r="D35" s="916"/>
      <c r="E35" s="909"/>
      <c r="F35" s="4"/>
      <c r="G35" s="4"/>
      <c r="H35" s="4"/>
      <c r="I35" s="4"/>
      <c r="J35" s="908"/>
      <c r="K35" s="909"/>
      <c r="M35" s="1"/>
      <c r="N35" s="1"/>
      <c r="O35" s="923"/>
      <c r="P35" s="924"/>
      <c r="Q35" s="924"/>
      <c r="R35" s="923"/>
      <c r="S35" s="924"/>
      <c r="T35" s="924"/>
      <c r="U35" s="1"/>
      <c r="V35" s="38"/>
      <c r="W35" s="1"/>
      <c r="X35" s="1"/>
      <c r="Y35" s="923"/>
      <c r="Z35" s="924"/>
      <c r="AA35" s="924"/>
    </row>
    <row r="36" spans="1:27" ht="15.75" customHeight="1">
      <c r="A36" s="23"/>
      <c r="B36" s="6">
        <v>3</v>
      </c>
      <c r="C36" s="908"/>
      <c r="D36" s="916"/>
      <c r="E36" s="909"/>
      <c r="F36" s="4"/>
      <c r="G36" s="4"/>
      <c r="H36" s="4"/>
      <c r="I36" s="4"/>
      <c r="J36" s="908"/>
      <c r="K36" s="909"/>
      <c r="M36" s="52" t="s">
        <v>27</v>
      </c>
      <c r="N36" s="57" t="s">
        <v>47</v>
      </c>
      <c r="O36" s="921" t="s">
        <v>12</v>
      </c>
      <c r="P36" s="912"/>
      <c r="Q36" s="922"/>
      <c r="R36" s="927" t="s">
        <v>53</v>
      </c>
      <c r="S36" s="928"/>
      <c r="T36" s="929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25" t="s">
        <v>51</v>
      </c>
      <c r="AA36" s="926"/>
    </row>
    <row r="37" spans="1:27" ht="15.75" customHeight="1">
      <c r="A37" s="23"/>
      <c r="B37" s="6">
        <v>4</v>
      </c>
      <c r="C37" s="908"/>
      <c r="D37" s="916"/>
      <c r="E37" s="909"/>
      <c r="F37" s="4"/>
      <c r="G37" s="4"/>
      <c r="H37" s="4"/>
      <c r="I37" s="4"/>
      <c r="J37" s="908"/>
      <c r="K37" s="909"/>
      <c r="M37" s="56" t="s">
        <v>42</v>
      </c>
      <c r="N37" s="24">
        <v>1</v>
      </c>
      <c r="O37" s="915" t="s">
        <v>89</v>
      </c>
      <c r="P37" s="916"/>
      <c r="Q37" s="909"/>
      <c r="R37" s="915" t="s">
        <v>90</v>
      </c>
      <c r="S37" s="916"/>
      <c r="T37" s="90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15" t="s">
        <v>91</v>
      </c>
      <c r="AA37" s="909"/>
    </row>
    <row r="38" spans="1:27" ht="15.75" customHeight="1">
      <c r="A38" s="23"/>
      <c r="B38" s="26">
        <v>5</v>
      </c>
      <c r="C38" s="910"/>
      <c r="D38" s="917"/>
      <c r="E38" s="911"/>
      <c r="F38" s="27"/>
      <c r="G38" s="27"/>
      <c r="H38" s="27"/>
      <c r="I38" s="27"/>
      <c r="J38" s="910"/>
      <c r="K38" s="911"/>
      <c r="M38" s="25"/>
      <c r="N38" s="24">
        <v>2</v>
      </c>
      <c r="O38" s="908"/>
      <c r="P38" s="916"/>
      <c r="Q38" s="909"/>
      <c r="R38" s="908"/>
      <c r="S38" s="916"/>
      <c r="T38" s="909"/>
      <c r="U38" s="4"/>
      <c r="V38" s="14"/>
      <c r="W38" s="4"/>
      <c r="X38" s="16">
        <f t="shared" si="18"/>
        <v>0</v>
      </c>
      <c r="Y38" s="4"/>
      <c r="Z38" s="908"/>
      <c r="AA38" s="909"/>
    </row>
    <row r="39" spans="1:27" ht="14">
      <c r="A39" s="23"/>
      <c r="B39" s="69" t="s">
        <v>101</v>
      </c>
      <c r="C39" s="918" t="s">
        <v>80</v>
      </c>
      <c r="D39" s="919"/>
      <c r="E39" s="920"/>
      <c r="F39" s="28">
        <v>7</v>
      </c>
      <c r="G39" s="28">
        <v>2200</v>
      </c>
      <c r="H39" s="28">
        <v>314.29000000000002</v>
      </c>
      <c r="I39" s="28">
        <v>-15</v>
      </c>
      <c r="J39" s="918" t="s">
        <v>81</v>
      </c>
      <c r="K39" s="920"/>
      <c r="M39" s="25"/>
      <c r="N39" s="24">
        <v>3</v>
      </c>
      <c r="O39" s="908"/>
      <c r="P39" s="916"/>
      <c r="Q39" s="909"/>
      <c r="R39" s="908"/>
      <c r="S39" s="916"/>
      <c r="T39" s="909"/>
      <c r="U39" s="4"/>
      <c r="V39" s="14"/>
      <c r="W39" s="4"/>
      <c r="X39" s="16">
        <f t="shared" si="18"/>
        <v>0</v>
      </c>
      <c r="Y39" s="4"/>
      <c r="Z39" s="908"/>
      <c r="AA39" s="909"/>
    </row>
    <row r="40" spans="1:27" ht="14">
      <c r="A40" s="23"/>
      <c r="B40" s="70" t="s">
        <v>102</v>
      </c>
      <c r="C40" s="908"/>
      <c r="D40" s="916"/>
      <c r="E40" s="909"/>
      <c r="F40" s="4"/>
      <c r="G40" s="4"/>
      <c r="H40" s="4"/>
      <c r="I40" s="4"/>
      <c r="J40" s="908"/>
      <c r="K40" s="909"/>
      <c r="M40" s="25"/>
      <c r="N40" s="24">
        <v>4</v>
      </c>
      <c r="O40" s="908"/>
      <c r="P40" s="916"/>
      <c r="Q40" s="909"/>
      <c r="R40" s="908"/>
      <c r="S40" s="916"/>
      <c r="T40" s="909"/>
      <c r="U40" s="4"/>
      <c r="V40" s="14"/>
      <c r="W40" s="4"/>
      <c r="X40" s="16">
        <f t="shared" si="18"/>
        <v>0</v>
      </c>
      <c r="Y40" s="4"/>
      <c r="Z40" s="908"/>
      <c r="AA40" s="909"/>
    </row>
    <row r="41" spans="1:27" ht="14">
      <c r="A41" s="23"/>
      <c r="B41" s="70" t="s">
        <v>100</v>
      </c>
      <c r="C41" s="908"/>
      <c r="D41" s="916"/>
      <c r="E41" s="909"/>
      <c r="F41" s="4"/>
      <c r="G41" s="4"/>
      <c r="H41" s="4"/>
      <c r="I41" s="4"/>
      <c r="J41" s="908"/>
      <c r="K41" s="909"/>
      <c r="M41" s="25"/>
      <c r="N41" s="29">
        <v>5</v>
      </c>
      <c r="O41" s="910"/>
      <c r="P41" s="917"/>
      <c r="Q41" s="911"/>
      <c r="R41" s="910"/>
      <c r="S41" s="917"/>
      <c r="T41" s="911"/>
      <c r="U41" s="27"/>
      <c r="V41" s="30"/>
      <c r="W41" s="27"/>
      <c r="X41" s="31">
        <f t="shared" si="18"/>
        <v>0</v>
      </c>
      <c r="Y41" s="4"/>
      <c r="Z41" s="908"/>
      <c r="AA41" s="909"/>
    </row>
    <row r="42" spans="1:27" ht="14">
      <c r="A42" s="23"/>
      <c r="B42" s="70" t="s">
        <v>99</v>
      </c>
      <c r="C42" s="908"/>
      <c r="D42" s="916"/>
      <c r="E42" s="909"/>
      <c r="F42" s="4"/>
      <c r="G42" s="4"/>
      <c r="H42" s="4"/>
      <c r="I42" s="4"/>
      <c r="J42" s="908"/>
      <c r="K42" s="909"/>
      <c r="M42" s="32"/>
      <c r="N42" s="54"/>
      <c r="O42" s="912"/>
      <c r="P42" s="916"/>
      <c r="Q42" s="916"/>
      <c r="R42" s="912"/>
      <c r="S42" s="916"/>
      <c r="T42" s="916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12"/>
      <c r="AA42" s="909"/>
    </row>
    <row r="43" spans="1:27" ht="14">
      <c r="A43" s="20"/>
      <c r="B43" s="70" t="s">
        <v>103</v>
      </c>
      <c r="C43" s="908"/>
      <c r="D43" s="916"/>
      <c r="E43" s="909"/>
      <c r="F43" s="4"/>
      <c r="G43" s="4"/>
      <c r="H43" s="4"/>
      <c r="I43" s="4"/>
      <c r="J43" s="908"/>
      <c r="K43" s="909"/>
      <c r="M43" s="56" t="s">
        <v>43</v>
      </c>
      <c r="N43" s="24">
        <v>1</v>
      </c>
      <c r="O43" s="915" t="s">
        <v>89</v>
      </c>
      <c r="P43" s="916"/>
      <c r="Q43" s="909"/>
      <c r="R43" s="913" t="s">
        <v>93</v>
      </c>
      <c r="S43" s="932"/>
      <c r="T43" s="91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15" t="s">
        <v>92</v>
      </c>
      <c r="AA43" s="909"/>
    </row>
    <row r="44" spans="1:27" ht="14">
      <c r="A44" s="67"/>
      <c r="M44" s="25"/>
      <c r="N44" s="24">
        <v>2</v>
      </c>
      <c r="O44" s="908"/>
      <c r="P44" s="916"/>
      <c r="Q44" s="909"/>
      <c r="R44" s="908"/>
      <c r="S44" s="916"/>
      <c r="T44" s="909"/>
      <c r="U44" s="4"/>
      <c r="V44" s="14"/>
      <c r="W44" s="4"/>
      <c r="X44" s="37">
        <f t="shared" si="19"/>
        <v>0</v>
      </c>
      <c r="Y44" s="4"/>
      <c r="Z44" s="908"/>
      <c r="AA44" s="909"/>
    </row>
    <row r="45" spans="1:27" ht="14">
      <c r="A45" s="18"/>
      <c r="B45" s="49" t="s">
        <v>47</v>
      </c>
      <c r="C45" s="933" t="s">
        <v>12</v>
      </c>
      <c r="D45" s="916"/>
      <c r="E45" s="909"/>
      <c r="F45" s="49" t="s">
        <v>46</v>
      </c>
      <c r="G45" s="49" t="s">
        <v>48</v>
      </c>
      <c r="H45" s="49" t="s">
        <v>49</v>
      </c>
      <c r="I45" s="8" t="s">
        <v>13</v>
      </c>
      <c r="J45" s="925" t="s">
        <v>51</v>
      </c>
      <c r="K45" s="909"/>
      <c r="M45" s="25"/>
      <c r="N45" s="24">
        <v>3</v>
      </c>
      <c r="O45" s="908"/>
      <c r="P45" s="916"/>
      <c r="Q45" s="909"/>
      <c r="R45" s="908"/>
      <c r="S45" s="916"/>
      <c r="T45" s="909"/>
      <c r="U45" s="4"/>
      <c r="V45" s="14"/>
      <c r="W45" s="4"/>
      <c r="X45" s="37">
        <f t="shared" si="19"/>
        <v>0</v>
      </c>
      <c r="Y45" s="4"/>
      <c r="Z45" s="908"/>
      <c r="AA45" s="909"/>
    </row>
    <row r="46" spans="1:27" ht="14">
      <c r="A46" s="52" t="s">
        <v>36</v>
      </c>
      <c r="B46" s="6">
        <v>1</v>
      </c>
      <c r="C46" s="915" t="s">
        <v>82</v>
      </c>
      <c r="D46" s="916"/>
      <c r="E46" s="909"/>
      <c r="F46" s="4">
        <v>15</v>
      </c>
      <c r="G46" s="4">
        <v>1200</v>
      </c>
      <c r="H46" s="4">
        <v>80</v>
      </c>
      <c r="I46" s="4">
        <v>5</v>
      </c>
      <c r="J46" s="915" t="s">
        <v>83</v>
      </c>
      <c r="K46" s="909"/>
      <c r="M46" s="25"/>
      <c r="N46" s="24">
        <v>4</v>
      </c>
      <c r="O46" s="908"/>
      <c r="P46" s="916"/>
      <c r="Q46" s="909"/>
      <c r="R46" s="908"/>
      <c r="S46" s="916"/>
      <c r="T46" s="909"/>
      <c r="U46" s="4"/>
      <c r="V46" s="14"/>
      <c r="W46" s="4"/>
      <c r="X46" s="37">
        <f t="shared" si="19"/>
        <v>0</v>
      </c>
      <c r="Y46" s="4"/>
      <c r="Z46" s="908"/>
      <c r="AA46" s="909"/>
    </row>
    <row r="47" spans="1:27" ht="14">
      <c r="A47" s="23"/>
      <c r="B47" s="6">
        <v>2</v>
      </c>
      <c r="C47" s="908"/>
      <c r="D47" s="916"/>
      <c r="E47" s="909"/>
      <c r="F47" s="4"/>
      <c r="G47" s="4"/>
      <c r="H47" s="4"/>
      <c r="I47" s="4"/>
      <c r="J47" s="908"/>
      <c r="K47" s="909"/>
      <c r="M47" s="25"/>
      <c r="N47" s="29">
        <v>5</v>
      </c>
      <c r="O47" s="908"/>
      <c r="P47" s="916"/>
      <c r="Q47" s="909"/>
      <c r="R47" s="908"/>
      <c r="S47" s="916"/>
      <c r="T47" s="909"/>
      <c r="U47" s="27"/>
      <c r="V47" s="30"/>
      <c r="W47" s="27"/>
      <c r="X47" s="40">
        <f t="shared" si="19"/>
        <v>0</v>
      </c>
      <c r="Y47" s="4"/>
      <c r="Z47" s="908"/>
      <c r="AA47" s="909"/>
    </row>
    <row r="48" spans="1:27" ht="14">
      <c r="A48" s="23"/>
      <c r="B48" s="6">
        <v>3</v>
      </c>
      <c r="C48" s="908"/>
      <c r="D48" s="916"/>
      <c r="E48" s="909"/>
      <c r="F48" s="4"/>
      <c r="G48" s="4"/>
      <c r="H48" s="4"/>
      <c r="I48" s="4"/>
      <c r="J48" s="908"/>
      <c r="K48" s="909"/>
      <c r="M48" s="68"/>
      <c r="N48" s="45"/>
      <c r="O48" s="912"/>
      <c r="P48" s="916"/>
      <c r="Q48" s="916"/>
      <c r="R48" s="912"/>
      <c r="S48" s="916"/>
      <c r="T48" s="916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12"/>
      <c r="AA48" s="909"/>
    </row>
    <row r="49" spans="1:27" ht="14">
      <c r="A49" s="23"/>
      <c r="B49" s="6">
        <v>4</v>
      </c>
      <c r="C49" s="908"/>
      <c r="D49" s="916"/>
      <c r="E49" s="909"/>
      <c r="F49" s="4"/>
      <c r="G49" s="4"/>
      <c r="H49" s="4"/>
      <c r="I49" s="4"/>
      <c r="J49" s="908"/>
      <c r="K49" s="90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910"/>
      <c r="D50" s="917"/>
      <c r="E50" s="911"/>
      <c r="F50" s="27"/>
      <c r="G50" s="27"/>
      <c r="H50" s="27"/>
      <c r="I50" s="27"/>
      <c r="J50" s="910"/>
      <c r="K50" s="911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918" t="s">
        <v>89</v>
      </c>
      <c r="D51" s="919"/>
      <c r="E51" s="920"/>
      <c r="F51" s="28">
        <v>18</v>
      </c>
      <c r="G51" s="28">
        <v>800</v>
      </c>
      <c r="H51" s="28">
        <v>44.44</v>
      </c>
      <c r="I51" s="28">
        <v>-15</v>
      </c>
      <c r="J51" s="918" t="s">
        <v>84</v>
      </c>
      <c r="K51" s="920"/>
      <c r="M51" s="8"/>
      <c r="N51" s="8" t="s">
        <v>18</v>
      </c>
      <c r="O51" s="921" t="s">
        <v>12</v>
      </c>
      <c r="P51" s="912"/>
      <c r="Q51" s="922"/>
      <c r="R51" s="927" t="s">
        <v>53</v>
      </c>
      <c r="S51" s="928"/>
      <c r="T51" s="929"/>
      <c r="U51" s="57" t="s">
        <v>54</v>
      </c>
      <c r="V51" s="39" t="s">
        <v>19</v>
      </c>
      <c r="W51" s="57" t="s">
        <v>57</v>
      </c>
      <c r="X51" s="8" t="s">
        <v>2</v>
      </c>
      <c r="Y51" s="921" t="s">
        <v>50</v>
      </c>
      <c r="Z51" s="912"/>
      <c r="AA51" s="922"/>
    </row>
    <row r="52" spans="1:27" ht="14">
      <c r="A52" s="23"/>
      <c r="B52" s="70" t="s">
        <v>102</v>
      </c>
      <c r="C52" s="908"/>
      <c r="D52" s="916"/>
      <c r="E52" s="909"/>
      <c r="F52" s="4"/>
      <c r="G52" s="4"/>
      <c r="H52" s="4"/>
      <c r="I52" s="4"/>
      <c r="J52" s="908"/>
      <c r="K52" s="909"/>
      <c r="M52" s="56" t="s">
        <v>42</v>
      </c>
      <c r="N52" s="24">
        <v>1</v>
      </c>
      <c r="O52" s="915" t="s">
        <v>89</v>
      </c>
      <c r="P52" s="916"/>
      <c r="Q52" s="909"/>
      <c r="R52" s="913" t="s">
        <v>93</v>
      </c>
      <c r="S52" s="932"/>
      <c r="T52" s="91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15" t="s">
        <v>97</v>
      </c>
      <c r="Z52" s="916"/>
      <c r="AA52" s="909"/>
    </row>
    <row r="53" spans="1:27" ht="14">
      <c r="A53" s="23"/>
      <c r="B53" s="70" t="s">
        <v>100</v>
      </c>
      <c r="C53" s="908"/>
      <c r="D53" s="916"/>
      <c r="E53" s="909"/>
      <c r="F53" s="4"/>
      <c r="G53" s="4"/>
      <c r="H53" s="4"/>
      <c r="I53" s="4"/>
      <c r="J53" s="908"/>
      <c r="K53" s="909"/>
      <c r="M53" s="25"/>
      <c r="N53" s="29">
        <v>2</v>
      </c>
      <c r="O53" s="910"/>
      <c r="P53" s="917"/>
      <c r="Q53" s="911"/>
      <c r="R53" s="910"/>
      <c r="S53" s="917"/>
      <c r="T53" s="911"/>
      <c r="U53" s="27"/>
      <c r="V53" s="30"/>
      <c r="W53" s="30"/>
      <c r="X53" s="41">
        <f t="shared" si="20"/>
        <v>0</v>
      </c>
      <c r="Y53" s="910"/>
      <c r="Z53" s="917"/>
      <c r="AA53" s="911"/>
    </row>
    <row r="54" spans="1:27" ht="14">
      <c r="A54" s="23"/>
      <c r="B54" s="70" t="s">
        <v>99</v>
      </c>
      <c r="C54" s="908"/>
      <c r="D54" s="916"/>
      <c r="E54" s="909"/>
      <c r="F54" s="4"/>
      <c r="G54" s="4"/>
      <c r="H54" s="4"/>
      <c r="I54" s="4"/>
      <c r="J54" s="908"/>
      <c r="K54" s="909"/>
      <c r="M54" s="56" t="s">
        <v>43</v>
      </c>
      <c r="N54" s="42">
        <v>1</v>
      </c>
      <c r="O54" s="918" t="s">
        <v>94</v>
      </c>
      <c r="P54" s="919"/>
      <c r="Q54" s="920"/>
      <c r="R54" s="918" t="s">
        <v>95</v>
      </c>
      <c r="S54" s="919"/>
      <c r="T54" s="92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18" t="s">
        <v>96</v>
      </c>
      <c r="Z54" s="919"/>
      <c r="AA54" s="920"/>
    </row>
    <row r="55" spans="1:27" ht="14">
      <c r="A55" s="20"/>
      <c r="B55" s="70" t="s">
        <v>103</v>
      </c>
      <c r="C55" s="908"/>
      <c r="D55" s="916"/>
      <c r="E55" s="909"/>
      <c r="F55" s="4"/>
      <c r="G55" s="4"/>
      <c r="H55" s="4"/>
      <c r="I55" s="4"/>
      <c r="J55" s="908"/>
      <c r="K55" s="909"/>
      <c r="M55" s="22"/>
      <c r="N55" s="24">
        <v>2</v>
      </c>
      <c r="O55" s="908"/>
      <c r="P55" s="916"/>
      <c r="Q55" s="909"/>
      <c r="R55" s="908"/>
      <c r="S55" s="916"/>
      <c r="T55" s="909"/>
      <c r="U55" s="4"/>
      <c r="V55" s="14"/>
      <c r="W55" s="14"/>
      <c r="X55" s="13">
        <f t="shared" si="20"/>
        <v>0</v>
      </c>
      <c r="Y55" s="908"/>
      <c r="Z55" s="916"/>
      <c r="AA55" s="90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48"/>
    <col min="3" max="3" width="14" style="148" bestFit="1" customWidth="1"/>
    <col min="4" max="4" width="0.26953125" style="148" customWidth="1"/>
    <col min="5" max="5" width="8.7265625" style="148"/>
    <col min="6" max="6" width="16.26953125" style="148" bestFit="1" customWidth="1"/>
    <col min="7" max="16384" width="8.7265625" style="148"/>
  </cols>
  <sheetData>
    <row r="2" spans="2:7" ht="15.5">
      <c r="B2" s="935" t="s">
        <v>255</v>
      </c>
      <c r="C2" s="935"/>
      <c r="D2" s="935"/>
      <c r="E2" s="935"/>
      <c r="F2" s="935"/>
    </row>
    <row r="3" spans="2:7" ht="14.5">
      <c r="B3" s="149" t="s">
        <v>256</v>
      </c>
      <c r="C3" s="149" t="s">
        <v>257</v>
      </c>
      <c r="D3" s="150"/>
      <c r="E3" s="149" t="s">
        <v>258</v>
      </c>
      <c r="F3" s="149" t="s">
        <v>259</v>
      </c>
      <c r="G3" s="150"/>
    </row>
    <row r="4" spans="2:7" ht="14.5">
      <c r="B4" s="151" t="s">
        <v>260</v>
      </c>
      <c r="C4" s="151" t="s">
        <v>261</v>
      </c>
      <c r="D4" s="150"/>
      <c r="E4" s="151" t="s">
        <v>262</v>
      </c>
      <c r="F4" s="151" t="s">
        <v>263</v>
      </c>
      <c r="G4" s="150"/>
    </row>
    <row r="5" spans="2:7" ht="14.5">
      <c r="B5" s="151" t="s">
        <v>264</v>
      </c>
      <c r="C5" s="151" t="s">
        <v>265</v>
      </c>
      <c r="D5" s="150"/>
      <c r="E5" s="151" t="s">
        <v>266</v>
      </c>
      <c r="F5" s="151" t="s">
        <v>267</v>
      </c>
      <c r="G5" s="150"/>
    </row>
    <row r="6" spans="2:7" ht="14.5">
      <c r="B6" s="151" t="s">
        <v>268</v>
      </c>
      <c r="C6" s="151" t="s">
        <v>269</v>
      </c>
      <c r="D6" s="150"/>
      <c r="E6" s="152" t="s">
        <v>270</v>
      </c>
      <c r="F6" s="152" t="s">
        <v>141</v>
      </c>
      <c r="G6" s="150"/>
    </row>
    <row r="7" spans="2:7" ht="14.5">
      <c r="B7" s="152" t="s">
        <v>271</v>
      </c>
      <c r="C7" s="152" t="s">
        <v>272</v>
      </c>
      <c r="D7" s="150"/>
      <c r="E7" s="151" t="s">
        <v>273</v>
      </c>
      <c r="F7" s="151" t="s">
        <v>274</v>
      </c>
      <c r="G7" s="150"/>
    </row>
    <row r="8" spans="2:7" ht="14.5">
      <c r="B8" s="151" t="s">
        <v>275</v>
      </c>
      <c r="C8" s="151" t="s">
        <v>276</v>
      </c>
      <c r="D8" s="150"/>
      <c r="E8" s="151" t="s">
        <v>277</v>
      </c>
      <c r="F8" s="151" t="s">
        <v>278</v>
      </c>
      <c r="G8" s="150"/>
    </row>
    <row r="9" spans="2:7" ht="14.5">
      <c r="B9" s="151" t="s">
        <v>279</v>
      </c>
      <c r="C9" s="151" t="s">
        <v>280</v>
      </c>
      <c r="D9" s="150"/>
      <c r="E9" s="152" t="s">
        <v>281</v>
      </c>
      <c r="F9" s="152" t="s">
        <v>140</v>
      </c>
      <c r="G9" s="150"/>
    </row>
    <row r="10" spans="2:7" ht="14.5">
      <c r="B10" s="151" t="s">
        <v>282</v>
      </c>
      <c r="C10" s="151" t="s">
        <v>283</v>
      </c>
      <c r="D10" s="150"/>
      <c r="E10" s="151" t="s">
        <v>284</v>
      </c>
      <c r="F10" s="151" t="s">
        <v>285</v>
      </c>
      <c r="G10" s="150"/>
    </row>
    <row r="11" spans="2:7" ht="14.5">
      <c r="B11" s="151" t="s">
        <v>286</v>
      </c>
      <c r="C11" s="151" t="s">
        <v>287</v>
      </c>
      <c r="D11" s="150"/>
      <c r="E11" s="151" t="s">
        <v>288</v>
      </c>
      <c r="F11" s="151" t="s">
        <v>278</v>
      </c>
      <c r="G11" s="150"/>
    </row>
    <row r="12" spans="2:7" ht="14.5">
      <c r="B12" s="151" t="s">
        <v>289</v>
      </c>
      <c r="C12" s="151" t="s">
        <v>290</v>
      </c>
      <c r="D12" s="150"/>
      <c r="E12" s="151" t="s">
        <v>291</v>
      </c>
      <c r="F12" s="151" t="s">
        <v>292</v>
      </c>
      <c r="G12" s="150"/>
    </row>
    <row r="13" spans="2:7" ht="14.5">
      <c r="B13" s="152" t="s">
        <v>293</v>
      </c>
      <c r="C13" s="152" t="s">
        <v>136</v>
      </c>
      <c r="D13" s="150"/>
      <c r="E13" s="151" t="s">
        <v>294</v>
      </c>
      <c r="F13" s="151" t="s">
        <v>295</v>
      </c>
      <c r="G13" s="150"/>
    </row>
    <row r="14" spans="2:7" ht="14.5">
      <c r="B14" s="151" t="s">
        <v>296</v>
      </c>
      <c r="C14" s="151" t="s">
        <v>297</v>
      </c>
      <c r="D14" s="150"/>
      <c r="E14" s="152" t="s">
        <v>298</v>
      </c>
      <c r="F14" s="152" t="s">
        <v>299</v>
      </c>
      <c r="G14" s="150"/>
    </row>
    <row r="15" spans="2:7" ht="14.5">
      <c r="B15" s="152" t="s">
        <v>300</v>
      </c>
      <c r="C15" s="152" t="s">
        <v>301</v>
      </c>
      <c r="D15" s="150"/>
      <c r="E15" s="151" t="s">
        <v>302</v>
      </c>
      <c r="F15" s="151" t="s">
        <v>299</v>
      </c>
      <c r="G15" s="150"/>
    </row>
    <row r="16" spans="2:7" ht="14.5">
      <c r="B16" s="151" t="s">
        <v>303</v>
      </c>
      <c r="C16" s="151" t="s">
        <v>304</v>
      </c>
      <c r="D16" s="150"/>
      <c r="E16" s="152" t="s">
        <v>305</v>
      </c>
      <c r="F16" s="152" t="s">
        <v>306</v>
      </c>
      <c r="G16" s="150"/>
    </row>
    <row r="17" spans="2:7" ht="14.5">
      <c r="B17" s="151" t="s">
        <v>307</v>
      </c>
      <c r="C17" s="151" t="s">
        <v>308</v>
      </c>
      <c r="D17" s="150"/>
      <c r="E17" s="151" t="s">
        <v>309</v>
      </c>
      <c r="F17" s="151" t="s">
        <v>310</v>
      </c>
      <c r="G17" s="150"/>
    </row>
    <row r="18" spans="2:7" ht="14.5">
      <c r="B18" s="151" t="s">
        <v>311</v>
      </c>
      <c r="C18" s="151" t="s">
        <v>312</v>
      </c>
      <c r="D18" s="150"/>
      <c r="E18" s="151" t="s">
        <v>313</v>
      </c>
      <c r="F18" s="151" t="s">
        <v>314</v>
      </c>
      <c r="G18" s="150"/>
    </row>
    <row r="19" spans="2:7" ht="14.5">
      <c r="B19" s="151" t="s">
        <v>315</v>
      </c>
      <c r="C19" s="151" t="s">
        <v>316</v>
      </c>
      <c r="D19" s="150"/>
      <c r="E19" s="151" t="s">
        <v>317</v>
      </c>
      <c r="F19" s="151" t="s">
        <v>318</v>
      </c>
      <c r="G19" s="150"/>
    </row>
    <row r="20" spans="2:7" ht="14.5">
      <c r="B20" s="151" t="s">
        <v>319</v>
      </c>
      <c r="C20" s="151" t="s">
        <v>320</v>
      </c>
      <c r="D20" s="150"/>
      <c r="G20" s="150"/>
    </row>
    <row r="21" spans="2:7" ht="14.5">
      <c r="D21" s="150"/>
      <c r="G21" s="150"/>
    </row>
    <row r="22" spans="2:7" ht="14.5">
      <c r="D22" s="150"/>
      <c r="G22" s="150"/>
    </row>
    <row r="23" spans="2:7" ht="14.5">
      <c r="D23" s="150"/>
      <c r="G23" s="15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5"/>
  <sheetData>
    <row r="3" spans="1:2" ht="14">
      <c r="A3">
        <v>1</v>
      </c>
      <c r="B3" s="148" t="s">
        <v>362</v>
      </c>
    </row>
    <row r="4" spans="1:2" ht="14">
      <c r="A4">
        <v>2</v>
      </c>
      <c r="B4" s="148" t="s">
        <v>383</v>
      </c>
    </row>
    <row r="5" spans="1:2" ht="14">
      <c r="A5">
        <v>3</v>
      </c>
      <c r="B5" s="148" t="s">
        <v>337</v>
      </c>
    </row>
    <row r="6" spans="1:2" ht="14">
      <c r="A6">
        <v>4</v>
      </c>
      <c r="B6" s="148" t="s">
        <v>214</v>
      </c>
    </row>
    <row r="7" spans="1:2" ht="14.5">
      <c r="A7">
        <v>5</v>
      </c>
      <c r="B7" s="150" t="s">
        <v>541</v>
      </c>
    </row>
    <row r="8" spans="1:2" ht="14">
      <c r="A8">
        <v>6</v>
      </c>
      <c r="B8" s="148" t="s">
        <v>216</v>
      </c>
    </row>
    <row r="9" spans="1:2" ht="14">
      <c r="A9">
        <v>7</v>
      </c>
      <c r="B9" s="148" t="s">
        <v>384</v>
      </c>
    </row>
    <row r="10" spans="1:2" ht="14">
      <c r="A10">
        <v>8</v>
      </c>
      <c r="B10" s="148" t="s">
        <v>385</v>
      </c>
    </row>
  </sheetData>
  <phoneticPr fontId="1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C0C4489-7970-433E-A6C3-F8B380048786}"/>
</file>

<file path=customXml/itemProps3.xml><?xml version="1.0" encoding="utf-8"?>
<ds:datastoreItem xmlns:ds="http://schemas.openxmlformats.org/officeDocument/2006/customXml" ds:itemID="{1694F4F2-6513-45BE-B6E4-C05BEEF40E1F}"/>
</file>

<file path=customXml/itemProps4.xml><?xml version="1.0" encoding="utf-8"?>
<ds:datastoreItem xmlns:ds="http://schemas.openxmlformats.org/officeDocument/2006/customXml" ds:itemID="{ADF147EB-05D3-455D-BEF6-7CFD5E47F0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2026-07-06T08:28:46Z</cp:lastPrinted>
  <dcterms:created xsi:type="dcterms:W3CDTF">2025-07-03T16:36:59Z</dcterms:created>
  <dcterms:modified xsi:type="dcterms:W3CDTF">2026-07-16T01:21:51Z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